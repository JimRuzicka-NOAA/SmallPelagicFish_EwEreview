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E6C9D807-C0ED-AA44-9FBE-6CA9EE0B78FC}" xr6:coauthVersionLast="45" xr6:coauthVersionMax="45" xr10:uidLastSave="{00000000-0000-0000-0000-000000000000}"/>
  <bookViews>
    <workbookView xWindow="0" yWindow="460" windowWidth="25600" windowHeight="1428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Main!$C$2:$N$137</definedName>
    <definedName name="matDetritus">Detritus!$C$2:$G$137</definedName>
    <definedName name="matDiet">Diets!$B$2:$DO$124</definedName>
    <definedName name="matDiscards">Discards!$C$2:$P$123</definedName>
    <definedName name="matFishery">Fishing!$C$2:$P$123</definedName>
    <definedName name="matFishing">Fishing!#REF!</definedName>
    <definedName name="matMort">Mortalities!$A$1:$EI$123</definedName>
    <definedName name="matOut">MainOutputs!$A$2:$I$137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4" i="86" l="1"/>
  <c r="B34" i="86"/>
  <c r="D34" i="86" s="1"/>
  <c r="A34" i="86"/>
  <c r="C33" i="86"/>
  <c r="B33" i="86"/>
  <c r="D33" i="86" s="1"/>
  <c r="A33" i="86"/>
  <c r="D32" i="86"/>
  <c r="C32" i="86"/>
  <c r="B32" i="86"/>
  <c r="A32" i="86"/>
  <c r="C21" i="86"/>
  <c r="C20" i="86"/>
  <c r="C19" i="86"/>
  <c r="C10" i="86"/>
  <c r="C9" i="86"/>
  <c r="C8" i="86"/>
  <c r="B10" i="87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DT126" i="78"/>
  <c r="DT127" i="78" s="1"/>
  <c r="DS126" i="78"/>
  <c r="DS127" i="78" s="1"/>
  <c r="DR126" i="78"/>
  <c r="DR127" i="78" s="1"/>
  <c r="DQ126" i="78"/>
  <c r="DQ127" i="78" s="1"/>
  <c r="DP126" i="78"/>
  <c r="DP127" i="78" s="1"/>
  <c r="DO126" i="78"/>
  <c r="DO127" i="78" s="1"/>
  <c r="DN126" i="78"/>
  <c r="DN127" i="78" s="1"/>
  <c r="DM126" i="78"/>
  <c r="DM127" i="78" s="1"/>
  <c r="DL126" i="78"/>
  <c r="DL127" i="78" s="1"/>
  <c r="DK126" i="78"/>
  <c r="DK127" i="78" s="1"/>
  <c r="DJ126" i="78"/>
  <c r="DJ127" i="78" s="1"/>
  <c r="DI126" i="78"/>
  <c r="DI127" i="78" s="1"/>
  <c r="DH126" i="78"/>
  <c r="DH127" i="78" s="1"/>
  <c r="DG126" i="78"/>
  <c r="DG127" i="78" s="1"/>
  <c r="DF126" i="78"/>
  <c r="DF127" i="78" s="1"/>
  <c r="DE126" i="78"/>
  <c r="DE127" i="78" s="1"/>
  <c r="DD126" i="78"/>
  <c r="DD127" i="78" s="1"/>
  <c r="DC126" i="78"/>
  <c r="DC127" i="78" s="1"/>
  <c r="DB126" i="78"/>
  <c r="DB127" i="78" s="1"/>
  <c r="DA126" i="78"/>
  <c r="DA127" i="78" s="1"/>
  <c r="CZ126" i="78"/>
  <c r="CZ127" i="78" s="1"/>
  <c r="CY126" i="78"/>
  <c r="CY127" i="78" s="1"/>
  <c r="CX126" i="78"/>
  <c r="CX127" i="78" s="1"/>
  <c r="CW126" i="78"/>
  <c r="CW127" i="78" s="1"/>
  <c r="CV126" i="78"/>
  <c r="CV127" i="78" s="1"/>
  <c r="CU126" i="78"/>
  <c r="CU127" i="78" s="1"/>
  <c r="CT126" i="78"/>
  <c r="CT127" i="78" s="1"/>
  <c r="CS126" i="78"/>
  <c r="CS127" i="78" s="1"/>
  <c r="CR126" i="78"/>
  <c r="CR127" i="78" s="1"/>
  <c r="CQ126" i="78"/>
  <c r="CQ127" i="78" s="1"/>
  <c r="CP126" i="78"/>
  <c r="CP127" i="78" s="1"/>
  <c r="CO126" i="78"/>
  <c r="CO127" i="78" s="1"/>
  <c r="CN126" i="78"/>
  <c r="CN127" i="78" s="1"/>
  <c r="CM126" i="78"/>
  <c r="CM127" i="78" s="1"/>
  <c r="CL126" i="78"/>
  <c r="CL127" i="78" s="1"/>
  <c r="CK126" i="78"/>
  <c r="CK127" i="78" s="1"/>
  <c r="CJ126" i="78"/>
  <c r="CJ127" i="78" s="1"/>
  <c r="CI126" i="78"/>
  <c r="CI127" i="78" s="1"/>
  <c r="CH126" i="78"/>
  <c r="CH127" i="78" s="1"/>
  <c r="CG126" i="78"/>
  <c r="CG127" i="78" s="1"/>
  <c r="CF126" i="78"/>
  <c r="CF127" i="78" s="1"/>
  <c r="CE126" i="78"/>
  <c r="CE127" i="78" s="1"/>
  <c r="CD126" i="78"/>
  <c r="CD127" i="78" s="1"/>
  <c r="CC126" i="78"/>
  <c r="CC127" i="78" s="1"/>
  <c r="CB126" i="78"/>
  <c r="CB127" i="78" s="1"/>
  <c r="CA126" i="78"/>
  <c r="CA127" i="78" s="1"/>
  <c r="BZ126" i="78"/>
  <c r="BZ127" i="78" s="1"/>
  <c r="BY126" i="78"/>
  <c r="BY127" i="78" s="1"/>
  <c r="BX126" i="78"/>
  <c r="BX127" i="78" s="1"/>
  <c r="BW126" i="78"/>
  <c r="BW127" i="78" s="1"/>
  <c r="BV126" i="78"/>
  <c r="BV127" i="78" s="1"/>
  <c r="BU126" i="78"/>
  <c r="BU127" i="78" s="1"/>
  <c r="BT126" i="78"/>
  <c r="BT127" i="78" s="1"/>
  <c r="BS126" i="78"/>
  <c r="BS127" i="78" s="1"/>
  <c r="BR126" i="78"/>
  <c r="BR127" i="78" s="1"/>
  <c r="BQ126" i="78"/>
  <c r="BQ127" i="78" s="1"/>
  <c r="BP126" i="78"/>
  <c r="BP127" i="78" s="1"/>
  <c r="BO126" i="78"/>
  <c r="BO127" i="78" s="1"/>
  <c r="BN126" i="78"/>
  <c r="BN127" i="78" s="1"/>
  <c r="BM126" i="78"/>
  <c r="BM127" i="78" s="1"/>
  <c r="BL126" i="78"/>
  <c r="BL127" i="78" s="1"/>
  <c r="BK126" i="78"/>
  <c r="BK127" i="78" s="1"/>
  <c r="BJ126" i="78"/>
  <c r="BJ127" i="78" s="1"/>
  <c r="BI126" i="78"/>
  <c r="BI127" i="78" s="1"/>
  <c r="BH126" i="78"/>
  <c r="BH127" i="78" s="1"/>
  <c r="BG126" i="78"/>
  <c r="BG127" i="78" s="1"/>
  <c r="BF126" i="78"/>
  <c r="BF127" i="78" s="1"/>
  <c r="BE126" i="78"/>
  <c r="BE127" i="78" s="1"/>
  <c r="BD126" i="78"/>
  <c r="BD127" i="78" s="1"/>
  <c r="BC126" i="78"/>
  <c r="BC127" i="78" s="1"/>
  <c r="BB126" i="78"/>
  <c r="BB127" i="78" s="1"/>
  <c r="BA126" i="78"/>
  <c r="BA127" i="78" s="1"/>
  <c r="AZ126" i="78"/>
  <c r="AZ127" i="78" s="1"/>
  <c r="AY126" i="78"/>
  <c r="AY127" i="78" s="1"/>
  <c r="AX126" i="78"/>
  <c r="AX127" i="78" s="1"/>
  <c r="AW126" i="78"/>
  <c r="AW127" i="78" s="1"/>
  <c r="AV126" i="78"/>
  <c r="AV127" i="78" s="1"/>
  <c r="AU126" i="78"/>
  <c r="AU127" i="78" s="1"/>
  <c r="AT126" i="78"/>
  <c r="AT127" i="78" s="1"/>
  <c r="AS126" i="78"/>
  <c r="AS127" i="78" s="1"/>
  <c r="AR126" i="78"/>
  <c r="AR127" i="78" s="1"/>
  <c r="AQ126" i="78"/>
  <c r="AQ127" i="78" s="1"/>
  <c r="AP126" i="78"/>
  <c r="AP127" i="78" s="1"/>
  <c r="AO126" i="78"/>
  <c r="AO127" i="78" s="1"/>
  <c r="AN126" i="78"/>
  <c r="AN127" i="78" s="1"/>
  <c r="AM126" i="78"/>
  <c r="AM127" i="78" s="1"/>
  <c r="AK126" i="78"/>
  <c r="AK127" i="78" s="1"/>
  <c r="AJ126" i="78"/>
  <c r="AJ127" i="78" s="1"/>
  <c r="AI126" i="78"/>
  <c r="AI127" i="78" s="1"/>
  <c r="AH126" i="78"/>
  <c r="AH127" i="78" s="1"/>
  <c r="AG126" i="78"/>
  <c r="AG127" i="78" s="1"/>
  <c r="AF126" i="78"/>
  <c r="AF127" i="78" s="1"/>
  <c r="AE126" i="78"/>
  <c r="AE127" i="78" s="1"/>
  <c r="AD126" i="78"/>
  <c r="AD127" i="78" s="1"/>
  <c r="AC126" i="78"/>
  <c r="AC127" i="78" s="1"/>
  <c r="AB126" i="78"/>
  <c r="AB127" i="78" s="1"/>
  <c r="AA126" i="78"/>
  <c r="AA127" i="78" s="1"/>
  <c r="Z126" i="78"/>
  <c r="Z127" i="78" s="1"/>
  <c r="Y126" i="78"/>
  <c r="Y127" i="78" s="1"/>
  <c r="X126" i="78"/>
  <c r="X127" i="78" s="1"/>
  <c r="W126" i="78"/>
  <c r="W127" i="78" s="1"/>
  <c r="V126" i="78"/>
  <c r="V127" i="78" s="1"/>
  <c r="U126" i="78"/>
  <c r="U127" i="78" s="1"/>
  <c r="T126" i="78"/>
  <c r="T127" i="78" s="1"/>
  <c r="S126" i="78"/>
  <c r="S127" i="78" s="1"/>
  <c r="R126" i="78"/>
  <c r="R127" i="78" s="1"/>
  <c r="Q126" i="78"/>
  <c r="Q127" i="78" s="1"/>
  <c r="P126" i="78"/>
  <c r="P127" i="78" s="1"/>
  <c r="O126" i="78"/>
  <c r="O127" i="78" s="1"/>
  <c r="N126" i="78"/>
  <c r="N127" i="78" s="1"/>
  <c r="M126" i="78"/>
  <c r="M127" i="78" s="1"/>
  <c r="L126" i="78"/>
  <c r="L127" i="78" s="1"/>
  <c r="K126" i="78"/>
  <c r="K127" i="78" s="1"/>
  <c r="J126" i="78"/>
  <c r="J127" i="78" s="1"/>
  <c r="I126" i="78"/>
  <c r="I127" i="78" s="1"/>
  <c r="H126" i="78"/>
  <c r="H127" i="78" s="1"/>
  <c r="G126" i="78"/>
  <c r="G127" i="78" s="1"/>
  <c r="F126" i="78"/>
  <c r="F127" i="78" s="1"/>
  <c r="E126" i="78"/>
  <c r="E127" i="78" s="1"/>
  <c r="D126" i="78"/>
  <c r="D127" i="78" s="1"/>
  <c r="C126" i="78"/>
  <c r="C127" i="78" s="1"/>
  <c r="B126" i="78"/>
  <c r="B127" i="78" s="1"/>
  <c r="AL81" i="78"/>
  <c r="AL36" i="78"/>
  <c r="AL126" i="78" s="1"/>
  <c r="AL127" i="78" s="1"/>
  <c r="B8" i="75"/>
  <c r="B7" i="75"/>
  <c r="X6" i="75"/>
  <c r="C3" i="75"/>
  <c r="C4" i="75" s="1"/>
  <c r="C5" i="75" s="1"/>
  <c r="C6" i="75" s="1"/>
  <c r="C7" i="75" s="1"/>
  <c r="C8" i="75" s="1"/>
  <c r="C9" i="75" s="1"/>
  <c r="C10" i="75" s="1"/>
  <c r="C11" i="75" s="1"/>
  <c r="C12" i="75" s="1"/>
  <c r="C13" i="75" s="1"/>
  <c r="C14" i="75" s="1"/>
  <c r="C15" i="75" s="1"/>
  <c r="C16" i="75" s="1"/>
  <c r="C17" i="75" s="1"/>
  <c r="C18" i="75" s="1"/>
  <c r="C19" i="75" s="1"/>
  <c r="C20" i="75" s="1"/>
  <c r="C21" i="75" s="1"/>
  <c r="C22" i="75" s="1"/>
  <c r="C23" i="75" s="1"/>
  <c r="C24" i="75" s="1"/>
  <c r="C25" i="75" s="1"/>
  <c r="C26" i="75" s="1"/>
  <c r="C27" i="75" s="1"/>
  <c r="C28" i="75" s="1"/>
  <c r="C29" i="75" s="1"/>
  <c r="C30" i="75" s="1"/>
  <c r="C31" i="75" s="1"/>
  <c r="C32" i="75" s="1"/>
  <c r="C33" i="75" s="1"/>
  <c r="C34" i="75" s="1"/>
  <c r="C35" i="75" s="1"/>
  <c r="C36" i="75" s="1"/>
  <c r="C37" i="75" s="1"/>
  <c r="C38" i="75" s="1"/>
  <c r="C39" i="75" s="1"/>
  <c r="C40" i="75" s="1"/>
  <c r="C41" i="75" s="1"/>
  <c r="C42" i="75" s="1"/>
  <c r="C43" i="75" s="1"/>
  <c r="C44" i="75" s="1"/>
  <c r="C45" i="75" s="1"/>
  <c r="C46" i="75" s="1"/>
  <c r="C47" i="75" s="1"/>
  <c r="C48" i="75" s="1"/>
  <c r="C49" i="75" s="1"/>
  <c r="C50" i="75" s="1"/>
  <c r="C51" i="75" s="1"/>
  <c r="C52" i="75" s="1"/>
  <c r="C53" i="75" s="1"/>
  <c r="C54" i="75" s="1"/>
  <c r="C55" i="75" s="1"/>
  <c r="C56" i="75" s="1"/>
  <c r="C57" i="75" s="1"/>
  <c r="C58" i="75" s="1"/>
  <c r="C59" i="75" s="1"/>
  <c r="C60" i="75" s="1"/>
  <c r="C61" i="75" s="1"/>
  <c r="C62" i="75" s="1"/>
  <c r="C63" i="75" s="1"/>
  <c r="C64" i="75" s="1"/>
  <c r="C65" i="75" s="1"/>
  <c r="C66" i="75" s="1"/>
  <c r="C67" i="75" s="1"/>
  <c r="C68" i="75" s="1"/>
  <c r="C69" i="75" s="1"/>
  <c r="C70" i="75" s="1"/>
  <c r="C71" i="75" s="1"/>
  <c r="C72" i="75" s="1"/>
  <c r="C73" i="75" s="1"/>
  <c r="C74" i="75" s="1"/>
  <c r="C75" i="75" s="1"/>
  <c r="C76" i="75" s="1"/>
  <c r="C77" i="75" s="1"/>
  <c r="C78" i="75" s="1"/>
  <c r="C79" i="75" s="1"/>
  <c r="C80" i="75" s="1"/>
  <c r="C81" i="75" s="1"/>
  <c r="C82" i="75" s="1"/>
  <c r="C83" i="75" s="1"/>
  <c r="C84" i="75" s="1"/>
  <c r="C85" i="75" s="1"/>
  <c r="C86" i="75" s="1"/>
  <c r="C87" i="75" s="1"/>
  <c r="C88" i="75" s="1"/>
  <c r="C89" i="75" s="1"/>
  <c r="C90" i="75" s="1"/>
  <c r="C91" i="75" s="1"/>
  <c r="C92" i="75" s="1"/>
  <c r="C93" i="75" s="1"/>
  <c r="C94" i="75" s="1"/>
  <c r="C95" i="75" s="1"/>
  <c r="C96" i="75" s="1"/>
  <c r="C97" i="75" s="1"/>
  <c r="C98" i="75" s="1"/>
  <c r="C99" i="75" s="1"/>
  <c r="C100" i="75" s="1"/>
  <c r="C101" i="75" s="1"/>
  <c r="C102" i="75" s="1"/>
  <c r="C103" i="75" s="1"/>
  <c r="C104" i="75" s="1"/>
  <c r="C105" i="75" s="1"/>
  <c r="C106" i="75" s="1"/>
  <c r="C107" i="75" s="1"/>
  <c r="C108" i="75" s="1"/>
  <c r="C109" i="75" s="1"/>
  <c r="C110" i="75" s="1"/>
  <c r="C111" i="75" s="1"/>
  <c r="C112" i="75" s="1"/>
  <c r="C113" i="75" s="1"/>
  <c r="C114" i="75" s="1"/>
  <c r="C115" i="75" s="1"/>
  <c r="C116" i="75" s="1"/>
  <c r="C117" i="75" s="1"/>
  <c r="C118" i="75" s="1"/>
  <c r="C119" i="75" s="1"/>
  <c r="C120" i="75" s="1"/>
  <c r="C121" i="75" s="1"/>
  <c r="C122" i="75" s="1"/>
  <c r="C123" i="75" s="1"/>
  <c r="C124" i="75" s="1"/>
  <c r="C125" i="75" s="1"/>
  <c r="C126" i="75" s="1"/>
  <c r="C127" i="75" s="1"/>
  <c r="C128" i="75" s="1"/>
  <c r="C129" i="75" s="1"/>
  <c r="C130" i="75" s="1"/>
  <c r="C131" i="75" s="1"/>
  <c r="C132" i="75" s="1"/>
  <c r="C133" i="75" s="1"/>
  <c r="C134" i="75" s="1"/>
  <c r="C135" i="75" s="1"/>
  <c r="C136" i="75" s="1"/>
  <c r="C137" i="75" s="1"/>
  <c r="D42" i="86" l="1"/>
  <c r="E32" i="86" s="1"/>
  <c r="B8" i="86" l="1"/>
  <c r="B19" i="86"/>
  <c r="E33" i="86"/>
  <c r="E34" i="86"/>
  <c r="B20" i="86" l="1"/>
  <c r="B9" i="86"/>
  <c r="B10" i="86"/>
  <c r="B21" i="86"/>
  <c r="E42" i="86"/>
</calcChain>
</file>

<file path=xl/sharedStrings.xml><?xml version="1.0" encoding="utf-8"?>
<sst xmlns="http://schemas.openxmlformats.org/spreadsheetml/2006/main" count="3128" uniqueCount="372">
  <si>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</si>
  <si>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</si>
  <si>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</si>
  <si>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</si>
  <si>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</si>
  <si>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</si>
  <si>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</si>
  <si>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</si>
  <si>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</si>
  <si>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</si>
  <si>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</si>
  <si>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</si>
  <si>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</si>
  <si>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</si>
  <si>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</si>
  <si>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</si>
  <si>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</si>
  <si>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</si>
  <si>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</si>
  <si>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</si>
  <si>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</si>
  <si>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</si>
  <si>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</si>
  <si>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</si>
  <si>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</si>
  <si>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</si>
  <si>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</si>
  <si>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</si>
  <si>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</si>
  <si>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</si>
  <si>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</si>
  <si>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</si>
  <si>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</si>
  <si>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</si>
  <si>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</si>
  <si>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</si>
  <si>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</si>
  <si>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</si>
  <si>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</si>
  <si>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</si>
  <si>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</si>
  <si>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</si>
  <si>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</si>
  <si>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</si>
  <si>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</si>
  <si>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</si>
  <si>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</si>
  <si>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</si>
  <si>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</si>
  <si>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</si>
  <si>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</si>
  <si>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</si>
  <si>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</si>
  <si>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</si>
  <si>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</si>
  <si>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</si>
  <si>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</si>
  <si>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</si>
  <si>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</si>
  <si>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</si>
  <si>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</si>
  <si>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</si>
  <si>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</si>
  <si>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</si>
  <si>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</si>
  <si>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</si>
  <si>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</si>
  <si>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</si>
  <si>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</si>
  <si>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</si>
  <si>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</si>
  <si>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</si>
  <si>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</si>
  <si>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</si>
  <si>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</si>
  <si>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</si>
  <si>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</si>
  <si>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</si>
  <si>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</si>
  <si>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</si>
  <si>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</si>
  <si>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</si>
  <si>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</si>
  <si>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</si>
  <si>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</si>
  <si>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</si>
  <si>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</si>
  <si>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</si>
  <si>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</si>
  <si>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</si>
  <si>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</si>
  <si>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</si>
  <si>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</si>
  <si>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</si>
  <si>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</si>
  <si>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</si>
  <si>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</si>
  <si>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</si>
  <si>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</si>
  <si>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</si>
  <si>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</si>
  <si>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</si>
  <si>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</si>
  <si>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</si>
  <si>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</si>
  <si>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</si>
  <si>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</si>
  <si>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</si>
  <si>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</si>
  <si>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</si>
  <si>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</si>
  <si>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</si>
  <si>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</si>
  <si>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</si>
  <si>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</si>
  <si>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</si>
  <si>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</si>
  <si>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</si>
  <si>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</si>
  <si>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</si>
  <si>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</si>
  <si>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</si>
  <si>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</si>
  <si>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</si>
  <si>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</si>
  <si>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</si>
  <si>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</si>
  <si>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</si>
  <si>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</si>
  <si>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</si>
  <si>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</si>
  <si>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</si>
  <si>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</si>
  <si>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</si>
  <si>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</si>
  <si>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</si>
  <si>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</si>
  <si>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</si>
  <si>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</si>
  <si>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</si>
  <si>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</si>
  <si>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</si>
  <si>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</si>
  <si>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</si>
  <si>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</si>
  <si>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</si>
  <si>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</si>
  <si>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</si>
  <si>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</si>
  <si>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</si>
  <si>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</si>
  <si>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</si>
  <si>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</si>
  <si>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</si>
  <si>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</si>
  <si>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</si>
  <si>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</si>
  <si>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</si>
  <si>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</si>
  <si>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</si>
  <si>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</si>
  <si>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</si>
  <si>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</si>
  <si>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</si>
  <si>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</si>
  <si>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</si>
  <si>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</si>
  <si>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</si>
  <si>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</si>
  <si>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</si>
  <si>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</si>
  <si>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</si>
  <si>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</si>
  <si>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</si>
  <si>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</si>
  <si>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</si>
  <si>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</si>
  <si>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W. Pollock</t>
  </si>
  <si>
    <t>Herring</t>
  </si>
  <si>
    <t>Arrowtooth</t>
  </si>
  <si>
    <t>Other sculpins</t>
  </si>
  <si>
    <t>import</t>
  </si>
  <si>
    <t>export</t>
  </si>
  <si>
    <t>&lt;-NOTE: every model must have a terminal pelagic &amp; benthic detritus group</t>
  </si>
  <si>
    <t>&lt;-NOTE: fisheries FOLLOW terminal detritus groups</t>
  </si>
  <si>
    <t>&lt;-NOTE: BA &amp; EM at very end</t>
  </si>
  <si>
    <t xml:space="preserve"> W. Pollock_Juv</t>
  </si>
  <si>
    <t xml:space="preserve"> W. Pollock</t>
  </si>
  <si>
    <t>&lt;--original BA=-1.15</t>
  </si>
  <si>
    <t xml:space="preserve"> Other skates</t>
  </si>
  <si>
    <t>&lt;-defined as Opilio in full GoA model; re-defined as misc. crabs in CgoA model and estimated under ee=0.8</t>
  </si>
  <si>
    <t>this parameter set taken from file: CGOA_FinalGLOBEC_PathData.h</t>
  </si>
  <si>
    <t>BALANCING the fully resolved CGoA model</t>
  </si>
  <si>
    <t>out of balance</t>
  </si>
  <si>
    <t>CGoA_FullRes_04232015</t>
  </si>
  <si>
    <t>too much arrowtooth predation</t>
  </si>
  <si>
    <t>CGoA_FullRes_B_04232015</t>
  </si>
  <si>
    <t>adjusted arrowtooth diet on all forage-type fishes &amp; squid</t>
  </si>
  <si>
    <t>adjusted P_halibut diet on all forage-type fishes &amp; squid</t>
  </si>
  <si>
    <t>[see file: CGoA_DietWork_3-6-2015.xlsx]</t>
  </si>
  <si>
    <t>CGoA_FullRes_C_04232015</t>
  </si>
  <si>
    <t>reset params to recalc biomasses for all ee=0.8 groups</t>
  </si>
  <si>
    <t>CGoA_FullRes_D_04232015</t>
  </si>
  <si>
    <t>re-adjust predation on:</t>
  </si>
  <si>
    <t>change diets of:</t>
  </si>
  <si>
    <t>W pollock</t>
  </si>
  <si>
    <t>P_Halibut</t>
  </si>
  <si>
    <t>P_cod</t>
  </si>
  <si>
    <t>Atka Makerel</t>
  </si>
  <si>
    <t>balanced!!--&gt;</t>
  </si>
  <si>
    <t>CGoA_FullRes_E_04232015</t>
  </si>
  <si>
    <t>W_pollock juv</t>
  </si>
  <si>
    <t>&lt;--did not change this</t>
  </si>
  <si>
    <t>murres</t>
  </si>
  <si>
    <t>P_cod juv</t>
  </si>
  <si>
    <t>herring juv</t>
  </si>
  <si>
    <t>made all surplus detritusfrom all detritus groups flow to benthic detritus - they were originally set to 0</t>
  </si>
  <si>
    <t>made surplus benthic detritus flow to export</t>
  </si>
  <si>
    <t>CGoA_FullRes_F_04302015</t>
  </si>
  <si>
    <t>remove outside production &amp; outside detritus groups &lt;-- these groups have no trophic linkages to any other groups in the model</t>
  </si>
  <si>
    <t>CGoA_FullRes_G_04302015</t>
  </si>
  <si>
    <t>this is just a test to see if terminl detritus migration properly in retentionscaler, etc…</t>
  </si>
  <si>
    <t>TOTAL</t>
  </si>
  <si>
    <t>&lt;--QQQ these are not bacteria!! = microzoop</t>
  </si>
  <si>
    <t>&lt;--QQQ these are not bacteria!! = infauna??</t>
  </si>
  <si>
    <t>Transient Killers</t>
  </si>
  <si>
    <t>Sperm and Beaked Whales</t>
  </si>
  <si>
    <t>Resident Killers</t>
  </si>
  <si>
    <t>Porpoises</t>
  </si>
  <si>
    <t>Gray Whales</t>
  </si>
  <si>
    <t>Humpbacks</t>
  </si>
  <si>
    <t>Fin Whales</t>
  </si>
  <si>
    <t>Sei whales</t>
  </si>
  <si>
    <t>Right whales</t>
  </si>
  <si>
    <t>Minke whales</t>
  </si>
  <si>
    <t>Sea Otters</t>
  </si>
  <si>
    <t>N. Fur Seal_Juv</t>
  </si>
  <si>
    <t>N. Fur Seal</t>
  </si>
  <si>
    <t>Steller Sea Lion_Juv</t>
  </si>
  <si>
    <t>Steller Sea Lion</t>
  </si>
  <si>
    <t>Resident seals</t>
  </si>
  <si>
    <t>Shearwater</t>
  </si>
  <si>
    <t>Murres</t>
  </si>
  <si>
    <t>Kittiwakes</t>
  </si>
  <si>
    <t>Auklets</t>
  </si>
  <si>
    <t>Puffins</t>
  </si>
  <si>
    <t>Fulmars</t>
  </si>
  <si>
    <t>Storm Petrels</t>
  </si>
  <si>
    <t>Cormorants</t>
  </si>
  <si>
    <t>Gulls</t>
  </si>
  <si>
    <t>Albatross Jaeger</t>
  </si>
  <si>
    <t>Sleeper shark</t>
  </si>
  <si>
    <t>Salmon shark</t>
  </si>
  <si>
    <t>Dogfish</t>
  </si>
  <si>
    <t>W. Pollock_Juv</t>
  </si>
  <si>
    <t>P. Cod_Juv</t>
  </si>
  <si>
    <t>P. Cod</t>
  </si>
  <si>
    <t>Herring_Juv</t>
  </si>
  <si>
    <t>Arrowtooth_Juv</t>
  </si>
  <si>
    <t>P. Halibut_Juv</t>
  </si>
  <si>
    <t>P. Halibut</t>
  </si>
  <si>
    <t>YF. Sole</t>
  </si>
  <si>
    <t>FH. Sole_Juv</t>
  </si>
  <si>
    <t>FH. Sole</t>
  </si>
  <si>
    <t>N. Rock sole</t>
  </si>
  <si>
    <t>S. Rock sole</t>
  </si>
  <si>
    <t>AK Plaice</t>
  </si>
  <si>
    <t>Dover Sole</t>
  </si>
  <si>
    <t>Rex Sole</t>
  </si>
  <si>
    <t>Misc. Flatfish</t>
  </si>
  <si>
    <t>Other skates</t>
  </si>
  <si>
    <t>Longnose skate</t>
  </si>
  <si>
    <t>Big skate</t>
  </si>
  <si>
    <t>Sablefish_Juv</t>
  </si>
  <si>
    <t>Sablefish</t>
  </si>
  <si>
    <t>Eelpouts</t>
  </si>
  <si>
    <t>Grenadiers</t>
  </si>
  <si>
    <t>Misc. fish deep</t>
  </si>
  <si>
    <t>POP_Juv</t>
  </si>
  <si>
    <t>POP</t>
  </si>
  <si>
    <t>Sharpchin Rock</t>
  </si>
  <si>
    <t>Northern Rock</t>
  </si>
  <si>
    <t>Dusky Rock</t>
  </si>
  <si>
    <t>Shortraker Rock</t>
  </si>
  <si>
    <t>Rougheye Rock</t>
  </si>
  <si>
    <t>Shortspine Thorns_Juv</t>
  </si>
  <si>
    <t>Shortspine Thorns</t>
  </si>
  <si>
    <t>Other Sebastes</t>
  </si>
  <si>
    <t>Atka mackerel_Juv</t>
  </si>
  <si>
    <t>Atka mackerel</t>
  </si>
  <si>
    <t>Greenlings</t>
  </si>
  <si>
    <t>Lg. Sculpins</t>
  </si>
  <si>
    <t>Misc. fish shallow</t>
  </si>
  <si>
    <t>Octopi</t>
  </si>
  <si>
    <t>Squids</t>
  </si>
  <si>
    <t>Salmon returning</t>
  </si>
  <si>
    <t>Salmon outgoing</t>
  </si>
  <si>
    <t>Bathylagidae</t>
  </si>
  <si>
    <t>Myctophidae</t>
  </si>
  <si>
    <t>Capelin</t>
  </si>
  <si>
    <t>Sandlance</t>
  </si>
  <si>
    <t>Eulachon</t>
  </si>
  <si>
    <t>Oth. managed forage</t>
  </si>
  <si>
    <t>Oth. pelagic smelt</t>
  </si>
  <si>
    <t>Bairdi</t>
  </si>
  <si>
    <t>King Crab</t>
  </si>
  <si>
    <t>Misc. crabs</t>
  </si>
  <si>
    <t>Pandalidae</t>
  </si>
  <si>
    <t>NP shrimp</t>
  </si>
  <si>
    <t>Sea stars</t>
  </si>
  <si>
    <t>Brittle stars</t>
  </si>
  <si>
    <t>Urchins dollars cucumbers</t>
  </si>
  <si>
    <t>Snails</t>
  </si>
  <si>
    <t>Hermit crabs</t>
  </si>
  <si>
    <t>Misc. Crustacean</t>
  </si>
  <si>
    <t>Benthic Amphipods</t>
  </si>
  <si>
    <t>Anemones</t>
  </si>
  <si>
    <t>Corals</t>
  </si>
  <si>
    <t>Hydroids</t>
  </si>
  <si>
    <t>Urochordata</t>
  </si>
  <si>
    <t>Sea Pens</t>
  </si>
  <si>
    <t>Sponges</t>
  </si>
  <si>
    <t>Bivalves</t>
  </si>
  <si>
    <t>Polychaetes</t>
  </si>
  <si>
    <t>Misc. worms</t>
  </si>
  <si>
    <t>Scyphozoid Jellies</t>
  </si>
  <si>
    <t>Fish Larvae</t>
  </si>
  <si>
    <t>Chaetognaths</t>
  </si>
  <si>
    <t>Euphausiids</t>
  </si>
  <si>
    <t>Mysids</t>
  </si>
  <si>
    <t>Pelagic Amphipods</t>
  </si>
  <si>
    <t>Gelatinous filter feeders</t>
  </si>
  <si>
    <t>Pteropods</t>
  </si>
  <si>
    <t>Copepods</t>
  </si>
  <si>
    <t>Pelagic microbes</t>
  </si>
  <si>
    <t>Benthic microbes</t>
  </si>
  <si>
    <t>Macroalgae</t>
  </si>
  <si>
    <t>Lg Phytoplankton</t>
  </si>
  <si>
    <t>Sm Phytoplankton</t>
  </si>
  <si>
    <t>Discards</t>
  </si>
  <si>
    <t>Offal</t>
  </si>
  <si>
    <t>Pelagic Detritus</t>
  </si>
  <si>
    <t>Benthic Detritus</t>
  </si>
  <si>
    <t>Halibut HookLine</t>
  </si>
  <si>
    <t>Crab Pots</t>
  </si>
  <si>
    <t>Herring Fleet</t>
  </si>
  <si>
    <t>Salmon Fleet</t>
  </si>
  <si>
    <t>Subsistence FIshery</t>
  </si>
  <si>
    <t>Flatfish Trawl</t>
  </si>
  <si>
    <t>Other Groundfish Trawl</t>
  </si>
  <si>
    <t>P. Cod HookLine</t>
  </si>
  <si>
    <t>P. Cod Pot</t>
  </si>
  <si>
    <t>P. Cod Trawl</t>
  </si>
  <si>
    <t>Pollock Trawl</t>
  </si>
  <si>
    <t>Rockfish Trawl</t>
  </si>
  <si>
    <t>Sablefish HookLine</t>
  </si>
  <si>
    <t>shrimp trawl</t>
  </si>
  <si>
    <t>(1-sum)</t>
  </si>
  <si>
    <t>F Halibut HookLine</t>
  </si>
  <si>
    <t>F Crab Pots</t>
  </si>
  <si>
    <t>F Herring Fleet</t>
  </si>
  <si>
    <t>F Salmon Fleet</t>
  </si>
  <si>
    <t>F Subsistence FIshery</t>
  </si>
  <si>
    <t>F Flatfish Trawl</t>
  </si>
  <si>
    <t>F Other Groundfish Trawl</t>
  </si>
  <si>
    <t>F P. Cod HookLine</t>
  </si>
  <si>
    <t>F P. Cod Pot</t>
  </si>
  <si>
    <t>F P. Cod Trawl</t>
  </si>
  <si>
    <t>F Pollock Trawl</t>
  </si>
  <si>
    <t>F Rockfish Trawl</t>
  </si>
  <si>
    <t>F Sablefish HookLine</t>
  </si>
  <si>
    <t>F shrimp 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</si>
</sst>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1701"/>
      <name val="Arial"/>
      <family val="2"/>
    </font>
    <font>
      <sz val="12"/>
      <color theme="6" tint="-0.24994659260841701"/>
      <name val="Arial"/>
      <family val="2"/>
    </font>
    <font>
      <b/>
      <sz val="10"/>
      <name val="Verdana"/>
      <family val="2"/>
    </font>
  </fonts>
  <fills count="32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5801BD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57B550"/>
        <bgColor indexed="64"/>
      </patternFill>
    </fill>
    <fill>
      <patternFill patternType="solid">
        <fgColor rgb="FFCC2797"/>
        <bgColor indexed="64"/>
      </patternFill>
    </fill>
    <fill>
      <patternFill patternType="solid">
        <fgColor rgb="FFF43EF0"/>
        <bgColor indexed="64"/>
      </patternFill>
    </fill>
    <fill>
      <patternFill patternType="solid">
        <fgColor rgb="FF1DFBA1"/>
        <bgColor indexed="64"/>
      </patternFill>
    </fill>
    <fill>
      <patternFill patternType="solid">
        <fgColor rgb="FF99E693"/>
        <bgColor indexed="64"/>
      </patternFill>
    </fill>
    <fill>
      <patternFill patternType="solid">
        <fgColor rgb="FF3FDB13"/>
        <bgColor indexed="64"/>
      </patternFill>
    </fill>
    <fill>
      <patternFill patternType="solid">
        <fgColor rgb="FF70C23F"/>
        <bgColor indexed="64"/>
      </patternFill>
    </fill>
    <fill>
      <patternFill patternType="solid">
        <fgColor rgb="FF616586"/>
        <bgColor indexed="64"/>
      </patternFill>
    </fill>
    <fill>
      <patternFill patternType="solid">
        <fgColor rgb="FF459435"/>
        <bgColor indexed="64"/>
      </patternFill>
    </fill>
    <fill>
      <patternFill patternType="solid">
        <fgColor rgb="FF14E41C"/>
        <bgColor indexed="64"/>
      </patternFill>
    </fill>
    <fill>
      <patternFill patternType="solid">
        <fgColor rgb="FFA6E63B"/>
        <bgColor indexed="64"/>
      </patternFill>
    </fill>
    <fill>
      <patternFill patternType="solid">
        <fgColor rgb="FFF2D871"/>
        <bgColor indexed="64"/>
      </patternFill>
    </fill>
    <fill>
      <patternFill patternType="solid">
        <fgColor rgb="FF7DC4D5"/>
        <bgColor indexed="64"/>
      </patternFill>
    </fill>
    <fill>
      <patternFill patternType="solid">
        <fgColor rgb="FF623253"/>
        <bgColor indexed="64"/>
      </patternFill>
    </fill>
    <fill>
      <patternFill patternType="solid">
        <fgColor rgb="FF69279E"/>
        <bgColor indexed="64"/>
      </patternFill>
    </fill>
    <fill>
      <patternFill patternType="solid">
        <fgColor rgb="FF1934B1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2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5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6" borderId="2" xfId="0" applyFont="1" applyFill="1" applyBorder="1" applyAlignment="1">
      <alignment horizontal="center"/>
    </xf>
    <xf numFmtId="0" fontId="1" fillId="26" borderId="4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6" borderId="5" xfId="0" applyFill="1" applyBorder="1"/>
    <xf numFmtId="0" fontId="0" fillId="26" borderId="7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1" xfId="0" applyFill="1" applyBorder="1"/>
    <xf numFmtId="0" fontId="8" fillId="0" borderId="0" xfId="0" applyFont="1"/>
    <xf numFmtId="0" fontId="0" fillId="33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Font="1"/>
    <xf numFmtId="2" fontId="0" fillId="0" borderId="0" xfId="0" applyNumberFormat="1" applyFon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11" fillId="2" borderId="0" xfId="0" applyFont="1" applyFill="1"/>
    <xf numFmtId="0" fontId="12" fillId="0" borderId="0" xfId="0" applyFont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14" fillId="0" borderId="0" xfId="0" applyFont="1"/>
    <xf numFmtId="0" fontId="13" fillId="0" borderId="0" xfId="0" applyFont="1"/>
    <xf numFmtId="0" fontId="9" fillId="26" borderId="6" xfId="0" applyFont="1" applyFill="1" applyBorder="1"/>
    <xf numFmtId="0" fontId="12" fillId="0" borderId="0" xfId="0" applyFont="1" applyFill="1"/>
    <xf numFmtId="0" fontId="15" fillId="0" borderId="0" xfId="0" applyFont="1" applyFill="1"/>
    <xf numFmtId="0" fontId="11" fillId="0" borderId="0" xfId="0" applyFont="1" applyAlignment="1"/>
    <xf numFmtId="0" fontId="12" fillId="0" borderId="0" xfId="0" applyFont="1" applyAlignment="1"/>
    <xf numFmtId="0" fontId="11" fillId="2" borderId="0" xfId="0" applyFont="1" applyFill="1" applyAlignment="1"/>
    <xf numFmtId="0" fontId="11" fillId="0" borderId="0" xfId="0" applyFont="1" applyFill="1" applyAlignment="1"/>
    <xf numFmtId="0" fontId="11" fillId="0" borderId="0" xfId="0" applyFont="1"/>
    <xf numFmtId="0" fontId="11" fillId="0" borderId="0" xfId="0" applyFont="1" applyAlignment="1">
      <alignment horizontal="right"/>
    </xf>
    <xf numFmtId="2" fontId="11" fillId="0" borderId="12" xfId="0" applyNumberFormat="1" applyFont="1" applyBorder="1" applyAlignment="1">
      <alignment horizontal="center"/>
    </xf>
    <xf numFmtId="0" fontId="16" fillId="0" borderId="0" xfId="0" applyFont="1"/>
    <xf numFmtId="0" fontId="11" fillId="0" borderId="13" xfId="0" applyFont="1" applyBorder="1" applyAlignment="1">
      <alignment horizontal="center"/>
    </xf>
    <xf numFmtId="0" fontId="12" fillId="0" borderId="14" xfId="0" applyFont="1" applyBorder="1"/>
    <xf numFmtId="0" fontId="12" fillId="0" borderId="7" xfId="0" applyFont="1" applyBorder="1" applyAlignment="1">
      <alignment horizontal="right"/>
    </xf>
    <xf numFmtId="0" fontId="12" fillId="0" borderId="8" xfId="0" applyFont="1" applyBorder="1"/>
    <xf numFmtId="0" fontId="12" fillId="0" borderId="9" xfId="0" applyFont="1" applyBorder="1" applyAlignment="1">
      <alignment horizontal="right"/>
    </xf>
    <xf numFmtId="0" fontId="12" fillId="0" borderId="11" xfId="0" applyFont="1" applyBorder="1"/>
    <xf numFmtId="0" fontId="12" fillId="0" borderId="7" xfId="0" applyFont="1" applyFill="1" applyBorder="1" applyAlignment="1">
      <alignment horizontal="left"/>
    </xf>
    <xf numFmtId="0" fontId="10" fillId="0" borderId="0" xfId="0" applyFont="1" applyFill="1" applyAlignment="1">
      <alignment horizontal="left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Border="1"/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2" fillId="34" borderId="2" xfId="0" applyNumberFormat="1" applyFont="1" applyFill="1" applyBorder="1"/>
    <xf numFmtId="0" fontId="18" fillId="0" borderId="0" xfId="0" applyFont="1"/>
    <xf numFmtId="0" fontId="12" fillId="0" borderId="1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34" borderId="3" xfId="0" applyNumberFormat="1" applyFont="1" applyFill="1" applyBorder="1"/>
    <xf numFmtId="0" fontId="12" fillId="34" borderId="2" xfId="0" applyFont="1" applyFill="1" applyBorder="1"/>
    <xf numFmtId="0" fontId="12" fillId="34" borderId="3" xfId="0" applyFont="1" applyFill="1" applyBorder="1"/>
    <xf numFmtId="0" fontId="17" fillId="0" borderId="0" xfId="0" applyFont="1" applyAlignment="1">
      <alignment horizontal="left"/>
    </xf>
    <xf numFmtId="0" fontId="12" fillId="34" borderId="4" xfId="0" applyFont="1" applyFill="1" applyBorder="1"/>
    <xf numFmtId="0" fontId="12" fillId="0" borderId="15" xfId="0" applyFont="1" applyBorder="1"/>
    <xf numFmtId="0" fontId="11" fillId="0" borderId="23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2" fillId="0" borderId="17" xfId="0" applyFont="1" applyBorder="1"/>
    <xf numFmtId="0" fontId="19" fillId="0" borderId="18" xfId="0" applyFont="1" applyFill="1" applyBorder="1" applyAlignment="1">
      <alignment horizontal="right" wrapText="1"/>
    </xf>
    <xf numFmtId="0" fontId="12" fillId="0" borderId="16" xfId="0" applyFont="1" applyFill="1" applyBorder="1" applyAlignment="1">
      <alignment horizontal="right"/>
    </xf>
    <xf numFmtId="0" fontId="12" fillId="0" borderId="10" xfId="0" applyFont="1" applyBorder="1"/>
    <xf numFmtId="0" fontId="12" fillId="0" borderId="19" xfId="0" applyFont="1" applyBorder="1"/>
    <xf numFmtId="0" fontId="12" fillId="0" borderId="20" xfId="0" applyFont="1" applyBorder="1"/>
    <xf numFmtId="0" fontId="12" fillId="0" borderId="1" xfId="0" applyFont="1" applyBorder="1"/>
    <xf numFmtId="0" fontId="12" fillId="0" borderId="21" xfId="0" applyFont="1" applyBorder="1"/>
    <xf numFmtId="0" fontId="20" fillId="0" borderId="0" xfId="0" applyFont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0" xfId="0" applyFont="1"/>
    <xf numFmtId="0" fontId="20" fillId="0" borderId="0" xfId="0" applyFont="1" applyFill="1" applyAlignment="1">
      <alignment horizontal="center"/>
    </xf>
    <xf numFmtId="0" fontId="20" fillId="0" borderId="1" xfId="0" applyFont="1" applyFill="1" applyBorder="1" applyAlignment="1">
      <alignment horizontal="center"/>
    </xf>
    <xf numFmtId="0" fontId="20" fillId="0" borderId="0" xfId="0" applyFont="1" applyFill="1"/>
    <xf numFmtId="0" fontId="21" fillId="0" borderId="0" xfId="0" applyFont="1" applyAlignment="1">
      <alignment horizontal="left"/>
    </xf>
    <xf numFmtId="0" fontId="22" fillId="0" borderId="1" xfId="0" applyFont="1" applyBorder="1" applyAlignment="1">
      <alignment horizontal="center"/>
    </xf>
    <xf numFmtId="0" fontId="22" fillId="0" borderId="0" xfId="0" applyFont="1"/>
    <xf numFmtId="11" fontId="0" fillId="0" borderId="0" xfId="0" applyNumberFormat="1"/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/>
    <xf numFmtId="0" fontId="1" fillId="0" borderId="0" xfId="0" applyFont="1" applyAlignment="1">
      <alignment wrapText="1"/>
    </xf>
    <xf numFmtId="0" fontId="23" fillId="0" borderId="0" xfId="0" applyFont="1" applyAlignment="1">
      <alignment horizontal="center"/>
    </xf>
    <xf numFmtId="0" fontId="23" fillId="0" borderId="0" xfId="0" applyFont="1" applyFill="1" applyAlignment="1">
      <alignment horizontal="center"/>
    </xf>
    <xf numFmtId="0" fontId="23" fillId="31" borderId="0" xfId="0" applyFont="1" applyFill="1" applyAlignment="1">
      <alignment horizontal="center"/>
    </xf>
    <xf numFmtId="0" fontId="23" fillId="29" borderId="0" xfId="0" applyFont="1" applyFill="1" applyAlignment="1">
      <alignment horizontal="center"/>
    </xf>
    <xf numFmtId="0" fontId="23" fillId="30" borderId="0" xfId="0" applyFont="1" applyFill="1" applyAlignment="1">
      <alignment horizontal="center"/>
    </xf>
    <xf numFmtId="0" fontId="23" fillId="27" borderId="0" xfId="0" applyFont="1" applyFill="1" applyAlignment="1">
      <alignment horizontal="center"/>
    </xf>
    <xf numFmtId="0" fontId="23" fillId="28" borderId="0" xfId="0" applyFont="1" applyFill="1" applyAlignment="1">
      <alignment horizontal="center"/>
    </xf>
    <xf numFmtId="0" fontId="23" fillId="0" borderId="0" xfId="0" applyFont="1" applyFill="1" applyAlignment="1">
      <alignment horizontal="right"/>
    </xf>
    <xf numFmtId="0" fontId="0" fillId="26" borderId="2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6" borderId="3" xfId="0" applyFill="1" applyBorder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/>
    </xf>
    <xf numFmtId="0" fontId="0" fillId="104" borderId="0" xfId="0" applyFill="1"/>
    <xf numFmtId="0" fontId="1" fillId="2" borderId="0" xfId="0" applyFont="1" applyFill="1" applyBorder="1"/>
    <xf numFmtId="0" fontId="0" fillId="0" borderId="0" xfId="0" applyBorder="1" applyAlignment="1"/>
    <xf numFmtId="0" fontId="0" fillId="0" borderId="0" xfId="0" applyFill="1" applyBorder="1" applyAlignment="1"/>
    <xf numFmtId="0" fontId="0" fillId="34" borderId="0" xfId="0" applyFill="1"/>
    <xf numFmtId="0" fontId="0" fillId="105" borderId="0" xfId="0" applyFill="1"/>
    <xf numFmtId="0" fontId="8" fillId="0" borderId="0" xfId="0" applyFont="1" applyAlignment="1">
      <alignment horizontal="right"/>
    </xf>
    <xf numFmtId="0" fontId="0" fillId="106" borderId="0" xfId="0" applyFill="1"/>
    <xf numFmtId="0" fontId="0" fillId="0" borderId="0" xfId="0" applyAlignment="1">
      <alignment horizontal="left"/>
    </xf>
    <xf numFmtId="0" fontId="0" fillId="104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103" borderId="0" xfId="0" applyFill="1" applyAlignment="1">
      <alignment horizontal="left"/>
    </xf>
    <xf numFmtId="11" fontId="0" fillId="105" borderId="0" xfId="0" applyNumberFormat="1" applyFill="1"/>
    <xf numFmtId="11" fontId="0" fillId="0" borderId="0" xfId="0" applyNumberFormat="1" applyFill="1"/>
    <xf numFmtId="11" fontId="0" fillId="104" borderId="0" xfId="0" applyNumberFormat="1" applyFill="1"/>
    <xf numFmtId="11" fontId="0" fillId="106" borderId="0" xfId="0" applyNumberFormat="1" applyFill="1"/>
    <xf numFmtId="164" fontId="0" fillId="0" borderId="0" xfId="0" applyNumberFormat="1"/>
    <xf numFmtId="0" fontId="0" fillId="107" borderId="0" xfId="0" applyFill="1"/>
    <xf numFmtId="0" fontId="0" fillId="0" borderId="0" xfId="0" applyFill="1" applyBorder="1"/>
    <xf numFmtId="0" fontId="0" fillId="0" borderId="0" xfId="0" applyBorder="1"/>
    <xf numFmtId="0" fontId="0" fillId="104" borderId="0" xfId="0" applyFill="1" applyBorder="1"/>
    <xf numFmtId="0" fontId="0" fillId="108" borderId="0" xfId="0" applyFill="1" applyBorder="1" applyAlignment="1"/>
    <xf numFmtId="0" fontId="0" fillId="109" borderId="5" xfId="0" applyFill="1" applyBorder="1"/>
    <xf numFmtId="0" fontId="0" fillId="109" borderId="6" xfId="0" applyFill="1" applyBorder="1"/>
    <xf numFmtId="0" fontId="0" fillId="109" borderId="7" xfId="0" applyFill="1" applyBorder="1"/>
    <xf numFmtId="0" fontId="0" fillId="109" borderId="8" xfId="0" applyFill="1" applyBorder="1"/>
    <xf numFmtId="0" fontId="0" fillId="109" borderId="9" xfId="0" applyFill="1" applyBorder="1"/>
    <xf numFmtId="0" fontId="0" fillId="109" borderId="11" xfId="0" applyFill="1" applyBorder="1"/>
    <xf numFmtId="0" fontId="0" fillId="32" borderId="5" xfId="0" applyFill="1" applyBorder="1"/>
    <xf numFmtId="0" fontId="0" fillId="32" borderId="6" xfId="0" applyFill="1" applyBorder="1"/>
    <xf numFmtId="0" fontId="0" fillId="32" borderId="7" xfId="0" applyFill="1" applyBorder="1"/>
    <xf numFmtId="0" fontId="0" fillId="32" borderId="8" xfId="0" applyFill="1" applyBorder="1"/>
    <xf numFmtId="0" fontId="0" fillId="32" borderId="9" xfId="0" applyFill="1" applyBorder="1"/>
    <xf numFmtId="0" fontId="0" fillId="32" borderId="11" xfId="0" applyFill="1" applyBorder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9" fillId="0" borderId="0" xfId="0" applyFont="1" applyAlignment="1">
      <alignment horizontal="right"/>
    </xf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146</v>
      </c>
    </row>
    <row r="3" spans="2:4" x14ac:dyDescent="0.15">
      <c r="B3" t="s">
        <v>147</v>
      </c>
    </row>
    <row r="4" spans="2:4" x14ac:dyDescent="0.15">
      <c r="B4" s="56" t="s">
        <v>169</v>
      </c>
    </row>
    <row r="6" spans="2:4" ht="14" thickBot="1" x14ac:dyDescent="0.2">
      <c r="B6" s="43" t="s">
        <v>142</v>
      </c>
    </row>
    <row r="7" spans="2:4" x14ac:dyDescent="0.15">
      <c r="B7" s="56" t="s">
        <v>144</v>
      </c>
    </row>
    <row r="8" spans="2:4" x14ac:dyDescent="0.15">
      <c r="B8" s="56" t="s">
        <v>143</v>
      </c>
    </row>
    <row r="9" spans="2:4" x14ac:dyDescent="0.15">
      <c r="B9" s="56" t="s">
        <v>145</v>
      </c>
    </row>
    <row r="10" spans="2:4" x14ac:dyDescent="0.15">
      <c r="B10" s="56" t="s">
        <v>148</v>
      </c>
    </row>
    <row r="11" spans="2:4" x14ac:dyDescent="0.15">
      <c r="B11" s="56" t="s">
        <v>152</v>
      </c>
    </row>
    <row r="12" spans="2:4" x14ac:dyDescent="0.15">
      <c r="B12" s="56" t="s">
        <v>154</v>
      </c>
    </row>
    <row r="13" spans="2:4" x14ac:dyDescent="0.15">
      <c r="B13" s="56" t="s">
        <v>170</v>
      </c>
    </row>
    <row r="15" spans="2:4" ht="14" thickBot="1" x14ac:dyDescent="0.2"/>
    <row r="16" spans="2:4" ht="14" thickBot="1" x14ac:dyDescent="0.2">
      <c r="B16" s="44" t="s">
        <v>138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141</v>
      </c>
    </row>
    <row r="22" spans="2:4" ht="14" thickBot="1" x14ac:dyDescent="0.2"/>
    <row r="23" spans="2:4" ht="14" thickBot="1" x14ac:dyDescent="0.2">
      <c r="B23" s="44" t="s">
        <v>66</v>
      </c>
      <c r="C23" s="45"/>
      <c r="D23" s="27" t="s">
        <v>149</v>
      </c>
    </row>
    <row r="24" spans="2:4" x14ac:dyDescent="0.15">
      <c r="B24" s="49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68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63</v>
      </c>
      <c r="C32" s="30">
        <v>3.11</v>
      </c>
    </row>
    <row r="33" spans="2:3" x14ac:dyDescent="0.15">
      <c r="B33" s="46" t="s">
        <v>62</v>
      </c>
      <c r="C33" s="30">
        <v>3.12</v>
      </c>
    </row>
    <row r="34" spans="2:3" x14ac:dyDescent="0.15">
      <c r="B34" s="46" t="s">
        <v>69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67</v>
      </c>
      <c r="C36" s="30">
        <v>3.21</v>
      </c>
    </row>
    <row r="37" spans="2:3" x14ac:dyDescent="0.15">
      <c r="B37" s="46" t="s">
        <v>64</v>
      </c>
      <c r="C37" s="30">
        <v>3.22</v>
      </c>
    </row>
    <row r="38" spans="2:3" x14ac:dyDescent="0.15">
      <c r="B38" s="46" t="s">
        <v>70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65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72</v>
      </c>
      <c r="C42" s="30">
        <v>4.0999999999999996</v>
      </c>
    </row>
    <row r="43" spans="2:3" x14ac:dyDescent="0.15">
      <c r="B43" s="46" t="s">
        <v>71</v>
      </c>
      <c r="C43" s="30">
        <v>4.2</v>
      </c>
    </row>
    <row r="44" spans="2:3" x14ac:dyDescent="0.15">
      <c r="B44" s="46" t="s">
        <v>73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139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3" x14ac:dyDescent="0.15">
      <c r="B49" s="46" t="s">
        <v>44</v>
      </c>
      <c r="C49" s="30">
        <v>5</v>
      </c>
    </row>
    <row r="50" spans="2:3" x14ac:dyDescent="0.15">
      <c r="B50" s="46"/>
      <c r="C50" s="30"/>
    </row>
    <row r="51" spans="2:3" ht="14" thickBot="1" x14ac:dyDescent="0.2">
      <c r="B51" s="47" t="s">
        <v>74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11"/>
  <sheetViews>
    <sheetView topLeftCell="A107" workbookViewId="0">
      <selection activeCell="P7" sqref="P7"/>
    </sheetView>
  </sheetViews>
  <sheetFormatPr baseColWidth="10" defaultColWidth="8.83203125" defaultRowHeight="15" customHeight="1" x14ac:dyDescent="0.2"/>
  <cols>
    <col min="1" max="1" width="22.5" style="79" customWidth="1"/>
    <col min="2" max="2" width="7.6640625" style="79" customWidth="1"/>
    <col min="3" max="3" width="8.83203125" style="79"/>
    <col min="4" max="4" width="14.33203125" style="79" customWidth="1"/>
    <col min="5" max="5" width="41.83203125" style="79" bestFit="1" customWidth="1"/>
    <col min="6" max="6" width="9.5" style="79" bestFit="1" customWidth="1"/>
    <col min="7" max="7" width="8.1640625" style="79" bestFit="1" customWidth="1"/>
    <col min="8" max="9" width="8.83203125" style="79"/>
    <col min="10" max="10" width="9.1640625" style="79" bestFit="1" customWidth="1"/>
    <col min="11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8.83203125" customWidth="1"/>
    <col min="39" max="39" width="8.83203125" customWidth="1"/>
    <col min="50" max="16384" width="8.83203125" style="79"/>
  </cols>
  <sheetData>
    <row r="1" spans="1:49" s="89" customFormat="1" ht="15" customHeight="1" x14ac:dyDescent="0.2">
      <c r="A1" s="88" t="s">
        <v>18</v>
      </c>
      <c r="C1" s="90" t="s">
        <v>8</v>
      </c>
      <c r="D1" s="88" t="s">
        <v>23</v>
      </c>
      <c r="E1" s="88" t="s">
        <v>0</v>
      </c>
      <c r="F1" s="88" t="s">
        <v>7</v>
      </c>
      <c r="G1" s="91" t="s">
        <v>13</v>
      </c>
      <c r="H1" s="88" t="s">
        <v>1</v>
      </c>
      <c r="I1" s="88" t="s">
        <v>2</v>
      </c>
      <c r="J1" s="88" t="s">
        <v>14</v>
      </c>
      <c r="K1" s="88" t="s">
        <v>3</v>
      </c>
      <c r="L1" s="88" t="s">
        <v>4</v>
      </c>
      <c r="M1" s="88" t="s">
        <v>5</v>
      </c>
      <c r="N1" s="88" t="s">
        <v>6</v>
      </c>
      <c r="O1" s="79"/>
      <c r="P1" s="87" t="s">
        <v>176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5" customHeight="1" x14ac:dyDescent="0.2">
      <c r="C2">
        <v>1</v>
      </c>
      <c r="D2"/>
      <c r="E2" t="s">
        <v>225</v>
      </c>
      <c r="F2">
        <v>0</v>
      </c>
      <c r="G2" s="138">
        <v>1.3941109999999999E-4</v>
      </c>
      <c r="H2">
        <v>2.5420910000000001E-2</v>
      </c>
      <c r="I2">
        <v>11.156929999999999</v>
      </c>
      <c r="J2"/>
      <c r="K2"/>
      <c r="L2">
        <v>0</v>
      </c>
      <c r="M2">
        <v>0.2</v>
      </c>
      <c r="N2">
        <v>0</v>
      </c>
      <c r="O2"/>
      <c r="P2"/>
    </row>
    <row r="3" spans="1:49" ht="15" customHeight="1" x14ac:dyDescent="0.2">
      <c r="A3" s="92" t="s">
        <v>9</v>
      </c>
      <c r="B3" s="78">
        <v>118</v>
      </c>
      <c r="C3">
        <f>C2+1</f>
        <v>2</v>
      </c>
      <c r="D3"/>
      <c r="E3" t="s">
        <v>226</v>
      </c>
      <c r="F3">
        <v>0</v>
      </c>
      <c r="G3" s="138">
        <v>4.0686519999999997E-2</v>
      </c>
      <c r="H3">
        <v>4.6899999999999997E-2</v>
      </c>
      <c r="I3">
        <v>6.6094229999999996</v>
      </c>
      <c r="J3"/>
      <c r="K3"/>
      <c r="L3">
        <v>0</v>
      </c>
      <c r="M3">
        <v>0.2</v>
      </c>
      <c r="N3">
        <v>0</v>
      </c>
      <c r="O3"/>
      <c r="P3"/>
    </row>
    <row r="4" spans="1:49" ht="15" customHeight="1" x14ac:dyDescent="0.2">
      <c r="A4" s="92" t="s">
        <v>10</v>
      </c>
      <c r="B4" s="78">
        <v>4</v>
      </c>
      <c r="C4">
        <f t="shared" ref="C4:C67" si="0">C3+1</f>
        <v>3</v>
      </c>
      <c r="D4"/>
      <c r="E4" t="s">
        <v>227</v>
      </c>
      <c r="F4">
        <v>0</v>
      </c>
      <c r="G4" s="138">
        <v>1.3931600000000001E-3</v>
      </c>
      <c r="H4">
        <v>2.5420910000000001E-2</v>
      </c>
      <c r="I4">
        <v>11.156929999999999</v>
      </c>
      <c r="J4"/>
      <c r="K4"/>
      <c r="L4">
        <v>0</v>
      </c>
      <c r="M4">
        <v>0.2</v>
      </c>
      <c r="N4">
        <v>0</v>
      </c>
      <c r="O4"/>
      <c r="P4"/>
      <c r="V4" s="92" t="s">
        <v>29</v>
      </c>
    </row>
    <row r="5" spans="1:49" ht="15" customHeight="1" thickBot="1" x14ac:dyDescent="0.25">
      <c r="A5" s="92" t="s">
        <v>11</v>
      </c>
      <c r="B5" s="78">
        <v>14</v>
      </c>
      <c r="C5">
        <f t="shared" si="0"/>
        <v>4</v>
      </c>
      <c r="D5"/>
      <c r="E5" t="s">
        <v>228</v>
      </c>
      <c r="F5">
        <v>0</v>
      </c>
      <c r="G5" s="138">
        <v>1.562419E-2</v>
      </c>
      <c r="H5">
        <v>0.05</v>
      </c>
      <c r="I5">
        <v>30</v>
      </c>
      <c r="J5"/>
      <c r="K5"/>
      <c r="L5">
        <v>0</v>
      </c>
      <c r="M5">
        <v>0.2</v>
      </c>
      <c r="N5">
        <v>0</v>
      </c>
      <c r="O5"/>
      <c r="P5"/>
      <c r="Q5" s="86"/>
      <c r="R5" s="86"/>
    </row>
    <row r="6" spans="1:49" ht="15" customHeight="1" thickBot="1" x14ac:dyDescent="0.25">
      <c r="B6" s="92"/>
      <c r="C6">
        <f t="shared" si="0"/>
        <v>5</v>
      </c>
      <c r="D6"/>
      <c r="E6" t="s">
        <v>229</v>
      </c>
      <c r="F6">
        <v>0</v>
      </c>
      <c r="G6" s="138">
        <v>5.1689329999999999E-2</v>
      </c>
      <c r="H6">
        <v>6.3365000000000005E-2</v>
      </c>
      <c r="I6">
        <v>8.8728499999999997</v>
      </c>
      <c r="J6"/>
      <c r="K6"/>
      <c r="L6">
        <v>0</v>
      </c>
      <c r="M6">
        <v>0.2</v>
      </c>
      <c r="N6">
        <v>0</v>
      </c>
      <c r="O6"/>
      <c r="P6"/>
      <c r="Q6" s="86"/>
      <c r="R6" s="86"/>
      <c r="W6" s="93" t="s">
        <v>31</v>
      </c>
      <c r="X6" s="94">
        <f>MAX(MainOutputs!G:G)</f>
        <v>0.95059162378311157</v>
      </c>
    </row>
    <row r="7" spans="1:49" ht="15" customHeight="1" x14ac:dyDescent="0.2">
      <c r="A7" s="95" t="s">
        <v>27</v>
      </c>
      <c r="B7" s="79">
        <f ca="1">COUNTIF(OFFSET(cornerDiets,1,1,NumLiving+NumDead+1,NumLiving+NumDead),"&gt;0")+NumLiving+NumDead+1</f>
        <v>1960</v>
      </c>
      <c r="C7">
        <f t="shared" si="0"/>
        <v>6</v>
      </c>
      <c r="D7"/>
      <c r="E7" t="s">
        <v>230</v>
      </c>
      <c r="F7">
        <v>0</v>
      </c>
      <c r="G7">
        <v>0.1663384</v>
      </c>
      <c r="H7">
        <v>3.7701869999999998E-2</v>
      </c>
      <c r="I7">
        <v>7.5772050000000002</v>
      </c>
      <c r="J7"/>
      <c r="K7"/>
      <c r="L7">
        <v>0</v>
      </c>
      <c r="M7">
        <v>0.2</v>
      </c>
      <c r="N7">
        <v>0</v>
      </c>
      <c r="O7"/>
      <c r="P7"/>
      <c r="Q7" s="86"/>
      <c r="R7" s="86"/>
    </row>
    <row r="8" spans="1:49" ht="15" customHeight="1" x14ac:dyDescent="0.2">
      <c r="A8" s="95" t="s">
        <v>28</v>
      </c>
      <c r="B8" s="79">
        <f ca="1">COUNTIF(OFFSET(cornerFishing,1,2,NumLiving+NumDead,NumGears),"&gt;0")+NumDead*COUNTIF(OFFSET(cornerDiscards,1,2,NumLiving+NumDead,NumGears),"&gt;0")+NumLiving+NumDead+1</f>
        <v>2351</v>
      </c>
      <c r="C8">
        <f t="shared" si="0"/>
        <v>7</v>
      </c>
      <c r="D8"/>
      <c r="E8" t="s">
        <v>231</v>
      </c>
      <c r="F8">
        <v>0</v>
      </c>
      <c r="G8">
        <v>0.32651530000000001</v>
      </c>
      <c r="H8">
        <v>2.6675999999999998E-2</v>
      </c>
      <c r="I8">
        <v>6.5168559999999998</v>
      </c>
      <c r="J8"/>
      <c r="K8"/>
      <c r="L8">
        <v>0</v>
      </c>
      <c r="M8">
        <v>0.2</v>
      </c>
      <c r="N8">
        <v>0</v>
      </c>
      <c r="O8"/>
      <c r="P8"/>
      <c r="Q8" s="86"/>
      <c r="R8" s="86"/>
    </row>
    <row r="9" spans="1:49" ht="15" customHeight="1" x14ac:dyDescent="0.2">
      <c r="B9" s="92"/>
      <c r="C9">
        <f t="shared" si="0"/>
        <v>8</v>
      </c>
      <c r="D9"/>
      <c r="E9" t="s">
        <v>232</v>
      </c>
      <c r="F9">
        <v>0</v>
      </c>
      <c r="G9" s="138">
        <v>7.7717869999999996E-3</v>
      </c>
      <c r="H9">
        <v>4.0015000000000002E-2</v>
      </c>
      <c r="I9">
        <v>8.7879330000000007</v>
      </c>
      <c r="J9"/>
      <c r="K9"/>
      <c r="L9">
        <v>0</v>
      </c>
      <c r="M9">
        <v>0.2</v>
      </c>
      <c r="N9">
        <v>0</v>
      </c>
      <c r="O9"/>
      <c r="P9"/>
      <c r="Q9" s="86"/>
      <c r="R9" s="86"/>
    </row>
    <row r="10" spans="1:49" ht="15" customHeight="1" x14ac:dyDescent="0.2">
      <c r="B10" s="92"/>
      <c r="C10">
        <f t="shared" si="0"/>
        <v>9</v>
      </c>
      <c r="D10"/>
      <c r="E10" t="s">
        <v>233</v>
      </c>
      <c r="F10">
        <v>0</v>
      </c>
      <c r="G10" s="138">
        <v>3.3149020000000002E-3</v>
      </c>
      <c r="H10">
        <v>3.2778000000000002E-2</v>
      </c>
      <c r="I10">
        <v>8</v>
      </c>
      <c r="J10"/>
      <c r="K10"/>
      <c r="L10">
        <v>0</v>
      </c>
      <c r="M10">
        <v>0.2</v>
      </c>
      <c r="N10">
        <v>0</v>
      </c>
      <c r="O10"/>
      <c r="P10"/>
    </row>
    <row r="11" spans="1:49" ht="15" customHeight="1" x14ac:dyDescent="0.2">
      <c r="C11">
        <f t="shared" si="0"/>
        <v>10</v>
      </c>
      <c r="D11"/>
      <c r="E11" t="s">
        <v>234</v>
      </c>
      <c r="F11">
        <v>0</v>
      </c>
      <c r="G11" s="138">
        <v>2.4056590000000001E-3</v>
      </c>
      <c r="H11">
        <v>5.1140999999999999E-2</v>
      </c>
      <c r="I11">
        <v>7.7819849999999997</v>
      </c>
      <c r="J11"/>
      <c r="K11"/>
      <c r="L11">
        <v>0</v>
      </c>
      <c r="M11">
        <v>0.2</v>
      </c>
      <c r="N11">
        <v>0</v>
      </c>
      <c r="O11"/>
      <c r="P11"/>
    </row>
    <row r="12" spans="1:49" ht="15" customHeight="1" x14ac:dyDescent="0.2">
      <c r="C12">
        <f t="shared" si="0"/>
        <v>11</v>
      </c>
      <c r="D12"/>
      <c r="E12" t="s">
        <v>235</v>
      </c>
      <c r="F12">
        <v>0</v>
      </c>
      <c r="G12" s="138">
        <v>3.2187560000000001E-3</v>
      </c>
      <c r="H12">
        <v>0.11686299999999999</v>
      </c>
      <c r="I12">
        <v>73</v>
      </c>
      <c r="J12"/>
      <c r="K12"/>
      <c r="L12">
        <v>0</v>
      </c>
      <c r="M12">
        <v>0.2</v>
      </c>
      <c r="N12">
        <v>0</v>
      </c>
      <c r="O12"/>
      <c r="P12"/>
    </row>
    <row r="13" spans="1:49" ht="15" customHeight="1" x14ac:dyDescent="0.2">
      <c r="C13">
        <f t="shared" si="0"/>
        <v>12</v>
      </c>
      <c r="D13"/>
      <c r="E13" t="s">
        <v>236</v>
      </c>
      <c r="F13">
        <v>0</v>
      </c>
      <c r="G13" s="138">
        <v>3.367302E-4</v>
      </c>
      <c r="H13">
        <v>0.39886500000000003</v>
      </c>
      <c r="I13">
        <v>84.094229999999996</v>
      </c>
      <c r="J13"/>
      <c r="K13"/>
      <c r="L13">
        <v>0</v>
      </c>
      <c r="M13">
        <v>0.2</v>
      </c>
      <c r="N13">
        <v>0</v>
      </c>
      <c r="O13"/>
      <c r="P13"/>
    </row>
    <row r="14" spans="1:49" ht="15" customHeight="1" x14ac:dyDescent="0.2">
      <c r="C14">
        <f t="shared" si="0"/>
        <v>13</v>
      </c>
      <c r="D14"/>
      <c r="E14" t="s">
        <v>237</v>
      </c>
      <c r="F14">
        <v>0</v>
      </c>
      <c r="G14" s="138">
        <v>1.0322130000000001E-2</v>
      </c>
      <c r="H14">
        <v>9.6587999999999993E-2</v>
      </c>
      <c r="I14">
        <v>39.030329999999999</v>
      </c>
      <c r="J14"/>
      <c r="K14"/>
      <c r="L14">
        <v>0</v>
      </c>
      <c r="M14">
        <v>0.2</v>
      </c>
      <c r="N14">
        <v>0</v>
      </c>
      <c r="O14"/>
      <c r="P14"/>
    </row>
    <row r="15" spans="1:49" ht="15" customHeight="1" x14ac:dyDescent="0.2">
      <c r="C15">
        <f t="shared" si="0"/>
        <v>14</v>
      </c>
      <c r="D15"/>
      <c r="E15" t="s">
        <v>238</v>
      </c>
      <c r="F15">
        <v>0</v>
      </c>
      <c r="G15" s="138">
        <v>1.6364980000000001E-4</v>
      </c>
      <c r="H15">
        <v>0.49401149999999999</v>
      </c>
      <c r="I15">
        <v>56.344329999999999</v>
      </c>
      <c r="J15"/>
      <c r="K15"/>
      <c r="L15">
        <v>0</v>
      </c>
      <c r="M15">
        <v>0.2</v>
      </c>
      <c r="N15">
        <v>0</v>
      </c>
      <c r="O15"/>
      <c r="P15"/>
    </row>
    <row r="16" spans="1:49" ht="15" customHeight="1" x14ac:dyDescent="0.2">
      <c r="C16">
        <f t="shared" si="0"/>
        <v>15</v>
      </c>
      <c r="D16"/>
      <c r="E16" t="s">
        <v>239</v>
      </c>
      <c r="F16">
        <v>0</v>
      </c>
      <c r="G16" s="138">
        <v>1.027105E-2</v>
      </c>
      <c r="H16">
        <v>0.10979360000000001</v>
      </c>
      <c r="I16">
        <v>24.074149999999999</v>
      </c>
      <c r="J16"/>
      <c r="K16"/>
      <c r="L16">
        <v>0</v>
      </c>
      <c r="M16">
        <v>0.2</v>
      </c>
      <c r="N16">
        <v>0</v>
      </c>
      <c r="O16"/>
      <c r="P16"/>
    </row>
    <row r="17" spans="1:22" ht="15" customHeight="1" x14ac:dyDescent="0.2">
      <c r="C17">
        <f t="shared" si="0"/>
        <v>16</v>
      </c>
      <c r="D17"/>
      <c r="E17" t="s">
        <v>240</v>
      </c>
      <c r="F17">
        <v>0</v>
      </c>
      <c r="G17" s="138">
        <v>3.3892689999999999E-3</v>
      </c>
      <c r="H17">
        <v>8.2653000000000004E-2</v>
      </c>
      <c r="I17">
        <v>17.439080000000001</v>
      </c>
      <c r="J17"/>
      <c r="K17"/>
      <c r="L17">
        <v>0</v>
      </c>
      <c r="M17">
        <v>0.2</v>
      </c>
      <c r="N17">
        <v>0</v>
      </c>
      <c r="O17"/>
      <c r="P17"/>
      <c r="V17" s="92" t="s">
        <v>30</v>
      </c>
    </row>
    <row r="18" spans="1:22" ht="15" customHeight="1" x14ac:dyDescent="0.2">
      <c r="C18">
        <f t="shared" si="0"/>
        <v>17</v>
      </c>
      <c r="D18"/>
      <c r="E18" t="s">
        <v>241</v>
      </c>
      <c r="F18">
        <v>0</v>
      </c>
      <c r="G18" s="138">
        <v>1.3020760000000001E-4</v>
      </c>
      <c r="H18">
        <v>0.1</v>
      </c>
      <c r="I18">
        <v>73</v>
      </c>
      <c r="J18"/>
      <c r="K18"/>
      <c r="L18">
        <v>0</v>
      </c>
      <c r="M18">
        <v>0.2</v>
      </c>
      <c r="N18">
        <v>0</v>
      </c>
      <c r="O18"/>
      <c r="P18"/>
      <c r="V18" s="92"/>
    </row>
    <row r="19" spans="1:22" ht="15" customHeight="1" x14ac:dyDescent="0.2">
      <c r="C19">
        <f t="shared" si="0"/>
        <v>18</v>
      </c>
      <c r="D19"/>
      <c r="E19" t="s">
        <v>242</v>
      </c>
      <c r="F19">
        <v>0</v>
      </c>
      <c r="G19" s="138">
        <v>7.4526929999999998E-3</v>
      </c>
      <c r="H19">
        <v>0.16948769999999999</v>
      </c>
      <c r="I19">
        <v>72</v>
      </c>
      <c r="J19"/>
      <c r="K19"/>
      <c r="L19">
        <v>0</v>
      </c>
      <c r="M19">
        <v>0.2</v>
      </c>
      <c r="N19">
        <v>0</v>
      </c>
      <c r="O19"/>
      <c r="P19"/>
    </row>
    <row r="20" spans="1:22" ht="15" customHeight="1" thickBot="1" x14ac:dyDescent="0.25">
      <c r="C20">
        <f t="shared" si="0"/>
        <v>19</v>
      </c>
      <c r="D20"/>
      <c r="E20" t="s">
        <v>243</v>
      </c>
      <c r="F20">
        <v>0</v>
      </c>
      <c r="G20" s="138">
        <v>9.005231E-4</v>
      </c>
      <c r="H20">
        <v>7.6881039999999998E-2</v>
      </c>
      <c r="I20">
        <v>110</v>
      </c>
      <c r="J20"/>
      <c r="K20"/>
      <c r="L20">
        <v>0</v>
      </c>
      <c r="M20">
        <v>0.2</v>
      </c>
      <c r="N20">
        <v>0</v>
      </c>
      <c r="O20"/>
      <c r="P20"/>
    </row>
    <row r="21" spans="1:22" ht="15" customHeight="1" thickBot="1" x14ac:dyDescent="0.25">
      <c r="A21" s="96" t="s">
        <v>138</v>
      </c>
      <c r="B21" s="97"/>
      <c r="C21">
        <f t="shared" si="0"/>
        <v>20</v>
      </c>
      <c r="D21"/>
      <c r="E21" t="s">
        <v>244</v>
      </c>
      <c r="F21">
        <v>0</v>
      </c>
      <c r="G21" s="138">
        <v>7.4606890000000005E-5</v>
      </c>
      <c r="H21">
        <v>0.16948769999999999</v>
      </c>
      <c r="I21">
        <v>110</v>
      </c>
      <c r="J21"/>
      <c r="K21"/>
      <c r="L21">
        <v>0</v>
      </c>
      <c r="M21">
        <v>0.2</v>
      </c>
      <c r="N21">
        <v>0</v>
      </c>
      <c r="O21"/>
      <c r="P21"/>
    </row>
    <row r="22" spans="1:22" ht="15" customHeight="1" x14ac:dyDescent="0.2">
      <c r="A22" s="98" t="s">
        <v>58</v>
      </c>
      <c r="B22" s="99">
        <v>0</v>
      </c>
      <c r="C22">
        <f t="shared" si="0"/>
        <v>21</v>
      </c>
      <c r="D22"/>
      <c r="E22" t="s">
        <v>245</v>
      </c>
      <c r="F22">
        <v>0</v>
      </c>
      <c r="G22" s="138">
        <v>3.8335109999999999E-3</v>
      </c>
      <c r="H22">
        <v>0.04</v>
      </c>
      <c r="I22">
        <v>73</v>
      </c>
      <c r="J22"/>
      <c r="K22"/>
      <c r="L22">
        <v>0</v>
      </c>
      <c r="M22">
        <v>0.2</v>
      </c>
      <c r="N22">
        <v>0</v>
      </c>
      <c r="O22"/>
      <c r="P22"/>
    </row>
    <row r="23" spans="1:22" ht="15" customHeight="1" x14ac:dyDescent="0.2">
      <c r="A23" s="98" t="s">
        <v>59</v>
      </c>
      <c r="B23" s="99">
        <v>1</v>
      </c>
      <c r="C23">
        <f t="shared" si="0"/>
        <v>22</v>
      </c>
      <c r="D23"/>
      <c r="E23" t="s">
        <v>246</v>
      </c>
      <c r="F23">
        <v>0</v>
      </c>
      <c r="G23" s="138">
        <v>1.4122620000000001E-3</v>
      </c>
      <c r="H23">
        <v>5.5E-2</v>
      </c>
      <c r="I23">
        <v>73</v>
      </c>
      <c r="J23"/>
      <c r="K23"/>
      <c r="L23">
        <v>0</v>
      </c>
      <c r="M23">
        <v>0.2</v>
      </c>
      <c r="N23">
        <v>0</v>
      </c>
      <c r="O23"/>
      <c r="P23"/>
    </row>
    <row r="24" spans="1:22" ht="15" customHeight="1" x14ac:dyDescent="0.2">
      <c r="A24" s="98" t="s">
        <v>60</v>
      </c>
      <c r="B24" s="99">
        <v>2</v>
      </c>
      <c r="C24">
        <f t="shared" si="0"/>
        <v>23</v>
      </c>
      <c r="D24"/>
      <c r="E24" t="s">
        <v>247</v>
      </c>
      <c r="F24">
        <v>0</v>
      </c>
      <c r="G24" s="138">
        <v>1.3020760000000001E-4</v>
      </c>
      <c r="H24">
        <v>0.12</v>
      </c>
      <c r="I24">
        <v>144</v>
      </c>
      <c r="J24"/>
      <c r="K24"/>
      <c r="L24">
        <v>0</v>
      </c>
      <c r="M24">
        <v>0.2</v>
      </c>
      <c r="N24">
        <v>0</v>
      </c>
      <c r="O24"/>
      <c r="P24"/>
    </row>
    <row r="25" spans="1:22" ht="15" customHeight="1" thickBot="1" x14ac:dyDescent="0.25">
      <c r="A25" s="100" t="s">
        <v>44</v>
      </c>
      <c r="B25" s="101">
        <v>3</v>
      </c>
      <c r="C25">
        <f t="shared" si="0"/>
        <v>24</v>
      </c>
      <c r="D25"/>
      <c r="E25" t="s">
        <v>248</v>
      </c>
      <c r="F25">
        <v>0</v>
      </c>
      <c r="G25" s="138">
        <v>2.5815460000000001E-4</v>
      </c>
      <c r="H25">
        <v>0.15872710000000001</v>
      </c>
      <c r="I25">
        <v>73</v>
      </c>
      <c r="J25"/>
      <c r="K25"/>
      <c r="L25">
        <v>0</v>
      </c>
      <c r="M25">
        <v>0.2</v>
      </c>
      <c r="N25">
        <v>0</v>
      </c>
      <c r="O25"/>
      <c r="P25"/>
    </row>
    <row r="26" spans="1:22" ht="15" customHeight="1" x14ac:dyDescent="0.2">
      <c r="A26" s="102" t="s">
        <v>141</v>
      </c>
      <c r="C26">
        <f t="shared" si="0"/>
        <v>25</v>
      </c>
      <c r="D26"/>
      <c r="E26" t="s">
        <v>249</v>
      </c>
      <c r="F26">
        <v>0</v>
      </c>
      <c r="G26" s="138">
        <v>4.1351309999999999E-4</v>
      </c>
      <c r="H26">
        <v>0.16578219999999999</v>
      </c>
      <c r="I26">
        <v>73</v>
      </c>
      <c r="J26"/>
      <c r="K26"/>
      <c r="L26">
        <v>0</v>
      </c>
      <c r="M26">
        <v>0.2</v>
      </c>
      <c r="N26">
        <v>0</v>
      </c>
      <c r="O26"/>
      <c r="P26"/>
    </row>
    <row r="27" spans="1:22" ht="15" customHeight="1" x14ac:dyDescent="0.2">
      <c r="C27">
        <f t="shared" si="0"/>
        <v>26</v>
      </c>
      <c r="D27"/>
      <c r="E27" t="s">
        <v>250</v>
      </c>
      <c r="F27">
        <v>0</v>
      </c>
      <c r="G27" s="138">
        <v>1.3020760000000001E-4</v>
      </c>
      <c r="H27">
        <v>6.7566340000000003E-2</v>
      </c>
      <c r="I27">
        <v>75</v>
      </c>
      <c r="J27"/>
      <c r="K27"/>
      <c r="L27">
        <v>0</v>
      </c>
      <c r="M27">
        <v>0.2</v>
      </c>
      <c r="N27">
        <v>0</v>
      </c>
      <c r="O27"/>
      <c r="P27"/>
    </row>
    <row r="28" spans="1:22" ht="15" customHeight="1" x14ac:dyDescent="0.2">
      <c r="C28">
        <f t="shared" si="0"/>
        <v>27</v>
      </c>
      <c r="D28"/>
      <c r="E28" t="s">
        <v>251</v>
      </c>
      <c r="F28">
        <v>0</v>
      </c>
      <c r="G28">
        <v>1.7676500000000001E-2</v>
      </c>
      <c r="H28">
        <v>0.1</v>
      </c>
      <c r="I28">
        <v>3</v>
      </c>
      <c r="J28"/>
      <c r="K28"/>
      <c r="L28">
        <v>0</v>
      </c>
      <c r="M28">
        <v>0.2</v>
      </c>
      <c r="N28">
        <v>0</v>
      </c>
      <c r="O28"/>
      <c r="P28"/>
    </row>
    <row r="29" spans="1:22" ht="15" customHeight="1" x14ac:dyDescent="0.2">
      <c r="C29">
        <f t="shared" si="0"/>
        <v>28</v>
      </c>
      <c r="D29"/>
      <c r="E29" t="s">
        <v>252</v>
      </c>
      <c r="F29">
        <v>0</v>
      </c>
      <c r="G29" s="138">
        <v>3.4645809999999999E-2</v>
      </c>
      <c r="H29">
        <v>0.1</v>
      </c>
      <c r="I29">
        <v>6</v>
      </c>
      <c r="J29"/>
      <c r="K29"/>
      <c r="L29">
        <v>0</v>
      </c>
      <c r="M29">
        <v>0.2</v>
      </c>
      <c r="N29">
        <v>0</v>
      </c>
      <c r="O29"/>
      <c r="P29"/>
    </row>
    <row r="30" spans="1:22" ht="15" customHeight="1" x14ac:dyDescent="0.2">
      <c r="C30">
        <f t="shared" si="0"/>
        <v>29</v>
      </c>
      <c r="D30"/>
      <c r="E30" t="s">
        <v>253</v>
      </c>
      <c r="F30">
        <v>0</v>
      </c>
      <c r="G30" s="138">
        <v>9.0241680000000005E-2</v>
      </c>
      <c r="H30">
        <v>0.1</v>
      </c>
      <c r="I30">
        <v>3</v>
      </c>
      <c r="J30"/>
      <c r="K30"/>
      <c r="L30">
        <v>0</v>
      </c>
      <c r="M30">
        <v>0.2</v>
      </c>
      <c r="N30">
        <v>0</v>
      </c>
      <c r="O30"/>
      <c r="P30"/>
    </row>
    <row r="31" spans="1:22" ht="15" customHeight="1" x14ac:dyDescent="0.2">
      <c r="C31">
        <f t="shared" si="0"/>
        <v>30</v>
      </c>
      <c r="D31"/>
      <c r="E31" t="s">
        <v>254</v>
      </c>
      <c r="F31">
        <v>0</v>
      </c>
      <c r="G31">
        <v>1.071815</v>
      </c>
      <c r="H31">
        <v>2.1</v>
      </c>
      <c r="I31">
        <v>11.46551</v>
      </c>
      <c r="J31"/>
      <c r="K31"/>
      <c r="L31">
        <v>0</v>
      </c>
      <c r="M31">
        <v>0.2</v>
      </c>
      <c r="N31">
        <v>0</v>
      </c>
      <c r="O31"/>
      <c r="P31"/>
    </row>
    <row r="32" spans="1:22" ht="15" customHeight="1" x14ac:dyDescent="0.2">
      <c r="C32">
        <f t="shared" si="0"/>
        <v>31</v>
      </c>
      <c r="D32"/>
      <c r="E32" t="s">
        <v>177</v>
      </c>
      <c r="F32">
        <v>0</v>
      </c>
      <c r="G32">
        <v>7.4773110000000003</v>
      </c>
      <c r="H32">
        <v>0.42499999999999999</v>
      </c>
      <c r="I32">
        <v>3.78</v>
      </c>
      <c r="J32"/>
      <c r="K32"/>
      <c r="L32">
        <v>0</v>
      </c>
      <c r="M32">
        <v>0.2</v>
      </c>
      <c r="N32">
        <v>0</v>
      </c>
      <c r="O32" s="56" t="s">
        <v>188</v>
      </c>
      <c r="P32"/>
    </row>
    <row r="33" spans="3:16" ht="15" customHeight="1" x14ac:dyDescent="0.2">
      <c r="C33">
        <f t="shared" si="0"/>
        <v>32</v>
      </c>
      <c r="D33"/>
      <c r="E33" t="s">
        <v>255</v>
      </c>
      <c r="F33">
        <v>0</v>
      </c>
      <c r="G33">
        <v>0.14724860000000001</v>
      </c>
      <c r="H33">
        <v>2.0262880000000001</v>
      </c>
      <c r="I33">
        <v>8.4143019999999993</v>
      </c>
      <c r="J33"/>
      <c r="K33"/>
      <c r="L33">
        <v>0</v>
      </c>
      <c r="M33">
        <v>0.2</v>
      </c>
      <c r="N33">
        <v>0</v>
      </c>
      <c r="O33"/>
      <c r="P33"/>
    </row>
    <row r="34" spans="3:16" ht="15" customHeight="1" x14ac:dyDescent="0.2">
      <c r="C34">
        <f t="shared" si="0"/>
        <v>33</v>
      </c>
      <c r="D34"/>
      <c r="E34" t="s">
        <v>256</v>
      </c>
      <c r="F34">
        <v>0</v>
      </c>
      <c r="G34">
        <v>1.5688359999999999</v>
      </c>
      <c r="H34">
        <v>0.42</v>
      </c>
      <c r="I34">
        <v>2.19</v>
      </c>
      <c r="J34"/>
      <c r="K34"/>
      <c r="L34">
        <v>0</v>
      </c>
      <c r="M34">
        <v>0.2</v>
      </c>
      <c r="N34">
        <v>0</v>
      </c>
      <c r="O34"/>
      <c r="P34"/>
    </row>
    <row r="35" spans="3:16" ht="15" customHeight="1" x14ac:dyDescent="0.2">
      <c r="C35">
        <f t="shared" si="0"/>
        <v>34</v>
      </c>
      <c r="D35"/>
      <c r="E35" t="s">
        <v>257</v>
      </c>
      <c r="F35">
        <v>0</v>
      </c>
      <c r="G35">
        <v>0.57195750000000001</v>
      </c>
      <c r="H35">
        <v>1.5</v>
      </c>
      <c r="I35">
        <v>8.7515289999999997</v>
      </c>
      <c r="J35"/>
      <c r="K35"/>
      <c r="L35">
        <v>0</v>
      </c>
      <c r="M35">
        <v>0.2</v>
      </c>
      <c r="N35">
        <v>0</v>
      </c>
      <c r="O35"/>
      <c r="P35"/>
    </row>
    <row r="36" spans="3:16" ht="15" customHeight="1" x14ac:dyDescent="0.2">
      <c r="C36">
        <f t="shared" si="0"/>
        <v>35</v>
      </c>
      <c r="D36"/>
      <c r="E36" t="s">
        <v>178</v>
      </c>
      <c r="F36">
        <v>0</v>
      </c>
      <c r="G36">
        <v>1.1882809999999999</v>
      </c>
      <c r="H36">
        <v>0.32</v>
      </c>
      <c r="I36">
        <v>3.52</v>
      </c>
      <c r="J36"/>
      <c r="K36"/>
      <c r="L36">
        <v>0</v>
      </c>
      <c r="M36">
        <v>0.2</v>
      </c>
      <c r="N36">
        <v>0</v>
      </c>
      <c r="O36"/>
      <c r="P36"/>
    </row>
    <row r="37" spans="3:16" ht="15" customHeight="1" x14ac:dyDescent="0.2">
      <c r="C37">
        <f t="shared" si="0"/>
        <v>36</v>
      </c>
      <c r="D37"/>
      <c r="E37" t="s">
        <v>258</v>
      </c>
      <c r="F37">
        <v>0</v>
      </c>
      <c r="G37" s="138">
        <v>9.3684409999999996E-2</v>
      </c>
      <c r="H37">
        <v>1.5</v>
      </c>
      <c r="I37">
        <v>8.0083330000000004</v>
      </c>
      <c r="J37"/>
      <c r="K37"/>
      <c r="L37">
        <v>0</v>
      </c>
      <c r="M37">
        <v>0.2</v>
      </c>
      <c r="N37">
        <v>0</v>
      </c>
      <c r="O37"/>
      <c r="P37"/>
    </row>
    <row r="38" spans="3:16" ht="15" customHeight="1" x14ac:dyDescent="0.2">
      <c r="C38">
        <f t="shared" si="0"/>
        <v>37</v>
      </c>
      <c r="D38"/>
      <c r="E38" t="s">
        <v>179</v>
      </c>
      <c r="F38">
        <v>0</v>
      </c>
      <c r="G38">
        <v>7.7322730000000002</v>
      </c>
      <c r="H38">
        <v>0.26</v>
      </c>
      <c r="I38">
        <v>1.44</v>
      </c>
      <c r="J38"/>
      <c r="K38"/>
      <c r="L38">
        <v>0</v>
      </c>
      <c r="M38">
        <v>0.2</v>
      </c>
      <c r="N38">
        <v>0</v>
      </c>
      <c r="O38"/>
      <c r="P38"/>
    </row>
    <row r="39" spans="3:16" ht="15" customHeight="1" x14ac:dyDescent="0.2">
      <c r="C39">
        <f t="shared" si="0"/>
        <v>38</v>
      </c>
      <c r="D39"/>
      <c r="E39" t="s">
        <v>259</v>
      </c>
      <c r="F39">
        <v>0</v>
      </c>
      <c r="G39" s="138">
        <v>5.1727960000000003E-3</v>
      </c>
      <c r="H39">
        <v>0.7</v>
      </c>
      <c r="I39">
        <v>7.0174560000000001</v>
      </c>
      <c r="J39"/>
      <c r="K39"/>
      <c r="L39">
        <v>0</v>
      </c>
      <c r="M39">
        <v>0.2</v>
      </c>
      <c r="N39">
        <v>0</v>
      </c>
      <c r="O39"/>
      <c r="P39"/>
    </row>
    <row r="40" spans="3:16" ht="15" customHeight="1" x14ac:dyDescent="0.2">
      <c r="C40">
        <f t="shared" si="0"/>
        <v>39</v>
      </c>
      <c r="D40"/>
      <c r="E40" t="s">
        <v>260</v>
      </c>
      <c r="F40">
        <v>0</v>
      </c>
      <c r="G40">
        <v>1.868263</v>
      </c>
      <c r="H40">
        <v>0.19</v>
      </c>
      <c r="I40">
        <v>1.1000000000000001</v>
      </c>
      <c r="J40"/>
      <c r="K40"/>
      <c r="L40">
        <v>0</v>
      </c>
      <c r="M40">
        <v>0.2</v>
      </c>
      <c r="N40">
        <v>0</v>
      </c>
      <c r="O40"/>
      <c r="P40"/>
    </row>
    <row r="41" spans="3:16" customFormat="1" ht="15" customHeight="1" x14ac:dyDescent="0.15">
      <c r="C41">
        <f t="shared" si="0"/>
        <v>40</v>
      </c>
      <c r="E41" t="s">
        <v>261</v>
      </c>
      <c r="F41">
        <v>0</v>
      </c>
      <c r="G41" s="138">
        <v>6.156756E-2</v>
      </c>
      <c r="H41">
        <v>0.2</v>
      </c>
      <c r="I41">
        <v>2</v>
      </c>
      <c r="L41">
        <v>0</v>
      </c>
      <c r="M41">
        <v>0.2</v>
      </c>
      <c r="N41">
        <v>0</v>
      </c>
    </row>
    <row r="42" spans="3:16" customFormat="1" ht="15" customHeight="1" x14ac:dyDescent="0.15">
      <c r="C42">
        <f t="shared" si="0"/>
        <v>41</v>
      </c>
      <c r="E42" t="s">
        <v>262</v>
      </c>
      <c r="F42">
        <v>0</v>
      </c>
      <c r="G42">
        <v>0.1059094</v>
      </c>
      <c r="H42">
        <v>1.1000000000000001</v>
      </c>
      <c r="I42">
        <v>5.8392939999999998</v>
      </c>
      <c r="L42">
        <v>0</v>
      </c>
      <c r="M42">
        <v>0.2</v>
      </c>
      <c r="N42">
        <v>0</v>
      </c>
    </row>
    <row r="43" spans="3:16" customFormat="1" ht="15" customHeight="1" x14ac:dyDescent="0.15">
      <c r="C43">
        <f t="shared" si="0"/>
        <v>42</v>
      </c>
      <c r="E43" t="s">
        <v>263</v>
      </c>
      <c r="F43">
        <v>0</v>
      </c>
      <c r="G43">
        <v>0.81165980000000004</v>
      </c>
      <c r="H43">
        <v>0.18</v>
      </c>
      <c r="I43">
        <v>1.69</v>
      </c>
      <c r="L43">
        <v>0</v>
      </c>
      <c r="M43">
        <v>0.2</v>
      </c>
      <c r="N43">
        <v>0</v>
      </c>
    </row>
    <row r="44" spans="3:16" customFormat="1" ht="15" customHeight="1" x14ac:dyDescent="0.15">
      <c r="C44">
        <f t="shared" si="0"/>
        <v>43</v>
      </c>
      <c r="E44" t="s">
        <v>264</v>
      </c>
      <c r="F44">
        <v>0</v>
      </c>
      <c r="G44" s="138">
        <v>8.0481839999999999E-2</v>
      </c>
      <c r="H44">
        <v>0.2</v>
      </c>
      <c r="I44">
        <v>2</v>
      </c>
      <c r="L44">
        <v>0</v>
      </c>
      <c r="M44">
        <v>0.2</v>
      </c>
      <c r="N44">
        <v>0</v>
      </c>
    </row>
    <row r="45" spans="3:16" customFormat="1" ht="15" customHeight="1" x14ac:dyDescent="0.15">
      <c r="C45">
        <f t="shared" si="0"/>
        <v>44</v>
      </c>
      <c r="E45" t="s">
        <v>265</v>
      </c>
      <c r="F45">
        <v>0</v>
      </c>
      <c r="G45">
        <v>0.38691150000000002</v>
      </c>
      <c r="H45">
        <v>0.2</v>
      </c>
      <c r="I45">
        <v>2</v>
      </c>
      <c r="L45">
        <v>0</v>
      </c>
      <c r="M45">
        <v>0.2</v>
      </c>
      <c r="N45">
        <v>0</v>
      </c>
    </row>
    <row r="46" spans="3:16" customFormat="1" ht="15" customHeight="1" x14ac:dyDescent="0.15">
      <c r="C46">
        <f t="shared" si="0"/>
        <v>45</v>
      </c>
      <c r="E46" t="s">
        <v>266</v>
      </c>
      <c r="F46">
        <v>0</v>
      </c>
      <c r="G46" s="138">
        <v>1.195388E-2</v>
      </c>
      <c r="H46">
        <v>0.2</v>
      </c>
      <c r="I46">
        <v>2</v>
      </c>
      <c r="L46">
        <v>0</v>
      </c>
      <c r="M46">
        <v>0.2</v>
      </c>
      <c r="N46">
        <v>0</v>
      </c>
    </row>
    <row r="47" spans="3:16" customFormat="1" ht="15" customHeight="1" x14ac:dyDescent="0.15">
      <c r="C47">
        <f t="shared" si="0"/>
        <v>46</v>
      </c>
      <c r="E47" t="s">
        <v>267</v>
      </c>
      <c r="F47">
        <v>0</v>
      </c>
      <c r="G47">
        <v>0.37583179999999999</v>
      </c>
      <c r="H47">
        <v>0.2</v>
      </c>
      <c r="I47">
        <v>2</v>
      </c>
      <c r="L47">
        <v>0</v>
      </c>
      <c r="M47">
        <v>0.2</v>
      </c>
      <c r="N47">
        <v>0</v>
      </c>
    </row>
    <row r="48" spans="3:16" customFormat="1" ht="15" customHeight="1" x14ac:dyDescent="0.15">
      <c r="C48">
        <f t="shared" si="0"/>
        <v>47</v>
      </c>
      <c r="E48" t="s">
        <v>268</v>
      </c>
      <c r="F48">
        <v>0</v>
      </c>
      <c r="G48">
        <v>0.3977369</v>
      </c>
      <c r="H48">
        <v>0.2</v>
      </c>
      <c r="I48">
        <v>2</v>
      </c>
      <c r="L48">
        <v>0</v>
      </c>
      <c r="M48">
        <v>0.2</v>
      </c>
      <c r="N48">
        <v>0</v>
      </c>
    </row>
    <row r="49" spans="3:14" customFormat="1" ht="15" customHeight="1" x14ac:dyDescent="0.15">
      <c r="C49">
        <f t="shared" si="0"/>
        <v>48</v>
      </c>
      <c r="E49" t="s">
        <v>269</v>
      </c>
      <c r="F49">
        <v>0</v>
      </c>
      <c r="G49">
        <v>0.2273346</v>
      </c>
      <c r="H49">
        <v>0.2</v>
      </c>
      <c r="I49">
        <v>2</v>
      </c>
      <c r="L49">
        <v>0</v>
      </c>
      <c r="M49">
        <v>0.2</v>
      </c>
      <c r="N49">
        <v>0</v>
      </c>
    </row>
    <row r="50" spans="3:14" customFormat="1" ht="15" customHeight="1" x14ac:dyDescent="0.15">
      <c r="C50">
        <f t="shared" si="0"/>
        <v>49</v>
      </c>
      <c r="E50" t="s">
        <v>270</v>
      </c>
      <c r="F50">
        <v>0</v>
      </c>
      <c r="G50">
        <v>5.1976700000000001E-2</v>
      </c>
      <c r="H50">
        <v>0.2</v>
      </c>
      <c r="I50">
        <v>2</v>
      </c>
      <c r="L50">
        <v>0</v>
      </c>
      <c r="M50">
        <v>0.2</v>
      </c>
      <c r="N50">
        <v>0</v>
      </c>
    </row>
    <row r="51" spans="3:14" customFormat="1" ht="15" customHeight="1" x14ac:dyDescent="0.15">
      <c r="C51">
        <f t="shared" si="0"/>
        <v>50</v>
      </c>
      <c r="E51" t="s">
        <v>271</v>
      </c>
      <c r="F51">
        <v>0</v>
      </c>
      <c r="G51" s="138">
        <v>6.7431840000000007E-2</v>
      </c>
      <c r="H51">
        <v>0.2</v>
      </c>
      <c r="I51">
        <v>2</v>
      </c>
      <c r="L51">
        <v>0</v>
      </c>
      <c r="M51">
        <v>0.2</v>
      </c>
      <c r="N51">
        <v>0</v>
      </c>
    </row>
    <row r="52" spans="3:14" customFormat="1" ht="15" customHeight="1" x14ac:dyDescent="0.15">
      <c r="C52">
        <f t="shared" si="0"/>
        <v>51</v>
      </c>
      <c r="E52" t="s">
        <v>272</v>
      </c>
      <c r="F52">
        <v>0</v>
      </c>
      <c r="G52" s="138">
        <v>9.0405429999999995E-2</v>
      </c>
      <c r="H52">
        <v>0.2</v>
      </c>
      <c r="I52">
        <v>2</v>
      </c>
      <c r="L52">
        <v>0</v>
      </c>
      <c r="M52">
        <v>0.2</v>
      </c>
      <c r="N52">
        <v>0</v>
      </c>
    </row>
    <row r="53" spans="3:14" customFormat="1" ht="15" customHeight="1" x14ac:dyDescent="0.15">
      <c r="C53">
        <f t="shared" si="0"/>
        <v>52</v>
      </c>
      <c r="E53" t="s">
        <v>273</v>
      </c>
      <c r="F53">
        <v>0</v>
      </c>
      <c r="G53" s="138">
        <v>2.5953960000000002E-2</v>
      </c>
      <c r="H53">
        <v>1.65</v>
      </c>
      <c r="I53">
        <v>4.2503700000000002</v>
      </c>
      <c r="L53">
        <v>0</v>
      </c>
      <c r="M53">
        <v>0.2</v>
      </c>
      <c r="N53">
        <v>0</v>
      </c>
    </row>
    <row r="54" spans="3:14" customFormat="1" ht="15" customHeight="1" x14ac:dyDescent="0.15">
      <c r="C54">
        <f t="shared" si="0"/>
        <v>53</v>
      </c>
      <c r="E54" t="s">
        <v>274</v>
      </c>
      <c r="F54">
        <v>0</v>
      </c>
      <c r="G54">
        <v>1.271676</v>
      </c>
      <c r="H54">
        <v>0.19</v>
      </c>
      <c r="I54">
        <v>1.03</v>
      </c>
      <c r="L54">
        <v>0</v>
      </c>
      <c r="M54">
        <v>0.2</v>
      </c>
      <c r="N54">
        <v>0</v>
      </c>
    </row>
    <row r="55" spans="3:14" customFormat="1" ht="15" customHeight="1" x14ac:dyDescent="0.15">
      <c r="C55">
        <f t="shared" si="0"/>
        <v>54</v>
      </c>
      <c r="E55" t="s">
        <v>275</v>
      </c>
      <c r="F55">
        <v>0</v>
      </c>
      <c r="H55">
        <v>0.4</v>
      </c>
      <c r="I55">
        <v>2</v>
      </c>
      <c r="J55" s="211">
        <v>0.8</v>
      </c>
      <c r="L55">
        <v>0</v>
      </c>
      <c r="M55">
        <v>0.2</v>
      </c>
      <c r="N55">
        <v>0</v>
      </c>
    </row>
    <row r="56" spans="3:14" customFormat="1" ht="15" customHeight="1" x14ac:dyDescent="0.15">
      <c r="C56">
        <f t="shared" si="0"/>
        <v>55</v>
      </c>
      <c r="E56" t="s">
        <v>276</v>
      </c>
      <c r="F56">
        <v>0</v>
      </c>
      <c r="G56">
        <v>0.97707719999999998</v>
      </c>
      <c r="H56">
        <v>0.15</v>
      </c>
      <c r="I56">
        <v>2</v>
      </c>
      <c r="L56">
        <v>0</v>
      </c>
      <c r="M56">
        <v>0.2</v>
      </c>
      <c r="N56">
        <v>0</v>
      </c>
    </row>
    <row r="57" spans="3:14" customFormat="1" ht="15" customHeight="1" x14ac:dyDescent="0.15">
      <c r="C57">
        <f t="shared" si="0"/>
        <v>56</v>
      </c>
      <c r="E57" t="s">
        <v>277</v>
      </c>
      <c r="F57">
        <v>0</v>
      </c>
      <c r="G57" s="138"/>
      <c r="H57">
        <v>0.2</v>
      </c>
      <c r="I57">
        <v>2</v>
      </c>
      <c r="J57" s="211">
        <v>0.8</v>
      </c>
      <c r="L57">
        <v>0</v>
      </c>
      <c r="M57">
        <v>0.2</v>
      </c>
      <c r="N57">
        <v>0</v>
      </c>
    </row>
    <row r="58" spans="3:14" customFormat="1" ht="15" customHeight="1" x14ac:dyDescent="0.15">
      <c r="C58">
        <f t="shared" si="0"/>
        <v>57</v>
      </c>
      <c r="E58" t="s">
        <v>278</v>
      </c>
      <c r="F58">
        <v>0</v>
      </c>
      <c r="G58">
        <v>2.3994100000000001E-2</v>
      </c>
      <c r="H58">
        <v>1.1000000000000001</v>
      </c>
      <c r="I58">
        <v>6.3804930000000004</v>
      </c>
      <c r="L58">
        <v>0</v>
      </c>
      <c r="M58">
        <v>0.2</v>
      </c>
      <c r="N58">
        <v>0</v>
      </c>
    </row>
    <row r="59" spans="3:14" customFormat="1" ht="15" customHeight="1" x14ac:dyDescent="0.15">
      <c r="C59">
        <f t="shared" si="0"/>
        <v>58</v>
      </c>
      <c r="E59" t="s">
        <v>279</v>
      </c>
      <c r="F59">
        <v>0</v>
      </c>
      <c r="G59">
        <v>0.84740020000000005</v>
      </c>
      <c r="H59">
        <v>0.09</v>
      </c>
      <c r="I59">
        <v>1.99</v>
      </c>
      <c r="L59">
        <v>0</v>
      </c>
      <c r="M59">
        <v>0.2</v>
      </c>
      <c r="N59">
        <v>0</v>
      </c>
    </row>
    <row r="60" spans="3:14" customFormat="1" ht="15" customHeight="1" x14ac:dyDescent="0.15">
      <c r="C60">
        <f t="shared" si="0"/>
        <v>59</v>
      </c>
      <c r="E60" t="s">
        <v>280</v>
      </c>
      <c r="F60">
        <v>0</v>
      </c>
      <c r="H60">
        <v>0.1</v>
      </c>
      <c r="I60">
        <v>2</v>
      </c>
      <c r="J60" s="211">
        <v>0.8</v>
      </c>
      <c r="L60">
        <v>0</v>
      </c>
      <c r="M60">
        <v>0.2</v>
      </c>
      <c r="N60">
        <v>0</v>
      </c>
    </row>
    <row r="61" spans="3:14" customFormat="1" ht="15" customHeight="1" x14ac:dyDescent="0.15">
      <c r="C61">
        <f t="shared" si="0"/>
        <v>60</v>
      </c>
      <c r="E61" t="s">
        <v>281</v>
      </c>
      <c r="F61">
        <v>0</v>
      </c>
      <c r="G61">
        <v>0.48446050000000002</v>
      </c>
      <c r="H61">
        <v>0.1</v>
      </c>
      <c r="I61">
        <v>2</v>
      </c>
      <c r="L61">
        <v>0</v>
      </c>
      <c r="M61">
        <v>0.2</v>
      </c>
      <c r="N61">
        <v>0</v>
      </c>
    </row>
    <row r="62" spans="3:14" customFormat="1" ht="15" customHeight="1" x14ac:dyDescent="0.15">
      <c r="C62">
        <f t="shared" si="0"/>
        <v>61</v>
      </c>
      <c r="E62" t="s">
        <v>282</v>
      </c>
      <c r="F62">
        <v>0</v>
      </c>
      <c r="G62">
        <v>0.1592507</v>
      </c>
      <c r="H62">
        <v>0.1</v>
      </c>
      <c r="I62">
        <v>2</v>
      </c>
      <c r="L62">
        <v>0</v>
      </c>
      <c r="M62">
        <v>0.2</v>
      </c>
      <c r="N62">
        <v>0</v>
      </c>
    </row>
    <row r="63" spans="3:14" customFormat="1" ht="15" customHeight="1" x14ac:dyDescent="0.15">
      <c r="C63">
        <f t="shared" si="0"/>
        <v>62</v>
      </c>
      <c r="E63" t="s">
        <v>283</v>
      </c>
      <c r="F63">
        <v>0</v>
      </c>
      <c r="G63" s="138">
        <v>7.5684909999999994E-2</v>
      </c>
      <c r="H63">
        <v>0.1</v>
      </c>
      <c r="I63">
        <v>2</v>
      </c>
      <c r="L63">
        <v>0</v>
      </c>
      <c r="M63">
        <v>0.2</v>
      </c>
      <c r="N63">
        <v>0</v>
      </c>
    </row>
    <row r="64" spans="3:14" customFormat="1" ht="15" customHeight="1" x14ac:dyDescent="0.15">
      <c r="C64">
        <f t="shared" si="0"/>
        <v>63</v>
      </c>
      <c r="E64" t="s">
        <v>284</v>
      </c>
      <c r="F64">
        <v>0</v>
      </c>
      <c r="G64">
        <v>0.1853252</v>
      </c>
      <c r="H64">
        <v>0.1</v>
      </c>
      <c r="I64">
        <v>2</v>
      </c>
      <c r="L64">
        <v>0</v>
      </c>
      <c r="M64">
        <v>0.2</v>
      </c>
      <c r="N64">
        <v>0</v>
      </c>
    </row>
    <row r="65" spans="3:14" customFormat="1" ht="15" customHeight="1" x14ac:dyDescent="0.15">
      <c r="C65">
        <f t="shared" si="0"/>
        <v>64</v>
      </c>
      <c r="E65" t="s">
        <v>285</v>
      </c>
      <c r="F65">
        <v>0</v>
      </c>
      <c r="G65" s="138">
        <v>1.308196E-4</v>
      </c>
      <c r="H65">
        <v>1</v>
      </c>
      <c r="I65">
        <v>4.1439700000000004</v>
      </c>
      <c r="L65">
        <v>0</v>
      </c>
      <c r="M65">
        <v>0.2</v>
      </c>
      <c r="N65">
        <v>0</v>
      </c>
    </row>
    <row r="66" spans="3:14" customFormat="1" ht="15" customHeight="1" x14ac:dyDescent="0.15">
      <c r="C66">
        <f t="shared" si="0"/>
        <v>65</v>
      </c>
      <c r="E66" t="s">
        <v>286</v>
      </c>
      <c r="F66">
        <v>0</v>
      </c>
      <c r="G66" s="138">
        <v>5.4406990000000002E-2</v>
      </c>
      <c r="H66">
        <v>0.13</v>
      </c>
      <c r="I66">
        <v>0.44</v>
      </c>
      <c r="L66">
        <v>0</v>
      </c>
      <c r="M66">
        <v>0.2</v>
      </c>
      <c r="N66">
        <v>0</v>
      </c>
    </row>
    <row r="67" spans="3:14" customFormat="1" ht="15" customHeight="1" x14ac:dyDescent="0.15">
      <c r="C67">
        <f t="shared" si="0"/>
        <v>66</v>
      </c>
      <c r="E67" t="s">
        <v>287</v>
      </c>
      <c r="F67">
        <v>0</v>
      </c>
      <c r="H67">
        <v>0.1</v>
      </c>
      <c r="I67">
        <v>2</v>
      </c>
      <c r="J67" s="211">
        <v>0.8</v>
      </c>
      <c r="L67">
        <v>0</v>
      </c>
      <c r="M67">
        <v>0.2</v>
      </c>
      <c r="N67">
        <v>0</v>
      </c>
    </row>
    <row r="68" spans="3:14" customFormat="1" ht="15" customHeight="1" x14ac:dyDescent="0.15">
      <c r="C68">
        <f t="shared" ref="C68:C131" si="1">C67+1</f>
        <v>67</v>
      </c>
      <c r="E68" t="s">
        <v>288</v>
      </c>
      <c r="F68">
        <v>0</v>
      </c>
      <c r="G68" s="138">
        <v>5.0984430000000002E-3</v>
      </c>
      <c r="H68">
        <v>1.9</v>
      </c>
      <c r="I68">
        <v>12.077500000000001</v>
      </c>
      <c r="L68">
        <v>0</v>
      </c>
      <c r="M68">
        <v>0.2</v>
      </c>
      <c r="N68">
        <v>0</v>
      </c>
    </row>
    <row r="69" spans="3:14" customFormat="1" ht="15" customHeight="1" x14ac:dyDescent="0.15">
      <c r="C69">
        <f t="shared" si="1"/>
        <v>68</v>
      </c>
      <c r="E69" t="s">
        <v>289</v>
      </c>
      <c r="F69">
        <v>0</v>
      </c>
      <c r="G69" s="138">
        <v>1.448588E-2</v>
      </c>
      <c r="H69">
        <v>0.35</v>
      </c>
      <c r="I69">
        <v>5.65</v>
      </c>
      <c r="L69">
        <v>0</v>
      </c>
      <c r="M69">
        <v>0.2</v>
      </c>
      <c r="N69">
        <v>0</v>
      </c>
    </row>
    <row r="70" spans="3:14" customFormat="1" ht="15" customHeight="1" x14ac:dyDescent="0.15">
      <c r="C70">
        <f t="shared" si="1"/>
        <v>69</v>
      </c>
      <c r="E70" t="s">
        <v>290</v>
      </c>
      <c r="F70">
        <v>0</v>
      </c>
      <c r="G70" s="138">
        <v>1.028592E-2</v>
      </c>
      <c r="H70">
        <v>0.4</v>
      </c>
      <c r="I70">
        <v>2</v>
      </c>
      <c r="L70">
        <v>0</v>
      </c>
      <c r="M70">
        <v>0.2</v>
      </c>
      <c r="N70">
        <v>0</v>
      </c>
    </row>
    <row r="71" spans="3:14" customFormat="1" ht="15" customHeight="1" x14ac:dyDescent="0.15">
      <c r="C71">
        <f t="shared" si="1"/>
        <v>70</v>
      </c>
      <c r="E71" t="s">
        <v>291</v>
      </c>
      <c r="F71">
        <v>0</v>
      </c>
      <c r="G71" s="138">
        <v>6.6829940000000004E-2</v>
      </c>
      <c r="H71">
        <v>0.4</v>
      </c>
      <c r="I71">
        <v>2</v>
      </c>
      <c r="L71">
        <v>0</v>
      </c>
      <c r="M71">
        <v>0.2</v>
      </c>
      <c r="N71">
        <v>0</v>
      </c>
    </row>
    <row r="72" spans="3:14" customFormat="1" ht="15" customHeight="1" x14ac:dyDescent="0.15">
      <c r="C72">
        <f t="shared" si="1"/>
        <v>71</v>
      </c>
      <c r="E72" t="s">
        <v>180</v>
      </c>
      <c r="F72">
        <v>0</v>
      </c>
      <c r="H72">
        <v>0.4</v>
      </c>
      <c r="I72">
        <v>2</v>
      </c>
      <c r="J72" s="211">
        <v>0.8</v>
      </c>
      <c r="L72">
        <v>0</v>
      </c>
      <c r="M72">
        <v>0.2</v>
      </c>
      <c r="N72">
        <v>0</v>
      </c>
    </row>
    <row r="73" spans="3:14" customFormat="1" ht="15" customHeight="1" x14ac:dyDescent="0.15">
      <c r="C73">
        <f t="shared" si="1"/>
        <v>72</v>
      </c>
      <c r="E73" t="s">
        <v>292</v>
      </c>
      <c r="F73">
        <v>0</v>
      </c>
      <c r="H73">
        <v>0.4</v>
      </c>
      <c r="I73">
        <v>2</v>
      </c>
      <c r="J73" s="211">
        <v>0.8</v>
      </c>
      <c r="L73">
        <v>0</v>
      </c>
      <c r="M73">
        <v>0.2</v>
      </c>
      <c r="N73">
        <v>0</v>
      </c>
    </row>
    <row r="74" spans="3:14" customFormat="1" ht="15" customHeight="1" x14ac:dyDescent="0.15">
      <c r="C74">
        <f t="shared" si="1"/>
        <v>73</v>
      </c>
      <c r="E74" t="s">
        <v>293</v>
      </c>
      <c r="F74">
        <v>0</v>
      </c>
      <c r="H74">
        <v>0.8</v>
      </c>
      <c r="I74">
        <v>3.65</v>
      </c>
      <c r="J74" s="211">
        <v>0.8</v>
      </c>
      <c r="L74">
        <v>0</v>
      </c>
      <c r="M74">
        <v>0.2</v>
      </c>
      <c r="N74">
        <v>0</v>
      </c>
    </row>
    <row r="75" spans="3:14" customFormat="1" ht="15" customHeight="1" x14ac:dyDescent="0.15">
      <c r="C75">
        <f t="shared" si="1"/>
        <v>74</v>
      </c>
      <c r="E75" t="s">
        <v>294</v>
      </c>
      <c r="F75">
        <v>0</v>
      </c>
      <c r="H75">
        <v>3.2</v>
      </c>
      <c r="I75">
        <v>10.67</v>
      </c>
      <c r="J75" s="211">
        <v>0.8</v>
      </c>
      <c r="L75">
        <v>0</v>
      </c>
      <c r="M75">
        <v>0.2</v>
      </c>
      <c r="N75">
        <v>0</v>
      </c>
    </row>
    <row r="76" spans="3:14" customFormat="1" ht="15" customHeight="1" x14ac:dyDescent="0.15">
      <c r="C76">
        <f t="shared" si="1"/>
        <v>75</v>
      </c>
      <c r="E76" t="s">
        <v>295</v>
      </c>
      <c r="F76">
        <v>0</v>
      </c>
      <c r="G76">
        <v>1.108042</v>
      </c>
      <c r="H76">
        <v>1.8158609999999999</v>
      </c>
      <c r="I76">
        <v>11.8269</v>
      </c>
      <c r="L76">
        <v>0</v>
      </c>
      <c r="M76">
        <v>0.2</v>
      </c>
      <c r="N76">
        <v>0</v>
      </c>
    </row>
    <row r="77" spans="3:14" customFormat="1" ht="15" customHeight="1" x14ac:dyDescent="0.15">
      <c r="C77">
        <f t="shared" si="1"/>
        <v>76</v>
      </c>
      <c r="E77" t="s">
        <v>296</v>
      </c>
      <c r="F77">
        <v>0</v>
      </c>
      <c r="G77" s="138">
        <v>1.7132680000000001E-2</v>
      </c>
      <c r="H77">
        <v>1.6415230000000001</v>
      </c>
      <c r="I77">
        <v>14.386469999999999</v>
      </c>
      <c r="L77">
        <v>0</v>
      </c>
      <c r="M77">
        <v>0.2</v>
      </c>
      <c r="N77">
        <v>0</v>
      </c>
    </row>
    <row r="78" spans="3:14" customFormat="1" ht="15" customHeight="1" x14ac:dyDescent="0.15">
      <c r="C78">
        <f t="shared" si="1"/>
        <v>77</v>
      </c>
      <c r="E78" t="s">
        <v>297</v>
      </c>
      <c r="F78">
        <v>0</v>
      </c>
      <c r="G78" s="138"/>
      <c r="H78">
        <v>0.8</v>
      </c>
      <c r="I78">
        <v>3.65</v>
      </c>
      <c r="J78" s="211">
        <v>0.8</v>
      </c>
      <c r="L78">
        <v>0</v>
      </c>
      <c r="M78">
        <v>0.2</v>
      </c>
      <c r="N78">
        <v>0</v>
      </c>
    </row>
    <row r="79" spans="3:14" customFormat="1" ht="15" customHeight="1" x14ac:dyDescent="0.15">
      <c r="C79">
        <f t="shared" si="1"/>
        <v>78</v>
      </c>
      <c r="E79" t="s">
        <v>298</v>
      </c>
      <c r="F79">
        <v>0</v>
      </c>
      <c r="H79">
        <v>0.8</v>
      </c>
      <c r="I79">
        <v>3.65</v>
      </c>
      <c r="J79" s="211">
        <v>0.8</v>
      </c>
      <c r="L79">
        <v>0</v>
      </c>
      <c r="M79">
        <v>0.2</v>
      </c>
      <c r="N79">
        <v>0</v>
      </c>
    </row>
    <row r="80" spans="3:14" customFormat="1" ht="15" customHeight="1" x14ac:dyDescent="0.15">
      <c r="C80">
        <f t="shared" si="1"/>
        <v>79</v>
      </c>
      <c r="E80" t="s">
        <v>299</v>
      </c>
      <c r="F80">
        <v>0</v>
      </c>
      <c r="H80">
        <v>0.8</v>
      </c>
      <c r="I80">
        <v>3.65</v>
      </c>
      <c r="J80" s="211">
        <v>0.8</v>
      </c>
      <c r="L80">
        <v>0</v>
      </c>
      <c r="M80">
        <v>0.2</v>
      </c>
      <c r="N80">
        <v>0</v>
      </c>
    </row>
    <row r="81" spans="3:15" customFormat="1" ht="15" customHeight="1" x14ac:dyDescent="0.15">
      <c r="C81">
        <f t="shared" si="1"/>
        <v>80</v>
      </c>
      <c r="E81" t="s">
        <v>300</v>
      </c>
      <c r="F81">
        <v>0</v>
      </c>
      <c r="H81">
        <v>0.8</v>
      </c>
      <c r="I81">
        <v>3.65</v>
      </c>
      <c r="J81" s="211">
        <v>0.8</v>
      </c>
      <c r="L81">
        <v>0</v>
      </c>
      <c r="M81">
        <v>0.2</v>
      </c>
      <c r="N81">
        <v>0</v>
      </c>
    </row>
    <row r="82" spans="3:15" customFormat="1" ht="15" customHeight="1" x14ac:dyDescent="0.15">
      <c r="C82">
        <f t="shared" si="1"/>
        <v>81</v>
      </c>
      <c r="E82" t="s">
        <v>301</v>
      </c>
      <c r="F82">
        <v>0</v>
      </c>
      <c r="H82">
        <v>0.8</v>
      </c>
      <c r="I82">
        <v>3.65</v>
      </c>
      <c r="J82" s="211">
        <v>0.8</v>
      </c>
      <c r="L82">
        <v>0</v>
      </c>
      <c r="M82">
        <v>0.2</v>
      </c>
      <c r="N82">
        <v>0</v>
      </c>
    </row>
    <row r="83" spans="3:15" customFormat="1" ht="15" customHeight="1" x14ac:dyDescent="0.15">
      <c r="C83">
        <f t="shared" si="1"/>
        <v>82</v>
      </c>
      <c r="E83" t="s">
        <v>302</v>
      </c>
      <c r="F83">
        <v>0</v>
      </c>
      <c r="H83">
        <v>0.8</v>
      </c>
      <c r="I83">
        <v>3.65</v>
      </c>
      <c r="J83" s="211">
        <v>0.8</v>
      </c>
      <c r="L83">
        <v>0</v>
      </c>
      <c r="M83">
        <v>0.2</v>
      </c>
      <c r="N83">
        <v>0</v>
      </c>
    </row>
    <row r="84" spans="3:15" customFormat="1" ht="15" customHeight="1" x14ac:dyDescent="0.15">
      <c r="C84">
        <f t="shared" si="1"/>
        <v>83</v>
      </c>
      <c r="E84" t="s">
        <v>303</v>
      </c>
      <c r="F84">
        <v>0</v>
      </c>
      <c r="H84">
        <v>0.8</v>
      </c>
      <c r="I84">
        <v>3.65</v>
      </c>
      <c r="J84" s="211">
        <v>0.8</v>
      </c>
      <c r="L84">
        <v>0</v>
      </c>
      <c r="M84">
        <v>0.2</v>
      </c>
      <c r="N84">
        <v>0</v>
      </c>
    </row>
    <row r="85" spans="3:15" customFormat="1" ht="15" customHeight="1" x14ac:dyDescent="0.15">
      <c r="C85">
        <f t="shared" si="1"/>
        <v>84</v>
      </c>
      <c r="E85" t="s">
        <v>304</v>
      </c>
      <c r="F85">
        <v>0</v>
      </c>
      <c r="H85">
        <v>1</v>
      </c>
      <c r="I85">
        <v>3</v>
      </c>
      <c r="J85" s="211">
        <v>0.8</v>
      </c>
      <c r="L85">
        <v>0</v>
      </c>
      <c r="M85">
        <v>0.2</v>
      </c>
      <c r="N85">
        <v>0</v>
      </c>
    </row>
    <row r="86" spans="3:15" customFormat="1" ht="15" customHeight="1" x14ac:dyDescent="0.15">
      <c r="C86">
        <f t="shared" si="1"/>
        <v>85</v>
      </c>
      <c r="E86" t="s">
        <v>305</v>
      </c>
      <c r="F86">
        <v>0</v>
      </c>
      <c r="G86" s="138">
        <v>8.9428890000000007E-3</v>
      </c>
      <c r="H86">
        <v>0.6</v>
      </c>
      <c r="I86">
        <v>3</v>
      </c>
      <c r="L86">
        <v>0</v>
      </c>
      <c r="M86">
        <v>0.2</v>
      </c>
      <c r="N86">
        <v>0</v>
      </c>
    </row>
    <row r="87" spans="3:15" customFormat="1" ht="15" customHeight="1" x14ac:dyDescent="0.15">
      <c r="C87">
        <f t="shared" si="1"/>
        <v>86</v>
      </c>
      <c r="E87" t="s">
        <v>306</v>
      </c>
      <c r="F87">
        <v>0</v>
      </c>
      <c r="G87">
        <v>2.0894029999999999</v>
      </c>
      <c r="H87">
        <v>0.82000010000000001</v>
      </c>
      <c r="I87">
        <v>4.0999990000000004</v>
      </c>
      <c r="L87">
        <v>0</v>
      </c>
      <c r="M87">
        <v>0.2</v>
      </c>
      <c r="N87">
        <v>0</v>
      </c>
      <c r="O87" s="56" t="s">
        <v>190</v>
      </c>
    </row>
    <row r="88" spans="3:15" customFormat="1" ht="15" customHeight="1" x14ac:dyDescent="0.15">
      <c r="C88">
        <f t="shared" si="1"/>
        <v>87</v>
      </c>
      <c r="E88" t="s">
        <v>307</v>
      </c>
      <c r="F88">
        <v>0</v>
      </c>
      <c r="H88">
        <v>0.57599999999999996</v>
      </c>
      <c r="I88">
        <v>2.41</v>
      </c>
      <c r="J88" s="211">
        <v>0.8</v>
      </c>
      <c r="L88">
        <v>0</v>
      </c>
      <c r="M88">
        <v>0.2</v>
      </c>
      <c r="N88">
        <v>0</v>
      </c>
    </row>
    <row r="89" spans="3:15" customFormat="1" ht="15" customHeight="1" x14ac:dyDescent="0.15">
      <c r="C89">
        <f t="shared" si="1"/>
        <v>88</v>
      </c>
      <c r="E89" t="s">
        <v>308</v>
      </c>
      <c r="F89">
        <v>0</v>
      </c>
      <c r="H89">
        <v>0.57599999999999996</v>
      </c>
      <c r="I89">
        <v>2.41</v>
      </c>
      <c r="J89" s="211">
        <v>0.8</v>
      </c>
      <c r="L89">
        <v>0</v>
      </c>
      <c r="M89">
        <v>0.2</v>
      </c>
      <c r="N89">
        <v>0</v>
      </c>
    </row>
    <row r="90" spans="3:15" customFormat="1" ht="15" customHeight="1" x14ac:dyDescent="0.15">
      <c r="C90">
        <f t="shared" si="1"/>
        <v>89</v>
      </c>
      <c r="E90" t="s">
        <v>309</v>
      </c>
      <c r="F90">
        <v>0</v>
      </c>
      <c r="G90">
        <v>0.12720000000000001</v>
      </c>
      <c r="H90">
        <v>1.21</v>
      </c>
      <c r="I90">
        <v>6.05</v>
      </c>
      <c r="L90">
        <v>0</v>
      </c>
      <c r="M90">
        <v>0.2</v>
      </c>
      <c r="N90">
        <v>0</v>
      </c>
    </row>
    <row r="91" spans="3:15" customFormat="1" ht="15" customHeight="1" x14ac:dyDescent="0.15">
      <c r="C91">
        <f t="shared" si="1"/>
        <v>90</v>
      </c>
      <c r="E91" t="s">
        <v>310</v>
      </c>
      <c r="F91">
        <v>0</v>
      </c>
      <c r="G91">
        <v>4.664828</v>
      </c>
      <c r="H91">
        <v>1.21</v>
      </c>
      <c r="I91">
        <v>6.05</v>
      </c>
      <c r="L91">
        <v>0</v>
      </c>
      <c r="M91">
        <v>0.2</v>
      </c>
      <c r="N91">
        <v>0</v>
      </c>
    </row>
    <row r="92" spans="3:15" customFormat="1" ht="15" customHeight="1" x14ac:dyDescent="0.15">
      <c r="C92">
        <f t="shared" si="1"/>
        <v>91</v>
      </c>
      <c r="E92" t="s">
        <v>311</v>
      </c>
      <c r="F92">
        <v>0</v>
      </c>
      <c r="G92">
        <v>1.845</v>
      </c>
      <c r="H92">
        <v>0.61</v>
      </c>
      <c r="I92">
        <v>3.05</v>
      </c>
      <c r="L92">
        <v>0</v>
      </c>
      <c r="M92">
        <v>0.2</v>
      </c>
      <c r="N92">
        <v>0</v>
      </c>
    </row>
    <row r="93" spans="3:15" customFormat="1" ht="15" customHeight="1" x14ac:dyDescent="0.15">
      <c r="C93">
        <f t="shared" si="1"/>
        <v>92</v>
      </c>
      <c r="E93" t="s">
        <v>312</v>
      </c>
      <c r="F93">
        <v>0</v>
      </c>
      <c r="H93">
        <v>1.81</v>
      </c>
      <c r="I93">
        <v>9.0499989999999997</v>
      </c>
      <c r="J93" s="211">
        <v>0.8</v>
      </c>
      <c r="L93">
        <v>0</v>
      </c>
      <c r="M93">
        <v>0.2</v>
      </c>
      <c r="N93">
        <v>0</v>
      </c>
    </row>
    <row r="94" spans="3:15" customFormat="1" ht="15" customHeight="1" x14ac:dyDescent="0.15">
      <c r="C94">
        <f t="shared" si="1"/>
        <v>93</v>
      </c>
      <c r="E94" t="s">
        <v>313</v>
      </c>
      <c r="F94">
        <v>0</v>
      </c>
      <c r="H94">
        <v>0.82</v>
      </c>
      <c r="I94">
        <v>4.0999999999999996</v>
      </c>
      <c r="J94" s="211">
        <v>0.8</v>
      </c>
      <c r="L94">
        <v>0</v>
      </c>
      <c r="M94">
        <v>0.2</v>
      </c>
      <c r="N94">
        <v>0</v>
      </c>
    </row>
    <row r="95" spans="3:15" customFormat="1" ht="15" customHeight="1" x14ac:dyDescent="0.15">
      <c r="C95">
        <f t="shared" si="1"/>
        <v>94</v>
      </c>
      <c r="E95" t="s">
        <v>314</v>
      </c>
      <c r="F95">
        <v>0</v>
      </c>
      <c r="H95">
        <v>7.4</v>
      </c>
      <c r="I95">
        <v>37</v>
      </c>
      <c r="J95" s="211">
        <v>0.8</v>
      </c>
      <c r="L95">
        <v>0</v>
      </c>
      <c r="M95">
        <v>0.2</v>
      </c>
      <c r="N95">
        <v>0</v>
      </c>
    </row>
    <row r="96" spans="3:15" customFormat="1" ht="15" customHeight="1" x14ac:dyDescent="0.15">
      <c r="C96">
        <f t="shared" si="1"/>
        <v>95</v>
      </c>
      <c r="E96" t="s">
        <v>315</v>
      </c>
      <c r="F96">
        <v>0</v>
      </c>
      <c r="H96">
        <v>7.4</v>
      </c>
      <c r="I96">
        <v>37</v>
      </c>
      <c r="J96" s="211">
        <v>0.8</v>
      </c>
      <c r="L96">
        <v>0</v>
      </c>
      <c r="M96">
        <v>0.2</v>
      </c>
      <c r="N96">
        <v>0</v>
      </c>
    </row>
    <row r="97" spans="3:14" customFormat="1" ht="15" customHeight="1" x14ac:dyDescent="0.15">
      <c r="C97">
        <f t="shared" si="1"/>
        <v>96</v>
      </c>
      <c r="E97" t="s">
        <v>316</v>
      </c>
      <c r="F97">
        <v>0</v>
      </c>
      <c r="G97" s="138">
        <v>6.3860009999999995E-2</v>
      </c>
      <c r="H97">
        <v>1</v>
      </c>
      <c r="I97">
        <v>5</v>
      </c>
      <c r="L97">
        <v>0</v>
      </c>
      <c r="M97">
        <v>0.4</v>
      </c>
      <c r="N97">
        <v>0</v>
      </c>
    </row>
    <row r="98" spans="3:14" customFormat="1" ht="15" customHeight="1" x14ac:dyDescent="0.15">
      <c r="C98">
        <f t="shared" si="1"/>
        <v>97</v>
      </c>
      <c r="E98" t="s">
        <v>317</v>
      </c>
      <c r="F98">
        <v>0</v>
      </c>
      <c r="G98" s="138">
        <v>7.7566570000000001E-3</v>
      </c>
      <c r="H98">
        <v>4.6051700000000001E-2</v>
      </c>
      <c r="I98">
        <v>0.2302585</v>
      </c>
      <c r="L98">
        <v>0</v>
      </c>
      <c r="M98">
        <v>0.4</v>
      </c>
      <c r="N98">
        <v>0</v>
      </c>
    </row>
    <row r="99" spans="3:14" customFormat="1" ht="15" customHeight="1" x14ac:dyDescent="0.15">
      <c r="C99">
        <f t="shared" si="1"/>
        <v>98</v>
      </c>
      <c r="E99" t="s">
        <v>318</v>
      </c>
      <c r="F99">
        <v>0</v>
      </c>
      <c r="H99">
        <v>1</v>
      </c>
      <c r="I99">
        <v>5</v>
      </c>
      <c r="J99" s="211">
        <v>0.8</v>
      </c>
      <c r="L99">
        <v>0</v>
      </c>
      <c r="M99">
        <v>0.4</v>
      </c>
      <c r="N99">
        <v>0</v>
      </c>
    </row>
    <row r="100" spans="3:14" customFormat="1" ht="15" customHeight="1" x14ac:dyDescent="0.15">
      <c r="C100">
        <f t="shared" si="1"/>
        <v>99</v>
      </c>
      <c r="E100" t="s">
        <v>319</v>
      </c>
      <c r="F100">
        <v>0</v>
      </c>
      <c r="G100">
        <v>0.24479999999999999</v>
      </c>
      <c r="H100">
        <v>3.58</v>
      </c>
      <c r="I100">
        <v>17.899999999999999</v>
      </c>
      <c r="L100">
        <v>0</v>
      </c>
      <c r="M100">
        <v>0.4</v>
      </c>
      <c r="N100">
        <v>0</v>
      </c>
    </row>
    <row r="101" spans="3:14" customFormat="1" ht="15" customHeight="1" x14ac:dyDescent="0.15">
      <c r="C101">
        <f t="shared" si="1"/>
        <v>100</v>
      </c>
      <c r="E101" t="s">
        <v>320</v>
      </c>
      <c r="F101">
        <v>0</v>
      </c>
      <c r="G101" s="138">
        <v>5.2393899999999996E-4</v>
      </c>
      <c r="H101">
        <v>9.2103409999999997E-2</v>
      </c>
      <c r="I101">
        <v>0.46051700000000001</v>
      </c>
      <c r="L101">
        <v>0</v>
      </c>
      <c r="M101">
        <v>0.4</v>
      </c>
      <c r="N101">
        <v>0</v>
      </c>
    </row>
    <row r="102" spans="3:14" customFormat="1" ht="15" customHeight="1" x14ac:dyDescent="0.15">
      <c r="C102">
        <f t="shared" si="1"/>
        <v>101</v>
      </c>
      <c r="E102" t="s">
        <v>321</v>
      </c>
      <c r="F102">
        <v>0</v>
      </c>
      <c r="G102" s="138">
        <v>4.8720819999999998E-2</v>
      </c>
      <c r="H102">
        <v>1</v>
      </c>
      <c r="I102">
        <v>5</v>
      </c>
      <c r="L102">
        <v>0</v>
      </c>
      <c r="M102">
        <v>0.4</v>
      </c>
      <c r="N102">
        <v>0</v>
      </c>
    </row>
    <row r="103" spans="3:14" customFormat="1" ht="15" customHeight="1" x14ac:dyDescent="0.15">
      <c r="C103">
        <f t="shared" si="1"/>
        <v>102</v>
      </c>
      <c r="E103" t="s">
        <v>322</v>
      </c>
      <c r="F103">
        <v>0</v>
      </c>
      <c r="H103">
        <v>1.3</v>
      </c>
      <c r="I103">
        <v>6.5</v>
      </c>
      <c r="J103" s="211">
        <v>0.8</v>
      </c>
      <c r="L103">
        <v>0</v>
      </c>
      <c r="M103">
        <v>0.4</v>
      </c>
      <c r="N103">
        <v>0</v>
      </c>
    </row>
    <row r="104" spans="3:14" customFormat="1" ht="15" customHeight="1" x14ac:dyDescent="0.15">
      <c r="C104">
        <f t="shared" si="1"/>
        <v>103</v>
      </c>
      <c r="E104" t="s">
        <v>323</v>
      </c>
      <c r="F104">
        <v>0</v>
      </c>
      <c r="H104">
        <v>2.97</v>
      </c>
      <c r="I104">
        <v>14.85</v>
      </c>
      <c r="J104" s="211">
        <v>0.8</v>
      </c>
      <c r="L104">
        <v>0</v>
      </c>
      <c r="M104">
        <v>0.4</v>
      </c>
      <c r="N104">
        <v>0</v>
      </c>
    </row>
    <row r="105" spans="3:14" customFormat="1" ht="15" customHeight="1" x14ac:dyDescent="0.15">
      <c r="C105">
        <f t="shared" si="1"/>
        <v>104</v>
      </c>
      <c r="E105" t="s">
        <v>324</v>
      </c>
      <c r="F105">
        <v>0</v>
      </c>
      <c r="H105">
        <v>2.23</v>
      </c>
      <c r="I105">
        <v>11.15</v>
      </c>
      <c r="J105" s="211">
        <v>0.8</v>
      </c>
      <c r="L105">
        <v>0</v>
      </c>
      <c r="M105">
        <v>0.4</v>
      </c>
      <c r="N105">
        <v>0</v>
      </c>
    </row>
    <row r="106" spans="3:14" customFormat="1" ht="15" customHeight="1" x14ac:dyDescent="0.15">
      <c r="C106">
        <f t="shared" si="1"/>
        <v>105</v>
      </c>
      <c r="E106" t="s">
        <v>325</v>
      </c>
      <c r="F106">
        <v>0</v>
      </c>
      <c r="G106">
        <v>0.11</v>
      </c>
      <c r="H106">
        <v>0.88</v>
      </c>
      <c r="I106">
        <v>3</v>
      </c>
      <c r="L106">
        <v>0</v>
      </c>
      <c r="M106">
        <v>0.2</v>
      </c>
      <c r="N106">
        <v>0</v>
      </c>
    </row>
    <row r="107" spans="3:14" customFormat="1" ht="15" customHeight="1" x14ac:dyDescent="0.15">
      <c r="C107">
        <f t="shared" si="1"/>
        <v>106</v>
      </c>
      <c r="E107" t="s">
        <v>326</v>
      </c>
      <c r="F107">
        <v>0</v>
      </c>
      <c r="G107" s="138"/>
      <c r="H107">
        <v>5.4749999999999996</v>
      </c>
      <c r="I107">
        <v>15.642860000000001</v>
      </c>
      <c r="J107" s="211">
        <v>0.8</v>
      </c>
      <c r="L107">
        <v>0</v>
      </c>
      <c r="M107">
        <v>0.2</v>
      </c>
      <c r="N107">
        <v>0</v>
      </c>
    </row>
    <row r="108" spans="3:14" customFormat="1" ht="15" customHeight="1" x14ac:dyDescent="0.15">
      <c r="C108">
        <f t="shared" si="1"/>
        <v>107</v>
      </c>
      <c r="E108" t="s">
        <v>327</v>
      </c>
      <c r="F108">
        <v>0</v>
      </c>
      <c r="H108">
        <v>5.4749999999999996</v>
      </c>
      <c r="I108">
        <v>15.642860000000001</v>
      </c>
      <c r="J108" s="211">
        <v>0.8</v>
      </c>
      <c r="L108">
        <v>0</v>
      </c>
      <c r="M108">
        <v>0.2</v>
      </c>
      <c r="N108">
        <v>0</v>
      </c>
    </row>
    <row r="109" spans="3:14" customFormat="1" ht="15" customHeight="1" x14ac:dyDescent="0.15">
      <c r="C109">
        <f t="shared" si="1"/>
        <v>108</v>
      </c>
      <c r="E109" t="s">
        <v>328</v>
      </c>
      <c r="F109">
        <v>0</v>
      </c>
      <c r="H109">
        <v>5.4749999999999996</v>
      </c>
      <c r="I109">
        <v>15.642860000000001</v>
      </c>
      <c r="J109" s="211">
        <v>0.8</v>
      </c>
      <c r="L109">
        <v>0</v>
      </c>
      <c r="M109">
        <v>0.2</v>
      </c>
      <c r="N109">
        <v>0</v>
      </c>
    </row>
    <row r="110" spans="3:14" customFormat="1" ht="15" customHeight="1" x14ac:dyDescent="0.15">
      <c r="C110">
        <f t="shared" si="1"/>
        <v>109</v>
      </c>
      <c r="E110" t="s">
        <v>329</v>
      </c>
      <c r="F110">
        <v>0</v>
      </c>
      <c r="H110">
        <v>5.4749999999999996</v>
      </c>
      <c r="I110">
        <v>15.642860000000001</v>
      </c>
      <c r="J110" s="211">
        <v>0.8</v>
      </c>
      <c r="L110">
        <v>0</v>
      </c>
      <c r="M110">
        <v>0.2</v>
      </c>
      <c r="N110">
        <v>0</v>
      </c>
    </row>
    <row r="111" spans="3:14" customFormat="1" ht="15" customHeight="1" x14ac:dyDescent="0.15">
      <c r="C111">
        <f t="shared" si="1"/>
        <v>110</v>
      </c>
      <c r="E111" t="s">
        <v>330</v>
      </c>
      <c r="F111">
        <v>0</v>
      </c>
      <c r="H111">
        <v>2.5</v>
      </c>
      <c r="I111">
        <v>7.1428570000000002</v>
      </c>
      <c r="J111" s="211">
        <v>0.8</v>
      </c>
      <c r="L111">
        <v>0</v>
      </c>
      <c r="M111">
        <v>0.2</v>
      </c>
      <c r="N111">
        <v>0</v>
      </c>
    </row>
    <row r="112" spans="3:14" customFormat="1" ht="15" customHeight="1" x14ac:dyDescent="0.15">
      <c r="C112">
        <f t="shared" si="1"/>
        <v>111</v>
      </c>
      <c r="E112" t="s">
        <v>331</v>
      </c>
      <c r="F112">
        <v>0</v>
      </c>
      <c r="H112">
        <v>5.4749999999999996</v>
      </c>
      <c r="I112">
        <v>15.642860000000001</v>
      </c>
      <c r="J112" s="211">
        <v>0.8</v>
      </c>
      <c r="L112">
        <v>0</v>
      </c>
      <c r="M112">
        <v>0.2</v>
      </c>
      <c r="N112">
        <v>0</v>
      </c>
    </row>
    <row r="113" spans="3:14" customFormat="1" ht="15" customHeight="1" x14ac:dyDescent="0.15">
      <c r="C113">
        <f t="shared" si="1"/>
        <v>112</v>
      </c>
      <c r="E113" t="s">
        <v>332</v>
      </c>
      <c r="F113">
        <v>0</v>
      </c>
      <c r="H113">
        <v>5.4749999999999996</v>
      </c>
      <c r="I113">
        <v>15.642860000000001</v>
      </c>
      <c r="J113" s="211">
        <v>0.8</v>
      </c>
      <c r="L113">
        <v>0</v>
      </c>
      <c r="M113">
        <v>0.2</v>
      </c>
      <c r="N113">
        <v>0</v>
      </c>
    </row>
    <row r="114" spans="3:14" customFormat="1" ht="15" customHeight="1" x14ac:dyDescent="0.15">
      <c r="C114">
        <f t="shared" si="1"/>
        <v>113</v>
      </c>
      <c r="E114" t="s">
        <v>333</v>
      </c>
      <c r="F114">
        <v>0</v>
      </c>
      <c r="H114">
        <v>6</v>
      </c>
      <c r="I114">
        <v>27.74</v>
      </c>
      <c r="J114" s="211">
        <v>0.8</v>
      </c>
      <c r="L114">
        <v>0</v>
      </c>
      <c r="M114">
        <v>0.2</v>
      </c>
      <c r="N114">
        <v>0</v>
      </c>
    </row>
    <row r="115" spans="3:14" customFormat="1" ht="15" customHeight="1" x14ac:dyDescent="0.15">
      <c r="C115">
        <f t="shared" si="1"/>
        <v>114</v>
      </c>
      <c r="E115" t="s">
        <v>334</v>
      </c>
      <c r="F115">
        <v>0</v>
      </c>
      <c r="H115">
        <v>73</v>
      </c>
      <c r="I115">
        <v>208.57140000000001</v>
      </c>
      <c r="J115" s="211">
        <v>0.8</v>
      </c>
      <c r="L115">
        <v>0</v>
      </c>
      <c r="M115">
        <v>0.2</v>
      </c>
      <c r="N115">
        <v>0</v>
      </c>
    </row>
    <row r="116" spans="3:14" customFormat="1" ht="15" customHeight="1" x14ac:dyDescent="0.15">
      <c r="C116">
        <f t="shared" si="1"/>
        <v>115</v>
      </c>
      <c r="E116" t="s">
        <v>335</v>
      </c>
      <c r="F116">
        <v>0</v>
      </c>
      <c r="H116">
        <v>73</v>
      </c>
      <c r="I116">
        <v>208.57140000000001</v>
      </c>
      <c r="J116" s="211">
        <v>0.8</v>
      </c>
      <c r="L116">
        <v>0</v>
      </c>
      <c r="M116">
        <v>0.2</v>
      </c>
      <c r="N116">
        <v>0</v>
      </c>
    </row>
    <row r="117" spans="3:14" customFormat="1" ht="15" customHeight="1" x14ac:dyDescent="0.15">
      <c r="C117">
        <f t="shared" si="1"/>
        <v>116</v>
      </c>
      <c r="E117" t="s">
        <v>336</v>
      </c>
      <c r="F117">
        <v>1</v>
      </c>
      <c r="H117">
        <v>4</v>
      </c>
      <c r="I117">
        <v>0</v>
      </c>
      <c r="J117" s="211">
        <v>0.8</v>
      </c>
      <c r="L117">
        <v>0</v>
      </c>
      <c r="M117">
        <v>0</v>
      </c>
      <c r="N117">
        <v>0</v>
      </c>
    </row>
    <row r="118" spans="3:14" customFormat="1" ht="15" customHeight="1" x14ac:dyDescent="0.15">
      <c r="C118">
        <f t="shared" si="1"/>
        <v>117</v>
      </c>
      <c r="E118" t="s">
        <v>337</v>
      </c>
      <c r="F118">
        <v>1</v>
      </c>
      <c r="G118">
        <v>15.72573</v>
      </c>
      <c r="H118">
        <v>87.295829999999995</v>
      </c>
      <c r="I118">
        <v>0</v>
      </c>
      <c r="L118">
        <v>0</v>
      </c>
      <c r="M118">
        <v>0</v>
      </c>
      <c r="N118">
        <v>0</v>
      </c>
    </row>
    <row r="119" spans="3:14" customFormat="1" ht="15" customHeight="1" x14ac:dyDescent="0.15">
      <c r="C119">
        <f t="shared" si="1"/>
        <v>118</v>
      </c>
      <c r="E119" t="s">
        <v>338</v>
      </c>
      <c r="F119">
        <v>1</v>
      </c>
      <c r="G119">
        <v>19.88747</v>
      </c>
      <c r="H119">
        <v>81.820830000000001</v>
      </c>
      <c r="I119">
        <v>0</v>
      </c>
      <c r="L119">
        <v>0</v>
      </c>
      <c r="M119">
        <v>0</v>
      </c>
      <c r="N119">
        <v>0</v>
      </c>
    </row>
    <row r="120" spans="3:14" customFormat="1" ht="15" customHeight="1" x14ac:dyDescent="0.15">
      <c r="C120">
        <f t="shared" si="1"/>
        <v>119</v>
      </c>
      <c r="E120" t="s">
        <v>339</v>
      </c>
      <c r="F120">
        <v>2</v>
      </c>
      <c r="G120">
        <v>0.65625789999999995</v>
      </c>
      <c r="H120">
        <v>0.5</v>
      </c>
      <c r="I120">
        <v>0</v>
      </c>
      <c r="L120">
        <v>0</v>
      </c>
      <c r="M120">
        <v>0</v>
      </c>
      <c r="N120">
        <v>0</v>
      </c>
    </row>
    <row r="121" spans="3:14" customFormat="1" ht="15" customHeight="1" x14ac:dyDescent="0.15">
      <c r="C121">
        <f t="shared" si="1"/>
        <v>120</v>
      </c>
      <c r="E121" t="s">
        <v>340</v>
      </c>
      <c r="F121">
        <v>2</v>
      </c>
      <c r="G121">
        <v>0.97367559999999997</v>
      </c>
      <c r="H121">
        <v>0.5</v>
      </c>
      <c r="I121">
        <v>0</v>
      </c>
      <c r="L121">
        <v>0</v>
      </c>
      <c r="M121">
        <v>0</v>
      </c>
      <c r="N121">
        <v>0</v>
      </c>
    </row>
    <row r="122" spans="3:14" customFormat="1" ht="15" customHeight="1" x14ac:dyDescent="0.15">
      <c r="C122">
        <f t="shared" si="1"/>
        <v>121</v>
      </c>
      <c r="E122" t="s">
        <v>341</v>
      </c>
      <c r="F122">
        <v>2</v>
      </c>
      <c r="G122">
        <v>1513.8040000000001</v>
      </c>
      <c r="H122">
        <v>0.5</v>
      </c>
      <c r="I122">
        <v>0</v>
      </c>
      <c r="L122">
        <v>0</v>
      </c>
      <c r="M122">
        <v>0</v>
      </c>
      <c r="N122">
        <v>0</v>
      </c>
    </row>
    <row r="123" spans="3:14" customFormat="1" ht="15" customHeight="1" x14ac:dyDescent="0.15">
      <c r="C123">
        <f t="shared" si="1"/>
        <v>122</v>
      </c>
      <c r="E123" t="s">
        <v>342</v>
      </c>
      <c r="F123">
        <v>2</v>
      </c>
      <c r="G123">
        <v>3054.78</v>
      </c>
      <c r="H123">
        <v>0.5</v>
      </c>
      <c r="I123">
        <v>0</v>
      </c>
      <c r="L123">
        <v>0</v>
      </c>
      <c r="M123">
        <v>0</v>
      </c>
      <c r="N123">
        <v>0</v>
      </c>
    </row>
    <row r="124" spans="3:14" customFormat="1" ht="15" customHeight="1" x14ac:dyDescent="0.15">
      <c r="C124">
        <f t="shared" si="1"/>
        <v>123</v>
      </c>
      <c r="E124" t="s">
        <v>343</v>
      </c>
      <c r="F124">
        <v>3</v>
      </c>
      <c r="G124">
        <v>0</v>
      </c>
      <c r="H124">
        <v>0</v>
      </c>
      <c r="I124">
        <v>0</v>
      </c>
      <c r="L124">
        <v>0</v>
      </c>
      <c r="M124">
        <v>0</v>
      </c>
      <c r="N124">
        <v>0</v>
      </c>
    </row>
    <row r="125" spans="3:14" customFormat="1" ht="15" customHeight="1" x14ac:dyDescent="0.15">
      <c r="C125">
        <f t="shared" si="1"/>
        <v>124</v>
      </c>
      <c r="E125" t="s">
        <v>344</v>
      </c>
      <c r="F125">
        <v>3</v>
      </c>
      <c r="G125">
        <v>0</v>
      </c>
      <c r="H125">
        <v>0</v>
      </c>
      <c r="I125">
        <v>0</v>
      </c>
      <c r="L125">
        <v>0</v>
      </c>
      <c r="M125">
        <v>0</v>
      </c>
      <c r="N125">
        <v>0</v>
      </c>
    </row>
    <row r="126" spans="3:14" customFormat="1" ht="15" customHeight="1" x14ac:dyDescent="0.15">
      <c r="C126">
        <f t="shared" si="1"/>
        <v>125</v>
      </c>
      <c r="E126" t="s">
        <v>345</v>
      </c>
      <c r="F126">
        <v>3</v>
      </c>
      <c r="G126">
        <v>0</v>
      </c>
      <c r="H126">
        <v>0</v>
      </c>
      <c r="I126">
        <v>0</v>
      </c>
      <c r="L126">
        <v>0</v>
      </c>
      <c r="M126">
        <v>0</v>
      </c>
      <c r="N126">
        <v>0</v>
      </c>
    </row>
    <row r="127" spans="3:14" customFormat="1" ht="15" customHeight="1" x14ac:dyDescent="0.15">
      <c r="C127">
        <f t="shared" si="1"/>
        <v>126</v>
      </c>
      <c r="E127" t="s">
        <v>346</v>
      </c>
      <c r="F127">
        <v>3</v>
      </c>
      <c r="G127">
        <v>0</v>
      </c>
      <c r="H127">
        <v>0</v>
      </c>
      <c r="I127">
        <v>0</v>
      </c>
      <c r="L127">
        <v>0</v>
      </c>
      <c r="M127">
        <v>0</v>
      </c>
      <c r="N127">
        <v>0</v>
      </c>
    </row>
    <row r="128" spans="3:14" customFormat="1" ht="15" customHeight="1" x14ac:dyDescent="0.15">
      <c r="C128">
        <f t="shared" si="1"/>
        <v>127</v>
      </c>
      <c r="E128" t="s">
        <v>347</v>
      </c>
      <c r="F128">
        <v>3</v>
      </c>
      <c r="G128">
        <v>0</v>
      </c>
      <c r="H128">
        <v>0</v>
      </c>
      <c r="I128">
        <v>0</v>
      </c>
      <c r="L128">
        <v>0</v>
      </c>
      <c r="M128">
        <v>0</v>
      </c>
      <c r="N128">
        <v>0</v>
      </c>
    </row>
    <row r="129" spans="3:14" customFormat="1" ht="15" customHeight="1" x14ac:dyDescent="0.15">
      <c r="C129">
        <f t="shared" si="1"/>
        <v>128</v>
      </c>
      <c r="E129" t="s">
        <v>348</v>
      </c>
      <c r="F129">
        <v>3</v>
      </c>
      <c r="G129">
        <v>0</v>
      </c>
      <c r="H129">
        <v>0</v>
      </c>
      <c r="I129">
        <v>0</v>
      </c>
      <c r="L129">
        <v>0</v>
      </c>
      <c r="M129">
        <v>0</v>
      </c>
      <c r="N129">
        <v>0</v>
      </c>
    </row>
    <row r="130" spans="3:14" customFormat="1" ht="15" customHeight="1" x14ac:dyDescent="0.15">
      <c r="C130">
        <f t="shared" si="1"/>
        <v>129</v>
      </c>
      <c r="E130" t="s">
        <v>349</v>
      </c>
      <c r="F130">
        <v>3</v>
      </c>
      <c r="G130">
        <v>0</v>
      </c>
      <c r="H130">
        <v>0</v>
      </c>
      <c r="I130">
        <v>0</v>
      </c>
      <c r="L130">
        <v>0</v>
      </c>
      <c r="M130">
        <v>0</v>
      </c>
      <c r="N130">
        <v>0</v>
      </c>
    </row>
    <row r="131" spans="3:14" customFormat="1" ht="15" customHeight="1" x14ac:dyDescent="0.15">
      <c r="C131">
        <f t="shared" si="1"/>
        <v>130</v>
      </c>
      <c r="E131" t="s">
        <v>350</v>
      </c>
      <c r="F131">
        <v>3</v>
      </c>
      <c r="G131">
        <v>0</v>
      </c>
      <c r="H131">
        <v>0</v>
      </c>
      <c r="I131">
        <v>0</v>
      </c>
      <c r="L131">
        <v>0</v>
      </c>
      <c r="M131">
        <v>0</v>
      </c>
      <c r="N131">
        <v>0</v>
      </c>
    </row>
    <row r="132" spans="3:14" customFormat="1" ht="15" customHeight="1" x14ac:dyDescent="0.15">
      <c r="C132">
        <f t="shared" ref="C132:C137" si="2">C131+1</f>
        <v>131</v>
      </c>
      <c r="E132" t="s">
        <v>351</v>
      </c>
      <c r="F132">
        <v>3</v>
      </c>
      <c r="G132">
        <v>0</v>
      </c>
      <c r="H132">
        <v>0</v>
      </c>
      <c r="I132">
        <v>0</v>
      </c>
      <c r="L132">
        <v>0</v>
      </c>
      <c r="M132">
        <v>0</v>
      </c>
      <c r="N132">
        <v>0</v>
      </c>
    </row>
    <row r="133" spans="3:14" customFormat="1" ht="15" customHeight="1" x14ac:dyDescent="0.15">
      <c r="C133">
        <f t="shared" si="2"/>
        <v>132</v>
      </c>
      <c r="E133" t="s">
        <v>352</v>
      </c>
      <c r="F133">
        <v>3</v>
      </c>
      <c r="G133">
        <v>0</v>
      </c>
      <c r="H133">
        <v>0</v>
      </c>
      <c r="I133">
        <v>0</v>
      </c>
      <c r="L133">
        <v>0</v>
      </c>
      <c r="M133">
        <v>0</v>
      </c>
      <c r="N133">
        <v>0</v>
      </c>
    </row>
    <row r="134" spans="3:14" customFormat="1" ht="15" customHeight="1" x14ac:dyDescent="0.15">
      <c r="C134">
        <f t="shared" si="2"/>
        <v>133</v>
      </c>
      <c r="E134" t="s">
        <v>353</v>
      </c>
      <c r="F134">
        <v>3</v>
      </c>
      <c r="G134">
        <v>0</v>
      </c>
      <c r="H134">
        <v>0</v>
      </c>
      <c r="I134">
        <v>0</v>
      </c>
      <c r="L134">
        <v>0</v>
      </c>
      <c r="M134">
        <v>0</v>
      </c>
      <c r="N134">
        <v>0</v>
      </c>
    </row>
    <row r="135" spans="3:14" customFormat="1" ht="15" customHeight="1" x14ac:dyDescent="0.15">
      <c r="C135">
        <f t="shared" si="2"/>
        <v>134</v>
      </c>
      <c r="E135" t="s">
        <v>354</v>
      </c>
      <c r="F135">
        <v>3</v>
      </c>
      <c r="G135">
        <v>0</v>
      </c>
      <c r="H135">
        <v>0</v>
      </c>
      <c r="I135">
        <v>0</v>
      </c>
      <c r="L135">
        <v>0</v>
      </c>
      <c r="M135">
        <v>0</v>
      </c>
      <c r="N135">
        <v>0</v>
      </c>
    </row>
    <row r="136" spans="3:14" customFormat="1" ht="15" customHeight="1" x14ac:dyDescent="0.15">
      <c r="C136">
        <f t="shared" si="2"/>
        <v>135</v>
      </c>
      <c r="E136" t="s">
        <v>355</v>
      </c>
      <c r="F136">
        <v>3</v>
      </c>
      <c r="G136">
        <v>0</v>
      </c>
      <c r="H136">
        <v>0</v>
      </c>
      <c r="I136">
        <v>0</v>
      </c>
      <c r="L136">
        <v>0</v>
      </c>
      <c r="M136">
        <v>0</v>
      </c>
      <c r="N136">
        <v>0</v>
      </c>
    </row>
    <row r="137" spans="3:14" customFormat="1" ht="15" customHeight="1" x14ac:dyDescent="0.15">
      <c r="C137">
        <f t="shared" si="2"/>
        <v>136</v>
      </c>
      <c r="E137" t="s">
        <v>356</v>
      </c>
      <c r="F137">
        <v>3</v>
      </c>
      <c r="G137">
        <v>0</v>
      </c>
      <c r="H137">
        <v>0</v>
      </c>
      <c r="I137">
        <v>0</v>
      </c>
      <c r="L137">
        <v>0</v>
      </c>
      <c r="M137">
        <v>0</v>
      </c>
      <c r="N137">
        <v>0</v>
      </c>
    </row>
    <row r="138" spans="3:14" customFormat="1" ht="15" customHeight="1" x14ac:dyDescent="0.15"/>
    <row r="139" spans="3:14" customFormat="1" ht="15" customHeight="1" x14ac:dyDescent="0.15"/>
    <row r="140" spans="3:14" customFormat="1" ht="15" customHeight="1" x14ac:dyDescent="0.15"/>
    <row r="141" spans="3:14" customFormat="1" ht="15" customHeight="1" x14ac:dyDescent="0.15"/>
    <row r="142" spans="3:14" customFormat="1" ht="15" customHeight="1" x14ac:dyDescent="0.15"/>
    <row r="143" spans="3:14" customFormat="1" ht="15" customHeight="1" x14ac:dyDescent="0.15">
      <c r="E143" s="1" t="s">
        <v>191</v>
      </c>
    </row>
    <row r="144" spans="3:14" customFormat="1" ht="15" customHeight="1" x14ac:dyDescent="0.15"/>
    <row r="145" spans="5:9" customFormat="1" ht="15" customHeight="1" x14ac:dyDescent="0.15">
      <c r="E145" t="s">
        <v>192</v>
      </c>
    </row>
    <row r="146" spans="5:9" customFormat="1" ht="15" customHeight="1" x14ac:dyDescent="0.15">
      <c r="F146" t="s">
        <v>193</v>
      </c>
    </row>
    <row r="147" spans="5:9" customFormat="1" ht="15" customHeight="1" x14ac:dyDescent="0.15">
      <c r="E147" t="s">
        <v>194</v>
      </c>
      <c r="F147" t="s">
        <v>177</v>
      </c>
      <c r="G147" t="s">
        <v>195</v>
      </c>
    </row>
    <row r="148" spans="5:9" customFormat="1" ht="15" customHeight="1" x14ac:dyDescent="0.15"/>
    <row r="149" spans="5:9" customFormat="1" ht="15" customHeight="1" x14ac:dyDescent="0.15">
      <c r="E149" t="s">
        <v>196</v>
      </c>
      <c r="F149" t="s">
        <v>197</v>
      </c>
    </row>
    <row r="150" spans="5:9" customFormat="1" ht="15" customHeight="1" x14ac:dyDescent="0.15">
      <c r="F150" t="s">
        <v>198</v>
      </c>
    </row>
    <row r="151" spans="5:9" customFormat="1" ht="15" customHeight="1" x14ac:dyDescent="0.15">
      <c r="F151" s="212" t="s">
        <v>199</v>
      </c>
    </row>
    <row r="152" spans="5:9" customFormat="1" ht="15" customHeight="1" x14ac:dyDescent="0.15"/>
    <row r="153" spans="5:9" customFormat="1" ht="15" customHeight="1" x14ac:dyDescent="0.15">
      <c r="E153" t="s">
        <v>200</v>
      </c>
      <c r="F153" t="s">
        <v>201</v>
      </c>
    </row>
    <row r="154" spans="5:9" customFormat="1" ht="15" customHeight="1" x14ac:dyDescent="0.15"/>
    <row r="155" spans="5:9" customFormat="1" ht="15" customHeight="1" x14ac:dyDescent="0.15">
      <c r="E155" t="s">
        <v>202</v>
      </c>
      <c r="F155" t="s">
        <v>203</v>
      </c>
      <c r="I155" t="s">
        <v>204</v>
      </c>
    </row>
    <row r="156" spans="5:9" customFormat="1" ht="15" customHeight="1" x14ac:dyDescent="0.15">
      <c r="G156" t="s">
        <v>205</v>
      </c>
      <c r="I156" t="s">
        <v>179</v>
      </c>
    </row>
    <row r="157" spans="5:9" customFormat="1" ht="15" customHeight="1" x14ac:dyDescent="0.15">
      <c r="I157" t="s">
        <v>206</v>
      </c>
    </row>
    <row r="158" spans="5:9" customFormat="1" ht="15" customHeight="1" x14ac:dyDescent="0.15">
      <c r="I158" t="s">
        <v>207</v>
      </c>
    </row>
    <row r="159" spans="5:9" customFormat="1" ht="15" customHeight="1" x14ac:dyDescent="0.15"/>
    <row r="160" spans="5:9" customFormat="1" ht="15" customHeight="1" x14ac:dyDescent="0.15">
      <c r="G160" t="s">
        <v>178</v>
      </c>
      <c r="I160" t="s">
        <v>179</v>
      </c>
    </row>
    <row r="161" spans="4:10" customFormat="1" ht="15" customHeight="1" x14ac:dyDescent="0.15"/>
    <row r="162" spans="4:10" customFormat="1" ht="15" customHeight="1" x14ac:dyDescent="0.15">
      <c r="G162" t="s">
        <v>208</v>
      </c>
      <c r="I162" t="s">
        <v>189</v>
      </c>
    </row>
    <row r="163" spans="4:10" customFormat="1" ht="15" customHeight="1" x14ac:dyDescent="0.15"/>
    <row r="164" spans="4:10" customFormat="1" ht="15" customHeight="1" x14ac:dyDescent="0.15">
      <c r="D164" s="213" t="s">
        <v>209</v>
      </c>
      <c r="E164" s="3" t="s">
        <v>210</v>
      </c>
      <c r="F164" t="s">
        <v>203</v>
      </c>
      <c r="I164" t="s">
        <v>204</v>
      </c>
    </row>
    <row r="165" spans="4:10" customFormat="1" ht="15" customHeight="1" x14ac:dyDescent="0.15">
      <c r="G165" t="s">
        <v>211</v>
      </c>
      <c r="I165" t="s">
        <v>179</v>
      </c>
    </row>
    <row r="166" spans="4:10" customFormat="1" ht="15" customHeight="1" x14ac:dyDescent="0.15">
      <c r="I166" t="s">
        <v>186</v>
      </c>
      <c r="J166" t="s">
        <v>212</v>
      </c>
    </row>
    <row r="167" spans="4:10" customFormat="1" ht="15" customHeight="1" x14ac:dyDescent="0.15">
      <c r="I167" t="s">
        <v>187</v>
      </c>
      <c r="J167" t="s">
        <v>212</v>
      </c>
    </row>
    <row r="168" spans="4:10" customFormat="1" ht="15" customHeight="1" x14ac:dyDescent="0.15">
      <c r="I168" t="s">
        <v>213</v>
      </c>
    </row>
    <row r="169" spans="4:10" customFormat="1" ht="15" customHeight="1" x14ac:dyDescent="0.15"/>
    <row r="170" spans="4:10" customFormat="1" ht="15" customHeight="1" x14ac:dyDescent="0.15">
      <c r="G170" t="s">
        <v>214</v>
      </c>
      <c r="I170" t="s">
        <v>180</v>
      </c>
    </row>
    <row r="171" spans="4:10" customFormat="1" ht="15" customHeight="1" x14ac:dyDescent="0.15">
      <c r="I171" t="s">
        <v>179</v>
      </c>
    </row>
    <row r="172" spans="4:10" customFormat="1" ht="15" customHeight="1" x14ac:dyDescent="0.15">
      <c r="I172" t="s">
        <v>213</v>
      </c>
    </row>
    <row r="173" spans="4:10" customFormat="1" ht="15" customHeight="1" x14ac:dyDescent="0.15"/>
    <row r="174" spans="4:10" customFormat="1" ht="15" customHeight="1" x14ac:dyDescent="0.15">
      <c r="G174" t="s">
        <v>215</v>
      </c>
      <c r="I174" t="s">
        <v>179</v>
      </c>
    </row>
    <row r="175" spans="4:10" customFormat="1" ht="15" customHeight="1" x14ac:dyDescent="0.15"/>
    <row r="176" spans="4:10" customFormat="1" ht="15" customHeight="1" x14ac:dyDescent="0.15"/>
    <row r="177" spans="5:6" customFormat="1" ht="15" customHeight="1" x14ac:dyDescent="0.15">
      <c r="F177" t="s">
        <v>216</v>
      </c>
    </row>
    <row r="178" spans="5:6" customFormat="1" ht="15" customHeight="1" x14ac:dyDescent="0.15">
      <c r="F178" t="s">
        <v>217</v>
      </c>
    </row>
    <row r="179" spans="5:6" customFormat="1" ht="15" customHeight="1" x14ac:dyDescent="0.15"/>
    <row r="180" spans="5:6" customFormat="1" ht="15" customHeight="1" x14ac:dyDescent="0.15"/>
    <row r="181" spans="5:6" customFormat="1" ht="15" customHeight="1" x14ac:dyDescent="0.15">
      <c r="E181" s="214" t="s">
        <v>218</v>
      </c>
      <c r="F181" t="s">
        <v>219</v>
      </c>
    </row>
    <row r="182" spans="5:6" customFormat="1" ht="15" customHeight="1" x14ac:dyDescent="0.15"/>
    <row r="183" spans="5:6" customFormat="1" ht="15" customHeight="1" x14ac:dyDescent="0.15"/>
    <row r="184" spans="5:6" customFormat="1" ht="15" customHeight="1" x14ac:dyDescent="0.15"/>
    <row r="185" spans="5:6" customFormat="1" ht="15" customHeight="1" x14ac:dyDescent="0.15"/>
    <row r="186" spans="5:6" customFormat="1" ht="15" customHeight="1" x14ac:dyDescent="0.15"/>
    <row r="187" spans="5:6" customFormat="1" ht="15" customHeight="1" x14ac:dyDescent="0.15"/>
    <row r="188" spans="5:6" customFormat="1" ht="15" customHeight="1" x14ac:dyDescent="0.15">
      <c r="E188" s="3" t="s">
        <v>220</v>
      </c>
      <c r="F188" t="s">
        <v>221</v>
      </c>
    </row>
    <row r="189" spans="5:6" customFormat="1" ht="15" customHeight="1" x14ac:dyDescent="0.15"/>
    <row r="190" spans="5:6" customFormat="1" ht="15" customHeight="1" x14ac:dyDescent="0.15"/>
    <row r="191" spans="5:6" customFormat="1" ht="15" customHeight="1" x14ac:dyDescent="0.15"/>
    <row r="192" spans="5:6" customFormat="1" ht="15" customHeight="1" x14ac:dyDescent="0.15"/>
    <row r="193" spans="3:16" customFormat="1" ht="15" customHeight="1" x14ac:dyDescent="0.15"/>
    <row r="194" spans="3:16" customFormat="1" ht="15" customHeight="1" x14ac:dyDescent="0.15"/>
    <row r="195" spans="3:16" customFormat="1" ht="15" customHeight="1" x14ac:dyDescent="0.15"/>
    <row r="196" spans="3:16" customFormat="1" ht="15" customHeight="1" x14ac:dyDescent="0.15"/>
    <row r="197" spans="3:16" customFormat="1" ht="15" customHeight="1" x14ac:dyDescent="0.15"/>
    <row r="198" spans="3:16" customFormat="1" ht="15" customHeight="1" x14ac:dyDescent="0.15"/>
    <row r="199" spans="3:16" customFormat="1" ht="15" customHeight="1" x14ac:dyDescent="0.15"/>
    <row r="200" spans="3:16" customFormat="1" ht="15" customHeight="1" x14ac:dyDescent="0.15"/>
    <row r="201" spans="3:16" customFormat="1" ht="15" customHeight="1" x14ac:dyDescent="0.15"/>
    <row r="202" spans="3:16" customFormat="1" ht="15" customHeight="1" x14ac:dyDescent="0.15"/>
    <row r="203" spans="3:16" customFormat="1" ht="15" customHeight="1" x14ac:dyDescent="0.15"/>
    <row r="204" spans="3:16" customFormat="1" ht="15" customHeight="1" x14ac:dyDescent="0.15"/>
    <row r="205" spans="3:16" customFormat="1" ht="15" customHeight="1" x14ac:dyDescent="0.15"/>
    <row r="206" spans="3:16" customFormat="1" ht="15" customHeight="1" x14ac:dyDescent="0.15"/>
    <row r="207" spans="3:16" ht="15" customHeight="1" x14ac:dyDescent="0.2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3:16" ht="15" customHeight="1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3:16" ht="15" customHeigh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3:16" ht="15" customHeight="1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3:16" ht="15" customHeight="1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EG386"/>
  <sheetViews>
    <sheetView workbookViewId="0">
      <pane xSplit="1" ySplit="1" topLeftCell="B118" activePane="bottomRight" state="frozen"/>
      <selection pane="topRight" activeCell="B1" sqref="B1"/>
      <selection pane="bottomLeft" activeCell="A2" sqref="A2"/>
      <selection pane="bottomRight" activeCell="A2" sqref="A2:A124"/>
    </sheetView>
  </sheetViews>
  <sheetFormatPr baseColWidth="10" defaultColWidth="8.83203125" defaultRowHeight="13" x14ac:dyDescent="0.15"/>
  <cols>
    <col min="1" max="1" width="40.1640625" bestFit="1" customWidth="1"/>
    <col min="25" max="26" width="8.83203125" style="3"/>
    <col min="38" max="38" width="9.1640625" bestFit="1" customWidth="1"/>
  </cols>
  <sheetData>
    <row r="1" spans="1:137" x14ac:dyDescent="0.15">
      <c r="A1" s="2" t="s">
        <v>19</v>
      </c>
      <c r="B1" s="215" t="s">
        <v>225</v>
      </c>
      <c r="C1" s="215" t="s">
        <v>226</v>
      </c>
      <c r="D1" s="215" t="s">
        <v>227</v>
      </c>
      <c r="E1" s="215" t="s">
        <v>228</v>
      </c>
      <c r="F1" s="215" t="s">
        <v>229</v>
      </c>
      <c r="G1" s="215" t="s">
        <v>230</v>
      </c>
      <c r="H1" s="215" t="s">
        <v>231</v>
      </c>
      <c r="I1" s="215" t="s">
        <v>232</v>
      </c>
      <c r="J1" s="215" t="s">
        <v>233</v>
      </c>
      <c r="K1" s="215" t="s">
        <v>234</v>
      </c>
      <c r="L1" s="215" t="s">
        <v>235</v>
      </c>
      <c r="M1" s="215" t="s">
        <v>236</v>
      </c>
      <c r="N1" s="215" t="s">
        <v>237</v>
      </c>
      <c r="O1" s="215" t="s">
        <v>238</v>
      </c>
      <c r="P1" s="215" t="s">
        <v>239</v>
      </c>
      <c r="Q1" s="215" t="s">
        <v>240</v>
      </c>
      <c r="R1" s="215" t="s">
        <v>241</v>
      </c>
      <c r="S1" s="216" t="s">
        <v>242</v>
      </c>
      <c r="T1" s="215" t="s">
        <v>243</v>
      </c>
      <c r="U1" s="215" t="s">
        <v>244</v>
      </c>
      <c r="V1" s="215" t="s">
        <v>245</v>
      </c>
      <c r="W1" s="215" t="s">
        <v>246</v>
      </c>
      <c r="X1" s="215" t="s">
        <v>247</v>
      </c>
      <c r="Y1" s="217" t="s">
        <v>248</v>
      </c>
      <c r="Z1" s="217" t="s">
        <v>249</v>
      </c>
      <c r="AA1" s="215" t="s">
        <v>250</v>
      </c>
      <c r="AB1" s="215" t="s">
        <v>251</v>
      </c>
      <c r="AC1" s="215" t="s">
        <v>252</v>
      </c>
      <c r="AD1" s="215" t="s">
        <v>253</v>
      </c>
      <c r="AE1" s="215" t="s">
        <v>254</v>
      </c>
      <c r="AF1" s="215" t="s">
        <v>177</v>
      </c>
      <c r="AG1" s="215" t="s">
        <v>255</v>
      </c>
      <c r="AH1" s="216" t="s">
        <v>256</v>
      </c>
      <c r="AI1" s="215" t="s">
        <v>257</v>
      </c>
      <c r="AJ1" s="215" t="s">
        <v>178</v>
      </c>
      <c r="AK1" s="215" t="s">
        <v>258</v>
      </c>
      <c r="AL1" s="216" t="s">
        <v>179</v>
      </c>
      <c r="AM1" s="215" t="s">
        <v>259</v>
      </c>
      <c r="AN1" s="215" t="s">
        <v>260</v>
      </c>
      <c r="AO1" s="215" t="s">
        <v>261</v>
      </c>
      <c r="AP1" s="215" t="s">
        <v>262</v>
      </c>
      <c r="AQ1" s="215" t="s">
        <v>263</v>
      </c>
      <c r="AR1" s="215" t="s">
        <v>264</v>
      </c>
      <c r="AS1" s="215" t="s">
        <v>265</v>
      </c>
      <c r="AT1" s="215" t="s">
        <v>266</v>
      </c>
      <c r="AU1" s="215" t="s">
        <v>267</v>
      </c>
      <c r="AV1" s="215" t="s">
        <v>268</v>
      </c>
      <c r="AW1" s="215" t="s">
        <v>269</v>
      </c>
      <c r="AX1" s="216" t="s">
        <v>270</v>
      </c>
      <c r="AY1" s="215" t="s">
        <v>271</v>
      </c>
      <c r="AZ1" s="215" t="s">
        <v>272</v>
      </c>
      <c r="BA1" s="215" t="s">
        <v>273</v>
      </c>
      <c r="BB1" s="215" t="s">
        <v>274</v>
      </c>
      <c r="BC1" s="215" t="s">
        <v>275</v>
      </c>
      <c r="BD1" s="215" t="s">
        <v>276</v>
      </c>
      <c r="BE1" s="215" t="s">
        <v>277</v>
      </c>
      <c r="BF1" s="215" t="s">
        <v>278</v>
      </c>
      <c r="BG1" s="215" t="s">
        <v>279</v>
      </c>
      <c r="BH1" s="215" t="s">
        <v>280</v>
      </c>
      <c r="BI1" s="215" t="s">
        <v>281</v>
      </c>
      <c r="BJ1" s="215" t="s">
        <v>282</v>
      </c>
      <c r="BK1" s="215" t="s">
        <v>283</v>
      </c>
      <c r="BL1" s="215" t="s">
        <v>284</v>
      </c>
      <c r="BM1" s="215" t="s">
        <v>285</v>
      </c>
      <c r="BN1" s="215" t="s">
        <v>286</v>
      </c>
      <c r="BO1" s="215" t="s">
        <v>287</v>
      </c>
      <c r="BP1" s="215" t="s">
        <v>288</v>
      </c>
      <c r="BQ1" s="215" t="s">
        <v>289</v>
      </c>
      <c r="BR1" s="215" t="s">
        <v>290</v>
      </c>
      <c r="BS1" s="215" t="s">
        <v>291</v>
      </c>
      <c r="BT1" s="216" t="s">
        <v>180</v>
      </c>
      <c r="BU1" s="215" t="s">
        <v>292</v>
      </c>
      <c r="BV1" s="215" t="s">
        <v>293</v>
      </c>
      <c r="BW1" s="215" t="s">
        <v>294</v>
      </c>
      <c r="BX1" s="215" t="s">
        <v>295</v>
      </c>
      <c r="BY1" s="215" t="s">
        <v>296</v>
      </c>
      <c r="BZ1" s="215" t="s">
        <v>297</v>
      </c>
      <c r="CA1" s="215" t="s">
        <v>298</v>
      </c>
      <c r="CB1" s="215" t="s">
        <v>299</v>
      </c>
      <c r="CC1" s="215" t="s">
        <v>300</v>
      </c>
      <c r="CD1" s="215" t="s">
        <v>301</v>
      </c>
      <c r="CE1" s="215" t="s">
        <v>302</v>
      </c>
      <c r="CF1" s="215" t="s">
        <v>303</v>
      </c>
      <c r="CG1" s="215" t="s">
        <v>304</v>
      </c>
      <c r="CH1" s="215" t="s">
        <v>305</v>
      </c>
      <c r="CI1" s="215" t="s">
        <v>306</v>
      </c>
      <c r="CJ1" s="215" t="s">
        <v>307</v>
      </c>
      <c r="CK1" s="215" t="s">
        <v>308</v>
      </c>
      <c r="CL1" s="215" t="s">
        <v>309</v>
      </c>
      <c r="CM1" s="215" t="s">
        <v>310</v>
      </c>
      <c r="CN1" s="215" t="s">
        <v>311</v>
      </c>
      <c r="CO1" s="215" t="s">
        <v>312</v>
      </c>
      <c r="CP1" s="215" t="s">
        <v>313</v>
      </c>
      <c r="CQ1" s="215" t="s">
        <v>314</v>
      </c>
      <c r="CR1" s="215" t="s">
        <v>315</v>
      </c>
      <c r="CS1" s="215" t="s">
        <v>316</v>
      </c>
      <c r="CT1" s="215" t="s">
        <v>317</v>
      </c>
      <c r="CU1" s="215" t="s">
        <v>318</v>
      </c>
      <c r="CV1" s="215" t="s">
        <v>319</v>
      </c>
      <c r="CW1" s="215" t="s">
        <v>320</v>
      </c>
      <c r="CX1" s="215" t="s">
        <v>321</v>
      </c>
      <c r="CY1" s="215" t="s">
        <v>322</v>
      </c>
      <c r="CZ1" s="215" t="s">
        <v>323</v>
      </c>
      <c r="DA1" s="215" t="s">
        <v>324</v>
      </c>
      <c r="DB1" s="215" t="s">
        <v>325</v>
      </c>
      <c r="DC1" s="215" t="s">
        <v>326</v>
      </c>
      <c r="DD1" s="215" t="s">
        <v>327</v>
      </c>
      <c r="DE1" s="215" t="s">
        <v>328</v>
      </c>
      <c r="DF1" s="215" t="s">
        <v>329</v>
      </c>
      <c r="DG1" s="215" t="s">
        <v>330</v>
      </c>
      <c r="DH1" s="215" t="s">
        <v>331</v>
      </c>
      <c r="DI1" s="215" t="s">
        <v>332</v>
      </c>
      <c r="DJ1" s="215" t="s">
        <v>333</v>
      </c>
      <c r="DK1" s="215" t="s">
        <v>334</v>
      </c>
      <c r="DL1" s="215" t="s">
        <v>335</v>
      </c>
      <c r="DM1" s="218" t="s">
        <v>336</v>
      </c>
      <c r="DN1" s="218" t="s">
        <v>337</v>
      </c>
      <c r="DO1" s="218" t="s">
        <v>338</v>
      </c>
      <c r="DP1" s="218" t="s">
        <v>339</v>
      </c>
      <c r="DQ1" s="218" t="s">
        <v>340</v>
      </c>
      <c r="DR1" s="218" t="s">
        <v>341</v>
      </c>
      <c r="DS1" s="218" t="s">
        <v>342</v>
      </c>
      <c r="DT1" s="218" t="s">
        <v>343</v>
      </c>
      <c r="DU1" t="s">
        <v>344</v>
      </c>
      <c r="DV1" t="s">
        <v>345</v>
      </c>
      <c r="DW1" t="s">
        <v>346</v>
      </c>
      <c r="DX1" t="s">
        <v>347</v>
      </c>
      <c r="DY1" t="s">
        <v>348</v>
      </c>
      <c r="DZ1" t="s">
        <v>349</v>
      </c>
      <c r="EA1" t="s">
        <v>350</v>
      </c>
      <c r="EB1" t="s">
        <v>351</v>
      </c>
      <c r="EC1" t="s">
        <v>352</v>
      </c>
      <c r="ED1" t="s">
        <v>353</v>
      </c>
      <c r="EE1" t="s">
        <v>354</v>
      </c>
      <c r="EF1" t="s">
        <v>355</v>
      </c>
      <c r="EG1" t="s">
        <v>356</v>
      </c>
    </row>
    <row r="2" spans="1:137" x14ac:dyDescent="0.15">
      <c r="A2" s="156" t="s">
        <v>225</v>
      </c>
      <c r="B2" s="21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3">
        <v>0</v>
      </c>
      <c r="Z2" s="3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 s="204">
        <v>0</v>
      </c>
      <c r="DN2" s="204">
        <v>0</v>
      </c>
      <c r="DO2" s="204">
        <v>0</v>
      </c>
      <c r="DP2" s="204">
        <v>0</v>
      </c>
      <c r="DQ2" s="204">
        <v>0</v>
      </c>
      <c r="DR2" s="204">
        <v>0</v>
      </c>
      <c r="DS2" s="204">
        <v>0</v>
      </c>
      <c r="DT2" s="204">
        <v>0</v>
      </c>
    </row>
    <row r="3" spans="1:137" x14ac:dyDescent="0.15">
      <c r="A3" s="156" t="s">
        <v>226</v>
      </c>
      <c r="B3">
        <v>0</v>
      </c>
      <c r="C3" s="212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3">
        <v>0</v>
      </c>
      <c r="Z3" s="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 s="204">
        <v>0</v>
      </c>
      <c r="DN3" s="204">
        <v>0</v>
      </c>
      <c r="DO3" s="204">
        <v>0</v>
      </c>
      <c r="DP3" s="204">
        <v>0</v>
      </c>
      <c r="DQ3" s="204">
        <v>0</v>
      </c>
      <c r="DR3" s="204">
        <v>0</v>
      </c>
      <c r="DS3" s="204">
        <v>0</v>
      </c>
      <c r="DT3" s="204">
        <v>0</v>
      </c>
    </row>
    <row r="4" spans="1:137" x14ac:dyDescent="0.15">
      <c r="A4" s="156" t="s">
        <v>227</v>
      </c>
      <c r="B4">
        <v>0</v>
      </c>
      <c r="C4">
        <v>0</v>
      </c>
      <c r="D4" s="212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3">
        <v>0</v>
      </c>
      <c r="Z4" s="3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 s="204">
        <v>0</v>
      </c>
      <c r="DN4" s="204">
        <v>0</v>
      </c>
      <c r="DO4" s="204">
        <v>0</v>
      </c>
      <c r="DP4" s="204">
        <v>0</v>
      </c>
      <c r="DQ4" s="204">
        <v>0</v>
      </c>
      <c r="DR4" s="204">
        <v>0</v>
      </c>
      <c r="DS4" s="204">
        <v>0</v>
      </c>
      <c r="DT4" s="204">
        <v>0</v>
      </c>
    </row>
    <row r="5" spans="1:137" x14ac:dyDescent="0.15">
      <c r="A5" s="156" t="s">
        <v>228</v>
      </c>
      <c r="B5" s="138">
        <v>2.598137E-2</v>
      </c>
      <c r="C5">
        <v>0</v>
      </c>
      <c r="D5">
        <v>0</v>
      </c>
      <c r="E5" s="212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3">
        <v>0</v>
      </c>
      <c r="Z5" s="3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 s="204">
        <v>0</v>
      </c>
      <c r="DN5" s="204">
        <v>0</v>
      </c>
      <c r="DO5" s="204">
        <v>0</v>
      </c>
      <c r="DP5" s="204">
        <v>0</v>
      </c>
      <c r="DQ5" s="204">
        <v>0</v>
      </c>
      <c r="DR5" s="204">
        <v>0</v>
      </c>
      <c r="DS5" s="204">
        <v>0</v>
      </c>
      <c r="DT5" s="204">
        <v>0</v>
      </c>
    </row>
    <row r="6" spans="1:137" x14ac:dyDescent="0.15">
      <c r="A6" s="156" t="s">
        <v>229</v>
      </c>
      <c r="B6">
        <v>8.59539E-2</v>
      </c>
      <c r="C6">
        <v>0</v>
      </c>
      <c r="D6">
        <v>0</v>
      </c>
      <c r="E6">
        <v>0</v>
      </c>
      <c r="F6" s="212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3">
        <v>0</v>
      </c>
      <c r="Z6" s="3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 s="204">
        <v>0</v>
      </c>
      <c r="DN6" s="204">
        <v>0</v>
      </c>
      <c r="DO6" s="204">
        <v>0</v>
      </c>
      <c r="DP6" s="204">
        <v>0</v>
      </c>
      <c r="DQ6" s="204">
        <v>0</v>
      </c>
      <c r="DR6" s="204">
        <v>0</v>
      </c>
      <c r="DS6" s="204">
        <v>0</v>
      </c>
      <c r="DT6" s="204">
        <v>0</v>
      </c>
    </row>
    <row r="7" spans="1:137" x14ac:dyDescent="0.15">
      <c r="A7" s="156" t="s">
        <v>230</v>
      </c>
      <c r="B7">
        <v>0.2766033</v>
      </c>
      <c r="C7">
        <v>0</v>
      </c>
      <c r="D7">
        <v>0</v>
      </c>
      <c r="E7">
        <v>0</v>
      </c>
      <c r="F7">
        <v>0</v>
      </c>
      <c r="G7" s="212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3">
        <v>0</v>
      </c>
      <c r="Z7" s="3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 s="204">
        <v>0</v>
      </c>
      <c r="DN7" s="204">
        <v>0</v>
      </c>
      <c r="DO7" s="204">
        <v>0</v>
      </c>
      <c r="DP7" s="204">
        <v>0</v>
      </c>
      <c r="DQ7" s="204">
        <v>0</v>
      </c>
      <c r="DR7" s="204">
        <v>0</v>
      </c>
      <c r="DS7" s="204">
        <v>0</v>
      </c>
      <c r="DT7" s="204">
        <v>0</v>
      </c>
    </row>
    <row r="8" spans="1:137" x14ac:dyDescent="0.15">
      <c r="A8" s="156" t="s">
        <v>231</v>
      </c>
      <c r="B8">
        <v>0.54296029999999995</v>
      </c>
      <c r="C8">
        <v>0</v>
      </c>
      <c r="D8">
        <v>0</v>
      </c>
      <c r="E8">
        <v>0</v>
      </c>
      <c r="F8">
        <v>0</v>
      </c>
      <c r="G8">
        <v>0</v>
      </c>
      <c r="H8" s="212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3">
        <v>0</v>
      </c>
      <c r="Z8" s="3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 s="204">
        <v>0</v>
      </c>
      <c r="DN8" s="204">
        <v>0</v>
      </c>
      <c r="DO8" s="204">
        <v>0</v>
      </c>
      <c r="DP8" s="204">
        <v>0</v>
      </c>
      <c r="DQ8" s="204">
        <v>0</v>
      </c>
      <c r="DR8" s="204">
        <v>0</v>
      </c>
      <c r="DS8" s="204">
        <v>0</v>
      </c>
      <c r="DT8" s="204">
        <v>0</v>
      </c>
    </row>
    <row r="9" spans="1:137" x14ac:dyDescent="0.15">
      <c r="A9" s="156" t="s">
        <v>232</v>
      </c>
      <c r="B9" s="138">
        <v>1.292366E-2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212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3">
        <v>0</v>
      </c>
      <c r="Z9" s="3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 s="204">
        <v>0</v>
      </c>
      <c r="DN9" s="204">
        <v>0</v>
      </c>
      <c r="DO9" s="204">
        <v>0</v>
      </c>
      <c r="DP9" s="204">
        <v>0</v>
      </c>
      <c r="DQ9" s="204">
        <v>0</v>
      </c>
      <c r="DR9" s="204">
        <v>0</v>
      </c>
      <c r="DS9" s="204">
        <v>0</v>
      </c>
      <c r="DT9" s="204">
        <v>0</v>
      </c>
    </row>
    <row r="10" spans="1:137" x14ac:dyDescent="0.15">
      <c r="A10" s="156" t="s">
        <v>233</v>
      </c>
      <c r="B10" s="138">
        <v>5.5123330000000003E-3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s="212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3">
        <v>0</v>
      </c>
      <c r="Z10" s="3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 s="204">
        <v>0</v>
      </c>
      <c r="DN10" s="204">
        <v>0</v>
      </c>
      <c r="DO10" s="204">
        <v>0</v>
      </c>
      <c r="DP10" s="204">
        <v>0</v>
      </c>
      <c r="DQ10" s="204">
        <v>0</v>
      </c>
      <c r="DR10" s="204">
        <v>0</v>
      </c>
      <c r="DS10" s="204">
        <v>0</v>
      </c>
      <c r="DT10" s="204">
        <v>0</v>
      </c>
    </row>
    <row r="11" spans="1:137" x14ac:dyDescent="0.15">
      <c r="A11" s="156" t="s">
        <v>234</v>
      </c>
      <c r="B11" s="138">
        <v>4.0003549999999997E-3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212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3">
        <v>0</v>
      </c>
      <c r="Z11" s="3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 s="204">
        <v>0</v>
      </c>
      <c r="DN11" s="204">
        <v>0</v>
      </c>
      <c r="DO11" s="204">
        <v>0</v>
      </c>
      <c r="DP11" s="204">
        <v>0</v>
      </c>
      <c r="DQ11" s="204">
        <v>0</v>
      </c>
      <c r="DR11" s="204">
        <v>0</v>
      </c>
      <c r="DS11" s="204">
        <v>0</v>
      </c>
      <c r="DT11" s="204">
        <v>0</v>
      </c>
    </row>
    <row r="12" spans="1:137" x14ac:dyDescent="0.15">
      <c r="A12" s="156" t="s">
        <v>235</v>
      </c>
      <c r="B12" s="138">
        <v>5.3524510000000003E-3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3">
        <v>0</v>
      </c>
      <c r="Z12" s="3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 s="204">
        <v>0</v>
      </c>
      <c r="DN12" s="204">
        <v>0</v>
      </c>
      <c r="DO12" s="204">
        <v>0</v>
      </c>
      <c r="DP12" s="204">
        <v>0</v>
      </c>
      <c r="DQ12" s="204">
        <v>0</v>
      </c>
      <c r="DR12" s="204">
        <v>0</v>
      </c>
      <c r="DS12" s="204">
        <v>0</v>
      </c>
      <c r="DT12" s="204">
        <v>0</v>
      </c>
    </row>
    <row r="13" spans="1:137" x14ac:dyDescent="0.15">
      <c r="A13" s="156" t="s">
        <v>236</v>
      </c>
      <c r="B13" s="138">
        <v>5.5994659999999996E-4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212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3">
        <v>0</v>
      </c>
      <c r="Z13" s="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 s="204">
        <v>0</v>
      </c>
      <c r="DN13" s="204">
        <v>0</v>
      </c>
      <c r="DO13" s="204">
        <v>0</v>
      </c>
      <c r="DP13" s="204">
        <v>0</v>
      </c>
      <c r="DQ13" s="204">
        <v>0</v>
      </c>
      <c r="DR13" s="204">
        <v>0</v>
      </c>
      <c r="DS13" s="204">
        <v>0</v>
      </c>
      <c r="DT13" s="204">
        <v>0</v>
      </c>
    </row>
    <row r="14" spans="1:137" x14ac:dyDescent="0.15">
      <c r="A14" s="156" t="s">
        <v>237</v>
      </c>
      <c r="B14" s="138">
        <v>1.7164619999999998E-2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s="212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3">
        <v>0</v>
      </c>
      <c r="Z14" s="3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 s="204">
        <v>0</v>
      </c>
      <c r="DN14" s="204">
        <v>0</v>
      </c>
      <c r="DO14" s="204">
        <v>0</v>
      </c>
      <c r="DP14" s="204">
        <v>0</v>
      </c>
      <c r="DQ14" s="204">
        <v>0</v>
      </c>
      <c r="DR14" s="204">
        <v>0</v>
      </c>
      <c r="DS14" s="204">
        <v>0</v>
      </c>
      <c r="DT14" s="204">
        <v>0</v>
      </c>
    </row>
    <row r="15" spans="1:137" x14ac:dyDescent="0.15">
      <c r="A15" s="156" t="s">
        <v>238</v>
      </c>
      <c r="B15" s="138">
        <v>2.7213230000000001E-4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s="212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3">
        <v>0</v>
      </c>
      <c r="Z15" s="3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 s="204">
        <v>0</v>
      </c>
      <c r="DN15" s="204">
        <v>0</v>
      </c>
      <c r="DO15" s="204">
        <v>0</v>
      </c>
      <c r="DP15" s="204">
        <v>0</v>
      </c>
      <c r="DQ15" s="204">
        <v>0</v>
      </c>
      <c r="DR15" s="204">
        <v>0</v>
      </c>
      <c r="DS15" s="204">
        <v>0</v>
      </c>
      <c r="DT15" s="204">
        <v>0</v>
      </c>
    </row>
    <row r="16" spans="1:137" x14ac:dyDescent="0.15">
      <c r="A16" s="156" t="s">
        <v>239</v>
      </c>
      <c r="B16" s="138">
        <v>1.707966E-2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s="212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3">
        <v>0</v>
      </c>
      <c r="Z16" s="3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 s="204">
        <v>0</v>
      </c>
      <c r="DN16" s="204">
        <v>0</v>
      </c>
      <c r="DO16" s="204">
        <v>0</v>
      </c>
      <c r="DP16" s="204">
        <v>0</v>
      </c>
      <c r="DQ16" s="204">
        <v>0</v>
      </c>
      <c r="DR16" s="204">
        <v>0</v>
      </c>
      <c r="DS16" s="204">
        <v>0</v>
      </c>
      <c r="DT16" s="204">
        <v>0</v>
      </c>
    </row>
    <row r="17" spans="1:124" x14ac:dyDescent="0.15">
      <c r="A17" s="156" t="s">
        <v>240</v>
      </c>
      <c r="B17" s="138">
        <v>5.6359950000000004E-3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212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3">
        <v>0</v>
      </c>
      <c r="Z17" s="3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 s="204">
        <v>0</v>
      </c>
      <c r="DN17" s="204">
        <v>0</v>
      </c>
      <c r="DO17" s="204">
        <v>0</v>
      </c>
      <c r="DP17" s="204">
        <v>0</v>
      </c>
      <c r="DQ17" s="204">
        <v>0</v>
      </c>
      <c r="DR17" s="204">
        <v>0</v>
      </c>
      <c r="DS17" s="204">
        <v>0</v>
      </c>
      <c r="DT17" s="204">
        <v>0</v>
      </c>
    </row>
    <row r="18" spans="1:124" x14ac:dyDescent="0.15">
      <c r="A18" s="156" t="s">
        <v>241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138">
        <v>8.3832989999999997E-8</v>
      </c>
      <c r="P18" s="138">
        <v>1.33572E-9</v>
      </c>
      <c r="Q18">
        <v>0</v>
      </c>
      <c r="R18" s="212">
        <v>0</v>
      </c>
      <c r="S18">
        <v>0</v>
      </c>
      <c r="T18">
        <v>0</v>
      </c>
      <c r="U18">
        <v>0</v>
      </c>
      <c r="V18">
        <v>0</v>
      </c>
      <c r="W18" s="138">
        <v>1.324089E-5</v>
      </c>
      <c r="X18">
        <v>0</v>
      </c>
      <c r="Y18" s="3">
        <v>0</v>
      </c>
      <c r="Z18" s="3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 s="204">
        <v>0</v>
      </c>
      <c r="DN18" s="204">
        <v>0</v>
      </c>
      <c r="DO18" s="204">
        <v>0</v>
      </c>
      <c r="DP18" s="204">
        <v>0</v>
      </c>
      <c r="DQ18" s="204">
        <v>0</v>
      </c>
      <c r="DR18" s="204">
        <v>0</v>
      </c>
      <c r="DS18" s="204">
        <v>0</v>
      </c>
      <c r="DT18" s="204">
        <v>0</v>
      </c>
    </row>
    <row r="19" spans="1:124" x14ac:dyDescent="0.15">
      <c r="A19" s="156" t="s">
        <v>242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s="138">
        <v>4.7983490000000002E-6</v>
      </c>
      <c r="P19" s="138">
        <v>7.6452620000000001E-8</v>
      </c>
      <c r="Q19">
        <v>0</v>
      </c>
      <c r="R19">
        <v>0</v>
      </c>
      <c r="S19" s="212">
        <v>0</v>
      </c>
      <c r="T19">
        <v>0</v>
      </c>
      <c r="U19">
        <v>0</v>
      </c>
      <c r="V19">
        <v>0</v>
      </c>
      <c r="W19" s="138">
        <v>7.5786889999999996E-4</v>
      </c>
      <c r="X19">
        <v>0</v>
      </c>
      <c r="Y19" s="3">
        <v>0</v>
      </c>
      <c r="Z19" s="3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 s="204">
        <v>0</v>
      </c>
      <c r="DN19" s="204">
        <v>0</v>
      </c>
      <c r="DO19" s="204">
        <v>0</v>
      </c>
      <c r="DP19" s="204">
        <v>0</v>
      </c>
      <c r="DQ19" s="204">
        <v>0</v>
      </c>
      <c r="DR19" s="204">
        <v>0</v>
      </c>
      <c r="DS19" s="204">
        <v>0</v>
      </c>
      <c r="DT19" s="204">
        <v>0</v>
      </c>
    </row>
    <row r="20" spans="1:124" x14ac:dyDescent="0.15">
      <c r="A20" s="156" t="s">
        <v>243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s="138">
        <v>5.797938E-7</v>
      </c>
      <c r="P20" s="138">
        <v>9.2379169999999998E-9</v>
      </c>
      <c r="Q20">
        <v>0</v>
      </c>
      <c r="R20">
        <v>0</v>
      </c>
      <c r="S20">
        <v>0</v>
      </c>
      <c r="T20" s="212">
        <v>0</v>
      </c>
      <c r="U20">
        <v>0</v>
      </c>
      <c r="V20">
        <v>0</v>
      </c>
      <c r="W20" s="138">
        <v>9.1574719999999997E-5</v>
      </c>
      <c r="X20">
        <v>0</v>
      </c>
      <c r="Y20" s="3">
        <v>0</v>
      </c>
      <c r="Z20" s="3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 s="204">
        <v>0</v>
      </c>
      <c r="DN20" s="204">
        <v>0</v>
      </c>
      <c r="DO20" s="204">
        <v>0</v>
      </c>
      <c r="DP20" s="204">
        <v>0</v>
      </c>
      <c r="DQ20" s="204">
        <v>0</v>
      </c>
      <c r="DR20" s="204">
        <v>0</v>
      </c>
      <c r="DS20" s="204">
        <v>0</v>
      </c>
      <c r="DT20" s="204">
        <v>0</v>
      </c>
    </row>
    <row r="21" spans="1:124" x14ac:dyDescent="0.15">
      <c r="A21" s="156" t="s">
        <v>244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138">
        <v>4.803498E-8</v>
      </c>
      <c r="P21" s="138">
        <v>7.653466E-10</v>
      </c>
      <c r="Q21">
        <v>0</v>
      </c>
      <c r="R21">
        <v>0</v>
      </c>
      <c r="S21">
        <v>0</v>
      </c>
      <c r="T21">
        <v>0</v>
      </c>
      <c r="U21" s="212">
        <v>0</v>
      </c>
      <c r="V21">
        <v>0</v>
      </c>
      <c r="W21" s="138">
        <v>7.5868209999999999E-6</v>
      </c>
      <c r="X21">
        <v>0</v>
      </c>
      <c r="Y21" s="3">
        <v>0</v>
      </c>
      <c r="Z21" s="3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 s="204">
        <v>0</v>
      </c>
      <c r="DN21" s="204">
        <v>0</v>
      </c>
      <c r="DO21" s="204">
        <v>0</v>
      </c>
      <c r="DP21" s="204">
        <v>0</v>
      </c>
      <c r="DQ21" s="204">
        <v>0</v>
      </c>
      <c r="DR21" s="204">
        <v>0</v>
      </c>
      <c r="DS21" s="204">
        <v>0</v>
      </c>
      <c r="DT21" s="204">
        <v>0</v>
      </c>
    </row>
    <row r="22" spans="1:124" x14ac:dyDescent="0.15">
      <c r="A22" s="156" t="s">
        <v>245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s="138">
        <v>2.468172E-6</v>
      </c>
      <c r="P22" s="138">
        <v>3.9325640000000002E-8</v>
      </c>
      <c r="Q22">
        <v>0</v>
      </c>
      <c r="R22">
        <v>0</v>
      </c>
      <c r="S22">
        <v>0</v>
      </c>
      <c r="T22">
        <v>0</v>
      </c>
      <c r="U22">
        <v>0</v>
      </c>
      <c r="V22" s="212">
        <v>0</v>
      </c>
      <c r="W22" s="138">
        <v>3.8983209999999998E-4</v>
      </c>
      <c r="X22">
        <v>0</v>
      </c>
      <c r="Y22" s="3">
        <v>0</v>
      </c>
      <c r="Z22" s="3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 s="204">
        <v>0</v>
      </c>
      <c r="DN22" s="204">
        <v>0</v>
      </c>
      <c r="DO22" s="204">
        <v>0</v>
      </c>
      <c r="DP22" s="204">
        <v>0</v>
      </c>
      <c r="DQ22" s="204">
        <v>0</v>
      </c>
      <c r="DR22" s="204">
        <v>0</v>
      </c>
      <c r="DS22" s="204">
        <v>0</v>
      </c>
      <c r="DT22" s="204">
        <v>0</v>
      </c>
    </row>
    <row r="23" spans="1:124" x14ac:dyDescent="0.15">
      <c r="A23" s="156" t="s">
        <v>246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138">
        <v>9.0927219999999998E-7</v>
      </c>
      <c r="P23" s="138">
        <v>1.4487529999999999E-8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219">
        <v>1.4361380000000001E-4</v>
      </c>
      <c r="X23">
        <v>0</v>
      </c>
      <c r="Y23" s="3">
        <v>0</v>
      </c>
      <c r="Z23" s="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 s="204">
        <v>0</v>
      </c>
      <c r="DN23" s="204">
        <v>0</v>
      </c>
      <c r="DO23" s="204">
        <v>0</v>
      </c>
      <c r="DP23" s="204">
        <v>0</v>
      </c>
      <c r="DQ23" s="204">
        <v>0</v>
      </c>
      <c r="DR23" s="204">
        <v>0</v>
      </c>
      <c r="DS23" s="204">
        <v>0</v>
      </c>
      <c r="DT23" s="204">
        <v>0</v>
      </c>
    </row>
    <row r="24" spans="1:124" x14ac:dyDescent="0.15">
      <c r="A24" s="156" t="s">
        <v>247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s="138">
        <v>8.3832989999999997E-8</v>
      </c>
      <c r="P24" s="138">
        <v>1.33572E-9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s="138">
        <v>1.324089E-5</v>
      </c>
      <c r="X24" s="212">
        <v>0</v>
      </c>
      <c r="Y24" s="3">
        <v>0</v>
      </c>
      <c r="Z24" s="3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 s="204">
        <v>0</v>
      </c>
      <c r="DN24" s="204">
        <v>0</v>
      </c>
      <c r="DO24" s="204">
        <v>0</v>
      </c>
      <c r="DP24" s="204">
        <v>0</v>
      </c>
      <c r="DQ24" s="204">
        <v>0</v>
      </c>
      <c r="DR24" s="204">
        <v>0</v>
      </c>
      <c r="DS24" s="204">
        <v>0</v>
      </c>
      <c r="DT24" s="204">
        <v>0</v>
      </c>
    </row>
    <row r="25" spans="1:124" x14ac:dyDescent="0.15">
      <c r="A25" s="156" t="s">
        <v>248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138">
        <v>1.6621049999999999E-7</v>
      </c>
      <c r="P25" s="138">
        <v>2.6482510000000001E-9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s="138">
        <v>2.6251899999999998E-5</v>
      </c>
      <c r="X25">
        <v>0</v>
      </c>
      <c r="Y25" s="212">
        <v>0</v>
      </c>
      <c r="Z25" s="3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 s="204">
        <v>0</v>
      </c>
      <c r="DN25" s="204">
        <v>0</v>
      </c>
      <c r="DO25" s="204">
        <v>0</v>
      </c>
      <c r="DP25" s="204">
        <v>0</v>
      </c>
      <c r="DQ25" s="204">
        <v>0</v>
      </c>
      <c r="DR25" s="204">
        <v>0</v>
      </c>
      <c r="DS25" s="204">
        <v>0</v>
      </c>
      <c r="DT25" s="204">
        <v>0</v>
      </c>
    </row>
    <row r="26" spans="1:124" x14ac:dyDescent="0.15">
      <c r="A26" s="156" t="s">
        <v>249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s="138">
        <v>2.6623669999999997E-7</v>
      </c>
      <c r="P26" s="138">
        <v>4.241979E-9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138">
        <v>4.205041E-5</v>
      </c>
      <c r="X26">
        <v>0</v>
      </c>
      <c r="Y26" s="3">
        <v>0</v>
      </c>
      <c r="Z26" s="212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 s="204">
        <v>0</v>
      </c>
      <c r="DN26" s="204">
        <v>0</v>
      </c>
      <c r="DO26" s="204">
        <v>0</v>
      </c>
      <c r="DP26" s="204">
        <v>0</v>
      </c>
      <c r="DQ26" s="204">
        <v>0</v>
      </c>
      <c r="DR26" s="204">
        <v>0</v>
      </c>
      <c r="DS26" s="204">
        <v>0</v>
      </c>
      <c r="DT26" s="204">
        <v>0</v>
      </c>
    </row>
    <row r="27" spans="1:124" x14ac:dyDescent="0.15">
      <c r="A27" s="156" t="s">
        <v>250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s="138">
        <v>8.3832989999999997E-8</v>
      </c>
      <c r="P27" s="138">
        <v>1.33572E-9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s="138">
        <v>1.324089E-5</v>
      </c>
      <c r="X27">
        <v>0</v>
      </c>
      <c r="Y27" s="3">
        <v>0</v>
      </c>
      <c r="Z27" s="3">
        <v>0</v>
      </c>
      <c r="AA27" s="212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 s="204">
        <v>0</v>
      </c>
      <c r="DN27" s="204">
        <v>0</v>
      </c>
      <c r="DO27" s="204">
        <v>0</v>
      </c>
      <c r="DP27" s="204">
        <v>0</v>
      </c>
      <c r="DQ27" s="204">
        <v>0</v>
      </c>
      <c r="DR27" s="204">
        <v>0</v>
      </c>
      <c r="DS27" s="204">
        <v>0</v>
      </c>
      <c r="DT27" s="204">
        <v>0</v>
      </c>
    </row>
    <row r="28" spans="1:124" x14ac:dyDescent="0.15">
      <c r="A28" s="156" t="s">
        <v>251</v>
      </c>
      <c r="B28">
        <v>0</v>
      </c>
      <c r="C28" s="138">
        <v>3.4828289999999998E-4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s="3">
        <v>0</v>
      </c>
      <c r="Z28" s="3">
        <v>0</v>
      </c>
      <c r="AA28">
        <v>0</v>
      </c>
      <c r="AB28" s="212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 s="204">
        <v>0</v>
      </c>
      <c r="DN28" s="204">
        <v>0</v>
      </c>
      <c r="DO28" s="204">
        <v>0</v>
      </c>
      <c r="DP28" s="204">
        <v>0</v>
      </c>
      <c r="DQ28" s="204">
        <v>0</v>
      </c>
      <c r="DR28" s="204">
        <v>0</v>
      </c>
      <c r="DS28" s="204">
        <v>0</v>
      </c>
      <c r="DT28" s="204">
        <v>0</v>
      </c>
    </row>
    <row r="29" spans="1:124" x14ac:dyDescent="0.15">
      <c r="A29" s="156" t="s">
        <v>252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s="3">
        <v>0</v>
      </c>
      <c r="Z29" s="3">
        <v>0</v>
      </c>
      <c r="AA29">
        <v>0</v>
      </c>
      <c r="AB29">
        <v>0</v>
      </c>
      <c r="AC29" s="212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 s="204">
        <v>0</v>
      </c>
      <c r="DN29" s="204">
        <v>0</v>
      </c>
      <c r="DO29" s="204">
        <v>0</v>
      </c>
      <c r="DP29" s="204">
        <v>0</v>
      </c>
      <c r="DQ29" s="204">
        <v>0</v>
      </c>
      <c r="DR29" s="204">
        <v>0</v>
      </c>
      <c r="DS29" s="204">
        <v>0</v>
      </c>
      <c r="DT29" s="204">
        <v>0</v>
      </c>
    </row>
    <row r="30" spans="1:124" x14ac:dyDescent="0.15">
      <c r="A30" s="156" t="s">
        <v>253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s="3">
        <v>0</v>
      </c>
      <c r="Z30" s="3">
        <v>0</v>
      </c>
      <c r="AA30">
        <v>0</v>
      </c>
      <c r="AB30">
        <v>0</v>
      </c>
      <c r="AC30">
        <v>0.01</v>
      </c>
      <c r="AD30" s="219">
        <v>5.9849209999999998E-3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 s="204">
        <v>0</v>
      </c>
      <c r="DN30" s="204">
        <v>0</v>
      </c>
      <c r="DO30" s="204">
        <v>0</v>
      </c>
      <c r="DP30" s="204">
        <v>0</v>
      </c>
      <c r="DQ30" s="204">
        <v>0</v>
      </c>
      <c r="DR30" s="204">
        <v>0</v>
      </c>
      <c r="DS30" s="204">
        <v>0</v>
      </c>
      <c r="DT30" s="204">
        <v>0</v>
      </c>
    </row>
    <row r="31" spans="1:124" x14ac:dyDescent="0.15">
      <c r="A31" s="156" t="s">
        <v>254</v>
      </c>
      <c r="B31">
        <v>0</v>
      </c>
      <c r="C31">
        <v>0</v>
      </c>
      <c r="D31" s="138">
        <v>2.6984350000000001E-2</v>
      </c>
      <c r="E31">
        <v>0</v>
      </c>
      <c r="F31">
        <v>0</v>
      </c>
      <c r="G31" s="138">
        <v>2.6466030000000001E-2</v>
      </c>
      <c r="H31">
        <v>1.3369600000000001E-2</v>
      </c>
      <c r="I31" s="138">
        <v>7.048131E-3</v>
      </c>
      <c r="J31">
        <v>0</v>
      </c>
      <c r="K31" s="138">
        <v>3.9469539999999997E-2</v>
      </c>
      <c r="L31" s="138">
        <v>9.3241680000000007E-3</v>
      </c>
      <c r="M31" s="138">
        <v>1.060354E-2</v>
      </c>
      <c r="N31">
        <v>0</v>
      </c>
      <c r="O31">
        <v>5.0698399999999998E-2</v>
      </c>
      <c r="P31">
        <v>0</v>
      </c>
      <c r="Q31" s="138">
        <v>5.3408150000000001E-2</v>
      </c>
      <c r="R31">
        <v>0</v>
      </c>
      <c r="S31" s="207">
        <v>0.26971349999999999</v>
      </c>
      <c r="T31">
        <v>0.20482990000000001</v>
      </c>
      <c r="U31" s="138">
        <v>2.3304350000000001E-3</v>
      </c>
      <c r="V31">
        <v>0.1022836</v>
      </c>
      <c r="W31">
        <v>0.26833089999999998</v>
      </c>
      <c r="X31" s="138">
        <v>1.4931669999999999E-2</v>
      </c>
      <c r="Y31" s="220">
        <v>5.5506480000000003E-4</v>
      </c>
      <c r="Z31" s="220">
        <v>1.756667E-3</v>
      </c>
      <c r="AA31" s="138">
        <v>3.5828579999999999E-2</v>
      </c>
      <c r="AB31">
        <v>0</v>
      </c>
      <c r="AC31">
        <v>0</v>
      </c>
      <c r="AD31" s="138">
        <v>1.491873E-2</v>
      </c>
      <c r="AE31" s="219">
        <v>2.5215640000000001E-2</v>
      </c>
      <c r="AF31" s="138">
        <v>8.8430369999999998E-3</v>
      </c>
      <c r="AG31">
        <v>0</v>
      </c>
      <c r="AH31" s="138">
        <v>1.2574460000000001E-2</v>
      </c>
      <c r="AI31">
        <v>0</v>
      </c>
      <c r="AJ31">
        <v>0</v>
      </c>
      <c r="AK31" s="138">
        <v>1.5085369999999999E-3</v>
      </c>
      <c r="AL31" s="207">
        <v>9.7538399999999997E-2</v>
      </c>
      <c r="AM31">
        <v>0</v>
      </c>
      <c r="AN31" s="138">
        <v>1.874646E-3</v>
      </c>
      <c r="AO31">
        <v>0</v>
      </c>
      <c r="AP31">
        <v>0</v>
      </c>
      <c r="AQ31" s="138">
        <v>5.6086219999999997E-3</v>
      </c>
      <c r="AR31">
        <v>0</v>
      </c>
      <c r="AS31" s="138">
        <v>9.6601329999999996E-3</v>
      </c>
      <c r="AT31">
        <v>0</v>
      </c>
      <c r="AU31">
        <v>0</v>
      </c>
      <c r="AV31">
        <v>0</v>
      </c>
      <c r="AW31">
        <v>0</v>
      </c>
      <c r="AX31" s="138">
        <v>5.8894169999999997E-4</v>
      </c>
      <c r="AY31" s="138">
        <v>1.7247479999999999E-2</v>
      </c>
      <c r="AZ31" s="138">
        <v>5.0544800000000001E-3</v>
      </c>
      <c r="BA31" s="138">
        <v>1.407956E-2</v>
      </c>
      <c r="BB31" s="138">
        <v>1.9999949999999999E-2</v>
      </c>
      <c r="BC31" s="138">
        <v>1.3787030000000001E-5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 s="138">
        <v>1.498413E-4</v>
      </c>
      <c r="BO31">
        <v>0.14531430000000001</v>
      </c>
      <c r="BP31">
        <v>0</v>
      </c>
      <c r="BQ31">
        <v>0</v>
      </c>
      <c r="BR31" s="138">
        <v>4.7307729999999999E-2</v>
      </c>
      <c r="BS31" s="138">
        <v>9.5297939999999998E-2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1E-3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 s="204">
        <v>0</v>
      </c>
      <c r="DN31" s="204">
        <v>0</v>
      </c>
      <c r="DO31" s="204">
        <v>0</v>
      </c>
      <c r="DP31" s="204">
        <v>0</v>
      </c>
      <c r="DQ31" s="204">
        <v>0</v>
      </c>
      <c r="DR31" s="204">
        <v>0</v>
      </c>
      <c r="DS31" s="204">
        <v>0</v>
      </c>
      <c r="DT31" s="204">
        <v>0</v>
      </c>
    </row>
    <row r="32" spans="1:124" x14ac:dyDescent="0.15">
      <c r="A32" s="156" t="s">
        <v>177</v>
      </c>
      <c r="B32">
        <v>0</v>
      </c>
      <c r="C32">
        <v>0</v>
      </c>
      <c r="D32">
        <v>0.18825120000000001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s="138">
        <v>6.5048289999999995E-2</v>
      </c>
      <c r="M32" s="138">
        <v>7.3973570000000002E-2</v>
      </c>
      <c r="N32" s="138">
        <v>8.457713E-2</v>
      </c>
      <c r="O32">
        <v>0.3536878</v>
      </c>
      <c r="P32">
        <v>0.40442090000000003</v>
      </c>
      <c r="Q32">
        <v>0.37259179999999997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s="3">
        <v>0</v>
      </c>
      <c r="Z32" s="3">
        <v>0</v>
      </c>
      <c r="AA32">
        <v>0</v>
      </c>
      <c r="AB32">
        <v>5.2200000000000003E-2</v>
      </c>
      <c r="AC32">
        <v>0</v>
      </c>
      <c r="AD32">
        <v>0.1040777</v>
      </c>
      <c r="AE32">
        <v>0</v>
      </c>
      <c r="AF32" s="219">
        <v>1.012762E-2</v>
      </c>
      <c r="AG32">
        <v>0</v>
      </c>
      <c r="AH32" s="207">
        <v>0.1167202</v>
      </c>
      <c r="AI32">
        <v>0</v>
      </c>
      <c r="AJ32">
        <v>0</v>
      </c>
      <c r="AK32">
        <v>0</v>
      </c>
      <c r="AL32" s="207">
        <v>6.6420999999999994E-2</v>
      </c>
      <c r="AM32">
        <v>0</v>
      </c>
      <c r="AN32" s="207">
        <v>0.33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 s="138">
        <v>4.5836399999999999E-3</v>
      </c>
      <c r="AY32">
        <v>0.12032379999999999</v>
      </c>
      <c r="AZ32" s="138">
        <v>3.526162E-2</v>
      </c>
      <c r="BA32">
        <v>0</v>
      </c>
      <c r="BB32">
        <v>0.1885395</v>
      </c>
      <c r="BC32" s="138">
        <v>3.9423419999999997E-3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 s="138">
        <v>3.4520719999999998E-2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 s="204">
        <v>0</v>
      </c>
      <c r="DN32" s="204">
        <v>0</v>
      </c>
      <c r="DO32" s="204">
        <v>0</v>
      </c>
      <c r="DP32" s="204">
        <v>0</v>
      </c>
      <c r="DQ32" s="204">
        <v>0</v>
      </c>
      <c r="DR32" s="204">
        <v>0</v>
      </c>
      <c r="DS32" s="204">
        <v>0</v>
      </c>
      <c r="DT32" s="204">
        <v>0</v>
      </c>
    </row>
    <row r="33" spans="1:124" x14ac:dyDescent="0.15">
      <c r="A33" s="156" t="s">
        <v>255</v>
      </c>
      <c r="B33">
        <v>0</v>
      </c>
      <c r="C33">
        <v>0</v>
      </c>
      <c r="D33" s="138">
        <v>3.7071769999999999E-3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138">
        <v>1.2809780000000001E-3</v>
      </c>
      <c r="M33" s="138">
        <v>3.7405739999999999E-4</v>
      </c>
      <c r="N33">
        <v>0</v>
      </c>
      <c r="O33" s="138">
        <v>1.6894939999999999E-3</v>
      </c>
      <c r="P33">
        <v>0</v>
      </c>
      <c r="Q33" s="138">
        <v>1.372879E-3</v>
      </c>
      <c r="R33">
        <v>0</v>
      </c>
      <c r="S33" s="3">
        <v>0.17000850000000001</v>
      </c>
      <c r="T33" s="138">
        <v>2.814003E-2</v>
      </c>
      <c r="U33" s="138">
        <v>3.2016089999999998E-4</v>
      </c>
      <c r="V33" s="138">
        <v>1.405198E-2</v>
      </c>
      <c r="W33" s="138">
        <v>3.6863960000000001E-2</v>
      </c>
      <c r="X33" s="138">
        <v>2.0513490000000001E-3</v>
      </c>
      <c r="Y33" s="220">
        <v>7.6256199999999997E-5</v>
      </c>
      <c r="Z33" s="220">
        <v>2.4133530000000001E-4</v>
      </c>
      <c r="AA33" s="138">
        <v>4.9222199999999997E-3</v>
      </c>
      <c r="AB33">
        <v>0</v>
      </c>
      <c r="AC33">
        <v>0</v>
      </c>
      <c r="AD33" s="138">
        <v>2.0495719999999999E-3</v>
      </c>
      <c r="AE33">
        <v>0</v>
      </c>
      <c r="AF33">
        <v>0</v>
      </c>
      <c r="AG33" s="212">
        <v>0</v>
      </c>
      <c r="AH33">
        <v>0</v>
      </c>
      <c r="AI33">
        <v>0</v>
      </c>
      <c r="AJ33">
        <v>0</v>
      </c>
      <c r="AK33">
        <v>0</v>
      </c>
      <c r="AL33" s="221">
        <v>6.8579210000000003E-3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s="138">
        <v>6.1846390000000004E-5</v>
      </c>
      <c r="AY33" s="138">
        <v>2.3695019999999999E-3</v>
      </c>
      <c r="AZ33" s="138">
        <v>6.9439709999999995E-4</v>
      </c>
      <c r="BA33">
        <v>0</v>
      </c>
      <c r="BB33" s="138">
        <v>4.7028060000000003E-3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 s="138">
        <v>4.2387099999999996E-6</v>
      </c>
      <c r="BT33" s="221">
        <v>3.928247E-2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 s="204">
        <v>0</v>
      </c>
      <c r="DN33" s="204">
        <v>0</v>
      </c>
      <c r="DO33" s="204">
        <v>0</v>
      </c>
      <c r="DP33" s="204">
        <v>0</v>
      </c>
      <c r="DQ33" s="204">
        <v>0</v>
      </c>
      <c r="DR33" s="204">
        <v>0</v>
      </c>
      <c r="DS33" s="204">
        <v>0</v>
      </c>
      <c r="DT33" s="204">
        <v>0</v>
      </c>
    </row>
    <row r="34" spans="1:124" x14ac:dyDescent="0.15">
      <c r="A34" s="156" t="s">
        <v>256</v>
      </c>
      <c r="B34">
        <v>0</v>
      </c>
      <c r="C34" s="138">
        <v>3.0911020000000001E-2</v>
      </c>
      <c r="D34" s="138">
        <v>3.9497520000000001E-2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s="138">
        <v>3.9853349999999996E-3</v>
      </c>
      <c r="N34" s="138">
        <v>4.0525120000000003E-3</v>
      </c>
      <c r="O34" s="138">
        <v>1.8000439999999999E-2</v>
      </c>
      <c r="P34" s="138">
        <v>1.962057E-2</v>
      </c>
      <c r="Q34" s="138">
        <v>1.462712E-2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 s="3">
        <v>0</v>
      </c>
      <c r="Z34" s="3">
        <v>0</v>
      </c>
      <c r="AA34">
        <v>0</v>
      </c>
      <c r="AB34">
        <v>0</v>
      </c>
      <c r="AC34">
        <v>0</v>
      </c>
      <c r="AD34" s="138">
        <v>2.183684E-2</v>
      </c>
      <c r="AE34">
        <v>0</v>
      </c>
      <c r="AF34" s="138">
        <v>1.7382259999999998E-5</v>
      </c>
      <c r="AG34">
        <v>0</v>
      </c>
      <c r="AH34" s="212">
        <v>0</v>
      </c>
      <c r="AI34">
        <v>0</v>
      </c>
      <c r="AJ34">
        <v>0</v>
      </c>
      <c r="AK34">
        <v>0</v>
      </c>
      <c r="AL34" s="138">
        <v>1.5400980000000001E-4</v>
      </c>
      <c r="AM34">
        <v>0</v>
      </c>
      <c r="AN34" s="138">
        <v>1.877129E-2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s="138">
        <v>6.5893229999999998E-4</v>
      </c>
      <c r="AY34" s="138">
        <v>2.5245480000000001E-2</v>
      </c>
      <c r="AZ34" s="138">
        <v>7.3983419999999996E-3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 s="138">
        <v>9.088605E-4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 s="204">
        <v>0</v>
      </c>
      <c r="DN34" s="204">
        <v>0</v>
      </c>
      <c r="DO34" s="204">
        <v>0</v>
      </c>
      <c r="DP34" s="204">
        <v>0</v>
      </c>
      <c r="DQ34" s="204">
        <v>0</v>
      </c>
      <c r="DR34" s="204">
        <v>0</v>
      </c>
      <c r="DS34" s="204">
        <v>0</v>
      </c>
      <c r="DT34" s="204">
        <v>0</v>
      </c>
    </row>
    <row r="35" spans="1:124" x14ac:dyDescent="0.15">
      <c r="A35" s="156" t="s">
        <v>257</v>
      </c>
      <c r="B35">
        <v>0</v>
      </c>
      <c r="C35">
        <v>0</v>
      </c>
      <c r="D35" s="138">
        <v>1.4399790000000001E-2</v>
      </c>
      <c r="E35">
        <v>0</v>
      </c>
      <c r="F35">
        <v>0</v>
      </c>
      <c r="G35">
        <v>1.4123200000000001E-2</v>
      </c>
      <c r="H35" s="138">
        <v>7.1344820000000002E-3</v>
      </c>
      <c r="I35" s="138">
        <v>3.7611279999999999E-3</v>
      </c>
      <c r="J35">
        <v>0</v>
      </c>
      <c r="K35" s="138">
        <v>2.1062319999999999E-2</v>
      </c>
      <c r="L35" s="138">
        <v>4.9757009999999999E-3</v>
      </c>
      <c r="M35" s="138">
        <v>1.1316029999999999E-2</v>
      </c>
      <c r="N35">
        <v>0</v>
      </c>
      <c r="O35" s="138">
        <v>9.1649009999999996E-3</v>
      </c>
      <c r="P35">
        <v>0</v>
      </c>
      <c r="Q35">
        <v>0.10527789999999999</v>
      </c>
      <c r="R35">
        <v>0</v>
      </c>
      <c r="S35" s="138">
        <v>1.0392579999999999E-3</v>
      </c>
      <c r="T35" s="138">
        <v>5.7746930000000002E-2</v>
      </c>
      <c r="U35">
        <v>0</v>
      </c>
      <c r="V35">
        <v>0</v>
      </c>
      <c r="W35">
        <v>0</v>
      </c>
      <c r="X35">
        <v>0</v>
      </c>
      <c r="Y35" s="3">
        <v>0.14985010000000001</v>
      </c>
      <c r="Z35" s="3">
        <v>0</v>
      </c>
      <c r="AA35" s="138">
        <v>1.911937E-2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 s="138">
        <v>6.6538950000000004E-5</v>
      </c>
      <c r="AI35" s="212">
        <v>0</v>
      </c>
      <c r="AJ35">
        <v>0</v>
      </c>
      <c r="AK35">
        <v>0</v>
      </c>
      <c r="AL35" s="207">
        <v>5.4907199999999996E-2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 s="138">
        <v>2.4022989999999999E-4</v>
      </c>
      <c r="AY35" s="138">
        <v>9.2038539999999992E-3</v>
      </c>
      <c r="AZ35" s="138">
        <v>2.6972459999999999E-3</v>
      </c>
      <c r="BA35">
        <v>0</v>
      </c>
      <c r="BB35" s="138">
        <v>3.5581559999999998E-2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 s="138">
        <v>4.6915500000000001E-3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1E-3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 s="204">
        <v>0</v>
      </c>
      <c r="DN35" s="204">
        <v>0</v>
      </c>
      <c r="DO35" s="204">
        <v>0</v>
      </c>
      <c r="DP35" s="204">
        <v>0</v>
      </c>
      <c r="DQ35" s="204">
        <v>0</v>
      </c>
      <c r="DR35" s="204">
        <v>0</v>
      </c>
      <c r="DS35" s="204">
        <v>0</v>
      </c>
      <c r="DT35" s="204">
        <v>0</v>
      </c>
    </row>
    <row r="36" spans="1:124" x14ac:dyDescent="0.15">
      <c r="A36" s="156" t="s">
        <v>178</v>
      </c>
      <c r="B36">
        <v>0</v>
      </c>
      <c r="C36">
        <v>0</v>
      </c>
      <c r="D36" s="138">
        <v>2.9916559999999998E-2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 s="138">
        <v>1.033736E-2</v>
      </c>
      <c r="M36" s="138">
        <v>2.3509840000000001E-2</v>
      </c>
      <c r="N36" s="138">
        <v>3.4825879999999997E-2</v>
      </c>
      <c r="O36" s="138">
        <v>1.9040709999999999E-2</v>
      </c>
      <c r="P36" s="138">
        <v>2.7924089999999999E-2</v>
      </c>
      <c r="Q36">
        <v>0.2187221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s="3">
        <v>0</v>
      </c>
      <c r="Z36" s="3">
        <v>0</v>
      </c>
      <c r="AA36">
        <v>0</v>
      </c>
      <c r="AB36">
        <v>0</v>
      </c>
      <c r="AC36">
        <v>4.0000000000000001E-3</v>
      </c>
      <c r="AD36">
        <v>0.14419999999999999</v>
      </c>
      <c r="AE36">
        <v>0</v>
      </c>
      <c r="AF36" s="138">
        <v>3.4152809999999999E-4</v>
      </c>
      <c r="AG36">
        <v>0</v>
      </c>
      <c r="AH36">
        <v>0</v>
      </c>
      <c r="AI36">
        <v>0</v>
      </c>
      <c r="AJ36" s="212">
        <v>0</v>
      </c>
      <c r="AK36">
        <v>0</v>
      </c>
      <c r="AL36" s="221">
        <f>0.005936417-0.002</f>
        <v>3.9364170000000002E-3</v>
      </c>
      <c r="AM36">
        <v>0</v>
      </c>
      <c r="AN36" s="138">
        <v>1.959606E-4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 s="138">
        <v>4.9909439999999998E-4</v>
      </c>
      <c r="AY36" s="138">
        <v>1.912165E-2</v>
      </c>
      <c r="AZ36" s="138">
        <v>5.6037159999999999E-3</v>
      </c>
      <c r="BA36">
        <v>0</v>
      </c>
      <c r="BB36" s="138">
        <v>1.8763759999999999E-5</v>
      </c>
      <c r="BC36" s="138">
        <v>7.4170449999999999E-4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 s="138">
        <v>2.0159409999999998E-3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 s="204">
        <v>0</v>
      </c>
      <c r="DN36" s="204">
        <v>0</v>
      </c>
      <c r="DO36" s="204">
        <v>0</v>
      </c>
      <c r="DP36" s="204">
        <v>0</v>
      </c>
      <c r="DQ36" s="204">
        <v>0</v>
      </c>
      <c r="DR36" s="204">
        <v>0</v>
      </c>
      <c r="DS36" s="204">
        <v>0</v>
      </c>
      <c r="DT36" s="204">
        <v>0</v>
      </c>
    </row>
    <row r="37" spans="1:124" x14ac:dyDescent="0.15">
      <c r="A37" s="156" t="s">
        <v>258</v>
      </c>
      <c r="B37">
        <v>0</v>
      </c>
      <c r="C37">
        <v>0</v>
      </c>
      <c r="D37" s="138">
        <v>2.3586290000000001E-3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 s="138">
        <v>2.3798769999999999E-4</v>
      </c>
      <c r="N37">
        <v>0</v>
      </c>
      <c r="O37" s="138">
        <v>2.0104770000000001E-3</v>
      </c>
      <c r="P37">
        <v>0</v>
      </c>
      <c r="Q37" s="138">
        <v>9.2460989999999994E-5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s="3">
        <v>0</v>
      </c>
      <c r="Z37" s="3">
        <v>0</v>
      </c>
      <c r="AA37">
        <v>0</v>
      </c>
      <c r="AB37" s="138">
        <v>2.9026539999999997E-4</v>
      </c>
      <c r="AC37">
        <v>0</v>
      </c>
      <c r="AD37" s="138">
        <v>8.6171730000000001E-4</v>
      </c>
      <c r="AE37" s="138">
        <v>2.521143E-3</v>
      </c>
      <c r="AF37" s="138">
        <v>5.5661790000000001E-4</v>
      </c>
      <c r="AG37">
        <v>0</v>
      </c>
      <c r="AH37" s="138">
        <v>1.960594E-4</v>
      </c>
      <c r="AI37">
        <v>0</v>
      </c>
      <c r="AJ37">
        <v>0</v>
      </c>
      <c r="AK37" s="212">
        <v>0</v>
      </c>
      <c r="AL37" s="138">
        <v>3.878668E-3</v>
      </c>
      <c r="AM37">
        <v>0</v>
      </c>
      <c r="AN37" s="138">
        <v>8.8521059999999992E-6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 s="138">
        <v>3.934872E-5</v>
      </c>
      <c r="AY37" s="138">
        <v>1.9914139999999999E-3</v>
      </c>
      <c r="AZ37" s="138">
        <v>1.430406E-3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 s="138">
        <v>4.3795689999999998E-3</v>
      </c>
      <c r="BH37">
        <v>0</v>
      </c>
      <c r="BI37" s="138">
        <v>1.4627640000000001E-3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 s="204">
        <v>0</v>
      </c>
      <c r="DN37" s="204">
        <v>0</v>
      </c>
      <c r="DO37" s="204">
        <v>0</v>
      </c>
      <c r="DP37" s="204">
        <v>0</v>
      </c>
      <c r="DQ37" s="204">
        <v>0</v>
      </c>
      <c r="DR37" s="204">
        <v>0</v>
      </c>
      <c r="DS37" s="204">
        <v>0</v>
      </c>
      <c r="DT37" s="204">
        <v>0</v>
      </c>
    </row>
    <row r="38" spans="1:124" x14ac:dyDescent="0.15">
      <c r="A38" s="156" t="s">
        <v>179</v>
      </c>
      <c r="B38">
        <v>0</v>
      </c>
      <c r="C38">
        <v>0</v>
      </c>
      <c r="D38">
        <v>0.19467019999999999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1.9642400000000001E-2</v>
      </c>
      <c r="N38" s="138">
        <v>1.9973479999999998E-2</v>
      </c>
      <c r="O38">
        <v>0.16593540000000001</v>
      </c>
      <c r="P38">
        <v>0.16881009999999999</v>
      </c>
      <c r="Q38" s="138">
        <v>7.6312979999999999E-3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s="3">
        <v>0</v>
      </c>
      <c r="Z38" s="3">
        <v>0</v>
      </c>
      <c r="AA38">
        <v>0</v>
      </c>
      <c r="AB38">
        <v>0.67210000000000003</v>
      </c>
      <c r="AC38">
        <v>0</v>
      </c>
      <c r="AD38" s="138">
        <v>7.1122119999999997E-2</v>
      </c>
      <c r="AE38">
        <v>0</v>
      </c>
      <c r="AF38" s="138">
        <v>1.306267E-4</v>
      </c>
      <c r="AG38">
        <v>0</v>
      </c>
      <c r="AH38" s="138">
        <v>1.820101E-2</v>
      </c>
      <c r="AI38">
        <v>0</v>
      </c>
      <c r="AJ38">
        <v>0</v>
      </c>
      <c r="AK38">
        <v>0</v>
      </c>
      <c r="AL38" s="219">
        <v>4.6024580000000002E-3</v>
      </c>
      <c r="AM38">
        <v>0</v>
      </c>
      <c r="AN38">
        <v>4.51159E-2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 s="138">
        <v>3.247659E-3</v>
      </c>
      <c r="AY38">
        <v>0.16436200000000001</v>
      </c>
      <c r="AZ38">
        <v>0.118059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 s="138">
        <v>3.587207E-4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 s="204">
        <v>0</v>
      </c>
      <c r="DN38" s="204">
        <v>0</v>
      </c>
      <c r="DO38" s="204">
        <v>0</v>
      </c>
      <c r="DP38" s="204">
        <v>0</v>
      </c>
      <c r="DQ38" s="204">
        <v>0</v>
      </c>
      <c r="DR38" s="204">
        <v>0</v>
      </c>
      <c r="DS38" s="204">
        <v>0</v>
      </c>
      <c r="DT38" s="204">
        <v>0</v>
      </c>
    </row>
    <row r="39" spans="1:124" x14ac:dyDescent="0.15">
      <c r="A39" s="156" t="s">
        <v>259</v>
      </c>
      <c r="B39">
        <v>0</v>
      </c>
      <c r="C39">
        <v>0</v>
      </c>
      <c r="D39" s="138">
        <v>1.3023200000000001E-4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138">
        <v>4.500034E-5</v>
      </c>
      <c r="M39" s="138">
        <v>1.314052E-5</v>
      </c>
      <c r="N39">
        <v>0</v>
      </c>
      <c r="O39" s="138">
        <v>1.7378829999999999E-5</v>
      </c>
      <c r="P39">
        <v>0</v>
      </c>
      <c r="Q39" s="138">
        <v>5.1052449999999996E-6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s="3">
        <v>0</v>
      </c>
      <c r="Z39" s="3">
        <v>0</v>
      </c>
      <c r="AA39">
        <v>0</v>
      </c>
      <c r="AB39" s="138">
        <v>1.602704E-5</v>
      </c>
      <c r="AC39">
        <v>0.01</v>
      </c>
      <c r="AD39" s="138">
        <v>4.7579820000000003E-5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 s="138">
        <v>9.9031229999999997E-6</v>
      </c>
      <c r="AM39" s="212">
        <v>0</v>
      </c>
      <c r="AN39" s="138">
        <v>2.4263019999999999E-5</v>
      </c>
      <c r="AO39">
        <v>0</v>
      </c>
      <c r="AP39">
        <v>0</v>
      </c>
      <c r="AQ39">
        <v>0</v>
      </c>
      <c r="AR39">
        <v>0</v>
      </c>
      <c r="AS39">
        <v>0</v>
      </c>
      <c r="AT39" s="138">
        <v>6.7773030000000005E-5</v>
      </c>
      <c r="AU39">
        <v>0</v>
      </c>
      <c r="AV39">
        <v>0</v>
      </c>
      <c r="AW39">
        <v>0</v>
      </c>
      <c r="AX39" s="138">
        <v>2.1726449999999999E-6</v>
      </c>
      <c r="AY39" s="138">
        <v>1.099561E-4</v>
      </c>
      <c r="AZ39" s="138">
        <v>7.8980049999999996E-5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 s="138">
        <v>6.7251470000000003E-5</v>
      </c>
      <c r="BR39">
        <v>0</v>
      </c>
      <c r="BS39" s="138">
        <v>1.6873759999999999E-6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 s="204">
        <v>0</v>
      </c>
      <c r="DN39" s="204">
        <v>0</v>
      </c>
      <c r="DO39" s="204">
        <v>0</v>
      </c>
      <c r="DP39" s="204">
        <v>0</v>
      </c>
      <c r="DQ39" s="204">
        <v>0</v>
      </c>
      <c r="DR39" s="204">
        <v>0</v>
      </c>
      <c r="DS39" s="204">
        <v>0</v>
      </c>
      <c r="DT39" s="204">
        <v>0</v>
      </c>
    </row>
    <row r="40" spans="1:124" x14ac:dyDescent="0.15">
      <c r="A40" s="156" t="s">
        <v>260</v>
      </c>
      <c r="B40">
        <v>0</v>
      </c>
      <c r="C40">
        <v>0</v>
      </c>
      <c r="D40">
        <v>4.7036000000000001E-2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 s="138">
        <v>4.7459720000000002E-3</v>
      </c>
      <c r="N40" s="138">
        <v>4.8259720000000004E-3</v>
      </c>
      <c r="O40" s="138">
        <v>6.2767300000000003E-3</v>
      </c>
      <c r="P40" s="138">
        <v>6.2985300000000001E-3</v>
      </c>
      <c r="Q40" s="138">
        <v>1.843866E-3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s="3">
        <v>0</v>
      </c>
      <c r="Z40" s="3">
        <v>0</v>
      </c>
      <c r="AA40">
        <v>0</v>
      </c>
      <c r="AB40">
        <v>5.7885000000000002E-3</v>
      </c>
      <c r="AC40">
        <v>0.1</v>
      </c>
      <c r="AD40" s="138">
        <v>1.7184439999999999E-2</v>
      </c>
      <c r="AE40">
        <v>0</v>
      </c>
      <c r="AF40">
        <v>0</v>
      </c>
      <c r="AG40">
        <v>0</v>
      </c>
      <c r="AH40" s="138">
        <v>5.4145560000000003E-6</v>
      </c>
      <c r="AI40">
        <v>0</v>
      </c>
      <c r="AJ40">
        <v>0</v>
      </c>
      <c r="AK40">
        <v>0</v>
      </c>
      <c r="AL40">
        <v>0</v>
      </c>
      <c r="AM40">
        <v>0</v>
      </c>
      <c r="AN40" s="212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 s="138">
        <v>7.8469589999999995E-4</v>
      </c>
      <c r="AY40" s="138">
        <v>3.9712949999999997E-2</v>
      </c>
      <c r="AZ40" s="138">
        <v>2.8525289999999998E-2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 s="204">
        <v>0</v>
      </c>
      <c r="DN40" s="204">
        <v>0</v>
      </c>
      <c r="DO40" s="204">
        <v>0</v>
      </c>
      <c r="DP40" s="204">
        <v>0</v>
      </c>
      <c r="DQ40" s="204">
        <v>0</v>
      </c>
      <c r="DR40" s="204">
        <v>0</v>
      </c>
      <c r="DS40" s="204">
        <v>0</v>
      </c>
      <c r="DT40" s="204">
        <v>0</v>
      </c>
    </row>
    <row r="41" spans="1:124" x14ac:dyDescent="0.15">
      <c r="A41" s="156" t="s">
        <v>261</v>
      </c>
      <c r="B41">
        <v>0</v>
      </c>
      <c r="C41">
        <v>0</v>
      </c>
      <c r="D41" s="138">
        <v>1.5500449999999999E-3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 s="138">
        <v>1.5640089999999999E-4</v>
      </c>
      <c r="N41" s="138">
        <v>1.5903719999999999E-4</v>
      </c>
      <c r="O41" s="138">
        <v>1.5885430000000001E-5</v>
      </c>
      <c r="P41" s="138">
        <v>2.5310429999999999E-7</v>
      </c>
      <c r="Q41" s="138">
        <v>6.0763559999999999E-5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s="3">
        <v>0</v>
      </c>
      <c r="Z41" s="3">
        <v>0</v>
      </c>
      <c r="AA41">
        <v>0</v>
      </c>
      <c r="AB41" s="138">
        <v>1.9075679999999999E-4</v>
      </c>
      <c r="AC41">
        <v>0</v>
      </c>
      <c r="AD41" s="138">
        <v>5.6630370000000001E-4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s="138">
        <v>2.554761E-5</v>
      </c>
      <c r="AO41" s="212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 s="138">
        <v>2.5859209999999999E-5</v>
      </c>
      <c r="AY41" s="138">
        <v>1.3087179999999999E-3</v>
      </c>
      <c r="AZ41" s="138">
        <v>9.4003469999999999E-4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 s="138">
        <v>2.606634E-2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 s="204">
        <v>0</v>
      </c>
      <c r="DN41" s="204">
        <v>0</v>
      </c>
      <c r="DO41" s="204">
        <v>0</v>
      </c>
      <c r="DP41" s="204">
        <v>0</v>
      </c>
      <c r="DQ41" s="204">
        <v>0</v>
      </c>
      <c r="DR41" s="204">
        <v>0</v>
      </c>
      <c r="DS41" s="204">
        <v>0</v>
      </c>
      <c r="DT41" s="204">
        <v>0</v>
      </c>
    </row>
    <row r="42" spans="1:124" x14ac:dyDescent="0.15">
      <c r="A42" s="156" t="s">
        <v>262</v>
      </c>
      <c r="B42">
        <v>0</v>
      </c>
      <c r="C42">
        <v>0</v>
      </c>
      <c r="D42" s="138">
        <v>2.6664089999999998E-3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 s="138">
        <v>2.6904300000000001E-4</v>
      </c>
      <c r="N42">
        <v>0</v>
      </c>
      <c r="O42" s="138">
        <v>4.903183E-4</v>
      </c>
      <c r="P42">
        <v>0</v>
      </c>
      <c r="Q42" s="138">
        <v>1.045263E-4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s="3">
        <v>0</v>
      </c>
      <c r="Z42" s="3">
        <v>0</v>
      </c>
      <c r="AA42">
        <v>0</v>
      </c>
      <c r="AB42" s="138">
        <v>3.2814250000000002E-4</v>
      </c>
      <c r="AC42">
        <v>0</v>
      </c>
      <c r="AD42" s="138">
        <v>9.7416389999999999E-4</v>
      </c>
      <c r="AE42">
        <v>0</v>
      </c>
      <c r="AF42" s="138">
        <v>1.6061720000000001E-4</v>
      </c>
      <c r="AG42">
        <v>0</v>
      </c>
      <c r="AH42" s="138">
        <v>1.3793409999999999E-4</v>
      </c>
      <c r="AI42">
        <v>0</v>
      </c>
      <c r="AJ42">
        <v>0</v>
      </c>
      <c r="AK42">
        <v>0</v>
      </c>
      <c r="AL42" s="222">
        <v>4.2638929999999995E-3</v>
      </c>
      <c r="AM42">
        <v>0</v>
      </c>
      <c r="AN42" s="138">
        <v>1.7411830000000001E-4</v>
      </c>
      <c r="AO42">
        <v>0</v>
      </c>
      <c r="AP42" s="21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 s="138">
        <v>4.4483390000000001E-5</v>
      </c>
      <c r="AY42" s="138">
        <v>2.251276E-3</v>
      </c>
      <c r="AZ42" s="138">
        <v>1.6170609999999999E-3</v>
      </c>
      <c r="BA42">
        <v>0</v>
      </c>
      <c r="BB42">
        <v>0</v>
      </c>
      <c r="BC42" s="138">
        <v>7.3757609999999997E-6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 s="138">
        <v>1.7844479999999999E-4</v>
      </c>
      <c r="BT42" s="222">
        <v>1.0723350999999999E-2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 s="204">
        <v>0</v>
      </c>
      <c r="DN42" s="204">
        <v>0</v>
      </c>
      <c r="DO42" s="204">
        <v>0</v>
      </c>
      <c r="DP42" s="204">
        <v>0</v>
      </c>
      <c r="DQ42" s="204">
        <v>0</v>
      </c>
      <c r="DR42" s="204">
        <v>0</v>
      </c>
      <c r="DS42" s="204">
        <v>0</v>
      </c>
      <c r="DT42" s="204">
        <v>0</v>
      </c>
    </row>
    <row r="43" spans="1:124" x14ac:dyDescent="0.15">
      <c r="A43" s="156" t="s">
        <v>263</v>
      </c>
      <c r="B43">
        <v>0</v>
      </c>
      <c r="C43">
        <v>0</v>
      </c>
      <c r="D43" s="138">
        <v>2.0434609999999999E-2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s="138">
        <v>2.061869E-3</v>
      </c>
      <c r="N43" s="138">
        <v>2.0966259999999999E-3</v>
      </c>
      <c r="O43" s="138">
        <v>3.7576599999999999E-3</v>
      </c>
      <c r="P43" s="138">
        <v>4.0091429999999997E-3</v>
      </c>
      <c r="Q43" s="138">
        <v>8.0106039999999995E-4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s="3">
        <v>0</v>
      </c>
      <c r="Z43" s="3">
        <v>0</v>
      </c>
      <c r="AA43">
        <v>0</v>
      </c>
      <c r="AB43">
        <v>9.7999999999999997E-3</v>
      </c>
      <c r="AC43">
        <v>0</v>
      </c>
      <c r="AD43" s="138">
        <v>7.4657159999999998E-3</v>
      </c>
      <c r="AE43">
        <v>0</v>
      </c>
      <c r="AF43" s="138">
        <v>2.414172E-4</v>
      </c>
      <c r="AG43">
        <v>0</v>
      </c>
      <c r="AH43" s="138">
        <v>7.2877619999999997E-3</v>
      </c>
      <c r="AI43">
        <v>0</v>
      </c>
      <c r="AJ43">
        <v>0</v>
      </c>
      <c r="AK43">
        <v>0</v>
      </c>
      <c r="AL43" s="138">
        <v>2.298953E-4</v>
      </c>
      <c r="AM43">
        <v>0</v>
      </c>
      <c r="AN43" s="138">
        <v>1.475173E-3</v>
      </c>
      <c r="AO43">
        <v>0</v>
      </c>
      <c r="AP43">
        <v>0</v>
      </c>
      <c r="AQ43" s="212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 s="138">
        <v>3.4090820000000002E-4</v>
      </c>
      <c r="AY43" s="138">
        <v>1.725314E-2</v>
      </c>
      <c r="AZ43">
        <v>1.23927E-2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 s="138">
        <v>1.816331E-3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 s="204">
        <v>0</v>
      </c>
      <c r="DN43" s="204">
        <v>0</v>
      </c>
      <c r="DO43" s="204">
        <v>0</v>
      </c>
      <c r="DP43" s="204">
        <v>0</v>
      </c>
      <c r="DQ43" s="204">
        <v>0</v>
      </c>
      <c r="DR43" s="204">
        <v>0</v>
      </c>
      <c r="DS43" s="204">
        <v>0</v>
      </c>
      <c r="DT43" s="204">
        <v>0</v>
      </c>
    </row>
    <row r="44" spans="1:124" x14ac:dyDescent="0.15">
      <c r="A44" s="156" t="s">
        <v>264</v>
      </c>
      <c r="B44">
        <v>0</v>
      </c>
      <c r="C44">
        <v>0</v>
      </c>
      <c r="D44" s="138">
        <v>2.0262370000000002E-3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 s="138">
        <v>2.0444899999999999E-4</v>
      </c>
      <c r="N44" s="138">
        <v>2.0789530000000001E-4</v>
      </c>
      <c r="O44" s="138">
        <v>5.5761859999999995E-4</v>
      </c>
      <c r="P44" s="138">
        <v>5.4038000000000003E-4</v>
      </c>
      <c r="Q44" s="138">
        <v>7.9430839999999995E-5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s="3">
        <v>0</v>
      </c>
      <c r="Z44" s="3">
        <v>0</v>
      </c>
      <c r="AA44">
        <v>0</v>
      </c>
      <c r="AB44" s="138">
        <v>2.493595E-4</v>
      </c>
      <c r="AC44">
        <v>0</v>
      </c>
      <c r="AD44" s="138">
        <v>7.4027900000000005E-4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s="212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 s="138">
        <v>3.380347E-5</v>
      </c>
      <c r="AY44" s="138">
        <v>1.7107719999999999E-3</v>
      </c>
      <c r="AZ44" s="138">
        <v>1.2288240000000001E-3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 s="138">
        <v>4.8122140000000004E-3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 s="204">
        <v>0</v>
      </c>
      <c r="DN44" s="204">
        <v>0</v>
      </c>
      <c r="DO44" s="204">
        <v>0</v>
      </c>
      <c r="DP44" s="204">
        <v>0</v>
      </c>
      <c r="DQ44" s="204">
        <v>0</v>
      </c>
      <c r="DR44" s="204">
        <v>0</v>
      </c>
      <c r="DS44" s="204">
        <v>0</v>
      </c>
      <c r="DT44" s="204">
        <v>0</v>
      </c>
    </row>
    <row r="45" spans="1:124" x14ac:dyDescent="0.15">
      <c r="A45" s="156" t="s">
        <v>265</v>
      </c>
      <c r="B45">
        <v>0</v>
      </c>
      <c r="C45">
        <v>0</v>
      </c>
      <c r="D45" s="138">
        <v>9.7410069999999994E-3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s="138">
        <v>9.828762E-4</v>
      </c>
      <c r="N45" s="138">
        <v>9.9944380000000009E-4</v>
      </c>
      <c r="O45" s="138">
        <v>2.6807160000000001E-3</v>
      </c>
      <c r="P45" s="138">
        <v>2.5978429999999999E-3</v>
      </c>
      <c r="Q45" s="138">
        <v>3.818588E-4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s="3">
        <v>0</v>
      </c>
      <c r="Z45" s="3">
        <v>0</v>
      </c>
      <c r="AA45">
        <v>0</v>
      </c>
      <c r="AB45" s="138">
        <v>1.19878E-3</v>
      </c>
      <c r="AC45">
        <v>0</v>
      </c>
      <c r="AD45" s="138">
        <v>3.5588450000000002E-3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s="138">
        <v>8.3324299999999998E-5</v>
      </c>
      <c r="AO45">
        <v>0</v>
      </c>
      <c r="AP45">
        <v>0</v>
      </c>
      <c r="AQ45">
        <v>0</v>
      </c>
      <c r="AR45">
        <v>0</v>
      </c>
      <c r="AS45" s="212">
        <v>0</v>
      </c>
      <c r="AT45">
        <v>0</v>
      </c>
      <c r="AU45">
        <v>0</v>
      </c>
      <c r="AV45">
        <v>0</v>
      </c>
      <c r="AW45">
        <v>0</v>
      </c>
      <c r="AX45" s="138">
        <v>1.6250809999999999E-4</v>
      </c>
      <c r="AY45" s="138">
        <v>8.2244269999999994E-3</v>
      </c>
      <c r="AZ45" s="138">
        <v>5.9074970000000003E-3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 s="138">
        <v>4.8122140000000004E-3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 s="204">
        <v>0</v>
      </c>
      <c r="DN45" s="204">
        <v>0</v>
      </c>
      <c r="DO45" s="204">
        <v>0</v>
      </c>
      <c r="DP45" s="204">
        <v>0</v>
      </c>
      <c r="DQ45" s="204">
        <v>0</v>
      </c>
      <c r="DR45" s="204">
        <v>0</v>
      </c>
      <c r="DS45" s="204">
        <v>0</v>
      </c>
      <c r="DT45" s="204">
        <v>0</v>
      </c>
    </row>
    <row r="46" spans="1:124" x14ac:dyDescent="0.15">
      <c r="A46" s="156" t="s">
        <v>266</v>
      </c>
      <c r="B46">
        <v>0</v>
      </c>
      <c r="C46">
        <v>0</v>
      </c>
      <c r="D46" s="138">
        <v>3.009547E-4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s="138">
        <v>3.036658E-5</v>
      </c>
      <c r="N46" s="138">
        <v>3.0878450000000002E-5</v>
      </c>
      <c r="O46" s="138">
        <v>5.5341679999999998E-5</v>
      </c>
      <c r="P46" s="138">
        <v>5.9045419999999997E-5</v>
      </c>
      <c r="Q46" s="138">
        <v>1.179777E-5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s="3">
        <v>0</v>
      </c>
      <c r="Z46" s="3">
        <v>0</v>
      </c>
      <c r="AA46">
        <v>0</v>
      </c>
      <c r="AB46" s="138">
        <v>3.7037079999999997E-5</v>
      </c>
      <c r="AC46">
        <v>0</v>
      </c>
      <c r="AD46" s="138">
        <v>1.099528E-4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 s="212">
        <v>0</v>
      </c>
      <c r="AU46">
        <v>0</v>
      </c>
      <c r="AV46">
        <v>0</v>
      </c>
      <c r="AW46">
        <v>0</v>
      </c>
      <c r="AX46" s="138">
        <v>5.0207909999999998E-6</v>
      </c>
      <c r="AY46" s="138">
        <v>2.5409899999999998E-4</v>
      </c>
      <c r="AZ46" s="138">
        <v>1.8251589999999999E-4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 s="138">
        <v>1.1785229999999999E-3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 s="204">
        <v>0</v>
      </c>
      <c r="DN46" s="204">
        <v>0</v>
      </c>
      <c r="DO46" s="204">
        <v>0</v>
      </c>
      <c r="DP46" s="204">
        <v>0</v>
      </c>
      <c r="DQ46" s="204">
        <v>0</v>
      </c>
      <c r="DR46" s="204">
        <v>0</v>
      </c>
      <c r="DS46" s="204">
        <v>0</v>
      </c>
      <c r="DT46" s="204">
        <v>0</v>
      </c>
    </row>
    <row r="47" spans="1:124" x14ac:dyDescent="0.15">
      <c r="A47" s="156" t="s">
        <v>267</v>
      </c>
      <c r="B47">
        <v>0</v>
      </c>
      <c r="C47">
        <v>0</v>
      </c>
      <c r="D47" s="138">
        <v>9.4620610000000008E-3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 s="138">
        <v>9.5473010000000002E-4</v>
      </c>
      <c r="N47" s="138">
        <v>9.7082340000000003E-4</v>
      </c>
      <c r="O47" s="138">
        <v>1.7399519999999999E-3</v>
      </c>
      <c r="P47" s="138">
        <v>1.856398E-3</v>
      </c>
      <c r="Q47" s="138">
        <v>3.709238E-4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s="3">
        <v>0</v>
      </c>
      <c r="Z47" s="3">
        <v>0</v>
      </c>
      <c r="AA47">
        <v>0</v>
      </c>
      <c r="AB47" s="138">
        <v>1.1644520000000001E-3</v>
      </c>
      <c r="AC47">
        <v>0</v>
      </c>
      <c r="AD47" s="138">
        <v>3.4569319999999998E-3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s="138">
        <v>1.7794070000000001E-5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 s="212">
        <v>0</v>
      </c>
      <c r="AV47">
        <v>0</v>
      </c>
      <c r="AW47">
        <v>0</v>
      </c>
      <c r="AX47" s="138">
        <v>1.578545E-4</v>
      </c>
      <c r="AY47" s="138">
        <v>7.9889100000000001E-3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 s="138">
        <v>7.8289579999999998E-4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 s="204">
        <v>0</v>
      </c>
      <c r="DN47" s="204">
        <v>0</v>
      </c>
      <c r="DO47" s="204">
        <v>0</v>
      </c>
      <c r="DP47" s="204">
        <v>0</v>
      </c>
      <c r="DQ47" s="204">
        <v>0</v>
      </c>
      <c r="DR47" s="204">
        <v>0</v>
      </c>
      <c r="DS47" s="204">
        <v>0</v>
      </c>
      <c r="DT47" s="204">
        <v>0</v>
      </c>
    </row>
    <row r="48" spans="1:124" x14ac:dyDescent="0.15">
      <c r="A48" s="156" t="s">
        <v>268</v>
      </c>
      <c r="B48">
        <v>0</v>
      </c>
      <c r="C48">
        <v>0</v>
      </c>
      <c r="D48" s="138">
        <v>1.001355E-2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 s="138">
        <v>1.0103759999999999E-3</v>
      </c>
      <c r="N48" s="138">
        <v>1.0274069999999999E-3</v>
      </c>
      <c r="O48" s="138">
        <v>1.8413629999999999E-3</v>
      </c>
      <c r="P48" s="138">
        <v>1.9645969999999998E-3</v>
      </c>
      <c r="Q48" s="138">
        <v>3.9254289999999999E-4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s="3">
        <v>0</v>
      </c>
      <c r="Z48" s="3">
        <v>0</v>
      </c>
      <c r="AA48">
        <v>0</v>
      </c>
      <c r="AB48" s="138">
        <v>1.232321E-3</v>
      </c>
      <c r="AC48">
        <v>0</v>
      </c>
      <c r="AD48" s="138">
        <v>3.6584180000000001E-3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 s="212">
        <v>0</v>
      </c>
      <c r="AW48">
        <v>0</v>
      </c>
      <c r="AX48" s="138">
        <v>1.6705490000000001E-4</v>
      </c>
      <c r="AY48">
        <v>0.254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 s="204">
        <v>0</v>
      </c>
      <c r="DN48" s="204">
        <v>0</v>
      </c>
      <c r="DO48" s="204">
        <v>0</v>
      </c>
      <c r="DP48" s="204">
        <v>0</v>
      </c>
      <c r="DQ48" s="204">
        <v>0</v>
      </c>
      <c r="DR48" s="204">
        <v>0</v>
      </c>
      <c r="DS48" s="204">
        <v>0</v>
      </c>
      <c r="DT48" s="204">
        <v>0</v>
      </c>
    </row>
    <row r="49" spans="1:124" x14ac:dyDescent="0.15">
      <c r="A49" s="156" t="s">
        <v>269</v>
      </c>
      <c r="B49">
        <v>0</v>
      </c>
      <c r="C49">
        <v>0</v>
      </c>
      <c r="D49" s="138">
        <v>5.7234479999999999E-3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 s="138">
        <v>5.7750110000000005E-4</v>
      </c>
      <c r="N49" s="138">
        <v>5.872354E-4</v>
      </c>
      <c r="O49" s="138">
        <v>1.477626E-5</v>
      </c>
      <c r="P49" s="138">
        <v>2.354318E-7</v>
      </c>
      <c r="Q49" s="138">
        <v>2.243658E-4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s="3">
        <v>0</v>
      </c>
      <c r="Z49" s="3">
        <v>0</v>
      </c>
      <c r="AA49">
        <v>0</v>
      </c>
      <c r="AB49" s="138">
        <v>7.0435810000000001E-4</v>
      </c>
      <c r="AC49">
        <v>0</v>
      </c>
      <c r="AD49" s="138">
        <v>2.0910429999999999E-3</v>
      </c>
      <c r="AE49">
        <v>0</v>
      </c>
      <c r="AF49">
        <v>0</v>
      </c>
      <c r="AG49">
        <v>0</v>
      </c>
      <c r="AH49" s="138">
        <v>3.7143010000000001E-5</v>
      </c>
      <c r="AI49">
        <v>0</v>
      </c>
      <c r="AJ49">
        <v>0</v>
      </c>
      <c r="AK49">
        <v>0</v>
      </c>
      <c r="AL49">
        <v>0</v>
      </c>
      <c r="AM49">
        <v>0</v>
      </c>
      <c r="AN49" s="138">
        <v>1.97798E-5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 s="212">
        <v>0</v>
      </c>
      <c r="AX49" s="138">
        <v>9.5483609999999996E-5</v>
      </c>
      <c r="AY49" s="138">
        <v>4.8323639999999996E-3</v>
      </c>
      <c r="AZ49" s="138">
        <v>3.4710230000000002E-3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 s="138">
        <v>2.9663229999999999E-2</v>
      </c>
      <c r="BS49" s="138">
        <v>9.8989609999999991E-4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 s="204">
        <v>0</v>
      </c>
      <c r="DN49" s="204">
        <v>0</v>
      </c>
      <c r="DO49" s="204">
        <v>0</v>
      </c>
      <c r="DP49" s="204">
        <v>0</v>
      </c>
      <c r="DQ49" s="204">
        <v>0</v>
      </c>
      <c r="DR49" s="204">
        <v>0</v>
      </c>
      <c r="DS49" s="204">
        <v>0</v>
      </c>
      <c r="DT49" s="204">
        <v>0</v>
      </c>
    </row>
    <row r="50" spans="1:124" x14ac:dyDescent="0.15">
      <c r="A50" s="156" t="s">
        <v>270</v>
      </c>
      <c r="B50">
        <v>0</v>
      </c>
      <c r="C50" s="138">
        <v>1.024105E-3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38">
        <v>1.1716109999999999E-3</v>
      </c>
      <c r="P50" s="138">
        <v>1.1679469999999999E-3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s="3">
        <v>0</v>
      </c>
      <c r="Z50" s="3">
        <v>0</v>
      </c>
      <c r="AA50">
        <v>0</v>
      </c>
      <c r="AB50">
        <v>0</v>
      </c>
      <c r="AC50">
        <v>0</v>
      </c>
      <c r="AD50" s="138">
        <v>3.447149E-3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 s="219">
        <v>2.5274230000000002E-4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 s="204">
        <v>0</v>
      </c>
      <c r="DN50" s="204">
        <v>0</v>
      </c>
      <c r="DO50" s="204">
        <v>0</v>
      </c>
      <c r="DP50" s="204">
        <v>0</v>
      </c>
      <c r="DQ50" s="204">
        <v>0</v>
      </c>
      <c r="DR50" s="204">
        <v>0</v>
      </c>
      <c r="DS50" s="204">
        <v>0</v>
      </c>
      <c r="DT50" s="204">
        <v>0</v>
      </c>
    </row>
    <row r="51" spans="1:124" x14ac:dyDescent="0.15">
      <c r="A51" s="156" t="s">
        <v>271</v>
      </c>
      <c r="B51">
        <v>0</v>
      </c>
      <c r="C51" s="138">
        <v>1.32862E-3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38">
        <v>1.5199860000000001E-3</v>
      </c>
      <c r="P51" s="138">
        <v>1.515232E-3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s="3">
        <v>0</v>
      </c>
      <c r="Z51" s="3">
        <v>0</v>
      </c>
      <c r="AA51">
        <v>0</v>
      </c>
      <c r="AB51">
        <v>0</v>
      </c>
      <c r="AC51">
        <v>0</v>
      </c>
      <c r="AD51" s="138">
        <v>4.4721500000000003E-3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 s="212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 s="204">
        <v>0</v>
      </c>
      <c r="DN51" s="204">
        <v>0</v>
      </c>
      <c r="DO51" s="204">
        <v>0</v>
      </c>
      <c r="DP51" s="204">
        <v>0</v>
      </c>
      <c r="DQ51" s="204">
        <v>0</v>
      </c>
      <c r="DR51" s="204">
        <v>0</v>
      </c>
      <c r="DS51" s="204">
        <v>0</v>
      </c>
      <c r="DT51" s="204">
        <v>0</v>
      </c>
    </row>
    <row r="52" spans="1:124" x14ac:dyDescent="0.15">
      <c r="A52" s="156" t="s">
        <v>272</v>
      </c>
      <c r="B52">
        <v>0</v>
      </c>
      <c r="C52" s="138">
        <v>1.781272E-3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38">
        <v>2.0378359999999999E-3</v>
      </c>
      <c r="P52" s="138">
        <v>2.0314619999999999E-3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s="3">
        <v>0</v>
      </c>
      <c r="Z52" s="3">
        <v>0</v>
      </c>
      <c r="AA52">
        <v>0</v>
      </c>
      <c r="AB52">
        <v>0</v>
      </c>
      <c r="AC52">
        <v>0</v>
      </c>
      <c r="AD52" s="138">
        <v>5.9957830000000002E-3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 s="21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 s="204">
        <v>0</v>
      </c>
      <c r="DN52" s="204">
        <v>0</v>
      </c>
      <c r="DO52" s="204">
        <v>0</v>
      </c>
      <c r="DP52" s="204">
        <v>0</v>
      </c>
      <c r="DQ52" s="204">
        <v>0</v>
      </c>
      <c r="DR52" s="204">
        <v>0</v>
      </c>
      <c r="DS52" s="204">
        <v>0</v>
      </c>
      <c r="DT52" s="204">
        <v>0</v>
      </c>
    </row>
    <row r="53" spans="1:124" x14ac:dyDescent="0.15">
      <c r="A53" s="156" t="s">
        <v>273</v>
      </c>
      <c r="B53">
        <v>0</v>
      </c>
      <c r="C53" s="138">
        <v>5.1137480000000004E-4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 s="138">
        <v>6.5931170000000001E-5</v>
      </c>
      <c r="N53" s="138">
        <v>6.7042509999999995E-5</v>
      </c>
      <c r="O53" s="138">
        <v>9.4379289999999994E-3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s="3">
        <v>0</v>
      </c>
      <c r="Z53" s="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 s="222">
        <v>2.5297169999999999E-3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 s="138">
        <v>1.090101E-5</v>
      </c>
      <c r="AY53" s="138">
        <v>4.1764720000000001E-4</v>
      </c>
      <c r="AZ53" s="138">
        <v>1.2239409999999999E-4</v>
      </c>
      <c r="BA53" s="212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 s="204">
        <v>0</v>
      </c>
      <c r="DN53" s="204">
        <v>0</v>
      </c>
      <c r="DO53" s="204">
        <v>0</v>
      </c>
      <c r="DP53" s="204">
        <v>0</v>
      </c>
      <c r="DQ53" s="204">
        <v>0</v>
      </c>
      <c r="DR53" s="204">
        <v>0</v>
      </c>
      <c r="DS53" s="204">
        <v>0</v>
      </c>
      <c r="DT53" s="204">
        <v>0</v>
      </c>
    </row>
    <row r="54" spans="1:124" x14ac:dyDescent="0.15">
      <c r="A54" s="156" t="s">
        <v>274</v>
      </c>
      <c r="B54">
        <v>0</v>
      </c>
      <c r="C54" s="138">
        <v>2.505603E-2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 s="138">
        <v>3.2304539999999998E-3</v>
      </c>
      <c r="N54" s="138">
        <v>3.284908E-3</v>
      </c>
      <c r="O54">
        <v>0</v>
      </c>
      <c r="P54" s="138">
        <v>9.48564E-3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s="3">
        <v>0</v>
      </c>
      <c r="Z54" s="3">
        <v>0</v>
      </c>
      <c r="AA54">
        <v>0</v>
      </c>
      <c r="AB54">
        <v>0</v>
      </c>
      <c r="AC54">
        <v>0.36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s="138">
        <v>3.5620560000000001E-3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 s="138">
        <v>2.2578419999999999E-4</v>
      </c>
      <c r="AY54">
        <v>0</v>
      </c>
      <c r="AZ54">
        <v>0</v>
      </c>
      <c r="BA54">
        <v>0</v>
      </c>
      <c r="BB54" s="212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 s="204">
        <v>0</v>
      </c>
      <c r="DN54" s="204">
        <v>0</v>
      </c>
      <c r="DO54" s="204">
        <v>0</v>
      </c>
      <c r="DP54" s="204">
        <v>0</v>
      </c>
      <c r="DQ54" s="204">
        <v>0</v>
      </c>
      <c r="DR54" s="204">
        <v>0</v>
      </c>
      <c r="DS54" s="204">
        <v>0</v>
      </c>
      <c r="DT54" s="204">
        <v>0</v>
      </c>
    </row>
    <row r="55" spans="1:124" x14ac:dyDescent="0.15">
      <c r="A55" s="156" t="s">
        <v>275</v>
      </c>
      <c r="B55">
        <v>0</v>
      </c>
      <c r="C55" s="138">
        <v>2.394191E-2</v>
      </c>
      <c r="D55">
        <v>0</v>
      </c>
      <c r="E55" s="138">
        <v>4.7892619999999997E-2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 s="138">
        <v>3.086812E-3</v>
      </c>
      <c r="N55" s="138">
        <v>3.1388430000000001E-3</v>
      </c>
      <c r="O55">
        <v>0</v>
      </c>
      <c r="P55">
        <v>0</v>
      </c>
      <c r="Q55" s="138">
        <v>2.6352210000000001E-2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s="3">
        <v>0</v>
      </c>
      <c r="Z55" s="3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 s="138">
        <v>4.6426719999999999E-4</v>
      </c>
      <c r="AG55">
        <v>0</v>
      </c>
      <c r="AH55" s="138">
        <v>7.0149849999999996E-3</v>
      </c>
      <c r="AI55">
        <v>0</v>
      </c>
      <c r="AJ55">
        <v>0</v>
      </c>
      <c r="AK55">
        <v>0</v>
      </c>
      <c r="AL55" s="138">
        <v>2.538615E-2</v>
      </c>
      <c r="AM55">
        <v>0</v>
      </c>
      <c r="AN55" s="138">
        <v>9.4829730000000004E-3</v>
      </c>
      <c r="AO55">
        <v>0</v>
      </c>
      <c r="AP55">
        <v>0</v>
      </c>
      <c r="AQ55">
        <v>0</v>
      </c>
      <c r="AR55">
        <v>0</v>
      </c>
      <c r="AS55">
        <v>0</v>
      </c>
      <c r="AT55" s="138">
        <v>4.3260699999999997E-5</v>
      </c>
      <c r="AU55">
        <v>0</v>
      </c>
      <c r="AV55">
        <v>0</v>
      </c>
      <c r="AW55">
        <v>0</v>
      </c>
      <c r="AX55" s="138">
        <v>8.001808E-4</v>
      </c>
      <c r="AY55">
        <v>1.95537E-2</v>
      </c>
      <c r="AZ55">
        <v>0.1</v>
      </c>
      <c r="BA55">
        <v>0</v>
      </c>
      <c r="BB55" s="138">
        <v>5.3401990000000001E-5</v>
      </c>
      <c r="BC55" s="219">
        <v>1.845699E-2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 s="138">
        <v>1.8183330000000001E-3</v>
      </c>
      <c r="BN55" s="138">
        <v>2.2697450000000001E-3</v>
      </c>
      <c r="BO55">
        <v>0</v>
      </c>
      <c r="BP55">
        <v>0</v>
      </c>
      <c r="BQ55">
        <v>0</v>
      </c>
      <c r="BR55">
        <v>0</v>
      </c>
      <c r="BS55" s="138">
        <v>3.330814E-2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 s="204">
        <v>0</v>
      </c>
      <c r="DN55" s="204">
        <v>0</v>
      </c>
      <c r="DO55" s="204">
        <v>0</v>
      </c>
      <c r="DP55" s="204">
        <v>0</v>
      </c>
      <c r="DQ55" s="204">
        <v>0</v>
      </c>
      <c r="DR55" s="204">
        <v>0</v>
      </c>
      <c r="DS55" s="204">
        <v>0</v>
      </c>
      <c r="DT55" s="204">
        <v>0</v>
      </c>
    </row>
    <row r="56" spans="1:124" x14ac:dyDescent="0.15">
      <c r="A56" s="156" t="s">
        <v>276</v>
      </c>
      <c r="B56">
        <v>0</v>
      </c>
      <c r="C56">
        <v>1.9251500000000001E-2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s="3">
        <v>0</v>
      </c>
      <c r="Z56" s="3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 s="138">
        <v>2.0873820000000001E-7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 s="138">
        <v>1.457107E-7</v>
      </c>
      <c r="AY56">
        <v>0</v>
      </c>
      <c r="AZ56">
        <v>0</v>
      </c>
      <c r="BA56">
        <v>0</v>
      </c>
      <c r="BB56">
        <v>0</v>
      </c>
      <c r="BC56">
        <v>0</v>
      </c>
      <c r="BD56" s="212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 s="204">
        <v>0</v>
      </c>
      <c r="DN56" s="204">
        <v>0</v>
      </c>
      <c r="DO56" s="204">
        <v>0</v>
      </c>
      <c r="DP56" s="204">
        <v>0</v>
      </c>
      <c r="DQ56" s="204">
        <v>0</v>
      </c>
      <c r="DR56" s="204">
        <v>0</v>
      </c>
      <c r="DS56" s="204">
        <v>0</v>
      </c>
      <c r="DT56" s="204">
        <v>0</v>
      </c>
    </row>
    <row r="57" spans="1:124" x14ac:dyDescent="0.15">
      <c r="A57" s="156" t="s">
        <v>277</v>
      </c>
      <c r="B57">
        <v>0</v>
      </c>
      <c r="C57" s="138">
        <v>5.1885699999999996E-4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s="3">
        <v>0</v>
      </c>
      <c r="Z57" s="3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 s="138">
        <v>8.3111650000000002E-6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 s="138">
        <v>4.6755079999999998E-6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 s="212">
        <v>0</v>
      </c>
      <c r="BF57">
        <v>0</v>
      </c>
      <c r="BG57" s="138">
        <v>1.5821780000000001E-3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 s="204">
        <v>0</v>
      </c>
      <c r="DN57" s="204">
        <v>0</v>
      </c>
      <c r="DO57" s="204">
        <v>0</v>
      </c>
      <c r="DP57" s="204">
        <v>0</v>
      </c>
      <c r="DQ57" s="204">
        <v>0</v>
      </c>
      <c r="DR57" s="204">
        <v>0</v>
      </c>
      <c r="DS57" s="204">
        <v>0</v>
      </c>
      <c r="DT57" s="204">
        <v>0</v>
      </c>
    </row>
    <row r="58" spans="1:124" x14ac:dyDescent="0.15">
      <c r="A58" s="156" t="s">
        <v>278</v>
      </c>
      <c r="B58">
        <v>0</v>
      </c>
      <c r="C58" s="138">
        <v>4.7275950000000001E-4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138">
        <v>1.175155E-4</v>
      </c>
      <c r="R58">
        <v>0</v>
      </c>
      <c r="S58" s="222">
        <v>1.0104074200000001E-3</v>
      </c>
      <c r="T58" s="138">
        <v>1.0396499999999999E-5</v>
      </c>
      <c r="U58" s="138">
        <v>1.039678E-5</v>
      </c>
      <c r="V58" s="138">
        <v>1.0396499999999999E-5</v>
      </c>
      <c r="W58" s="138">
        <v>1.0396499999999999E-5</v>
      </c>
      <c r="X58" s="138">
        <v>1.0396499999999999E-5</v>
      </c>
      <c r="Y58" s="220">
        <v>1.0396499999999999E-5</v>
      </c>
      <c r="Z58" s="220">
        <v>1.0396499999999999E-5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 s="138">
        <v>4.2601159999999997E-6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 s="212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 s="204">
        <v>0</v>
      </c>
      <c r="DN58" s="204">
        <v>0</v>
      </c>
      <c r="DO58" s="204">
        <v>0</v>
      </c>
      <c r="DP58" s="204">
        <v>0</v>
      </c>
      <c r="DQ58" s="204">
        <v>0</v>
      </c>
      <c r="DR58" s="204">
        <v>0</v>
      </c>
      <c r="DS58" s="204">
        <v>0</v>
      </c>
      <c r="DT58" s="204">
        <v>0</v>
      </c>
    </row>
    <row r="59" spans="1:124" x14ac:dyDescent="0.15">
      <c r="A59" s="156" t="s">
        <v>279</v>
      </c>
      <c r="B59">
        <v>0</v>
      </c>
      <c r="C59" s="138">
        <v>1.669646E-2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 s="138">
        <v>9.4869210000000006E-3</v>
      </c>
      <c r="N59" s="138">
        <v>9.4869220000000001E-3</v>
      </c>
      <c r="O59" s="138">
        <v>2.047863E-3</v>
      </c>
      <c r="P59" s="138">
        <v>1.755125E-3</v>
      </c>
      <c r="Q59" s="138">
        <v>4.1502989999999997E-3</v>
      </c>
      <c r="R59">
        <v>0</v>
      </c>
      <c r="S59" s="138">
        <v>3.6755920000000001E-4</v>
      </c>
      <c r="T59" s="138">
        <v>3.6717370000000001E-4</v>
      </c>
      <c r="U59" s="138">
        <v>3.6718340000000001E-4</v>
      </c>
      <c r="V59" s="138">
        <v>3.6717370000000001E-4</v>
      </c>
      <c r="W59" s="138">
        <v>3.671735E-4</v>
      </c>
      <c r="X59" s="138">
        <v>3.6717359999999998E-4</v>
      </c>
      <c r="Y59" s="220">
        <v>3.671735E-4</v>
      </c>
      <c r="Z59" s="220">
        <v>3.6717370000000001E-4</v>
      </c>
      <c r="AA59">
        <v>0</v>
      </c>
      <c r="AB59" s="138">
        <v>7.6685379999999999E-3</v>
      </c>
      <c r="AC59" s="138">
        <v>3.7225909999999999E-3</v>
      </c>
      <c r="AD59">
        <v>1.04884E-2</v>
      </c>
      <c r="AE59">
        <v>0</v>
      </c>
      <c r="AF59">
        <v>0</v>
      </c>
      <c r="AG59">
        <v>0</v>
      </c>
      <c r="AH59" s="138">
        <v>5.3696189999999997E-6</v>
      </c>
      <c r="AI59">
        <v>0</v>
      </c>
      <c r="AJ59">
        <v>0</v>
      </c>
      <c r="AK59">
        <v>0</v>
      </c>
      <c r="AL59">
        <v>0</v>
      </c>
      <c r="AM59">
        <v>0</v>
      </c>
      <c r="AN59" s="138">
        <v>2.9604140000000002E-3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 s="138">
        <v>1.5045459999999999E-4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 s="212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 s="204">
        <v>0</v>
      </c>
      <c r="DN59" s="204">
        <v>0</v>
      </c>
      <c r="DO59" s="204">
        <v>0</v>
      </c>
      <c r="DP59" s="204">
        <v>0</v>
      </c>
      <c r="DQ59" s="204">
        <v>0</v>
      </c>
      <c r="DR59" s="204">
        <v>0</v>
      </c>
      <c r="DS59" s="204">
        <v>0</v>
      </c>
      <c r="DT59" s="204">
        <v>0</v>
      </c>
    </row>
    <row r="60" spans="1:124" x14ac:dyDescent="0.15">
      <c r="A60" s="156" t="s">
        <v>280</v>
      </c>
      <c r="B60">
        <v>0</v>
      </c>
      <c r="C60" s="138">
        <v>7.4817640000000001E-3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 s="138">
        <v>4.251136E-3</v>
      </c>
      <c r="N60" s="138">
        <v>4.2511370000000003E-3</v>
      </c>
      <c r="O60" s="138">
        <v>9.1765759999999999E-4</v>
      </c>
      <c r="P60" s="138">
        <v>7.8647989999999996E-4</v>
      </c>
      <c r="Q60" s="138">
        <v>1.859769E-3</v>
      </c>
      <c r="R60">
        <v>0</v>
      </c>
      <c r="S60" s="138">
        <v>1.6470499999999999E-4</v>
      </c>
      <c r="T60" s="138">
        <v>1.645323E-4</v>
      </c>
      <c r="U60" s="138">
        <v>1.6453670000000001E-4</v>
      </c>
      <c r="V60" s="138">
        <v>1.645323E-4</v>
      </c>
      <c r="W60" s="138">
        <v>1.645323E-4</v>
      </c>
      <c r="X60" s="138">
        <v>1.645323E-4</v>
      </c>
      <c r="Y60" s="220">
        <v>1.645323E-4</v>
      </c>
      <c r="Z60" s="220">
        <v>1.645323E-4</v>
      </c>
      <c r="AA60">
        <v>0</v>
      </c>
      <c r="AB60" s="138">
        <v>3.4363100000000001E-3</v>
      </c>
      <c r="AC60" s="138">
        <v>1.6681109999999999E-3</v>
      </c>
      <c r="AD60" s="138">
        <v>4.6999040000000004E-3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 s="138">
        <v>6.7419470000000005E-5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 s="212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 s="204">
        <v>0</v>
      </c>
      <c r="DN60" s="204">
        <v>0</v>
      </c>
      <c r="DO60" s="204">
        <v>0</v>
      </c>
      <c r="DP60" s="204">
        <v>0</v>
      </c>
      <c r="DQ60" s="204">
        <v>0</v>
      </c>
      <c r="DR60" s="204">
        <v>0</v>
      </c>
      <c r="DS60" s="204">
        <v>0</v>
      </c>
      <c r="DT60" s="204">
        <v>0</v>
      </c>
    </row>
    <row r="61" spans="1:124" x14ac:dyDescent="0.15">
      <c r="A61" s="156" t="s">
        <v>281</v>
      </c>
      <c r="B61">
        <v>0</v>
      </c>
      <c r="C61" s="138">
        <v>9.5454019999999997E-3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 s="138">
        <v>5.4236939999999997E-3</v>
      </c>
      <c r="N61" s="138">
        <v>5.4236950000000001E-3</v>
      </c>
      <c r="O61" s="138">
        <v>1.170768E-3</v>
      </c>
      <c r="P61" s="138">
        <v>1.0034079999999999E-3</v>
      </c>
      <c r="Q61" s="138">
        <v>2.3727349999999999E-3</v>
      </c>
      <c r="R61">
        <v>0</v>
      </c>
      <c r="S61" s="138">
        <v>2.1013440000000001E-4</v>
      </c>
      <c r="T61" s="138">
        <v>2.0991400000000001E-4</v>
      </c>
      <c r="U61" s="138">
        <v>2.099196E-4</v>
      </c>
      <c r="V61" s="138">
        <v>2.0991400000000001E-4</v>
      </c>
      <c r="W61" s="138">
        <v>2.0991400000000001E-4</v>
      </c>
      <c r="X61" s="138">
        <v>2.0991400000000001E-4</v>
      </c>
      <c r="Y61" s="220">
        <v>2.0991400000000001E-4</v>
      </c>
      <c r="Z61" s="220">
        <v>2.0991400000000001E-4</v>
      </c>
      <c r="AA61">
        <v>0</v>
      </c>
      <c r="AB61" s="138">
        <v>4.38412E-3</v>
      </c>
      <c r="AC61" s="138">
        <v>2.1282139999999998E-3</v>
      </c>
      <c r="AD61" s="138">
        <v>5.9962440000000004E-3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 s="138">
        <v>8.6015219999999997E-5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 s="212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 s="204">
        <v>0</v>
      </c>
      <c r="DN61" s="204">
        <v>0</v>
      </c>
      <c r="DO61" s="204">
        <v>0</v>
      </c>
      <c r="DP61" s="204">
        <v>0</v>
      </c>
      <c r="DQ61" s="204">
        <v>0</v>
      </c>
      <c r="DR61" s="204">
        <v>0</v>
      </c>
      <c r="DS61" s="204">
        <v>0</v>
      </c>
      <c r="DT61" s="204">
        <v>0</v>
      </c>
    </row>
    <row r="62" spans="1:124" x14ac:dyDescent="0.15">
      <c r="A62" s="156" t="s">
        <v>282</v>
      </c>
      <c r="B62">
        <v>0</v>
      </c>
      <c r="C62" s="138">
        <v>3.1377419999999998E-3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 s="138">
        <v>1.7828640000000001E-3</v>
      </c>
      <c r="N62" s="138">
        <v>1.7828640000000001E-3</v>
      </c>
      <c r="O62" s="138">
        <v>3.8485210000000001E-4</v>
      </c>
      <c r="P62" s="138">
        <v>3.29838E-4</v>
      </c>
      <c r="Q62" s="138">
        <v>7.7995989999999997E-4</v>
      </c>
      <c r="R62">
        <v>0</v>
      </c>
      <c r="S62" s="138">
        <v>6.9074890000000004E-5</v>
      </c>
      <c r="T62" s="138">
        <v>6.9002420000000003E-5</v>
      </c>
      <c r="U62" s="138">
        <v>6.9004269999999997E-5</v>
      </c>
      <c r="V62" s="138">
        <v>6.9002430000000004E-5</v>
      </c>
      <c r="W62" s="138">
        <v>6.9002410000000003E-5</v>
      </c>
      <c r="X62" s="138">
        <v>6.9002420000000003E-5</v>
      </c>
      <c r="Y62" s="220">
        <v>6.9002410000000003E-5</v>
      </c>
      <c r="Z62" s="220">
        <v>6.9002420000000003E-5</v>
      </c>
      <c r="AA62">
        <v>0</v>
      </c>
      <c r="AB62" s="138">
        <v>1.441138E-3</v>
      </c>
      <c r="AC62" s="138">
        <v>6.995813E-4</v>
      </c>
      <c r="AD62" s="138">
        <v>1.9710700000000001E-3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 s="138">
        <v>2.8274730000000001E-5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 s="21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 s="204">
        <v>0</v>
      </c>
      <c r="DN62" s="204">
        <v>0</v>
      </c>
      <c r="DO62" s="204">
        <v>0</v>
      </c>
      <c r="DP62" s="204">
        <v>0</v>
      </c>
      <c r="DQ62" s="204">
        <v>0</v>
      </c>
      <c r="DR62" s="204">
        <v>0</v>
      </c>
      <c r="DS62" s="204">
        <v>0</v>
      </c>
      <c r="DT62" s="204">
        <v>0</v>
      </c>
    </row>
    <row r="63" spans="1:124" x14ac:dyDescent="0.15">
      <c r="A63" s="156" t="s">
        <v>283</v>
      </c>
      <c r="B63">
        <v>0</v>
      </c>
      <c r="C63" s="138">
        <v>1.491231E-3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 s="138">
        <v>8.4731719999999995E-4</v>
      </c>
      <c r="N63" s="138">
        <v>8.4731729999999999E-4</v>
      </c>
      <c r="O63">
        <v>0</v>
      </c>
      <c r="P63" s="138">
        <v>1.567576E-4</v>
      </c>
      <c r="Q63" s="138">
        <v>3.7068080000000002E-4</v>
      </c>
      <c r="R63">
        <v>0</v>
      </c>
      <c r="S63" s="138">
        <v>3.2828269999999997E-5</v>
      </c>
      <c r="T63" s="138">
        <v>3.279384E-5</v>
      </c>
      <c r="U63" s="138">
        <v>3.279471E-5</v>
      </c>
      <c r="V63" s="138">
        <v>3.279384E-5</v>
      </c>
      <c r="W63" s="138">
        <v>3.279383E-5</v>
      </c>
      <c r="X63" s="138">
        <v>3.279383E-5</v>
      </c>
      <c r="Y63" s="220">
        <v>3.279383E-5</v>
      </c>
      <c r="Z63" s="220">
        <v>3.279384E-5</v>
      </c>
      <c r="AA63">
        <v>0</v>
      </c>
      <c r="AB63" s="138">
        <v>6.8490969999999995E-4</v>
      </c>
      <c r="AC63" s="138">
        <v>3.3248039999999999E-4</v>
      </c>
      <c r="AD63" s="138">
        <v>9.3676380000000002E-4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 s="138">
        <v>1.3568699999999999E-5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 s="212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 s="204">
        <v>0</v>
      </c>
      <c r="DN63" s="204">
        <v>0</v>
      </c>
      <c r="DO63" s="204">
        <v>0</v>
      </c>
      <c r="DP63" s="204">
        <v>0</v>
      </c>
      <c r="DQ63" s="204">
        <v>0</v>
      </c>
      <c r="DR63" s="204">
        <v>0</v>
      </c>
      <c r="DS63" s="204">
        <v>0</v>
      </c>
      <c r="DT63" s="204">
        <v>0</v>
      </c>
    </row>
    <row r="64" spans="1:124" x14ac:dyDescent="0.15">
      <c r="A64" s="156" t="s">
        <v>284</v>
      </c>
      <c r="B64">
        <v>0</v>
      </c>
      <c r="C64" s="138">
        <v>3.6514910000000002E-3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 s="138">
        <v>2.074776E-3</v>
      </c>
      <c r="N64" s="138">
        <v>2.074776E-3</v>
      </c>
      <c r="O64">
        <v>0</v>
      </c>
      <c r="P64" s="138">
        <v>3.8384319999999999E-4</v>
      </c>
      <c r="Q64" s="138">
        <v>9.076644E-4</v>
      </c>
      <c r="R64">
        <v>0</v>
      </c>
      <c r="S64" s="138">
        <v>8.038466E-5</v>
      </c>
      <c r="T64" s="138">
        <v>8.0300329999999996E-5</v>
      </c>
      <c r="U64" s="138">
        <v>8.0302479999999998E-5</v>
      </c>
      <c r="V64" s="138">
        <v>8.0300339999999997E-5</v>
      </c>
      <c r="W64" s="138">
        <v>8.0300319999999996E-5</v>
      </c>
      <c r="X64" s="138">
        <v>8.0300329999999996E-5</v>
      </c>
      <c r="Y64" s="220">
        <v>8.0300319999999996E-5</v>
      </c>
      <c r="Z64" s="220">
        <v>8.0300329999999996E-5</v>
      </c>
      <c r="AA64">
        <v>0</v>
      </c>
      <c r="AB64" s="138">
        <v>1.6770979999999999E-3</v>
      </c>
      <c r="AC64" s="138">
        <v>8.1412529999999996E-4</v>
      </c>
      <c r="AD64" s="138">
        <v>2.2937980000000001E-3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 s="138">
        <v>3.2904200000000003E-5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 s="212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 s="204">
        <v>0</v>
      </c>
      <c r="DN64" s="204">
        <v>0</v>
      </c>
      <c r="DO64" s="204">
        <v>0</v>
      </c>
      <c r="DP64" s="204">
        <v>0</v>
      </c>
      <c r="DQ64" s="204">
        <v>0</v>
      </c>
      <c r="DR64" s="204">
        <v>0</v>
      </c>
      <c r="DS64" s="204">
        <v>0</v>
      </c>
      <c r="DT64" s="204">
        <v>0</v>
      </c>
    </row>
    <row r="65" spans="1:124" x14ac:dyDescent="0.15">
      <c r="A65" s="156" t="s">
        <v>285</v>
      </c>
      <c r="B65">
        <v>0</v>
      </c>
      <c r="C65" s="138">
        <v>2.577559E-6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s="220">
        <v>5.6742900000000002E-8</v>
      </c>
      <c r="T65" s="138">
        <v>5.6683380000000001E-8</v>
      </c>
      <c r="U65" s="138">
        <v>5.6684889999999999E-8</v>
      </c>
      <c r="V65" s="138">
        <v>5.6683380000000001E-8</v>
      </c>
      <c r="W65" s="138">
        <v>5.6683360000000001E-8</v>
      </c>
      <c r="X65" s="138">
        <v>5.6683369999999998E-8</v>
      </c>
      <c r="Y65" s="220">
        <v>5.6683360000000001E-8</v>
      </c>
      <c r="Z65" s="220">
        <v>5.6683380000000001E-8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 s="138">
        <v>2.3226819999999999E-8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 s="212">
        <v>0</v>
      </c>
      <c r="BN65" s="138">
        <v>3.5100650000000001E-3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 s="204">
        <v>0</v>
      </c>
      <c r="DN65" s="204">
        <v>0</v>
      </c>
      <c r="DO65" s="204">
        <v>0</v>
      </c>
      <c r="DP65" s="204">
        <v>0</v>
      </c>
      <c r="DQ65" s="204">
        <v>0</v>
      </c>
      <c r="DR65" s="204">
        <v>0</v>
      </c>
      <c r="DS65" s="204">
        <v>0</v>
      </c>
      <c r="DT65" s="204">
        <v>0</v>
      </c>
    </row>
    <row r="66" spans="1:124" x14ac:dyDescent="0.15">
      <c r="A66" s="156" t="s">
        <v>286</v>
      </c>
      <c r="B66">
        <v>0</v>
      </c>
      <c r="C66" s="138">
        <v>1.071989E-3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 s="138">
        <v>1.1268709999999999E-4</v>
      </c>
      <c r="Q66">
        <v>0</v>
      </c>
      <c r="R66">
        <v>0</v>
      </c>
      <c r="S66" s="138">
        <v>2.3598990000000002E-5</v>
      </c>
      <c r="T66" s="138">
        <v>2.3574240000000001E-5</v>
      </c>
      <c r="U66" s="138">
        <v>2.3574870000000002E-5</v>
      </c>
      <c r="V66" s="138">
        <v>2.3574230000000001E-5</v>
      </c>
      <c r="W66" s="138">
        <v>2.3574230000000001E-5</v>
      </c>
      <c r="X66" s="138">
        <v>2.3574230000000001E-5</v>
      </c>
      <c r="Y66" s="220">
        <v>2.3574230000000001E-5</v>
      </c>
      <c r="Z66" s="220">
        <v>2.3574240000000001E-5</v>
      </c>
      <c r="AA66">
        <v>0</v>
      </c>
      <c r="AB66" s="138">
        <v>4.9235540000000001E-4</v>
      </c>
      <c r="AC66" s="138">
        <v>2.3900749999999999E-4</v>
      </c>
      <c r="AD66" s="138">
        <v>6.7340369999999996E-4</v>
      </c>
      <c r="AE66">
        <v>0</v>
      </c>
      <c r="AF66">
        <v>0</v>
      </c>
      <c r="AG66">
        <v>0</v>
      </c>
      <c r="AH66" s="138">
        <v>6.256181E-6</v>
      </c>
      <c r="AI66">
        <v>0</v>
      </c>
      <c r="AJ66">
        <v>0</v>
      </c>
      <c r="AK66">
        <v>0</v>
      </c>
      <c r="AL66" s="138">
        <v>1.02123E-4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 s="138">
        <v>9.6598780000000003E-6</v>
      </c>
      <c r="AY66">
        <v>0</v>
      </c>
      <c r="AZ66">
        <v>0</v>
      </c>
      <c r="BA66">
        <v>0</v>
      </c>
      <c r="BB66" s="138">
        <v>1.176196E-4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 s="212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 s="204">
        <v>0</v>
      </c>
      <c r="DN66" s="204">
        <v>0</v>
      </c>
      <c r="DO66" s="204">
        <v>0</v>
      </c>
      <c r="DP66" s="204">
        <v>0</v>
      </c>
      <c r="DQ66" s="204">
        <v>0</v>
      </c>
      <c r="DR66" s="204">
        <v>0</v>
      </c>
      <c r="DS66" s="204">
        <v>0</v>
      </c>
      <c r="DT66" s="204">
        <v>0</v>
      </c>
    </row>
    <row r="67" spans="1:124" x14ac:dyDescent="0.15">
      <c r="A67" s="156" t="s">
        <v>287</v>
      </c>
      <c r="B67">
        <v>0</v>
      </c>
      <c r="C67" s="138">
        <v>1.7756289999999999E-3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 s="138">
        <v>7.8398339999999995E-4</v>
      </c>
      <c r="M67" s="138">
        <v>1.0089109999999999E-3</v>
      </c>
      <c r="N67" s="138">
        <v>1.0089109999999999E-3</v>
      </c>
      <c r="O67" s="138">
        <v>2.177855E-4</v>
      </c>
      <c r="P67" s="138">
        <v>1.866534E-4</v>
      </c>
      <c r="Q67" s="138">
        <v>4.4137449999999997E-4</v>
      </c>
      <c r="R67">
        <v>0</v>
      </c>
      <c r="S67" s="138">
        <v>3.9089050000000001E-5</v>
      </c>
      <c r="T67" s="138">
        <v>3.904805E-5</v>
      </c>
      <c r="U67" s="138">
        <v>3.9049099999999999E-5</v>
      </c>
      <c r="V67" s="138">
        <v>3.904806E-5</v>
      </c>
      <c r="W67" s="138">
        <v>3.904805E-5</v>
      </c>
      <c r="X67" s="138">
        <v>3.904805E-5</v>
      </c>
      <c r="Y67" s="220">
        <v>3.904805E-5</v>
      </c>
      <c r="Z67" s="220">
        <v>3.904805E-5</v>
      </c>
      <c r="AA67">
        <v>0</v>
      </c>
      <c r="AB67" s="138">
        <v>8.1553099999999998E-4</v>
      </c>
      <c r="AC67" s="138">
        <v>3.958888E-4</v>
      </c>
      <c r="AD67" s="138">
        <v>1.1154170000000001E-3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 s="138">
        <v>1.60005E-5</v>
      </c>
      <c r="AY67">
        <v>0</v>
      </c>
      <c r="AZ67">
        <v>0</v>
      </c>
      <c r="BA67">
        <v>0</v>
      </c>
      <c r="BB67" s="138">
        <v>4.3715179999999996E-3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 s="212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 s="204">
        <v>0</v>
      </c>
      <c r="DN67" s="204">
        <v>0</v>
      </c>
      <c r="DO67" s="204">
        <v>0</v>
      </c>
      <c r="DP67" s="204">
        <v>0</v>
      </c>
      <c r="DQ67" s="204">
        <v>0</v>
      </c>
      <c r="DR67" s="204">
        <v>0</v>
      </c>
      <c r="DS67" s="204">
        <v>0</v>
      </c>
      <c r="DT67" s="204">
        <v>0</v>
      </c>
    </row>
    <row r="68" spans="1:124" x14ac:dyDescent="0.15">
      <c r="A68" s="156" t="s">
        <v>288</v>
      </c>
      <c r="B68">
        <v>0</v>
      </c>
      <c r="C68">
        <v>0</v>
      </c>
      <c r="D68">
        <v>0</v>
      </c>
      <c r="E68">
        <v>0</v>
      </c>
      <c r="F68">
        <v>0</v>
      </c>
      <c r="G68" s="138">
        <v>1.258946E-4</v>
      </c>
      <c r="H68">
        <v>0</v>
      </c>
      <c r="I68">
        <v>0</v>
      </c>
      <c r="J68">
        <v>0</v>
      </c>
      <c r="K68">
        <v>0</v>
      </c>
      <c r="L68">
        <v>0</v>
      </c>
      <c r="M68" s="138">
        <v>1.2951639999999999E-5</v>
      </c>
      <c r="N68">
        <v>0</v>
      </c>
      <c r="O68">
        <v>0</v>
      </c>
      <c r="P68">
        <v>0</v>
      </c>
      <c r="Q68" s="138">
        <v>1.105686E-4</v>
      </c>
      <c r="R68">
        <v>0</v>
      </c>
      <c r="S68" s="138">
        <v>2.2114449999999999E-6</v>
      </c>
      <c r="T68" s="138">
        <v>2.209126E-6</v>
      </c>
      <c r="U68" s="138">
        <v>2.2091850000000002E-6</v>
      </c>
      <c r="V68" s="138">
        <v>2.209126E-6</v>
      </c>
      <c r="W68" s="138">
        <v>2.209126E-6</v>
      </c>
      <c r="X68" s="138">
        <v>2.209126E-6</v>
      </c>
      <c r="Y68" s="220">
        <v>2.209126E-6</v>
      </c>
      <c r="Z68" s="220">
        <v>2.209126E-6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 s="138">
        <v>7.1549150000000002E-4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 s="138">
        <v>1.1761649999999999E-6</v>
      </c>
      <c r="AY68" s="138">
        <v>8.2043390000000001E-5</v>
      </c>
      <c r="AZ68" s="138">
        <v>2.4043319999999999E-5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 s="212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 s="204">
        <v>0</v>
      </c>
      <c r="DN68" s="204">
        <v>0</v>
      </c>
      <c r="DO68" s="204">
        <v>0</v>
      </c>
      <c r="DP68" s="204">
        <v>0</v>
      </c>
      <c r="DQ68" s="204">
        <v>0</v>
      </c>
      <c r="DR68" s="204">
        <v>0</v>
      </c>
      <c r="DS68" s="204">
        <v>0</v>
      </c>
      <c r="DT68" s="204">
        <v>0</v>
      </c>
    </row>
    <row r="69" spans="1:124" x14ac:dyDescent="0.15">
      <c r="A69" s="156" t="s">
        <v>289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 s="138">
        <v>3.6798660000000001E-5</v>
      </c>
      <c r="N69" s="138">
        <v>3.7418959999999999E-5</v>
      </c>
      <c r="O69" s="138">
        <v>4.0302829999999998E-4</v>
      </c>
      <c r="P69" s="138">
        <v>6.4214939999999997E-6</v>
      </c>
      <c r="Q69" s="138">
        <v>3.1415140000000001E-4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 s="3">
        <v>0</v>
      </c>
      <c r="Z69" s="3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 s="214">
        <v>1.5E-5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 s="207">
        <v>6.2084000000000002E-3</v>
      </c>
      <c r="AY69" s="138">
        <v>2.331047E-4</v>
      </c>
      <c r="AZ69" s="138">
        <v>6.8312740000000004E-5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 s="212">
        <v>0</v>
      </c>
      <c r="BR69">
        <v>0</v>
      </c>
      <c r="BS69" s="138">
        <v>5.1615240000000003E-6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 s="204">
        <v>0</v>
      </c>
      <c r="DN69" s="204">
        <v>0</v>
      </c>
      <c r="DO69" s="204">
        <v>0</v>
      </c>
      <c r="DP69" s="204">
        <v>0</v>
      </c>
      <c r="DQ69" s="204">
        <v>0</v>
      </c>
      <c r="DR69" s="204">
        <v>0</v>
      </c>
      <c r="DS69" s="204">
        <v>0</v>
      </c>
      <c r="DT69" s="204">
        <v>0</v>
      </c>
    </row>
    <row r="70" spans="1:124" x14ac:dyDescent="0.15">
      <c r="A70" s="156" t="s">
        <v>290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 s="138">
        <v>2.6129459999999998E-5</v>
      </c>
      <c r="N70" s="138">
        <v>2.6569909999999999E-5</v>
      </c>
      <c r="O70" s="138">
        <v>6.4741779999999996E-5</v>
      </c>
      <c r="P70" s="138">
        <v>1.031538E-6</v>
      </c>
      <c r="Q70" s="138">
        <v>2.2306809999999999E-4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s="3">
        <v>0</v>
      </c>
      <c r="Z70" s="3">
        <v>0</v>
      </c>
      <c r="AA70">
        <v>0</v>
      </c>
      <c r="AB70">
        <v>0</v>
      </c>
      <c r="AC70" s="138">
        <v>2.101991E-4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 s="138">
        <v>4.3202270000000003E-6</v>
      </c>
      <c r="AY70" s="138">
        <v>1.655196E-4</v>
      </c>
      <c r="AZ70" s="138">
        <v>4.8506520000000002E-5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 s="212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 s="204">
        <v>0</v>
      </c>
      <c r="DN70" s="204">
        <v>0</v>
      </c>
      <c r="DO70" s="204">
        <v>0</v>
      </c>
      <c r="DP70" s="204">
        <v>0</v>
      </c>
      <c r="DQ70" s="204">
        <v>0</v>
      </c>
      <c r="DR70" s="204">
        <v>0</v>
      </c>
      <c r="DS70" s="204">
        <v>0</v>
      </c>
      <c r="DT70" s="204">
        <v>0</v>
      </c>
    </row>
    <row r="71" spans="1:124" x14ac:dyDescent="0.15">
      <c r="A71" s="156" t="s">
        <v>291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 s="138">
        <v>1.697689E-4</v>
      </c>
      <c r="N71" s="138">
        <v>1.7263059999999999E-4</v>
      </c>
      <c r="O71" s="138">
        <v>1.6973209999999999E-3</v>
      </c>
      <c r="P71" s="138">
        <v>1.567258E-3</v>
      </c>
      <c r="Q71" s="138">
        <v>7.1568710000000004E-4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s="3">
        <v>0</v>
      </c>
      <c r="Z71" s="3">
        <v>0</v>
      </c>
      <c r="AA71">
        <v>0</v>
      </c>
      <c r="AB71">
        <v>0</v>
      </c>
      <c r="AC71" s="138">
        <v>1.3657109999999999E-3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 s="138">
        <v>3.1281569999999997E-8</v>
      </c>
      <c r="AM71" s="138">
        <v>1.060585E-2</v>
      </c>
      <c r="AN71" s="138">
        <v>2.1148949999999999E-3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 s="138">
        <v>3.4918549999999999E-3</v>
      </c>
      <c r="AY71" s="138">
        <v>1.0754180000000001E-3</v>
      </c>
      <c r="AZ71" s="138">
        <v>3.1515770000000001E-4</v>
      </c>
      <c r="BA71">
        <v>0</v>
      </c>
      <c r="BB71" s="138">
        <v>3.765259E-3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0.17790130000000001</v>
      </c>
      <c r="BS71" s="219">
        <v>1.8365079999999999E-3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 s="204">
        <v>0</v>
      </c>
      <c r="DN71" s="204">
        <v>0</v>
      </c>
      <c r="DO71" s="204">
        <v>0</v>
      </c>
      <c r="DP71" s="204">
        <v>0</v>
      </c>
      <c r="DQ71" s="204">
        <v>0</v>
      </c>
      <c r="DR71" s="204">
        <v>0</v>
      </c>
      <c r="DS71" s="204">
        <v>0</v>
      </c>
      <c r="DT71" s="204">
        <v>0</v>
      </c>
    </row>
    <row r="72" spans="1:124" x14ac:dyDescent="0.15">
      <c r="A72" s="156" t="s">
        <v>180</v>
      </c>
      <c r="B72">
        <v>0</v>
      </c>
      <c r="C72">
        <v>0</v>
      </c>
      <c r="D72">
        <v>0</v>
      </c>
      <c r="E72" s="138">
        <v>4.1530640000000001E-2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s="138">
        <v>2.6767649999999998E-3</v>
      </c>
      <c r="N72" s="138">
        <v>2.7218849999999998E-3</v>
      </c>
      <c r="O72" s="138">
        <v>2.0098120000000001E-5</v>
      </c>
      <c r="P72" s="138">
        <v>3.2022559999999998E-7</v>
      </c>
      <c r="Q72" s="138">
        <v>1.1284310000000001E-2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s="3">
        <v>0</v>
      </c>
      <c r="Z72" s="3">
        <v>0</v>
      </c>
      <c r="AA72">
        <v>0</v>
      </c>
      <c r="AB72">
        <v>0</v>
      </c>
      <c r="AC72">
        <v>2.1533299999999998E-2</v>
      </c>
      <c r="AD72">
        <v>0</v>
      </c>
      <c r="AE72">
        <v>0</v>
      </c>
      <c r="AF72" s="138">
        <v>7.2812349999999996E-4</v>
      </c>
      <c r="AG72" s="138">
        <v>5.1384609999999997E-2</v>
      </c>
      <c r="AH72" s="138">
        <v>3.3947089999999999E-2</v>
      </c>
      <c r="AI72">
        <v>0</v>
      </c>
      <c r="AJ72">
        <v>0</v>
      </c>
      <c r="AK72" s="138">
        <v>1.8870869999999999E-4</v>
      </c>
      <c r="AL72" s="138">
        <v>4.5954890000000003E-3</v>
      </c>
      <c r="AM72" s="138">
        <v>1.918481E-2</v>
      </c>
      <c r="AN72" s="138">
        <v>6.4497169999999998E-3</v>
      </c>
      <c r="AO72">
        <v>0</v>
      </c>
      <c r="AP72">
        <v>0</v>
      </c>
      <c r="AQ72" s="138">
        <v>1.2623189999999999E-2</v>
      </c>
      <c r="AR72">
        <v>0</v>
      </c>
      <c r="AS72" s="138">
        <v>6.2388349999999999E-3</v>
      </c>
      <c r="AT72">
        <v>0</v>
      </c>
      <c r="AU72">
        <v>0</v>
      </c>
      <c r="AV72">
        <v>0</v>
      </c>
      <c r="AW72">
        <v>0</v>
      </c>
      <c r="AX72" s="138">
        <v>1.025622E-2</v>
      </c>
      <c r="AY72" s="138">
        <v>1.6956220000000001E-2</v>
      </c>
      <c r="AZ72" s="138">
        <v>4.9691270000000003E-3</v>
      </c>
      <c r="BA72">
        <v>0</v>
      </c>
      <c r="BB72" s="138">
        <v>7.5486839999999999E-3</v>
      </c>
      <c r="BC72" s="138">
        <v>1.3510070000000001E-2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 s="138">
        <v>2.5597330000000002E-12</v>
      </c>
      <c r="BM72">
        <v>0</v>
      </c>
      <c r="BN72" s="138">
        <v>1.151372E-2</v>
      </c>
      <c r="BO72">
        <v>0</v>
      </c>
      <c r="BP72">
        <v>0</v>
      </c>
      <c r="BQ72" s="138">
        <v>8.2657350000000002E-5</v>
      </c>
      <c r="BR72">
        <v>0.15014930000000001</v>
      </c>
      <c r="BS72" s="138">
        <v>2.105363E-2</v>
      </c>
      <c r="BT72" s="21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 s="204">
        <v>0</v>
      </c>
      <c r="DN72" s="204">
        <v>0</v>
      </c>
      <c r="DO72" s="204">
        <v>0</v>
      </c>
      <c r="DP72" s="204">
        <v>0</v>
      </c>
      <c r="DQ72" s="204">
        <v>0</v>
      </c>
      <c r="DR72" s="204">
        <v>0</v>
      </c>
      <c r="DS72" s="204">
        <v>0</v>
      </c>
      <c r="DT72" s="204">
        <v>0</v>
      </c>
    </row>
    <row r="73" spans="1:124" x14ac:dyDescent="0.15">
      <c r="A73" s="156" t="s">
        <v>292</v>
      </c>
      <c r="B73">
        <v>0</v>
      </c>
      <c r="C73">
        <v>0</v>
      </c>
      <c r="D73">
        <v>0</v>
      </c>
      <c r="E73" s="138">
        <v>3.2576750000000002E-2</v>
      </c>
      <c r="F73">
        <v>0</v>
      </c>
      <c r="G73" s="138">
        <v>2.0409460000000001E-2</v>
      </c>
      <c r="H73" s="138">
        <v>1.0310049999999999E-2</v>
      </c>
      <c r="I73">
        <v>0</v>
      </c>
      <c r="J73">
        <v>0</v>
      </c>
      <c r="K73">
        <v>0</v>
      </c>
      <c r="L73">
        <v>0</v>
      </c>
      <c r="M73" s="138">
        <v>2.0996610000000001E-3</v>
      </c>
      <c r="N73" s="138">
        <v>2.1350539999999999E-3</v>
      </c>
      <c r="O73" s="138">
        <v>2.9241880000000001E-2</v>
      </c>
      <c r="P73" s="138">
        <v>2.919859E-2</v>
      </c>
      <c r="Q73">
        <v>9.7000000000000003E-2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s="3">
        <v>0</v>
      </c>
      <c r="Z73" s="3">
        <v>0</v>
      </c>
      <c r="AA73">
        <v>0</v>
      </c>
      <c r="AB73">
        <v>5.0000000000000001E-3</v>
      </c>
      <c r="AC73" s="138">
        <v>1.6890780000000001E-2</v>
      </c>
      <c r="AD73" s="138">
        <v>1.150467E-2</v>
      </c>
      <c r="AE73">
        <v>0</v>
      </c>
      <c r="AF73" s="138">
        <v>1.729153E-3</v>
      </c>
      <c r="AG73">
        <v>0</v>
      </c>
      <c r="AH73" s="138">
        <v>3.60663E-3</v>
      </c>
      <c r="AI73">
        <v>0</v>
      </c>
      <c r="AJ73">
        <v>0</v>
      </c>
      <c r="AK73">
        <v>0</v>
      </c>
      <c r="AL73" s="221">
        <v>1.4999999999999999E-2</v>
      </c>
      <c r="AM73" s="138">
        <v>1.5319570000000001E-4</v>
      </c>
      <c r="AN73" s="138">
        <v>1.9210060000000001E-3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 s="138">
        <v>5.4376199999999998E-3</v>
      </c>
      <c r="AW73">
        <v>0</v>
      </c>
      <c r="AX73" s="138">
        <v>6.0689580000000002E-3</v>
      </c>
      <c r="AY73" s="138">
        <v>1.330051E-2</v>
      </c>
      <c r="AZ73" s="138">
        <v>9.3333349999999999E-3</v>
      </c>
      <c r="BA73">
        <v>0</v>
      </c>
      <c r="BB73" s="138">
        <v>2.1119580000000002E-3</v>
      </c>
      <c r="BC73" s="138">
        <v>9.8653629999999998E-4</v>
      </c>
      <c r="BD73">
        <v>0</v>
      </c>
      <c r="BE73">
        <v>0</v>
      </c>
      <c r="BF73">
        <v>0</v>
      </c>
      <c r="BG73" s="138">
        <v>2.1669779999999999E-4</v>
      </c>
      <c r="BH73">
        <v>0</v>
      </c>
      <c r="BI73">
        <v>0</v>
      </c>
      <c r="BJ73">
        <v>0</v>
      </c>
      <c r="BK73" s="138">
        <v>1.178272E-5</v>
      </c>
      <c r="BL73" s="138">
        <v>1.2544180000000001E-8</v>
      </c>
      <c r="BM73">
        <v>0</v>
      </c>
      <c r="BN73" s="138">
        <v>3.7259039999999998E-4</v>
      </c>
      <c r="BO73">
        <v>0</v>
      </c>
      <c r="BP73">
        <v>0</v>
      </c>
      <c r="BQ73">
        <v>0</v>
      </c>
      <c r="BR73">
        <v>0</v>
      </c>
      <c r="BS73" s="138">
        <v>1.898878E-2</v>
      </c>
      <c r="BT73" s="138">
        <v>4.9857350000000002E-2</v>
      </c>
      <c r="BU73" s="212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 s="204">
        <v>0</v>
      </c>
      <c r="DN73" s="204">
        <v>0</v>
      </c>
      <c r="DO73" s="204">
        <v>0</v>
      </c>
      <c r="DP73" s="204">
        <v>0</v>
      </c>
      <c r="DQ73" s="204">
        <v>0</v>
      </c>
      <c r="DR73" s="204">
        <v>0</v>
      </c>
      <c r="DS73" s="204">
        <v>0</v>
      </c>
      <c r="DT73" s="204">
        <v>0</v>
      </c>
    </row>
    <row r="74" spans="1:124" x14ac:dyDescent="0.15">
      <c r="A74" s="156" t="s">
        <v>293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 s="138">
        <v>6.493642E-3</v>
      </c>
      <c r="P74" s="138">
        <v>6.5026429999999998E-3</v>
      </c>
      <c r="Q74" s="138">
        <v>8.3531390000000007E-3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 s="3">
        <v>0</v>
      </c>
      <c r="Z74" s="3">
        <v>0</v>
      </c>
      <c r="AA74">
        <v>0</v>
      </c>
      <c r="AB74">
        <v>4.6300000000000001E-2</v>
      </c>
      <c r="AC74">
        <v>0</v>
      </c>
      <c r="AD74">
        <v>2.87E-2</v>
      </c>
      <c r="AE74">
        <v>0</v>
      </c>
      <c r="AF74" s="138">
        <v>5.8798500000000003E-5</v>
      </c>
      <c r="AG74">
        <v>0</v>
      </c>
      <c r="AH74" s="138">
        <v>2.285479E-2</v>
      </c>
      <c r="AI74">
        <v>0</v>
      </c>
      <c r="AJ74">
        <v>0</v>
      </c>
      <c r="AK74">
        <v>0</v>
      </c>
      <c r="AL74" s="138">
        <v>1.9770470000000001E-7</v>
      </c>
      <c r="AM74" s="138">
        <v>3.5352840000000001E-5</v>
      </c>
      <c r="AN74">
        <v>3.4484800000000003E-2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 s="138">
        <v>6.7321340000000001E-4</v>
      </c>
      <c r="AX74" s="138">
        <v>1.1476180000000001E-2</v>
      </c>
      <c r="AY74">
        <v>0</v>
      </c>
      <c r="AZ74" s="138">
        <v>5.1666680000000001E-3</v>
      </c>
      <c r="BA74">
        <v>0</v>
      </c>
      <c r="BB74" s="138">
        <v>4.3395589999999998E-2</v>
      </c>
      <c r="BC74">
        <v>0</v>
      </c>
      <c r="BD74">
        <v>0.16180700000000001</v>
      </c>
      <c r="BE74">
        <v>0</v>
      </c>
      <c r="BF74">
        <v>0</v>
      </c>
      <c r="BG74" s="138">
        <v>3.5075589999999999E-3</v>
      </c>
      <c r="BH74">
        <v>0</v>
      </c>
      <c r="BI74">
        <v>0</v>
      </c>
      <c r="BJ74">
        <v>0</v>
      </c>
      <c r="BK74">
        <v>0</v>
      </c>
      <c r="BL74" s="138">
        <v>2.1568270000000001E-12</v>
      </c>
      <c r="BM74" s="138">
        <v>5.1373230000000001E-3</v>
      </c>
      <c r="BN74" s="138">
        <v>1.456154E-2</v>
      </c>
      <c r="BO74">
        <v>0</v>
      </c>
      <c r="BP74">
        <v>0</v>
      </c>
      <c r="BQ74">
        <v>0</v>
      </c>
      <c r="BR74">
        <v>0</v>
      </c>
      <c r="BS74" s="138">
        <v>1.4358310000000001E-2</v>
      </c>
      <c r="BT74">
        <v>0</v>
      </c>
      <c r="BU74">
        <v>0</v>
      </c>
      <c r="BV74" s="212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 s="204">
        <v>0</v>
      </c>
      <c r="DN74" s="204">
        <v>0</v>
      </c>
      <c r="DO74" s="204">
        <v>0</v>
      </c>
      <c r="DP74" s="204">
        <v>0</v>
      </c>
      <c r="DQ74" s="204">
        <v>0</v>
      </c>
      <c r="DR74" s="204">
        <v>0</v>
      </c>
      <c r="DS74" s="204">
        <v>0</v>
      </c>
      <c r="DT74" s="204">
        <v>0</v>
      </c>
    </row>
    <row r="75" spans="1:124" x14ac:dyDescent="0.15">
      <c r="A75" s="156" t="s">
        <v>294</v>
      </c>
      <c r="B75">
        <v>0</v>
      </c>
      <c r="C75">
        <v>0.85</v>
      </c>
      <c r="D75" s="138">
        <v>3.174913E-2</v>
      </c>
      <c r="E75">
        <v>0.69300010000000001</v>
      </c>
      <c r="F75">
        <v>0</v>
      </c>
      <c r="G75" s="138">
        <v>4.9504950000000001E-3</v>
      </c>
      <c r="H75">
        <v>0</v>
      </c>
      <c r="I75">
        <v>0.05</v>
      </c>
      <c r="J75">
        <v>0</v>
      </c>
      <c r="K75">
        <v>0.02</v>
      </c>
      <c r="L75">
        <v>0.05</v>
      </c>
      <c r="M75" s="138">
        <v>6.4676620000000004E-2</v>
      </c>
      <c r="N75" s="138">
        <v>6.4676629999999999E-2</v>
      </c>
      <c r="O75" s="138">
        <v>9.8315369999999996E-3</v>
      </c>
      <c r="P75" s="138">
        <v>9.845164E-3</v>
      </c>
      <c r="Q75" s="138">
        <v>1.2646859999999999E-2</v>
      </c>
      <c r="R75">
        <v>0.26600000000000001</v>
      </c>
      <c r="S75" s="138">
        <v>3.4551730000000003E-2</v>
      </c>
      <c r="T75" s="138">
        <v>7.2178650000000004E-3</v>
      </c>
      <c r="U75" s="138">
        <v>7.3737059999999998E-4</v>
      </c>
      <c r="V75" s="138">
        <v>3.8141420000000002E-2</v>
      </c>
      <c r="W75">
        <v>0.58541449999999995</v>
      </c>
      <c r="X75">
        <v>0.60639359999999998</v>
      </c>
      <c r="Y75" s="3">
        <v>0</v>
      </c>
      <c r="Z75" s="3">
        <v>0</v>
      </c>
      <c r="AA75">
        <v>0.50000009999999995</v>
      </c>
      <c r="AB75">
        <v>8.0000000000000002E-3</v>
      </c>
      <c r="AC75">
        <v>7.0000000000000007E-2</v>
      </c>
      <c r="AD75">
        <v>1.8200000000000001E-2</v>
      </c>
      <c r="AE75">
        <v>0</v>
      </c>
      <c r="AF75" s="138">
        <v>6.5182089999999996E-3</v>
      </c>
      <c r="AG75">
        <v>0</v>
      </c>
      <c r="AH75" s="138">
        <v>6.8609910000000003E-3</v>
      </c>
      <c r="AI75">
        <v>0</v>
      </c>
      <c r="AJ75">
        <v>0</v>
      </c>
      <c r="AK75">
        <v>0</v>
      </c>
      <c r="AL75" s="221">
        <v>7.2999999999999995E-2</v>
      </c>
      <c r="AM75">
        <v>0</v>
      </c>
      <c r="AN75" s="222">
        <v>3.3177999999999999E-2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 s="222">
        <v>3.5343590000000001E-2</v>
      </c>
      <c r="AY75">
        <v>0</v>
      </c>
      <c r="AZ75">
        <v>0</v>
      </c>
      <c r="BA75" s="138">
        <v>1.759946E-4</v>
      </c>
      <c r="BB75">
        <v>0.21195600000000001</v>
      </c>
      <c r="BC75">
        <v>0</v>
      </c>
      <c r="BD75" s="138">
        <v>3.039014E-2</v>
      </c>
      <c r="BE75">
        <v>0.5</v>
      </c>
      <c r="BF75">
        <v>0</v>
      </c>
      <c r="BG75" s="138">
        <v>3.148133E-3</v>
      </c>
      <c r="BH75">
        <v>0</v>
      </c>
      <c r="BI75" s="138">
        <v>2.4866990000000001E-4</v>
      </c>
      <c r="BJ75" s="138">
        <v>1.9628170000000001E-5</v>
      </c>
      <c r="BK75" s="138">
        <v>4.2762559999999998E-2</v>
      </c>
      <c r="BL75" s="138">
        <v>1.0611740000000001E-11</v>
      </c>
      <c r="BM75">
        <v>0</v>
      </c>
      <c r="BN75" s="138">
        <v>8.1968709999999997E-4</v>
      </c>
      <c r="BO75">
        <v>0</v>
      </c>
      <c r="BP75">
        <v>0</v>
      </c>
      <c r="BQ75">
        <v>0</v>
      </c>
      <c r="BR75">
        <v>0</v>
      </c>
      <c r="BS75" s="138">
        <v>6.8513159999999997E-5</v>
      </c>
      <c r="BT75">
        <v>0</v>
      </c>
      <c r="BU75">
        <v>0</v>
      </c>
      <c r="BV75">
        <v>0</v>
      </c>
      <c r="BW75" s="212">
        <v>0</v>
      </c>
      <c r="BX75">
        <v>0.2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1E-3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 s="204">
        <v>0</v>
      </c>
      <c r="DN75" s="204">
        <v>0</v>
      </c>
      <c r="DO75" s="204">
        <v>0</v>
      </c>
      <c r="DP75" s="204">
        <v>0</v>
      </c>
      <c r="DQ75" s="204">
        <v>0</v>
      </c>
      <c r="DR75" s="204">
        <v>0</v>
      </c>
      <c r="DS75" s="204">
        <v>0</v>
      </c>
      <c r="DT75" s="204">
        <v>0</v>
      </c>
    </row>
    <row r="76" spans="1:124" x14ac:dyDescent="0.15">
      <c r="A76" s="156" t="s">
        <v>295</v>
      </c>
      <c r="B76">
        <v>0</v>
      </c>
      <c r="C76">
        <v>0</v>
      </c>
      <c r="D76" s="138">
        <v>2.7896420000000002E-2</v>
      </c>
      <c r="E76">
        <v>0</v>
      </c>
      <c r="F76">
        <v>0</v>
      </c>
      <c r="G76" s="138">
        <v>2.7360579999999999E-2</v>
      </c>
      <c r="H76" s="138">
        <v>1.3821490000000001E-2</v>
      </c>
      <c r="I76" s="138">
        <v>7.2863579999999997E-3</v>
      </c>
      <c r="J76">
        <v>0</v>
      </c>
      <c r="K76">
        <v>4.0803600000000002E-2</v>
      </c>
      <c r="L76">
        <v>0</v>
      </c>
      <c r="M76">
        <v>1.9900500000000002E-2</v>
      </c>
      <c r="N76">
        <v>1.9900500000000002E-2</v>
      </c>
      <c r="O76">
        <v>0.19886239999999999</v>
      </c>
      <c r="P76">
        <v>0.19901240000000001</v>
      </c>
      <c r="Q76">
        <v>0.04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 s="3">
        <v>0</v>
      </c>
      <c r="Z76" s="3">
        <v>0</v>
      </c>
      <c r="AA76">
        <v>0</v>
      </c>
      <c r="AB76">
        <v>4.4900000000000002E-2</v>
      </c>
      <c r="AC76">
        <v>0.39600000000000002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 s="138">
        <v>2.7978340000000001E-2</v>
      </c>
      <c r="AM76">
        <v>0</v>
      </c>
      <c r="AN76" s="138">
        <v>4.2704639999999999E-3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 s="138">
        <v>1.7830450000000001E-2</v>
      </c>
      <c r="AZ76" s="138">
        <v>5.2253209999999998E-3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 s="212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 s="204">
        <v>0</v>
      </c>
      <c r="DN76" s="204">
        <v>0</v>
      </c>
      <c r="DO76" s="204">
        <v>0</v>
      </c>
      <c r="DP76" s="204">
        <v>0</v>
      </c>
      <c r="DQ76" s="204">
        <v>0</v>
      </c>
      <c r="DR76" s="204">
        <v>0</v>
      </c>
      <c r="DS76" s="204">
        <v>0</v>
      </c>
      <c r="DT76" s="204">
        <v>0</v>
      </c>
    </row>
    <row r="77" spans="1:124" x14ac:dyDescent="0.15">
      <c r="A77" s="156" t="s">
        <v>296</v>
      </c>
      <c r="B77">
        <v>0</v>
      </c>
      <c r="C77">
        <v>0</v>
      </c>
      <c r="D77" s="138">
        <v>4.3133769999999997E-4</v>
      </c>
      <c r="E77">
        <v>0</v>
      </c>
      <c r="F77">
        <v>0</v>
      </c>
      <c r="G77" s="138">
        <v>4.2305259999999998E-4</v>
      </c>
      <c r="H77" s="138">
        <v>2.137095E-4</v>
      </c>
      <c r="I77" s="138">
        <v>1.1266249999999999E-4</v>
      </c>
      <c r="J77">
        <v>0</v>
      </c>
      <c r="K77" s="138">
        <v>6.309102E-4</v>
      </c>
      <c r="L77">
        <v>0</v>
      </c>
      <c r="M77" s="138">
        <v>4.3522349999999998E-5</v>
      </c>
      <c r="N77" s="138">
        <v>4.4255970000000002E-5</v>
      </c>
      <c r="O77" s="138">
        <v>3.0748339999999998E-3</v>
      </c>
      <c r="P77" s="138">
        <v>3.0771520000000001E-3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s="3">
        <v>0</v>
      </c>
      <c r="Z77" s="3">
        <v>0</v>
      </c>
      <c r="AA77" s="138">
        <v>5.7271039999999996E-4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 s="207">
        <v>8.0000000000000004E-4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 s="138">
        <v>2.7569649999999998E-4</v>
      </c>
      <c r="AZ77" s="138">
        <v>8.0794549999999997E-5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212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 s="204">
        <v>0</v>
      </c>
      <c r="DN77" s="204">
        <v>0</v>
      </c>
      <c r="DO77" s="204">
        <v>0</v>
      </c>
      <c r="DP77" s="204">
        <v>0</v>
      </c>
      <c r="DQ77" s="204">
        <v>0</v>
      </c>
      <c r="DR77" s="204">
        <v>0</v>
      </c>
      <c r="DS77" s="204">
        <v>0</v>
      </c>
      <c r="DT77" s="204">
        <v>0</v>
      </c>
    </row>
    <row r="78" spans="1:124" x14ac:dyDescent="0.15">
      <c r="A78" s="156" t="s">
        <v>297</v>
      </c>
      <c r="B78">
        <v>0</v>
      </c>
      <c r="C78">
        <v>0</v>
      </c>
      <c r="D78" s="138">
        <v>1.822249E-3</v>
      </c>
      <c r="E78" s="138">
        <v>1.018314E-3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 s="138">
        <v>1.8386650000000001E-4</v>
      </c>
      <c r="N78" s="138">
        <v>1.8696580000000001E-4</v>
      </c>
      <c r="O78" s="138">
        <v>3.6357879999999998E-5</v>
      </c>
      <c r="P78" s="138">
        <v>5.7929409999999999E-7</v>
      </c>
      <c r="Q78">
        <v>0</v>
      </c>
      <c r="R78" s="138">
        <v>4.2335940000000002E-3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s="220">
        <v>1.913603E-3</v>
      </c>
      <c r="Z78" s="3">
        <v>0</v>
      </c>
      <c r="AA78" s="138">
        <v>2.4194989999999999E-3</v>
      </c>
      <c r="AB78">
        <v>0</v>
      </c>
      <c r="AC78">
        <v>0</v>
      </c>
      <c r="AD78">
        <v>0</v>
      </c>
      <c r="AE78">
        <v>0</v>
      </c>
      <c r="AF78" s="138">
        <v>5.6453199999999997E-6</v>
      </c>
      <c r="AG78">
        <v>0</v>
      </c>
      <c r="AH78">
        <v>0</v>
      </c>
      <c r="AI78">
        <v>0</v>
      </c>
      <c r="AJ78">
        <v>0</v>
      </c>
      <c r="AK78">
        <v>0</v>
      </c>
      <c r="AL78" s="138">
        <v>7.820189E-6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 s="138">
        <v>2.7387219999999999E-3</v>
      </c>
      <c r="AY78" s="138">
        <v>1.1647199999999999E-3</v>
      </c>
      <c r="AZ78">
        <v>0</v>
      </c>
      <c r="BA78">
        <v>0</v>
      </c>
      <c r="BB78">
        <v>0</v>
      </c>
      <c r="BC78">
        <v>0</v>
      </c>
      <c r="BD78" s="138">
        <v>2.3408620000000002E-2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 s="138">
        <v>1.413927E-5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 s="212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1E-3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 s="204">
        <v>0</v>
      </c>
      <c r="DN78" s="204">
        <v>0</v>
      </c>
      <c r="DO78" s="204">
        <v>0</v>
      </c>
      <c r="DP78" s="204">
        <v>0</v>
      </c>
      <c r="DQ78" s="204">
        <v>0</v>
      </c>
      <c r="DR78" s="204">
        <v>0</v>
      </c>
      <c r="DS78" s="204">
        <v>0</v>
      </c>
      <c r="DT78" s="204">
        <v>0</v>
      </c>
    </row>
    <row r="79" spans="1:124" x14ac:dyDescent="0.15">
      <c r="A79" s="156" t="s">
        <v>298</v>
      </c>
      <c r="B79">
        <v>0</v>
      </c>
      <c r="C79">
        <v>0</v>
      </c>
      <c r="D79" s="138">
        <v>1.6084589999999999E-2</v>
      </c>
      <c r="E79" s="138">
        <v>8.9884330000000005E-3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 s="138">
        <v>1.6229479999999999E-3</v>
      </c>
      <c r="N79" s="138">
        <v>1.6503049999999999E-3</v>
      </c>
      <c r="O79" s="138">
        <v>1.5555879999999999E-3</v>
      </c>
      <c r="P79">
        <v>1.565E-3</v>
      </c>
      <c r="Q79">
        <v>0</v>
      </c>
      <c r="R79" s="138">
        <v>3.7368980000000003E-2</v>
      </c>
      <c r="S79" s="138">
        <v>1.160852E-3</v>
      </c>
      <c r="T79">
        <v>6.4503400000000002E-2</v>
      </c>
      <c r="U79">
        <v>0</v>
      </c>
      <c r="V79">
        <v>0</v>
      </c>
      <c r="W79">
        <v>0</v>
      </c>
      <c r="X79">
        <v>0</v>
      </c>
      <c r="Y79" s="220">
        <v>1.6890949999999998E-2</v>
      </c>
      <c r="Z79" s="3">
        <v>0</v>
      </c>
      <c r="AA79" s="138">
        <v>2.135637E-2</v>
      </c>
      <c r="AB79">
        <v>0</v>
      </c>
      <c r="AC79">
        <v>0</v>
      </c>
      <c r="AD79">
        <v>0</v>
      </c>
      <c r="AE79">
        <v>0</v>
      </c>
      <c r="AF79" s="138">
        <v>2.365984E-4</v>
      </c>
      <c r="AG79">
        <v>0</v>
      </c>
      <c r="AH79" s="138">
        <v>4.5197450000000001E-4</v>
      </c>
      <c r="AI79">
        <v>0</v>
      </c>
      <c r="AJ79">
        <v>0</v>
      </c>
      <c r="AK79" s="138">
        <v>1.4716330000000001E-4</v>
      </c>
      <c r="AL79" s="221">
        <v>1.3086E-2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 s="138">
        <v>1.140732E-4</v>
      </c>
      <c r="AY79" s="138">
        <v>1.028072E-2</v>
      </c>
      <c r="AZ79">
        <v>0</v>
      </c>
      <c r="BA79">
        <v>0</v>
      </c>
      <c r="BB79" s="138">
        <v>1.463924E-2</v>
      </c>
      <c r="BC79">
        <v>0</v>
      </c>
      <c r="BD79">
        <v>0</v>
      </c>
      <c r="BE79">
        <v>0</v>
      </c>
      <c r="BF79">
        <v>0</v>
      </c>
      <c r="BG79" s="138">
        <v>1.304284E-2</v>
      </c>
      <c r="BH79">
        <v>0</v>
      </c>
      <c r="BI79">
        <v>0</v>
      </c>
      <c r="BJ79">
        <v>0</v>
      </c>
      <c r="BK79" s="138">
        <v>5.3381139999999997E-3</v>
      </c>
      <c r="BL79" s="138">
        <v>2.903179E-12</v>
      </c>
      <c r="BM79">
        <v>0</v>
      </c>
      <c r="BN79" s="138">
        <v>8.4662509999999997E-4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2.5000000000000001E-2</v>
      </c>
      <c r="BX79">
        <v>0</v>
      </c>
      <c r="BY79">
        <v>0</v>
      </c>
      <c r="BZ79">
        <v>0</v>
      </c>
      <c r="CA79" s="212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1E-3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 s="204">
        <v>0</v>
      </c>
      <c r="DN79" s="204">
        <v>0</v>
      </c>
      <c r="DO79" s="204">
        <v>0</v>
      </c>
      <c r="DP79" s="204">
        <v>0</v>
      </c>
      <c r="DQ79" s="204">
        <v>0</v>
      </c>
      <c r="DR79" s="204">
        <v>0</v>
      </c>
      <c r="DS79" s="204">
        <v>0</v>
      </c>
      <c r="DT79" s="204">
        <v>0</v>
      </c>
    </row>
    <row r="80" spans="1:124" x14ac:dyDescent="0.15">
      <c r="A80" s="156" t="s">
        <v>299</v>
      </c>
      <c r="B80">
        <v>0</v>
      </c>
      <c r="C80">
        <v>0</v>
      </c>
      <c r="D80">
        <v>0.20579910000000001</v>
      </c>
      <c r="E80">
        <v>0.1150052</v>
      </c>
      <c r="F80">
        <v>0</v>
      </c>
      <c r="G80">
        <v>0.2018461</v>
      </c>
      <c r="H80">
        <v>0.10196470000000001</v>
      </c>
      <c r="I80" s="138">
        <v>5.375336E-2</v>
      </c>
      <c r="J80">
        <v>0</v>
      </c>
      <c r="K80">
        <v>0.30101879999999998</v>
      </c>
      <c r="L80" s="138">
        <v>7.1111809999999998E-2</v>
      </c>
      <c r="M80">
        <v>0.37810939999999998</v>
      </c>
      <c r="N80">
        <v>0.37810949999999999</v>
      </c>
      <c r="O80" s="138">
        <v>1.145263E-2</v>
      </c>
      <c r="P80" s="138">
        <v>1.149146E-2</v>
      </c>
      <c r="Q80" s="138">
        <v>3.0775310000000001E-3</v>
      </c>
      <c r="R80">
        <v>0.41599999999999998</v>
      </c>
      <c r="S80">
        <v>0.26420680000000002</v>
      </c>
      <c r="T80">
        <v>0.33399190000000001</v>
      </c>
      <c r="U80" s="138">
        <v>3.8080419999999997E-2</v>
      </c>
      <c r="V80">
        <v>0.46815770000000001</v>
      </c>
      <c r="W80">
        <v>4.6942699999999997E-2</v>
      </c>
      <c r="X80" s="138">
        <v>2.7574729999999999E-2</v>
      </c>
      <c r="Y80" s="3">
        <v>0.21611639999999999</v>
      </c>
      <c r="Z80" s="3">
        <v>0.63159299999999996</v>
      </c>
      <c r="AA80">
        <v>0.27325060000000001</v>
      </c>
      <c r="AB80">
        <v>0</v>
      </c>
      <c r="AC80">
        <v>0</v>
      </c>
      <c r="AD80">
        <v>0</v>
      </c>
      <c r="AE80">
        <v>0</v>
      </c>
      <c r="AF80" s="138">
        <v>4.8444950000000001E-2</v>
      </c>
      <c r="AG80">
        <v>0</v>
      </c>
      <c r="AH80" s="222">
        <v>5.2000289999999998E-2</v>
      </c>
      <c r="AI80">
        <v>0</v>
      </c>
      <c r="AJ80">
        <v>0</v>
      </c>
      <c r="AK80">
        <v>0.54509980000000002</v>
      </c>
      <c r="AL80" s="214">
        <v>0.212064</v>
      </c>
      <c r="AM80">
        <v>0</v>
      </c>
      <c r="AN80" s="222">
        <v>6.7936159999999995E-2</v>
      </c>
      <c r="AO80">
        <v>0</v>
      </c>
      <c r="AP80">
        <v>0</v>
      </c>
      <c r="AQ80" s="138">
        <v>3.681752E-4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 s="222">
        <v>3.9989190000000001E-3</v>
      </c>
      <c r="AY80">
        <v>0.13153980000000001</v>
      </c>
      <c r="AZ80" s="138">
        <v>3.8548560000000003E-2</v>
      </c>
      <c r="BA80">
        <v>0</v>
      </c>
      <c r="BB80" s="138">
        <v>7.991653E-4</v>
      </c>
      <c r="BC80" s="138">
        <v>2.584636E-4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 s="138">
        <v>1.5329739999999999E-5</v>
      </c>
      <c r="BO80">
        <v>0</v>
      </c>
      <c r="BP80">
        <v>0</v>
      </c>
      <c r="BQ80">
        <v>0</v>
      </c>
      <c r="BR80">
        <v>0</v>
      </c>
      <c r="BS80" s="138">
        <v>1.230053E-2</v>
      </c>
      <c r="BT80">
        <v>0</v>
      </c>
      <c r="BU80">
        <v>0</v>
      </c>
      <c r="BV80">
        <v>0</v>
      </c>
      <c r="BW80">
        <v>2.5000000000000001E-2</v>
      </c>
      <c r="BX80">
        <v>0</v>
      </c>
      <c r="BY80">
        <v>0</v>
      </c>
      <c r="BZ80">
        <v>0</v>
      </c>
      <c r="CA80">
        <v>0</v>
      </c>
      <c r="CB80" s="212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1E-3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 s="204">
        <v>0</v>
      </c>
      <c r="DN80" s="204">
        <v>0</v>
      </c>
      <c r="DO80" s="204">
        <v>0</v>
      </c>
      <c r="DP80" s="204">
        <v>0</v>
      </c>
      <c r="DQ80" s="204">
        <v>0</v>
      </c>
      <c r="DR80" s="204">
        <v>0</v>
      </c>
      <c r="DS80" s="204">
        <v>0</v>
      </c>
      <c r="DT80" s="204">
        <v>0</v>
      </c>
    </row>
    <row r="81" spans="1:124" x14ac:dyDescent="0.15">
      <c r="A81" s="156" t="s">
        <v>300</v>
      </c>
      <c r="B81">
        <v>0</v>
      </c>
      <c r="C81">
        <v>0</v>
      </c>
      <c r="D81" s="138">
        <v>4.5660279999999998E-2</v>
      </c>
      <c r="E81">
        <v>2.5516E-2</v>
      </c>
      <c r="F81">
        <v>0</v>
      </c>
      <c r="G81" s="138">
        <v>4.478323E-2</v>
      </c>
      <c r="H81" s="138">
        <v>2.2622719999999999E-2</v>
      </c>
      <c r="I81" s="138">
        <v>1.192616E-2</v>
      </c>
      <c r="J81">
        <v>0</v>
      </c>
      <c r="K81" s="138">
        <v>6.6786479999999995E-2</v>
      </c>
      <c r="L81" s="138">
        <v>1.5777449999999998E-2</v>
      </c>
      <c r="M81">
        <v>0.33830840000000001</v>
      </c>
      <c r="N81">
        <v>0.33830850000000001</v>
      </c>
      <c r="O81" s="138">
        <v>3.8616020000000001E-2</v>
      </c>
      <c r="P81" s="138">
        <v>3.8550130000000002E-2</v>
      </c>
      <c r="Q81">
        <v>8.0000000000000002E-3</v>
      </c>
      <c r="R81">
        <v>0.1060816</v>
      </c>
      <c r="S81" s="138">
        <v>5.8619079999999997E-2</v>
      </c>
      <c r="T81" s="138">
        <v>7.4102169999999995E-2</v>
      </c>
      <c r="U81" s="138">
        <v>8.4488340000000006E-3</v>
      </c>
      <c r="V81">
        <v>0.10386919999999999</v>
      </c>
      <c r="W81" s="138">
        <v>1.041509E-2</v>
      </c>
      <c r="X81" s="138">
        <v>6.1179579999999997E-3</v>
      </c>
      <c r="Y81" s="3">
        <v>0.49950050000000001</v>
      </c>
      <c r="Z81" s="3">
        <v>0.14013039999999999</v>
      </c>
      <c r="AA81">
        <v>6.0625600000000002E-2</v>
      </c>
      <c r="AB81">
        <v>0</v>
      </c>
      <c r="AC81">
        <v>0</v>
      </c>
      <c r="AD81">
        <v>1.11E-2</v>
      </c>
      <c r="AE81">
        <v>0</v>
      </c>
      <c r="AF81" s="138">
        <v>1.863161E-2</v>
      </c>
      <c r="AG81" s="138">
        <v>3.3211949999999997E-2</v>
      </c>
      <c r="AH81" s="222">
        <v>2.2896110000000001E-2</v>
      </c>
      <c r="AI81">
        <v>0</v>
      </c>
      <c r="AJ81">
        <v>0</v>
      </c>
      <c r="AK81" s="138">
        <v>2.5984210000000001E-3</v>
      </c>
      <c r="AL81" s="222">
        <f>0.042611+0.002</f>
        <v>4.4611000000000005E-2</v>
      </c>
      <c r="AM81" s="138">
        <v>9.3095820000000003E-4</v>
      </c>
      <c r="AN81" s="214">
        <v>5.4885400000000001E-2</v>
      </c>
      <c r="AO81">
        <v>0</v>
      </c>
      <c r="AP81">
        <v>0</v>
      </c>
      <c r="AQ81">
        <v>0</v>
      </c>
      <c r="AR81" s="138">
        <v>1.763803E-3</v>
      </c>
      <c r="AS81" s="138">
        <v>2.217885E-2</v>
      </c>
      <c r="AT81" s="138">
        <v>7.3515389999999998E-3</v>
      </c>
      <c r="AU81">
        <v>0</v>
      </c>
      <c r="AV81">
        <v>0</v>
      </c>
      <c r="AW81">
        <v>0</v>
      </c>
      <c r="AX81" s="222">
        <v>1.6653647000000001E-3</v>
      </c>
      <c r="AY81">
        <v>2.9184499999999999E-2</v>
      </c>
      <c r="AZ81">
        <v>0.12133330000000001</v>
      </c>
      <c r="BA81">
        <v>0</v>
      </c>
      <c r="BB81" s="138">
        <v>2.9492199999999998E-4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 s="138">
        <v>2.3539050000000001E-14</v>
      </c>
      <c r="BM81">
        <v>0</v>
      </c>
      <c r="BN81">
        <v>0</v>
      </c>
      <c r="BO81" s="138">
        <v>1.355691E-2</v>
      </c>
      <c r="BP81">
        <v>0</v>
      </c>
      <c r="BQ81" s="138">
        <v>2.271149E-4</v>
      </c>
      <c r="BR81">
        <v>0</v>
      </c>
      <c r="BS81" s="138">
        <v>9.3703989999999997E-3</v>
      </c>
      <c r="BT81">
        <v>0</v>
      </c>
      <c r="BU81">
        <v>0</v>
      </c>
      <c r="BV81">
        <v>0</v>
      </c>
      <c r="BW81">
        <v>2.5000000000000001E-2</v>
      </c>
      <c r="BX81">
        <v>0</v>
      </c>
      <c r="BY81">
        <v>0</v>
      </c>
      <c r="BZ81">
        <v>0</v>
      </c>
      <c r="CA81">
        <v>0</v>
      </c>
      <c r="CB81">
        <v>0</v>
      </c>
      <c r="CC81" s="212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1E-3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 s="204">
        <v>0</v>
      </c>
      <c r="DN81" s="204">
        <v>0</v>
      </c>
      <c r="DO81" s="204">
        <v>0</v>
      </c>
      <c r="DP81" s="204">
        <v>0</v>
      </c>
      <c r="DQ81" s="204">
        <v>0</v>
      </c>
      <c r="DR81" s="204">
        <v>0</v>
      </c>
      <c r="DS81" s="204">
        <v>0</v>
      </c>
      <c r="DT81" s="204">
        <v>0</v>
      </c>
    </row>
    <row r="82" spans="1:124" x14ac:dyDescent="0.15">
      <c r="A82" s="156" t="s">
        <v>301</v>
      </c>
      <c r="B82">
        <v>0</v>
      </c>
      <c r="C82">
        <v>0</v>
      </c>
      <c r="D82" s="138">
        <v>2.714482E-2</v>
      </c>
      <c r="E82" s="138">
        <v>1.5169139999999999E-2</v>
      </c>
      <c r="F82">
        <v>0</v>
      </c>
      <c r="G82" s="138">
        <v>2.662343E-2</v>
      </c>
      <c r="H82">
        <v>1.34491E-2</v>
      </c>
      <c r="I82" s="138">
        <v>7.090046E-3</v>
      </c>
      <c r="J82">
        <v>0</v>
      </c>
      <c r="K82" s="138">
        <v>3.9704259999999998E-2</v>
      </c>
      <c r="L82" s="138">
        <v>9.3796190000000005E-3</v>
      </c>
      <c r="M82" s="138">
        <v>2.738936E-3</v>
      </c>
      <c r="N82" s="138">
        <v>2.7851030000000001E-3</v>
      </c>
      <c r="O82" s="138">
        <v>3.1216479999999999E-3</v>
      </c>
      <c r="P82" s="138">
        <v>3.136364E-3</v>
      </c>
      <c r="Q82" s="138">
        <v>4.0592509999999999E-4</v>
      </c>
      <c r="R82">
        <v>6.3064999999999996E-2</v>
      </c>
      <c r="S82" s="138">
        <v>3.4848770000000001E-2</v>
      </c>
      <c r="T82">
        <v>4.40534E-2</v>
      </c>
      <c r="U82" s="138">
        <v>5.0227930000000002E-3</v>
      </c>
      <c r="V82" s="138">
        <v>6.1749810000000002E-2</v>
      </c>
      <c r="W82" s="138">
        <v>6.191724E-3</v>
      </c>
      <c r="X82" s="138">
        <v>3.6370970000000002E-3</v>
      </c>
      <c r="Y82" s="220">
        <v>2.850565E-2</v>
      </c>
      <c r="Z82" s="220">
        <v>8.3306859999999996E-2</v>
      </c>
      <c r="AA82" s="138">
        <v>3.6041650000000001E-2</v>
      </c>
      <c r="AB82">
        <v>0</v>
      </c>
      <c r="AC82">
        <v>0</v>
      </c>
      <c r="AD82">
        <v>3.6499999999999998E-2</v>
      </c>
      <c r="AE82">
        <v>0</v>
      </c>
      <c r="AF82" s="138">
        <v>6.1821640000000004E-3</v>
      </c>
      <c r="AG82">
        <v>0</v>
      </c>
      <c r="AH82" s="138">
        <v>1.50151E-3</v>
      </c>
      <c r="AI82">
        <v>0</v>
      </c>
      <c r="AJ82">
        <v>0</v>
      </c>
      <c r="AK82">
        <v>0</v>
      </c>
      <c r="AL82" s="221">
        <v>3.1040000000000002E-2</v>
      </c>
      <c r="AM82">
        <v>0</v>
      </c>
      <c r="AN82" s="138">
        <v>2.1641970000000001E-6</v>
      </c>
      <c r="AO82">
        <v>0</v>
      </c>
      <c r="AP82">
        <v>0</v>
      </c>
      <c r="AQ82">
        <v>0</v>
      </c>
      <c r="AR82">
        <v>0</v>
      </c>
      <c r="AS82">
        <v>0</v>
      </c>
      <c r="AT82" s="138">
        <v>1.291354E-4</v>
      </c>
      <c r="AU82">
        <v>0</v>
      </c>
      <c r="AV82">
        <v>0</v>
      </c>
      <c r="AW82">
        <v>0</v>
      </c>
      <c r="AX82" s="138">
        <v>3.9555619999999999E-4</v>
      </c>
      <c r="AY82" s="138">
        <v>1.7350049999999999E-2</v>
      </c>
      <c r="AZ82" s="138">
        <v>5.0845380000000004E-3</v>
      </c>
      <c r="BA82">
        <v>0</v>
      </c>
      <c r="BB82" s="138">
        <v>3.0767379999999999E-3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 s="138">
        <v>2.4098150000000001E-11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 s="138">
        <v>9.9719690000000006E-6</v>
      </c>
      <c r="BT82">
        <v>0</v>
      </c>
      <c r="BU82">
        <v>0</v>
      </c>
      <c r="BV82">
        <v>0</v>
      </c>
      <c r="BW82">
        <v>2.5000000000000001E-2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 s="21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1E-3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 s="204">
        <v>0</v>
      </c>
      <c r="DN82" s="204">
        <v>0</v>
      </c>
      <c r="DO82" s="204">
        <v>0</v>
      </c>
      <c r="DP82" s="204">
        <v>0</v>
      </c>
      <c r="DQ82" s="204">
        <v>0</v>
      </c>
      <c r="DR82" s="204">
        <v>0</v>
      </c>
      <c r="DS82" s="204">
        <v>0</v>
      </c>
      <c r="DT82" s="204">
        <v>0</v>
      </c>
    </row>
    <row r="83" spans="1:124" x14ac:dyDescent="0.15">
      <c r="A83" s="156" t="s">
        <v>302</v>
      </c>
      <c r="B83">
        <v>0</v>
      </c>
      <c r="C83">
        <v>0</v>
      </c>
      <c r="D83" s="138">
        <v>2.129143E-2</v>
      </c>
      <c r="E83" s="138">
        <v>1.189813E-2</v>
      </c>
      <c r="F83">
        <v>0</v>
      </c>
      <c r="G83" s="138">
        <v>2.0882459999999999E-2</v>
      </c>
      <c r="H83">
        <v>1.0548999999999999E-2</v>
      </c>
      <c r="I83" s="138">
        <v>5.561178E-3</v>
      </c>
      <c r="J83">
        <v>0</v>
      </c>
      <c r="K83">
        <v>3.1142599999999999E-2</v>
      </c>
      <c r="L83" s="138">
        <v>7.3570370000000003E-3</v>
      </c>
      <c r="M83" s="138">
        <v>2.1483230000000002E-3</v>
      </c>
      <c r="N83" s="138">
        <v>2.184535E-3</v>
      </c>
      <c r="O83" s="138">
        <v>4.7667919999999997E-3</v>
      </c>
      <c r="P83" s="138">
        <v>4.7152349999999999E-3</v>
      </c>
      <c r="Q83" s="138">
        <v>3.1839310000000002E-4</v>
      </c>
      <c r="R83" s="138">
        <v>4.9465919999999997E-2</v>
      </c>
      <c r="S83" s="138">
        <v>2.7334130000000002E-2</v>
      </c>
      <c r="T83" s="138">
        <v>3.455391E-2</v>
      </c>
      <c r="U83" s="138">
        <v>3.9396989999999996E-3</v>
      </c>
      <c r="V83" s="138">
        <v>4.8434329999999998E-2</v>
      </c>
      <c r="W83" s="138">
        <v>4.8565659999999997E-3</v>
      </c>
      <c r="X83" s="138">
        <v>2.852809E-3</v>
      </c>
      <c r="Y83" s="220">
        <v>2.2358820000000001E-2</v>
      </c>
      <c r="Z83" s="220">
        <v>6.5342919999999999E-2</v>
      </c>
      <c r="AA83" s="138">
        <v>2.8269780000000001E-2</v>
      </c>
      <c r="AB83">
        <v>0</v>
      </c>
      <c r="AC83">
        <v>0</v>
      </c>
      <c r="AD83">
        <v>0</v>
      </c>
      <c r="AE83">
        <v>0</v>
      </c>
      <c r="AF83" s="138">
        <v>2.483688E-3</v>
      </c>
      <c r="AG83">
        <v>0</v>
      </c>
      <c r="AH83" s="138">
        <v>7.1990029999999998E-3</v>
      </c>
      <c r="AI83">
        <v>0</v>
      </c>
      <c r="AJ83">
        <v>0</v>
      </c>
      <c r="AK83" s="138">
        <v>1.1989279999999999E-3</v>
      </c>
      <c r="AL83" s="221">
        <v>2.1000000000000001E-2</v>
      </c>
      <c r="AM83">
        <v>0</v>
      </c>
      <c r="AN83" s="138">
        <v>1.3407409999999999E-3</v>
      </c>
      <c r="AO83">
        <v>0</v>
      </c>
      <c r="AP83">
        <v>0</v>
      </c>
      <c r="AQ83" s="138">
        <v>2.3337219999999999E-5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 s="138">
        <v>3.1025999999999997E-4</v>
      </c>
      <c r="AY83" s="138">
        <v>1.3608759999999999E-2</v>
      </c>
      <c r="AZ83" s="138">
        <v>3.9881300000000003E-3</v>
      </c>
      <c r="BA83">
        <v>0</v>
      </c>
      <c r="BB83" s="138">
        <v>4.1868120000000001E-5</v>
      </c>
      <c r="BC83" s="138">
        <v>1.2074339999999999E-2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 s="138">
        <v>1.357884E-3</v>
      </c>
      <c r="BO83">
        <v>0</v>
      </c>
      <c r="BP83">
        <v>0</v>
      </c>
      <c r="BQ83">
        <v>0</v>
      </c>
      <c r="BR83">
        <v>0</v>
      </c>
      <c r="BS83" s="138">
        <v>5.7556580000000003E-2</v>
      </c>
      <c r="BT83">
        <v>0</v>
      </c>
      <c r="BU83">
        <v>0</v>
      </c>
      <c r="BV83">
        <v>0</v>
      </c>
      <c r="BW83">
        <v>2.5000000000000001E-2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 s="212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1E-3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 s="204">
        <v>0</v>
      </c>
      <c r="DN83" s="204">
        <v>0</v>
      </c>
      <c r="DO83" s="204">
        <v>0</v>
      </c>
      <c r="DP83" s="204">
        <v>0</v>
      </c>
      <c r="DQ83" s="204">
        <v>0</v>
      </c>
      <c r="DR83" s="204">
        <v>0</v>
      </c>
      <c r="DS83" s="204">
        <v>0</v>
      </c>
      <c r="DT83" s="204">
        <v>0</v>
      </c>
    </row>
    <row r="84" spans="1:124" x14ac:dyDescent="0.15">
      <c r="A84" s="156" t="s">
        <v>303</v>
      </c>
      <c r="B84">
        <v>0</v>
      </c>
      <c r="C84">
        <v>0</v>
      </c>
      <c r="D84" s="138">
        <v>1.3250639999999999E-2</v>
      </c>
      <c r="E84" s="138">
        <v>7.4047599999999998E-3</v>
      </c>
      <c r="F84">
        <v>0</v>
      </c>
      <c r="G84" s="138">
        <v>1.299613E-2</v>
      </c>
      <c r="H84" s="138">
        <v>6.5651299999999998E-3</v>
      </c>
      <c r="I84" s="138">
        <v>3.4609799999999998E-3</v>
      </c>
      <c r="J84">
        <v>0</v>
      </c>
      <c r="K84" s="138">
        <v>1.9381490000000001E-2</v>
      </c>
      <c r="L84" s="138">
        <v>4.5786259999999997E-3</v>
      </c>
      <c r="M84" s="138">
        <v>1.3370019999999999E-3</v>
      </c>
      <c r="N84" s="138">
        <v>1.359538E-3</v>
      </c>
      <c r="O84" s="138">
        <v>2.9436960000000002E-2</v>
      </c>
      <c r="P84" s="138">
        <v>2.9598329999999999E-2</v>
      </c>
      <c r="Q84" s="138">
        <v>1.9815079999999999E-4</v>
      </c>
      <c r="R84" s="138">
        <v>3.078494E-2</v>
      </c>
      <c r="S84">
        <v>1.70113E-2</v>
      </c>
      <c r="T84" s="138">
        <v>2.1504510000000001E-2</v>
      </c>
      <c r="U84" s="138">
        <v>2.4518579999999999E-3</v>
      </c>
      <c r="V84" s="138">
        <v>3.0142929999999998E-2</v>
      </c>
      <c r="W84" s="138">
        <v>3.022467E-3</v>
      </c>
      <c r="X84" s="138">
        <v>1.7754349999999999E-3</v>
      </c>
      <c r="Y84" s="220">
        <v>1.3914930000000001E-2</v>
      </c>
      <c r="Z84" s="220">
        <v>4.0665930000000003E-2</v>
      </c>
      <c r="AA84" s="138">
        <v>1.7593589999999999E-2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 s="207">
        <v>5.0000000000000001E-3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 s="138">
        <v>1.9308929999999999E-4</v>
      </c>
      <c r="AY84" s="138">
        <v>8.4693609999999999E-3</v>
      </c>
      <c r="AZ84" s="138">
        <v>2.4819989999999999E-3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 s="138">
        <v>3.4215830000000001E-4</v>
      </c>
      <c r="BT84">
        <v>0</v>
      </c>
      <c r="BU84">
        <v>0</v>
      </c>
      <c r="BV84">
        <v>0</v>
      </c>
      <c r="BW84">
        <v>2.5000000000000001E-2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 s="212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1E-3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 s="204">
        <v>0</v>
      </c>
      <c r="DN84" s="204">
        <v>0</v>
      </c>
      <c r="DO84" s="204">
        <v>0</v>
      </c>
      <c r="DP84" s="204">
        <v>0</v>
      </c>
      <c r="DQ84" s="204">
        <v>0</v>
      </c>
      <c r="DR84" s="204">
        <v>0</v>
      </c>
      <c r="DS84" s="204">
        <v>0</v>
      </c>
      <c r="DT84" s="204">
        <v>0</v>
      </c>
    </row>
    <row r="85" spans="1:124" x14ac:dyDescent="0.15">
      <c r="A85" s="156" t="s">
        <v>304</v>
      </c>
      <c r="B85">
        <v>0</v>
      </c>
      <c r="C85">
        <v>0</v>
      </c>
      <c r="D85">
        <v>0</v>
      </c>
      <c r="E85">
        <v>0</v>
      </c>
      <c r="F85" s="138">
        <v>1.263711E-3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138">
        <v>5.0304369999999997E-5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s="220">
        <v>5.3415020000000001E-4</v>
      </c>
      <c r="Z85" s="3">
        <v>0</v>
      </c>
      <c r="AA85">
        <v>0</v>
      </c>
      <c r="AB85">
        <v>0</v>
      </c>
      <c r="AC85">
        <v>0</v>
      </c>
      <c r="AD85" s="138">
        <v>5.5204699999999995E-4</v>
      </c>
      <c r="AE85" s="138">
        <v>3.1029449999999997E-4</v>
      </c>
      <c r="AF85" s="138">
        <v>7.0190300000000003E-4</v>
      </c>
      <c r="AG85" s="138">
        <v>5.9073529999999997E-3</v>
      </c>
      <c r="AH85" s="138">
        <v>9.1397350000000002E-2</v>
      </c>
      <c r="AI85">
        <v>0</v>
      </c>
      <c r="AJ85">
        <v>0</v>
      </c>
      <c r="AK85">
        <v>0</v>
      </c>
      <c r="AL85" s="138">
        <v>7.3482469999999996E-6</v>
      </c>
      <c r="AM85">
        <v>0</v>
      </c>
      <c r="AN85" s="138">
        <v>7.0125770000000004E-2</v>
      </c>
      <c r="AO85">
        <v>0</v>
      </c>
      <c r="AP85" s="138">
        <v>5.5101539999999997E-2</v>
      </c>
      <c r="AQ85" s="138">
        <v>1.5850110000000001E-2</v>
      </c>
      <c r="AR85" s="138">
        <v>2.59097E-5</v>
      </c>
      <c r="AS85" s="138">
        <v>9.0796739999999994E-3</v>
      </c>
      <c r="AT85" s="138">
        <v>6.0099480000000002E-3</v>
      </c>
      <c r="AU85" s="138">
        <v>3.105558E-3</v>
      </c>
      <c r="AV85" s="138">
        <v>1.104168E-3</v>
      </c>
      <c r="AW85">
        <v>0</v>
      </c>
      <c r="AX85">
        <v>1.09231E-2</v>
      </c>
      <c r="AY85">
        <v>0</v>
      </c>
      <c r="AZ85">
        <v>0</v>
      </c>
      <c r="BA85" s="138">
        <v>2.1119349999999999E-4</v>
      </c>
      <c r="BB85" s="138">
        <v>8.4333829999999992E-3</v>
      </c>
      <c r="BC85">
        <v>0</v>
      </c>
      <c r="BD85">
        <v>0</v>
      </c>
      <c r="BE85">
        <v>0</v>
      </c>
      <c r="BF85">
        <v>0</v>
      </c>
      <c r="BG85" s="138">
        <v>1.8640670000000001E-5</v>
      </c>
      <c r="BH85">
        <v>0</v>
      </c>
      <c r="BI85" s="138">
        <v>8.7765850000000003E-5</v>
      </c>
      <c r="BJ85">
        <v>0</v>
      </c>
      <c r="BK85">
        <v>0</v>
      </c>
      <c r="BL85" s="138">
        <v>1.723665E-9</v>
      </c>
      <c r="BM85">
        <v>0</v>
      </c>
      <c r="BN85" s="138">
        <v>2.5711109999999999E-2</v>
      </c>
      <c r="BO85">
        <v>0</v>
      </c>
      <c r="BP85">
        <v>0</v>
      </c>
      <c r="BQ85">
        <v>0</v>
      </c>
      <c r="BR85">
        <v>0</v>
      </c>
      <c r="BS85" s="138">
        <v>4.4140289999999999E-2</v>
      </c>
      <c r="BT85" s="138">
        <v>3.5365220000000003E-2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 s="212">
        <v>0</v>
      </c>
      <c r="CH85">
        <v>0</v>
      </c>
      <c r="CI85">
        <v>0</v>
      </c>
      <c r="CJ85">
        <v>0</v>
      </c>
      <c r="CK85">
        <v>0</v>
      </c>
      <c r="CL85">
        <v>0.01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 s="204">
        <v>0</v>
      </c>
      <c r="DN85" s="204">
        <v>0</v>
      </c>
      <c r="DO85" s="204">
        <v>0</v>
      </c>
      <c r="DP85" s="204">
        <v>0</v>
      </c>
      <c r="DQ85" s="204">
        <v>0</v>
      </c>
      <c r="DR85" s="204">
        <v>0</v>
      </c>
      <c r="DS85" s="204">
        <v>0</v>
      </c>
      <c r="DT85" s="204">
        <v>0</v>
      </c>
    </row>
    <row r="86" spans="1:124" x14ac:dyDescent="0.15">
      <c r="A86" s="156" t="s">
        <v>305</v>
      </c>
      <c r="B86">
        <v>0</v>
      </c>
      <c r="C86">
        <v>0</v>
      </c>
      <c r="D86">
        <v>0</v>
      </c>
      <c r="E86">
        <v>0</v>
      </c>
      <c r="F86" s="138">
        <v>1.095687E-5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138">
        <v>4.3615839999999998E-7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220">
        <v>4.6312879999999997E-6</v>
      </c>
      <c r="Z86" s="3">
        <v>0</v>
      </c>
      <c r="AA86">
        <v>0</v>
      </c>
      <c r="AB86">
        <v>0</v>
      </c>
      <c r="AC86">
        <v>0</v>
      </c>
      <c r="AD86" s="138">
        <v>4.7864609999999998E-6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 s="138">
        <v>1.124722E-4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 s="138">
        <v>9.0144599999999996E-8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 s="138">
        <v>1.596865E-6</v>
      </c>
      <c r="BO86">
        <v>0</v>
      </c>
      <c r="BP86">
        <v>0</v>
      </c>
      <c r="BQ86">
        <v>0</v>
      </c>
      <c r="BR86">
        <v>0</v>
      </c>
      <c r="BS86" s="138">
        <v>1.754265E-2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 s="212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 s="204">
        <v>0</v>
      </c>
      <c r="DN86" s="204">
        <v>0</v>
      </c>
      <c r="DO86" s="204">
        <v>0</v>
      </c>
      <c r="DP86" s="204">
        <v>0</v>
      </c>
      <c r="DQ86" s="204">
        <v>0</v>
      </c>
      <c r="DR86" s="204">
        <v>0</v>
      </c>
      <c r="DS86" s="204">
        <v>0</v>
      </c>
      <c r="DT86" s="204">
        <v>0</v>
      </c>
    </row>
    <row r="87" spans="1:124" x14ac:dyDescent="0.15">
      <c r="A87" s="156" t="s">
        <v>306</v>
      </c>
      <c r="B87">
        <v>0</v>
      </c>
      <c r="C87">
        <v>0</v>
      </c>
      <c r="D87">
        <v>0</v>
      </c>
      <c r="E87">
        <v>0</v>
      </c>
      <c r="F87" s="138">
        <v>2.27764E-3</v>
      </c>
      <c r="G87">
        <v>0</v>
      </c>
      <c r="H87">
        <v>0</v>
      </c>
      <c r="I87">
        <v>0</v>
      </c>
      <c r="J87">
        <v>0</v>
      </c>
      <c r="K87">
        <v>0</v>
      </c>
      <c r="L87">
        <v>0.37641609999999998</v>
      </c>
      <c r="M87">
        <v>0</v>
      </c>
      <c r="N87">
        <v>0</v>
      </c>
      <c r="O87">
        <v>0</v>
      </c>
      <c r="P87">
        <v>0</v>
      </c>
      <c r="Q87" s="138">
        <v>9.0665660000000006E-5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s="220">
        <v>9.6272179999999999E-4</v>
      </c>
      <c r="Z87" s="3">
        <v>0</v>
      </c>
      <c r="AA87">
        <v>0</v>
      </c>
      <c r="AB87">
        <v>0</v>
      </c>
      <c r="AC87">
        <v>0</v>
      </c>
      <c r="AD87" s="138">
        <v>6.6800020000000002E-2</v>
      </c>
      <c r="AE87" s="138">
        <v>2.3443420000000001E-3</v>
      </c>
      <c r="AF87" s="138">
        <v>8.9044660000000002E-4</v>
      </c>
      <c r="AG87">
        <v>0</v>
      </c>
      <c r="AH87" s="138">
        <v>5.541596E-2</v>
      </c>
      <c r="AI87">
        <v>0</v>
      </c>
      <c r="AJ87">
        <v>0</v>
      </c>
      <c r="AK87">
        <v>0</v>
      </c>
      <c r="AL87" s="138">
        <v>4.689402E-6</v>
      </c>
      <c r="AM87" s="138">
        <v>8.4069069999999996E-2</v>
      </c>
      <c r="AN87">
        <v>0.1435758</v>
      </c>
      <c r="AO87">
        <v>0</v>
      </c>
      <c r="AP87">
        <v>0</v>
      </c>
      <c r="AQ87" s="138">
        <v>2.5176369999999998E-4</v>
      </c>
      <c r="AR87" s="138">
        <v>1.8996849999999999E-2</v>
      </c>
      <c r="AS87" s="138">
        <v>2.566819E-2</v>
      </c>
      <c r="AT87" s="138">
        <v>2.838343E-4</v>
      </c>
      <c r="AU87" s="138">
        <v>2.3041740000000002E-2</v>
      </c>
      <c r="AV87" s="138">
        <v>8.1146840000000005E-3</v>
      </c>
      <c r="AW87">
        <v>0</v>
      </c>
      <c r="AX87">
        <v>0</v>
      </c>
      <c r="AY87">
        <v>0</v>
      </c>
      <c r="AZ87">
        <v>1E-3</v>
      </c>
      <c r="BA87">
        <v>1.9685500000000002E-2</v>
      </c>
      <c r="BB87" s="138">
        <v>6.3063850000000003E-3</v>
      </c>
      <c r="BC87" s="138">
        <v>9.8925369999999999E-2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 s="138">
        <v>4.9070429999999999E-6</v>
      </c>
      <c r="BK87">
        <v>0</v>
      </c>
      <c r="BL87">
        <v>0</v>
      </c>
      <c r="BM87">
        <v>0</v>
      </c>
      <c r="BN87" s="138">
        <v>6.2528360000000003E-3</v>
      </c>
      <c r="BO87">
        <v>0</v>
      </c>
      <c r="BP87">
        <v>0</v>
      </c>
      <c r="BQ87" s="138">
        <v>2.578683E-3</v>
      </c>
      <c r="BR87" s="138">
        <v>4.4249579999999997E-3</v>
      </c>
      <c r="BS87" s="138">
        <v>1.945991E-2</v>
      </c>
      <c r="BT87" s="138">
        <v>1.9172560000000002E-2</v>
      </c>
      <c r="BU87">
        <v>0</v>
      </c>
      <c r="BV87">
        <v>0.1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0.01</v>
      </c>
      <c r="CH87">
        <v>0.02</v>
      </c>
      <c r="CI87" s="219">
        <v>3.501992E-9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 s="204">
        <v>0</v>
      </c>
      <c r="DN87" s="204">
        <v>0</v>
      </c>
      <c r="DO87" s="204">
        <v>0</v>
      </c>
      <c r="DP87" s="204">
        <v>0</v>
      </c>
      <c r="DQ87" s="204">
        <v>0</v>
      </c>
      <c r="DR87" s="204">
        <v>0</v>
      </c>
      <c r="DS87" s="204">
        <v>0</v>
      </c>
      <c r="DT87" s="204">
        <v>0</v>
      </c>
    </row>
    <row r="88" spans="1:124" x14ac:dyDescent="0.15">
      <c r="A88" s="156" t="s">
        <v>307</v>
      </c>
      <c r="B88">
        <v>0</v>
      </c>
      <c r="C88">
        <v>0</v>
      </c>
      <c r="D88">
        <v>0</v>
      </c>
      <c r="E88">
        <v>0</v>
      </c>
      <c r="F88" s="138">
        <v>1.8929560000000002E-2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138">
        <v>7.5352649999999998E-4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220">
        <v>8.0012190000000004E-3</v>
      </c>
      <c r="Z88" s="3">
        <v>0</v>
      </c>
      <c r="AA88">
        <v>0</v>
      </c>
      <c r="AB88">
        <v>0</v>
      </c>
      <c r="AC88">
        <v>0</v>
      </c>
      <c r="AD88" s="138">
        <v>7.5700009999999998E-2</v>
      </c>
      <c r="AE88" s="138">
        <v>3.9756480000000003E-5</v>
      </c>
      <c r="AF88">
        <v>0.13219649999999999</v>
      </c>
      <c r="AG88">
        <v>0</v>
      </c>
      <c r="AH88">
        <v>0.12620219999999999</v>
      </c>
      <c r="AI88">
        <v>0</v>
      </c>
      <c r="AJ88">
        <v>0</v>
      </c>
      <c r="AK88">
        <v>0.19922819999999999</v>
      </c>
      <c r="AL88" s="138">
        <v>8.3620879999999995E-2</v>
      </c>
      <c r="AM88" s="138">
        <v>9.4786850000000006E-2</v>
      </c>
      <c r="AN88" s="138">
        <v>2.1256819999999998E-3</v>
      </c>
      <c r="AO88">
        <v>0</v>
      </c>
      <c r="AP88" s="138">
        <v>3.915801E-2</v>
      </c>
      <c r="AQ88">
        <v>0.63662859999999999</v>
      </c>
      <c r="AR88">
        <v>0</v>
      </c>
      <c r="AS88">
        <v>0</v>
      </c>
      <c r="AT88">
        <v>0</v>
      </c>
      <c r="AU88">
        <v>0</v>
      </c>
      <c r="AV88" s="138">
        <v>1.9837670000000002E-2</v>
      </c>
      <c r="AW88">
        <v>0</v>
      </c>
      <c r="AX88" s="138">
        <v>4.0048420000000001E-2</v>
      </c>
      <c r="AY88">
        <v>0</v>
      </c>
      <c r="AZ88">
        <v>0</v>
      </c>
      <c r="BA88">
        <v>0</v>
      </c>
      <c r="BB88" s="138">
        <v>4.5678080000000003E-2</v>
      </c>
      <c r="BC88">
        <v>0</v>
      </c>
      <c r="BD88">
        <v>0.1149897</v>
      </c>
      <c r="BE88">
        <v>0</v>
      </c>
      <c r="BF88">
        <v>0</v>
      </c>
      <c r="BG88" s="138">
        <v>3.1702359999999999E-3</v>
      </c>
      <c r="BH88" s="138">
        <v>8.3532259999999998E-4</v>
      </c>
      <c r="BI88">
        <v>0</v>
      </c>
      <c r="BJ88" s="138">
        <v>1.0231179999999999E-3</v>
      </c>
      <c r="BK88">
        <v>0.92750909999999998</v>
      </c>
      <c r="BL88">
        <v>0.99995179999999995</v>
      </c>
      <c r="BM88">
        <v>0.30758740000000001</v>
      </c>
      <c r="BN88">
        <v>0.38283469999999997</v>
      </c>
      <c r="BO88">
        <v>0</v>
      </c>
      <c r="BP88">
        <v>0</v>
      </c>
      <c r="BQ88">
        <v>0</v>
      </c>
      <c r="BR88">
        <v>0</v>
      </c>
      <c r="BS88" s="138">
        <v>7.4608610000000001E-3</v>
      </c>
      <c r="BT88">
        <v>4.1988499999999998E-2</v>
      </c>
      <c r="BU88" s="138">
        <v>2.5736129999999999E-2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 s="212">
        <v>0</v>
      </c>
      <c r="CK88">
        <v>0</v>
      </c>
      <c r="CL88">
        <v>5.0000000000000001E-3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 s="204">
        <v>0</v>
      </c>
      <c r="DN88" s="204">
        <v>0</v>
      </c>
      <c r="DO88" s="204">
        <v>0</v>
      </c>
      <c r="DP88" s="204">
        <v>0</v>
      </c>
      <c r="DQ88" s="204">
        <v>0</v>
      </c>
      <c r="DR88" s="204">
        <v>0</v>
      </c>
      <c r="DS88" s="204">
        <v>0</v>
      </c>
      <c r="DT88" s="204">
        <v>0</v>
      </c>
    </row>
    <row r="89" spans="1:124" x14ac:dyDescent="0.15">
      <c r="A89" s="156" t="s">
        <v>308</v>
      </c>
      <c r="B89">
        <v>0</v>
      </c>
      <c r="C89">
        <v>0</v>
      </c>
      <c r="D89">
        <v>0</v>
      </c>
      <c r="E89">
        <v>0</v>
      </c>
      <c r="F89" s="138">
        <v>2.1501240000000001E-2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138">
        <v>8.5589680000000003E-4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 s="220">
        <v>9.0882259999999996E-3</v>
      </c>
      <c r="Z89" s="3">
        <v>0</v>
      </c>
      <c r="AA89">
        <v>0</v>
      </c>
      <c r="AB89">
        <v>1E-4</v>
      </c>
      <c r="AC89">
        <v>0</v>
      </c>
      <c r="AD89" s="138">
        <v>9.3927249999999993E-3</v>
      </c>
      <c r="AE89" s="138">
        <v>8.8730180000000006E-2</v>
      </c>
      <c r="AF89">
        <v>0.1086338</v>
      </c>
      <c r="AG89">
        <v>0.20723949999999999</v>
      </c>
      <c r="AH89">
        <v>0.1227917</v>
      </c>
      <c r="AI89">
        <v>0</v>
      </c>
      <c r="AJ89">
        <v>0</v>
      </c>
      <c r="AK89" s="138">
        <v>3.6641279999999998E-2</v>
      </c>
      <c r="AL89" s="138">
        <v>1.8541910000000002E-2</v>
      </c>
      <c r="AM89">
        <v>0.30384</v>
      </c>
      <c r="AN89" s="138">
        <v>4.6350030000000004E-3</v>
      </c>
      <c r="AO89">
        <v>0.3472596</v>
      </c>
      <c r="AP89">
        <v>0.2123862</v>
      </c>
      <c r="AQ89" s="138">
        <v>4.3523069999999997E-2</v>
      </c>
      <c r="AR89" s="138">
        <v>1.0514680000000001E-3</v>
      </c>
      <c r="AS89" s="138">
        <v>1.8114229999999999E-2</v>
      </c>
      <c r="AT89" s="138">
        <v>5.9133289999999998E-5</v>
      </c>
      <c r="AU89" s="138">
        <v>1.387068E-2</v>
      </c>
      <c r="AV89" s="138">
        <v>2.270641E-2</v>
      </c>
      <c r="AW89">
        <v>0</v>
      </c>
      <c r="AX89" s="138">
        <v>1.255007E-2</v>
      </c>
      <c r="AY89">
        <v>2.1000000000000001E-2</v>
      </c>
      <c r="AZ89">
        <v>0.44133329999999998</v>
      </c>
      <c r="BA89">
        <v>0</v>
      </c>
      <c r="BB89" s="138">
        <v>7.4423140000000002E-3</v>
      </c>
      <c r="BC89" s="138">
        <v>1.367033E-2</v>
      </c>
      <c r="BD89">
        <v>0.66940449999999996</v>
      </c>
      <c r="BE89">
        <v>0.5</v>
      </c>
      <c r="BF89">
        <v>0</v>
      </c>
      <c r="BG89" s="138">
        <v>1.1901310000000001E-3</v>
      </c>
      <c r="BH89" s="138">
        <v>3.0714869999999998E-2</v>
      </c>
      <c r="BI89" s="138">
        <v>3.9971540000000002E-3</v>
      </c>
      <c r="BJ89" s="138">
        <v>4.1282430000000002E-2</v>
      </c>
      <c r="BK89" s="138">
        <v>2.397763E-2</v>
      </c>
      <c r="BL89" s="138">
        <v>4.5722330000000003E-5</v>
      </c>
      <c r="BM89">
        <v>0.23461989999999999</v>
      </c>
      <c r="BN89">
        <v>0.32014599999999999</v>
      </c>
      <c r="BO89">
        <v>0.1447116</v>
      </c>
      <c r="BP89">
        <v>0</v>
      </c>
      <c r="BQ89" s="138">
        <v>2.70798E-6</v>
      </c>
      <c r="BR89">
        <v>0.42960369999999998</v>
      </c>
      <c r="BS89">
        <v>0.18981700000000001</v>
      </c>
      <c r="BT89">
        <v>0.50135510000000005</v>
      </c>
      <c r="BU89" s="138">
        <v>3.5766230000000003E-2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 s="212">
        <v>0</v>
      </c>
      <c r="CL89">
        <v>5.0000000000000001E-3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 s="204">
        <v>0</v>
      </c>
      <c r="DN89" s="204">
        <v>0</v>
      </c>
      <c r="DO89" s="204">
        <v>0</v>
      </c>
      <c r="DP89" s="204">
        <v>0</v>
      </c>
      <c r="DQ89" s="204">
        <v>0</v>
      </c>
      <c r="DR89" s="204">
        <v>0</v>
      </c>
      <c r="DS89" s="204">
        <v>0</v>
      </c>
      <c r="DT89" s="204">
        <v>0</v>
      </c>
    </row>
    <row r="90" spans="1:124" x14ac:dyDescent="0.15">
      <c r="A90" s="156" t="s">
        <v>309</v>
      </c>
      <c r="B90">
        <v>0</v>
      </c>
      <c r="C90">
        <v>0</v>
      </c>
      <c r="D90">
        <v>0</v>
      </c>
      <c r="E90">
        <v>0</v>
      </c>
      <c r="F90" s="138">
        <v>1.5584600000000001E-4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3">
        <v>0</v>
      </c>
      <c r="Z90" s="3">
        <v>0</v>
      </c>
      <c r="AA90">
        <v>0</v>
      </c>
      <c r="AB90">
        <v>0</v>
      </c>
      <c r="AC90">
        <v>0</v>
      </c>
      <c r="AD90" s="138">
        <v>6.8080670000000005E-5</v>
      </c>
      <c r="AE90">
        <v>0</v>
      </c>
      <c r="AF90" s="138">
        <v>2.9545760000000002E-5</v>
      </c>
      <c r="AG90">
        <v>0</v>
      </c>
      <c r="AH90" s="138">
        <v>4.4735260000000002E-4</v>
      </c>
      <c r="AI90">
        <v>0</v>
      </c>
      <c r="AJ90">
        <v>0</v>
      </c>
      <c r="AK90">
        <v>0</v>
      </c>
      <c r="AL90">
        <v>0</v>
      </c>
      <c r="AM90">
        <v>0</v>
      </c>
      <c r="AN90" s="138">
        <v>5.5850860000000001E-6</v>
      </c>
      <c r="AO90">
        <v>0</v>
      </c>
      <c r="AP90">
        <v>0</v>
      </c>
      <c r="AQ90">
        <v>0</v>
      </c>
      <c r="AR90">
        <v>0</v>
      </c>
      <c r="AS90">
        <v>0</v>
      </c>
      <c r="AT90" s="138">
        <v>2.038287E-8</v>
      </c>
      <c r="AU90" s="138">
        <v>3.0253519999999998E-3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 s="138">
        <v>2.304839E-5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 s="138">
        <v>5.3774460000000002E-5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8.0000000000000002E-3</v>
      </c>
      <c r="CI90">
        <v>0</v>
      </c>
      <c r="CJ90">
        <v>0</v>
      </c>
      <c r="CK90">
        <v>0</v>
      </c>
      <c r="CL90" s="212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 s="204">
        <v>0</v>
      </c>
      <c r="DN90" s="204">
        <v>0</v>
      </c>
      <c r="DO90" s="204">
        <v>0</v>
      </c>
      <c r="DP90" s="204">
        <v>0</v>
      </c>
      <c r="DQ90" s="204">
        <v>0</v>
      </c>
      <c r="DR90" s="204">
        <v>0</v>
      </c>
      <c r="DS90" s="204">
        <v>0</v>
      </c>
      <c r="DT90" s="204">
        <v>0</v>
      </c>
    </row>
    <row r="91" spans="1:124" x14ac:dyDescent="0.15">
      <c r="A91" s="156" t="s">
        <v>310</v>
      </c>
      <c r="B91">
        <v>0</v>
      </c>
      <c r="C91">
        <v>0</v>
      </c>
      <c r="D91">
        <v>0</v>
      </c>
      <c r="E91">
        <v>0</v>
      </c>
      <c r="F91" s="138">
        <v>5.7153669999999998E-3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 s="3">
        <v>0</v>
      </c>
      <c r="Z91" s="3">
        <v>0</v>
      </c>
      <c r="AA91">
        <v>0</v>
      </c>
      <c r="AB91">
        <v>0</v>
      </c>
      <c r="AC91">
        <v>0</v>
      </c>
      <c r="AD91" s="138">
        <v>2.496734E-3</v>
      </c>
      <c r="AE91">
        <v>0</v>
      </c>
      <c r="AF91">
        <v>0</v>
      </c>
      <c r="AG91">
        <v>0</v>
      </c>
      <c r="AH91" s="138">
        <v>4.8571379999999999E-5</v>
      </c>
      <c r="AI91">
        <v>0</v>
      </c>
      <c r="AJ91">
        <v>0</v>
      </c>
      <c r="AK91">
        <v>0</v>
      </c>
      <c r="AL91">
        <v>0</v>
      </c>
      <c r="AM91">
        <v>0</v>
      </c>
      <c r="AN91" s="138">
        <v>1.290249E-4</v>
      </c>
      <c r="AO91">
        <v>0</v>
      </c>
      <c r="AP91" s="138">
        <v>3.0087799999999997E-4</v>
      </c>
      <c r="AQ91">
        <v>8.5831900000000003E-2</v>
      </c>
      <c r="AR91">
        <v>0.17174590000000001</v>
      </c>
      <c r="AS91">
        <v>0.16932459999999999</v>
      </c>
      <c r="AT91" s="138">
        <v>1.690993E-3</v>
      </c>
      <c r="AU91">
        <v>0.31668629999999998</v>
      </c>
      <c r="AV91" s="138">
        <v>1.167384E-2</v>
      </c>
      <c r="AW91" s="138">
        <v>6.6971580000000003E-2</v>
      </c>
      <c r="AX91" s="138">
        <v>2.5522370000000002E-3</v>
      </c>
      <c r="AY91">
        <v>0</v>
      </c>
      <c r="AZ91">
        <v>0</v>
      </c>
      <c r="BA91">
        <v>0</v>
      </c>
      <c r="BB91" s="138">
        <v>1.2638610000000001E-6</v>
      </c>
      <c r="BC91">
        <v>0.18225250000000001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 s="138">
        <v>1.021083E-4</v>
      </c>
      <c r="BT91" s="138">
        <v>1.818263E-4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0.04</v>
      </c>
      <c r="CH91">
        <v>3.5000000000000003E-2</v>
      </c>
      <c r="CI91" s="138">
        <v>1.4007970000000001E-8</v>
      </c>
      <c r="CJ91">
        <v>0</v>
      </c>
      <c r="CK91">
        <v>0</v>
      </c>
      <c r="CL91">
        <v>0.03</v>
      </c>
      <c r="CM91" s="212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 s="204">
        <v>0</v>
      </c>
      <c r="DN91" s="204">
        <v>0</v>
      </c>
      <c r="DO91" s="204">
        <v>0</v>
      </c>
      <c r="DP91" s="204">
        <v>0</v>
      </c>
      <c r="DQ91" s="204">
        <v>0</v>
      </c>
      <c r="DR91" s="204">
        <v>0</v>
      </c>
      <c r="DS91" s="204">
        <v>0</v>
      </c>
      <c r="DT91" s="204">
        <v>0</v>
      </c>
    </row>
    <row r="92" spans="1:124" x14ac:dyDescent="0.15">
      <c r="A92" s="156" t="s">
        <v>311</v>
      </c>
      <c r="B92">
        <v>0</v>
      </c>
      <c r="C92">
        <v>0</v>
      </c>
      <c r="D92">
        <v>0</v>
      </c>
      <c r="E92">
        <v>0</v>
      </c>
      <c r="F92" s="138">
        <v>2.2605020000000002E-3</v>
      </c>
      <c r="G92">
        <v>0</v>
      </c>
      <c r="H92">
        <v>0</v>
      </c>
      <c r="I92">
        <v>0</v>
      </c>
      <c r="J92">
        <v>0</v>
      </c>
      <c r="K92">
        <v>0</v>
      </c>
      <c r="L92">
        <v>0.37358390000000002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s="3">
        <v>0</v>
      </c>
      <c r="Z92" s="3">
        <v>0</v>
      </c>
      <c r="AA92">
        <v>0</v>
      </c>
      <c r="AB92">
        <v>0</v>
      </c>
      <c r="AC92">
        <v>0</v>
      </c>
      <c r="AD92">
        <v>3.0000000000000001E-3</v>
      </c>
      <c r="AE92">
        <v>0</v>
      </c>
      <c r="AF92" s="138">
        <v>1.6626510000000002E-5</v>
      </c>
      <c r="AG92">
        <v>0</v>
      </c>
      <c r="AH92" s="138">
        <v>2.1211219999999999E-5</v>
      </c>
      <c r="AI92">
        <v>0</v>
      </c>
      <c r="AJ92">
        <v>0</v>
      </c>
      <c r="AK92">
        <v>0</v>
      </c>
      <c r="AL92">
        <v>0</v>
      </c>
      <c r="AM92">
        <v>0</v>
      </c>
      <c r="AN92" s="138">
        <v>5.923654E-4</v>
      </c>
      <c r="AO92">
        <v>0</v>
      </c>
      <c r="AP92">
        <v>0</v>
      </c>
      <c r="AQ92">
        <v>0</v>
      </c>
      <c r="AR92">
        <v>0.1302893</v>
      </c>
      <c r="AS92">
        <v>0.2250074</v>
      </c>
      <c r="AT92" s="138">
        <v>1.5133880000000001E-2</v>
      </c>
      <c r="AU92" s="138">
        <v>9.1048080000000003E-2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 s="138">
        <v>2.9013280000000001E-5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 s="138">
        <v>2.1155659999999999E-5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0.02</v>
      </c>
      <c r="CH92">
        <v>0.222</v>
      </c>
      <c r="CI92" s="138">
        <v>7.0039850000000004E-9</v>
      </c>
      <c r="CJ92">
        <v>0</v>
      </c>
      <c r="CK92">
        <v>0</v>
      </c>
      <c r="CL92">
        <v>0</v>
      </c>
      <c r="CM92">
        <v>0</v>
      </c>
      <c r="CN92" s="21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 s="204">
        <v>0</v>
      </c>
      <c r="DN92" s="204">
        <v>0</v>
      </c>
      <c r="DO92" s="204">
        <v>0</v>
      </c>
      <c r="DP92" s="204">
        <v>0</v>
      </c>
      <c r="DQ92" s="204">
        <v>0</v>
      </c>
      <c r="DR92" s="204">
        <v>0</v>
      </c>
      <c r="DS92" s="204">
        <v>0</v>
      </c>
      <c r="DT92" s="204">
        <v>0</v>
      </c>
    </row>
    <row r="93" spans="1:124" x14ac:dyDescent="0.15">
      <c r="A93" s="156" t="s">
        <v>312</v>
      </c>
      <c r="B93">
        <v>0</v>
      </c>
      <c r="C93">
        <v>0</v>
      </c>
      <c r="D93">
        <v>0</v>
      </c>
      <c r="E93">
        <v>0</v>
      </c>
      <c r="F93" s="138">
        <v>1.138965E-3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s="3">
        <v>0</v>
      </c>
      <c r="Z93" s="3">
        <v>0</v>
      </c>
      <c r="AA93">
        <v>0</v>
      </c>
      <c r="AB93">
        <v>7.0000000000000001E-3</v>
      </c>
      <c r="AC93">
        <v>0</v>
      </c>
      <c r="AD93" s="138">
        <v>4.9755199999999996E-4</v>
      </c>
      <c r="AE93">
        <v>0</v>
      </c>
      <c r="AF93" s="138">
        <v>2.5010370000000002E-5</v>
      </c>
      <c r="AG93">
        <v>0</v>
      </c>
      <c r="AH93" s="138">
        <v>2.9636660000000002E-3</v>
      </c>
      <c r="AI93">
        <v>0</v>
      </c>
      <c r="AJ93">
        <v>0</v>
      </c>
      <c r="AK93">
        <v>0</v>
      </c>
      <c r="AL93" s="138">
        <v>3.9030689999999999E-9</v>
      </c>
      <c r="AM93">
        <v>0</v>
      </c>
      <c r="AN93" s="138">
        <v>2.442039E-3</v>
      </c>
      <c r="AO93" s="138">
        <v>7.7930760000000003E-3</v>
      </c>
      <c r="AP93">
        <v>0</v>
      </c>
      <c r="AQ93" s="138">
        <v>3.9895410000000001E-3</v>
      </c>
      <c r="AR93" s="138">
        <v>1.5064740000000001E-4</v>
      </c>
      <c r="AS93">
        <v>0</v>
      </c>
      <c r="AT93" s="138">
        <v>3.5052400000000002E-3</v>
      </c>
      <c r="AU93">
        <v>0</v>
      </c>
      <c r="AV93" s="138">
        <v>3.9076459999999999E-3</v>
      </c>
      <c r="AW93" s="138">
        <v>1.4523699999999999E-3</v>
      </c>
      <c r="AX93">
        <v>0</v>
      </c>
      <c r="AY93">
        <v>0</v>
      </c>
      <c r="AZ93">
        <v>0</v>
      </c>
      <c r="BA93">
        <v>0</v>
      </c>
      <c r="BB93" s="138">
        <v>8.4969099999999997E-4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 s="138">
        <v>1.7553170000000001E-4</v>
      </c>
      <c r="BJ93" s="138">
        <v>2.3308449999999999E-5</v>
      </c>
      <c r="BK93">
        <v>0</v>
      </c>
      <c r="BL93" s="138">
        <v>4.3517609999999999E-13</v>
      </c>
      <c r="BM93">
        <v>0</v>
      </c>
      <c r="BN93" s="138">
        <v>2.7232960000000002E-4</v>
      </c>
      <c r="BO93">
        <v>0</v>
      </c>
      <c r="BP93">
        <v>0</v>
      </c>
      <c r="BQ93" s="138">
        <v>3.2456170000000001E-3</v>
      </c>
      <c r="BR93" s="138">
        <v>4.261958E-5</v>
      </c>
      <c r="BS93" s="138">
        <v>1.3727710000000001E-3</v>
      </c>
      <c r="BT93">
        <v>0</v>
      </c>
      <c r="BU93">
        <v>0</v>
      </c>
      <c r="BV93">
        <v>0.4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0.03</v>
      </c>
      <c r="CH93">
        <v>0.2</v>
      </c>
      <c r="CI93" s="138">
        <v>1.050598E-8</v>
      </c>
      <c r="CJ93">
        <v>0</v>
      </c>
      <c r="CK93">
        <v>0</v>
      </c>
      <c r="CL93">
        <v>5.0000000000000001E-3</v>
      </c>
      <c r="CM93">
        <v>0</v>
      </c>
      <c r="CN93">
        <v>0</v>
      </c>
      <c r="CO93" s="212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 s="204">
        <v>0</v>
      </c>
      <c r="DN93" s="204">
        <v>0</v>
      </c>
      <c r="DO93" s="204">
        <v>0</v>
      </c>
      <c r="DP93" s="204">
        <v>0</v>
      </c>
      <c r="DQ93" s="204">
        <v>0</v>
      </c>
      <c r="DR93" s="204">
        <v>0</v>
      </c>
      <c r="DS93" s="204">
        <v>0</v>
      </c>
      <c r="DT93" s="204">
        <v>0</v>
      </c>
    </row>
    <row r="94" spans="1:124" x14ac:dyDescent="0.15">
      <c r="A94" s="156" t="s">
        <v>313</v>
      </c>
      <c r="B94">
        <v>0</v>
      </c>
      <c r="C94">
        <v>0</v>
      </c>
      <c r="D94">
        <v>0</v>
      </c>
      <c r="E94">
        <v>0</v>
      </c>
      <c r="F94" s="138">
        <v>6.2594900000000004E-3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138">
        <v>2.4917059999999999E-4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s="3">
        <v>0</v>
      </c>
      <c r="Z94" s="3">
        <v>0</v>
      </c>
      <c r="AA94">
        <v>0</v>
      </c>
      <c r="AB94">
        <v>1E-4</v>
      </c>
      <c r="AC94">
        <v>0</v>
      </c>
      <c r="AD94" s="138">
        <v>2.7344309999999998E-3</v>
      </c>
      <c r="AE94">
        <v>0.12086529999999999</v>
      </c>
      <c r="AF94" s="138">
        <v>1.6363740000000002E-2</v>
      </c>
      <c r="AG94" s="138">
        <v>8.9993069999999994E-2</v>
      </c>
      <c r="AH94">
        <v>9.9426899999999999E-2</v>
      </c>
      <c r="AI94">
        <v>0</v>
      </c>
      <c r="AJ94">
        <v>0</v>
      </c>
      <c r="AK94">
        <v>0</v>
      </c>
      <c r="AL94" s="138">
        <v>1.4541639999999999E-5</v>
      </c>
      <c r="AM94">
        <v>0.31525550000000002</v>
      </c>
      <c r="AN94">
        <v>0.11125</v>
      </c>
      <c r="AO94" s="138">
        <v>2.0329759999999999E-2</v>
      </c>
      <c r="AP94">
        <v>0.1102031</v>
      </c>
      <c r="AQ94" s="138">
        <v>6.0853869999999997E-2</v>
      </c>
      <c r="AR94" s="138">
        <v>1.12129E-3</v>
      </c>
      <c r="AS94">
        <v>0</v>
      </c>
      <c r="AT94" s="138">
        <v>1.099867E-4</v>
      </c>
      <c r="AU94" s="138">
        <v>3.7997239999999999E-5</v>
      </c>
      <c r="AV94" s="138">
        <v>7.5117190000000006E-5</v>
      </c>
      <c r="AW94">
        <v>0</v>
      </c>
      <c r="AX94" s="138">
        <v>4.4362289999999999E-3</v>
      </c>
      <c r="AY94">
        <v>0</v>
      </c>
      <c r="AZ94">
        <v>0</v>
      </c>
      <c r="BA94" s="138">
        <v>1.5839509999999999E-3</v>
      </c>
      <c r="BB94" s="138">
        <v>1.331191E-2</v>
      </c>
      <c r="BC94" s="138">
        <v>2.508452E-3</v>
      </c>
      <c r="BD94">
        <v>0</v>
      </c>
      <c r="BE94">
        <v>0</v>
      </c>
      <c r="BF94">
        <v>0</v>
      </c>
      <c r="BG94" s="138">
        <v>5.5148739999999995E-4</v>
      </c>
      <c r="BH94" s="138">
        <v>8.1314589999999995E-6</v>
      </c>
      <c r="BI94" s="138">
        <v>1.316488E-4</v>
      </c>
      <c r="BJ94">
        <v>0.58835910000000002</v>
      </c>
      <c r="BK94">
        <v>0</v>
      </c>
      <c r="BL94" s="138">
        <v>1.1432050000000001E-9</v>
      </c>
      <c r="BM94">
        <v>0</v>
      </c>
      <c r="BN94" s="138">
        <v>7.3131650000000006E-2</v>
      </c>
      <c r="BO94">
        <v>0</v>
      </c>
      <c r="BP94">
        <v>0</v>
      </c>
      <c r="BQ94" s="138">
        <v>1.031473E-3</v>
      </c>
      <c r="BR94">
        <v>0</v>
      </c>
      <c r="BS94" s="138">
        <v>1.9177779999999998E-2</v>
      </c>
      <c r="BT94">
        <v>0</v>
      </c>
      <c r="BU94">
        <v>0</v>
      </c>
      <c r="BV94">
        <v>0.1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0.01</v>
      </c>
      <c r="CH94">
        <v>0.02</v>
      </c>
      <c r="CI94" s="138">
        <v>3.501992E-9</v>
      </c>
      <c r="CJ94">
        <v>0</v>
      </c>
      <c r="CK94">
        <v>0</v>
      </c>
      <c r="CL94">
        <v>5.0000000000000001E-3</v>
      </c>
      <c r="CM94">
        <v>0</v>
      </c>
      <c r="CN94">
        <v>0</v>
      </c>
      <c r="CO94">
        <v>0</v>
      </c>
      <c r="CP94" s="212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 s="204">
        <v>0</v>
      </c>
      <c r="DN94" s="204">
        <v>0</v>
      </c>
      <c r="DO94" s="204">
        <v>0</v>
      </c>
      <c r="DP94" s="204">
        <v>0</v>
      </c>
      <c r="DQ94" s="204">
        <v>0</v>
      </c>
      <c r="DR94" s="204">
        <v>0</v>
      </c>
      <c r="DS94" s="204">
        <v>0</v>
      </c>
      <c r="DT94" s="204">
        <v>0</v>
      </c>
    </row>
    <row r="95" spans="1:124" x14ac:dyDescent="0.15">
      <c r="A95" s="156" t="s">
        <v>314</v>
      </c>
      <c r="B95">
        <v>0</v>
      </c>
      <c r="C95">
        <v>0</v>
      </c>
      <c r="D95">
        <v>0</v>
      </c>
      <c r="E95">
        <v>0</v>
      </c>
      <c r="F95" s="138">
        <v>3.5225569999999999E-3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0.01</v>
      </c>
      <c r="S95" s="138">
        <v>6.0503040000000003E-3</v>
      </c>
      <c r="T95" s="138">
        <v>3.2778669999999998E-3</v>
      </c>
      <c r="U95" s="138">
        <v>6.1787089999999995E-4</v>
      </c>
      <c r="V95" s="138">
        <v>6.2673380000000001E-2</v>
      </c>
      <c r="W95" s="138">
        <v>7.0450010000000006E-5</v>
      </c>
      <c r="X95" s="138">
        <v>9.863001000000001E-4</v>
      </c>
      <c r="Y95" s="220">
        <v>1.488928E-3</v>
      </c>
      <c r="Z95" s="3">
        <v>1.1272000000000001E-3</v>
      </c>
      <c r="AA95">
        <v>0</v>
      </c>
      <c r="AB95">
        <v>0</v>
      </c>
      <c r="AC95">
        <v>0</v>
      </c>
      <c r="AD95">
        <v>8.9999999999999998E-4</v>
      </c>
      <c r="AE95" s="138">
        <v>1.0130880000000001E-3</v>
      </c>
      <c r="AF95" s="138">
        <v>1.5213259999999999E-3</v>
      </c>
      <c r="AG95" s="138">
        <v>6.0217739999999997E-3</v>
      </c>
      <c r="AH95" s="138">
        <v>5.5336710000000004E-3</v>
      </c>
      <c r="AI95">
        <v>0</v>
      </c>
      <c r="AJ95">
        <v>0</v>
      </c>
      <c r="AK95">
        <v>0</v>
      </c>
      <c r="AL95" s="138">
        <v>1.851961E-4</v>
      </c>
      <c r="AM95">
        <v>0</v>
      </c>
      <c r="AN95" s="138">
        <v>3.4278210000000001E-4</v>
      </c>
      <c r="AO95" s="138">
        <v>3.1988139999999998E-2</v>
      </c>
      <c r="AP95">
        <v>0</v>
      </c>
      <c r="AQ95" s="138">
        <v>2.827169E-3</v>
      </c>
      <c r="AR95" s="138">
        <v>1.1909939999999999E-3</v>
      </c>
      <c r="AS95" s="138">
        <v>5.3409850000000002E-5</v>
      </c>
      <c r="AT95" s="138">
        <v>1.749694E-3</v>
      </c>
      <c r="AU95" s="138">
        <v>1.2672549999999999E-3</v>
      </c>
      <c r="AV95" s="138">
        <v>1.195177E-2</v>
      </c>
      <c r="AW95">
        <v>0.92798789999999998</v>
      </c>
      <c r="AX95" s="138">
        <v>8.0825810000000001E-3</v>
      </c>
      <c r="AY95">
        <v>0</v>
      </c>
      <c r="AZ95">
        <v>2E-3</v>
      </c>
      <c r="BA95" s="138">
        <v>8.1837459999999996E-4</v>
      </c>
      <c r="BB95" s="138">
        <v>5.86981E-5</v>
      </c>
      <c r="BC95" s="138">
        <v>5.3571160000000003E-3</v>
      </c>
      <c r="BD95">
        <v>0</v>
      </c>
      <c r="BE95">
        <v>0</v>
      </c>
      <c r="BF95">
        <v>0</v>
      </c>
      <c r="BG95" s="138">
        <v>2.3325770000000001E-5</v>
      </c>
      <c r="BH95" s="138">
        <v>6.6530109999999998E-6</v>
      </c>
      <c r="BI95">
        <v>0</v>
      </c>
      <c r="BJ95" s="138">
        <v>9.8140829999999999E-6</v>
      </c>
      <c r="BK95">
        <v>0</v>
      </c>
      <c r="BL95" s="138">
        <v>1.0450349999999999E-7</v>
      </c>
      <c r="BM95">
        <v>0</v>
      </c>
      <c r="BN95" s="138">
        <v>1.4939060000000001E-2</v>
      </c>
      <c r="BO95" s="138">
        <v>8.2346249999999996E-2</v>
      </c>
      <c r="BP95">
        <v>0</v>
      </c>
      <c r="BQ95" s="138">
        <v>2.166384E-5</v>
      </c>
      <c r="BR95" s="138">
        <v>6.3213690000000003E-4</v>
      </c>
      <c r="BS95" s="138">
        <v>7.9212119999999997E-4</v>
      </c>
      <c r="BT95" s="138">
        <v>1.4424910000000001E-2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5.0000000000000001E-3</v>
      </c>
      <c r="CH95">
        <v>0.02</v>
      </c>
      <c r="CI95" s="138">
        <v>1.750996E-9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 s="212">
        <v>0</v>
      </c>
      <c r="CR95">
        <v>0</v>
      </c>
      <c r="CS95">
        <v>0.125</v>
      </c>
      <c r="CT95">
        <v>0.125</v>
      </c>
      <c r="CU95">
        <v>0.125</v>
      </c>
      <c r="CV95">
        <v>0.125</v>
      </c>
      <c r="CW95">
        <v>0.125</v>
      </c>
      <c r="CX95">
        <v>0.125</v>
      </c>
      <c r="CY95">
        <v>0.125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 s="204">
        <v>0</v>
      </c>
      <c r="DN95" s="204">
        <v>0</v>
      </c>
      <c r="DO95" s="204">
        <v>0</v>
      </c>
      <c r="DP95" s="204">
        <v>0</v>
      </c>
      <c r="DQ95" s="204">
        <v>0</v>
      </c>
      <c r="DR95" s="204">
        <v>0</v>
      </c>
      <c r="DS95" s="204">
        <v>0</v>
      </c>
      <c r="DT95" s="204">
        <v>0</v>
      </c>
    </row>
    <row r="96" spans="1:124" x14ac:dyDescent="0.15">
      <c r="A96" s="156" t="s">
        <v>315</v>
      </c>
      <c r="B96">
        <v>0</v>
      </c>
      <c r="C96">
        <v>0</v>
      </c>
      <c r="D96">
        <v>0</v>
      </c>
      <c r="E96">
        <v>0</v>
      </c>
      <c r="F96">
        <v>0.9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s="138">
        <v>9.3867889999999995E-3</v>
      </c>
      <c r="U96" s="138">
        <v>1.76939E-3</v>
      </c>
      <c r="V96">
        <v>0</v>
      </c>
      <c r="W96" s="138">
        <v>2.0174679999999999E-4</v>
      </c>
      <c r="X96" s="138">
        <v>2.824455E-3</v>
      </c>
      <c r="Y96" s="220">
        <v>4.2638240000000003E-3</v>
      </c>
      <c r="Z96" s="220">
        <v>3.2279489999999999E-3</v>
      </c>
      <c r="AA96">
        <v>0</v>
      </c>
      <c r="AB96">
        <v>0</v>
      </c>
      <c r="AC96">
        <v>0</v>
      </c>
      <c r="AD96" s="138">
        <v>5.7000009999999997E-3</v>
      </c>
      <c r="AE96" s="138">
        <v>8.2324519999999998E-2</v>
      </c>
      <c r="AF96" s="138">
        <v>8.8331320000000005E-2</v>
      </c>
      <c r="AG96">
        <v>0.31170599999999998</v>
      </c>
      <c r="AH96" s="138">
        <v>2.0641840000000002E-2</v>
      </c>
      <c r="AI96">
        <v>0</v>
      </c>
      <c r="AJ96" s="138">
        <v>3.9297669999999999E-5</v>
      </c>
      <c r="AK96" s="138">
        <v>4.9809129999999999E-5</v>
      </c>
      <c r="AL96" s="138">
        <v>4.7335079999999999E-4</v>
      </c>
      <c r="AM96">
        <v>0.15764420000000001</v>
      </c>
      <c r="AN96" s="138">
        <v>2.0838560000000001E-5</v>
      </c>
      <c r="AO96" s="138">
        <v>9.8591890000000008E-3</v>
      </c>
      <c r="AP96" s="138">
        <v>4.7859790000000002E-4</v>
      </c>
      <c r="AQ96" s="138">
        <v>2.9326679999999998E-4</v>
      </c>
      <c r="AR96" s="138">
        <v>3.4084959999999997E-2</v>
      </c>
      <c r="AS96">
        <v>1.98301E-2</v>
      </c>
      <c r="AT96" s="138">
        <v>9.9724160000000006E-2</v>
      </c>
      <c r="AU96" s="138">
        <v>1.144684E-2</v>
      </c>
      <c r="AV96" s="138">
        <v>3.3647150000000001E-2</v>
      </c>
      <c r="AW96" s="138">
        <v>2.0196400000000001E-4</v>
      </c>
      <c r="AX96">
        <v>0.71487049999999996</v>
      </c>
      <c r="AY96">
        <v>0</v>
      </c>
      <c r="AZ96" s="138">
        <v>1.3333329999999999E-3</v>
      </c>
      <c r="BA96" s="138">
        <v>1.842041E-3</v>
      </c>
      <c r="BB96" s="138">
        <v>2.423817E-2</v>
      </c>
      <c r="BC96">
        <v>0.32804529999999998</v>
      </c>
      <c r="BD96">
        <v>0</v>
      </c>
      <c r="BE96">
        <v>0</v>
      </c>
      <c r="BF96">
        <v>0</v>
      </c>
      <c r="BG96">
        <v>6.1750800000000002E-2</v>
      </c>
      <c r="BH96">
        <v>0.23086039999999999</v>
      </c>
      <c r="BI96" s="138">
        <v>2.333365E-3</v>
      </c>
      <c r="BJ96" s="138">
        <v>9.6725649999999993E-3</v>
      </c>
      <c r="BK96" s="138">
        <v>1.2175479999999999E-5</v>
      </c>
      <c r="BL96" s="138">
        <v>2.6133589999999999E-8</v>
      </c>
      <c r="BM96" s="138">
        <v>7.4413880000000002E-2</v>
      </c>
      <c r="BN96" s="138">
        <v>5.5072320000000001E-2</v>
      </c>
      <c r="BO96" s="138">
        <v>2.3428640000000001E-3</v>
      </c>
      <c r="BP96">
        <v>0</v>
      </c>
      <c r="BQ96" s="138">
        <v>1.2395279999999999E-3</v>
      </c>
      <c r="BR96" s="138">
        <v>3.2492380000000001E-2</v>
      </c>
      <c r="BS96" s="138">
        <v>5.9599989999999999E-2</v>
      </c>
      <c r="BT96">
        <v>0.19473380000000001</v>
      </c>
      <c r="BU96" s="138">
        <v>3.5903100000000002E-3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0.02</v>
      </c>
      <c r="CH96">
        <v>1.2E-2</v>
      </c>
      <c r="CI96" s="138">
        <v>7.0039850000000004E-9</v>
      </c>
      <c r="CJ96">
        <v>0.3</v>
      </c>
      <c r="CK96">
        <v>0.3</v>
      </c>
      <c r="CL96">
        <v>0</v>
      </c>
      <c r="CM96">
        <v>0.1</v>
      </c>
      <c r="CN96">
        <v>0</v>
      </c>
      <c r="CO96">
        <v>0</v>
      </c>
      <c r="CP96">
        <v>0</v>
      </c>
      <c r="CQ96">
        <v>0</v>
      </c>
      <c r="CR96" s="212">
        <v>0</v>
      </c>
      <c r="CS96">
        <v>0.125</v>
      </c>
      <c r="CT96">
        <v>0.125</v>
      </c>
      <c r="CU96">
        <v>0.125</v>
      </c>
      <c r="CV96">
        <v>0.125</v>
      </c>
      <c r="CW96">
        <v>0.125</v>
      </c>
      <c r="CX96">
        <v>0.125</v>
      </c>
      <c r="CY96">
        <v>0.125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 s="204">
        <v>0</v>
      </c>
      <c r="DN96" s="204">
        <v>0</v>
      </c>
      <c r="DO96" s="204">
        <v>0</v>
      </c>
      <c r="DP96" s="204">
        <v>0</v>
      </c>
      <c r="DQ96" s="204">
        <v>0</v>
      </c>
      <c r="DR96" s="204">
        <v>0</v>
      </c>
      <c r="DS96" s="204">
        <v>0</v>
      </c>
      <c r="DT96" s="204">
        <v>0</v>
      </c>
    </row>
    <row r="97" spans="1:124" x14ac:dyDescent="0.15">
      <c r="A97" s="156" t="s">
        <v>316</v>
      </c>
      <c r="B97">
        <v>0</v>
      </c>
      <c r="C97">
        <v>0</v>
      </c>
      <c r="D97">
        <v>0</v>
      </c>
      <c r="E97">
        <v>0</v>
      </c>
      <c r="F97" s="138">
        <v>7.8241539999999996E-5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 s="3">
        <v>0</v>
      </c>
      <c r="Z97" s="3">
        <v>0</v>
      </c>
      <c r="AA97">
        <v>0</v>
      </c>
      <c r="AB97">
        <v>0</v>
      </c>
      <c r="AC97">
        <v>0</v>
      </c>
      <c r="AD97" s="138">
        <v>3.4179479999999999E-5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 s="212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 s="204">
        <v>0</v>
      </c>
      <c r="DN97" s="204">
        <v>0</v>
      </c>
      <c r="DO97" s="204">
        <v>0</v>
      </c>
      <c r="DP97" s="204">
        <v>0</v>
      </c>
      <c r="DQ97" s="204">
        <v>0</v>
      </c>
      <c r="DR97" s="204">
        <v>0</v>
      </c>
      <c r="DS97" s="204">
        <v>0</v>
      </c>
      <c r="DT97" s="204">
        <v>0</v>
      </c>
    </row>
    <row r="98" spans="1:124" x14ac:dyDescent="0.15">
      <c r="A98" s="156" t="s">
        <v>317</v>
      </c>
      <c r="B98">
        <v>0</v>
      </c>
      <c r="C98">
        <v>0</v>
      </c>
      <c r="D98">
        <v>0</v>
      </c>
      <c r="E98">
        <v>0</v>
      </c>
      <c r="F98" s="138">
        <v>9.5034900000000007E-6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s="3">
        <v>0</v>
      </c>
      <c r="Z98" s="3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 s="212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 s="204">
        <v>0</v>
      </c>
      <c r="DN98" s="204">
        <v>0</v>
      </c>
      <c r="DO98" s="204">
        <v>0</v>
      </c>
      <c r="DP98" s="204">
        <v>0</v>
      </c>
      <c r="DQ98" s="204">
        <v>0</v>
      </c>
      <c r="DR98" s="204">
        <v>0</v>
      </c>
      <c r="DS98" s="204">
        <v>0</v>
      </c>
      <c r="DT98" s="204">
        <v>0</v>
      </c>
    </row>
    <row r="99" spans="1:124" x14ac:dyDescent="0.15">
      <c r="A99" s="156" t="s">
        <v>318</v>
      </c>
      <c r="B99">
        <v>0</v>
      </c>
      <c r="C99">
        <v>0</v>
      </c>
      <c r="D99">
        <v>0</v>
      </c>
      <c r="E99">
        <v>0</v>
      </c>
      <c r="F99" s="138">
        <v>1.7536329999999999E-4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s="3">
        <v>0</v>
      </c>
      <c r="Z99" s="3">
        <v>0</v>
      </c>
      <c r="AA99">
        <v>0</v>
      </c>
      <c r="AB99">
        <v>0</v>
      </c>
      <c r="AC99">
        <v>0</v>
      </c>
      <c r="AD99" s="138">
        <v>7.6606720000000001E-5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 s="138">
        <v>1.71725E-3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 s="138">
        <v>1.1507290000000001E-3</v>
      </c>
      <c r="BS99" s="138">
        <v>6.7832779999999997E-6</v>
      </c>
      <c r="BT99" s="138">
        <v>3.702217E-2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0.01</v>
      </c>
      <c r="CH99">
        <v>0.05</v>
      </c>
      <c r="CI99" s="138">
        <v>3.501992E-9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 s="212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 s="204">
        <v>0</v>
      </c>
      <c r="DN99" s="204">
        <v>0</v>
      </c>
      <c r="DO99" s="204">
        <v>0</v>
      </c>
      <c r="DP99" s="204">
        <v>0</v>
      </c>
      <c r="DQ99" s="204">
        <v>0</v>
      </c>
      <c r="DR99" s="204">
        <v>0</v>
      </c>
      <c r="DS99" s="204">
        <v>0</v>
      </c>
      <c r="DT99" s="204">
        <v>0</v>
      </c>
    </row>
    <row r="100" spans="1:124" x14ac:dyDescent="0.15">
      <c r="A100" s="156" t="s">
        <v>319</v>
      </c>
      <c r="B100">
        <v>0</v>
      </c>
      <c r="C100">
        <v>0</v>
      </c>
      <c r="D100">
        <v>0</v>
      </c>
      <c r="E100">
        <v>0</v>
      </c>
      <c r="F100" s="138">
        <v>2.9993000000000001E-4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 s="3">
        <v>0</v>
      </c>
      <c r="Z100" s="3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 s="138">
        <v>1.4143580000000001E-6</v>
      </c>
      <c r="AI100">
        <v>0</v>
      </c>
      <c r="AJ100">
        <v>0</v>
      </c>
      <c r="AK100">
        <v>0</v>
      </c>
      <c r="AL100">
        <v>0</v>
      </c>
      <c r="AM100">
        <v>0</v>
      </c>
      <c r="AN100" s="138">
        <v>1.7407070000000001E-6</v>
      </c>
      <c r="AO100">
        <v>0</v>
      </c>
      <c r="AP100">
        <v>0</v>
      </c>
      <c r="AQ100">
        <v>0</v>
      </c>
      <c r="AR100">
        <v>0</v>
      </c>
      <c r="AS100">
        <v>0</v>
      </c>
      <c r="AT100" s="138">
        <v>4.8077660000000002E-4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 s="138">
        <v>2.1119349999999999E-4</v>
      </c>
      <c r="BB100" s="138">
        <v>3.999273E-4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 s="138">
        <v>1.0362669999999999E-2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5.0000000000000001E-3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 s="212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 s="204">
        <v>0</v>
      </c>
      <c r="DN100" s="204">
        <v>0</v>
      </c>
      <c r="DO100" s="204">
        <v>0</v>
      </c>
      <c r="DP100" s="204">
        <v>0</v>
      </c>
      <c r="DQ100" s="204">
        <v>0</v>
      </c>
      <c r="DR100" s="204">
        <v>0</v>
      </c>
      <c r="DS100" s="204">
        <v>0</v>
      </c>
      <c r="DT100" s="204">
        <v>0</v>
      </c>
    </row>
    <row r="101" spans="1:124" x14ac:dyDescent="0.15">
      <c r="A101" s="156" t="s">
        <v>320</v>
      </c>
      <c r="B101">
        <v>0</v>
      </c>
      <c r="C101">
        <v>0</v>
      </c>
      <c r="D101">
        <v>0</v>
      </c>
      <c r="E101">
        <v>0</v>
      </c>
      <c r="F101" s="138">
        <v>6.4193230000000001E-7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s="3">
        <v>0</v>
      </c>
      <c r="Z101" s="3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 s="138">
        <v>2.79158E-6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 s="212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 s="204">
        <v>0</v>
      </c>
      <c r="DN101" s="204">
        <v>0</v>
      </c>
      <c r="DO101" s="204">
        <v>0</v>
      </c>
      <c r="DP101" s="204">
        <v>0</v>
      </c>
      <c r="DQ101" s="204">
        <v>0</v>
      </c>
      <c r="DR101" s="204">
        <v>0</v>
      </c>
      <c r="DS101" s="204">
        <v>0</v>
      </c>
      <c r="DT101" s="204">
        <v>0</v>
      </c>
    </row>
    <row r="102" spans="1:124" x14ac:dyDescent="0.15">
      <c r="A102" s="156" t="s">
        <v>321</v>
      </c>
      <c r="B102">
        <v>0</v>
      </c>
      <c r="C102">
        <v>0</v>
      </c>
      <c r="D102">
        <v>0</v>
      </c>
      <c r="E102">
        <v>0</v>
      </c>
      <c r="F102" s="138">
        <v>5.9692960000000003E-5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s="3">
        <v>0</v>
      </c>
      <c r="Z102" s="3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 s="138">
        <v>4.3132E-5</v>
      </c>
      <c r="AI102">
        <v>0</v>
      </c>
      <c r="AJ102">
        <v>0</v>
      </c>
      <c r="AK102">
        <v>0</v>
      </c>
      <c r="AL102" s="138">
        <v>3.73425E-7</v>
      </c>
      <c r="AM102">
        <v>0</v>
      </c>
      <c r="AN102" s="138">
        <v>5.9096479999999998E-6</v>
      </c>
      <c r="AO102">
        <v>0</v>
      </c>
      <c r="AP102">
        <v>0</v>
      </c>
      <c r="AQ102">
        <v>0</v>
      </c>
      <c r="AR102">
        <v>0</v>
      </c>
      <c r="AS102">
        <v>0</v>
      </c>
      <c r="AT102" s="138">
        <v>2.0468440000000002E-5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 s="138">
        <v>1.147566E-5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 s="138">
        <v>2.0459030000000001E-5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 s="21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 s="204">
        <v>0</v>
      </c>
      <c r="DN102" s="204">
        <v>0</v>
      </c>
      <c r="DO102" s="204">
        <v>0</v>
      </c>
      <c r="DP102" s="204">
        <v>0</v>
      </c>
      <c r="DQ102" s="204">
        <v>0</v>
      </c>
      <c r="DR102" s="204">
        <v>0</v>
      </c>
      <c r="DS102" s="204">
        <v>0</v>
      </c>
      <c r="DT102" s="204">
        <v>0</v>
      </c>
    </row>
    <row r="103" spans="1:124" x14ac:dyDescent="0.15">
      <c r="A103" s="156" t="s">
        <v>322</v>
      </c>
      <c r="B103">
        <v>0</v>
      </c>
      <c r="C103">
        <v>0</v>
      </c>
      <c r="D103">
        <v>0</v>
      </c>
      <c r="E103">
        <v>0</v>
      </c>
      <c r="F103" s="138">
        <v>2.369359E-2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s="138">
        <v>2.2047750000000001E-2</v>
      </c>
      <c r="U103" s="138">
        <v>4.1559530000000004E-3</v>
      </c>
      <c r="V103">
        <v>0</v>
      </c>
      <c r="W103" s="138">
        <v>4.7386409999999998E-4</v>
      </c>
      <c r="X103">
        <v>6.6341000000000004E-3</v>
      </c>
      <c r="Y103" s="3">
        <v>0</v>
      </c>
      <c r="Z103" s="220">
        <v>7.5818300000000003E-3</v>
      </c>
      <c r="AA103">
        <v>0</v>
      </c>
      <c r="AB103">
        <v>0</v>
      </c>
      <c r="AC103">
        <v>0</v>
      </c>
      <c r="AD103" s="138">
        <v>1.0350440000000001E-2</v>
      </c>
      <c r="AE103">
        <v>0</v>
      </c>
      <c r="AF103" s="138">
        <v>2.9409560000000001E-4</v>
      </c>
      <c r="AG103">
        <v>0</v>
      </c>
      <c r="AH103" s="138">
        <v>1.9923060000000001E-3</v>
      </c>
      <c r="AI103">
        <v>0</v>
      </c>
      <c r="AJ103">
        <v>0</v>
      </c>
      <c r="AK103">
        <v>0</v>
      </c>
      <c r="AL103" s="138">
        <v>2.1280809999999999E-4</v>
      </c>
      <c r="AM103">
        <v>0</v>
      </c>
      <c r="AN103" s="138">
        <v>2.4248199999999998E-3</v>
      </c>
      <c r="AO103">
        <v>0.37755549999999999</v>
      </c>
      <c r="AP103">
        <v>0</v>
      </c>
      <c r="AQ103" s="138">
        <v>8.1434720000000002E-2</v>
      </c>
      <c r="AR103" s="138">
        <v>7.4488949999999998E-2</v>
      </c>
      <c r="AS103">
        <v>0.191964</v>
      </c>
      <c r="AT103">
        <v>0.15501409999999999</v>
      </c>
      <c r="AU103" s="138">
        <v>1.509603E-2</v>
      </c>
      <c r="AV103" s="138">
        <v>3.9716179999999999E-4</v>
      </c>
      <c r="AW103">
        <v>0</v>
      </c>
      <c r="AX103" s="138">
        <v>9.0144599999999996E-8</v>
      </c>
      <c r="AY103">
        <v>0</v>
      </c>
      <c r="AZ103" s="138">
        <v>4.3333349999999998E-3</v>
      </c>
      <c r="BA103">
        <v>0</v>
      </c>
      <c r="BB103" s="138">
        <v>1.8351409999999999E-5</v>
      </c>
      <c r="BC103" s="138">
        <v>5.2578180000000002E-2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 s="138">
        <v>4.1143920000000003E-14</v>
      </c>
      <c r="BM103">
        <v>0</v>
      </c>
      <c r="BN103" s="138">
        <v>3.4843759999999997E-5</v>
      </c>
      <c r="BO103">
        <v>0</v>
      </c>
      <c r="BP103">
        <v>0</v>
      </c>
      <c r="BQ103" s="138">
        <v>9.9292599999999999E-5</v>
      </c>
      <c r="BR103" s="138">
        <v>1.185256E-2</v>
      </c>
      <c r="BS103" s="138">
        <v>3.9360540000000002E-4</v>
      </c>
      <c r="BT103">
        <v>0</v>
      </c>
      <c r="BU103">
        <v>0</v>
      </c>
      <c r="BV103">
        <v>0.4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0.3</v>
      </c>
      <c r="CH103">
        <v>0.18</v>
      </c>
      <c r="CI103">
        <v>0.25</v>
      </c>
      <c r="CJ103">
        <v>0.1</v>
      </c>
      <c r="CK103">
        <v>0.1</v>
      </c>
      <c r="CL103">
        <v>0.91</v>
      </c>
      <c r="CM103">
        <v>0</v>
      </c>
      <c r="CN103">
        <v>0</v>
      </c>
      <c r="CO103">
        <v>0.2</v>
      </c>
      <c r="CP103">
        <v>0.25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 s="212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 s="204">
        <v>0</v>
      </c>
      <c r="DN103" s="204">
        <v>0</v>
      </c>
      <c r="DO103" s="204">
        <v>0</v>
      </c>
      <c r="DP103" s="204">
        <v>0</v>
      </c>
      <c r="DQ103" s="204">
        <v>0</v>
      </c>
      <c r="DR103" s="204">
        <v>0</v>
      </c>
      <c r="DS103" s="204">
        <v>0</v>
      </c>
      <c r="DT103" s="204">
        <v>0</v>
      </c>
    </row>
    <row r="104" spans="1:124" x14ac:dyDescent="0.15">
      <c r="A104" s="156" t="s">
        <v>323</v>
      </c>
      <c r="B104">
        <v>0</v>
      </c>
      <c r="C104">
        <v>0</v>
      </c>
      <c r="D104">
        <v>0</v>
      </c>
      <c r="E104">
        <v>0</v>
      </c>
      <c r="F104" s="138">
        <v>6.3922229999999998E-3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s="138">
        <v>4.7334400000000002E-3</v>
      </c>
      <c r="P104" s="138">
        <v>4.7147049999999996E-3</v>
      </c>
      <c r="Q104">
        <v>0</v>
      </c>
      <c r="R104">
        <v>0</v>
      </c>
      <c r="S104">
        <v>0</v>
      </c>
      <c r="T104" s="138">
        <v>5.9481969999999997E-3</v>
      </c>
      <c r="U104" s="138">
        <v>1.1212220000000001E-3</v>
      </c>
      <c r="V104">
        <v>0</v>
      </c>
      <c r="W104" s="138">
        <v>1.278424E-4</v>
      </c>
      <c r="X104" s="138">
        <v>1.7897939999999999E-3</v>
      </c>
      <c r="Y104" s="3">
        <v>0</v>
      </c>
      <c r="Z104" s="220">
        <v>2.0454789999999998E-3</v>
      </c>
      <c r="AA104">
        <v>0</v>
      </c>
      <c r="AB104">
        <v>0</v>
      </c>
      <c r="AC104">
        <v>0</v>
      </c>
      <c r="AD104" s="138">
        <v>2.7924149999999999E-3</v>
      </c>
      <c r="AE104" s="138">
        <v>2.079507E-3</v>
      </c>
      <c r="AF104" s="138">
        <v>4.5808410000000004E-3</v>
      </c>
      <c r="AG104">
        <v>2.2255799999999999E-2</v>
      </c>
      <c r="AH104" s="138">
        <v>5.4345190000000002E-2</v>
      </c>
      <c r="AI104">
        <v>0</v>
      </c>
      <c r="AJ104" s="138">
        <v>4.1405240000000001E-4</v>
      </c>
      <c r="AK104">
        <v>0</v>
      </c>
      <c r="AL104" s="138">
        <v>1.179257E-3</v>
      </c>
      <c r="AM104">
        <v>0</v>
      </c>
      <c r="AN104" s="138">
        <v>1.714159E-3</v>
      </c>
      <c r="AO104">
        <v>0.2052147</v>
      </c>
      <c r="AP104" s="138">
        <v>3.0087799999999997E-4</v>
      </c>
      <c r="AQ104" s="138">
        <v>6.0575539999999997E-3</v>
      </c>
      <c r="AR104">
        <v>0.5373192</v>
      </c>
      <c r="AS104">
        <v>0.25837789999999999</v>
      </c>
      <c r="AT104">
        <v>0.58409690000000003</v>
      </c>
      <c r="AU104">
        <v>0.30407879999999998</v>
      </c>
      <c r="AV104">
        <v>0.52640469999999995</v>
      </c>
      <c r="AW104" s="138">
        <v>2.7130499999999998E-3</v>
      </c>
      <c r="AX104" s="138">
        <v>8.3368390000000004E-3</v>
      </c>
      <c r="AY104">
        <v>0</v>
      </c>
      <c r="AZ104">
        <v>0</v>
      </c>
      <c r="BA104" s="138">
        <v>2.0919130000000001E-2</v>
      </c>
      <c r="BB104" s="138">
        <v>9.6757679999999995E-3</v>
      </c>
      <c r="BC104">
        <v>0.23866989999999999</v>
      </c>
      <c r="BD104" s="138">
        <v>6.2437769999999998E-11</v>
      </c>
      <c r="BE104">
        <v>0</v>
      </c>
      <c r="BF104">
        <v>0</v>
      </c>
      <c r="BG104">
        <v>0</v>
      </c>
      <c r="BH104">
        <v>0</v>
      </c>
      <c r="BI104">
        <v>0</v>
      </c>
      <c r="BJ104" s="138">
        <v>2.4535209999999998E-6</v>
      </c>
      <c r="BK104">
        <v>0</v>
      </c>
      <c r="BL104" s="138">
        <v>5.7141880000000001E-10</v>
      </c>
      <c r="BM104" s="138">
        <v>6.8073419999999996E-2</v>
      </c>
      <c r="BN104" s="138">
        <v>2.3806509999999999E-2</v>
      </c>
      <c r="BO104">
        <v>0</v>
      </c>
      <c r="BP104">
        <v>0</v>
      </c>
      <c r="BQ104" s="138">
        <v>7.853142E-5</v>
      </c>
      <c r="BR104" s="138">
        <v>7.0787180000000005E-2</v>
      </c>
      <c r="BS104">
        <v>0.10978</v>
      </c>
      <c r="BT104" s="138">
        <v>2.5502070000000002E-2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0.49</v>
      </c>
      <c r="CH104">
        <v>0.15</v>
      </c>
      <c r="CI104">
        <v>0.2500001</v>
      </c>
      <c r="CJ104">
        <v>0</v>
      </c>
      <c r="CK104">
        <v>0</v>
      </c>
      <c r="CL104">
        <v>0.02</v>
      </c>
      <c r="CM104">
        <v>0</v>
      </c>
      <c r="CN104">
        <v>0</v>
      </c>
      <c r="CO104">
        <v>0.2</v>
      </c>
      <c r="CP104">
        <v>0.25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 s="212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 s="204">
        <v>0</v>
      </c>
      <c r="DN104" s="204">
        <v>0</v>
      </c>
      <c r="DO104" s="204">
        <v>0</v>
      </c>
      <c r="DP104" s="204">
        <v>0</v>
      </c>
      <c r="DQ104" s="204">
        <v>0</v>
      </c>
      <c r="DR104" s="204">
        <v>0</v>
      </c>
      <c r="DS104" s="204">
        <v>0</v>
      </c>
      <c r="DT104" s="204">
        <v>0</v>
      </c>
    </row>
    <row r="105" spans="1:124" x14ac:dyDescent="0.15">
      <c r="A105" s="156" t="s">
        <v>324</v>
      </c>
      <c r="B105">
        <v>0</v>
      </c>
      <c r="C105">
        <v>0</v>
      </c>
      <c r="D105">
        <v>0</v>
      </c>
      <c r="E105">
        <v>0</v>
      </c>
      <c r="F105" s="138">
        <v>6.2549809999999997E-3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s="138">
        <v>5.8204880000000004E-3</v>
      </c>
      <c r="U105" s="138">
        <v>1.097149E-3</v>
      </c>
      <c r="V105">
        <v>0</v>
      </c>
      <c r="W105" s="138">
        <v>1.250976E-4</v>
      </c>
      <c r="X105" s="138">
        <v>1.751367E-3</v>
      </c>
      <c r="Y105" s="3">
        <v>0</v>
      </c>
      <c r="Z105" s="220">
        <v>2.001563E-3</v>
      </c>
      <c r="AA105">
        <v>0</v>
      </c>
      <c r="AB105">
        <v>0</v>
      </c>
      <c r="AC105">
        <v>0</v>
      </c>
      <c r="AD105">
        <v>1.2200000000000001E-2</v>
      </c>
      <c r="AE105">
        <v>0</v>
      </c>
      <c r="AF105" s="138">
        <v>8.3944199999999995E-5</v>
      </c>
      <c r="AG105">
        <v>0</v>
      </c>
      <c r="AH105" s="138">
        <v>5.6765059999999996E-3</v>
      </c>
      <c r="AI105">
        <v>0</v>
      </c>
      <c r="AJ105">
        <v>0</v>
      </c>
      <c r="AK105">
        <v>0</v>
      </c>
      <c r="AL105" s="138">
        <v>8.7284410000000004E-4</v>
      </c>
      <c r="AM105">
        <v>0</v>
      </c>
      <c r="AN105" s="138">
        <v>6.2339309999999995E-5</v>
      </c>
      <c r="AO105">
        <v>0</v>
      </c>
      <c r="AP105">
        <v>0</v>
      </c>
      <c r="AQ105" s="138">
        <v>1.3242149999999999E-2</v>
      </c>
      <c r="AR105" s="138">
        <v>2.6083760000000001E-2</v>
      </c>
      <c r="AS105">
        <v>1.29724E-2</v>
      </c>
      <c r="AT105">
        <v>0.1231583</v>
      </c>
      <c r="AU105">
        <v>0.1508043</v>
      </c>
      <c r="AV105" s="138">
        <v>4.2835940000000003E-2</v>
      </c>
      <c r="AW105">
        <v>0</v>
      </c>
      <c r="AX105" s="138">
        <v>9.2866439999999995E-2</v>
      </c>
      <c r="AY105">
        <v>0</v>
      </c>
      <c r="AZ105">
        <v>0</v>
      </c>
      <c r="BA105">
        <v>0</v>
      </c>
      <c r="BB105" s="138">
        <v>1.9626720000000001E-4</v>
      </c>
      <c r="BC105">
        <v>2.3659099999999999E-2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 s="138">
        <v>1.9246429999999998E-2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0.02</v>
      </c>
      <c r="CI105">
        <v>0.2499999</v>
      </c>
      <c r="CJ105">
        <v>0</v>
      </c>
      <c r="CK105">
        <v>0</v>
      </c>
      <c r="CL105">
        <v>0.01</v>
      </c>
      <c r="CM105">
        <v>0</v>
      </c>
      <c r="CN105">
        <v>0</v>
      </c>
      <c r="CO105">
        <v>0.2</v>
      </c>
      <c r="CP105">
        <v>0.25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 s="212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 s="204">
        <v>0</v>
      </c>
      <c r="DN105" s="204">
        <v>0</v>
      </c>
      <c r="DO105" s="204">
        <v>0</v>
      </c>
      <c r="DP105" s="204">
        <v>0</v>
      </c>
      <c r="DQ105" s="204">
        <v>0</v>
      </c>
      <c r="DR105" s="204">
        <v>0</v>
      </c>
      <c r="DS105" s="204">
        <v>0</v>
      </c>
      <c r="DT105" s="204">
        <v>0</v>
      </c>
    </row>
    <row r="106" spans="1:124" x14ac:dyDescent="0.15">
      <c r="A106" s="156" t="s">
        <v>325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s="3">
        <v>0</v>
      </c>
      <c r="Z106" s="3">
        <v>0</v>
      </c>
      <c r="AA106">
        <v>0</v>
      </c>
      <c r="AB106">
        <v>0</v>
      </c>
      <c r="AC106">
        <v>0</v>
      </c>
      <c r="AD106">
        <v>1.15E-2</v>
      </c>
      <c r="AE106">
        <v>0</v>
      </c>
      <c r="AF106" s="138">
        <v>3.3932369999999999E-6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 s="138">
        <v>5.277005E-6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 s="138">
        <v>2.9576270000000002E-2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 s="138">
        <v>1.226761E-5</v>
      </c>
      <c r="BK106">
        <v>0</v>
      </c>
      <c r="BL106">
        <v>0</v>
      </c>
      <c r="BM106">
        <v>0</v>
      </c>
      <c r="BN106">
        <v>0</v>
      </c>
      <c r="BO106" s="138">
        <v>7.8450359999999997E-2</v>
      </c>
      <c r="BP106">
        <v>0</v>
      </c>
      <c r="BQ106" s="138">
        <v>3.4301079999999999E-4</v>
      </c>
      <c r="BR106">
        <v>0</v>
      </c>
      <c r="BS106" s="138">
        <v>7.5071200000000002E-6</v>
      </c>
      <c r="BT106">
        <v>0</v>
      </c>
      <c r="BU106" s="138">
        <v>3.6637029999999997E-5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 s="212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 s="204">
        <v>0</v>
      </c>
      <c r="DN106" s="204">
        <v>0</v>
      </c>
      <c r="DO106" s="204">
        <v>0</v>
      </c>
      <c r="DP106" s="204">
        <v>0</v>
      </c>
      <c r="DQ106" s="204">
        <v>0</v>
      </c>
      <c r="DR106" s="204">
        <v>0</v>
      </c>
      <c r="DS106" s="204">
        <v>0</v>
      </c>
      <c r="DT106" s="204">
        <v>0</v>
      </c>
    </row>
    <row r="107" spans="1:124" x14ac:dyDescent="0.15">
      <c r="A107" s="156" t="s">
        <v>326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3">
        <v>0</v>
      </c>
      <c r="Z107" s="3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 s="138">
        <v>3.3928689999999999E-5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 s="138">
        <v>2.7644659999999999E-6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 s="3">
        <v>0.05</v>
      </c>
      <c r="DC107" s="212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 s="204">
        <v>0</v>
      </c>
      <c r="DN107" s="204">
        <v>0</v>
      </c>
      <c r="DO107" s="204">
        <v>0</v>
      </c>
      <c r="DP107" s="204">
        <v>0</v>
      </c>
      <c r="DQ107" s="204">
        <v>0</v>
      </c>
      <c r="DR107" s="204">
        <v>0</v>
      </c>
      <c r="DS107" s="204">
        <v>0</v>
      </c>
      <c r="DT107" s="204">
        <v>0</v>
      </c>
    </row>
    <row r="108" spans="1:124" x14ac:dyDescent="0.15">
      <c r="A108" s="156" t="s">
        <v>327</v>
      </c>
      <c r="B108">
        <v>0</v>
      </c>
      <c r="C108">
        <v>0</v>
      </c>
      <c r="D108">
        <v>0</v>
      </c>
      <c r="E108">
        <v>0</v>
      </c>
      <c r="F108">
        <v>0</v>
      </c>
      <c r="G108" s="138">
        <v>1.6129549999999999E-2</v>
      </c>
      <c r="H108" s="138">
        <v>1.6290849999999999E-2</v>
      </c>
      <c r="I108" s="138">
        <v>1.3575709999999999E-3</v>
      </c>
      <c r="J108" s="138">
        <v>1.3575709999999999E-3</v>
      </c>
      <c r="K108" s="138">
        <v>1.086056E-2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s="3">
        <v>0</v>
      </c>
      <c r="Z108" s="3">
        <v>0</v>
      </c>
      <c r="AA108">
        <v>0</v>
      </c>
      <c r="AB108">
        <v>0</v>
      </c>
      <c r="AC108">
        <v>0</v>
      </c>
      <c r="AD108" s="138">
        <v>2.3171979999999999E-3</v>
      </c>
      <c r="AE108" s="138">
        <v>4.0956739999999997E-3</v>
      </c>
      <c r="AF108" s="138">
        <v>3.8067940000000001E-4</v>
      </c>
      <c r="AG108">
        <v>0</v>
      </c>
      <c r="AH108">
        <v>0</v>
      </c>
      <c r="AI108">
        <v>0</v>
      </c>
      <c r="AJ108">
        <v>0</v>
      </c>
      <c r="AK108">
        <v>0</v>
      </c>
      <c r="AL108" s="138">
        <v>3.5716519999999997E-5</v>
      </c>
      <c r="AM108">
        <v>0</v>
      </c>
      <c r="AN108">
        <v>0</v>
      </c>
      <c r="AO108">
        <v>0</v>
      </c>
      <c r="AP108" s="138">
        <v>1.5043899999999999E-4</v>
      </c>
      <c r="AQ108">
        <v>0</v>
      </c>
      <c r="AR108">
        <v>0</v>
      </c>
      <c r="AS108" s="138">
        <v>1.157719E-3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 s="138">
        <v>6.4308730000000002E-7</v>
      </c>
      <c r="BC108">
        <v>0</v>
      </c>
      <c r="BD108">
        <v>0</v>
      </c>
      <c r="BE108">
        <v>0</v>
      </c>
      <c r="BF108">
        <v>0</v>
      </c>
      <c r="BG108" s="138">
        <v>3.4285549999999998E-2</v>
      </c>
      <c r="BH108" s="138">
        <v>2.2176709999999999E-2</v>
      </c>
      <c r="BI108" s="138">
        <v>1.3198660000000001E-3</v>
      </c>
      <c r="BJ108">
        <v>0.152889</v>
      </c>
      <c r="BK108">
        <v>0</v>
      </c>
      <c r="BL108" s="138">
        <v>1.6732730000000001E-9</v>
      </c>
      <c r="BM108" s="138">
        <v>3.0823939999999997E-5</v>
      </c>
      <c r="BN108" s="138">
        <v>1.481328E-5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2.5000000000000001E-2</v>
      </c>
      <c r="BX108">
        <v>0.2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 s="212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 s="204">
        <v>0</v>
      </c>
      <c r="DN108" s="204">
        <v>0</v>
      </c>
      <c r="DO108" s="204">
        <v>0</v>
      </c>
      <c r="DP108" s="204">
        <v>0</v>
      </c>
      <c r="DQ108" s="204">
        <v>0</v>
      </c>
      <c r="DR108" s="204">
        <v>0</v>
      </c>
      <c r="DS108" s="204">
        <v>0</v>
      </c>
      <c r="DT108" s="204">
        <v>0</v>
      </c>
    </row>
    <row r="109" spans="1:124" x14ac:dyDescent="0.15">
      <c r="A109" s="156" t="s">
        <v>328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0.51516320000000004</v>
      </c>
      <c r="H109">
        <v>0.52031490000000002</v>
      </c>
      <c r="I109" s="138">
        <v>4.335957E-2</v>
      </c>
      <c r="J109" s="138">
        <v>4.335957E-2</v>
      </c>
      <c r="K109">
        <v>0.34687659999999998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138">
        <v>8.1924649999999995E-3</v>
      </c>
      <c r="S109" s="138">
        <v>5.2430459999999998E-2</v>
      </c>
      <c r="T109" s="138">
        <v>3.7836759999999997E-2</v>
      </c>
      <c r="U109">
        <v>0.42926950000000003</v>
      </c>
      <c r="V109" s="138">
        <v>3.211601E-2</v>
      </c>
      <c r="W109" s="138">
        <v>1.592731E-2</v>
      </c>
      <c r="X109">
        <v>0.14773159999999999</v>
      </c>
      <c r="Y109" s="3">
        <v>1.20357E-2</v>
      </c>
      <c r="Z109" s="220">
        <v>4.1549500000000001E-3</v>
      </c>
      <c r="AA109">
        <v>0</v>
      </c>
      <c r="AB109">
        <v>0</v>
      </c>
      <c r="AC109">
        <v>0</v>
      </c>
      <c r="AD109">
        <v>0.12870000000000001</v>
      </c>
      <c r="AE109">
        <v>0.3982426</v>
      </c>
      <c r="AF109">
        <v>0.46776489999999998</v>
      </c>
      <c r="AG109" s="138">
        <v>1.7680029999999999E-2</v>
      </c>
      <c r="AH109" s="138">
        <v>2.6667989999999999E-2</v>
      </c>
      <c r="AI109">
        <v>0.8785541</v>
      </c>
      <c r="AJ109">
        <v>0.95662190000000002</v>
      </c>
      <c r="AK109">
        <v>0.2133129</v>
      </c>
      <c r="AL109">
        <v>0.17257629999999999</v>
      </c>
      <c r="AM109" s="138">
        <v>1.6627619999999999E-3</v>
      </c>
      <c r="AN109" s="138">
        <v>6.9221430000000004E-3</v>
      </c>
      <c r="AO109">
        <v>0</v>
      </c>
      <c r="AP109">
        <v>0.1856997</v>
      </c>
      <c r="AQ109" s="138">
        <v>2.0133359999999999E-2</v>
      </c>
      <c r="AR109">
        <v>0</v>
      </c>
      <c r="AS109">
        <v>0</v>
      </c>
      <c r="AT109" s="138">
        <v>1.1299579999999999E-3</v>
      </c>
      <c r="AU109" s="138">
        <v>6.6491019999999998E-2</v>
      </c>
      <c r="AV109">
        <v>0.29391329999999999</v>
      </c>
      <c r="AW109">
        <v>0</v>
      </c>
      <c r="AX109">
        <v>0</v>
      </c>
      <c r="AY109">
        <v>0</v>
      </c>
      <c r="AZ109">
        <v>0</v>
      </c>
      <c r="BA109">
        <v>0.30671320000000002</v>
      </c>
      <c r="BB109">
        <v>0.1225552</v>
      </c>
      <c r="BC109" s="138">
        <v>1.824602E-4</v>
      </c>
      <c r="BD109">
        <v>0</v>
      </c>
      <c r="BE109">
        <v>0</v>
      </c>
      <c r="BF109">
        <v>1</v>
      </c>
      <c r="BG109">
        <v>0.83985989999999999</v>
      </c>
      <c r="BH109">
        <v>0.26155119999999998</v>
      </c>
      <c r="BI109">
        <v>0.93930809999999998</v>
      </c>
      <c r="BJ109" s="138">
        <v>8.7062959999999995E-2</v>
      </c>
      <c r="BK109" s="138">
        <v>4.320332E-6</v>
      </c>
      <c r="BL109" s="138">
        <v>5.4160700000000003E-9</v>
      </c>
      <c r="BM109">
        <v>0.1214152</v>
      </c>
      <c r="BN109" s="138">
        <v>2.7056870000000002E-4</v>
      </c>
      <c r="BO109">
        <v>0.1561775</v>
      </c>
      <c r="BP109">
        <v>0.9</v>
      </c>
      <c r="BQ109">
        <v>0.84781320000000004</v>
      </c>
      <c r="BR109">
        <v>0</v>
      </c>
      <c r="BS109" s="138">
        <v>9.5953700000000006E-3</v>
      </c>
      <c r="BT109">
        <v>0</v>
      </c>
      <c r="BU109">
        <v>0</v>
      </c>
      <c r="BV109">
        <v>0</v>
      </c>
      <c r="BW109">
        <v>0.42</v>
      </c>
      <c r="BX109">
        <v>0.2</v>
      </c>
      <c r="BY109">
        <v>0.25</v>
      </c>
      <c r="BZ109">
        <v>0.9</v>
      </c>
      <c r="CA109">
        <v>0.9</v>
      </c>
      <c r="CB109">
        <v>0.9</v>
      </c>
      <c r="CC109">
        <v>0.9</v>
      </c>
      <c r="CD109">
        <v>0.9</v>
      </c>
      <c r="CE109">
        <v>0.9</v>
      </c>
      <c r="CF109">
        <v>0.9</v>
      </c>
      <c r="CG109">
        <v>0</v>
      </c>
      <c r="CH109">
        <v>0</v>
      </c>
      <c r="CI109">
        <v>0</v>
      </c>
      <c r="CJ109">
        <v>0.2</v>
      </c>
      <c r="CK109">
        <v>0.2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0.64</v>
      </c>
      <c r="DC109">
        <v>0</v>
      </c>
      <c r="DD109">
        <v>0.05</v>
      </c>
      <c r="DE109" s="212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 s="204">
        <v>0</v>
      </c>
      <c r="DN109" s="204">
        <v>0</v>
      </c>
      <c r="DO109" s="204">
        <v>0</v>
      </c>
      <c r="DP109" s="204">
        <v>0</v>
      </c>
      <c r="DQ109" s="204">
        <v>0</v>
      </c>
      <c r="DR109" s="204">
        <v>0</v>
      </c>
      <c r="DS109" s="204">
        <v>0</v>
      </c>
      <c r="DT109" s="204">
        <v>0</v>
      </c>
    </row>
    <row r="110" spans="1:124" x14ac:dyDescent="0.15">
      <c r="A110" s="156" t="s">
        <v>329</v>
      </c>
      <c r="B110">
        <v>0</v>
      </c>
      <c r="C110">
        <v>0</v>
      </c>
      <c r="D110">
        <v>0</v>
      </c>
      <c r="E110">
        <v>0</v>
      </c>
      <c r="F110">
        <v>0</v>
      </c>
      <c r="G110" s="138">
        <v>1.425013E-2</v>
      </c>
      <c r="H110" s="138">
        <v>1.439263E-2</v>
      </c>
      <c r="I110" s="138">
        <v>1.199386E-3</v>
      </c>
      <c r="J110" s="138">
        <v>1.199386E-3</v>
      </c>
      <c r="K110" s="138">
        <v>9.5950900000000006E-3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1.4503000000000001E-3</v>
      </c>
      <c r="T110" s="138">
        <v>1.0466169999999999E-3</v>
      </c>
      <c r="U110" s="138">
        <v>1.187419E-2</v>
      </c>
      <c r="V110" s="138">
        <v>8.8837330000000002E-4</v>
      </c>
      <c r="W110" s="138">
        <v>4.4057150000000002E-4</v>
      </c>
      <c r="X110" s="138">
        <v>4.0864610000000004E-3</v>
      </c>
      <c r="Y110" s="3">
        <v>0</v>
      </c>
      <c r="Z110" s="220">
        <v>1.149318E-4</v>
      </c>
      <c r="AA110">
        <v>0</v>
      </c>
      <c r="AB110">
        <v>0</v>
      </c>
      <c r="AC110">
        <v>0</v>
      </c>
      <c r="AD110" s="138">
        <v>2.0471970000000002E-3</v>
      </c>
      <c r="AE110" s="138">
        <v>2.218726E-2</v>
      </c>
      <c r="AF110" s="138">
        <v>3.5188009999999999E-2</v>
      </c>
      <c r="AG110">
        <v>0.2545114</v>
      </c>
      <c r="AH110" s="138">
        <v>6.6026810000000002E-4</v>
      </c>
      <c r="AI110">
        <v>0</v>
      </c>
      <c r="AJ110">
        <v>0</v>
      </c>
      <c r="AK110">
        <v>0</v>
      </c>
      <c r="AL110" s="138">
        <v>4.8671789999999999E-4</v>
      </c>
      <c r="AM110" s="138">
        <v>1.183142E-2</v>
      </c>
      <c r="AN110" s="138">
        <v>4.6935019999999999E-7</v>
      </c>
      <c r="AO110">
        <v>0</v>
      </c>
      <c r="AP110">
        <v>0.39071050000000002</v>
      </c>
      <c r="AQ110" s="138">
        <v>1.045957E-2</v>
      </c>
      <c r="AR110" s="138">
        <v>1.476439E-3</v>
      </c>
      <c r="AS110">
        <v>0</v>
      </c>
      <c r="AT110" s="138">
        <v>2.1387880000000001E-5</v>
      </c>
      <c r="AU110">
        <v>0</v>
      </c>
      <c r="AV110" s="138">
        <v>1.140962E-4</v>
      </c>
      <c r="AW110">
        <v>0</v>
      </c>
      <c r="AX110" s="138">
        <v>2.7097699999999998E-7</v>
      </c>
      <c r="AY110">
        <v>0</v>
      </c>
      <c r="AZ110" s="138">
        <v>9.5000020000000004E-3</v>
      </c>
      <c r="BA110">
        <v>0</v>
      </c>
      <c r="BB110" s="138">
        <v>1.2210540000000001E-3</v>
      </c>
      <c r="BC110" s="138">
        <v>8.4290039999999997E-5</v>
      </c>
      <c r="BD110">
        <v>0</v>
      </c>
      <c r="BE110">
        <v>0</v>
      </c>
      <c r="BF110">
        <v>0</v>
      </c>
      <c r="BG110" s="138">
        <v>4.8667290000000002E-3</v>
      </c>
      <c r="BH110">
        <v>0</v>
      </c>
      <c r="BI110">
        <v>0</v>
      </c>
      <c r="BJ110" s="138">
        <v>4.586527E-3</v>
      </c>
      <c r="BK110" s="138">
        <v>2.8360860000000001E-4</v>
      </c>
      <c r="BL110" s="138">
        <v>2.3016009999999999E-6</v>
      </c>
      <c r="BM110">
        <v>0.18371319999999999</v>
      </c>
      <c r="BN110" s="138">
        <v>6.0063949999999998E-2</v>
      </c>
      <c r="BO110">
        <v>0</v>
      </c>
      <c r="BP110">
        <v>0</v>
      </c>
      <c r="BQ110">
        <v>0</v>
      </c>
      <c r="BR110" s="138">
        <v>4.3267590000000002E-2</v>
      </c>
      <c r="BS110" s="138">
        <v>7.6020740000000003E-2</v>
      </c>
      <c r="BT110" s="138">
        <v>3.085179E-3</v>
      </c>
      <c r="BU110" s="138">
        <v>1.5519430000000001E-3</v>
      </c>
      <c r="BV110">
        <v>0</v>
      </c>
      <c r="BW110">
        <v>2.5000000000000001E-2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0.05</v>
      </c>
      <c r="DE110">
        <v>0</v>
      </c>
      <c r="DF110" s="212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 s="204">
        <v>0</v>
      </c>
      <c r="DN110" s="204">
        <v>0</v>
      </c>
      <c r="DO110" s="204">
        <v>0</v>
      </c>
      <c r="DP110" s="204">
        <v>0</v>
      </c>
      <c r="DQ110" s="204">
        <v>0</v>
      </c>
      <c r="DR110" s="204">
        <v>0</v>
      </c>
      <c r="DS110" s="204">
        <v>0</v>
      </c>
      <c r="DT110" s="204">
        <v>0</v>
      </c>
    </row>
    <row r="111" spans="1:124" x14ac:dyDescent="0.15">
      <c r="A111" s="156" t="s">
        <v>330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3.1521599999999997E-2</v>
      </c>
      <c r="H111" s="138">
        <v>3.1836820000000002E-2</v>
      </c>
      <c r="I111" s="138">
        <v>2.6530680000000002E-3</v>
      </c>
      <c r="J111" s="138">
        <v>2.6530680000000002E-3</v>
      </c>
      <c r="K111" s="138">
        <v>2.1224549999999998E-2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s="138">
        <v>3.2080949999999998E-3</v>
      </c>
      <c r="T111" s="138">
        <v>2.3151399999999998E-3</v>
      </c>
      <c r="U111" s="138">
        <v>2.626597E-2</v>
      </c>
      <c r="V111" s="138">
        <v>1.9651019999999998E-3</v>
      </c>
      <c r="W111" s="138">
        <v>9.7455380000000002E-4</v>
      </c>
      <c r="X111" s="138">
        <v>9.0393409999999993E-3</v>
      </c>
      <c r="Y111" s="3">
        <v>0</v>
      </c>
      <c r="Z111" s="220">
        <v>2.5423150000000001E-4</v>
      </c>
      <c r="AA111">
        <v>0</v>
      </c>
      <c r="AB111">
        <v>0</v>
      </c>
      <c r="AC111">
        <v>0</v>
      </c>
      <c r="AD111" s="138">
        <v>4.5284469999999997E-3</v>
      </c>
      <c r="AE111" s="138">
        <v>3.1234589999999999E-3</v>
      </c>
      <c r="AF111" s="138">
        <v>6.8401419999999996E-3</v>
      </c>
      <c r="AG111" s="138">
        <v>8.8490119999999996E-5</v>
      </c>
      <c r="AH111" s="138">
        <v>5.4474500000000002E-5</v>
      </c>
      <c r="AI111">
        <v>0</v>
      </c>
      <c r="AJ111" s="138">
        <v>4.2143120000000001E-4</v>
      </c>
      <c r="AK111" s="138">
        <v>3.396077E-6</v>
      </c>
      <c r="AL111" s="138">
        <v>1.9834490000000001E-5</v>
      </c>
      <c r="AM111">
        <v>0</v>
      </c>
      <c r="AN111" s="138">
        <v>2.3793649999999999E-8</v>
      </c>
      <c r="AO111">
        <v>0</v>
      </c>
      <c r="AP111">
        <v>0</v>
      </c>
      <c r="AQ111">
        <v>0</v>
      </c>
      <c r="AR111" s="138">
        <v>2.1050910000000001E-4</v>
      </c>
      <c r="AS111" s="138">
        <v>3.037246E-2</v>
      </c>
      <c r="AT111" s="138">
        <v>1.2531219999999999E-5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 s="138">
        <v>3.9008599999999999E-4</v>
      </c>
      <c r="BB111" s="138">
        <v>1.1379729999999999E-2</v>
      </c>
      <c r="BC111" s="138">
        <v>1.0795220000000001E-3</v>
      </c>
      <c r="BD111">
        <v>0</v>
      </c>
      <c r="BE111">
        <v>0</v>
      </c>
      <c r="BF111">
        <v>0</v>
      </c>
      <c r="BG111" s="138">
        <v>2.1772950000000001E-4</v>
      </c>
      <c r="BH111">
        <v>0</v>
      </c>
      <c r="BI111">
        <v>0</v>
      </c>
      <c r="BJ111">
        <v>0</v>
      </c>
      <c r="BK111" s="138">
        <v>8.6611460000000006E-5</v>
      </c>
      <c r="BL111" s="138">
        <v>3.9246579999999999E-8</v>
      </c>
      <c r="BM111">
        <v>0</v>
      </c>
      <c r="BN111">
        <v>0</v>
      </c>
      <c r="BO111">
        <v>0</v>
      </c>
      <c r="BP111">
        <v>0</v>
      </c>
      <c r="BQ111" s="138">
        <v>1.3925840000000001E-5</v>
      </c>
      <c r="BR111" s="138">
        <v>7.2453290000000004E-4</v>
      </c>
      <c r="BS111" s="138">
        <v>4.5672089999999999E-2</v>
      </c>
      <c r="BT111" s="138">
        <v>8.2859790000000006E-3</v>
      </c>
      <c r="BU111">
        <v>0</v>
      </c>
      <c r="BV111">
        <v>0</v>
      </c>
      <c r="BW111">
        <v>0.14000000000000001</v>
      </c>
      <c r="BX111">
        <v>0</v>
      </c>
      <c r="BY111">
        <v>0.25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0.05</v>
      </c>
      <c r="DE111">
        <v>0</v>
      </c>
      <c r="DF111">
        <v>0</v>
      </c>
      <c r="DG111" s="212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 s="204">
        <v>0</v>
      </c>
      <c r="DN111" s="204">
        <v>0</v>
      </c>
      <c r="DO111" s="204">
        <v>0</v>
      </c>
      <c r="DP111" s="204">
        <v>0</v>
      </c>
      <c r="DQ111" s="204">
        <v>0</v>
      </c>
      <c r="DR111" s="204">
        <v>0</v>
      </c>
      <c r="DS111" s="204">
        <v>0</v>
      </c>
      <c r="DT111" s="204">
        <v>0</v>
      </c>
    </row>
    <row r="112" spans="1:124" x14ac:dyDescent="0.15">
      <c r="A112" s="156" t="s">
        <v>331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3">
        <v>0</v>
      </c>
      <c r="Z112" s="3">
        <v>0</v>
      </c>
      <c r="AA112">
        <v>0</v>
      </c>
      <c r="AB112">
        <v>0</v>
      </c>
      <c r="AC112">
        <v>0</v>
      </c>
      <c r="AD112">
        <v>2.2599999999999999E-2</v>
      </c>
      <c r="AE112" s="138">
        <v>7.4280970000000002E-2</v>
      </c>
      <c r="AF112" s="138">
        <v>6.0749979999999999E-3</v>
      </c>
      <c r="AG112">
        <v>0</v>
      </c>
      <c r="AH112" s="138">
        <v>5.6558019999999995E-4</v>
      </c>
      <c r="AI112">
        <v>0</v>
      </c>
      <c r="AJ112">
        <v>0</v>
      </c>
      <c r="AK112">
        <v>0</v>
      </c>
      <c r="AL112" s="138">
        <v>3.7437110000000002E-8</v>
      </c>
      <c r="AM112">
        <v>0</v>
      </c>
      <c r="AN112" s="138">
        <v>2.0715310000000002E-6</v>
      </c>
      <c r="AO112">
        <v>0</v>
      </c>
      <c r="AP112">
        <v>0</v>
      </c>
      <c r="AQ112">
        <v>0</v>
      </c>
      <c r="AR112">
        <v>0</v>
      </c>
      <c r="AS112">
        <v>0</v>
      </c>
      <c r="AT112" s="138">
        <v>3.9645760000000003E-5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0.12500169999999999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0.1127995</v>
      </c>
      <c r="BK112">
        <v>0</v>
      </c>
      <c r="BL112">
        <v>0</v>
      </c>
      <c r="BM112">
        <v>0</v>
      </c>
      <c r="BN112" s="138">
        <v>2.668193E-4</v>
      </c>
      <c r="BO112">
        <v>0</v>
      </c>
      <c r="BP112">
        <v>0</v>
      </c>
      <c r="BQ112" s="138">
        <v>2.178128E-2</v>
      </c>
      <c r="BR112">
        <v>0</v>
      </c>
      <c r="BS112" s="138">
        <v>2.479862E-2</v>
      </c>
      <c r="BT112">
        <v>0</v>
      </c>
      <c r="BU112">
        <v>0.92969109999999999</v>
      </c>
      <c r="BV112">
        <v>0</v>
      </c>
      <c r="BW112">
        <v>0.04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0.05</v>
      </c>
      <c r="DC112">
        <v>0</v>
      </c>
      <c r="DD112">
        <v>0.05</v>
      </c>
      <c r="DE112">
        <v>0</v>
      </c>
      <c r="DF112">
        <v>0</v>
      </c>
      <c r="DG112">
        <v>0</v>
      </c>
      <c r="DH112" s="212">
        <v>0</v>
      </c>
      <c r="DI112">
        <v>0</v>
      </c>
      <c r="DJ112">
        <v>0</v>
      </c>
      <c r="DK112">
        <v>0</v>
      </c>
      <c r="DL112">
        <v>0</v>
      </c>
      <c r="DM112" s="204">
        <v>0</v>
      </c>
      <c r="DN112" s="204">
        <v>0</v>
      </c>
      <c r="DO112" s="204">
        <v>0</v>
      </c>
      <c r="DP112" s="204">
        <v>0</v>
      </c>
      <c r="DQ112" s="204">
        <v>0</v>
      </c>
      <c r="DR112" s="204">
        <v>0</v>
      </c>
      <c r="DS112" s="204">
        <v>0</v>
      </c>
      <c r="DT112" s="204">
        <v>0</v>
      </c>
    </row>
    <row r="113" spans="1:124" x14ac:dyDescent="0.15">
      <c r="A113" s="156" t="s">
        <v>332</v>
      </c>
      <c r="B113">
        <v>0</v>
      </c>
      <c r="C113">
        <v>0</v>
      </c>
      <c r="D113">
        <v>0</v>
      </c>
      <c r="E113">
        <v>0</v>
      </c>
      <c r="F113">
        <v>0</v>
      </c>
      <c r="G113" s="138">
        <v>1.6994909999999998E-2</v>
      </c>
      <c r="H113" s="138">
        <v>1.7164860000000001E-2</v>
      </c>
      <c r="I113" s="138">
        <v>1.430405E-3</v>
      </c>
      <c r="J113" s="138">
        <v>1.430405E-3</v>
      </c>
      <c r="K113" s="138">
        <v>1.144324E-2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s="3">
        <v>0</v>
      </c>
      <c r="Z113" s="3">
        <v>0</v>
      </c>
      <c r="AA113">
        <v>0</v>
      </c>
      <c r="AB113">
        <v>0</v>
      </c>
      <c r="AC113">
        <v>0</v>
      </c>
      <c r="AD113" s="138">
        <v>2.4415159999999999E-3</v>
      </c>
      <c r="AE113" s="138">
        <v>5.521985E-5</v>
      </c>
      <c r="AF113" s="138">
        <v>2.151797E-3</v>
      </c>
      <c r="AG113">
        <v>0</v>
      </c>
      <c r="AH113" s="138">
        <v>2.7459770000000001E-6</v>
      </c>
      <c r="AI113">
        <v>0</v>
      </c>
      <c r="AJ113">
        <v>0</v>
      </c>
      <c r="AK113">
        <v>0</v>
      </c>
      <c r="AL113" s="138">
        <v>1.8793759999999999E-6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 s="138">
        <v>1.3464930000000001E-7</v>
      </c>
      <c r="AU113">
        <v>0</v>
      </c>
      <c r="AV113" s="138">
        <v>3.035621E-5</v>
      </c>
      <c r="AW113">
        <v>0</v>
      </c>
      <c r="AX113">
        <v>0</v>
      </c>
      <c r="AY113">
        <v>0</v>
      </c>
      <c r="AZ113">
        <v>0</v>
      </c>
      <c r="BA113">
        <v>0.31070750000000003</v>
      </c>
      <c r="BB113" s="138">
        <v>1.5803869999999999E-4</v>
      </c>
      <c r="BC113">
        <v>0</v>
      </c>
      <c r="BD113">
        <v>0</v>
      </c>
      <c r="BE113">
        <v>0</v>
      </c>
      <c r="BF113">
        <v>0</v>
      </c>
      <c r="BG113" s="138">
        <v>1.739954E-4</v>
      </c>
      <c r="BH113" s="138">
        <v>4.4449589999999997E-2</v>
      </c>
      <c r="BI113">
        <v>0</v>
      </c>
      <c r="BJ113">
        <v>0</v>
      </c>
      <c r="BK113">
        <v>0</v>
      </c>
      <c r="BL113" s="138">
        <v>2.309278E-13</v>
      </c>
      <c r="BM113">
        <v>0</v>
      </c>
      <c r="BN113" s="138">
        <v>1.3578590000000001E-3</v>
      </c>
      <c r="BO113">
        <v>0</v>
      </c>
      <c r="BP113">
        <v>0</v>
      </c>
      <c r="BQ113" s="138">
        <v>6.9919479999999996E-3</v>
      </c>
      <c r="BR113">
        <v>0</v>
      </c>
      <c r="BS113" s="138">
        <v>4.2471100000000001E-5</v>
      </c>
      <c r="BT113">
        <v>0</v>
      </c>
      <c r="BU113">
        <v>0</v>
      </c>
      <c r="BV113">
        <v>0</v>
      </c>
      <c r="BW113">
        <v>0</v>
      </c>
      <c r="BX113">
        <v>0.2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0.05</v>
      </c>
      <c r="DE113">
        <v>0</v>
      </c>
      <c r="DF113">
        <v>0</v>
      </c>
      <c r="DG113">
        <v>0</v>
      </c>
      <c r="DH113">
        <v>0</v>
      </c>
      <c r="DI113" s="212">
        <v>0</v>
      </c>
      <c r="DJ113">
        <v>0</v>
      </c>
      <c r="DK113">
        <v>0</v>
      </c>
      <c r="DL113">
        <v>0</v>
      </c>
      <c r="DM113" s="204">
        <v>0</v>
      </c>
      <c r="DN113" s="204">
        <v>0</v>
      </c>
      <c r="DO113" s="204">
        <v>0</v>
      </c>
      <c r="DP113" s="204">
        <v>0</v>
      </c>
      <c r="DQ113" s="204">
        <v>0</v>
      </c>
      <c r="DR113" s="204">
        <v>0</v>
      </c>
      <c r="DS113" s="204">
        <v>0</v>
      </c>
      <c r="DT113" s="204">
        <v>0</v>
      </c>
    </row>
    <row r="114" spans="1:124" x14ac:dyDescent="0.15">
      <c r="A114" s="156" t="s">
        <v>333</v>
      </c>
      <c r="B114">
        <v>0</v>
      </c>
      <c r="C114">
        <v>0</v>
      </c>
      <c r="D114">
        <v>0</v>
      </c>
      <c r="E114">
        <v>0</v>
      </c>
      <c r="F114">
        <v>0</v>
      </c>
      <c r="G114" s="138">
        <v>4.9504950000000001E-3</v>
      </c>
      <c r="H114">
        <v>0.2</v>
      </c>
      <c r="I114">
        <v>0.8</v>
      </c>
      <c r="J114">
        <v>0.95</v>
      </c>
      <c r="K114">
        <v>0.02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138">
        <v>8.8075359999999995E-3</v>
      </c>
      <c r="S114" s="138">
        <v>5.6366819999999998E-2</v>
      </c>
      <c r="T114" s="138">
        <v>4.0677459999999999E-2</v>
      </c>
      <c r="U114">
        <v>0.46149810000000002</v>
      </c>
      <c r="V114">
        <v>3.4527200000000001E-2</v>
      </c>
      <c r="W114">
        <v>1.7123099999999999E-2</v>
      </c>
      <c r="X114">
        <v>0.15882299999999999</v>
      </c>
      <c r="Y114" s="220">
        <v>1.2939320000000001E-2</v>
      </c>
      <c r="Z114" s="220">
        <v>4.4668950000000002E-3</v>
      </c>
      <c r="AA114">
        <v>0</v>
      </c>
      <c r="AB114">
        <v>0</v>
      </c>
      <c r="AC114">
        <v>0</v>
      </c>
      <c r="AD114" s="138">
        <v>7.9565640000000007E-2</v>
      </c>
      <c r="AE114">
        <v>0.17257110000000001</v>
      </c>
      <c r="AF114" s="138">
        <v>2.0767730000000002E-2</v>
      </c>
      <c r="AG114">
        <v>0</v>
      </c>
      <c r="AH114" s="138">
        <v>1.075613E-4</v>
      </c>
      <c r="AI114">
        <v>0.1214459</v>
      </c>
      <c r="AJ114" s="138">
        <v>4.2503310000000002E-2</v>
      </c>
      <c r="AK114" s="138">
        <v>2.2866920000000001E-5</v>
      </c>
      <c r="AL114" s="138">
        <v>6.6348740000000007E-5</v>
      </c>
      <c r="AM114">
        <v>0</v>
      </c>
      <c r="AN114">
        <v>0</v>
      </c>
      <c r="AO114">
        <v>0</v>
      </c>
      <c r="AP114" s="138">
        <v>5.5101560000000004E-3</v>
      </c>
      <c r="AQ114">
        <v>0</v>
      </c>
      <c r="AR114">
        <v>0</v>
      </c>
      <c r="AS114">
        <v>0</v>
      </c>
      <c r="AT114" s="138">
        <v>7.8070509999999995E-6</v>
      </c>
      <c r="AU114">
        <v>0</v>
      </c>
      <c r="AV114" s="138">
        <v>1.7848289999999999E-2</v>
      </c>
      <c r="AW114">
        <v>0</v>
      </c>
      <c r="AX114">
        <v>0</v>
      </c>
      <c r="AY114">
        <v>0</v>
      </c>
      <c r="AZ114">
        <v>0</v>
      </c>
      <c r="BA114">
        <v>0.32266220000000001</v>
      </c>
      <c r="BB114" s="138">
        <v>1.4302789999999999E-6</v>
      </c>
      <c r="BC114">
        <v>0</v>
      </c>
      <c r="BD114">
        <v>0</v>
      </c>
      <c r="BE114">
        <v>0</v>
      </c>
      <c r="BF114">
        <v>0</v>
      </c>
      <c r="BG114" s="138">
        <v>2.8014560000000001E-2</v>
      </c>
      <c r="BH114">
        <v>0.40939720000000002</v>
      </c>
      <c r="BI114" s="138">
        <v>5.0935130000000002E-2</v>
      </c>
      <c r="BJ114" s="138">
        <v>2.252488E-3</v>
      </c>
      <c r="BK114">
        <v>0</v>
      </c>
      <c r="BL114" s="138">
        <v>2.3514769999999999E-14</v>
      </c>
      <c r="BM114" s="138">
        <v>3.1905309999999999E-3</v>
      </c>
      <c r="BN114">
        <v>0</v>
      </c>
      <c r="BO114">
        <v>0.3667376</v>
      </c>
      <c r="BP114">
        <v>0.1</v>
      </c>
      <c r="BQ114">
        <v>0.1143617</v>
      </c>
      <c r="BR114">
        <v>0</v>
      </c>
      <c r="BS114" s="138">
        <v>2.76867E-5</v>
      </c>
      <c r="BT114" s="138">
        <v>1.8655749999999999E-2</v>
      </c>
      <c r="BU114" s="138">
        <v>2.8447559999999999E-3</v>
      </c>
      <c r="BV114">
        <v>0</v>
      </c>
      <c r="BW114">
        <v>0.2</v>
      </c>
      <c r="BX114">
        <v>0.2</v>
      </c>
      <c r="BY114">
        <v>0.5</v>
      </c>
      <c r="BZ114">
        <v>0.1</v>
      </c>
      <c r="CA114">
        <v>0.1</v>
      </c>
      <c r="CB114">
        <v>0.1</v>
      </c>
      <c r="CC114">
        <v>0.1</v>
      </c>
      <c r="CD114">
        <v>0.1</v>
      </c>
      <c r="CE114">
        <v>0.1</v>
      </c>
      <c r="CF114">
        <v>0.1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0.15</v>
      </c>
      <c r="DC114">
        <v>0.25</v>
      </c>
      <c r="DD114">
        <v>0.25</v>
      </c>
      <c r="DE114">
        <v>0.25</v>
      </c>
      <c r="DF114">
        <v>0.25</v>
      </c>
      <c r="DG114">
        <v>0.25</v>
      </c>
      <c r="DH114">
        <v>0.25</v>
      </c>
      <c r="DI114">
        <v>0.25</v>
      </c>
      <c r="DJ114" s="212">
        <v>0</v>
      </c>
      <c r="DK114">
        <v>0</v>
      </c>
      <c r="DL114">
        <v>0</v>
      </c>
      <c r="DM114" s="204">
        <v>0</v>
      </c>
      <c r="DN114" s="204">
        <v>0</v>
      </c>
      <c r="DO114" s="204">
        <v>0</v>
      </c>
      <c r="DP114" s="204">
        <v>0</v>
      </c>
      <c r="DQ114" s="204">
        <v>0</v>
      </c>
      <c r="DR114" s="204">
        <v>0</v>
      </c>
      <c r="DS114" s="204">
        <v>0</v>
      </c>
      <c r="DT114" s="204">
        <v>0</v>
      </c>
    </row>
    <row r="115" spans="1:124" x14ac:dyDescent="0.15">
      <c r="A115" s="156" t="s">
        <v>334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s="3">
        <v>0</v>
      </c>
      <c r="Z115" s="3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 s="138">
        <v>1.42786E-4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 s="138">
        <v>6.5419040000000005E-4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 s="138">
        <v>3.6365269999999998E-4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0.03</v>
      </c>
      <c r="DC115">
        <v>0.15</v>
      </c>
      <c r="DD115">
        <v>0.15</v>
      </c>
      <c r="DE115">
        <v>0.15</v>
      </c>
      <c r="DF115">
        <v>0.15</v>
      </c>
      <c r="DG115">
        <v>0.15</v>
      </c>
      <c r="DH115">
        <v>0.15</v>
      </c>
      <c r="DI115">
        <v>0.15</v>
      </c>
      <c r="DJ115">
        <v>0.5</v>
      </c>
      <c r="DK115" s="212">
        <v>0</v>
      </c>
      <c r="DL115">
        <v>0</v>
      </c>
      <c r="DM115" s="204">
        <v>0</v>
      </c>
      <c r="DN115" s="204">
        <v>0</v>
      </c>
      <c r="DO115" s="204">
        <v>0</v>
      </c>
      <c r="DP115" s="204">
        <v>0</v>
      </c>
      <c r="DQ115" s="204">
        <v>0</v>
      </c>
      <c r="DR115" s="204">
        <v>0</v>
      </c>
      <c r="DS115" s="204">
        <v>0</v>
      </c>
      <c r="DT115" s="204">
        <v>0</v>
      </c>
    </row>
    <row r="116" spans="1:124" x14ac:dyDescent="0.15">
      <c r="A116" s="156" t="s">
        <v>335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s="3">
        <v>0</v>
      </c>
      <c r="Z116" s="3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0.5</v>
      </c>
      <c r="CR116">
        <v>0.5</v>
      </c>
      <c r="CS116">
        <v>0.15</v>
      </c>
      <c r="CT116">
        <v>0.15</v>
      </c>
      <c r="CU116">
        <v>0.15</v>
      </c>
      <c r="CV116">
        <v>0.15</v>
      </c>
      <c r="CW116">
        <v>0.15</v>
      </c>
      <c r="CX116">
        <v>0.15</v>
      </c>
      <c r="CY116">
        <v>0.15</v>
      </c>
      <c r="CZ116">
        <v>0.5</v>
      </c>
      <c r="DA116">
        <v>0.5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 s="212">
        <v>0</v>
      </c>
      <c r="DM116" s="204">
        <v>0</v>
      </c>
      <c r="DN116" s="204">
        <v>0</v>
      </c>
      <c r="DO116" s="204">
        <v>0</v>
      </c>
      <c r="DP116" s="204">
        <v>0</v>
      </c>
      <c r="DQ116" s="204">
        <v>0</v>
      </c>
      <c r="DR116" s="204">
        <v>0</v>
      </c>
      <c r="DS116" s="204">
        <v>0</v>
      </c>
      <c r="DT116" s="204">
        <v>0</v>
      </c>
    </row>
    <row r="117" spans="1:124" x14ac:dyDescent="0.15">
      <c r="A117" s="156" t="s">
        <v>336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 s="3">
        <v>0</v>
      </c>
      <c r="Z117" s="3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 s="138">
        <v>3.3159550000000001E-7</v>
      </c>
      <c r="AI117">
        <v>0</v>
      </c>
      <c r="AJ117">
        <v>0</v>
      </c>
      <c r="AK117">
        <v>0</v>
      </c>
      <c r="AL117">
        <v>0</v>
      </c>
      <c r="AM117">
        <v>0</v>
      </c>
      <c r="AN117" s="138">
        <v>4.6593789999999999E-6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 s="138">
        <v>4.6184999999999999E-6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0.25</v>
      </c>
      <c r="CO117">
        <v>0.2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 s="204">
        <v>0</v>
      </c>
      <c r="DN117" s="204">
        <v>0</v>
      </c>
      <c r="DO117" s="204">
        <v>0</v>
      </c>
      <c r="DP117" s="204">
        <v>0</v>
      </c>
      <c r="DQ117" s="204">
        <v>0</v>
      </c>
      <c r="DR117" s="204">
        <v>0</v>
      </c>
      <c r="DS117" s="204">
        <v>0</v>
      </c>
      <c r="DT117" s="204">
        <v>0</v>
      </c>
    </row>
    <row r="118" spans="1:124" x14ac:dyDescent="0.15">
      <c r="A118" s="156" t="s">
        <v>337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s="3">
        <v>0</v>
      </c>
      <c r="Z118" s="3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0.05</v>
      </c>
      <c r="DC118">
        <v>0.5</v>
      </c>
      <c r="DD118">
        <v>0.25</v>
      </c>
      <c r="DE118">
        <v>0.5</v>
      </c>
      <c r="DF118">
        <v>0.5</v>
      </c>
      <c r="DG118">
        <v>0.5</v>
      </c>
      <c r="DH118">
        <v>0.5</v>
      </c>
      <c r="DI118">
        <v>0.5</v>
      </c>
      <c r="DJ118">
        <v>0.25</v>
      </c>
      <c r="DK118">
        <v>0.25</v>
      </c>
      <c r="DL118">
        <v>0</v>
      </c>
      <c r="DM118" s="204">
        <v>0</v>
      </c>
      <c r="DN118" s="204">
        <v>0</v>
      </c>
      <c r="DO118" s="204">
        <v>0</v>
      </c>
      <c r="DP118" s="204">
        <v>0</v>
      </c>
      <c r="DQ118" s="204">
        <v>0</v>
      </c>
      <c r="DR118" s="204">
        <v>0</v>
      </c>
      <c r="DS118" s="204">
        <v>0</v>
      </c>
      <c r="DT118" s="204">
        <v>0</v>
      </c>
    </row>
    <row r="119" spans="1:124" x14ac:dyDescent="0.15">
      <c r="A119" s="156" t="s">
        <v>338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s="3">
        <v>0</v>
      </c>
      <c r="Z119" s="3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0.02</v>
      </c>
      <c r="DC119">
        <v>0.1</v>
      </c>
      <c r="DD119">
        <v>0.1</v>
      </c>
      <c r="DE119">
        <v>0.1</v>
      </c>
      <c r="DF119">
        <v>0.1</v>
      </c>
      <c r="DG119">
        <v>0.1</v>
      </c>
      <c r="DH119">
        <v>0.1</v>
      </c>
      <c r="DI119">
        <v>0.1</v>
      </c>
      <c r="DJ119">
        <v>0.25</v>
      </c>
      <c r="DK119">
        <v>0.6</v>
      </c>
      <c r="DL119">
        <v>0</v>
      </c>
      <c r="DM119" s="204">
        <v>0</v>
      </c>
      <c r="DN119" s="204">
        <v>0</v>
      </c>
      <c r="DO119" s="204">
        <v>0</v>
      </c>
      <c r="DP119" s="204">
        <v>0</v>
      </c>
      <c r="DQ119" s="204">
        <v>0</v>
      </c>
      <c r="DR119" s="204">
        <v>0</v>
      </c>
      <c r="DS119" s="204">
        <v>0</v>
      </c>
      <c r="DT119" s="204">
        <v>0</v>
      </c>
    </row>
    <row r="120" spans="1:124" x14ac:dyDescent="0.15">
      <c r="A120" s="156" t="s">
        <v>339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s="3">
        <v>0</v>
      </c>
      <c r="Z120" s="220">
        <v>1.098901E-2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8.0000000000000002E-3</v>
      </c>
      <c r="CH120">
        <v>4.0000000000000001E-3</v>
      </c>
      <c r="CI120" s="138">
        <v>2.801595E-9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 s="204">
        <v>0</v>
      </c>
      <c r="DN120" s="204">
        <v>0</v>
      </c>
      <c r="DO120" s="204">
        <v>0</v>
      </c>
      <c r="DP120" s="204">
        <v>0</v>
      </c>
      <c r="DQ120" s="204">
        <v>0</v>
      </c>
      <c r="DR120" s="204">
        <v>0</v>
      </c>
      <c r="DS120" s="204">
        <v>0</v>
      </c>
      <c r="DT120" s="204">
        <v>0</v>
      </c>
    </row>
    <row r="121" spans="1:124" x14ac:dyDescent="0.15">
      <c r="A121" s="156" t="s">
        <v>340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s="3">
        <v>0</v>
      </c>
      <c r="Z121" s="3">
        <v>0</v>
      </c>
      <c r="AA121">
        <v>0</v>
      </c>
      <c r="AB121">
        <v>0.1227</v>
      </c>
      <c r="AC121">
        <v>0</v>
      </c>
      <c r="AD121">
        <v>0</v>
      </c>
      <c r="AE121">
        <v>0</v>
      </c>
      <c r="AF121" s="138">
        <v>1.248877E-3</v>
      </c>
      <c r="AG121">
        <v>0</v>
      </c>
      <c r="AH121" s="138">
        <v>4.9530530000000003E-2</v>
      </c>
      <c r="AI121">
        <v>0</v>
      </c>
      <c r="AJ121">
        <v>0</v>
      </c>
      <c r="AK121">
        <v>0</v>
      </c>
      <c r="AL121">
        <v>0</v>
      </c>
      <c r="AM121">
        <v>0</v>
      </c>
      <c r="AN121" s="138">
        <v>3.3128570000000003E-2</v>
      </c>
      <c r="AO121">
        <v>0</v>
      </c>
      <c r="AP121">
        <v>0</v>
      </c>
      <c r="AQ121">
        <v>0</v>
      </c>
      <c r="AR121">
        <v>0</v>
      </c>
      <c r="AS121">
        <v>0</v>
      </c>
      <c r="AT121" s="138">
        <v>8.5552709999999999E-6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 s="138">
        <v>5.2410129999999999E-2</v>
      </c>
      <c r="BC121" s="138">
        <v>6.2444010000000001E-4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 s="138">
        <v>4.0597529999999998E-4</v>
      </c>
      <c r="BO121">
        <v>0</v>
      </c>
      <c r="BP121">
        <v>0</v>
      </c>
      <c r="BQ121">
        <v>0</v>
      </c>
      <c r="BR121">
        <v>0</v>
      </c>
      <c r="BS121" s="138">
        <v>8.0159250000000001E-3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7.0000000000000001E-3</v>
      </c>
      <c r="CH121">
        <v>4.0000000000000001E-3</v>
      </c>
      <c r="CI121" s="138">
        <v>2.4513940000000002E-9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 s="204">
        <v>0</v>
      </c>
      <c r="DN121" s="204">
        <v>0</v>
      </c>
      <c r="DO121" s="204">
        <v>0</v>
      </c>
      <c r="DP121" s="204">
        <v>0</v>
      </c>
      <c r="DQ121" s="204">
        <v>0</v>
      </c>
      <c r="DR121" s="204">
        <v>0</v>
      </c>
      <c r="DS121" s="204">
        <v>0</v>
      </c>
      <c r="DT121" s="204">
        <v>0</v>
      </c>
    </row>
    <row r="122" spans="1:124" x14ac:dyDescent="0.15">
      <c r="A122" s="156" t="s">
        <v>341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s="3">
        <v>0</v>
      </c>
      <c r="Z122" s="3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0.15</v>
      </c>
      <c r="DL122">
        <v>0</v>
      </c>
      <c r="DM122" s="204">
        <v>0</v>
      </c>
      <c r="DN122" s="204">
        <v>0</v>
      </c>
      <c r="DO122" s="204">
        <v>0</v>
      </c>
      <c r="DP122" s="204">
        <v>0</v>
      </c>
      <c r="DQ122" s="204">
        <v>0</v>
      </c>
      <c r="DR122" s="204">
        <v>0</v>
      </c>
      <c r="DS122" s="204">
        <v>0</v>
      </c>
      <c r="DT122" s="204">
        <v>0</v>
      </c>
    </row>
    <row r="123" spans="1:124" x14ac:dyDescent="0.15">
      <c r="A123" s="156" t="s">
        <v>342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 s="3">
        <v>0</v>
      </c>
      <c r="Z123" s="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 s="138">
        <v>2.185581E-2</v>
      </c>
      <c r="AI123">
        <v>0</v>
      </c>
      <c r="AJ123">
        <v>0</v>
      </c>
      <c r="AK123">
        <v>0</v>
      </c>
      <c r="AL123" s="138">
        <v>1.9684210000000001E-3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 s="138">
        <v>9.6238810000000008E-3</v>
      </c>
      <c r="AY123">
        <v>0</v>
      </c>
      <c r="AZ123" s="138">
        <v>1.316667E-2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0.05</v>
      </c>
      <c r="CH123">
        <v>0.05</v>
      </c>
      <c r="CI123">
        <v>0.2499999</v>
      </c>
      <c r="CJ123">
        <v>0.4</v>
      </c>
      <c r="CK123">
        <v>0.4</v>
      </c>
      <c r="CL123">
        <v>0</v>
      </c>
      <c r="CM123">
        <v>0.9</v>
      </c>
      <c r="CN123">
        <v>0.75</v>
      </c>
      <c r="CO123">
        <v>0.2</v>
      </c>
      <c r="CP123">
        <v>0.25</v>
      </c>
      <c r="CQ123">
        <v>0.5</v>
      </c>
      <c r="CR123">
        <v>0.5</v>
      </c>
      <c r="CS123">
        <v>0.6</v>
      </c>
      <c r="CT123">
        <v>0.6</v>
      </c>
      <c r="CU123">
        <v>0.6</v>
      </c>
      <c r="CV123">
        <v>0.6</v>
      </c>
      <c r="CW123">
        <v>0.6</v>
      </c>
      <c r="CX123">
        <v>0.6</v>
      </c>
      <c r="CY123">
        <v>0.6</v>
      </c>
      <c r="CZ123">
        <v>0.5</v>
      </c>
      <c r="DA123">
        <v>0.5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1</v>
      </c>
      <c r="DM123" s="204">
        <v>0</v>
      </c>
      <c r="DN123" s="204">
        <v>0</v>
      </c>
      <c r="DO123" s="204">
        <v>0</v>
      </c>
      <c r="DP123" s="204">
        <v>0</v>
      </c>
      <c r="DQ123" s="204">
        <v>0</v>
      </c>
      <c r="DR123" s="204">
        <v>0</v>
      </c>
      <c r="DS123" s="204">
        <v>0</v>
      </c>
      <c r="DT123" s="204">
        <v>0</v>
      </c>
    </row>
    <row r="124" spans="1:124" x14ac:dyDescent="0.15">
      <c r="A124" s="452" t="s">
        <v>181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 s="204">
        <v>0</v>
      </c>
      <c r="DN124" s="204">
        <v>0</v>
      </c>
      <c r="DO124" s="204">
        <v>0</v>
      </c>
      <c r="DP124" s="204">
        <v>0</v>
      </c>
      <c r="DQ124" s="204">
        <v>0</v>
      </c>
      <c r="DR124" s="204">
        <v>0</v>
      </c>
      <c r="DS124" s="204">
        <v>0</v>
      </c>
      <c r="DT124" s="204">
        <v>0</v>
      </c>
    </row>
    <row r="126" spans="1:124" x14ac:dyDescent="0.15">
      <c r="A126" s="452" t="s">
        <v>61</v>
      </c>
      <c r="B126">
        <f>SUM(B2:B124)</f>
        <v>1.0000000228999999</v>
      </c>
      <c r="C126">
        <f t="shared" ref="C126:BN126" si="0">SUM(C2:C124)</f>
        <v>1.000000016759</v>
      </c>
      <c r="D126">
        <f t="shared" si="0"/>
        <v>0.99999997640000027</v>
      </c>
      <c r="E126">
        <f t="shared" si="0"/>
        <v>1.0000000869999999</v>
      </c>
      <c r="F126">
        <f t="shared" si="0"/>
        <v>1.0000000020922999</v>
      </c>
      <c r="G126">
        <f t="shared" si="0"/>
        <v>0.99999994719999996</v>
      </c>
      <c r="H126">
        <f t="shared" si="0"/>
        <v>1.0000000414999999</v>
      </c>
      <c r="I126">
        <f t="shared" si="0"/>
        <v>1.0000000035000001</v>
      </c>
      <c r="J126">
        <f t="shared" si="0"/>
        <v>1</v>
      </c>
      <c r="K126">
        <f t="shared" si="0"/>
        <v>1.0000000402</v>
      </c>
      <c r="L126">
        <f t="shared" si="0"/>
        <v>1.0000000227400001</v>
      </c>
      <c r="M126">
        <f t="shared" si="0"/>
        <v>0.99999989337999995</v>
      </c>
      <c r="N126">
        <f t="shared" si="0"/>
        <v>1.0000001276000001</v>
      </c>
      <c r="O126">
        <f t="shared" si="0"/>
        <v>1.0000000559481499</v>
      </c>
      <c r="P126">
        <f t="shared" si="0"/>
        <v>1.0000000928742439</v>
      </c>
      <c r="Q126">
        <f t="shared" si="0"/>
        <v>0.99999994179340002</v>
      </c>
      <c r="R126">
        <f t="shared" si="0"/>
        <v>1.000000035</v>
      </c>
      <c r="S126">
        <f t="shared" si="0"/>
        <v>0.9999999490678998</v>
      </c>
      <c r="T126">
        <f t="shared" si="0"/>
        <v>1.0000000841893801</v>
      </c>
      <c r="U126">
        <f t="shared" si="0"/>
        <v>0.99999994317989005</v>
      </c>
      <c r="V126">
        <f t="shared" si="0"/>
        <v>1.00000003650938</v>
      </c>
      <c r="W126">
        <f t="shared" si="0"/>
        <v>0.99999994548035975</v>
      </c>
      <c r="X126">
        <f t="shared" si="0"/>
        <v>1.0000000671693698</v>
      </c>
      <c r="Y126">
        <f t="shared" si="0"/>
        <v>0.99999999523736005</v>
      </c>
      <c r="Z126">
        <f t="shared" si="0"/>
        <v>1.0000001527893798</v>
      </c>
      <c r="AA126">
        <f t="shared" si="0"/>
        <v>1.0000000694</v>
      </c>
      <c r="AB126">
        <f t="shared" si="0"/>
        <v>0.9999999995200004</v>
      </c>
      <c r="AC126">
        <f t="shared" si="0"/>
        <v>0.99999998940000012</v>
      </c>
      <c r="AD126">
        <f t="shared" si="0"/>
        <v>1.0000000523509998</v>
      </c>
      <c r="AE126">
        <f t="shared" si="0"/>
        <v>1.00000005383</v>
      </c>
      <c r="AF126">
        <f t="shared" si="0"/>
        <v>0.99999999012200003</v>
      </c>
      <c r="AG126">
        <f t="shared" si="0"/>
        <v>0.99999997711999988</v>
      </c>
      <c r="AH126">
        <f t="shared" si="0"/>
        <v>0.9999999209746997</v>
      </c>
      <c r="AI126">
        <f t="shared" si="0"/>
        <v>1</v>
      </c>
      <c r="AJ126">
        <f t="shared" si="0"/>
        <v>0.99999999127000005</v>
      </c>
      <c r="AK126">
        <f t="shared" si="0"/>
        <v>1.0000000101269999</v>
      </c>
      <c r="AL126">
        <f t="shared" si="0"/>
        <v>0.99999958307844905</v>
      </c>
      <c r="AM126">
        <f t="shared" si="0"/>
        <v>0.99999996874000008</v>
      </c>
      <c r="AN126">
        <f t="shared" si="0"/>
        <v>0.99999970696785001</v>
      </c>
      <c r="AO126">
        <f t="shared" si="0"/>
        <v>0.99999996499999999</v>
      </c>
      <c r="AP126">
        <f t="shared" si="0"/>
        <v>0.99999999890000002</v>
      </c>
      <c r="AQ126">
        <f t="shared" si="0"/>
        <v>0.99999996891999976</v>
      </c>
      <c r="AR126">
        <f t="shared" si="0"/>
        <v>0.99999998020000003</v>
      </c>
      <c r="AS126">
        <f t="shared" si="0"/>
        <v>0.99999990085000001</v>
      </c>
      <c r="AT126">
        <f t="shared" si="0"/>
        <v>0.99999999014516994</v>
      </c>
      <c r="AU126">
        <f t="shared" si="0"/>
        <v>0.99999995223999993</v>
      </c>
      <c r="AV126">
        <f t="shared" si="0"/>
        <v>0.9999999194000001</v>
      </c>
      <c r="AW126">
        <f t="shared" si="0"/>
        <v>1.0000000774</v>
      </c>
      <c r="AX126">
        <f t="shared" si="0"/>
        <v>0.99999997935371998</v>
      </c>
      <c r="AY126">
        <f t="shared" si="0"/>
        <v>1.0000000124899999</v>
      </c>
      <c r="AZ126">
        <f t="shared" si="0"/>
        <v>0.99999995968000022</v>
      </c>
      <c r="BA126">
        <f t="shared" si="0"/>
        <v>0.99999992420000006</v>
      </c>
      <c r="BB126">
        <f t="shared" si="0"/>
        <v>0.9999998961173</v>
      </c>
      <c r="BC126">
        <f t="shared" si="0"/>
        <v>1.000000009931</v>
      </c>
      <c r="BD126">
        <f t="shared" si="0"/>
        <v>0.99999996006243774</v>
      </c>
      <c r="BE126">
        <f t="shared" si="0"/>
        <v>1</v>
      </c>
      <c r="BF126">
        <f t="shared" si="0"/>
        <v>1</v>
      </c>
      <c r="BG126">
        <f t="shared" si="0"/>
        <v>1.00000006154</v>
      </c>
      <c r="BH126">
        <f t="shared" si="0"/>
        <v>1.0000000770700002</v>
      </c>
      <c r="BI126">
        <f t="shared" si="0"/>
        <v>0.99999999525000005</v>
      </c>
      <c r="BJ126">
        <f t="shared" si="0"/>
        <v>1.0000000668770002</v>
      </c>
      <c r="BK126">
        <f t="shared" si="0"/>
        <v>1.0000000418620001</v>
      </c>
      <c r="BL126">
        <f t="shared" si="0"/>
        <v>1.0000000169295657</v>
      </c>
      <c r="BM126">
        <f t="shared" si="0"/>
        <v>1.00000001094</v>
      </c>
      <c r="BN126">
        <f t="shared" si="0"/>
        <v>0.9999999694449998</v>
      </c>
      <c r="BO126">
        <f t="shared" ref="BO126:DT126" si="1">SUM(BO2:BO124)</f>
        <v>1.000000054</v>
      </c>
      <c r="BP126">
        <f t="shared" si="1"/>
        <v>1</v>
      </c>
      <c r="BQ126">
        <f t="shared" si="1"/>
        <v>1.0000000442300001</v>
      </c>
      <c r="BR126">
        <f t="shared" si="1"/>
        <v>0.99999994637999978</v>
      </c>
      <c r="BS126">
        <f t="shared" si="1"/>
        <v>0.99999994335700004</v>
      </c>
      <c r="BT126">
        <f t="shared" si="1"/>
        <v>0.99999988800000017</v>
      </c>
      <c r="BU126">
        <f t="shared" si="1"/>
        <v>1.0000000018299999</v>
      </c>
      <c r="BV126">
        <f t="shared" si="1"/>
        <v>1</v>
      </c>
      <c r="BW126">
        <f t="shared" si="1"/>
        <v>1</v>
      </c>
      <c r="BX126">
        <f t="shared" si="1"/>
        <v>1</v>
      </c>
      <c r="BY126">
        <f t="shared" si="1"/>
        <v>1</v>
      </c>
      <c r="BZ126">
        <f t="shared" si="1"/>
        <v>1</v>
      </c>
      <c r="CA126">
        <f t="shared" si="1"/>
        <v>1</v>
      </c>
      <c r="CB126">
        <f t="shared" si="1"/>
        <v>1</v>
      </c>
      <c r="CC126">
        <f t="shared" si="1"/>
        <v>1</v>
      </c>
      <c r="CD126">
        <f t="shared" si="1"/>
        <v>1</v>
      </c>
      <c r="CE126">
        <f t="shared" si="1"/>
        <v>1</v>
      </c>
      <c r="CF126">
        <f t="shared" si="1"/>
        <v>1</v>
      </c>
      <c r="CG126">
        <f t="shared" si="1"/>
        <v>1</v>
      </c>
      <c r="CH126">
        <f t="shared" si="1"/>
        <v>1</v>
      </c>
      <c r="CI126">
        <f t="shared" si="1"/>
        <v>0.99999995603188085</v>
      </c>
      <c r="CJ126">
        <f t="shared" si="1"/>
        <v>1</v>
      </c>
      <c r="CK126">
        <f t="shared" si="1"/>
        <v>1</v>
      </c>
      <c r="CL126">
        <f t="shared" si="1"/>
        <v>1</v>
      </c>
      <c r="CM126">
        <f t="shared" si="1"/>
        <v>1</v>
      </c>
      <c r="CN126">
        <f t="shared" si="1"/>
        <v>1</v>
      </c>
      <c r="CO126">
        <f t="shared" si="1"/>
        <v>1</v>
      </c>
      <c r="CP126">
        <f t="shared" si="1"/>
        <v>1</v>
      </c>
      <c r="CQ126">
        <f t="shared" si="1"/>
        <v>1</v>
      </c>
      <c r="CR126">
        <f t="shared" si="1"/>
        <v>1</v>
      </c>
      <c r="CS126">
        <f t="shared" si="1"/>
        <v>1</v>
      </c>
      <c r="CT126">
        <f t="shared" si="1"/>
        <v>1</v>
      </c>
      <c r="CU126">
        <f t="shared" si="1"/>
        <v>1</v>
      </c>
      <c r="CV126">
        <f t="shared" si="1"/>
        <v>1</v>
      </c>
      <c r="CW126">
        <f t="shared" si="1"/>
        <v>1</v>
      </c>
      <c r="CX126">
        <f t="shared" si="1"/>
        <v>1</v>
      </c>
      <c r="CY126">
        <f t="shared" si="1"/>
        <v>1</v>
      </c>
      <c r="CZ126">
        <f t="shared" si="1"/>
        <v>1</v>
      </c>
      <c r="DA126">
        <f t="shared" si="1"/>
        <v>1</v>
      </c>
      <c r="DB126">
        <f t="shared" si="1"/>
        <v>1.0000000000000002</v>
      </c>
      <c r="DC126">
        <f t="shared" si="1"/>
        <v>1</v>
      </c>
      <c r="DD126">
        <f t="shared" si="1"/>
        <v>1</v>
      </c>
      <c r="DE126">
        <f t="shared" si="1"/>
        <v>1</v>
      </c>
      <c r="DF126">
        <f t="shared" si="1"/>
        <v>1</v>
      </c>
      <c r="DG126">
        <f t="shared" si="1"/>
        <v>1</v>
      </c>
      <c r="DH126">
        <f t="shared" si="1"/>
        <v>1</v>
      </c>
      <c r="DI126">
        <f t="shared" si="1"/>
        <v>1</v>
      </c>
      <c r="DJ126">
        <f t="shared" si="1"/>
        <v>1</v>
      </c>
      <c r="DK126">
        <f t="shared" si="1"/>
        <v>1</v>
      </c>
      <c r="DL126">
        <f t="shared" si="1"/>
        <v>1</v>
      </c>
      <c r="DM126">
        <f t="shared" si="1"/>
        <v>0</v>
      </c>
      <c r="DN126">
        <f t="shared" si="1"/>
        <v>0</v>
      </c>
      <c r="DO126">
        <f t="shared" si="1"/>
        <v>0</v>
      </c>
      <c r="DP126">
        <f t="shared" si="1"/>
        <v>0</v>
      </c>
      <c r="DQ126">
        <f t="shared" si="1"/>
        <v>0</v>
      </c>
      <c r="DR126">
        <f t="shared" si="1"/>
        <v>0</v>
      </c>
      <c r="DS126">
        <f t="shared" si="1"/>
        <v>0</v>
      </c>
      <c r="DT126">
        <f t="shared" si="1"/>
        <v>0</v>
      </c>
    </row>
    <row r="127" spans="1:124" s="223" customFormat="1" x14ac:dyDescent="0.15">
      <c r="A127" s="452" t="s">
        <v>357</v>
      </c>
      <c r="B127" s="223">
        <f>1-B126</f>
        <v>-2.2899999896353052E-8</v>
      </c>
      <c r="C127" s="223">
        <f t="shared" ref="C127:BN127" si="2">1-C126</f>
        <v>-1.6758999965560406E-8</v>
      </c>
      <c r="D127" s="223">
        <f t="shared" si="2"/>
        <v>2.3599999732226706E-8</v>
      </c>
      <c r="E127" s="223">
        <f t="shared" si="2"/>
        <v>-8.6999999870940314E-8</v>
      </c>
      <c r="F127" s="223">
        <f t="shared" si="2"/>
        <v>-2.0922998889005839E-9</v>
      </c>
      <c r="G127" s="223">
        <f t="shared" si="2"/>
        <v>5.2800000038821793E-8</v>
      </c>
      <c r="H127" s="223">
        <f t="shared" si="2"/>
        <v>-4.1499999881011718E-8</v>
      </c>
      <c r="I127" s="223">
        <f t="shared" si="2"/>
        <v>-3.5000000675466936E-9</v>
      </c>
      <c r="J127" s="223">
        <f t="shared" si="2"/>
        <v>0</v>
      </c>
      <c r="K127" s="223">
        <f t="shared" si="2"/>
        <v>-4.019999999549384E-8</v>
      </c>
      <c r="L127" s="223">
        <f t="shared" si="2"/>
        <v>-2.2740000105159197E-8</v>
      </c>
      <c r="M127" s="223">
        <f t="shared" si="2"/>
        <v>1.0662000005101646E-7</v>
      </c>
      <c r="N127" s="223">
        <f t="shared" si="2"/>
        <v>-1.2760000012157491E-7</v>
      </c>
      <c r="O127" s="223">
        <f t="shared" si="2"/>
        <v>-5.5948149890738819E-8</v>
      </c>
      <c r="P127" s="223">
        <f t="shared" si="2"/>
        <v>-9.2874243851071014E-8</v>
      </c>
      <c r="Q127" s="223">
        <f t="shared" si="2"/>
        <v>5.8206599984345075E-8</v>
      </c>
      <c r="R127" s="223">
        <f t="shared" si="2"/>
        <v>-3.5000000009333121E-8</v>
      </c>
      <c r="S127" s="223">
        <f t="shared" si="2"/>
        <v>5.0932100204015285E-8</v>
      </c>
      <c r="T127" s="223">
        <f t="shared" si="2"/>
        <v>-8.4189380133992131E-8</v>
      </c>
      <c r="U127" s="223">
        <f t="shared" si="2"/>
        <v>5.6820109950450615E-8</v>
      </c>
      <c r="V127" s="223">
        <f t="shared" si="2"/>
        <v>-3.6509379963689526E-8</v>
      </c>
      <c r="W127" s="223">
        <f t="shared" si="2"/>
        <v>5.4519640246830647E-8</v>
      </c>
      <c r="X127" s="223">
        <f t="shared" si="2"/>
        <v>-6.716936984396682E-8</v>
      </c>
      <c r="Y127" s="223">
        <f t="shared" si="2"/>
        <v>4.7626399490852123E-9</v>
      </c>
      <c r="Z127" s="223">
        <f t="shared" si="2"/>
        <v>-1.5278937981477725E-7</v>
      </c>
      <c r="AA127" s="223">
        <f t="shared" si="2"/>
        <v>-6.9399999969022019E-8</v>
      </c>
      <c r="AB127" s="223">
        <f t="shared" si="2"/>
        <v>4.7999959562616823E-10</v>
      </c>
      <c r="AC127" s="223">
        <f t="shared" si="2"/>
        <v>1.059999987784721E-8</v>
      </c>
      <c r="AD127" s="223">
        <f t="shared" si="2"/>
        <v>-5.2350999757422301E-8</v>
      </c>
      <c r="AE127" s="223">
        <f t="shared" si="2"/>
        <v>-5.3830000013022072E-8</v>
      </c>
      <c r="AF127" s="223">
        <f t="shared" si="2"/>
        <v>9.877999973539886E-9</v>
      </c>
      <c r="AG127" s="223">
        <f t="shared" si="2"/>
        <v>2.2880000116742849E-8</v>
      </c>
      <c r="AH127" s="223">
        <f t="shared" si="2"/>
        <v>7.9025300303570134E-8</v>
      </c>
      <c r="AI127" s="223">
        <f t="shared" si="2"/>
        <v>0</v>
      </c>
      <c r="AJ127" s="223">
        <f t="shared" si="2"/>
        <v>8.7299999451673216E-9</v>
      </c>
      <c r="AK127" s="223">
        <f t="shared" si="2"/>
        <v>-1.0126999905324396E-8</v>
      </c>
      <c r="AL127" s="223">
        <f t="shared" si="2"/>
        <v>4.1692155094974481E-7</v>
      </c>
      <c r="AM127" s="223">
        <f t="shared" si="2"/>
        <v>3.1259999921928738E-8</v>
      </c>
      <c r="AN127" s="223">
        <f t="shared" si="2"/>
        <v>2.9303214998943616E-7</v>
      </c>
      <c r="AO127" s="223">
        <f t="shared" si="2"/>
        <v>3.5000000009333121E-8</v>
      </c>
      <c r="AP127" s="223">
        <f t="shared" si="2"/>
        <v>1.0999999799921056E-9</v>
      </c>
      <c r="AQ127" s="223">
        <f t="shared" si="2"/>
        <v>3.1080000240102379E-8</v>
      </c>
      <c r="AR127" s="223">
        <f t="shared" si="2"/>
        <v>1.9799999972924809E-8</v>
      </c>
      <c r="AS127" s="223">
        <f t="shared" si="2"/>
        <v>9.9149999988057402E-8</v>
      </c>
      <c r="AT127" s="223">
        <f t="shared" si="2"/>
        <v>9.8548300631051688E-9</v>
      </c>
      <c r="AU127" s="223">
        <f t="shared" si="2"/>
        <v>4.7760000065899533E-8</v>
      </c>
      <c r="AV127" s="223">
        <f t="shared" si="2"/>
        <v>8.0599999896513452E-8</v>
      </c>
      <c r="AW127" s="223">
        <f t="shared" si="2"/>
        <v>-7.7399999964811173E-8</v>
      </c>
      <c r="AX127" s="223">
        <f t="shared" si="2"/>
        <v>2.0646280018965513E-8</v>
      </c>
      <c r="AY127" s="223">
        <f t="shared" si="2"/>
        <v>-1.2489999923204209E-8</v>
      </c>
      <c r="AZ127" s="223">
        <f t="shared" si="2"/>
        <v>4.031999978337808E-8</v>
      </c>
      <c r="BA127" s="223">
        <f t="shared" si="2"/>
        <v>7.5799999943448881E-8</v>
      </c>
      <c r="BB127" s="223">
        <f t="shared" si="2"/>
        <v>1.0388269999772604E-7</v>
      </c>
      <c r="BC127" s="223">
        <f t="shared" si="2"/>
        <v>-9.9310000223340467E-9</v>
      </c>
      <c r="BD127" s="223">
        <f t="shared" si="2"/>
        <v>3.9937562257286174E-8</v>
      </c>
      <c r="BE127" s="223">
        <f t="shared" si="2"/>
        <v>0</v>
      </c>
      <c r="BF127" s="223">
        <f t="shared" si="2"/>
        <v>0</v>
      </c>
      <c r="BG127" s="223">
        <f t="shared" si="2"/>
        <v>-6.1539999984816518E-8</v>
      </c>
      <c r="BH127" s="223">
        <f t="shared" si="2"/>
        <v>-7.7070000159551455E-8</v>
      </c>
      <c r="BI127" s="223">
        <f t="shared" si="2"/>
        <v>4.7499999489275524E-9</v>
      </c>
      <c r="BJ127" s="223">
        <f t="shared" si="2"/>
        <v>-6.6877000159948352E-8</v>
      </c>
      <c r="BK127" s="223">
        <f t="shared" si="2"/>
        <v>-4.1862000088599416E-8</v>
      </c>
      <c r="BL127" s="223">
        <f t="shared" si="2"/>
        <v>-1.6929565749279618E-8</v>
      </c>
      <c r="BM127" s="223">
        <f t="shared" si="2"/>
        <v>-1.0940000017001239E-8</v>
      </c>
      <c r="BN127" s="223">
        <f t="shared" si="2"/>
        <v>3.0555000196663684E-8</v>
      </c>
      <c r="BO127" s="223">
        <f t="shared" ref="BO127:DT127" si="3">1-BO126</f>
        <v>-5.4000000027087935E-8</v>
      </c>
      <c r="BP127" s="223">
        <f t="shared" si="3"/>
        <v>0</v>
      </c>
      <c r="BQ127" s="223">
        <f t="shared" si="3"/>
        <v>-4.423000010689293E-8</v>
      </c>
      <c r="BR127" s="223">
        <f t="shared" si="3"/>
        <v>5.3620000217691199E-8</v>
      </c>
      <c r="BS127" s="223">
        <f t="shared" si="3"/>
        <v>5.664299995711275E-8</v>
      </c>
      <c r="BT127" s="223">
        <f t="shared" si="3"/>
        <v>1.1199999983002584E-7</v>
      </c>
      <c r="BU127" s="223">
        <f t="shared" si="3"/>
        <v>-1.829999929370274E-9</v>
      </c>
      <c r="BV127" s="223">
        <f t="shared" si="3"/>
        <v>0</v>
      </c>
      <c r="BW127" s="223">
        <f t="shared" si="3"/>
        <v>0</v>
      </c>
      <c r="BX127" s="223">
        <f t="shared" si="3"/>
        <v>0</v>
      </c>
      <c r="BY127" s="223">
        <f t="shared" si="3"/>
        <v>0</v>
      </c>
      <c r="BZ127" s="223">
        <f t="shared" si="3"/>
        <v>0</v>
      </c>
      <c r="CA127" s="223">
        <f t="shared" si="3"/>
        <v>0</v>
      </c>
      <c r="CB127" s="223">
        <f t="shared" si="3"/>
        <v>0</v>
      </c>
      <c r="CC127" s="223">
        <f t="shared" si="3"/>
        <v>0</v>
      </c>
      <c r="CD127" s="223">
        <f t="shared" si="3"/>
        <v>0</v>
      </c>
      <c r="CE127" s="223">
        <f t="shared" si="3"/>
        <v>0</v>
      </c>
      <c r="CF127" s="223">
        <f t="shared" si="3"/>
        <v>0</v>
      </c>
      <c r="CG127" s="223">
        <f t="shared" si="3"/>
        <v>0</v>
      </c>
      <c r="CH127" s="223">
        <f t="shared" si="3"/>
        <v>0</v>
      </c>
      <c r="CI127" s="223">
        <f t="shared" si="3"/>
        <v>4.3968119145532114E-8</v>
      </c>
      <c r="CJ127" s="223">
        <f t="shared" si="3"/>
        <v>0</v>
      </c>
      <c r="CK127" s="223">
        <f t="shared" si="3"/>
        <v>0</v>
      </c>
      <c r="CL127" s="223">
        <f t="shared" si="3"/>
        <v>0</v>
      </c>
      <c r="CM127" s="223">
        <f t="shared" si="3"/>
        <v>0</v>
      </c>
      <c r="CN127" s="223">
        <f t="shared" si="3"/>
        <v>0</v>
      </c>
      <c r="CO127" s="223">
        <f t="shared" si="3"/>
        <v>0</v>
      </c>
      <c r="CP127" s="223">
        <f t="shared" si="3"/>
        <v>0</v>
      </c>
      <c r="CQ127" s="223">
        <f t="shared" si="3"/>
        <v>0</v>
      </c>
      <c r="CR127" s="223">
        <f t="shared" si="3"/>
        <v>0</v>
      </c>
      <c r="CS127" s="223">
        <f t="shared" si="3"/>
        <v>0</v>
      </c>
      <c r="CT127" s="223">
        <f t="shared" si="3"/>
        <v>0</v>
      </c>
      <c r="CU127" s="223">
        <f t="shared" si="3"/>
        <v>0</v>
      </c>
      <c r="CV127" s="223">
        <f t="shared" si="3"/>
        <v>0</v>
      </c>
      <c r="CW127" s="223">
        <f t="shared" si="3"/>
        <v>0</v>
      </c>
      <c r="CX127" s="223">
        <f t="shared" si="3"/>
        <v>0</v>
      </c>
      <c r="CY127" s="223">
        <f t="shared" si="3"/>
        <v>0</v>
      </c>
      <c r="CZ127" s="223">
        <f t="shared" si="3"/>
        <v>0</v>
      </c>
      <c r="DA127" s="223">
        <f t="shared" si="3"/>
        <v>0</v>
      </c>
      <c r="DB127" s="223">
        <f t="shared" si="3"/>
        <v>0</v>
      </c>
      <c r="DC127" s="223">
        <f t="shared" si="3"/>
        <v>0</v>
      </c>
      <c r="DD127" s="223">
        <f t="shared" si="3"/>
        <v>0</v>
      </c>
      <c r="DE127" s="223">
        <f t="shared" si="3"/>
        <v>0</v>
      </c>
      <c r="DF127" s="223">
        <f t="shared" si="3"/>
        <v>0</v>
      </c>
      <c r="DG127" s="223">
        <f t="shared" si="3"/>
        <v>0</v>
      </c>
      <c r="DH127" s="223">
        <f t="shared" si="3"/>
        <v>0</v>
      </c>
      <c r="DI127" s="223">
        <f t="shared" si="3"/>
        <v>0</v>
      </c>
      <c r="DJ127" s="223">
        <f t="shared" si="3"/>
        <v>0</v>
      </c>
      <c r="DK127" s="223">
        <f t="shared" si="3"/>
        <v>0</v>
      </c>
      <c r="DL127" s="223">
        <f t="shared" si="3"/>
        <v>0</v>
      </c>
      <c r="DM127" s="223">
        <f t="shared" si="3"/>
        <v>1</v>
      </c>
      <c r="DN127" s="223">
        <f t="shared" si="3"/>
        <v>1</v>
      </c>
      <c r="DO127" s="223">
        <f t="shared" si="3"/>
        <v>1</v>
      </c>
      <c r="DP127" s="223">
        <f t="shared" si="3"/>
        <v>1</v>
      </c>
      <c r="DQ127" s="223">
        <f t="shared" si="3"/>
        <v>1</v>
      </c>
      <c r="DR127" s="223">
        <f t="shared" si="3"/>
        <v>1</v>
      </c>
      <c r="DS127" s="223">
        <f t="shared" si="3"/>
        <v>1</v>
      </c>
      <c r="DT127" s="223">
        <f t="shared" si="3"/>
        <v>1</v>
      </c>
    </row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5" customHeight="1" x14ac:dyDescent="0.15"/>
    <row r="386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L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baseColWidth="10" defaultColWidth="8.83203125" defaultRowHeight="13" x14ac:dyDescent="0.15"/>
  <cols>
    <col min="1" max="1" width="12.83203125" customWidth="1"/>
    <col min="2" max="2" width="21.6640625" customWidth="1"/>
    <col min="3" max="4" width="21.6640625" style="154" customWidth="1"/>
    <col min="5" max="5" width="13.33203125" style="155" bestFit="1" customWidth="1"/>
    <col min="6" max="6" width="14.33203125" style="155" bestFit="1" customWidth="1"/>
    <col min="8" max="8" width="8.83203125" style="154"/>
  </cols>
  <sheetData>
    <row r="1" spans="1:12" ht="14" x14ac:dyDescent="0.15">
      <c r="A1" s="139" t="s">
        <v>20</v>
      </c>
      <c r="B1" s="1" t="s">
        <v>0</v>
      </c>
      <c r="C1" t="s">
        <v>339</v>
      </c>
      <c r="D1" t="s">
        <v>340</v>
      </c>
      <c r="E1" t="s">
        <v>341</v>
      </c>
      <c r="F1" t="s">
        <v>342</v>
      </c>
      <c r="G1" s="154" t="s">
        <v>182</v>
      </c>
      <c r="H1" s="205" t="s">
        <v>61</v>
      </c>
    </row>
    <row r="2" spans="1:12" x14ac:dyDescent="0.15">
      <c r="A2">
        <v>1</v>
      </c>
      <c r="B2" t="s">
        <v>225</v>
      </c>
      <c r="C2">
        <v>0</v>
      </c>
      <c r="D2">
        <v>0</v>
      </c>
      <c r="E2">
        <v>0</v>
      </c>
      <c r="F2">
        <v>1</v>
      </c>
      <c r="G2">
        <v>0</v>
      </c>
      <c r="H2" s="206">
        <f t="shared" ref="H2:H65" si="0">SUM(C2:G2)</f>
        <v>1</v>
      </c>
      <c r="J2" s="3"/>
      <c r="K2" s="3"/>
      <c r="L2" s="3"/>
    </row>
    <row r="3" spans="1:12" x14ac:dyDescent="0.15">
      <c r="A3">
        <v>2</v>
      </c>
      <c r="B3" t="s">
        <v>226</v>
      </c>
      <c r="C3">
        <v>0</v>
      </c>
      <c r="D3">
        <v>0</v>
      </c>
      <c r="E3">
        <v>0</v>
      </c>
      <c r="F3">
        <v>1</v>
      </c>
      <c r="G3">
        <v>0</v>
      </c>
      <c r="H3" s="206">
        <f t="shared" si="0"/>
        <v>1</v>
      </c>
      <c r="J3" s="3"/>
      <c r="K3" s="3"/>
      <c r="L3" s="3"/>
    </row>
    <row r="4" spans="1:12" x14ac:dyDescent="0.15">
      <c r="A4">
        <v>3</v>
      </c>
      <c r="B4" t="s">
        <v>227</v>
      </c>
      <c r="C4">
        <v>0</v>
      </c>
      <c r="D4">
        <v>0</v>
      </c>
      <c r="E4">
        <v>0</v>
      </c>
      <c r="F4">
        <v>1</v>
      </c>
      <c r="G4">
        <v>0</v>
      </c>
      <c r="H4" s="206">
        <f t="shared" si="0"/>
        <v>1</v>
      </c>
    </row>
    <row r="5" spans="1:12" x14ac:dyDescent="0.15">
      <c r="A5">
        <v>4</v>
      </c>
      <c r="B5" t="s">
        <v>228</v>
      </c>
      <c r="C5">
        <v>0</v>
      </c>
      <c r="D5">
        <v>0</v>
      </c>
      <c r="E5">
        <v>0</v>
      </c>
      <c r="F5">
        <v>1</v>
      </c>
      <c r="G5">
        <v>0</v>
      </c>
      <c r="H5" s="206">
        <f t="shared" si="0"/>
        <v>1</v>
      </c>
    </row>
    <row r="6" spans="1:12" x14ac:dyDescent="0.15">
      <c r="A6">
        <v>5</v>
      </c>
      <c r="B6" t="s">
        <v>229</v>
      </c>
      <c r="C6">
        <v>0</v>
      </c>
      <c r="D6">
        <v>0</v>
      </c>
      <c r="E6">
        <v>0</v>
      </c>
      <c r="F6">
        <v>1</v>
      </c>
      <c r="G6">
        <v>0</v>
      </c>
      <c r="H6" s="206">
        <f t="shared" si="0"/>
        <v>1</v>
      </c>
    </row>
    <row r="7" spans="1:12" x14ac:dyDescent="0.15">
      <c r="A7">
        <v>6</v>
      </c>
      <c r="B7" t="s">
        <v>230</v>
      </c>
      <c r="C7">
        <v>0</v>
      </c>
      <c r="D7">
        <v>0</v>
      </c>
      <c r="E7">
        <v>0</v>
      </c>
      <c r="F7">
        <v>1</v>
      </c>
      <c r="G7">
        <v>0</v>
      </c>
      <c r="H7" s="206">
        <f t="shared" si="0"/>
        <v>1</v>
      </c>
    </row>
    <row r="8" spans="1:12" x14ac:dyDescent="0.15">
      <c r="A8">
        <v>7</v>
      </c>
      <c r="B8" t="s">
        <v>231</v>
      </c>
      <c r="C8">
        <v>0</v>
      </c>
      <c r="D8">
        <v>0</v>
      </c>
      <c r="E8">
        <v>0</v>
      </c>
      <c r="F8">
        <v>1</v>
      </c>
      <c r="G8">
        <v>0</v>
      </c>
      <c r="H8" s="206">
        <f t="shared" si="0"/>
        <v>1</v>
      </c>
    </row>
    <row r="9" spans="1:12" x14ac:dyDescent="0.15">
      <c r="A9">
        <v>8</v>
      </c>
      <c r="B9" t="s">
        <v>232</v>
      </c>
      <c r="C9">
        <v>0</v>
      </c>
      <c r="D9">
        <v>0</v>
      </c>
      <c r="E9">
        <v>0</v>
      </c>
      <c r="F9">
        <v>1</v>
      </c>
      <c r="G9">
        <v>0</v>
      </c>
      <c r="H9" s="206">
        <f t="shared" si="0"/>
        <v>1</v>
      </c>
    </row>
    <row r="10" spans="1:12" x14ac:dyDescent="0.15">
      <c r="A10">
        <v>9</v>
      </c>
      <c r="B10" t="s">
        <v>233</v>
      </c>
      <c r="C10">
        <v>0</v>
      </c>
      <c r="D10">
        <v>0</v>
      </c>
      <c r="E10">
        <v>0</v>
      </c>
      <c r="F10">
        <v>1</v>
      </c>
      <c r="G10">
        <v>0</v>
      </c>
      <c r="H10" s="206">
        <f t="shared" si="0"/>
        <v>1</v>
      </c>
    </row>
    <row r="11" spans="1:12" x14ac:dyDescent="0.15">
      <c r="A11">
        <v>10</v>
      </c>
      <c r="B11" t="s">
        <v>234</v>
      </c>
      <c r="C11">
        <v>0</v>
      </c>
      <c r="D11">
        <v>0</v>
      </c>
      <c r="E11">
        <v>0</v>
      </c>
      <c r="F11">
        <v>1</v>
      </c>
      <c r="G11">
        <v>0</v>
      </c>
      <c r="H11" s="206">
        <f t="shared" si="0"/>
        <v>1</v>
      </c>
    </row>
    <row r="12" spans="1:12" x14ac:dyDescent="0.15">
      <c r="A12">
        <v>11</v>
      </c>
      <c r="B12" t="s">
        <v>235</v>
      </c>
      <c r="C12">
        <v>0</v>
      </c>
      <c r="D12">
        <v>0</v>
      </c>
      <c r="E12">
        <v>0</v>
      </c>
      <c r="F12">
        <v>1</v>
      </c>
      <c r="G12">
        <v>0</v>
      </c>
      <c r="H12" s="206">
        <f t="shared" si="0"/>
        <v>1</v>
      </c>
    </row>
    <row r="13" spans="1:12" x14ac:dyDescent="0.15">
      <c r="A13">
        <v>12</v>
      </c>
      <c r="B13" t="s">
        <v>236</v>
      </c>
      <c r="C13">
        <v>0</v>
      </c>
      <c r="D13">
        <v>0</v>
      </c>
      <c r="E13">
        <v>0</v>
      </c>
      <c r="F13">
        <v>1</v>
      </c>
      <c r="G13">
        <v>0</v>
      </c>
      <c r="H13" s="206">
        <f t="shared" si="0"/>
        <v>1</v>
      </c>
    </row>
    <row r="14" spans="1:12" x14ac:dyDescent="0.15">
      <c r="A14">
        <v>13</v>
      </c>
      <c r="B14" t="s">
        <v>237</v>
      </c>
      <c r="C14">
        <v>0</v>
      </c>
      <c r="D14">
        <v>0</v>
      </c>
      <c r="E14">
        <v>0</v>
      </c>
      <c r="F14">
        <v>1</v>
      </c>
      <c r="G14">
        <v>0</v>
      </c>
      <c r="H14" s="206">
        <f t="shared" si="0"/>
        <v>1</v>
      </c>
    </row>
    <row r="15" spans="1:12" x14ac:dyDescent="0.15">
      <c r="A15">
        <v>14</v>
      </c>
      <c r="B15" t="s">
        <v>238</v>
      </c>
      <c r="C15">
        <v>0</v>
      </c>
      <c r="D15">
        <v>0</v>
      </c>
      <c r="E15">
        <v>0</v>
      </c>
      <c r="F15">
        <v>1</v>
      </c>
      <c r="G15">
        <v>0</v>
      </c>
      <c r="H15" s="206">
        <f t="shared" si="0"/>
        <v>1</v>
      </c>
    </row>
    <row r="16" spans="1:12" x14ac:dyDescent="0.15">
      <c r="A16">
        <v>15</v>
      </c>
      <c r="B16" t="s">
        <v>239</v>
      </c>
      <c r="C16">
        <v>0</v>
      </c>
      <c r="D16">
        <v>0</v>
      </c>
      <c r="E16">
        <v>0</v>
      </c>
      <c r="F16">
        <v>1</v>
      </c>
      <c r="G16">
        <v>0</v>
      </c>
      <c r="H16" s="206">
        <f t="shared" si="0"/>
        <v>1</v>
      </c>
    </row>
    <row r="17" spans="1:8" x14ac:dyDescent="0.15">
      <c r="A17">
        <v>16</v>
      </c>
      <c r="B17" t="s">
        <v>240</v>
      </c>
      <c r="C17">
        <v>0</v>
      </c>
      <c r="D17">
        <v>0</v>
      </c>
      <c r="E17">
        <v>0</v>
      </c>
      <c r="F17">
        <v>1</v>
      </c>
      <c r="G17">
        <v>0</v>
      </c>
      <c r="H17" s="206">
        <f t="shared" si="0"/>
        <v>1</v>
      </c>
    </row>
    <row r="18" spans="1:8" x14ac:dyDescent="0.15">
      <c r="A18">
        <v>17</v>
      </c>
      <c r="B18" t="s">
        <v>241</v>
      </c>
      <c r="C18">
        <v>0</v>
      </c>
      <c r="D18">
        <v>0</v>
      </c>
      <c r="E18">
        <v>0</v>
      </c>
      <c r="F18">
        <v>1</v>
      </c>
      <c r="G18">
        <v>0</v>
      </c>
      <c r="H18" s="206">
        <f t="shared" si="0"/>
        <v>1</v>
      </c>
    </row>
    <row r="19" spans="1:8" x14ac:dyDescent="0.15">
      <c r="A19">
        <v>18</v>
      </c>
      <c r="B19" t="s">
        <v>242</v>
      </c>
      <c r="C19">
        <v>0</v>
      </c>
      <c r="D19">
        <v>0</v>
      </c>
      <c r="E19">
        <v>0</v>
      </c>
      <c r="F19">
        <v>1</v>
      </c>
      <c r="G19">
        <v>0</v>
      </c>
      <c r="H19" s="206">
        <f t="shared" si="0"/>
        <v>1</v>
      </c>
    </row>
    <row r="20" spans="1:8" x14ac:dyDescent="0.15">
      <c r="A20">
        <v>19</v>
      </c>
      <c r="B20" t="s">
        <v>243</v>
      </c>
      <c r="C20">
        <v>0</v>
      </c>
      <c r="D20">
        <v>0</v>
      </c>
      <c r="E20">
        <v>0</v>
      </c>
      <c r="F20">
        <v>1</v>
      </c>
      <c r="G20">
        <v>0</v>
      </c>
      <c r="H20" s="206">
        <f t="shared" si="0"/>
        <v>1</v>
      </c>
    </row>
    <row r="21" spans="1:8" x14ac:dyDescent="0.15">
      <c r="A21">
        <v>20</v>
      </c>
      <c r="B21" t="s">
        <v>244</v>
      </c>
      <c r="C21">
        <v>0</v>
      </c>
      <c r="D21">
        <v>0</v>
      </c>
      <c r="E21">
        <v>0</v>
      </c>
      <c r="F21">
        <v>1</v>
      </c>
      <c r="G21">
        <v>0</v>
      </c>
      <c r="H21" s="206">
        <f t="shared" si="0"/>
        <v>1</v>
      </c>
    </row>
    <row r="22" spans="1:8" x14ac:dyDescent="0.15">
      <c r="A22">
        <v>21</v>
      </c>
      <c r="B22" t="s">
        <v>245</v>
      </c>
      <c r="C22">
        <v>0</v>
      </c>
      <c r="D22">
        <v>0</v>
      </c>
      <c r="E22">
        <v>0</v>
      </c>
      <c r="F22">
        <v>1</v>
      </c>
      <c r="G22">
        <v>0</v>
      </c>
      <c r="H22" s="206">
        <f t="shared" si="0"/>
        <v>1</v>
      </c>
    </row>
    <row r="23" spans="1:8" x14ac:dyDescent="0.15">
      <c r="A23">
        <v>22</v>
      </c>
      <c r="B23" t="s">
        <v>246</v>
      </c>
      <c r="C23">
        <v>0</v>
      </c>
      <c r="D23">
        <v>0</v>
      </c>
      <c r="E23">
        <v>0</v>
      </c>
      <c r="F23">
        <v>1</v>
      </c>
      <c r="G23">
        <v>0</v>
      </c>
      <c r="H23" s="206">
        <f t="shared" si="0"/>
        <v>1</v>
      </c>
    </row>
    <row r="24" spans="1:8" x14ac:dyDescent="0.15">
      <c r="A24">
        <v>23</v>
      </c>
      <c r="B24" t="s">
        <v>247</v>
      </c>
      <c r="C24">
        <v>0</v>
      </c>
      <c r="D24">
        <v>0</v>
      </c>
      <c r="E24">
        <v>0</v>
      </c>
      <c r="F24">
        <v>1</v>
      </c>
      <c r="G24">
        <v>0</v>
      </c>
      <c r="H24" s="206">
        <f t="shared" si="0"/>
        <v>1</v>
      </c>
    </row>
    <row r="25" spans="1:8" x14ac:dyDescent="0.15">
      <c r="A25">
        <v>24</v>
      </c>
      <c r="B25" t="s">
        <v>248</v>
      </c>
      <c r="C25">
        <v>0</v>
      </c>
      <c r="D25">
        <v>0</v>
      </c>
      <c r="E25">
        <v>0</v>
      </c>
      <c r="F25">
        <v>1</v>
      </c>
      <c r="G25">
        <v>0</v>
      </c>
      <c r="H25" s="206">
        <f t="shared" si="0"/>
        <v>1</v>
      </c>
    </row>
    <row r="26" spans="1:8" x14ac:dyDescent="0.15">
      <c r="A26">
        <v>25</v>
      </c>
      <c r="B26" t="s">
        <v>249</v>
      </c>
      <c r="C26">
        <v>0</v>
      </c>
      <c r="D26">
        <v>0</v>
      </c>
      <c r="E26">
        <v>0</v>
      </c>
      <c r="F26">
        <v>1</v>
      </c>
      <c r="G26">
        <v>0</v>
      </c>
      <c r="H26" s="206">
        <f t="shared" si="0"/>
        <v>1</v>
      </c>
    </row>
    <row r="27" spans="1:8" x14ac:dyDescent="0.15">
      <c r="A27">
        <v>26</v>
      </c>
      <c r="B27" t="s">
        <v>250</v>
      </c>
      <c r="C27">
        <v>0</v>
      </c>
      <c r="D27">
        <v>0</v>
      </c>
      <c r="E27">
        <v>0</v>
      </c>
      <c r="F27">
        <v>1</v>
      </c>
      <c r="G27">
        <v>0</v>
      </c>
      <c r="H27" s="206">
        <f t="shared" si="0"/>
        <v>1</v>
      </c>
    </row>
    <row r="28" spans="1:8" x14ac:dyDescent="0.15">
      <c r="A28">
        <v>27</v>
      </c>
      <c r="B28" t="s">
        <v>251</v>
      </c>
      <c r="C28">
        <v>0</v>
      </c>
      <c r="D28">
        <v>0</v>
      </c>
      <c r="E28">
        <v>0</v>
      </c>
      <c r="F28">
        <v>1</v>
      </c>
      <c r="G28">
        <v>0</v>
      </c>
      <c r="H28" s="206">
        <f t="shared" si="0"/>
        <v>1</v>
      </c>
    </row>
    <row r="29" spans="1:8" x14ac:dyDescent="0.15">
      <c r="A29">
        <v>28</v>
      </c>
      <c r="B29" t="s">
        <v>252</v>
      </c>
      <c r="C29">
        <v>0</v>
      </c>
      <c r="D29">
        <v>0</v>
      </c>
      <c r="E29">
        <v>0</v>
      </c>
      <c r="F29">
        <v>1</v>
      </c>
      <c r="G29">
        <v>0</v>
      </c>
      <c r="H29" s="206">
        <f t="shared" si="0"/>
        <v>1</v>
      </c>
    </row>
    <row r="30" spans="1:8" x14ac:dyDescent="0.15">
      <c r="A30">
        <v>29</v>
      </c>
      <c r="B30" t="s">
        <v>253</v>
      </c>
      <c r="C30">
        <v>0</v>
      </c>
      <c r="D30">
        <v>0</v>
      </c>
      <c r="E30">
        <v>0</v>
      </c>
      <c r="F30">
        <v>1</v>
      </c>
      <c r="G30">
        <v>0</v>
      </c>
      <c r="H30" s="206">
        <f t="shared" si="0"/>
        <v>1</v>
      </c>
    </row>
    <row r="31" spans="1:8" x14ac:dyDescent="0.15">
      <c r="A31">
        <v>30</v>
      </c>
      <c r="B31" t="s">
        <v>254</v>
      </c>
      <c r="C31">
        <v>0</v>
      </c>
      <c r="D31">
        <v>0</v>
      </c>
      <c r="E31">
        <v>0</v>
      </c>
      <c r="F31">
        <v>1</v>
      </c>
      <c r="G31">
        <v>0</v>
      </c>
      <c r="H31" s="206">
        <f t="shared" si="0"/>
        <v>1</v>
      </c>
    </row>
    <row r="32" spans="1:8" x14ac:dyDescent="0.15">
      <c r="A32">
        <v>31</v>
      </c>
      <c r="B32" t="s">
        <v>177</v>
      </c>
      <c r="C32">
        <v>0</v>
      </c>
      <c r="D32">
        <v>0</v>
      </c>
      <c r="E32">
        <v>0</v>
      </c>
      <c r="F32">
        <v>1</v>
      </c>
      <c r="G32">
        <v>0</v>
      </c>
      <c r="H32" s="206">
        <f t="shared" si="0"/>
        <v>1</v>
      </c>
    </row>
    <row r="33" spans="1:8" x14ac:dyDescent="0.15">
      <c r="A33">
        <v>32</v>
      </c>
      <c r="B33" t="s">
        <v>255</v>
      </c>
      <c r="C33">
        <v>0</v>
      </c>
      <c r="D33">
        <v>0</v>
      </c>
      <c r="E33">
        <v>0</v>
      </c>
      <c r="F33">
        <v>1</v>
      </c>
      <c r="G33">
        <v>0</v>
      </c>
      <c r="H33" s="206">
        <f t="shared" si="0"/>
        <v>1</v>
      </c>
    </row>
    <row r="34" spans="1:8" x14ac:dyDescent="0.15">
      <c r="A34">
        <v>33</v>
      </c>
      <c r="B34" t="s">
        <v>256</v>
      </c>
      <c r="C34">
        <v>0</v>
      </c>
      <c r="D34">
        <v>0</v>
      </c>
      <c r="E34">
        <v>0</v>
      </c>
      <c r="F34">
        <v>1</v>
      </c>
      <c r="G34">
        <v>0</v>
      </c>
      <c r="H34" s="206">
        <f t="shared" si="0"/>
        <v>1</v>
      </c>
    </row>
    <row r="35" spans="1:8" x14ac:dyDescent="0.15">
      <c r="A35">
        <v>34</v>
      </c>
      <c r="B35" t="s">
        <v>257</v>
      </c>
      <c r="C35">
        <v>0</v>
      </c>
      <c r="D35">
        <v>0</v>
      </c>
      <c r="E35">
        <v>0</v>
      </c>
      <c r="F35">
        <v>1</v>
      </c>
      <c r="G35">
        <v>0</v>
      </c>
      <c r="H35" s="206">
        <f t="shared" si="0"/>
        <v>1</v>
      </c>
    </row>
    <row r="36" spans="1:8" x14ac:dyDescent="0.15">
      <c r="A36">
        <v>35</v>
      </c>
      <c r="B36" t="s">
        <v>178</v>
      </c>
      <c r="C36">
        <v>0</v>
      </c>
      <c r="D36">
        <v>0</v>
      </c>
      <c r="E36">
        <v>0</v>
      </c>
      <c r="F36">
        <v>1</v>
      </c>
      <c r="G36">
        <v>0</v>
      </c>
      <c r="H36" s="206">
        <f t="shared" si="0"/>
        <v>1</v>
      </c>
    </row>
    <row r="37" spans="1:8" x14ac:dyDescent="0.15">
      <c r="A37">
        <v>36</v>
      </c>
      <c r="B37" t="s">
        <v>258</v>
      </c>
      <c r="C37">
        <v>0</v>
      </c>
      <c r="D37">
        <v>0</v>
      </c>
      <c r="E37">
        <v>0</v>
      </c>
      <c r="F37">
        <v>1</v>
      </c>
      <c r="G37">
        <v>0</v>
      </c>
      <c r="H37" s="206">
        <f t="shared" si="0"/>
        <v>1</v>
      </c>
    </row>
    <row r="38" spans="1:8" x14ac:dyDescent="0.15">
      <c r="A38">
        <v>37</v>
      </c>
      <c r="B38" t="s">
        <v>179</v>
      </c>
      <c r="C38">
        <v>0</v>
      </c>
      <c r="D38">
        <v>0</v>
      </c>
      <c r="E38">
        <v>0</v>
      </c>
      <c r="F38">
        <v>1</v>
      </c>
      <c r="G38">
        <v>0</v>
      </c>
      <c r="H38" s="206">
        <f t="shared" si="0"/>
        <v>1</v>
      </c>
    </row>
    <row r="39" spans="1:8" x14ac:dyDescent="0.15">
      <c r="A39">
        <v>38</v>
      </c>
      <c r="B39" t="s">
        <v>259</v>
      </c>
      <c r="C39">
        <v>0</v>
      </c>
      <c r="D39">
        <v>0</v>
      </c>
      <c r="E39">
        <v>0</v>
      </c>
      <c r="F39">
        <v>1</v>
      </c>
      <c r="G39">
        <v>0</v>
      </c>
      <c r="H39" s="206">
        <f t="shared" si="0"/>
        <v>1</v>
      </c>
    </row>
    <row r="40" spans="1:8" x14ac:dyDescent="0.15">
      <c r="A40">
        <v>39</v>
      </c>
      <c r="B40" t="s">
        <v>260</v>
      </c>
      <c r="C40">
        <v>0</v>
      </c>
      <c r="D40">
        <v>0</v>
      </c>
      <c r="E40">
        <v>0</v>
      </c>
      <c r="F40">
        <v>1</v>
      </c>
      <c r="G40">
        <v>0</v>
      </c>
      <c r="H40" s="206">
        <f t="shared" si="0"/>
        <v>1</v>
      </c>
    </row>
    <row r="41" spans="1:8" x14ac:dyDescent="0.15">
      <c r="A41">
        <v>40</v>
      </c>
      <c r="B41" t="s">
        <v>261</v>
      </c>
      <c r="C41">
        <v>0</v>
      </c>
      <c r="D41">
        <v>0</v>
      </c>
      <c r="E41">
        <v>0</v>
      </c>
      <c r="F41">
        <v>1</v>
      </c>
      <c r="G41">
        <v>0</v>
      </c>
      <c r="H41" s="206">
        <f t="shared" si="0"/>
        <v>1</v>
      </c>
    </row>
    <row r="42" spans="1:8" x14ac:dyDescent="0.15">
      <c r="A42">
        <v>41</v>
      </c>
      <c r="B42" t="s">
        <v>262</v>
      </c>
      <c r="C42">
        <v>0</v>
      </c>
      <c r="D42">
        <v>0</v>
      </c>
      <c r="E42">
        <v>0</v>
      </c>
      <c r="F42">
        <v>1</v>
      </c>
      <c r="G42">
        <v>0</v>
      </c>
      <c r="H42" s="206">
        <f t="shared" si="0"/>
        <v>1</v>
      </c>
    </row>
    <row r="43" spans="1:8" x14ac:dyDescent="0.15">
      <c r="A43">
        <v>42</v>
      </c>
      <c r="B43" t="s">
        <v>263</v>
      </c>
      <c r="C43">
        <v>0</v>
      </c>
      <c r="D43">
        <v>0</v>
      </c>
      <c r="E43">
        <v>0</v>
      </c>
      <c r="F43">
        <v>1</v>
      </c>
      <c r="G43">
        <v>0</v>
      </c>
      <c r="H43" s="206">
        <f t="shared" si="0"/>
        <v>1</v>
      </c>
    </row>
    <row r="44" spans="1:8" x14ac:dyDescent="0.15">
      <c r="A44">
        <v>43</v>
      </c>
      <c r="B44" t="s">
        <v>264</v>
      </c>
      <c r="C44">
        <v>0</v>
      </c>
      <c r="D44">
        <v>0</v>
      </c>
      <c r="E44">
        <v>0</v>
      </c>
      <c r="F44">
        <v>1</v>
      </c>
      <c r="G44">
        <v>0</v>
      </c>
      <c r="H44" s="206">
        <f t="shared" si="0"/>
        <v>1</v>
      </c>
    </row>
    <row r="45" spans="1:8" x14ac:dyDescent="0.15">
      <c r="A45">
        <v>44</v>
      </c>
      <c r="B45" t="s">
        <v>265</v>
      </c>
      <c r="C45">
        <v>0</v>
      </c>
      <c r="D45">
        <v>0</v>
      </c>
      <c r="E45">
        <v>0</v>
      </c>
      <c r="F45">
        <v>1</v>
      </c>
      <c r="G45">
        <v>0</v>
      </c>
      <c r="H45" s="206">
        <f t="shared" si="0"/>
        <v>1</v>
      </c>
    </row>
    <row r="46" spans="1:8" x14ac:dyDescent="0.15">
      <c r="A46">
        <v>45</v>
      </c>
      <c r="B46" t="s">
        <v>266</v>
      </c>
      <c r="C46">
        <v>0</v>
      </c>
      <c r="D46">
        <v>0</v>
      </c>
      <c r="E46">
        <v>0</v>
      </c>
      <c r="F46">
        <v>1</v>
      </c>
      <c r="G46">
        <v>0</v>
      </c>
      <c r="H46" s="206">
        <f t="shared" si="0"/>
        <v>1</v>
      </c>
    </row>
    <row r="47" spans="1:8" x14ac:dyDescent="0.15">
      <c r="A47">
        <v>46</v>
      </c>
      <c r="B47" t="s">
        <v>267</v>
      </c>
      <c r="C47">
        <v>0</v>
      </c>
      <c r="D47">
        <v>0</v>
      </c>
      <c r="E47">
        <v>0</v>
      </c>
      <c r="F47">
        <v>1</v>
      </c>
      <c r="G47">
        <v>0</v>
      </c>
      <c r="H47" s="206">
        <f t="shared" si="0"/>
        <v>1</v>
      </c>
    </row>
    <row r="48" spans="1:8" x14ac:dyDescent="0.15">
      <c r="A48">
        <v>47</v>
      </c>
      <c r="B48" t="s">
        <v>268</v>
      </c>
      <c r="C48">
        <v>0</v>
      </c>
      <c r="D48">
        <v>0</v>
      </c>
      <c r="E48">
        <v>0</v>
      </c>
      <c r="F48">
        <v>1</v>
      </c>
      <c r="G48">
        <v>0</v>
      </c>
      <c r="H48" s="206">
        <f t="shared" si="0"/>
        <v>1</v>
      </c>
    </row>
    <row r="49" spans="1:8" x14ac:dyDescent="0.15">
      <c r="A49">
        <v>48</v>
      </c>
      <c r="B49" t="s">
        <v>269</v>
      </c>
      <c r="C49">
        <v>0</v>
      </c>
      <c r="D49">
        <v>0</v>
      </c>
      <c r="E49">
        <v>0</v>
      </c>
      <c r="F49">
        <v>1</v>
      </c>
      <c r="G49">
        <v>0</v>
      </c>
      <c r="H49" s="206">
        <f t="shared" si="0"/>
        <v>1</v>
      </c>
    </row>
    <row r="50" spans="1:8" x14ac:dyDescent="0.15">
      <c r="A50">
        <v>49</v>
      </c>
      <c r="B50" t="s">
        <v>270</v>
      </c>
      <c r="C50">
        <v>0</v>
      </c>
      <c r="D50">
        <v>0</v>
      </c>
      <c r="E50">
        <v>0</v>
      </c>
      <c r="F50">
        <v>1</v>
      </c>
      <c r="G50">
        <v>0</v>
      </c>
      <c r="H50" s="206">
        <f t="shared" si="0"/>
        <v>1</v>
      </c>
    </row>
    <row r="51" spans="1:8" x14ac:dyDescent="0.15">
      <c r="A51">
        <v>50</v>
      </c>
      <c r="B51" t="s">
        <v>271</v>
      </c>
      <c r="C51">
        <v>0</v>
      </c>
      <c r="D51">
        <v>0</v>
      </c>
      <c r="E51">
        <v>0</v>
      </c>
      <c r="F51">
        <v>1</v>
      </c>
      <c r="G51">
        <v>0</v>
      </c>
      <c r="H51" s="206">
        <f t="shared" si="0"/>
        <v>1</v>
      </c>
    </row>
    <row r="52" spans="1:8" x14ac:dyDescent="0.15">
      <c r="A52">
        <v>51</v>
      </c>
      <c r="B52" t="s">
        <v>272</v>
      </c>
      <c r="C52">
        <v>0</v>
      </c>
      <c r="D52">
        <v>0</v>
      </c>
      <c r="E52">
        <v>0</v>
      </c>
      <c r="F52">
        <v>1</v>
      </c>
      <c r="G52">
        <v>0</v>
      </c>
      <c r="H52" s="206">
        <f t="shared" si="0"/>
        <v>1</v>
      </c>
    </row>
    <row r="53" spans="1:8" x14ac:dyDescent="0.15">
      <c r="A53">
        <v>52</v>
      </c>
      <c r="B53" t="s">
        <v>273</v>
      </c>
      <c r="C53">
        <v>0</v>
      </c>
      <c r="D53">
        <v>0</v>
      </c>
      <c r="E53">
        <v>0</v>
      </c>
      <c r="F53">
        <v>1</v>
      </c>
      <c r="G53">
        <v>0</v>
      </c>
      <c r="H53" s="206">
        <f t="shared" si="0"/>
        <v>1</v>
      </c>
    </row>
    <row r="54" spans="1:8" x14ac:dyDescent="0.15">
      <c r="A54">
        <v>53</v>
      </c>
      <c r="B54" t="s">
        <v>274</v>
      </c>
      <c r="C54">
        <v>0</v>
      </c>
      <c r="D54">
        <v>0</v>
      </c>
      <c r="E54">
        <v>0</v>
      </c>
      <c r="F54">
        <v>1</v>
      </c>
      <c r="G54">
        <v>0</v>
      </c>
      <c r="H54" s="206">
        <f t="shared" si="0"/>
        <v>1</v>
      </c>
    </row>
    <row r="55" spans="1:8" x14ac:dyDescent="0.15">
      <c r="A55">
        <v>54</v>
      </c>
      <c r="B55" t="s">
        <v>275</v>
      </c>
      <c r="C55">
        <v>0</v>
      </c>
      <c r="D55">
        <v>0</v>
      </c>
      <c r="E55">
        <v>0</v>
      </c>
      <c r="F55">
        <v>1</v>
      </c>
      <c r="G55">
        <v>0</v>
      </c>
      <c r="H55" s="206">
        <f t="shared" si="0"/>
        <v>1</v>
      </c>
    </row>
    <row r="56" spans="1:8" x14ac:dyDescent="0.15">
      <c r="A56">
        <v>55</v>
      </c>
      <c r="B56" t="s">
        <v>276</v>
      </c>
      <c r="C56">
        <v>0</v>
      </c>
      <c r="D56">
        <v>0</v>
      </c>
      <c r="E56">
        <v>0</v>
      </c>
      <c r="F56">
        <v>1</v>
      </c>
      <c r="G56">
        <v>0</v>
      </c>
      <c r="H56" s="206">
        <f t="shared" si="0"/>
        <v>1</v>
      </c>
    </row>
    <row r="57" spans="1:8" x14ac:dyDescent="0.15">
      <c r="A57">
        <v>56</v>
      </c>
      <c r="B57" t="s">
        <v>277</v>
      </c>
      <c r="C57">
        <v>0</v>
      </c>
      <c r="D57">
        <v>0</v>
      </c>
      <c r="E57">
        <v>0</v>
      </c>
      <c r="F57">
        <v>1</v>
      </c>
      <c r="G57">
        <v>0</v>
      </c>
      <c r="H57" s="206">
        <f t="shared" si="0"/>
        <v>1</v>
      </c>
    </row>
    <row r="58" spans="1:8" x14ac:dyDescent="0.15">
      <c r="A58">
        <v>57</v>
      </c>
      <c r="B58" t="s">
        <v>278</v>
      </c>
      <c r="C58">
        <v>0</v>
      </c>
      <c r="D58">
        <v>0</v>
      </c>
      <c r="E58">
        <v>0</v>
      </c>
      <c r="F58">
        <v>1</v>
      </c>
      <c r="G58">
        <v>0</v>
      </c>
      <c r="H58" s="206">
        <f t="shared" si="0"/>
        <v>1</v>
      </c>
    </row>
    <row r="59" spans="1:8" x14ac:dyDescent="0.15">
      <c r="A59">
        <v>58</v>
      </c>
      <c r="B59" t="s">
        <v>279</v>
      </c>
      <c r="C59">
        <v>0</v>
      </c>
      <c r="D59">
        <v>0</v>
      </c>
      <c r="E59">
        <v>0</v>
      </c>
      <c r="F59">
        <v>1</v>
      </c>
      <c r="G59">
        <v>0</v>
      </c>
      <c r="H59" s="206">
        <f t="shared" si="0"/>
        <v>1</v>
      </c>
    </row>
    <row r="60" spans="1:8" x14ac:dyDescent="0.15">
      <c r="A60">
        <v>59</v>
      </c>
      <c r="B60" t="s">
        <v>280</v>
      </c>
      <c r="C60">
        <v>0</v>
      </c>
      <c r="D60">
        <v>0</v>
      </c>
      <c r="E60">
        <v>0</v>
      </c>
      <c r="F60">
        <v>1</v>
      </c>
      <c r="G60">
        <v>0</v>
      </c>
      <c r="H60" s="206">
        <f t="shared" si="0"/>
        <v>1</v>
      </c>
    </row>
    <row r="61" spans="1:8" x14ac:dyDescent="0.15">
      <c r="A61">
        <v>60</v>
      </c>
      <c r="B61" t="s">
        <v>281</v>
      </c>
      <c r="C61">
        <v>0</v>
      </c>
      <c r="D61">
        <v>0</v>
      </c>
      <c r="E61">
        <v>0</v>
      </c>
      <c r="F61">
        <v>1</v>
      </c>
      <c r="G61">
        <v>0</v>
      </c>
      <c r="H61" s="206">
        <f t="shared" si="0"/>
        <v>1</v>
      </c>
    </row>
    <row r="62" spans="1:8" x14ac:dyDescent="0.15">
      <c r="A62">
        <v>61</v>
      </c>
      <c r="B62" t="s">
        <v>282</v>
      </c>
      <c r="C62">
        <v>0</v>
      </c>
      <c r="D62">
        <v>0</v>
      </c>
      <c r="E62">
        <v>0</v>
      </c>
      <c r="F62">
        <v>1</v>
      </c>
      <c r="G62">
        <v>0</v>
      </c>
      <c r="H62" s="206">
        <f t="shared" si="0"/>
        <v>1</v>
      </c>
    </row>
    <row r="63" spans="1:8" x14ac:dyDescent="0.15">
      <c r="A63">
        <v>62</v>
      </c>
      <c r="B63" t="s">
        <v>283</v>
      </c>
      <c r="C63">
        <v>0</v>
      </c>
      <c r="D63">
        <v>0</v>
      </c>
      <c r="E63">
        <v>0</v>
      </c>
      <c r="F63">
        <v>1</v>
      </c>
      <c r="G63">
        <v>0</v>
      </c>
      <c r="H63" s="206">
        <f t="shared" si="0"/>
        <v>1</v>
      </c>
    </row>
    <row r="64" spans="1:8" x14ac:dyDescent="0.15">
      <c r="A64">
        <v>63</v>
      </c>
      <c r="B64" t="s">
        <v>284</v>
      </c>
      <c r="C64">
        <v>0</v>
      </c>
      <c r="D64">
        <v>0</v>
      </c>
      <c r="E64">
        <v>0</v>
      </c>
      <c r="F64">
        <v>1</v>
      </c>
      <c r="G64">
        <v>0</v>
      </c>
      <c r="H64" s="206">
        <f t="shared" si="0"/>
        <v>1</v>
      </c>
    </row>
    <row r="65" spans="1:8" x14ac:dyDescent="0.15">
      <c r="A65">
        <v>64</v>
      </c>
      <c r="B65" t="s">
        <v>285</v>
      </c>
      <c r="C65">
        <v>0</v>
      </c>
      <c r="D65">
        <v>0</v>
      </c>
      <c r="E65">
        <v>0</v>
      </c>
      <c r="F65">
        <v>1</v>
      </c>
      <c r="G65">
        <v>0</v>
      </c>
      <c r="H65" s="206">
        <f t="shared" si="0"/>
        <v>1</v>
      </c>
    </row>
    <row r="66" spans="1:8" x14ac:dyDescent="0.15">
      <c r="A66">
        <v>65</v>
      </c>
      <c r="B66" t="s">
        <v>286</v>
      </c>
      <c r="C66">
        <v>0</v>
      </c>
      <c r="D66">
        <v>0</v>
      </c>
      <c r="E66">
        <v>0</v>
      </c>
      <c r="F66">
        <v>1</v>
      </c>
      <c r="G66">
        <v>0</v>
      </c>
      <c r="H66" s="206">
        <f t="shared" ref="H66:H129" si="1">SUM(C66:G66)</f>
        <v>1</v>
      </c>
    </row>
    <row r="67" spans="1:8" x14ac:dyDescent="0.15">
      <c r="A67">
        <v>66</v>
      </c>
      <c r="B67" t="s">
        <v>287</v>
      </c>
      <c r="C67">
        <v>0</v>
      </c>
      <c r="D67">
        <v>0</v>
      </c>
      <c r="E67">
        <v>0</v>
      </c>
      <c r="F67">
        <v>1</v>
      </c>
      <c r="G67">
        <v>0</v>
      </c>
      <c r="H67" s="206">
        <f t="shared" si="1"/>
        <v>1</v>
      </c>
    </row>
    <row r="68" spans="1:8" x14ac:dyDescent="0.15">
      <c r="A68">
        <v>67</v>
      </c>
      <c r="B68" t="s">
        <v>288</v>
      </c>
      <c r="C68">
        <v>0</v>
      </c>
      <c r="D68">
        <v>0</v>
      </c>
      <c r="E68">
        <v>0</v>
      </c>
      <c r="F68">
        <v>1</v>
      </c>
      <c r="G68">
        <v>0</v>
      </c>
      <c r="H68" s="206">
        <f t="shared" si="1"/>
        <v>1</v>
      </c>
    </row>
    <row r="69" spans="1:8" x14ac:dyDescent="0.15">
      <c r="A69">
        <v>68</v>
      </c>
      <c r="B69" t="s">
        <v>289</v>
      </c>
      <c r="C69">
        <v>0</v>
      </c>
      <c r="D69">
        <v>0</v>
      </c>
      <c r="E69">
        <v>0</v>
      </c>
      <c r="F69">
        <v>1</v>
      </c>
      <c r="G69">
        <v>0</v>
      </c>
      <c r="H69" s="206">
        <f t="shared" si="1"/>
        <v>1</v>
      </c>
    </row>
    <row r="70" spans="1:8" x14ac:dyDescent="0.15">
      <c r="A70">
        <v>69</v>
      </c>
      <c r="B70" t="s">
        <v>290</v>
      </c>
      <c r="C70">
        <v>0</v>
      </c>
      <c r="D70">
        <v>0</v>
      </c>
      <c r="E70">
        <v>0</v>
      </c>
      <c r="F70">
        <v>1</v>
      </c>
      <c r="G70">
        <v>0</v>
      </c>
      <c r="H70" s="206">
        <f t="shared" si="1"/>
        <v>1</v>
      </c>
    </row>
    <row r="71" spans="1:8" x14ac:dyDescent="0.15">
      <c r="A71">
        <v>70</v>
      </c>
      <c r="B71" t="s">
        <v>291</v>
      </c>
      <c r="C71">
        <v>0</v>
      </c>
      <c r="D71">
        <v>0</v>
      </c>
      <c r="E71">
        <v>0</v>
      </c>
      <c r="F71">
        <v>1</v>
      </c>
      <c r="G71">
        <v>0</v>
      </c>
      <c r="H71" s="206">
        <f t="shared" si="1"/>
        <v>1</v>
      </c>
    </row>
    <row r="72" spans="1:8" x14ac:dyDescent="0.15">
      <c r="A72">
        <v>71</v>
      </c>
      <c r="B72" t="s">
        <v>180</v>
      </c>
      <c r="C72">
        <v>0</v>
      </c>
      <c r="D72">
        <v>0</v>
      </c>
      <c r="E72">
        <v>0</v>
      </c>
      <c r="F72">
        <v>1</v>
      </c>
      <c r="G72">
        <v>0</v>
      </c>
      <c r="H72" s="206">
        <f t="shared" si="1"/>
        <v>1</v>
      </c>
    </row>
    <row r="73" spans="1:8" x14ac:dyDescent="0.15">
      <c r="A73">
        <v>72</v>
      </c>
      <c r="B73" t="s">
        <v>292</v>
      </c>
      <c r="C73">
        <v>0</v>
      </c>
      <c r="D73">
        <v>0</v>
      </c>
      <c r="E73">
        <v>0</v>
      </c>
      <c r="F73">
        <v>1</v>
      </c>
      <c r="G73">
        <v>0</v>
      </c>
      <c r="H73" s="206">
        <f t="shared" si="1"/>
        <v>1</v>
      </c>
    </row>
    <row r="74" spans="1:8" x14ac:dyDescent="0.15">
      <c r="A74">
        <v>73</v>
      </c>
      <c r="B74" t="s">
        <v>293</v>
      </c>
      <c r="C74">
        <v>0</v>
      </c>
      <c r="D74">
        <v>0</v>
      </c>
      <c r="E74">
        <v>0</v>
      </c>
      <c r="F74">
        <v>1</v>
      </c>
      <c r="G74">
        <v>0</v>
      </c>
      <c r="H74" s="206">
        <f t="shared" si="1"/>
        <v>1</v>
      </c>
    </row>
    <row r="75" spans="1:8" x14ac:dyDescent="0.15">
      <c r="A75">
        <v>74</v>
      </c>
      <c r="B75" t="s">
        <v>294</v>
      </c>
      <c r="C75">
        <v>0</v>
      </c>
      <c r="D75">
        <v>0</v>
      </c>
      <c r="E75">
        <v>0</v>
      </c>
      <c r="F75">
        <v>1</v>
      </c>
      <c r="G75">
        <v>0</v>
      </c>
      <c r="H75" s="206">
        <f t="shared" si="1"/>
        <v>1</v>
      </c>
    </row>
    <row r="76" spans="1:8" x14ac:dyDescent="0.15">
      <c r="A76">
        <v>75</v>
      </c>
      <c r="B76" t="s">
        <v>295</v>
      </c>
      <c r="C76">
        <v>0</v>
      </c>
      <c r="D76">
        <v>0</v>
      </c>
      <c r="E76">
        <v>0</v>
      </c>
      <c r="F76">
        <v>1</v>
      </c>
      <c r="G76">
        <v>0</v>
      </c>
      <c r="H76" s="206">
        <f t="shared" si="1"/>
        <v>1</v>
      </c>
    </row>
    <row r="77" spans="1:8" x14ac:dyDescent="0.15">
      <c r="A77">
        <v>76</v>
      </c>
      <c r="B77" t="s">
        <v>296</v>
      </c>
      <c r="C77">
        <v>0</v>
      </c>
      <c r="D77">
        <v>0</v>
      </c>
      <c r="E77">
        <v>0</v>
      </c>
      <c r="F77">
        <v>1</v>
      </c>
      <c r="G77">
        <v>0</v>
      </c>
      <c r="H77" s="206">
        <f t="shared" si="1"/>
        <v>1</v>
      </c>
    </row>
    <row r="78" spans="1:8" x14ac:dyDescent="0.15">
      <c r="A78">
        <v>77</v>
      </c>
      <c r="B78" t="s">
        <v>297</v>
      </c>
      <c r="C78">
        <v>0</v>
      </c>
      <c r="D78">
        <v>0</v>
      </c>
      <c r="E78">
        <v>0</v>
      </c>
      <c r="F78">
        <v>1</v>
      </c>
      <c r="G78">
        <v>0</v>
      </c>
      <c r="H78" s="206">
        <f t="shared" si="1"/>
        <v>1</v>
      </c>
    </row>
    <row r="79" spans="1:8" x14ac:dyDescent="0.15">
      <c r="A79">
        <v>78</v>
      </c>
      <c r="B79" t="s">
        <v>298</v>
      </c>
      <c r="C79">
        <v>0</v>
      </c>
      <c r="D79">
        <v>0</v>
      </c>
      <c r="E79">
        <v>0</v>
      </c>
      <c r="F79">
        <v>1</v>
      </c>
      <c r="G79">
        <v>0</v>
      </c>
      <c r="H79" s="206">
        <f t="shared" si="1"/>
        <v>1</v>
      </c>
    </row>
    <row r="80" spans="1:8" x14ac:dyDescent="0.15">
      <c r="A80">
        <v>79</v>
      </c>
      <c r="B80" t="s">
        <v>299</v>
      </c>
      <c r="C80">
        <v>0</v>
      </c>
      <c r="D80">
        <v>0</v>
      </c>
      <c r="E80">
        <v>0</v>
      </c>
      <c r="F80">
        <v>1</v>
      </c>
      <c r="G80">
        <v>0</v>
      </c>
      <c r="H80" s="206">
        <f t="shared" si="1"/>
        <v>1</v>
      </c>
    </row>
    <row r="81" spans="1:8" x14ac:dyDescent="0.15">
      <c r="A81">
        <v>80</v>
      </c>
      <c r="B81" t="s">
        <v>300</v>
      </c>
      <c r="C81">
        <v>0</v>
      </c>
      <c r="D81">
        <v>0</v>
      </c>
      <c r="E81">
        <v>0</v>
      </c>
      <c r="F81">
        <v>1</v>
      </c>
      <c r="G81">
        <v>0</v>
      </c>
      <c r="H81" s="206">
        <f t="shared" si="1"/>
        <v>1</v>
      </c>
    </row>
    <row r="82" spans="1:8" x14ac:dyDescent="0.15">
      <c r="A82">
        <v>81</v>
      </c>
      <c r="B82" t="s">
        <v>301</v>
      </c>
      <c r="C82">
        <v>0</v>
      </c>
      <c r="D82">
        <v>0</v>
      </c>
      <c r="E82">
        <v>0</v>
      </c>
      <c r="F82">
        <v>1</v>
      </c>
      <c r="G82">
        <v>0</v>
      </c>
      <c r="H82" s="206">
        <f t="shared" si="1"/>
        <v>1</v>
      </c>
    </row>
    <row r="83" spans="1:8" x14ac:dyDescent="0.15">
      <c r="A83">
        <v>82</v>
      </c>
      <c r="B83" t="s">
        <v>302</v>
      </c>
      <c r="C83">
        <v>0</v>
      </c>
      <c r="D83">
        <v>0</v>
      </c>
      <c r="E83">
        <v>0</v>
      </c>
      <c r="F83">
        <v>1</v>
      </c>
      <c r="G83">
        <v>0</v>
      </c>
      <c r="H83" s="206">
        <f t="shared" si="1"/>
        <v>1</v>
      </c>
    </row>
    <row r="84" spans="1:8" x14ac:dyDescent="0.15">
      <c r="A84">
        <v>83</v>
      </c>
      <c r="B84" t="s">
        <v>303</v>
      </c>
      <c r="C84">
        <v>0</v>
      </c>
      <c r="D84">
        <v>0</v>
      </c>
      <c r="E84">
        <v>0</v>
      </c>
      <c r="F84">
        <v>1</v>
      </c>
      <c r="G84">
        <v>0</v>
      </c>
      <c r="H84" s="206">
        <f t="shared" si="1"/>
        <v>1</v>
      </c>
    </row>
    <row r="85" spans="1:8" x14ac:dyDescent="0.15">
      <c r="A85">
        <v>84</v>
      </c>
      <c r="B85" t="s">
        <v>304</v>
      </c>
      <c r="C85">
        <v>0</v>
      </c>
      <c r="D85">
        <v>0</v>
      </c>
      <c r="E85">
        <v>0</v>
      </c>
      <c r="F85">
        <v>1</v>
      </c>
      <c r="G85">
        <v>0</v>
      </c>
      <c r="H85" s="206">
        <f t="shared" si="1"/>
        <v>1</v>
      </c>
    </row>
    <row r="86" spans="1:8" x14ac:dyDescent="0.15">
      <c r="A86">
        <v>85</v>
      </c>
      <c r="B86" t="s">
        <v>305</v>
      </c>
      <c r="C86">
        <v>0</v>
      </c>
      <c r="D86">
        <v>0</v>
      </c>
      <c r="E86">
        <v>0</v>
      </c>
      <c r="F86">
        <v>1</v>
      </c>
      <c r="G86">
        <v>0</v>
      </c>
      <c r="H86" s="206">
        <f t="shared" si="1"/>
        <v>1</v>
      </c>
    </row>
    <row r="87" spans="1:8" x14ac:dyDescent="0.15">
      <c r="A87">
        <v>86</v>
      </c>
      <c r="B87" t="s">
        <v>306</v>
      </c>
      <c r="C87">
        <v>0</v>
      </c>
      <c r="D87">
        <v>0</v>
      </c>
      <c r="E87">
        <v>0</v>
      </c>
      <c r="F87">
        <v>1</v>
      </c>
      <c r="G87">
        <v>0</v>
      </c>
      <c r="H87" s="206">
        <f t="shared" si="1"/>
        <v>1</v>
      </c>
    </row>
    <row r="88" spans="1:8" x14ac:dyDescent="0.15">
      <c r="A88">
        <v>87</v>
      </c>
      <c r="B88" t="s">
        <v>307</v>
      </c>
      <c r="C88">
        <v>0</v>
      </c>
      <c r="D88">
        <v>0</v>
      </c>
      <c r="E88">
        <v>0</v>
      </c>
      <c r="F88">
        <v>1</v>
      </c>
      <c r="G88">
        <v>0</v>
      </c>
      <c r="H88" s="206">
        <f t="shared" si="1"/>
        <v>1</v>
      </c>
    </row>
    <row r="89" spans="1:8" x14ac:dyDescent="0.15">
      <c r="A89">
        <v>88</v>
      </c>
      <c r="B89" t="s">
        <v>308</v>
      </c>
      <c r="C89">
        <v>0</v>
      </c>
      <c r="D89">
        <v>0</v>
      </c>
      <c r="E89">
        <v>0</v>
      </c>
      <c r="F89">
        <v>1</v>
      </c>
      <c r="G89">
        <v>0</v>
      </c>
      <c r="H89" s="206">
        <f t="shared" si="1"/>
        <v>1</v>
      </c>
    </row>
    <row r="90" spans="1:8" x14ac:dyDescent="0.15">
      <c r="A90">
        <v>89</v>
      </c>
      <c r="B90" t="s">
        <v>309</v>
      </c>
      <c r="C90">
        <v>0</v>
      </c>
      <c r="D90">
        <v>0</v>
      </c>
      <c r="E90">
        <v>0</v>
      </c>
      <c r="F90">
        <v>1</v>
      </c>
      <c r="G90">
        <v>0</v>
      </c>
      <c r="H90" s="206">
        <f t="shared" si="1"/>
        <v>1</v>
      </c>
    </row>
    <row r="91" spans="1:8" x14ac:dyDescent="0.15">
      <c r="A91">
        <v>90</v>
      </c>
      <c r="B91" t="s">
        <v>310</v>
      </c>
      <c r="C91">
        <v>0</v>
      </c>
      <c r="D91">
        <v>0</v>
      </c>
      <c r="E91">
        <v>0</v>
      </c>
      <c r="F91">
        <v>1</v>
      </c>
      <c r="G91">
        <v>0</v>
      </c>
      <c r="H91" s="206">
        <f t="shared" si="1"/>
        <v>1</v>
      </c>
    </row>
    <row r="92" spans="1:8" x14ac:dyDescent="0.15">
      <c r="A92">
        <v>91</v>
      </c>
      <c r="B92" t="s">
        <v>311</v>
      </c>
      <c r="C92">
        <v>0</v>
      </c>
      <c r="D92">
        <v>0</v>
      </c>
      <c r="E92">
        <v>0</v>
      </c>
      <c r="F92">
        <v>1</v>
      </c>
      <c r="G92">
        <v>0</v>
      </c>
      <c r="H92" s="206">
        <f t="shared" si="1"/>
        <v>1</v>
      </c>
    </row>
    <row r="93" spans="1:8" x14ac:dyDescent="0.15">
      <c r="A93">
        <v>92</v>
      </c>
      <c r="B93" t="s">
        <v>312</v>
      </c>
      <c r="C93">
        <v>0</v>
      </c>
      <c r="D93">
        <v>0</v>
      </c>
      <c r="E93">
        <v>0</v>
      </c>
      <c r="F93">
        <v>1</v>
      </c>
      <c r="G93">
        <v>0</v>
      </c>
      <c r="H93" s="206">
        <f t="shared" si="1"/>
        <v>1</v>
      </c>
    </row>
    <row r="94" spans="1:8" x14ac:dyDescent="0.15">
      <c r="A94">
        <v>93</v>
      </c>
      <c r="B94" t="s">
        <v>313</v>
      </c>
      <c r="C94">
        <v>0</v>
      </c>
      <c r="D94">
        <v>0</v>
      </c>
      <c r="E94">
        <v>0</v>
      </c>
      <c r="F94">
        <v>1</v>
      </c>
      <c r="G94">
        <v>0</v>
      </c>
      <c r="H94" s="206">
        <f t="shared" si="1"/>
        <v>1</v>
      </c>
    </row>
    <row r="95" spans="1:8" x14ac:dyDescent="0.15">
      <c r="A95">
        <v>94</v>
      </c>
      <c r="B95" t="s">
        <v>314</v>
      </c>
      <c r="C95">
        <v>0</v>
      </c>
      <c r="D95">
        <v>0</v>
      </c>
      <c r="E95">
        <v>0</v>
      </c>
      <c r="F95">
        <v>1</v>
      </c>
      <c r="G95">
        <v>0</v>
      </c>
      <c r="H95" s="206">
        <f t="shared" si="1"/>
        <v>1</v>
      </c>
    </row>
    <row r="96" spans="1:8" x14ac:dyDescent="0.15">
      <c r="A96">
        <v>95</v>
      </c>
      <c r="B96" t="s">
        <v>315</v>
      </c>
      <c r="C96">
        <v>0</v>
      </c>
      <c r="D96">
        <v>0</v>
      </c>
      <c r="E96">
        <v>0</v>
      </c>
      <c r="F96">
        <v>1</v>
      </c>
      <c r="G96">
        <v>0</v>
      </c>
      <c r="H96" s="206">
        <f t="shared" si="1"/>
        <v>1</v>
      </c>
    </row>
    <row r="97" spans="1:8" x14ac:dyDescent="0.15">
      <c r="A97">
        <v>96</v>
      </c>
      <c r="B97" t="s">
        <v>316</v>
      </c>
      <c r="C97">
        <v>0</v>
      </c>
      <c r="D97">
        <v>0</v>
      </c>
      <c r="E97">
        <v>0</v>
      </c>
      <c r="F97">
        <v>1</v>
      </c>
      <c r="G97">
        <v>0</v>
      </c>
      <c r="H97" s="206">
        <f t="shared" si="1"/>
        <v>1</v>
      </c>
    </row>
    <row r="98" spans="1:8" x14ac:dyDescent="0.15">
      <c r="A98">
        <v>97</v>
      </c>
      <c r="B98" t="s">
        <v>317</v>
      </c>
      <c r="C98">
        <v>0</v>
      </c>
      <c r="D98">
        <v>0</v>
      </c>
      <c r="E98">
        <v>0</v>
      </c>
      <c r="F98">
        <v>1</v>
      </c>
      <c r="G98">
        <v>0</v>
      </c>
      <c r="H98" s="206">
        <f t="shared" si="1"/>
        <v>1</v>
      </c>
    </row>
    <row r="99" spans="1:8" x14ac:dyDescent="0.15">
      <c r="A99">
        <v>98</v>
      </c>
      <c r="B99" t="s">
        <v>318</v>
      </c>
      <c r="C99">
        <v>0</v>
      </c>
      <c r="D99">
        <v>0</v>
      </c>
      <c r="E99">
        <v>0</v>
      </c>
      <c r="F99">
        <v>1</v>
      </c>
      <c r="G99">
        <v>0</v>
      </c>
      <c r="H99" s="206">
        <f t="shared" si="1"/>
        <v>1</v>
      </c>
    </row>
    <row r="100" spans="1:8" x14ac:dyDescent="0.15">
      <c r="A100">
        <v>99</v>
      </c>
      <c r="B100" t="s">
        <v>319</v>
      </c>
      <c r="C100">
        <v>0</v>
      </c>
      <c r="D100">
        <v>0</v>
      </c>
      <c r="E100">
        <v>0</v>
      </c>
      <c r="F100">
        <v>1</v>
      </c>
      <c r="G100">
        <v>0</v>
      </c>
      <c r="H100" s="206">
        <f t="shared" si="1"/>
        <v>1</v>
      </c>
    </row>
    <row r="101" spans="1:8" x14ac:dyDescent="0.15">
      <c r="A101">
        <v>100</v>
      </c>
      <c r="B101" t="s">
        <v>320</v>
      </c>
      <c r="C101">
        <v>0</v>
      </c>
      <c r="D101">
        <v>0</v>
      </c>
      <c r="E101">
        <v>0</v>
      </c>
      <c r="F101">
        <v>1</v>
      </c>
      <c r="G101">
        <v>0</v>
      </c>
      <c r="H101" s="206">
        <f t="shared" si="1"/>
        <v>1</v>
      </c>
    </row>
    <row r="102" spans="1:8" x14ac:dyDescent="0.15">
      <c r="A102">
        <v>101</v>
      </c>
      <c r="B102" t="s">
        <v>321</v>
      </c>
      <c r="C102">
        <v>0</v>
      </c>
      <c r="D102">
        <v>0</v>
      </c>
      <c r="E102">
        <v>0</v>
      </c>
      <c r="F102">
        <v>1</v>
      </c>
      <c r="G102">
        <v>0</v>
      </c>
      <c r="H102" s="206">
        <f t="shared" si="1"/>
        <v>1</v>
      </c>
    </row>
    <row r="103" spans="1:8" x14ac:dyDescent="0.15">
      <c r="A103">
        <v>102</v>
      </c>
      <c r="B103" t="s">
        <v>322</v>
      </c>
      <c r="C103">
        <v>0</v>
      </c>
      <c r="D103">
        <v>0</v>
      </c>
      <c r="E103">
        <v>0</v>
      </c>
      <c r="F103">
        <v>1</v>
      </c>
      <c r="G103">
        <v>0</v>
      </c>
      <c r="H103" s="206">
        <f t="shared" si="1"/>
        <v>1</v>
      </c>
    </row>
    <row r="104" spans="1:8" x14ac:dyDescent="0.15">
      <c r="A104">
        <v>103</v>
      </c>
      <c r="B104" t="s">
        <v>323</v>
      </c>
      <c r="C104">
        <v>0</v>
      </c>
      <c r="D104">
        <v>0</v>
      </c>
      <c r="E104">
        <v>0</v>
      </c>
      <c r="F104">
        <v>1</v>
      </c>
      <c r="G104">
        <v>0</v>
      </c>
      <c r="H104" s="206">
        <f t="shared" si="1"/>
        <v>1</v>
      </c>
    </row>
    <row r="105" spans="1:8" x14ac:dyDescent="0.15">
      <c r="A105">
        <v>104</v>
      </c>
      <c r="B105" t="s">
        <v>324</v>
      </c>
      <c r="C105">
        <v>0</v>
      </c>
      <c r="D105">
        <v>0</v>
      </c>
      <c r="E105">
        <v>0</v>
      </c>
      <c r="F105">
        <v>1</v>
      </c>
      <c r="G105">
        <v>0</v>
      </c>
      <c r="H105" s="206">
        <f t="shared" si="1"/>
        <v>1</v>
      </c>
    </row>
    <row r="106" spans="1:8" x14ac:dyDescent="0.15">
      <c r="A106">
        <v>105</v>
      </c>
      <c r="B106" t="s">
        <v>325</v>
      </c>
      <c r="C106">
        <v>0</v>
      </c>
      <c r="D106">
        <v>0</v>
      </c>
      <c r="E106">
        <v>0.34</v>
      </c>
      <c r="F106">
        <v>0.66</v>
      </c>
      <c r="G106">
        <v>0</v>
      </c>
      <c r="H106" s="206">
        <f t="shared" si="1"/>
        <v>1</v>
      </c>
    </row>
    <row r="107" spans="1:8" x14ac:dyDescent="0.15">
      <c r="A107">
        <v>106</v>
      </c>
      <c r="B107" t="s">
        <v>326</v>
      </c>
      <c r="C107">
        <v>0</v>
      </c>
      <c r="D107">
        <v>0</v>
      </c>
      <c r="E107">
        <v>0.34</v>
      </c>
      <c r="F107">
        <v>0.66</v>
      </c>
      <c r="G107">
        <v>0</v>
      </c>
      <c r="H107" s="206">
        <f t="shared" si="1"/>
        <v>1</v>
      </c>
    </row>
    <row r="108" spans="1:8" x14ac:dyDescent="0.15">
      <c r="A108">
        <v>107</v>
      </c>
      <c r="B108" t="s">
        <v>327</v>
      </c>
      <c r="C108">
        <v>0</v>
      </c>
      <c r="D108">
        <v>0</v>
      </c>
      <c r="E108">
        <v>0.34</v>
      </c>
      <c r="F108">
        <v>0.66</v>
      </c>
      <c r="G108">
        <v>0</v>
      </c>
      <c r="H108" s="206">
        <f t="shared" si="1"/>
        <v>1</v>
      </c>
    </row>
    <row r="109" spans="1:8" x14ac:dyDescent="0.15">
      <c r="A109">
        <v>108</v>
      </c>
      <c r="B109" t="s">
        <v>328</v>
      </c>
      <c r="C109">
        <v>0</v>
      </c>
      <c r="D109">
        <v>0</v>
      </c>
      <c r="E109">
        <v>0.34</v>
      </c>
      <c r="F109">
        <v>0.66</v>
      </c>
      <c r="G109">
        <v>0</v>
      </c>
      <c r="H109" s="206">
        <f t="shared" si="1"/>
        <v>1</v>
      </c>
    </row>
    <row r="110" spans="1:8" x14ac:dyDescent="0.15">
      <c r="A110">
        <v>109</v>
      </c>
      <c r="B110" t="s">
        <v>329</v>
      </c>
      <c r="C110">
        <v>0</v>
      </c>
      <c r="D110">
        <v>0</v>
      </c>
      <c r="E110">
        <v>0.34</v>
      </c>
      <c r="F110">
        <v>0.66</v>
      </c>
      <c r="G110">
        <v>0</v>
      </c>
      <c r="H110" s="206">
        <f t="shared" si="1"/>
        <v>1</v>
      </c>
    </row>
    <row r="111" spans="1:8" x14ac:dyDescent="0.15">
      <c r="A111">
        <v>110</v>
      </c>
      <c r="B111" t="s">
        <v>330</v>
      </c>
      <c r="C111">
        <v>0</v>
      </c>
      <c r="D111">
        <v>0</v>
      </c>
      <c r="E111">
        <v>0.34</v>
      </c>
      <c r="F111">
        <v>0.66</v>
      </c>
      <c r="G111">
        <v>0</v>
      </c>
      <c r="H111" s="206">
        <f t="shared" si="1"/>
        <v>1</v>
      </c>
    </row>
    <row r="112" spans="1:8" x14ac:dyDescent="0.15">
      <c r="A112">
        <v>111</v>
      </c>
      <c r="B112" t="s">
        <v>331</v>
      </c>
      <c r="C112">
        <v>0</v>
      </c>
      <c r="D112">
        <v>0</v>
      </c>
      <c r="E112">
        <v>0.34</v>
      </c>
      <c r="F112">
        <v>0.66</v>
      </c>
      <c r="G112">
        <v>0</v>
      </c>
      <c r="H112" s="206">
        <f t="shared" si="1"/>
        <v>1</v>
      </c>
    </row>
    <row r="113" spans="1:8" x14ac:dyDescent="0.15">
      <c r="A113">
        <v>112</v>
      </c>
      <c r="B113" t="s">
        <v>332</v>
      </c>
      <c r="C113">
        <v>0</v>
      </c>
      <c r="D113">
        <v>0</v>
      </c>
      <c r="E113">
        <v>0.34</v>
      </c>
      <c r="F113">
        <v>0.66</v>
      </c>
      <c r="G113">
        <v>0</v>
      </c>
      <c r="H113" s="206">
        <f t="shared" si="1"/>
        <v>1</v>
      </c>
    </row>
    <row r="114" spans="1:8" x14ac:dyDescent="0.15">
      <c r="A114">
        <v>113</v>
      </c>
      <c r="B114" t="s">
        <v>333</v>
      </c>
      <c r="C114">
        <v>0</v>
      </c>
      <c r="D114">
        <v>0</v>
      </c>
      <c r="E114">
        <v>0.34</v>
      </c>
      <c r="F114">
        <v>0.66</v>
      </c>
      <c r="G114">
        <v>0</v>
      </c>
      <c r="H114" s="206">
        <f t="shared" si="1"/>
        <v>1</v>
      </c>
    </row>
    <row r="115" spans="1:8" x14ac:dyDescent="0.15">
      <c r="A115">
        <v>114</v>
      </c>
      <c r="B115" t="s">
        <v>334</v>
      </c>
      <c r="C115">
        <v>0</v>
      </c>
      <c r="D115">
        <v>0</v>
      </c>
      <c r="E115">
        <v>0.7</v>
      </c>
      <c r="F115">
        <v>0.3</v>
      </c>
      <c r="G115">
        <v>0</v>
      </c>
      <c r="H115" s="206">
        <f t="shared" si="1"/>
        <v>1</v>
      </c>
    </row>
    <row r="116" spans="1:8" x14ac:dyDescent="0.15">
      <c r="A116">
        <v>115</v>
      </c>
      <c r="B116" t="s">
        <v>335</v>
      </c>
      <c r="C116">
        <v>0</v>
      </c>
      <c r="D116">
        <v>0</v>
      </c>
      <c r="E116">
        <v>0</v>
      </c>
      <c r="F116">
        <v>1</v>
      </c>
      <c r="G116">
        <v>0</v>
      </c>
      <c r="H116" s="206">
        <f t="shared" si="1"/>
        <v>1</v>
      </c>
    </row>
    <row r="117" spans="1:8" x14ac:dyDescent="0.15">
      <c r="A117">
        <v>116</v>
      </c>
      <c r="B117" t="s">
        <v>336</v>
      </c>
      <c r="C117">
        <v>0</v>
      </c>
      <c r="D117">
        <v>0</v>
      </c>
      <c r="E117">
        <v>0</v>
      </c>
      <c r="F117">
        <v>1</v>
      </c>
      <c r="G117">
        <v>0</v>
      </c>
      <c r="H117" s="206">
        <f t="shared" si="1"/>
        <v>1</v>
      </c>
    </row>
    <row r="118" spans="1:8" x14ac:dyDescent="0.15">
      <c r="A118">
        <v>117</v>
      </c>
      <c r="B118" t="s">
        <v>337</v>
      </c>
      <c r="C118">
        <v>0</v>
      </c>
      <c r="D118">
        <v>0</v>
      </c>
      <c r="E118">
        <v>0.34</v>
      </c>
      <c r="F118">
        <v>0.66</v>
      </c>
      <c r="G118">
        <v>0</v>
      </c>
      <c r="H118" s="206">
        <f t="shared" si="1"/>
        <v>1</v>
      </c>
    </row>
    <row r="119" spans="1:8" x14ac:dyDescent="0.15">
      <c r="A119">
        <v>118</v>
      </c>
      <c r="B119" t="s">
        <v>338</v>
      </c>
      <c r="C119">
        <v>0</v>
      </c>
      <c r="D119">
        <v>0</v>
      </c>
      <c r="E119">
        <v>0.4</v>
      </c>
      <c r="F119">
        <v>0.6</v>
      </c>
      <c r="G119">
        <v>0</v>
      </c>
      <c r="H119" s="206">
        <f t="shared" si="1"/>
        <v>1</v>
      </c>
    </row>
    <row r="120" spans="1:8" x14ac:dyDescent="0.15">
      <c r="A120">
        <v>119</v>
      </c>
      <c r="B120" t="s">
        <v>339</v>
      </c>
      <c r="C120">
        <v>0</v>
      </c>
      <c r="D120" s="214">
        <v>1</v>
      </c>
      <c r="E120">
        <v>0</v>
      </c>
      <c r="F120">
        <v>0</v>
      </c>
      <c r="G120">
        <v>0</v>
      </c>
      <c r="H120" s="206">
        <f t="shared" si="1"/>
        <v>1</v>
      </c>
    </row>
    <row r="121" spans="1:8" x14ac:dyDescent="0.15">
      <c r="A121">
        <v>120</v>
      </c>
      <c r="B121" t="s">
        <v>340</v>
      </c>
      <c r="C121">
        <v>0</v>
      </c>
      <c r="D121">
        <v>0</v>
      </c>
      <c r="E121">
        <v>0</v>
      </c>
      <c r="F121" s="214">
        <v>1</v>
      </c>
      <c r="G121">
        <v>0</v>
      </c>
      <c r="H121" s="206">
        <f t="shared" si="1"/>
        <v>1</v>
      </c>
    </row>
    <row r="122" spans="1:8" x14ac:dyDescent="0.15">
      <c r="A122">
        <v>121</v>
      </c>
      <c r="B122" t="s">
        <v>341</v>
      </c>
      <c r="C122">
        <v>0</v>
      </c>
      <c r="D122">
        <v>0</v>
      </c>
      <c r="E122">
        <v>0</v>
      </c>
      <c r="F122" s="214">
        <v>1</v>
      </c>
      <c r="G122">
        <v>0</v>
      </c>
      <c r="H122" s="206">
        <f t="shared" si="1"/>
        <v>1</v>
      </c>
    </row>
    <row r="123" spans="1:8" x14ac:dyDescent="0.15">
      <c r="A123">
        <v>122</v>
      </c>
      <c r="B123" t="s">
        <v>342</v>
      </c>
      <c r="C123">
        <v>0</v>
      </c>
      <c r="D123">
        <v>0</v>
      </c>
      <c r="E123">
        <v>0</v>
      </c>
      <c r="F123">
        <v>0</v>
      </c>
      <c r="G123" s="214">
        <v>1</v>
      </c>
      <c r="H123" s="206">
        <f t="shared" si="1"/>
        <v>1</v>
      </c>
    </row>
    <row r="124" spans="1:8" x14ac:dyDescent="0.15">
      <c r="A124">
        <v>123</v>
      </c>
      <c r="B124" t="s">
        <v>343</v>
      </c>
      <c r="C124">
        <v>0.5</v>
      </c>
      <c r="D124">
        <v>0.5</v>
      </c>
      <c r="E124">
        <v>0</v>
      </c>
      <c r="F124">
        <v>0</v>
      </c>
      <c r="G124">
        <v>0</v>
      </c>
      <c r="H124" s="206">
        <f t="shared" si="1"/>
        <v>1</v>
      </c>
    </row>
    <row r="125" spans="1:8" x14ac:dyDescent="0.15">
      <c r="A125">
        <v>124</v>
      </c>
      <c r="B125" t="s">
        <v>344</v>
      </c>
      <c r="C125">
        <v>0.5</v>
      </c>
      <c r="D125">
        <v>0.5</v>
      </c>
      <c r="E125">
        <v>0</v>
      </c>
      <c r="F125">
        <v>0</v>
      </c>
      <c r="G125">
        <v>0</v>
      </c>
      <c r="H125" s="206">
        <f t="shared" si="1"/>
        <v>1</v>
      </c>
    </row>
    <row r="126" spans="1:8" x14ac:dyDescent="0.15">
      <c r="A126">
        <v>125</v>
      </c>
      <c r="B126" t="s">
        <v>345</v>
      </c>
      <c r="C126">
        <v>0.5</v>
      </c>
      <c r="D126">
        <v>0.5</v>
      </c>
      <c r="E126">
        <v>0</v>
      </c>
      <c r="F126">
        <v>0</v>
      </c>
      <c r="G126">
        <v>0</v>
      </c>
      <c r="H126" s="206">
        <f t="shared" si="1"/>
        <v>1</v>
      </c>
    </row>
    <row r="127" spans="1:8" x14ac:dyDescent="0.15">
      <c r="A127">
        <v>126</v>
      </c>
      <c r="B127" t="s">
        <v>346</v>
      </c>
      <c r="C127">
        <v>0.5</v>
      </c>
      <c r="D127">
        <v>0.5</v>
      </c>
      <c r="E127">
        <v>0</v>
      </c>
      <c r="F127">
        <v>0</v>
      </c>
      <c r="G127">
        <v>0</v>
      </c>
      <c r="H127" s="206">
        <f t="shared" si="1"/>
        <v>1</v>
      </c>
    </row>
    <row r="128" spans="1:8" x14ac:dyDescent="0.15">
      <c r="A128">
        <v>127</v>
      </c>
      <c r="B128" t="s">
        <v>347</v>
      </c>
      <c r="C128">
        <v>0.5</v>
      </c>
      <c r="D128">
        <v>0.5</v>
      </c>
      <c r="E128">
        <v>0</v>
      </c>
      <c r="F128">
        <v>0</v>
      </c>
      <c r="G128">
        <v>0</v>
      </c>
      <c r="H128" s="206">
        <f t="shared" si="1"/>
        <v>1</v>
      </c>
    </row>
    <row r="129" spans="1:8" x14ac:dyDescent="0.15">
      <c r="A129">
        <v>128</v>
      </c>
      <c r="B129" t="s">
        <v>348</v>
      </c>
      <c r="C129">
        <v>0.84638930000000001</v>
      </c>
      <c r="D129">
        <v>0.15361069999999999</v>
      </c>
      <c r="E129">
        <v>0</v>
      </c>
      <c r="F129">
        <v>0</v>
      </c>
      <c r="G129">
        <v>0</v>
      </c>
      <c r="H129" s="206">
        <f t="shared" si="1"/>
        <v>1</v>
      </c>
    </row>
    <row r="130" spans="1:8" x14ac:dyDescent="0.15">
      <c r="A130">
        <v>129</v>
      </c>
      <c r="B130" t="s">
        <v>349</v>
      </c>
      <c r="C130">
        <v>0.69520309999999996</v>
      </c>
      <c r="D130">
        <v>0.30479679999999998</v>
      </c>
      <c r="E130">
        <v>0</v>
      </c>
      <c r="F130">
        <v>0</v>
      </c>
      <c r="G130">
        <v>0</v>
      </c>
      <c r="H130" s="206">
        <f t="shared" ref="H130:H137" si="2">SUM(C130:G130)</f>
        <v>0.99999989999999994</v>
      </c>
    </row>
    <row r="131" spans="1:8" x14ac:dyDescent="0.15">
      <c r="A131">
        <v>130</v>
      </c>
      <c r="B131" t="s">
        <v>350</v>
      </c>
      <c r="C131">
        <v>0.39775310000000003</v>
      </c>
      <c r="D131">
        <v>0.60224690000000003</v>
      </c>
      <c r="E131">
        <v>0</v>
      </c>
      <c r="F131">
        <v>0</v>
      </c>
      <c r="G131">
        <v>0</v>
      </c>
      <c r="H131" s="206">
        <f t="shared" si="2"/>
        <v>1</v>
      </c>
    </row>
    <row r="132" spans="1:8" x14ac:dyDescent="0.15">
      <c r="A132">
        <v>131</v>
      </c>
      <c r="B132" t="s">
        <v>351</v>
      </c>
      <c r="C132">
        <v>0.1403662</v>
      </c>
      <c r="D132">
        <v>0.8596338</v>
      </c>
      <c r="E132">
        <v>0</v>
      </c>
      <c r="F132">
        <v>0</v>
      </c>
      <c r="G132">
        <v>0</v>
      </c>
      <c r="H132" s="206">
        <f t="shared" si="2"/>
        <v>1</v>
      </c>
    </row>
    <row r="133" spans="1:8" x14ac:dyDescent="0.15">
      <c r="A133">
        <v>132</v>
      </c>
      <c r="B133" t="s">
        <v>352</v>
      </c>
      <c r="C133">
        <v>0.36002279999999998</v>
      </c>
      <c r="D133">
        <v>0.63997720000000002</v>
      </c>
      <c r="E133">
        <v>0</v>
      </c>
      <c r="F133">
        <v>0</v>
      </c>
      <c r="G133">
        <v>0</v>
      </c>
      <c r="H133" s="206">
        <f t="shared" si="2"/>
        <v>1</v>
      </c>
    </row>
    <row r="134" spans="1:8" x14ac:dyDescent="0.15">
      <c r="A134">
        <v>133</v>
      </c>
      <c r="B134" t="s">
        <v>353</v>
      </c>
      <c r="C134">
        <v>0.1350133</v>
      </c>
      <c r="D134">
        <v>0.8649867</v>
      </c>
      <c r="E134">
        <v>0</v>
      </c>
      <c r="F134">
        <v>0</v>
      </c>
      <c r="G134">
        <v>0</v>
      </c>
      <c r="H134" s="206">
        <f t="shared" si="2"/>
        <v>1</v>
      </c>
    </row>
    <row r="135" spans="1:8" x14ac:dyDescent="0.15">
      <c r="A135">
        <v>134</v>
      </c>
      <c r="B135" t="s">
        <v>354</v>
      </c>
      <c r="C135">
        <v>0.62722009999999995</v>
      </c>
      <c r="D135">
        <v>0.3727799</v>
      </c>
      <c r="E135">
        <v>0</v>
      </c>
      <c r="F135">
        <v>0</v>
      </c>
      <c r="G135">
        <v>0</v>
      </c>
      <c r="H135" s="206">
        <f t="shared" si="2"/>
        <v>1</v>
      </c>
    </row>
    <row r="136" spans="1:8" x14ac:dyDescent="0.15">
      <c r="A136">
        <v>135</v>
      </c>
      <c r="B136" t="s">
        <v>355</v>
      </c>
      <c r="C136">
        <v>0.7781148</v>
      </c>
      <c r="D136">
        <v>0.2218852</v>
      </c>
      <c r="E136">
        <v>0</v>
      </c>
      <c r="F136">
        <v>0</v>
      </c>
      <c r="G136">
        <v>0</v>
      </c>
      <c r="H136" s="206">
        <f t="shared" si="2"/>
        <v>1</v>
      </c>
    </row>
    <row r="137" spans="1:8" x14ac:dyDescent="0.15">
      <c r="A137">
        <v>136</v>
      </c>
      <c r="B137" t="s">
        <v>356</v>
      </c>
      <c r="C137">
        <v>0.5</v>
      </c>
      <c r="D137">
        <v>0.5</v>
      </c>
      <c r="E137">
        <v>0</v>
      </c>
      <c r="F137">
        <v>0</v>
      </c>
      <c r="G137">
        <v>0</v>
      </c>
      <c r="H137" s="206">
        <f t="shared" si="2"/>
        <v>1</v>
      </c>
    </row>
    <row r="138" spans="1:8" ht="12" customHeight="1" x14ac:dyDescent="0.15"/>
    <row r="139" spans="1:8" ht="12" customHeight="1" x14ac:dyDescent="0.15"/>
    <row r="140" spans="1:8" ht="12" customHeight="1" x14ac:dyDescent="0.15"/>
    <row r="141" spans="1:8" ht="12" customHeight="1" x14ac:dyDescent="0.15"/>
    <row r="142" spans="1:8" ht="12" customHeight="1" x14ac:dyDescent="0.15"/>
    <row r="143" spans="1:8" ht="12" customHeight="1" x14ac:dyDescent="0.15"/>
    <row r="144" spans="1:8" ht="12" customHeight="1" x14ac:dyDescent="0.15"/>
    <row r="145" ht="12" customHeight="1" x14ac:dyDescent="0.15"/>
    <row r="146" ht="12" customHeight="1" x14ac:dyDescent="0.15"/>
    <row r="147" ht="12" customHeight="1" x14ac:dyDescent="0.15"/>
    <row r="148" ht="12" customHeight="1" x14ac:dyDescent="0.15"/>
    <row r="149" ht="12" customHeight="1" x14ac:dyDescent="0.15"/>
    <row r="150" ht="12" customHeight="1" x14ac:dyDescent="0.15"/>
    <row r="151" ht="12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Q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3" width="13" bestFit="1" customWidth="1"/>
    <col min="4" max="4" width="13" customWidth="1"/>
  </cols>
  <sheetData>
    <row r="1" spans="1:17" s="140" customFormat="1" ht="28" x14ac:dyDescent="0.15">
      <c r="A1" s="139" t="s">
        <v>21</v>
      </c>
      <c r="B1" s="142" t="s">
        <v>0</v>
      </c>
      <c r="C1" t="s">
        <v>343</v>
      </c>
      <c r="D1" t="s">
        <v>344</v>
      </c>
      <c r="E1" t="s">
        <v>345</v>
      </c>
      <c r="F1" t="s">
        <v>346</v>
      </c>
      <c r="G1" t="s">
        <v>347</v>
      </c>
      <c r="H1" t="s">
        <v>348</v>
      </c>
      <c r="I1" t="s">
        <v>349</v>
      </c>
      <c r="J1" t="s">
        <v>350</v>
      </c>
      <c r="K1" t="s">
        <v>351</v>
      </c>
      <c r="L1" t="s">
        <v>352</v>
      </c>
      <c r="M1" t="s">
        <v>353</v>
      </c>
      <c r="N1" t="s">
        <v>354</v>
      </c>
      <c r="O1" t="s">
        <v>355</v>
      </c>
      <c r="P1" t="s">
        <v>356</v>
      </c>
      <c r="Q1" s="140" t="s">
        <v>222</v>
      </c>
    </row>
    <row r="2" spans="1:17" x14ac:dyDescent="0.15">
      <c r="A2">
        <v>1</v>
      </c>
      <c r="B2" t="s">
        <v>225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 s="224">
        <f>SUM(C2:P2)</f>
        <v>0</v>
      </c>
    </row>
    <row r="3" spans="1:17" x14ac:dyDescent="0.15">
      <c r="A3">
        <v>2</v>
      </c>
      <c r="B3" t="s">
        <v>226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224">
        <f t="shared" ref="Q3:Q66" si="0">SUM(C3:P3)</f>
        <v>0</v>
      </c>
    </row>
    <row r="4" spans="1:17" x14ac:dyDescent="0.15">
      <c r="A4">
        <v>3</v>
      </c>
      <c r="B4" t="s">
        <v>227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224">
        <f t="shared" si="0"/>
        <v>0</v>
      </c>
    </row>
    <row r="5" spans="1:17" x14ac:dyDescent="0.15">
      <c r="A5">
        <v>4</v>
      </c>
      <c r="B5" t="s">
        <v>228</v>
      </c>
      <c r="C5">
        <v>0</v>
      </c>
      <c r="D5">
        <v>0</v>
      </c>
      <c r="E5">
        <v>0</v>
      </c>
      <c r="F5">
        <v>0</v>
      </c>
      <c r="G5">
        <v>1.2927380000000001E-7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224">
        <f t="shared" si="0"/>
        <v>1.2927380000000001E-7</v>
      </c>
    </row>
    <row r="6" spans="1:17" x14ac:dyDescent="0.15">
      <c r="A6">
        <v>5</v>
      </c>
      <c r="B6" t="s">
        <v>229</v>
      </c>
      <c r="C6">
        <v>0</v>
      </c>
      <c r="D6">
        <v>0</v>
      </c>
      <c r="E6">
        <v>0</v>
      </c>
      <c r="F6">
        <v>0</v>
      </c>
      <c r="G6">
        <v>8.5663380000000006E-8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224">
        <f t="shared" si="0"/>
        <v>8.5663380000000006E-8</v>
      </c>
    </row>
    <row r="7" spans="1:17" x14ac:dyDescent="0.15">
      <c r="A7">
        <v>6</v>
      </c>
      <c r="B7" t="s">
        <v>230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224">
        <f t="shared" si="0"/>
        <v>0</v>
      </c>
    </row>
    <row r="8" spans="1:17" x14ac:dyDescent="0.15">
      <c r="A8">
        <v>7</v>
      </c>
      <c r="B8" t="s">
        <v>231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 s="224">
        <f t="shared" si="0"/>
        <v>0</v>
      </c>
    </row>
    <row r="9" spans="1:17" x14ac:dyDescent="0.15">
      <c r="A9">
        <v>8</v>
      </c>
      <c r="B9" t="s">
        <v>232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224">
        <f t="shared" si="0"/>
        <v>0</v>
      </c>
    </row>
    <row r="10" spans="1:17" x14ac:dyDescent="0.15">
      <c r="A10">
        <v>9</v>
      </c>
      <c r="B10" t="s">
        <v>233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224">
        <f t="shared" si="0"/>
        <v>0</v>
      </c>
    </row>
    <row r="11" spans="1:17" x14ac:dyDescent="0.15">
      <c r="A11">
        <v>10</v>
      </c>
      <c r="B11" t="s">
        <v>234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224">
        <f t="shared" si="0"/>
        <v>0</v>
      </c>
    </row>
    <row r="12" spans="1:17" x14ac:dyDescent="0.15">
      <c r="A12">
        <v>11</v>
      </c>
      <c r="B12" t="s">
        <v>235</v>
      </c>
      <c r="C12">
        <v>0</v>
      </c>
      <c r="D12">
        <v>0</v>
      </c>
      <c r="E12">
        <v>0</v>
      </c>
      <c r="F12">
        <v>0</v>
      </c>
      <c r="G12">
        <v>3.6238200000000001E-8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 s="224">
        <f t="shared" si="0"/>
        <v>3.6238200000000001E-8</v>
      </c>
    </row>
    <row r="13" spans="1:17" x14ac:dyDescent="0.15">
      <c r="A13">
        <v>12</v>
      </c>
      <c r="B13" t="s">
        <v>236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 s="224">
        <f t="shared" si="0"/>
        <v>0</v>
      </c>
    </row>
    <row r="14" spans="1:17" x14ac:dyDescent="0.15">
      <c r="A14">
        <v>13</v>
      </c>
      <c r="B14" t="s">
        <v>237</v>
      </c>
      <c r="C14">
        <v>0</v>
      </c>
      <c r="D14">
        <v>0</v>
      </c>
      <c r="E14">
        <v>0</v>
      </c>
      <c r="F14">
        <v>0</v>
      </c>
      <c r="G14">
        <v>1.339464E-7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224">
        <f t="shared" si="0"/>
        <v>1.339464E-7</v>
      </c>
    </row>
    <row r="15" spans="1:17" x14ac:dyDescent="0.15">
      <c r="A15">
        <v>14</v>
      </c>
      <c r="B15" t="s">
        <v>238</v>
      </c>
      <c r="C15">
        <v>0</v>
      </c>
      <c r="D15">
        <v>0</v>
      </c>
      <c r="E15">
        <v>0</v>
      </c>
      <c r="F15">
        <v>0</v>
      </c>
      <c r="G15">
        <v>2.4417619999999999E-6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224">
        <f t="shared" si="0"/>
        <v>2.4417619999999999E-6</v>
      </c>
    </row>
    <row r="16" spans="1:17" x14ac:dyDescent="0.15">
      <c r="A16">
        <v>15</v>
      </c>
      <c r="B16" t="s">
        <v>239</v>
      </c>
      <c r="C16">
        <v>0</v>
      </c>
      <c r="D16">
        <v>0</v>
      </c>
      <c r="E16">
        <v>0</v>
      </c>
      <c r="F16">
        <v>0</v>
      </c>
      <c r="G16">
        <v>2.5687360000000001E-5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 s="224">
        <f t="shared" si="0"/>
        <v>2.5687360000000001E-5</v>
      </c>
    </row>
    <row r="17" spans="1:17" x14ac:dyDescent="0.15">
      <c r="A17">
        <v>16</v>
      </c>
      <c r="B17" t="s">
        <v>240</v>
      </c>
      <c r="C17">
        <v>0</v>
      </c>
      <c r="D17">
        <v>0</v>
      </c>
      <c r="E17">
        <v>0</v>
      </c>
      <c r="F17">
        <v>0</v>
      </c>
      <c r="G17">
        <v>5.2195969999999998E-5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 s="224">
        <f t="shared" si="0"/>
        <v>5.2195969999999998E-5</v>
      </c>
    </row>
    <row r="18" spans="1:17" x14ac:dyDescent="0.15">
      <c r="A18">
        <v>17</v>
      </c>
      <c r="B18" t="s">
        <v>241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 s="224">
        <f t="shared" si="0"/>
        <v>0</v>
      </c>
    </row>
    <row r="19" spans="1:17" x14ac:dyDescent="0.15">
      <c r="A19">
        <v>18</v>
      </c>
      <c r="B19" t="s">
        <v>242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 s="224">
        <f t="shared" si="0"/>
        <v>0</v>
      </c>
    </row>
    <row r="20" spans="1:17" x14ac:dyDescent="0.15">
      <c r="A20">
        <v>19</v>
      </c>
      <c r="B20" t="s">
        <v>243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s="224">
        <f t="shared" si="0"/>
        <v>0</v>
      </c>
    </row>
    <row r="21" spans="1:17" x14ac:dyDescent="0.15">
      <c r="A21">
        <v>20</v>
      </c>
      <c r="B21" t="s">
        <v>244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 s="224">
        <f t="shared" si="0"/>
        <v>0</v>
      </c>
    </row>
    <row r="22" spans="1:17" x14ac:dyDescent="0.15">
      <c r="A22">
        <v>21</v>
      </c>
      <c r="B22" t="s">
        <v>245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 s="224">
        <f t="shared" si="0"/>
        <v>0</v>
      </c>
    </row>
    <row r="23" spans="1:17" x14ac:dyDescent="0.15">
      <c r="A23">
        <v>22</v>
      </c>
      <c r="B23" t="s">
        <v>246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 s="224">
        <f t="shared" si="0"/>
        <v>0</v>
      </c>
    </row>
    <row r="24" spans="1:17" x14ac:dyDescent="0.15">
      <c r="A24">
        <v>23</v>
      </c>
      <c r="B24" t="s">
        <v>247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s="224">
        <f t="shared" si="0"/>
        <v>0</v>
      </c>
    </row>
    <row r="25" spans="1:17" x14ac:dyDescent="0.15">
      <c r="A25">
        <v>24</v>
      </c>
      <c r="B25" t="s">
        <v>248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s="224">
        <f t="shared" si="0"/>
        <v>0</v>
      </c>
    </row>
    <row r="26" spans="1:17" x14ac:dyDescent="0.15">
      <c r="A26">
        <v>25</v>
      </c>
      <c r="B26" t="s">
        <v>249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224">
        <f t="shared" si="0"/>
        <v>0</v>
      </c>
    </row>
    <row r="27" spans="1:17" x14ac:dyDescent="0.15">
      <c r="A27">
        <v>26</v>
      </c>
      <c r="B27" t="s">
        <v>250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 s="224">
        <f t="shared" si="0"/>
        <v>0</v>
      </c>
    </row>
    <row r="28" spans="1:17" x14ac:dyDescent="0.15">
      <c r="A28">
        <v>27</v>
      </c>
      <c r="B28" t="s">
        <v>251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1.2727449999999999E-7</v>
      </c>
      <c r="N28">
        <v>0</v>
      </c>
      <c r="O28">
        <v>0</v>
      </c>
      <c r="P28">
        <v>0</v>
      </c>
      <c r="Q28" s="224">
        <f t="shared" si="0"/>
        <v>1.2727449999999999E-7</v>
      </c>
    </row>
    <row r="29" spans="1:17" x14ac:dyDescent="0.15">
      <c r="A29">
        <v>28</v>
      </c>
      <c r="B29" t="s">
        <v>252</v>
      </c>
      <c r="C29">
        <v>0</v>
      </c>
      <c r="D29">
        <v>0</v>
      </c>
      <c r="E29">
        <v>0</v>
      </c>
      <c r="F29">
        <v>0</v>
      </c>
      <c r="G29">
        <v>8.1769579999999995E-8</v>
      </c>
      <c r="H29">
        <v>0</v>
      </c>
      <c r="I29">
        <v>0</v>
      </c>
      <c r="J29">
        <v>0</v>
      </c>
      <c r="K29">
        <v>0</v>
      </c>
      <c r="L29">
        <v>0</v>
      </c>
      <c r="M29">
        <v>2.1942410000000002E-6</v>
      </c>
      <c r="N29">
        <v>0</v>
      </c>
      <c r="O29">
        <v>0</v>
      </c>
      <c r="P29">
        <v>0</v>
      </c>
      <c r="Q29" s="224">
        <f t="shared" si="0"/>
        <v>2.2760105800000002E-6</v>
      </c>
    </row>
    <row r="30" spans="1:17" x14ac:dyDescent="0.15">
      <c r="A30">
        <v>29</v>
      </c>
      <c r="B30" t="s">
        <v>253</v>
      </c>
      <c r="C30">
        <v>0</v>
      </c>
      <c r="D30">
        <v>0</v>
      </c>
      <c r="E30">
        <v>0</v>
      </c>
      <c r="F30">
        <v>0</v>
      </c>
      <c r="G30">
        <v>9.8902259999999998E-8</v>
      </c>
      <c r="H30">
        <v>9.1676740000000004E-8</v>
      </c>
      <c r="I30">
        <v>0</v>
      </c>
      <c r="J30">
        <v>0</v>
      </c>
      <c r="K30">
        <v>0</v>
      </c>
      <c r="L30">
        <v>1.661235E-7</v>
      </c>
      <c r="M30">
        <v>2.0975249999999999E-4</v>
      </c>
      <c r="N30">
        <v>3.1987230000000001E-8</v>
      </c>
      <c r="O30">
        <v>6.0281119999999994E-8</v>
      </c>
      <c r="P30">
        <v>0</v>
      </c>
      <c r="Q30" s="224">
        <f t="shared" si="0"/>
        <v>2.1020147085E-4</v>
      </c>
    </row>
    <row r="31" spans="1:17" x14ac:dyDescent="0.15">
      <c r="A31">
        <v>30</v>
      </c>
      <c r="B31" t="s">
        <v>254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224">
        <f t="shared" si="0"/>
        <v>0</v>
      </c>
    </row>
    <row r="32" spans="1:17" x14ac:dyDescent="0.15">
      <c r="A32">
        <v>31</v>
      </c>
      <c r="B32" t="s">
        <v>177</v>
      </c>
      <c r="C32">
        <v>0</v>
      </c>
      <c r="D32">
        <v>0</v>
      </c>
      <c r="E32">
        <v>0</v>
      </c>
      <c r="F32">
        <v>0</v>
      </c>
      <c r="G32">
        <v>7.9528059999999996E-7</v>
      </c>
      <c r="H32">
        <v>2.3364739999999998E-3</v>
      </c>
      <c r="I32">
        <v>3.2151789999999999E-5</v>
      </c>
      <c r="J32">
        <v>2.9422609999999999E-5</v>
      </c>
      <c r="K32">
        <v>3.8079809999999999E-6</v>
      </c>
      <c r="L32">
        <v>2.8674270000000001E-3</v>
      </c>
      <c r="M32">
        <v>6.530714E-2</v>
      </c>
      <c r="N32">
        <v>7.1706030000000004E-4</v>
      </c>
      <c r="O32">
        <v>2.3903829999999998E-7</v>
      </c>
      <c r="P32">
        <v>0</v>
      </c>
      <c r="Q32" s="224">
        <f t="shared" si="0"/>
        <v>7.1294517999899998E-2</v>
      </c>
    </row>
    <row r="33" spans="1:17" x14ac:dyDescent="0.15">
      <c r="A33">
        <v>32</v>
      </c>
      <c r="B33" t="s">
        <v>255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224">
        <f t="shared" si="0"/>
        <v>0</v>
      </c>
    </row>
    <row r="34" spans="1:17" x14ac:dyDescent="0.15">
      <c r="A34">
        <v>33</v>
      </c>
      <c r="B34" t="s">
        <v>256</v>
      </c>
      <c r="C34">
        <v>0</v>
      </c>
      <c r="D34">
        <v>0</v>
      </c>
      <c r="E34">
        <v>0</v>
      </c>
      <c r="F34">
        <v>0</v>
      </c>
      <c r="G34">
        <v>1.2976700000000001E-4</v>
      </c>
      <c r="H34">
        <v>1.0839929999999999E-2</v>
      </c>
      <c r="I34">
        <v>3.2794820000000001E-4</v>
      </c>
      <c r="J34">
        <v>1.524554E-2</v>
      </c>
      <c r="K34">
        <v>2.6969940000000001E-2</v>
      </c>
      <c r="L34">
        <v>6.0257329999999998E-2</v>
      </c>
      <c r="M34">
        <v>6.3083230000000002E-3</v>
      </c>
      <c r="N34">
        <v>1.2264909999999999E-3</v>
      </c>
      <c r="O34">
        <v>9.5598060000000003E-4</v>
      </c>
      <c r="P34">
        <v>0</v>
      </c>
      <c r="Q34" s="224">
        <f t="shared" si="0"/>
        <v>0.1222612498</v>
      </c>
    </row>
    <row r="35" spans="1:17" x14ac:dyDescent="0.15">
      <c r="A35">
        <v>34</v>
      </c>
      <c r="B35" t="s">
        <v>257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224">
        <f t="shared" si="0"/>
        <v>0</v>
      </c>
    </row>
    <row r="36" spans="1:17" x14ac:dyDescent="0.15">
      <c r="A36">
        <v>35</v>
      </c>
      <c r="B36" t="s">
        <v>178</v>
      </c>
      <c r="C36">
        <v>0</v>
      </c>
      <c r="D36">
        <v>0</v>
      </c>
      <c r="E36">
        <v>5.0412079999999998E-2</v>
      </c>
      <c r="F36">
        <v>0</v>
      </c>
      <c r="G36">
        <v>6.9003679999999997E-5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 s="224">
        <f t="shared" si="0"/>
        <v>5.0481083679999997E-2</v>
      </c>
    </row>
    <row r="37" spans="1:17" x14ac:dyDescent="0.15">
      <c r="A37">
        <v>36</v>
      </c>
      <c r="B37" t="s">
        <v>258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224">
        <f t="shared" si="0"/>
        <v>0</v>
      </c>
    </row>
    <row r="38" spans="1:17" x14ac:dyDescent="0.15">
      <c r="A38">
        <v>37</v>
      </c>
      <c r="B38" t="s">
        <v>179</v>
      </c>
      <c r="C38">
        <v>0</v>
      </c>
      <c r="D38">
        <v>0</v>
      </c>
      <c r="E38">
        <v>0</v>
      </c>
      <c r="F38">
        <v>0</v>
      </c>
      <c r="G38">
        <v>2.9411090000000001E-7</v>
      </c>
      <c r="H38">
        <v>3.1559359999999998E-3</v>
      </c>
      <c r="I38">
        <v>4.5793559999999999E-5</v>
      </c>
      <c r="J38">
        <v>1.0437930000000001E-6</v>
      </c>
      <c r="K38">
        <v>0</v>
      </c>
      <c r="L38">
        <v>1.6167739999999999E-4</v>
      </c>
      <c r="M38">
        <v>1.1717700000000001E-4</v>
      </c>
      <c r="N38">
        <v>1.1833709999999999E-3</v>
      </c>
      <c r="O38">
        <v>4.7058100000000003E-5</v>
      </c>
      <c r="P38">
        <v>0</v>
      </c>
      <c r="Q38" s="224">
        <f t="shared" si="0"/>
        <v>4.7123509638999994E-3</v>
      </c>
    </row>
    <row r="39" spans="1:17" x14ac:dyDescent="0.15">
      <c r="A39">
        <v>38</v>
      </c>
      <c r="B39" t="s">
        <v>259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224">
        <f t="shared" si="0"/>
        <v>0</v>
      </c>
    </row>
    <row r="40" spans="1:17" x14ac:dyDescent="0.15">
      <c r="A40">
        <v>39</v>
      </c>
      <c r="B40" t="s">
        <v>260</v>
      </c>
      <c r="C40">
        <v>7.7581600000000001E-2</v>
      </c>
      <c r="D40">
        <v>0</v>
      </c>
      <c r="E40">
        <v>0</v>
      </c>
      <c r="F40">
        <v>0</v>
      </c>
      <c r="G40">
        <v>1.544014E-3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224">
        <f t="shared" si="0"/>
        <v>7.9125613999999997E-2</v>
      </c>
    </row>
    <row r="41" spans="1:17" x14ac:dyDescent="0.15">
      <c r="A41">
        <v>40</v>
      </c>
      <c r="B41" t="s">
        <v>261</v>
      </c>
      <c r="C41">
        <v>0</v>
      </c>
      <c r="D41">
        <v>0</v>
      </c>
      <c r="E41">
        <v>0</v>
      </c>
      <c r="F41">
        <v>0</v>
      </c>
      <c r="G41">
        <v>2.8035279999999999E-8</v>
      </c>
      <c r="H41">
        <v>2.4602780000000001E-4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 s="224">
        <f t="shared" si="0"/>
        <v>2.4605583528000002E-4</v>
      </c>
    </row>
    <row r="42" spans="1:17" x14ac:dyDescent="0.15">
      <c r="A42">
        <v>41</v>
      </c>
      <c r="B42" t="s">
        <v>262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 s="224">
        <f t="shared" si="0"/>
        <v>0</v>
      </c>
    </row>
    <row r="43" spans="1:17" x14ac:dyDescent="0.15">
      <c r="A43">
        <v>42</v>
      </c>
      <c r="B43" t="s">
        <v>263</v>
      </c>
      <c r="C43">
        <v>0</v>
      </c>
      <c r="D43">
        <v>0</v>
      </c>
      <c r="E43">
        <v>0</v>
      </c>
      <c r="F43">
        <v>0</v>
      </c>
      <c r="G43">
        <v>0</v>
      </c>
      <c r="H43">
        <v>4.0200399999999999E-3</v>
      </c>
      <c r="I43">
        <v>4.0581379999999999E-4</v>
      </c>
      <c r="J43">
        <v>0</v>
      </c>
      <c r="K43">
        <v>0</v>
      </c>
      <c r="L43">
        <v>5.7777209999999998E-4</v>
      </c>
      <c r="M43">
        <v>1.0311540000000001E-3</v>
      </c>
      <c r="N43">
        <v>7.730607E-5</v>
      </c>
      <c r="O43">
        <v>3.1278719999999999E-7</v>
      </c>
      <c r="P43">
        <v>0</v>
      </c>
      <c r="Q43" s="224">
        <f t="shared" si="0"/>
        <v>6.1123987572000004E-3</v>
      </c>
    </row>
    <row r="44" spans="1:17" x14ac:dyDescent="0.15">
      <c r="A44">
        <v>43</v>
      </c>
      <c r="B44" t="s">
        <v>264</v>
      </c>
      <c r="C44">
        <v>0</v>
      </c>
      <c r="D44">
        <v>0</v>
      </c>
      <c r="E44">
        <v>0</v>
      </c>
      <c r="F44">
        <v>0</v>
      </c>
      <c r="G44">
        <v>0</v>
      </c>
      <c r="H44">
        <v>5.8660659999999996E-3</v>
      </c>
      <c r="I44">
        <v>2.005688E-5</v>
      </c>
      <c r="J44">
        <v>0</v>
      </c>
      <c r="K44">
        <v>0</v>
      </c>
      <c r="L44">
        <v>3.3045319999999999E-4</v>
      </c>
      <c r="M44">
        <v>6.0243709999999997E-4</v>
      </c>
      <c r="N44">
        <v>3.4680239999999998E-7</v>
      </c>
      <c r="O44">
        <v>0</v>
      </c>
      <c r="P44">
        <v>0</v>
      </c>
      <c r="Q44" s="224">
        <f t="shared" si="0"/>
        <v>6.8193599823999996E-3</v>
      </c>
    </row>
    <row r="45" spans="1:17" x14ac:dyDescent="0.15">
      <c r="A45">
        <v>44</v>
      </c>
      <c r="B45" t="s">
        <v>265</v>
      </c>
      <c r="C45">
        <v>0</v>
      </c>
      <c r="D45">
        <v>0</v>
      </c>
      <c r="E45">
        <v>0</v>
      </c>
      <c r="F45">
        <v>0</v>
      </c>
      <c r="G45">
        <v>8.1925339999999998E-7</v>
      </c>
      <c r="H45">
        <v>1.487467E-2</v>
      </c>
      <c r="I45">
        <v>5.0858520000000002E-5</v>
      </c>
      <c r="J45">
        <v>0</v>
      </c>
      <c r="K45">
        <v>0</v>
      </c>
      <c r="L45">
        <v>8.3793470000000005E-4</v>
      </c>
      <c r="M45">
        <v>1.527608E-3</v>
      </c>
      <c r="N45">
        <v>8.7939180000000001E-7</v>
      </c>
      <c r="O45">
        <v>0</v>
      </c>
      <c r="P45">
        <v>0</v>
      </c>
      <c r="Q45" s="224">
        <f t="shared" si="0"/>
        <v>1.7292769865200001E-2</v>
      </c>
    </row>
    <row r="46" spans="1:17" x14ac:dyDescent="0.15">
      <c r="A46">
        <v>45</v>
      </c>
      <c r="B46" t="s">
        <v>266</v>
      </c>
      <c r="C46">
        <v>0</v>
      </c>
      <c r="D46">
        <v>0</v>
      </c>
      <c r="E46">
        <v>0</v>
      </c>
      <c r="F46">
        <v>0</v>
      </c>
      <c r="G46">
        <v>0</v>
      </c>
      <c r="H46">
        <v>2.0761849999999999E-6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224">
        <f t="shared" si="0"/>
        <v>2.0761849999999999E-6</v>
      </c>
    </row>
    <row r="47" spans="1:17" x14ac:dyDescent="0.15">
      <c r="A47">
        <v>46</v>
      </c>
      <c r="B47" t="s">
        <v>267</v>
      </c>
      <c r="C47">
        <v>0</v>
      </c>
      <c r="D47">
        <v>0</v>
      </c>
      <c r="E47">
        <v>0</v>
      </c>
      <c r="F47">
        <v>0</v>
      </c>
      <c r="G47">
        <v>0</v>
      </c>
      <c r="H47">
        <v>2.361429E-2</v>
      </c>
      <c r="I47">
        <v>1.965352E-4</v>
      </c>
      <c r="J47">
        <v>1.713029E-5</v>
      </c>
      <c r="K47">
        <v>0</v>
      </c>
      <c r="L47">
        <v>1.139679E-3</v>
      </c>
      <c r="M47">
        <v>1.148172E-3</v>
      </c>
      <c r="N47">
        <v>8.5765050000000001E-4</v>
      </c>
      <c r="O47">
        <v>0</v>
      </c>
      <c r="P47">
        <v>0</v>
      </c>
      <c r="Q47" s="224">
        <f t="shared" si="0"/>
        <v>2.6973456990000002E-2</v>
      </c>
    </row>
    <row r="48" spans="1:17" x14ac:dyDescent="0.15">
      <c r="A48">
        <v>47</v>
      </c>
      <c r="B48" t="s">
        <v>268</v>
      </c>
      <c r="C48">
        <v>0</v>
      </c>
      <c r="D48">
        <v>0</v>
      </c>
      <c r="E48">
        <v>0</v>
      </c>
      <c r="F48">
        <v>0</v>
      </c>
      <c r="G48">
        <v>8.1925339999999998E-7</v>
      </c>
      <c r="H48">
        <v>9.181926E-3</v>
      </c>
      <c r="I48">
        <v>9.4263980000000003E-5</v>
      </c>
      <c r="J48">
        <v>0</v>
      </c>
      <c r="K48">
        <v>0</v>
      </c>
      <c r="L48">
        <v>3.7133810000000001E-4</v>
      </c>
      <c r="M48">
        <v>8.8340239999999996E-4</v>
      </c>
      <c r="N48">
        <v>1.7463980000000001E-4</v>
      </c>
      <c r="O48">
        <v>0</v>
      </c>
      <c r="P48">
        <v>0</v>
      </c>
      <c r="Q48" s="224">
        <f t="shared" si="0"/>
        <v>1.07063895334E-2</v>
      </c>
    </row>
    <row r="49" spans="1:17" x14ac:dyDescent="0.15">
      <c r="A49">
        <v>48</v>
      </c>
      <c r="B49" t="s">
        <v>269</v>
      </c>
      <c r="C49">
        <v>0</v>
      </c>
      <c r="D49">
        <v>0</v>
      </c>
      <c r="E49">
        <v>0</v>
      </c>
      <c r="F49">
        <v>0</v>
      </c>
      <c r="G49">
        <v>2.0258349999999999E-5</v>
      </c>
      <c r="H49">
        <v>9.6342700000000003E-3</v>
      </c>
      <c r="I49">
        <v>7.054989E-5</v>
      </c>
      <c r="J49">
        <v>2.8247049999999997E-7</v>
      </c>
      <c r="K49">
        <v>2.5422349999999999E-6</v>
      </c>
      <c r="L49">
        <v>1.754638E-3</v>
      </c>
      <c r="M49">
        <v>6.639428E-4</v>
      </c>
      <c r="N49">
        <v>3.810139E-5</v>
      </c>
      <c r="O49">
        <v>7.0617629999999999E-8</v>
      </c>
      <c r="P49">
        <v>0</v>
      </c>
      <c r="Q49" s="224">
        <f t="shared" si="0"/>
        <v>1.218465575313E-2</v>
      </c>
    </row>
    <row r="50" spans="1:17" x14ac:dyDescent="0.15">
      <c r="A50">
        <v>49</v>
      </c>
      <c r="B50" t="s">
        <v>270</v>
      </c>
      <c r="C50">
        <v>0</v>
      </c>
      <c r="D50">
        <v>0</v>
      </c>
      <c r="E50">
        <v>0</v>
      </c>
      <c r="F50">
        <v>0</v>
      </c>
      <c r="G50">
        <v>0</v>
      </c>
      <c r="H50">
        <v>1.8133179999999999E-4</v>
      </c>
      <c r="I50">
        <v>8.9407879999999997E-6</v>
      </c>
      <c r="J50">
        <v>8.8545800000000002E-5</v>
      </c>
      <c r="K50">
        <v>0</v>
      </c>
      <c r="L50">
        <v>3.6540800000000001E-5</v>
      </c>
      <c r="M50">
        <v>4.5509359999999999E-5</v>
      </c>
      <c r="N50">
        <v>4.4344149999999999E-7</v>
      </c>
      <c r="O50">
        <v>1.0137839999999999E-6</v>
      </c>
      <c r="P50">
        <v>0</v>
      </c>
      <c r="Q50" s="224">
        <f t="shared" si="0"/>
        <v>3.6232577349999998E-4</v>
      </c>
    </row>
    <row r="51" spans="1:17" x14ac:dyDescent="0.15">
      <c r="A51">
        <v>50</v>
      </c>
      <c r="B51" t="s">
        <v>271</v>
      </c>
      <c r="C51">
        <v>0</v>
      </c>
      <c r="D51">
        <v>0</v>
      </c>
      <c r="E51">
        <v>0</v>
      </c>
      <c r="F51">
        <v>0</v>
      </c>
      <c r="G51">
        <v>0</v>
      </c>
      <c r="H51">
        <v>2.7199780000000001E-4</v>
      </c>
      <c r="I51">
        <v>1.341118E-5</v>
      </c>
      <c r="J51">
        <v>1.3281870000000001E-4</v>
      </c>
      <c r="K51">
        <v>0</v>
      </c>
      <c r="L51">
        <v>5.4811200000000001E-5</v>
      </c>
      <c r="M51">
        <v>6.8264019999999997E-5</v>
      </c>
      <c r="N51">
        <v>6.6516209999999995E-7</v>
      </c>
      <c r="O51">
        <v>1.5206760000000001E-6</v>
      </c>
      <c r="P51">
        <v>0</v>
      </c>
      <c r="Q51" s="224">
        <f t="shared" si="0"/>
        <v>5.4348873810000002E-4</v>
      </c>
    </row>
    <row r="52" spans="1:17" x14ac:dyDescent="0.15">
      <c r="A52">
        <v>51</v>
      </c>
      <c r="B52" t="s">
        <v>272</v>
      </c>
      <c r="C52">
        <v>0</v>
      </c>
      <c r="D52">
        <v>0</v>
      </c>
      <c r="E52">
        <v>0</v>
      </c>
      <c r="F52">
        <v>0</v>
      </c>
      <c r="G52">
        <v>7.1650919999999996E-7</v>
      </c>
      <c r="H52">
        <v>4.5332960000000002E-4</v>
      </c>
      <c r="I52">
        <v>2.235197E-5</v>
      </c>
      <c r="J52">
        <v>2.213645E-4</v>
      </c>
      <c r="K52">
        <v>0</v>
      </c>
      <c r="L52">
        <v>9.1351980000000001E-5</v>
      </c>
      <c r="M52">
        <v>1.137734E-4</v>
      </c>
      <c r="N52">
        <v>1.108604E-6</v>
      </c>
      <c r="O52">
        <v>2.534461E-6</v>
      </c>
      <c r="P52">
        <v>0</v>
      </c>
      <c r="Q52" s="224">
        <f t="shared" si="0"/>
        <v>9.0653102419999999E-4</v>
      </c>
    </row>
    <row r="53" spans="1:17" x14ac:dyDescent="0.15">
      <c r="A53">
        <v>52</v>
      </c>
      <c r="B53" t="s">
        <v>273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224">
        <f t="shared" si="0"/>
        <v>0</v>
      </c>
    </row>
    <row r="54" spans="1:17" x14ac:dyDescent="0.15">
      <c r="A54">
        <v>53</v>
      </c>
      <c r="B54" t="s">
        <v>274</v>
      </c>
      <c r="C54">
        <v>3.2322890000000002E-3</v>
      </c>
      <c r="D54">
        <v>0</v>
      </c>
      <c r="E54">
        <v>0</v>
      </c>
      <c r="F54">
        <v>0</v>
      </c>
      <c r="G54">
        <v>4.0205610000000001E-5</v>
      </c>
      <c r="H54">
        <v>3.9442820000000003E-3</v>
      </c>
      <c r="I54">
        <v>6.043512E-4</v>
      </c>
      <c r="J54">
        <v>2.286709E-4</v>
      </c>
      <c r="K54">
        <v>3.4496059999999999E-8</v>
      </c>
      <c r="L54">
        <v>3.0168879999999999E-4</v>
      </c>
      <c r="M54">
        <v>5.6819719999999995E-4</v>
      </c>
      <c r="N54">
        <v>4.960697E-3</v>
      </c>
      <c r="O54">
        <v>3.118628E-2</v>
      </c>
      <c r="P54">
        <v>0</v>
      </c>
      <c r="Q54" s="224">
        <f t="shared" si="0"/>
        <v>4.5066696206059999E-2</v>
      </c>
    </row>
    <row r="55" spans="1:17" x14ac:dyDescent="0.15">
      <c r="A55">
        <v>54</v>
      </c>
      <c r="B55" t="s">
        <v>275</v>
      </c>
      <c r="C55">
        <v>0</v>
      </c>
      <c r="D55">
        <v>0</v>
      </c>
      <c r="E55">
        <v>0</v>
      </c>
      <c r="F55">
        <v>0</v>
      </c>
      <c r="G55">
        <v>0</v>
      </c>
      <c r="H55">
        <v>1.7213999999999999E-6</v>
      </c>
      <c r="I55">
        <v>0</v>
      </c>
      <c r="J55">
        <v>2.300987E-7</v>
      </c>
      <c r="K55">
        <v>6.4163710000000002E-9</v>
      </c>
      <c r="L55">
        <v>2.0838169999999999E-7</v>
      </c>
      <c r="M55">
        <v>4.8934880000000003E-6</v>
      </c>
      <c r="N55">
        <v>3.3589990000000001E-6</v>
      </c>
      <c r="O55">
        <v>5.4805509999999997E-8</v>
      </c>
      <c r="P55">
        <v>0</v>
      </c>
      <c r="Q55" s="224">
        <f t="shared" si="0"/>
        <v>1.0473589281E-5</v>
      </c>
    </row>
    <row r="56" spans="1:17" x14ac:dyDescent="0.15">
      <c r="A56">
        <v>55</v>
      </c>
      <c r="B56" t="s">
        <v>276</v>
      </c>
      <c r="C56">
        <v>0</v>
      </c>
      <c r="D56">
        <v>0</v>
      </c>
      <c r="E56">
        <v>0</v>
      </c>
      <c r="F56">
        <v>0</v>
      </c>
      <c r="G56">
        <v>0</v>
      </c>
      <c r="H56">
        <v>1.2561890000000001E-4</v>
      </c>
      <c r="I56">
        <v>0</v>
      </c>
      <c r="J56">
        <v>0</v>
      </c>
      <c r="K56">
        <v>0</v>
      </c>
      <c r="L56">
        <v>0</v>
      </c>
      <c r="M56">
        <v>9.2476850000000006E-5</v>
      </c>
      <c r="N56">
        <v>3.0077609999999999E-5</v>
      </c>
      <c r="O56">
        <v>1.396079E-5</v>
      </c>
      <c r="P56">
        <v>0</v>
      </c>
      <c r="Q56" s="224">
        <f t="shared" si="0"/>
        <v>2.6213415000000002E-4</v>
      </c>
    </row>
    <row r="57" spans="1:17" x14ac:dyDescent="0.15">
      <c r="A57">
        <v>56</v>
      </c>
      <c r="B57" t="s">
        <v>277</v>
      </c>
      <c r="C57">
        <v>0</v>
      </c>
      <c r="D57">
        <v>0</v>
      </c>
      <c r="E57">
        <v>0</v>
      </c>
      <c r="F57">
        <v>0</v>
      </c>
      <c r="G57">
        <v>0</v>
      </c>
      <c r="H57">
        <v>4.472815E-5</v>
      </c>
      <c r="I57">
        <v>0</v>
      </c>
      <c r="J57">
        <v>3.4029409999999997E-5</v>
      </c>
      <c r="K57">
        <v>2.4166919999999999E-6</v>
      </c>
      <c r="L57">
        <v>2.6573150000000002E-5</v>
      </c>
      <c r="M57">
        <v>3.3744269999999999E-5</v>
      </c>
      <c r="N57">
        <v>2.0042859999999999E-4</v>
      </c>
      <c r="O57">
        <v>1.544565E-5</v>
      </c>
      <c r="P57">
        <v>0</v>
      </c>
      <c r="Q57" s="224">
        <f t="shared" si="0"/>
        <v>3.5736592200000001E-4</v>
      </c>
    </row>
    <row r="58" spans="1:17" x14ac:dyDescent="0.15">
      <c r="A58">
        <v>57</v>
      </c>
      <c r="B58" t="s">
        <v>278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224">
        <f t="shared" si="0"/>
        <v>0</v>
      </c>
    </row>
    <row r="59" spans="1:17" x14ac:dyDescent="0.15">
      <c r="A59">
        <v>58</v>
      </c>
      <c r="B59" t="s">
        <v>279</v>
      </c>
      <c r="C59">
        <v>0</v>
      </c>
      <c r="D59">
        <v>0</v>
      </c>
      <c r="E59">
        <v>0</v>
      </c>
      <c r="F59">
        <v>0</v>
      </c>
      <c r="G59">
        <v>6.9361950000000001E-5</v>
      </c>
      <c r="H59">
        <v>4.321765E-4</v>
      </c>
      <c r="I59">
        <v>4.5272560000000003E-6</v>
      </c>
      <c r="J59">
        <v>2.4197719999999999E-8</v>
      </c>
      <c r="K59">
        <v>0</v>
      </c>
      <c r="L59">
        <v>2.0713669999999999E-5</v>
      </c>
      <c r="M59">
        <v>3.7038279999999999E-5</v>
      </c>
      <c r="N59">
        <v>4.7776370000000004E-3</v>
      </c>
      <c r="O59">
        <v>1.1218039999999999E-5</v>
      </c>
      <c r="P59">
        <v>0</v>
      </c>
      <c r="Q59" s="224">
        <f t="shared" si="0"/>
        <v>5.3526968937200005E-3</v>
      </c>
    </row>
    <row r="60" spans="1:17" x14ac:dyDescent="0.15">
      <c r="A60">
        <v>59</v>
      </c>
      <c r="B60" t="s">
        <v>280</v>
      </c>
      <c r="C60">
        <v>0</v>
      </c>
      <c r="D60">
        <v>0</v>
      </c>
      <c r="E60">
        <v>0</v>
      </c>
      <c r="F60">
        <v>0</v>
      </c>
      <c r="G60">
        <v>0</v>
      </c>
      <c r="H60">
        <v>4.7139980000000001E-4</v>
      </c>
      <c r="I60">
        <v>4.6684200000000004E-3</v>
      </c>
      <c r="J60">
        <v>1.105345E-5</v>
      </c>
      <c r="K60">
        <v>2.1482599999999999E-7</v>
      </c>
      <c r="L60">
        <v>1.7030410000000001E-4</v>
      </c>
      <c r="M60">
        <v>2.1472849999999999E-5</v>
      </c>
      <c r="N60">
        <v>1.116645E-2</v>
      </c>
      <c r="O60">
        <v>4.9371330000000002E-5</v>
      </c>
      <c r="P60">
        <v>0</v>
      </c>
      <c r="Q60" s="224">
        <f t="shared" si="0"/>
        <v>1.6558686356E-2</v>
      </c>
    </row>
    <row r="61" spans="1:17" x14ac:dyDescent="0.15">
      <c r="A61">
        <v>60</v>
      </c>
      <c r="B61" t="s">
        <v>281</v>
      </c>
      <c r="C61">
        <v>0</v>
      </c>
      <c r="D61">
        <v>0</v>
      </c>
      <c r="E61">
        <v>0</v>
      </c>
      <c r="F61">
        <v>0</v>
      </c>
      <c r="G61">
        <v>0</v>
      </c>
      <c r="H61">
        <v>6.1020709999999997E-5</v>
      </c>
      <c r="I61">
        <v>1.15368E-4</v>
      </c>
      <c r="J61">
        <v>0</v>
      </c>
      <c r="K61">
        <v>0</v>
      </c>
      <c r="L61">
        <v>1.8047879999999999E-5</v>
      </c>
      <c r="M61">
        <v>5.030994E-5</v>
      </c>
      <c r="N61">
        <v>1.013205E-2</v>
      </c>
      <c r="O61">
        <v>1.722216E-5</v>
      </c>
      <c r="P61">
        <v>0</v>
      </c>
      <c r="Q61" s="224">
        <f t="shared" si="0"/>
        <v>1.039401869E-2</v>
      </c>
    </row>
    <row r="62" spans="1:17" x14ac:dyDescent="0.15">
      <c r="A62">
        <v>61</v>
      </c>
      <c r="B62" t="s">
        <v>282</v>
      </c>
      <c r="C62">
        <v>0</v>
      </c>
      <c r="D62">
        <v>0</v>
      </c>
      <c r="E62">
        <v>0</v>
      </c>
      <c r="F62">
        <v>0</v>
      </c>
      <c r="G62">
        <v>0</v>
      </c>
      <c r="H62">
        <v>1.948691E-4</v>
      </c>
      <c r="I62">
        <v>6.8265459999999997E-4</v>
      </c>
      <c r="J62">
        <v>3.6324720000000003E-5</v>
      </c>
      <c r="K62">
        <v>3.349989E-7</v>
      </c>
      <c r="L62">
        <v>1.8852039999999999E-4</v>
      </c>
      <c r="M62">
        <v>1.489865E-5</v>
      </c>
      <c r="N62">
        <v>4.349505E-3</v>
      </c>
      <c r="O62">
        <v>1.081221E-3</v>
      </c>
      <c r="P62">
        <v>0</v>
      </c>
      <c r="Q62" s="224">
        <f t="shared" si="0"/>
        <v>6.5483284689000004E-3</v>
      </c>
    </row>
    <row r="63" spans="1:17" x14ac:dyDescent="0.15">
      <c r="A63">
        <v>62</v>
      </c>
      <c r="B63" t="s">
        <v>283</v>
      </c>
      <c r="C63">
        <v>0</v>
      </c>
      <c r="D63">
        <v>0</v>
      </c>
      <c r="E63">
        <v>0</v>
      </c>
      <c r="F63">
        <v>0</v>
      </c>
      <c r="G63">
        <v>0</v>
      </c>
      <c r="H63">
        <v>6.6445860000000003E-4</v>
      </c>
      <c r="I63">
        <v>1.404031E-4</v>
      </c>
      <c r="J63">
        <v>1.48079E-6</v>
      </c>
      <c r="K63">
        <v>3.033667E-6</v>
      </c>
      <c r="L63">
        <v>7.5019439999999998E-5</v>
      </c>
      <c r="M63">
        <v>7.2186249999999993E-5</v>
      </c>
      <c r="N63">
        <v>1.237496E-3</v>
      </c>
      <c r="O63">
        <v>2.534549E-4</v>
      </c>
      <c r="P63">
        <v>0</v>
      </c>
      <c r="Q63" s="224">
        <f t="shared" si="0"/>
        <v>2.4475327470000001E-3</v>
      </c>
    </row>
    <row r="64" spans="1:17" x14ac:dyDescent="0.15">
      <c r="A64">
        <v>63</v>
      </c>
      <c r="B64" t="s">
        <v>284</v>
      </c>
      <c r="C64">
        <v>0</v>
      </c>
      <c r="D64">
        <v>0</v>
      </c>
      <c r="E64">
        <v>0</v>
      </c>
      <c r="F64">
        <v>0</v>
      </c>
      <c r="G64">
        <v>0</v>
      </c>
      <c r="H64">
        <v>6.1609499999999999E-4</v>
      </c>
      <c r="I64">
        <v>1.404031E-4</v>
      </c>
      <c r="J64">
        <v>9.4430900000000004E-6</v>
      </c>
      <c r="K64">
        <v>3.033667E-6</v>
      </c>
      <c r="L64">
        <v>7.2011450000000003E-5</v>
      </c>
      <c r="M64">
        <v>3.833173E-5</v>
      </c>
      <c r="N64">
        <v>1.237496E-3</v>
      </c>
      <c r="O64">
        <v>4.2095810000000001E-4</v>
      </c>
      <c r="P64">
        <v>0</v>
      </c>
      <c r="Q64" s="224">
        <f t="shared" si="0"/>
        <v>2.5377721370000001E-3</v>
      </c>
    </row>
    <row r="65" spans="1:17" x14ac:dyDescent="0.15">
      <c r="A65">
        <v>64</v>
      </c>
      <c r="B65" t="s">
        <v>285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224">
        <f t="shared" si="0"/>
        <v>0</v>
      </c>
    </row>
    <row r="66" spans="1:17" x14ac:dyDescent="0.15">
      <c r="A66">
        <v>65</v>
      </c>
      <c r="B66" t="s">
        <v>286</v>
      </c>
      <c r="C66">
        <v>0</v>
      </c>
      <c r="D66">
        <v>0</v>
      </c>
      <c r="E66">
        <v>0</v>
      </c>
      <c r="F66">
        <v>0</v>
      </c>
      <c r="G66">
        <v>0</v>
      </c>
      <c r="H66">
        <v>1.483065E-3</v>
      </c>
      <c r="I66">
        <v>8.5020880000000003E-5</v>
      </c>
      <c r="J66">
        <v>4.4852170000000002E-5</v>
      </c>
      <c r="K66">
        <v>1.7885159999999999E-6</v>
      </c>
      <c r="L66">
        <v>6.8866470000000007E-5</v>
      </c>
      <c r="M66">
        <v>5.168775E-5</v>
      </c>
      <c r="N66">
        <v>6.1313860000000004E-4</v>
      </c>
      <c r="O66">
        <v>8.9768580000000001E-4</v>
      </c>
      <c r="P66">
        <v>0</v>
      </c>
      <c r="Q66" s="224">
        <f t="shared" si="0"/>
        <v>3.2461051860000001E-3</v>
      </c>
    </row>
    <row r="67" spans="1:17" x14ac:dyDescent="0.15">
      <c r="A67">
        <v>66</v>
      </c>
      <c r="B67" t="s">
        <v>287</v>
      </c>
      <c r="C67">
        <v>0</v>
      </c>
      <c r="D67">
        <v>0</v>
      </c>
      <c r="E67">
        <v>0</v>
      </c>
      <c r="F67">
        <v>0</v>
      </c>
      <c r="G67">
        <v>6.3573470000000002E-5</v>
      </c>
      <c r="H67">
        <v>4.9318479999999997E-5</v>
      </c>
      <c r="I67">
        <v>1.778641E-5</v>
      </c>
      <c r="J67">
        <v>1.030138E-4</v>
      </c>
      <c r="K67">
        <v>0</v>
      </c>
      <c r="L67">
        <v>1.009646E-5</v>
      </c>
      <c r="M67">
        <v>1.4098109999999999E-6</v>
      </c>
      <c r="N67">
        <v>9.0519609999999994E-5</v>
      </c>
      <c r="O67">
        <v>7.9214110000000004E-4</v>
      </c>
      <c r="P67">
        <v>0</v>
      </c>
      <c r="Q67" s="224">
        <f t="shared" ref="Q67:Q130" si="1">SUM(C67:P67)</f>
        <v>1.127859141E-3</v>
      </c>
    </row>
    <row r="68" spans="1:17" x14ac:dyDescent="0.15">
      <c r="A68">
        <v>67</v>
      </c>
      <c r="B68" t="s">
        <v>288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224">
        <f t="shared" si="1"/>
        <v>0</v>
      </c>
    </row>
    <row r="69" spans="1:17" x14ac:dyDescent="0.15">
      <c r="A69">
        <v>68</v>
      </c>
      <c r="B69" t="s">
        <v>289</v>
      </c>
      <c r="C69">
        <v>0</v>
      </c>
      <c r="D69">
        <v>0</v>
      </c>
      <c r="E69">
        <v>0</v>
      </c>
      <c r="F69">
        <v>0</v>
      </c>
      <c r="G69">
        <v>0</v>
      </c>
      <c r="H69">
        <v>1.0852320000000001E-5</v>
      </c>
      <c r="I69">
        <v>3.2191149999999998E-3</v>
      </c>
      <c r="J69">
        <v>0</v>
      </c>
      <c r="K69">
        <v>0</v>
      </c>
      <c r="L69">
        <v>2.9489999999999997E-7</v>
      </c>
      <c r="M69">
        <v>0</v>
      </c>
      <c r="N69">
        <v>3.444432E-5</v>
      </c>
      <c r="O69">
        <v>0</v>
      </c>
      <c r="P69">
        <v>0</v>
      </c>
      <c r="Q69" s="224">
        <f t="shared" si="1"/>
        <v>3.2647065399999996E-3</v>
      </c>
    </row>
    <row r="70" spans="1:17" x14ac:dyDescent="0.15">
      <c r="A70">
        <v>69</v>
      </c>
      <c r="B70" t="s">
        <v>290</v>
      </c>
      <c r="C70">
        <v>0</v>
      </c>
      <c r="D70">
        <v>0</v>
      </c>
      <c r="E70">
        <v>0</v>
      </c>
      <c r="F70">
        <v>0</v>
      </c>
      <c r="G70">
        <v>4.9734000000000002E-5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224">
        <f t="shared" si="1"/>
        <v>4.9734000000000002E-5</v>
      </c>
    </row>
    <row r="71" spans="1:17" x14ac:dyDescent="0.15">
      <c r="A71">
        <v>70</v>
      </c>
      <c r="B71" t="s">
        <v>291</v>
      </c>
      <c r="C71">
        <v>0</v>
      </c>
      <c r="D71">
        <v>0</v>
      </c>
      <c r="E71">
        <v>0</v>
      </c>
      <c r="F71">
        <v>0</v>
      </c>
      <c r="G71">
        <v>2.366896E-6</v>
      </c>
      <c r="H71">
        <v>4.5025199999999997E-5</v>
      </c>
      <c r="I71">
        <v>0</v>
      </c>
      <c r="J71">
        <v>2.6042369999999997E-7</v>
      </c>
      <c r="K71">
        <v>2.4921980000000002E-7</v>
      </c>
      <c r="L71">
        <v>7.0313919999999999E-5</v>
      </c>
      <c r="M71">
        <v>5.7915850000000002E-5</v>
      </c>
      <c r="N71">
        <v>5.2731840000000002E-6</v>
      </c>
      <c r="O71">
        <v>0</v>
      </c>
      <c r="P71">
        <v>0</v>
      </c>
      <c r="Q71" s="224">
        <f t="shared" si="1"/>
        <v>1.8140469349999999E-4</v>
      </c>
    </row>
    <row r="72" spans="1:17" x14ac:dyDescent="0.15">
      <c r="A72">
        <v>71</v>
      </c>
      <c r="B72" t="s">
        <v>180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224">
        <f t="shared" si="1"/>
        <v>0</v>
      </c>
    </row>
    <row r="73" spans="1:17" x14ac:dyDescent="0.15">
      <c r="A73">
        <v>72</v>
      </c>
      <c r="B73" t="s">
        <v>292</v>
      </c>
      <c r="C73">
        <v>0</v>
      </c>
      <c r="D73">
        <v>0</v>
      </c>
      <c r="E73">
        <v>0</v>
      </c>
      <c r="F73">
        <v>0</v>
      </c>
      <c r="G73">
        <v>1.5109020000000001E-6</v>
      </c>
      <c r="H73">
        <v>4.472815E-5</v>
      </c>
      <c r="I73">
        <v>0</v>
      </c>
      <c r="J73">
        <v>3.4029409999999997E-5</v>
      </c>
      <c r="K73">
        <v>2.4166919999999999E-6</v>
      </c>
      <c r="L73">
        <v>2.6573150000000002E-5</v>
      </c>
      <c r="M73">
        <v>3.3744269999999999E-5</v>
      </c>
      <c r="N73">
        <v>2.0042859999999999E-4</v>
      </c>
      <c r="O73">
        <v>1.544565E-5</v>
      </c>
      <c r="P73">
        <v>0</v>
      </c>
      <c r="Q73" s="224">
        <f t="shared" si="1"/>
        <v>3.5887682400000001E-4</v>
      </c>
    </row>
    <row r="74" spans="1:17" x14ac:dyDescent="0.15">
      <c r="A74">
        <v>73</v>
      </c>
      <c r="B74" t="s">
        <v>293</v>
      </c>
      <c r="C74">
        <v>0</v>
      </c>
      <c r="D74">
        <v>0</v>
      </c>
      <c r="E74">
        <v>0</v>
      </c>
      <c r="F74">
        <v>0</v>
      </c>
      <c r="G74">
        <v>0</v>
      </c>
      <c r="H74">
        <v>4.2270530000000003E-6</v>
      </c>
      <c r="I74">
        <v>0</v>
      </c>
      <c r="J74">
        <v>0</v>
      </c>
      <c r="K74">
        <v>2.6106669999999998E-4</v>
      </c>
      <c r="L74">
        <v>3.3546090000000001E-6</v>
      </c>
      <c r="M74">
        <v>3.3634490000000001E-6</v>
      </c>
      <c r="N74">
        <v>1.241052E-7</v>
      </c>
      <c r="O74">
        <v>5.0421289999999997E-7</v>
      </c>
      <c r="P74">
        <v>0</v>
      </c>
      <c r="Q74" s="224">
        <f t="shared" si="1"/>
        <v>2.726401291E-4</v>
      </c>
    </row>
    <row r="75" spans="1:17" x14ac:dyDescent="0.15">
      <c r="A75">
        <v>74</v>
      </c>
      <c r="B75" t="s">
        <v>294</v>
      </c>
      <c r="C75">
        <v>0</v>
      </c>
      <c r="D75">
        <v>0</v>
      </c>
      <c r="E75">
        <v>0</v>
      </c>
      <c r="F75">
        <v>0</v>
      </c>
      <c r="G75">
        <v>0</v>
      </c>
      <c r="H75">
        <v>3.7908639999999998E-6</v>
      </c>
      <c r="I75">
        <v>2.6882419999999998E-7</v>
      </c>
      <c r="J75">
        <v>0</v>
      </c>
      <c r="K75">
        <v>0</v>
      </c>
      <c r="L75">
        <v>1.7995150000000001E-7</v>
      </c>
      <c r="M75">
        <v>1.3755319999999999E-4</v>
      </c>
      <c r="N75">
        <v>2.7252109999999999E-6</v>
      </c>
      <c r="O75">
        <v>0</v>
      </c>
      <c r="P75">
        <v>0</v>
      </c>
      <c r="Q75" s="224">
        <f t="shared" si="1"/>
        <v>1.4451805069999997E-4</v>
      </c>
    </row>
    <row r="76" spans="1:17" x14ac:dyDescent="0.15">
      <c r="A76">
        <v>75</v>
      </c>
      <c r="B76" t="s">
        <v>295</v>
      </c>
      <c r="C76">
        <v>0</v>
      </c>
      <c r="D76">
        <v>0</v>
      </c>
      <c r="E76">
        <v>0</v>
      </c>
      <c r="F76">
        <v>0.29042010000000001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 s="224">
        <f t="shared" si="1"/>
        <v>0.29042010000000001</v>
      </c>
    </row>
    <row r="77" spans="1:17" x14ac:dyDescent="0.15">
      <c r="A77">
        <v>76</v>
      </c>
      <c r="B77" t="s">
        <v>296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224">
        <f t="shared" si="1"/>
        <v>0</v>
      </c>
    </row>
    <row r="78" spans="1:17" x14ac:dyDescent="0.15">
      <c r="A78">
        <v>77</v>
      </c>
      <c r="B78" t="s">
        <v>297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224">
        <f t="shared" si="1"/>
        <v>0</v>
      </c>
    </row>
    <row r="79" spans="1:17" x14ac:dyDescent="0.15">
      <c r="A79">
        <v>78</v>
      </c>
      <c r="B79" t="s">
        <v>298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 s="224">
        <f t="shared" si="1"/>
        <v>0</v>
      </c>
    </row>
    <row r="80" spans="1:17" x14ac:dyDescent="0.15">
      <c r="A80">
        <v>79</v>
      </c>
      <c r="B80" t="s">
        <v>299</v>
      </c>
      <c r="C80">
        <v>0</v>
      </c>
      <c r="D80">
        <v>0</v>
      </c>
      <c r="E80">
        <v>0</v>
      </c>
      <c r="F80">
        <v>0</v>
      </c>
      <c r="G80">
        <v>2.7178660000000002E-6</v>
      </c>
      <c r="H80">
        <v>1.059668E-7</v>
      </c>
      <c r="I80">
        <v>0</v>
      </c>
      <c r="J80">
        <v>0</v>
      </c>
      <c r="K80">
        <v>0</v>
      </c>
      <c r="L80">
        <v>0</v>
      </c>
      <c r="M80">
        <v>2.8821890000000001E-4</v>
      </c>
      <c r="N80">
        <v>6.6663579999999999E-9</v>
      </c>
      <c r="O80">
        <v>0</v>
      </c>
      <c r="P80">
        <v>0</v>
      </c>
      <c r="Q80" s="224">
        <f t="shared" si="1"/>
        <v>2.9104939915800004E-4</v>
      </c>
    </row>
    <row r="81" spans="1:17" x14ac:dyDescent="0.15">
      <c r="A81">
        <v>80</v>
      </c>
      <c r="B81" t="s">
        <v>300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5.5068490000000004E-7</v>
      </c>
      <c r="M81">
        <v>0</v>
      </c>
      <c r="N81">
        <v>0</v>
      </c>
      <c r="O81">
        <v>0</v>
      </c>
      <c r="P81">
        <v>0</v>
      </c>
      <c r="Q81" s="224">
        <f t="shared" si="1"/>
        <v>5.5068490000000004E-7</v>
      </c>
    </row>
    <row r="82" spans="1:17" x14ac:dyDescent="0.15">
      <c r="A82">
        <v>81</v>
      </c>
      <c r="B82" t="s">
        <v>301</v>
      </c>
      <c r="C82">
        <v>0</v>
      </c>
      <c r="D82">
        <v>0</v>
      </c>
      <c r="E82">
        <v>0</v>
      </c>
      <c r="F82">
        <v>0</v>
      </c>
      <c r="G82">
        <v>1.3263010000000001E-5</v>
      </c>
      <c r="H82">
        <v>1.059668E-7</v>
      </c>
      <c r="I82">
        <v>0</v>
      </c>
      <c r="J82">
        <v>0</v>
      </c>
      <c r="K82">
        <v>0</v>
      </c>
      <c r="L82">
        <v>0</v>
      </c>
      <c r="M82">
        <v>2.8821890000000001E-4</v>
      </c>
      <c r="N82">
        <v>6.6663579999999999E-9</v>
      </c>
      <c r="O82">
        <v>0</v>
      </c>
      <c r="P82">
        <v>0</v>
      </c>
      <c r="Q82" s="224">
        <f t="shared" si="1"/>
        <v>3.0159454315799999E-4</v>
      </c>
    </row>
    <row r="83" spans="1:17" x14ac:dyDescent="0.15">
      <c r="A83">
        <v>82</v>
      </c>
      <c r="B83" t="s">
        <v>302</v>
      </c>
      <c r="C83">
        <v>0</v>
      </c>
      <c r="D83">
        <v>0</v>
      </c>
      <c r="E83">
        <v>0</v>
      </c>
      <c r="F83">
        <v>0</v>
      </c>
      <c r="G83">
        <v>0</v>
      </c>
      <c r="H83">
        <v>1.318242E-6</v>
      </c>
      <c r="I83">
        <v>0</v>
      </c>
      <c r="J83">
        <v>0</v>
      </c>
      <c r="K83">
        <v>0</v>
      </c>
      <c r="L83">
        <v>0</v>
      </c>
      <c r="M83">
        <v>2.048017E-6</v>
      </c>
      <c r="N83">
        <v>0</v>
      </c>
      <c r="O83">
        <v>0</v>
      </c>
      <c r="P83">
        <v>0</v>
      </c>
      <c r="Q83" s="224">
        <f t="shared" si="1"/>
        <v>3.3662589999999998E-6</v>
      </c>
    </row>
    <row r="84" spans="1:17" x14ac:dyDescent="0.15">
      <c r="A84">
        <v>83</v>
      </c>
      <c r="B84" t="s">
        <v>303</v>
      </c>
      <c r="C84">
        <v>0</v>
      </c>
      <c r="D84">
        <v>0</v>
      </c>
      <c r="E84">
        <v>0</v>
      </c>
      <c r="F84">
        <v>0</v>
      </c>
      <c r="G84">
        <v>2.6467649999999999E-6</v>
      </c>
      <c r="H84">
        <v>2.3548170000000001E-8</v>
      </c>
      <c r="I84">
        <v>0</v>
      </c>
      <c r="J84">
        <v>0</v>
      </c>
      <c r="K84">
        <v>0</v>
      </c>
      <c r="L84">
        <v>0</v>
      </c>
      <c r="M84">
        <v>6.4048649999999999E-5</v>
      </c>
      <c r="N84">
        <v>1.4814130000000001E-9</v>
      </c>
      <c r="O84">
        <v>0</v>
      </c>
      <c r="P84">
        <v>0</v>
      </c>
      <c r="Q84" s="224">
        <f t="shared" si="1"/>
        <v>6.6720444582999997E-5</v>
      </c>
    </row>
    <row r="85" spans="1:17" x14ac:dyDescent="0.15">
      <c r="A85">
        <v>84</v>
      </c>
      <c r="B85" t="s">
        <v>304</v>
      </c>
      <c r="C85">
        <v>0</v>
      </c>
      <c r="D85">
        <v>3.4155600000000002E-3</v>
      </c>
      <c r="E85">
        <v>0</v>
      </c>
      <c r="F85">
        <v>0</v>
      </c>
      <c r="G85">
        <v>9.3333019999999997E-5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 s="224">
        <f t="shared" si="1"/>
        <v>3.5088930200000003E-3</v>
      </c>
    </row>
    <row r="86" spans="1:17" x14ac:dyDescent="0.15">
      <c r="A86">
        <v>85</v>
      </c>
      <c r="B86" t="s">
        <v>305</v>
      </c>
      <c r="C86">
        <v>0</v>
      </c>
      <c r="D86">
        <v>1.13679E-5</v>
      </c>
      <c r="E86">
        <v>0</v>
      </c>
      <c r="F86">
        <v>0</v>
      </c>
      <c r="G86">
        <v>6.0267530000000001E-5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 s="224">
        <f t="shared" si="1"/>
        <v>7.1635430000000004E-5</v>
      </c>
    </row>
    <row r="87" spans="1:17" x14ac:dyDescent="0.15">
      <c r="A87">
        <v>86</v>
      </c>
      <c r="B87" t="s">
        <v>306</v>
      </c>
      <c r="C87">
        <v>0</v>
      </c>
      <c r="D87">
        <v>0</v>
      </c>
      <c r="E87">
        <v>0</v>
      </c>
      <c r="F87">
        <v>0</v>
      </c>
      <c r="G87">
        <v>2.8230460000000001E-5</v>
      </c>
      <c r="H87">
        <v>3.8442590000000001E-7</v>
      </c>
      <c r="I87">
        <v>0</v>
      </c>
      <c r="J87">
        <v>0</v>
      </c>
      <c r="K87">
        <v>2.2162039999999999E-7</v>
      </c>
      <c r="L87">
        <v>3.3179259999999999E-7</v>
      </c>
      <c r="M87">
        <v>3.889978E-8</v>
      </c>
      <c r="N87">
        <v>1.9094100000000001E-8</v>
      </c>
      <c r="O87">
        <v>0</v>
      </c>
      <c r="P87">
        <v>0</v>
      </c>
      <c r="Q87" s="224">
        <f t="shared" si="1"/>
        <v>2.922629278E-5</v>
      </c>
    </row>
    <row r="88" spans="1:17" x14ac:dyDescent="0.15">
      <c r="A88">
        <v>87</v>
      </c>
      <c r="B88" t="s">
        <v>307</v>
      </c>
      <c r="C88">
        <v>0</v>
      </c>
      <c r="D88">
        <v>0</v>
      </c>
      <c r="E88">
        <v>0</v>
      </c>
      <c r="F88">
        <v>0</v>
      </c>
      <c r="G88">
        <v>6.1271370000000002E-5</v>
      </c>
      <c r="H88">
        <v>2.6847049999999998E-6</v>
      </c>
      <c r="I88">
        <v>2.9319860000000001E-7</v>
      </c>
      <c r="J88">
        <v>0</v>
      </c>
      <c r="K88">
        <v>0</v>
      </c>
      <c r="L88">
        <v>2.1641979999999998E-9</v>
      </c>
      <c r="M88">
        <v>2.9663869999999998E-7</v>
      </c>
      <c r="N88">
        <v>1.2577949999999999E-7</v>
      </c>
      <c r="O88">
        <v>0</v>
      </c>
      <c r="P88">
        <v>1.3151539999999999E-4</v>
      </c>
      <c r="Q88" s="224">
        <f t="shared" si="1"/>
        <v>1.9618925599800002E-4</v>
      </c>
    </row>
    <row r="89" spans="1:17" x14ac:dyDescent="0.15">
      <c r="A89">
        <v>88</v>
      </c>
      <c r="B89" t="s">
        <v>308</v>
      </c>
      <c r="C89">
        <v>0</v>
      </c>
      <c r="D89">
        <v>0</v>
      </c>
      <c r="E89">
        <v>0</v>
      </c>
      <c r="F89">
        <v>0</v>
      </c>
      <c r="G89">
        <v>0</v>
      </c>
      <c r="H89">
        <v>2.6847049999999998E-6</v>
      </c>
      <c r="I89">
        <v>2.9319860000000001E-7</v>
      </c>
      <c r="J89">
        <v>0</v>
      </c>
      <c r="K89">
        <v>0</v>
      </c>
      <c r="L89">
        <v>2.1641979999999998E-9</v>
      </c>
      <c r="M89">
        <v>2.9663869999999998E-7</v>
      </c>
      <c r="N89">
        <v>1.2577949999999999E-7</v>
      </c>
      <c r="O89">
        <v>0</v>
      </c>
      <c r="P89">
        <v>0</v>
      </c>
      <c r="Q89" s="224">
        <f t="shared" si="1"/>
        <v>3.4024859979999999E-6</v>
      </c>
    </row>
    <row r="90" spans="1:17" x14ac:dyDescent="0.15">
      <c r="A90">
        <v>89</v>
      </c>
      <c r="B90" t="s">
        <v>309</v>
      </c>
      <c r="C90">
        <v>0</v>
      </c>
      <c r="D90">
        <v>0</v>
      </c>
      <c r="E90">
        <v>0</v>
      </c>
      <c r="F90">
        <v>0</v>
      </c>
      <c r="G90">
        <v>0</v>
      </c>
      <c r="H90">
        <v>1.309486E-6</v>
      </c>
      <c r="I90">
        <v>0</v>
      </c>
      <c r="J90">
        <v>0</v>
      </c>
      <c r="K90">
        <v>6.7086119999999999E-6</v>
      </c>
      <c r="L90">
        <v>2.4915370000000002E-6</v>
      </c>
      <c r="M90">
        <v>2.902333E-6</v>
      </c>
      <c r="N90">
        <v>6.7409959999999996E-7</v>
      </c>
      <c r="O90">
        <v>2.4398739999999998E-6</v>
      </c>
      <c r="P90">
        <v>0</v>
      </c>
      <c r="Q90" s="224">
        <f t="shared" si="1"/>
        <v>1.6525941599999999E-5</v>
      </c>
    </row>
    <row r="91" spans="1:17" x14ac:dyDescent="0.15">
      <c r="A91">
        <v>90</v>
      </c>
      <c r="B91" t="s">
        <v>310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224">
        <f t="shared" si="1"/>
        <v>0</v>
      </c>
    </row>
    <row r="92" spans="1:17" x14ac:dyDescent="0.15">
      <c r="A92">
        <v>91</v>
      </c>
      <c r="B92" t="s">
        <v>311</v>
      </c>
      <c r="C92">
        <v>0</v>
      </c>
      <c r="D92">
        <v>0</v>
      </c>
      <c r="E92">
        <v>0</v>
      </c>
      <c r="F92">
        <v>0</v>
      </c>
      <c r="G92">
        <v>1.9549920000000001E-6</v>
      </c>
      <c r="H92">
        <v>1.8062199999999999E-7</v>
      </c>
      <c r="I92">
        <v>0</v>
      </c>
      <c r="J92">
        <v>0</v>
      </c>
      <c r="K92">
        <v>0</v>
      </c>
      <c r="L92">
        <v>1.2815759999999999E-6</v>
      </c>
      <c r="M92">
        <v>5.3037829999999999E-7</v>
      </c>
      <c r="N92">
        <v>1.305661E-7</v>
      </c>
      <c r="O92">
        <v>0</v>
      </c>
      <c r="P92">
        <v>0</v>
      </c>
      <c r="Q92" s="224">
        <f t="shared" si="1"/>
        <v>4.0781344000000002E-6</v>
      </c>
    </row>
    <row r="93" spans="1:17" x14ac:dyDescent="0.15">
      <c r="A93">
        <v>92</v>
      </c>
      <c r="B93" t="s">
        <v>312</v>
      </c>
      <c r="C93">
        <v>0</v>
      </c>
      <c r="D93">
        <v>0</v>
      </c>
      <c r="E93">
        <v>0</v>
      </c>
      <c r="F93">
        <v>0</v>
      </c>
      <c r="G93">
        <v>3.274343E-7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224">
        <f t="shared" si="1"/>
        <v>3.274343E-7</v>
      </c>
    </row>
    <row r="94" spans="1:17" x14ac:dyDescent="0.15">
      <c r="A94">
        <v>93</v>
      </c>
      <c r="B94" t="s">
        <v>313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224">
        <f t="shared" si="1"/>
        <v>0</v>
      </c>
    </row>
    <row r="95" spans="1:17" x14ac:dyDescent="0.15">
      <c r="A95">
        <v>94</v>
      </c>
      <c r="B95" t="s">
        <v>314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224">
        <f t="shared" si="1"/>
        <v>0</v>
      </c>
    </row>
    <row r="96" spans="1:17" x14ac:dyDescent="0.15">
      <c r="A96">
        <v>95</v>
      </c>
      <c r="B96" t="s">
        <v>315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224">
        <f t="shared" si="1"/>
        <v>0</v>
      </c>
    </row>
    <row r="97" spans="1:17" x14ac:dyDescent="0.15">
      <c r="A97">
        <v>96</v>
      </c>
      <c r="B97" t="s">
        <v>316</v>
      </c>
      <c r="C97">
        <v>0</v>
      </c>
      <c r="D97">
        <v>0</v>
      </c>
      <c r="E97">
        <v>0</v>
      </c>
      <c r="F97">
        <v>0</v>
      </c>
      <c r="G97">
        <v>0</v>
      </c>
      <c r="H97">
        <v>1.6123239999999999E-7</v>
      </c>
      <c r="I97">
        <v>0</v>
      </c>
      <c r="J97">
        <v>0</v>
      </c>
      <c r="K97">
        <v>0</v>
      </c>
      <c r="L97">
        <v>0</v>
      </c>
      <c r="M97">
        <v>6.2322230000000002E-7</v>
      </c>
      <c r="N97">
        <v>0</v>
      </c>
      <c r="O97">
        <v>0</v>
      </c>
      <c r="P97">
        <v>0</v>
      </c>
      <c r="Q97" s="224">
        <f t="shared" si="1"/>
        <v>7.8445470000000007E-7</v>
      </c>
    </row>
    <row r="98" spans="1:17" x14ac:dyDescent="0.15">
      <c r="A98">
        <v>97</v>
      </c>
      <c r="B98" t="s">
        <v>317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2.3656750000000001E-9</v>
      </c>
      <c r="M98">
        <v>5.3958850000000001E-6</v>
      </c>
      <c r="N98">
        <v>2.3719380000000001E-8</v>
      </c>
      <c r="O98">
        <v>0</v>
      </c>
      <c r="P98">
        <v>0</v>
      </c>
      <c r="Q98" s="224">
        <f t="shared" si="1"/>
        <v>5.4219700550000003E-6</v>
      </c>
    </row>
    <row r="99" spans="1:17" x14ac:dyDescent="0.15">
      <c r="A99">
        <v>98</v>
      </c>
      <c r="B99" t="s">
        <v>318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224">
        <f t="shared" si="1"/>
        <v>0</v>
      </c>
    </row>
    <row r="100" spans="1:17" x14ac:dyDescent="0.15">
      <c r="A100">
        <v>99</v>
      </c>
      <c r="B100" t="s">
        <v>319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s="224">
        <f t="shared" si="1"/>
        <v>0</v>
      </c>
    </row>
    <row r="101" spans="1:17" x14ac:dyDescent="0.15">
      <c r="A101">
        <v>100</v>
      </c>
      <c r="B101" t="s">
        <v>320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 s="224">
        <f t="shared" si="1"/>
        <v>0</v>
      </c>
    </row>
    <row r="102" spans="1:17" x14ac:dyDescent="0.15">
      <c r="A102">
        <v>101</v>
      </c>
      <c r="B102" t="s">
        <v>321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4.8455839999999996E-7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9.8374839999999994E-8</v>
      </c>
      <c r="O102">
        <v>0</v>
      </c>
      <c r="P102">
        <v>0</v>
      </c>
      <c r="Q102" s="224">
        <f t="shared" si="1"/>
        <v>5.8293323999999994E-7</v>
      </c>
    </row>
    <row r="103" spans="1:17" x14ac:dyDescent="0.15">
      <c r="A103">
        <v>102</v>
      </c>
      <c r="B103" t="s">
        <v>322</v>
      </c>
      <c r="C103">
        <v>0</v>
      </c>
      <c r="D103">
        <v>0</v>
      </c>
      <c r="E103">
        <v>0</v>
      </c>
      <c r="F103">
        <v>0</v>
      </c>
      <c r="G103">
        <v>2.806811E-4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 s="224">
        <f t="shared" si="1"/>
        <v>2.806811E-4</v>
      </c>
    </row>
    <row r="104" spans="1:17" x14ac:dyDescent="0.15">
      <c r="A104">
        <v>103</v>
      </c>
      <c r="B104" t="s">
        <v>323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224">
        <f t="shared" si="1"/>
        <v>0</v>
      </c>
    </row>
    <row r="105" spans="1:17" x14ac:dyDescent="0.15">
      <c r="A105">
        <v>104</v>
      </c>
      <c r="B105" t="s">
        <v>324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224">
        <f t="shared" si="1"/>
        <v>0</v>
      </c>
    </row>
    <row r="106" spans="1:17" x14ac:dyDescent="0.15">
      <c r="A106">
        <v>105</v>
      </c>
      <c r="B106" t="s">
        <v>325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8.1127959999999997E-7</v>
      </c>
      <c r="I106">
        <v>0</v>
      </c>
      <c r="J106">
        <v>0</v>
      </c>
      <c r="K106">
        <v>0</v>
      </c>
      <c r="L106">
        <v>8.2541309999999997E-8</v>
      </c>
      <c r="M106">
        <v>2.2338330000000001E-4</v>
      </c>
      <c r="N106">
        <v>0</v>
      </c>
      <c r="O106">
        <v>9.6620169999999998E-7</v>
      </c>
      <c r="P106">
        <v>0</v>
      </c>
      <c r="Q106" s="224">
        <f t="shared" si="1"/>
        <v>2.2524332260999999E-4</v>
      </c>
    </row>
    <row r="107" spans="1:17" x14ac:dyDescent="0.15">
      <c r="A107">
        <v>106</v>
      </c>
      <c r="B107" t="s">
        <v>326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224">
        <f t="shared" si="1"/>
        <v>0</v>
      </c>
    </row>
    <row r="108" spans="1:17" x14ac:dyDescent="0.15">
      <c r="A108">
        <v>107</v>
      </c>
      <c r="B108" t="s">
        <v>327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224">
        <f t="shared" si="1"/>
        <v>0</v>
      </c>
    </row>
    <row r="109" spans="1:17" x14ac:dyDescent="0.15">
      <c r="A109">
        <v>108</v>
      </c>
      <c r="B109" t="s">
        <v>328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224">
        <f t="shared" si="1"/>
        <v>0</v>
      </c>
    </row>
    <row r="110" spans="1:17" x14ac:dyDescent="0.15">
      <c r="A110">
        <v>109</v>
      </c>
      <c r="B110" t="s">
        <v>329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224">
        <f t="shared" si="1"/>
        <v>0</v>
      </c>
    </row>
    <row r="111" spans="1:17" x14ac:dyDescent="0.15">
      <c r="A111">
        <v>110</v>
      </c>
      <c r="B111" t="s">
        <v>330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224">
        <f t="shared" si="1"/>
        <v>0</v>
      </c>
    </row>
    <row r="112" spans="1:17" x14ac:dyDescent="0.15">
      <c r="A112">
        <v>111</v>
      </c>
      <c r="B112" t="s">
        <v>331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224">
        <f t="shared" si="1"/>
        <v>0</v>
      </c>
    </row>
    <row r="113" spans="1:17" x14ac:dyDescent="0.15">
      <c r="A113">
        <v>112</v>
      </c>
      <c r="B113" t="s">
        <v>332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224">
        <f t="shared" si="1"/>
        <v>0</v>
      </c>
    </row>
    <row r="114" spans="1:17" x14ac:dyDescent="0.15">
      <c r="A114">
        <v>113</v>
      </c>
      <c r="B114" t="s">
        <v>333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224">
        <f t="shared" si="1"/>
        <v>0</v>
      </c>
    </row>
    <row r="115" spans="1:17" x14ac:dyDescent="0.15">
      <c r="A115">
        <v>114</v>
      </c>
      <c r="B115" t="s">
        <v>334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224">
        <f t="shared" si="1"/>
        <v>0</v>
      </c>
    </row>
    <row r="116" spans="1:17" x14ac:dyDescent="0.15">
      <c r="A116">
        <v>115</v>
      </c>
      <c r="B116" t="s">
        <v>335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224">
        <f t="shared" si="1"/>
        <v>0</v>
      </c>
    </row>
    <row r="117" spans="1:17" x14ac:dyDescent="0.15">
      <c r="A117">
        <v>116</v>
      </c>
      <c r="B117" t="s">
        <v>336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224">
        <f t="shared" si="1"/>
        <v>0</v>
      </c>
    </row>
    <row r="118" spans="1:17" x14ac:dyDescent="0.15">
      <c r="A118">
        <v>117</v>
      </c>
      <c r="B118" t="s">
        <v>337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224">
        <f t="shared" si="1"/>
        <v>0</v>
      </c>
    </row>
    <row r="119" spans="1:17" x14ac:dyDescent="0.15">
      <c r="A119">
        <v>118</v>
      </c>
      <c r="B119" t="s">
        <v>338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224">
        <f t="shared" si="1"/>
        <v>0</v>
      </c>
    </row>
    <row r="120" spans="1:17" x14ac:dyDescent="0.15">
      <c r="A120">
        <v>119</v>
      </c>
      <c r="B120" t="s">
        <v>339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224">
        <f t="shared" si="1"/>
        <v>0</v>
      </c>
    </row>
    <row r="121" spans="1:17" x14ac:dyDescent="0.15">
      <c r="A121">
        <v>120</v>
      </c>
      <c r="B121" t="s">
        <v>340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224">
        <f t="shared" si="1"/>
        <v>0</v>
      </c>
    </row>
    <row r="122" spans="1:17" x14ac:dyDescent="0.15">
      <c r="A122">
        <v>121</v>
      </c>
      <c r="B122" t="s">
        <v>341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 s="224">
        <f t="shared" si="1"/>
        <v>0</v>
      </c>
    </row>
    <row r="123" spans="1:17" x14ac:dyDescent="0.15">
      <c r="A123">
        <v>122</v>
      </c>
      <c r="B123" t="s">
        <v>342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 s="224">
        <f t="shared" si="1"/>
        <v>0</v>
      </c>
    </row>
    <row r="124" spans="1:17" x14ac:dyDescent="0.15">
      <c r="A124">
        <v>123</v>
      </c>
      <c r="B124" t="s">
        <v>343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 s="224">
        <f t="shared" si="1"/>
        <v>0</v>
      </c>
    </row>
    <row r="125" spans="1:17" x14ac:dyDescent="0.15">
      <c r="A125">
        <v>124</v>
      </c>
      <c r="B125" t="s">
        <v>344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 s="224">
        <f t="shared" si="1"/>
        <v>0</v>
      </c>
    </row>
    <row r="126" spans="1:17" x14ac:dyDescent="0.15">
      <c r="A126">
        <v>125</v>
      </c>
      <c r="B126" t="s">
        <v>345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 s="224">
        <f t="shared" si="1"/>
        <v>0</v>
      </c>
    </row>
    <row r="127" spans="1:17" x14ac:dyDescent="0.15">
      <c r="A127">
        <v>126</v>
      </c>
      <c r="B127" t="s">
        <v>346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 s="224">
        <f t="shared" si="1"/>
        <v>0</v>
      </c>
    </row>
    <row r="128" spans="1:17" x14ac:dyDescent="0.15">
      <c r="A128">
        <v>127</v>
      </c>
      <c r="B128" t="s">
        <v>347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 s="224">
        <f t="shared" si="1"/>
        <v>0</v>
      </c>
    </row>
    <row r="129" spans="1:17" x14ac:dyDescent="0.15">
      <c r="A129">
        <v>128</v>
      </c>
      <c r="B129" t="s">
        <v>348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 s="224">
        <f t="shared" si="1"/>
        <v>0</v>
      </c>
    </row>
    <row r="130" spans="1:17" x14ac:dyDescent="0.15">
      <c r="A130">
        <v>129</v>
      </c>
      <c r="B130" t="s">
        <v>349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 s="224">
        <f t="shared" si="1"/>
        <v>0</v>
      </c>
    </row>
    <row r="131" spans="1:17" x14ac:dyDescent="0.15">
      <c r="A131">
        <v>130</v>
      </c>
      <c r="B131" t="s">
        <v>350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 s="224">
        <f t="shared" ref="Q131:Q137" si="2">SUM(C131:P131)</f>
        <v>0</v>
      </c>
    </row>
    <row r="132" spans="1:17" x14ac:dyDescent="0.15">
      <c r="A132">
        <v>131</v>
      </c>
      <c r="B132" t="s">
        <v>351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 s="224">
        <f t="shared" si="2"/>
        <v>0</v>
      </c>
    </row>
    <row r="133" spans="1:17" x14ac:dyDescent="0.15">
      <c r="A133">
        <v>132</v>
      </c>
      <c r="B133" t="s">
        <v>352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 s="224">
        <f t="shared" si="2"/>
        <v>0</v>
      </c>
    </row>
    <row r="134" spans="1:17" x14ac:dyDescent="0.15">
      <c r="A134">
        <v>133</v>
      </c>
      <c r="B134" t="s">
        <v>353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 s="224">
        <f t="shared" si="2"/>
        <v>0</v>
      </c>
    </row>
    <row r="135" spans="1:17" x14ac:dyDescent="0.15">
      <c r="A135">
        <v>134</v>
      </c>
      <c r="B135" t="s">
        <v>354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 s="224">
        <f t="shared" si="2"/>
        <v>0</v>
      </c>
    </row>
    <row r="136" spans="1:17" x14ac:dyDescent="0.15">
      <c r="A136">
        <v>135</v>
      </c>
      <c r="B136" t="s">
        <v>355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 s="224">
        <f t="shared" si="2"/>
        <v>0</v>
      </c>
    </row>
    <row r="137" spans="1:17" x14ac:dyDescent="0.15">
      <c r="A137">
        <v>136</v>
      </c>
      <c r="B137" t="s">
        <v>356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 s="224">
        <f t="shared" si="2"/>
        <v>0</v>
      </c>
    </row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5" ht="15" customHeight="1" x14ac:dyDescent="0.15"/>
    <row r="176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Q1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0" defaultColWidth="8.83203125" defaultRowHeight="13" x14ac:dyDescent="0.15"/>
  <cols>
    <col min="1" max="1" width="12.6640625" customWidth="1"/>
    <col min="2" max="2" width="22" bestFit="1" customWidth="1"/>
    <col min="3" max="3" width="13" bestFit="1" customWidth="1"/>
    <col min="4" max="4" width="13" customWidth="1"/>
  </cols>
  <sheetData>
    <row r="1" spans="1:17" s="140" customFormat="1" ht="28" x14ac:dyDescent="0.15">
      <c r="A1" s="139" t="s">
        <v>22</v>
      </c>
      <c r="B1" s="142" t="s">
        <v>0</v>
      </c>
      <c r="C1" t="s">
        <v>343</v>
      </c>
      <c r="D1" t="s">
        <v>344</v>
      </c>
      <c r="E1" t="s">
        <v>345</v>
      </c>
      <c r="F1" t="s">
        <v>346</v>
      </c>
      <c r="G1" t="s">
        <v>347</v>
      </c>
      <c r="H1" t="s">
        <v>348</v>
      </c>
      <c r="I1" t="s">
        <v>349</v>
      </c>
      <c r="J1" t="s">
        <v>350</v>
      </c>
      <c r="K1" t="s">
        <v>351</v>
      </c>
      <c r="L1" t="s">
        <v>352</v>
      </c>
      <c r="M1" t="s">
        <v>353</v>
      </c>
      <c r="N1" t="s">
        <v>354</v>
      </c>
      <c r="O1" t="s">
        <v>355</v>
      </c>
      <c r="P1" t="s">
        <v>356</v>
      </c>
      <c r="Q1" s="140" t="s">
        <v>222</v>
      </c>
    </row>
    <row r="2" spans="1:17" x14ac:dyDescent="0.15">
      <c r="A2">
        <v>1</v>
      </c>
      <c r="B2" t="s">
        <v>225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 s="224">
        <f>SUM(C2:P2)</f>
        <v>0</v>
      </c>
    </row>
    <row r="3" spans="1:17" x14ac:dyDescent="0.15">
      <c r="A3">
        <v>2</v>
      </c>
      <c r="B3" t="s">
        <v>226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224">
        <f t="shared" ref="Q3:Q66" si="0">SUM(C3:P3)</f>
        <v>0</v>
      </c>
    </row>
    <row r="4" spans="1:17" x14ac:dyDescent="0.15">
      <c r="A4">
        <v>3</v>
      </c>
      <c r="B4" t="s">
        <v>227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5.3983360000000002E-7</v>
      </c>
      <c r="K4">
        <v>0</v>
      </c>
      <c r="L4">
        <v>0</v>
      </c>
      <c r="M4">
        <v>0</v>
      </c>
      <c r="N4">
        <v>0</v>
      </c>
      <c r="O4">
        <v>6.8266089999999998E-7</v>
      </c>
      <c r="P4">
        <v>0</v>
      </c>
      <c r="Q4" s="224">
        <f t="shared" si="0"/>
        <v>1.2224945000000001E-6</v>
      </c>
    </row>
    <row r="5" spans="1:17" x14ac:dyDescent="0.15">
      <c r="A5">
        <v>4</v>
      </c>
      <c r="B5" t="s">
        <v>228</v>
      </c>
      <c r="C5">
        <v>0</v>
      </c>
      <c r="D5">
        <v>0</v>
      </c>
      <c r="E5">
        <v>0</v>
      </c>
      <c r="F5">
        <v>0</v>
      </c>
      <c r="G5">
        <v>0</v>
      </c>
      <c r="H5">
        <v>2.6185710000000001E-8</v>
      </c>
      <c r="I5">
        <v>9.4532819999999992E-9</v>
      </c>
      <c r="J5">
        <v>0</v>
      </c>
      <c r="K5">
        <v>0</v>
      </c>
      <c r="L5">
        <v>5.0758919999999999E-8</v>
      </c>
      <c r="M5">
        <v>1.14423E-7</v>
      </c>
      <c r="N5">
        <v>2.5063570000000001E-8</v>
      </c>
      <c r="O5">
        <v>0</v>
      </c>
      <c r="P5">
        <v>0</v>
      </c>
      <c r="Q5" s="224">
        <f t="shared" si="0"/>
        <v>2.2588448199999999E-7</v>
      </c>
    </row>
    <row r="6" spans="1:17" x14ac:dyDescent="0.15">
      <c r="A6">
        <v>5</v>
      </c>
      <c r="B6" t="s">
        <v>229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 s="224">
        <f t="shared" si="0"/>
        <v>0</v>
      </c>
    </row>
    <row r="7" spans="1:17" x14ac:dyDescent="0.15">
      <c r="A7">
        <v>6</v>
      </c>
      <c r="B7" t="s">
        <v>230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 s="224">
        <f t="shared" si="0"/>
        <v>0</v>
      </c>
    </row>
    <row r="8" spans="1:17" x14ac:dyDescent="0.15">
      <c r="A8">
        <v>7</v>
      </c>
      <c r="B8" t="s">
        <v>231</v>
      </c>
      <c r="C8">
        <v>0</v>
      </c>
      <c r="D8">
        <v>0</v>
      </c>
      <c r="E8">
        <v>0</v>
      </c>
      <c r="F8">
        <v>0</v>
      </c>
      <c r="G8">
        <v>0</v>
      </c>
      <c r="H8">
        <v>1.0062189999999999E-5</v>
      </c>
      <c r="I8">
        <v>3.6325430000000001E-6</v>
      </c>
      <c r="J8">
        <v>0</v>
      </c>
      <c r="K8">
        <v>0</v>
      </c>
      <c r="L8">
        <v>1.9504760000000001E-5</v>
      </c>
      <c r="M8">
        <v>4.3968499999999998E-5</v>
      </c>
      <c r="N8">
        <v>9.630994E-6</v>
      </c>
      <c r="O8">
        <v>0</v>
      </c>
      <c r="P8">
        <v>0</v>
      </c>
      <c r="Q8" s="224">
        <f t="shared" si="0"/>
        <v>8.6798986999999991E-5</v>
      </c>
    </row>
    <row r="9" spans="1:17" x14ac:dyDescent="0.15">
      <c r="A9">
        <v>8</v>
      </c>
      <c r="B9" t="s">
        <v>232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 s="224">
        <f t="shared" si="0"/>
        <v>0</v>
      </c>
    </row>
    <row r="10" spans="1:17" x14ac:dyDescent="0.15">
      <c r="A10">
        <v>9</v>
      </c>
      <c r="B10" t="s">
        <v>233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 s="224">
        <f t="shared" si="0"/>
        <v>0</v>
      </c>
    </row>
    <row r="11" spans="1:17" x14ac:dyDescent="0.15">
      <c r="A11">
        <v>10</v>
      </c>
      <c r="B11" t="s">
        <v>234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 s="224">
        <f t="shared" si="0"/>
        <v>0</v>
      </c>
    </row>
    <row r="12" spans="1:17" x14ac:dyDescent="0.15">
      <c r="A12">
        <v>11</v>
      </c>
      <c r="B12" t="s">
        <v>235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 s="224">
        <f t="shared" si="0"/>
        <v>0</v>
      </c>
    </row>
    <row r="13" spans="1:17" x14ac:dyDescent="0.15">
      <c r="A13">
        <v>12</v>
      </c>
      <c r="B13" t="s">
        <v>236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 s="224">
        <f t="shared" si="0"/>
        <v>0</v>
      </c>
    </row>
    <row r="14" spans="1:17" x14ac:dyDescent="0.15">
      <c r="A14">
        <v>13</v>
      </c>
      <c r="B14" t="s">
        <v>237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 s="224">
        <f t="shared" si="0"/>
        <v>0</v>
      </c>
    </row>
    <row r="15" spans="1:17" x14ac:dyDescent="0.15">
      <c r="A15">
        <v>14</v>
      </c>
      <c r="B15" t="s">
        <v>238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 s="224">
        <f t="shared" si="0"/>
        <v>0</v>
      </c>
    </row>
    <row r="16" spans="1:17" x14ac:dyDescent="0.15">
      <c r="A16">
        <v>15</v>
      </c>
      <c r="B16" t="s">
        <v>239</v>
      </c>
      <c r="C16">
        <v>0</v>
      </c>
      <c r="D16">
        <v>0</v>
      </c>
      <c r="E16">
        <v>0</v>
      </c>
      <c r="F16">
        <v>0</v>
      </c>
      <c r="G16">
        <v>0</v>
      </c>
      <c r="H16">
        <v>9.291703E-8</v>
      </c>
      <c r="I16">
        <v>3.3543909999999997E-8</v>
      </c>
      <c r="J16">
        <v>2.041897E-6</v>
      </c>
      <c r="K16">
        <v>0</v>
      </c>
      <c r="L16">
        <v>1.8011229999999999E-7</v>
      </c>
      <c r="M16">
        <v>4.0601729999999998E-7</v>
      </c>
      <c r="N16">
        <v>8.8935240000000006E-8</v>
      </c>
      <c r="O16">
        <v>2.5821350000000001E-6</v>
      </c>
      <c r="P16">
        <v>0</v>
      </c>
      <c r="Q16" s="224">
        <f t="shared" si="0"/>
        <v>5.4255577799999999E-6</v>
      </c>
    </row>
    <row r="17" spans="1:17" x14ac:dyDescent="0.15">
      <c r="A17">
        <v>16</v>
      </c>
      <c r="B17" t="s">
        <v>240</v>
      </c>
      <c r="C17">
        <v>0</v>
      </c>
      <c r="D17">
        <v>0</v>
      </c>
      <c r="E17">
        <v>0</v>
      </c>
      <c r="F17">
        <v>0</v>
      </c>
      <c r="G17">
        <v>0</v>
      </c>
      <c r="H17">
        <v>2.5341010000000002E-8</v>
      </c>
      <c r="I17">
        <v>9.1483359999999998E-9</v>
      </c>
      <c r="J17">
        <v>1.420615E-8</v>
      </c>
      <c r="K17">
        <v>9.6512720000000002E-8</v>
      </c>
      <c r="L17">
        <v>4.9121529999999997E-8</v>
      </c>
      <c r="M17">
        <v>1.10732E-7</v>
      </c>
      <c r="N17">
        <v>2.425507E-8</v>
      </c>
      <c r="O17">
        <v>1.7964759999999999E-8</v>
      </c>
      <c r="P17">
        <v>0</v>
      </c>
      <c r="Q17" s="224">
        <f t="shared" si="0"/>
        <v>3.4728157599999997E-7</v>
      </c>
    </row>
    <row r="18" spans="1:17" x14ac:dyDescent="0.15">
      <c r="A18">
        <v>17</v>
      </c>
      <c r="B18" t="s">
        <v>241</v>
      </c>
      <c r="C18">
        <v>0</v>
      </c>
      <c r="D18">
        <v>0</v>
      </c>
      <c r="E18">
        <v>0</v>
      </c>
      <c r="F18">
        <v>0</v>
      </c>
      <c r="G18">
        <v>0</v>
      </c>
      <c r="H18">
        <v>3.5488590000000002E-9</v>
      </c>
      <c r="I18">
        <v>0</v>
      </c>
      <c r="J18">
        <v>2.059886E-8</v>
      </c>
      <c r="K18">
        <v>1.9473419999999998E-9</v>
      </c>
      <c r="L18">
        <v>1.005351E-8</v>
      </c>
      <c r="M18">
        <v>1.100409E-10</v>
      </c>
      <c r="N18">
        <v>2.0783549999999999E-9</v>
      </c>
      <c r="O18">
        <v>2.9051049999999999E-7</v>
      </c>
      <c r="P18">
        <v>0</v>
      </c>
      <c r="Q18" s="224">
        <f t="shared" si="0"/>
        <v>3.2884746689999998E-7</v>
      </c>
    </row>
    <row r="19" spans="1:17" x14ac:dyDescent="0.15">
      <c r="A19">
        <v>18</v>
      </c>
      <c r="B19" t="s">
        <v>242</v>
      </c>
      <c r="C19">
        <v>0</v>
      </c>
      <c r="D19">
        <v>0</v>
      </c>
      <c r="E19">
        <v>0</v>
      </c>
      <c r="F19">
        <v>0</v>
      </c>
      <c r="G19">
        <v>0</v>
      </c>
      <c r="H19">
        <v>7.4262580000000006E-8</v>
      </c>
      <c r="I19">
        <v>0</v>
      </c>
      <c r="J19">
        <v>4.3104690000000002E-7</v>
      </c>
      <c r="K19">
        <v>4.0749620000000002E-8</v>
      </c>
      <c r="L19">
        <v>2.1037730000000001E-7</v>
      </c>
      <c r="M19">
        <v>2.3026909999999999E-9</v>
      </c>
      <c r="N19">
        <v>4.349116E-8</v>
      </c>
      <c r="O19">
        <v>6.0791540000000002E-6</v>
      </c>
      <c r="P19">
        <v>0</v>
      </c>
      <c r="Q19" s="224">
        <f t="shared" si="0"/>
        <v>6.8813842510000005E-6</v>
      </c>
    </row>
    <row r="20" spans="1:17" x14ac:dyDescent="0.15">
      <c r="A20">
        <v>19</v>
      </c>
      <c r="B20" t="s">
        <v>243</v>
      </c>
      <c r="C20">
        <v>0</v>
      </c>
      <c r="D20">
        <v>0</v>
      </c>
      <c r="E20">
        <v>0</v>
      </c>
      <c r="F20">
        <v>0</v>
      </c>
      <c r="G20">
        <v>0</v>
      </c>
      <c r="H20">
        <v>1.3668769999999999E-8</v>
      </c>
      <c r="I20">
        <v>0</v>
      </c>
      <c r="J20">
        <v>7.9338460000000006E-8</v>
      </c>
      <c r="K20">
        <v>7.5003720000000005E-9</v>
      </c>
      <c r="L20">
        <v>3.8722029999999997E-8</v>
      </c>
      <c r="M20">
        <v>4.2383309999999998E-10</v>
      </c>
      <c r="N20">
        <v>8.0049810000000001E-9</v>
      </c>
      <c r="O20">
        <v>1.1189289999999999E-6</v>
      </c>
      <c r="P20">
        <v>0</v>
      </c>
      <c r="Q20" s="224">
        <f t="shared" si="0"/>
        <v>1.2665874460999999E-6</v>
      </c>
    </row>
    <row r="21" spans="1:17" x14ac:dyDescent="0.15">
      <c r="A21">
        <v>20</v>
      </c>
      <c r="B21" t="s">
        <v>244</v>
      </c>
      <c r="C21">
        <v>0</v>
      </c>
      <c r="D21">
        <v>0</v>
      </c>
      <c r="E21">
        <v>0</v>
      </c>
      <c r="F21">
        <v>0</v>
      </c>
      <c r="G21">
        <v>0</v>
      </c>
      <c r="H21">
        <v>4.6069580000000002E-9</v>
      </c>
      <c r="I21">
        <v>0</v>
      </c>
      <c r="J21">
        <v>2.6740450000000001E-8</v>
      </c>
      <c r="K21">
        <v>2.5279460000000001E-9</v>
      </c>
      <c r="L21">
        <v>1.3050980000000001E-8</v>
      </c>
      <c r="M21">
        <v>1.428499E-10</v>
      </c>
      <c r="N21">
        <v>2.6980200000000002E-9</v>
      </c>
      <c r="O21">
        <v>3.7712679999999998E-7</v>
      </c>
      <c r="P21">
        <v>0</v>
      </c>
      <c r="Q21" s="224">
        <f t="shared" si="0"/>
        <v>4.2689400389999998E-7</v>
      </c>
    </row>
    <row r="22" spans="1:17" x14ac:dyDescent="0.15">
      <c r="A22">
        <v>21</v>
      </c>
      <c r="B22" t="s">
        <v>245</v>
      </c>
      <c r="C22">
        <v>0</v>
      </c>
      <c r="D22">
        <v>0</v>
      </c>
      <c r="E22">
        <v>0</v>
      </c>
      <c r="F22">
        <v>0</v>
      </c>
      <c r="G22">
        <v>0</v>
      </c>
      <c r="H22">
        <v>9.9663870000000003E-8</v>
      </c>
      <c r="I22">
        <v>0</v>
      </c>
      <c r="J22">
        <v>5.7848520000000005E-7</v>
      </c>
      <c r="K22">
        <v>5.4687900000000001E-8</v>
      </c>
      <c r="L22">
        <v>2.8233620000000001E-7</v>
      </c>
      <c r="M22">
        <v>3.0903189999999998E-9</v>
      </c>
      <c r="N22">
        <v>5.836718E-8</v>
      </c>
      <c r="O22">
        <v>8.1585100000000006E-6</v>
      </c>
      <c r="P22">
        <v>0</v>
      </c>
      <c r="Q22" s="224">
        <f t="shared" si="0"/>
        <v>9.2351406689999999E-6</v>
      </c>
    </row>
    <row r="23" spans="1:17" x14ac:dyDescent="0.15">
      <c r="A23">
        <v>22</v>
      </c>
      <c r="B23" t="s">
        <v>246</v>
      </c>
      <c r="C23">
        <v>0</v>
      </c>
      <c r="D23">
        <v>0</v>
      </c>
      <c r="E23">
        <v>0</v>
      </c>
      <c r="F23">
        <v>0</v>
      </c>
      <c r="G23">
        <v>0</v>
      </c>
      <c r="H23">
        <v>1.261686E-8</v>
      </c>
      <c r="I23">
        <v>0</v>
      </c>
      <c r="J23">
        <v>7.3232840000000007E-8</v>
      </c>
      <c r="K23">
        <v>6.923168E-9</v>
      </c>
      <c r="L23">
        <v>3.5742109999999999E-8</v>
      </c>
      <c r="M23">
        <v>3.9121629999999998E-10</v>
      </c>
      <c r="N23">
        <v>7.3889440000000004E-9</v>
      </c>
      <c r="O23">
        <v>1.03282E-6</v>
      </c>
      <c r="P23">
        <v>0</v>
      </c>
      <c r="Q23" s="224">
        <f t="shared" si="0"/>
        <v>1.1691151383E-6</v>
      </c>
    </row>
    <row r="24" spans="1:17" x14ac:dyDescent="0.15">
      <c r="A24">
        <v>23</v>
      </c>
      <c r="B24" t="s">
        <v>247</v>
      </c>
      <c r="C24">
        <v>0</v>
      </c>
      <c r="D24">
        <v>0</v>
      </c>
      <c r="E24">
        <v>0</v>
      </c>
      <c r="F24">
        <v>0</v>
      </c>
      <c r="G24">
        <v>0</v>
      </c>
      <c r="H24">
        <v>3.5488590000000002E-9</v>
      </c>
      <c r="I24">
        <v>0</v>
      </c>
      <c r="J24">
        <v>2.059886E-8</v>
      </c>
      <c r="K24">
        <v>1.9473419999999998E-9</v>
      </c>
      <c r="L24">
        <v>1.005351E-8</v>
      </c>
      <c r="M24">
        <v>1.100409E-10</v>
      </c>
      <c r="N24">
        <v>2.0783549999999999E-9</v>
      </c>
      <c r="O24">
        <v>2.9051049999999999E-7</v>
      </c>
      <c r="P24">
        <v>0</v>
      </c>
      <c r="Q24" s="224">
        <f t="shared" si="0"/>
        <v>3.2884746689999998E-7</v>
      </c>
    </row>
    <row r="25" spans="1:17" x14ac:dyDescent="0.15">
      <c r="A25">
        <v>24</v>
      </c>
      <c r="B25" t="s">
        <v>248</v>
      </c>
      <c r="C25">
        <v>0</v>
      </c>
      <c r="D25">
        <v>0</v>
      </c>
      <c r="E25">
        <v>0</v>
      </c>
      <c r="F25">
        <v>0</v>
      </c>
      <c r="G25">
        <v>0</v>
      </c>
      <c r="H25">
        <v>5.3621849999999997E-9</v>
      </c>
      <c r="I25">
        <v>0</v>
      </c>
      <c r="J25">
        <v>3.1124060000000001E-8</v>
      </c>
      <c r="K25">
        <v>2.942357E-9</v>
      </c>
      <c r="L25">
        <v>1.519045E-8</v>
      </c>
      <c r="M25">
        <v>1.6626749999999999E-10</v>
      </c>
      <c r="N25">
        <v>3.1403120000000001E-9</v>
      </c>
      <c r="O25">
        <v>4.389499E-7</v>
      </c>
      <c r="P25">
        <v>0</v>
      </c>
      <c r="Q25" s="224">
        <f t="shared" si="0"/>
        <v>4.9687553149999998E-7</v>
      </c>
    </row>
    <row r="26" spans="1:17" x14ac:dyDescent="0.15">
      <c r="A26">
        <v>25</v>
      </c>
      <c r="B26" t="s">
        <v>249</v>
      </c>
      <c r="C26">
        <v>0</v>
      </c>
      <c r="D26">
        <v>0</v>
      </c>
      <c r="E26">
        <v>0</v>
      </c>
      <c r="F26">
        <v>0</v>
      </c>
      <c r="G26">
        <v>0</v>
      </c>
      <c r="H26">
        <v>8.7488830000000002E-9</v>
      </c>
      <c r="I26">
        <v>0</v>
      </c>
      <c r="J26">
        <v>5.0781680000000002E-8</v>
      </c>
      <c r="K26">
        <v>4.8007159999999999E-9</v>
      </c>
      <c r="L26">
        <v>2.4784569999999999E-8</v>
      </c>
      <c r="M26">
        <v>2.7128019999999998E-10</v>
      </c>
      <c r="N26">
        <v>5.1236979999999998E-9</v>
      </c>
      <c r="O26">
        <v>7.1618579999999997E-7</v>
      </c>
      <c r="P26">
        <v>0</v>
      </c>
      <c r="Q26" s="224">
        <f t="shared" si="0"/>
        <v>8.1069662720000001E-7</v>
      </c>
    </row>
    <row r="27" spans="1:17" x14ac:dyDescent="0.15">
      <c r="A27">
        <v>26</v>
      </c>
      <c r="B27" t="s">
        <v>250</v>
      </c>
      <c r="C27">
        <v>0</v>
      </c>
      <c r="D27">
        <v>0</v>
      </c>
      <c r="E27">
        <v>0</v>
      </c>
      <c r="F27">
        <v>0</v>
      </c>
      <c r="G27">
        <v>0</v>
      </c>
      <c r="H27">
        <v>3.5488590000000002E-9</v>
      </c>
      <c r="I27">
        <v>0</v>
      </c>
      <c r="J27">
        <v>2.059886E-8</v>
      </c>
      <c r="K27">
        <v>1.9473419999999998E-9</v>
      </c>
      <c r="L27">
        <v>1.005351E-8</v>
      </c>
      <c r="M27">
        <v>1.100409E-10</v>
      </c>
      <c r="N27">
        <v>2.0783549999999999E-9</v>
      </c>
      <c r="O27">
        <v>2.9051049999999999E-7</v>
      </c>
      <c r="P27">
        <v>0</v>
      </c>
      <c r="Q27" s="224">
        <f t="shared" si="0"/>
        <v>3.2884746689999998E-7</v>
      </c>
    </row>
    <row r="28" spans="1:17" x14ac:dyDescent="0.15">
      <c r="A28">
        <v>27</v>
      </c>
      <c r="B28" t="s">
        <v>251</v>
      </c>
      <c r="C28">
        <v>9.7386490000000005E-4</v>
      </c>
      <c r="D28">
        <v>0</v>
      </c>
      <c r="E28">
        <v>0</v>
      </c>
      <c r="F28">
        <v>0</v>
      </c>
      <c r="G28">
        <v>0</v>
      </c>
      <c r="H28">
        <v>1.417911E-5</v>
      </c>
      <c r="I28">
        <v>0</v>
      </c>
      <c r="J28">
        <v>1.1193629999999999E-5</v>
      </c>
      <c r="K28">
        <v>0</v>
      </c>
      <c r="L28">
        <v>1.694469E-5</v>
      </c>
      <c r="M28">
        <v>4.0811029999999999E-4</v>
      </c>
      <c r="N28">
        <v>0</v>
      </c>
      <c r="O28">
        <v>1.076124E-4</v>
      </c>
      <c r="P28">
        <v>0</v>
      </c>
      <c r="Q28" s="224">
        <f t="shared" si="0"/>
        <v>1.5319050299999997E-3</v>
      </c>
    </row>
    <row r="29" spans="1:17" x14ac:dyDescent="0.15">
      <c r="A29">
        <v>28</v>
      </c>
      <c r="B29" t="s">
        <v>252</v>
      </c>
      <c r="C29">
        <v>1.4877879999999999E-4</v>
      </c>
      <c r="D29">
        <v>0</v>
      </c>
      <c r="E29">
        <v>0</v>
      </c>
      <c r="F29">
        <v>0</v>
      </c>
      <c r="G29">
        <v>0</v>
      </c>
      <c r="H29">
        <v>4.8662250000000002E-6</v>
      </c>
      <c r="I29">
        <v>0</v>
      </c>
      <c r="J29">
        <v>0</v>
      </c>
      <c r="K29">
        <v>0</v>
      </c>
      <c r="L29">
        <v>0</v>
      </c>
      <c r="M29">
        <v>2.8068579999999997E-4</v>
      </c>
      <c r="N29">
        <v>0</v>
      </c>
      <c r="O29">
        <v>2.0893989999999999E-5</v>
      </c>
      <c r="P29">
        <v>0</v>
      </c>
      <c r="Q29" s="224">
        <f t="shared" si="0"/>
        <v>4.55224815E-4</v>
      </c>
    </row>
    <row r="30" spans="1:17" x14ac:dyDescent="0.15">
      <c r="A30">
        <v>29</v>
      </c>
      <c r="B30" t="s">
        <v>253</v>
      </c>
      <c r="C30">
        <v>3.2688909999999999E-3</v>
      </c>
      <c r="D30">
        <v>0</v>
      </c>
      <c r="E30">
        <v>0</v>
      </c>
      <c r="F30">
        <v>0</v>
      </c>
      <c r="G30">
        <v>0</v>
      </c>
      <c r="H30">
        <v>3.3530449999999998E-4</v>
      </c>
      <c r="I30">
        <v>2.7287779999999999E-8</v>
      </c>
      <c r="J30">
        <v>1.467428E-4</v>
      </c>
      <c r="K30">
        <v>0</v>
      </c>
      <c r="L30">
        <v>7.9282950000000003E-5</v>
      </c>
      <c r="M30">
        <v>1.7184510000000001E-4</v>
      </c>
      <c r="N30">
        <v>3.7150699999999998E-6</v>
      </c>
      <c r="O30">
        <v>1.5073260000000001E-4</v>
      </c>
      <c r="P30">
        <v>0</v>
      </c>
      <c r="Q30" s="224">
        <f t="shared" si="0"/>
        <v>4.15654130778E-3</v>
      </c>
    </row>
    <row r="31" spans="1:17" x14ac:dyDescent="0.15">
      <c r="A31">
        <v>30</v>
      </c>
      <c r="B31" t="s">
        <v>254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 s="224">
        <f t="shared" si="0"/>
        <v>0</v>
      </c>
    </row>
    <row r="32" spans="1:17" x14ac:dyDescent="0.15">
      <c r="A32">
        <v>31</v>
      </c>
      <c r="B32" t="s">
        <v>177</v>
      </c>
      <c r="C32">
        <v>0</v>
      </c>
      <c r="D32">
        <v>0</v>
      </c>
      <c r="E32">
        <v>0</v>
      </c>
      <c r="F32">
        <v>0</v>
      </c>
      <c r="G32">
        <v>0</v>
      </c>
      <c r="H32">
        <v>6.1967860000000001E-3</v>
      </c>
      <c r="I32">
        <v>3.4466279999999998E-4</v>
      </c>
      <c r="J32">
        <v>1.2980979999999999E-4</v>
      </c>
      <c r="K32">
        <v>3.6046279999999999E-5</v>
      </c>
      <c r="L32">
        <v>5.0216389999999996E-3</v>
      </c>
      <c r="M32">
        <v>0.33333259999999998</v>
      </c>
      <c r="N32">
        <v>4.1964029999999998E-4</v>
      </c>
      <c r="O32">
        <v>2.889747E-5</v>
      </c>
      <c r="P32">
        <v>0</v>
      </c>
      <c r="Q32" s="224">
        <f t="shared" si="0"/>
        <v>0.34551008165000002</v>
      </c>
    </row>
    <row r="33" spans="1:17" x14ac:dyDescent="0.15">
      <c r="A33">
        <v>32</v>
      </c>
      <c r="B33" t="s">
        <v>255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224">
        <f t="shared" si="0"/>
        <v>0</v>
      </c>
    </row>
    <row r="34" spans="1:17" x14ac:dyDescent="0.15">
      <c r="A34">
        <v>33</v>
      </c>
      <c r="B34" t="s">
        <v>256</v>
      </c>
      <c r="C34">
        <v>8.7966650000000004E-3</v>
      </c>
      <c r="D34">
        <v>0</v>
      </c>
      <c r="E34">
        <v>0</v>
      </c>
      <c r="F34">
        <v>0</v>
      </c>
      <c r="G34">
        <v>0</v>
      </c>
      <c r="H34">
        <v>5.674073E-3</v>
      </c>
      <c r="I34">
        <v>3.991577E-4</v>
      </c>
      <c r="J34">
        <v>1.5021390000000001E-2</v>
      </c>
      <c r="K34">
        <v>2.668734E-2</v>
      </c>
      <c r="L34">
        <v>5.9816279999999999E-2</v>
      </c>
      <c r="M34">
        <v>3.5978849999999999E-3</v>
      </c>
      <c r="N34">
        <v>3.9642200000000001E-4</v>
      </c>
      <c r="O34">
        <v>9.915302999999999E-4</v>
      </c>
      <c r="P34">
        <v>0</v>
      </c>
      <c r="Q34" s="224">
        <f t="shared" si="0"/>
        <v>0.12138074299999999</v>
      </c>
    </row>
    <row r="35" spans="1:17" x14ac:dyDescent="0.15">
      <c r="A35">
        <v>34</v>
      </c>
      <c r="B35" t="s">
        <v>257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 s="224">
        <f t="shared" si="0"/>
        <v>0</v>
      </c>
    </row>
    <row r="36" spans="1:17" x14ac:dyDescent="0.15">
      <c r="A36">
        <v>35</v>
      </c>
      <c r="B36" t="s">
        <v>178</v>
      </c>
      <c r="C36">
        <v>0</v>
      </c>
      <c r="D36">
        <v>0</v>
      </c>
      <c r="E36">
        <v>5.0412080000000001E-3</v>
      </c>
      <c r="F36">
        <v>0</v>
      </c>
      <c r="G36">
        <v>0</v>
      </c>
      <c r="H36">
        <v>4.0023830000000002E-7</v>
      </c>
      <c r="I36">
        <v>0</v>
      </c>
      <c r="J36">
        <v>0</v>
      </c>
      <c r="K36">
        <v>3.2045799999999997E-8</v>
      </c>
      <c r="L36">
        <v>1.2657109999999999E-7</v>
      </c>
      <c r="M36">
        <v>2.984254E-5</v>
      </c>
      <c r="N36">
        <v>3.9422230000000002E-7</v>
      </c>
      <c r="O36">
        <v>0</v>
      </c>
      <c r="P36">
        <v>0</v>
      </c>
      <c r="Q36" s="224">
        <f t="shared" si="0"/>
        <v>5.0720036175000002E-3</v>
      </c>
    </row>
    <row r="37" spans="1:17" x14ac:dyDescent="0.15">
      <c r="A37">
        <v>36</v>
      </c>
      <c r="B37" t="s">
        <v>258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 s="224">
        <f t="shared" si="0"/>
        <v>0</v>
      </c>
    </row>
    <row r="38" spans="1:17" x14ac:dyDescent="0.15">
      <c r="A38">
        <v>37</v>
      </c>
      <c r="B38" t="s">
        <v>179</v>
      </c>
      <c r="C38">
        <v>2.2095650000000001E-3</v>
      </c>
      <c r="D38">
        <v>0</v>
      </c>
      <c r="E38">
        <v>0</v>
      </c>
      <c r="F38">
        <v>0</v>
      </c>
      <c r="G38">
        <v>0</v>
      </c>
      <c r="H38">
        <v>6.0039450000000001E-2</v>
      </c>
      <c r="I38">
        <v>2.3046730000000001E-3</v>
      </c>
      <c r="J38">
        <v>8.3279039999999995E-4</v>
      </c>
      <c r="K38">
        <v>1.0185760000000001E-5</v>
      </c>
      <c r="L38">
        <v>8.5275279999999995E-3</v>
      </c>
      <c r="M38">
        <v>5.3263980000000004E-3</v>
      </c>
      <c r="N38">
        <v>8.4863040000000001E-3</v>
      </c>
      <c r="O38">
        <v>3.9443289999999999E-3</v>
      </c>
      <c r="P38">
        <v>0</v>
      </c>
      <c r="Q38" s="224">
        <f t="shared" si="0"/>
        <v>9.1681223160000005E-2</v>
      </c>
    </row>
    <row r="39" spans="1:17" x14ac:dyDescent="0.15">
      <c r="A39">
        <v>38</v>
      </c>
      <c r="B39" t="s">
        <v>259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 s="224">
        <f t="shared" si="0"/>
        <v>0</v>
      </c>
    </row>
    <row r="40" spans="1:17" x14ac:dyDescent="0.15">
      <c r="A40">
        <v>39</v>
      </c>
      <c r="B40" t="s">
        <v>260</v>
      </c>
      <c r="C40">
        <v>1.9225329999999999E-3</v>
      </c>
      <c r="D40">
        <v>0</v>
      </c>
      <c r="E40">
        <v>0</v>
      </c>
      <c r="F40">
        <v>0</v>
      </c>
      <c r="G40">
        <v>0</v>
      </c>
      <c r="H40">
        <v>1.343722E-2</v>
      </c>
      <c r="I40">
        <v>1.18204E-4</v>
      </c>
      <c r="J40">
        <v>7.9197950000000003E-3</v>
      </c>
      <c r="K40">
        <v>5.2926679999999997E-4</v>
      </c>
      <c r="L40">
        <v>4.7282890000000001E-3</v>
      </c>
      <c r="M40">
        <v>5.185128E-4</v>
      </c>
      <c r="N40">
        <v>1.8994509999999999E-3</v>
      </c>
      <c r="O40">
        <v>1.0269199999999999E-2</v>
      </c>
      <c r="P40">
        <v>0</v>
      </c>
      <c r="Q40" s="224">
        <f t="shared" si="0"/>
        <v>4.13424716E-2</v>
      </c>
    </row>
    <row r="41" spans="1:17" x14ac:dyDescent="0.15">
      <c r="A41">
        <v>40</v>
      </c>
      <c r="B41" t="s">
        <v>261</v>
      </c>
      <c r="C41">
        <v>0</v>
      </c>
      <c r="D41">
        <v>0</v>
      </c>
      <c r="E41">
        <v>0</v>
      </c>
      <c r="F41">
        <v>0</v>
      </c>
      <c r="G41">
        <v>0</v>
      </c>
      <c r="H41">
        <v>1.003027E-4</v>
      </c>
      <c r="I41">
        <v>5.4824560000000001E-6</v>
      </c>
      <c r="J41">
        <v>0</v>
      </c>
      <c r="K41">
        <v>0</v>
      </c>
      <c r="L41">
        <v>4.930728E-5</v>
      </c>
      <c r="M41">
        <v>1.4526769999999999E-5</v>
      </c>
      <c r="N41">
        <v>0</v>
      </c>
      <c r="O41">
        <v>0</v>
      </c>
      <c r="P41">
        <v>0</v>
      </c>
      <c r="Q41" s="224">
        <f t="shared" si="0"/>
        <v>1.6961920599999999E-4</v>
      </c>
    </row>
    <row r="42" spans="1:17" x14ac:dyDescent="0.15">
      <c r="A42">
        <v>41</v>
      </c>
      <c r="B42" t="s">
        <v>262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 s="224">
        <f t="shared" si="0"/>
        <v>0</v>
      </c>
    </row>
    <row r="43" spans="1:17" x14ac:dyDescent="0.15">
      <c r="A43">
        <v>42</v>
      </c>
      <c r="B43" t="s">
        <v>263</v>
      </c>
      <c r="C43">
        <v>0</v>
      </c>
      <c r="D43">
        <v>0</v>
      </c>
      <c r="E43">
        <v>0</v>
      </c>
      <c r="F43">
        <v>0</v>
      </c>
      <c r="G43">
        <v>0</v>
      </c>
      <c r="H43">
        <v>3.009655E-3</v>
      </c>
      <c r="I43">
        <v>2.4212390000000001E-5</v>
      </c>
      <c r="J43">
        <v>5.3735840000000001E-6</v>
      </c>
      <c r="K43">
        <v>3.2039739999999998E-7</v>
      </c>
      <c r="L43">
        <v>3.8141219999999999E-4</v>
      </c>
      <c r="M43">
        <v>3.8551109999999998E-4</v>
      </c>
      <c r="N43">
        <v>3.9381780000000002E-5</v>
      </c>
      <c r="O43">
        <v>1.892857E-6</v>
      </c>
      <c r="P43">
        <v>0</v>
      </c>
      <c r="Q43" s="224">
        <f t="shared" si="0"/>
        <v>3.8477593084000001E-3</v>
      </c>
    </row>
    <row r="44" spans="1:17" x14ac:dyDescent="0.15">
      <c r="A44">
        <v>43</v>
      </c>
      <c r="B44" t="s">
        <v>264</v>
      </c>
      <c r="C44">
        <v>0</v>
      </c>
      <c r="D44">
        <v>0</v>
      </c>
      <c r="E44">
        <v>0</v>
      </c>
      <c r="F44">
        <v>0</v>
      </c>
      <c r="G44">
        <v>0</v>
      </c>
      <c r="H44">
        <v>3.9397049999999999E-3</v>
      </c>
      <c r="I44">
        <v>8.5677079999999995E-6</v>
      </c>
      <c r="J44">
        <v>9.5651400000000004E-6</v>
      </c>
      <c r="K44">
        <v>0</v>
      </c>
      <c r="L44">
        <v>9.1194989999999996E-5</v>
      </c>
      <c r="M44">
        <v>6.4395749999999997E-4</v>
      </c>
      <c r="N44">
        <v>1.486296E-6</v>
      </c>
      <c r="O44">
        <v>0</v>
      </c>
      <c r="P44">
        <v>0</v>
      </c>
      <c r="Q44" s="224">
        <f t="shared" si="0"/>
        <v>4.6944766339999996E-3</v>
      </c>
    </row>
    <row r="45" spans="1:17" x14ac:dyDescent="0.15">
      <c r="A45">
        <v>44</v>
      </c>
      <c r="B45" t="s">
        <v>265</v>
      </c>
      <c r="C45">
        <v>0</v>
      </c>
      <c r="D45">
        <v>0</v>
      </c>
      <c r="E45">
        <v>0</v>
      </c>
      <c r="F45">
        <v>0</v>
      </c>
      <c r="G45">
        <v>0</v>
      </c>
      <c r="H45">
        <v>9.9899680000000001E-3</v>
      </c>
      <c r="I45">
        <v>2.1725260000000001E-5</v>
      </c>
      <c r="J45">
        <v>2.425446E-5</v>
      </c>
      <c r="K45">
        <v>0</v>
      </c>
      <c r="L45">
        <v>2.312444E-4</v>
      </c>
      <c r="M45">
        <v>1.6328919999999999E-3</v>
      </c>
      <c r="N45">
        <v>3.768822E-6</v>
      </c>
      <c r="O45">
        <v>0</v>
      </c>
      <c r="P45">
        <v>0</v>
      </c>
      <c r="Q45" s="224">
        <f t="shared" si="0"/>
        <v>1.1903852942E-2</v>
      </c>
    </row>
    <row r="46" spans="1:17" x14ac:dyDescent="0.15">
      <c r="A46">
        <v>45</v>
      </c>
      <c r="B46" t="s">
        <v>266</v>
      </c>
      <c r="C46">
        <v>0</v>
      </c>
      <c r="D46">
        <v>0</v>
      </c>
      <c r="E46">
        <v>0</v>
      </c>
      <c r="F46">
        <v>0</v>
      </c>
      <c r="G46">
        <v>0</v>
      </c>
      <c r="H46">
        <v>6.4169359999999996E-6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 s="224">
        <f t="shared" si="0"/>
        <v>6.4169359999999996E-6</v>
      </c>
    </row>
    <row r="47" spans="1:17" x14ac:dyDescent="0.15">
      <c r="A47">
        <v>46</v>
      </c>
      <c r="B47" t="s">
        <v>267</v>
      </c>
      <c r="C47">
        <v>0</v>
      </c>
      <c r="D47">
        <v>0</v>
      </c>
      <c r="E47">
        <v>0</v>
      </c>
      <c r="F47">
        <v>0</v>
      </c>
      <c r="G47">
        <v>0</v>
      </c>
      <c r="H47">
        <v>1.1557629999999999E-2</v>
      </c>
      <c r="I47">
        <v>5.1036389999999999E-4</v>
      </c>
      <c r="J47">
        <v>6.2357180000000004E-6</v>
      </c>
      <c r="K47">
        <v>1.5826950000000001E-7</v>
      </c>
      <c r="L47">
        <v>1.6833089999999999E-4</v>
      </c>
      <c r="M47">
        <v>2.096705E-4</v>
      </c>
      <c r="N47">
        <v>8.0342460000000005E-4</v>
      </c>
      <c r="O47">
        <v>1.7394630000000001E-4</v>
      </c>
      <c r="P47">
        <v>0</v>
      </c>
      <c r="Q47" s="224">
        <f t="shared" si="0"/>
        <v>1.3429760187499999E-2</v>
      </c>
    </row>
    <row r="48" spans="1:17" x14ac:dyDescent="0.15">
      <c r="A48">
        <v>47</v>
      </c>
      <c r="B48" t="s">
        <v>268</v>
      </c>
      <c r="C48">
        <v>0</v>
      </c>
      <c r="D48">
        <v>0</v>
      </c>
      <c r="E48">
        <v>0</v>
      </c>
      <c r="F48">
        <v>0</v>
      </c>
      <c r="G48">
        <v>0</v>
      </c>
      <c r="H48">
        <v>3.8050570000000001E-3</v>
      </c>
      <c r="I48">
        <v>1.0622260000000001E-5</v>
      </c>
      <c r="J48">
        <v>0</v>
      </c>
      <c r="K48">
        <v>0</v>
      </c>
      <c r="L48">
        <v>1.6101540000000001E-5</v>
      </c>
      <c r="M48">
        <v>4.8629009999999999E-4</v>
      </c>
      <c r="N48">
        <v>3.4857180000000001E-5</v>
      </c>
      <c r="O48">
        <v>0</v>
      </c>
      <c r="P48">
        <v>0</v>
      </c>
      <c r="Q48" s="224">
        <f t="shared" si="0"/>
        <v>4.3529280800000004E-3</v>
      </c>
    </row>
    <row r="49" spans="1:17" x14ac:dyDescent="0.15">
      <c r="A49">
        <v>48</v>
      </c>
      <c r="B49" t="s">
        <v>269</v>
      </c>
      <c r="C49">
        <v>0</v>
      </c>
      <c r="D49">
        <v>0</v>
      </c>
      <c r="E49">
        <v>0</v>
      </c>
      <c r="F49">
        <v>0</v>
      </c>
      <c r="G49">
        <v>0</v>
      </c>
      <c r="H49">
        <v>5.0953700000000001E-3</v>
      </c>
      <c r="I49">
        <v>1.9895040000000001E-5</v>
      </c>
      <c r="J49">
        <v>2.242743E-5</v>
      </c>
      <c r="K49">
        <v>1.3136219999999999E-5</v>
      </c>
      <c r="L49">
        <v>2.302597E-3</v>
      </c>
      <c r="M49">
        <v>6.1922240000000003E-4</v>
      </c>
      <c r="N49">
        <v>4.5173139999999999E-5</v>
      </c>
      <c r="O49">
        <v>1.2064760000000001E-5</v>
      </c>
      <c r="P49">
        <v>0</v>
      </c>
      <c r="Q49" s="224">
        <f t="shared" si="0"/>
        <v>8.1298859900000003E-3</v>
      </c>
    </row>
    <row r="50" spans="1:17" x14ac:dyDescent="0.15">
      <c r="A50">
        <v>49</v>
      </c>
      <c r="B50" t="s">
        <v>270</v>
      </c>
      <c r="C50">
        <v>1.203415E-3</v>
      </c>
      <c r="D50">
        <v>0</v>
      </c>
      <c r="E50">
        <v>0</v>
      </c>
      <c r="F50">
        <v>0</v>
      </c>
      <c r="G50">
        <v>0</v>
      </c>
      <c r="H50">
        <v>4.7404320000000002E-4</v>
      </c>
      <c r="I50">
        <v>5.9974880000000005E-7</v>
      </c>
      <c r="J50">
        <v>4.2540109999999998E-4</v>
      </c>
      <c r="K50">
        <v>4.0954959999999999E-8</v>
      </c>
      <c r="L50">
        <v>9.6637400000000004E-5</v>
      </c>
      <c r="M50">
        <v>7.4797599999999997E-5</v>
      </c>
      <c r="N50">
        <v>4.6104509999999999E-5</v>
      </c>
      <c r="O50">
        <v>1.7939099999999999E-4</v>
      </c>
      <c r="P50">
        <v>0</v>
      </c>
      <c r="Q50" s="224">
        <f t="shared" si="0"/>
        <v>2.5004305137599999E-3</v>
      </c>
    </row>
    <row r="51" spans="1:17" x14ac:dyDescent="0.15">
      <c r="A51">
        <v>50</v>
      </c>
      <c r="B51" t="s">
        <v>271</v>
      </c>
      <c r="C51">
        <v>2.807969E-3</v>
      </c>
      <c r="D51">
        <v>0</v>
      </c>
      <c r="E51">
        <v>0</v>
      </c>
      <c r="F51">
        <v>0</v>
      </c>
      <c r="G51">
        <v>0</v>
      </c>
      <c r="H51">
        <v>7.1106489999999995E-4</v>
      </c>
      <c r="I51">
        <v>8.9962320000000002E-7</v>
      </c>
      <c r="J51">
        <v>6.3810150000000003E-4</v>
      </c>
      <c r="K51">
        <v>6.1432420000000005E-8</v>
      </c>
      <c r="L51">
        <v>1.4495609999999999E-4</v>
      </c>
      <c r="M51">
        <v>1.121964E-4</v>
      </c>
      <c r="N51">
        <v>6.9156759999999999E-5</v>
      </c>
      <c r="O51">
        <v>2.6908660000000002E-4</v>
      </c>
      <c r="P51">
        <v>0</v>
      </c>
      <c r="Q51" s="224">
        <f t="shared" si="0"/>
        <v>4.7534923156200013E-3</v>
      </c>
    </row>
    <row r="52" spans="1:17" x14ac:dyDescent="0.15">
      <c r="A52">
        <v>51</v>
      </c>
      <c r="B52" t="s">
        <v>272</v>
      </c>
      <c r="C52">
        <v>2.6742559999999999E-3</v>
      </c>
      <c r="D52">
        <v>0</v>
      </c>
      <c r="E52">
        <v>0</v>
      </c>
      <c r="F52">
        <v>0</v>
      </c>
      <c r="G52">
        <v>0</v>
      </c>
      <c r="H52">
        <v>1.185108E-3</v>
      </c>
      <c r="I52">
        <v>1.4993720000000001E-6</v>
      </c>
      <c r="J52">
        <v>1.0635029999999999E-3</v>
      </c>
      <c r="K52">
        <v>1.023874E-7</v>
      </c>
      <c r="L52">
        <v>2.415935E-4</v>
      </c>
      <c r="M52">
        <v>1.8699400000000001E-4</v>
      </c>
      <c r="N52">
        <v>1.152613E-4</v>
      </c>
      <c r="O52">
        <v>4.4847760000000001E-4</v>
      </c>
      <c r="P52">
        <v>0</v>
      </c>
      <c r="Q52" s="224">
        <f t="shared" si="0"/>
        <v>5.9167951594E-3</v>
      </c>
    </row>
    <row r="53" spans="1:17" x14ac:dyDescent="0.15">
      <c r="A53">
        <v>52</v>
      </c>
      <c r="B53" t="s">
        <v>273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224">
        <f t="shared" si="0"/>
        <v>0</v>
      </c>
    </row>
    <row r="54" spans="1:17" x14ac:dyDescent="0.15">
      <c r="A54">
        <v>53</v>
      </c>
      <c r="B54" t="s">
        <v>274</v>
      </c>
      <c r="C54">
        <v>0</v>
      </c>
      <c r="D54">
        <v>0</v>
      </c>
      <c r="E54">
        <v>0</v>
      </c>
      <c r="F54">
        <v>0</v>
      </c>
      <c r="G54">
        <v>0</v>
      </c>
      <c r="H54">
        <v>1.5061790000000001E-3</v>
      </c>
      <c r="I54">
        <v>5.8784420000000001E-5</v>
      </c>
      <c r="J54">
        <v>2.823549E-4</v>
      </c>
      <c r="K54">
        <v>1.3838640000000001E-6</v>
      </c>
      <c r="L54">
        <v>7.4187549999999998E-5</v>
      </c>
      <c r="M54">
        <v>5.1325580000000001E-5</v>
      </c>
      <c r="N54">
        <v>5.6583580000000005E-4</v>
      </c>
      <c r="O54">
        <v>2.100368E-2</v>
      </c>
      <c r="P54">
        <v>0</v>
      </c>
      <c r="Q54" s="224">
        <f t="shared" si="0"/>
        <v>2.3543731114000002E-2</v>
      </c>
    </row>
    <row r="55" spans="1:17" x14ac:dyDescent="0.15">
      <c r="A55">
        <v>54</v>
      </c>
      <c r="B55" t="s">
        <v>275</v>
      </c>
      <c r="C55">
        <v>0</v>
      </c>
      <c r="D55">
        <v>0</v>
      </c>
      <c r="E55">
        <v>0</v>
      </c>
      <c r="F55">
        <v>0</v>
      </c>
      <c r="G55">
        <v>0</v>
      </c>
      <c r="H55">
        <v>1.6407730000000001E-5</v>
      </c>
      <c r="I55">
        <v>7.0559669999999999E-8</v>
      </c>
      <c r="J55">
        <v>3.1418430000000001E-7</v>
      </c>
      <c r="K55">
        <v>1.8255200000000001E-7</v>
      </c>
      <c r="L55">
        <v>9.3517979999999995E-7</v>
      </c>
      <c r="M55">
        <v>3.3092480000000001E-6</v>
      </c>
      <c r="N55">
        <v>2.5440889999999998E-6</v>
      </c>
      <c r="O55">
        <v>3.3660269999999998E-7</v>
      </c>
      <c r="P55">
        <v>0</v>
      </c>
      <c r="Q55" s="224">
        <f t="shared" si="0"/>
        <v>2.4100145469999995E-5</v>
      </c>
    </row>
    <row r="56" spans="1:17" x14ac:dyDescent="0.15">
      <c r="A56">
        <v>55</v>
      </c>
      <c r="B56" t="s">
        <v>276</v>
      </c>
      <c r="C56">
        <v>0</v>
      </c>
      <c r="D56">
        <v>0</v>
      </c>
      <c r="E56">
        <v>0</v>
      </c>
      <c r="F56">
        <v>0</v>
      </c>
      <c r="G56">
        <v>0</v>
      </c>
      <c r="H56">
        <v>2.3132280000000001E-3</v>
      </c>
      <c r="I56">
        <v>6.5666049999999994E-5</v>
      </c>
      <c r="J56">
        <v>1.7767960000000001E-5</v>
      </c>
      <c r="K56">
        <v>0</v>
      </c>
      <c r="L56">
        <v>7.0572089999999994E-5</v>
      </c>
      <c r="M56">
        <v>1.152896E-3</v>
      </c>
      <c r="N56">
        <v>1.291606E-3</v>
      </c>
      <c r="O56">
        <v>3.222655E-2</v>
      </c>
      <c r="P56">
        <v>0</v>
      </c>
      <c r="Q56" s="224">
        <f t="shared" si="0"/>
        <v>3.7138286100000001E-2</v>
      </c>
    </row>
    <row r="57" spans="1:17" x14ac:dyDescent="0.15">
      <c r="A57">
        <v>56</v>
      </c>
      <c r="B57" t="s">
        <v>277</v>
      </c>
      <c r="C57">
        <v>0</v>
      </c>
      <c r="D57">
        <v>0</v>
      </c>
      <c r="E57">
        <v>0</v>
      </c>
      <c r="F57">
        <v>0</v>
      </c>
      <c r="G57">
        <v>0</v>
      </c>
      <c r="H57">
        <v>4.2633169999999998E-4</v>
      </c>
      <c r="I57">
        <v>2.275256E-5</v>
      </c>
      <c r="J57">
        <v>4.6464849999999999E-5</v>
      </c>
      <c r="K57">
        <v>6.8757259999999997E-5</v>
      </c>
      <c r="L57">
        <v>1.192555E-4</v>
      </c>
      <c r="M57">
        <v>2.281974E-5</v>
      </c>
      <c r="N57">
        <v>1.5180360000000001E-4</v>
      </c>
      <c r="O57">
        <v>9.4863580000000003E-5</v>
      </c>
      <c r="P57">
        <v>0</v>
      </c>
      <c r="Q57" s="224">
        <f t="shared" si="0"/>
        <v>9.5304878999999995E-4</v>
      </c>
    </row>
    <row r="58" spans="1:17" x14ac:dyDescent="0.15">
      <c r="A58">
        <v>57</v>
      </c>
      <c r="B58" t="s">
        <v>278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s="224">
        <f t="shared" si="0"/>
        <v>0</v>
      </c>
    </row>
    <row r="59" spans="1:17" x14ac:dyDescent="0.15">
      <c r="A59">
        <v>58</v>
      </c>
      <c r="B59" t="s">
        <v>279</v>
      </c>
      <c r="C59">
        <v>3.759555E-5</v>
      </c>
      <c r="D59">
        <v>0</v>
      </c>
      <c r="E59">
        <v>0</v>
      </c>
      <c r="F59">
        <v>0</v>
      </c>
      <c r="G59">
        <v>0</v>
      </c>
      <c r="H59">
        <v>1.4130869999999999E-3</v>
      </c>
      <c r="I59">
        <v>1.667595E-4</v>
      </c>
      <c r="J59">
        <v>3.107703E-7</v>
      </c>
      <c r="K59">
        <v>6.3649459999999996E-7</v>
      </c>
      <c r="L59">
        <v>9.9462269999999996E-5</v>
      </c>
      <c r="M59">
        <v>3.6115719999999999E-4</v>
      </c>
      <c r="N59">
        <v>5.8746290000000001E-3</v>
      </c>
      <c r="O59">
        <v>7.8233559999999998E-7</v>
      </c>
      <c r="P59">
        <v>0</v>
      </c>
      <c r="Q59" s="224">
        <f t="shared" si="0"/>
        <v>7.9544201205000008E-3</v>
      </c>
    </row>
    <row r="60" spans="1:17" x14ac:dyDescent="0.15">
      <c r="A60">
        <v>59</v>
      </c>
      <c r="B60" t="s">
        <v>280</v>
      </c>
      <c r="C60">
        <v>3.759555E-5</v>
      </c>
      <c r="D60">
        <v>0</v>
      </c>
      <c r="E60">
        <v>0</v>
      </c>
      <c r="F60">
        <v>0</v>
      </c>
      <c r="G60">
        <v>0</v>
      </c>
      <c r="H60">
        <v>1.0022589999999999E-3</v>
      </c>
      <c r="I60">
        <v>9.1174469999999997E-5</v>
      </c>
      <c r="J60">
        <v>1.4163910000000001E-6</v>
      </c>
      <c r="K60">
        <v>1.738329E-7</v>
      </c>
      <c r="L60">
        <v>8.0213219999999996E-4</v>
      </c>
      <c r="M60">
        <v>9.0851800000000003E-5</v>
      </c>
      <c r="N60">
        <v>1.1793430000000001E-2</v>
      </c>
      <c r="O60">
        <v>2.105715E-7</v>
      </c>
      <c r="P60">
        <v>0</v>
      </c>
      <c r="Q60" s="224">
        <f t="shared" si="0"/>
        <v>1.3819243815400001E-2</v>
      </c>
    </row>
    <row r="61" spans="1:17" x14ac:dyDescent="0.15">
      <c r="A61">
        <v>60</v>
      </c>
      <c r="B61" t="s">
        <v>281</v>
      </c>
      <c r="C61">
        <v>3.759555E-5</v>
      </c>
      <c r="D61">
        <v>0</v>
      </c>
      <c r="E61">
        <v>0</v>
      </c>
      <c r="F61">
        <v>0</v>
      </c>
      <c r="G61">
        <v>0</v>
      </c>
      <c r="H61">
        <v>1.720034E-4</v>
      </c>
      <c r="I61">
        <v>1.1768670000000001E-3</v>
      </c>
      <c r="J61">
        <v>8.6110800000000001E-7</v>
      </c>
      <c r="K61">
        <v>0</v>
      </c>
      <c r="L61">
        <v>2.9593220000000001E-5</v>
      </c>
      <c r="M61">
        <v>0</v>
      </c>
      <c r="N61">
        <v>9.7482920000000004E-3</v>
      </c>
      <c r="O61">
        <v>0</v>
      </c>
      <c r="P61">
        <v>0</v>
      </c>
      <c r="Q61" s="224">
        <f t="shared" si="0"/>
        <v>1.1165212278000001E-2</v>
      </c>
    </row>
    <row r="62" spans="1:17" x14ac:dyDescent="0.15">
      <c r="A62">
        <v>61</v>
      </c>
      <c r="B62" t="s">
        <v>282</v>
      </c>
      <c r="C62">
        <v>3.759555E-5</v>
      </c>
      <c r="D62">
        <v>0</v>
      </c>
      <c r="E62">
        <v>0</v>
      </c>
      <c r="F62">
        <v>0</v>
      </c>
      <c r="G62">
        <v>0</v>
      </c>
      <c r="H62">
        <v>1.6883149999999999E-4</v>
      </c>
      <c r="I62">
        <v>4.2049349999999998E-4</v>
      </c>
      <c r="J62">
        <v>7.3241029999999998E-6</v>
      </c>
      <c r="K62">
        <v>1.11593E-6</v>
      </c>
      <c r="L62">
        <v>1.878269E-4</v>
      </c>
      <c r="M62">
        <v>4.1191749999999997E-5</v>
      </c>
      <c r="N62">
        <v>2.8641750000000001E-3</v>
      </c>
      <c r="O62">
        <v>9.8384229999999993E-7</v>
      </c>
      <c r="P62">
        <v>0</v>
      </c>
      <c r="Q62" s="224">
        <f t="shared" si="0"/>
        <v>3.7295380752999999E-3</v>
      </c>
    </row>
    <row r="63" spans="1:17" x14ac:dyDescent="0.15">
      <c r="A63">
        <v>62</v>
      </c>
      <c r="B63" t="s">
        <v>283</v>
      </c>
      <c r="C63">
        <v>3.759555E-5</v>
      </c>
      <c r="D63">
        <v>0</v>
      </c>
      <c r="E63">
        <v>0</v>
      </c>
      <c r="F63">
        <v>0</v>
      </c>
      <c r="G63">
        <v>0</v>
      </c>
      <c r="H63">
        <v>2.9018179999999998E-4</v>
      </c>
      <c r="I63">
        <v>1.1606960000000001E-6</v>
      </c>
      <c r="J63">
        <v>2.675444E-7</v>
      </c>
      <c r="K63">
        <v>4.9493419999999999E-7</v>
      </c>
      <c r="L63">
        <v>2.376307E-6</v>
      </c>
      <c r="M63">
        <v>1.1169360000000001E-5</v>
      </c>
      <c r="N63">
        <v>8.0198209999999995E-4</v>
      </c>
      <c r="O63">
        <v>3.0789350000000001E-4</v>
      </c>
      <c r="P63">
        <v>0</v>
      </c>
      <c r="Q63" s="224">
        <f t="shared" si="0"/>
        <v>1.4531217915999999E-3</v>
      </c>
    </row>
    <row r="64" spans="1:17" x14ac:dyDescent="0.15">
      <c r="A64">
        <v>63</v>
      </c>
      <c r="B64" t="s">
        <v>284</v>
      </c>
      <c r="C64">
        <v>3.759555E-5</v>
      </c>
      <c r="D64">
        <v>0</v>
      </c>
      <c r="E64">
        <v>0</v>
      </c>
      <c r="F64">
        <v>0</v>
      </c>
      <c r="G64">
        <v>0</v>
      </c>
      <c r="H64">
        <v>2.8994589999999998E-4</v>
      </c>
      <c r="I64">
        <v>1.1606960000000001E-6</v>
      </c>
      <c r="J64">
        <v>6.8040439999999995E-7</v>
      </c>
      <c r="K64">
        <v>4.9493419999999999E-7</v>
      </c>
      <c r="L64">
        <v>2.4352870000000001E-6</v>
      </c>
      <c r="M64">
        <v>7.8664800000000003E-6</v>
      </c>
      <c r="N64">
        <v>8.0198209999999995E-4</v>
      </c>
      <c r="O64">
        <v>3.0860129999999998E-4</v>
      </c>
      <c r="P64">
        <v>0</v>
      </c>
      <c r="Q64" s="224">
        <f t="shared" si="0"/>
        <v>1.4507626516000001E-3</v>
      </c>
    </row>
    <row r="65" spans="1:17" x14ac:dyDescent="0.15">
      <c r="A65">
        <v>64</v>
      </c>
      <c r="B65" t="s">
        <v>285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s="224">
        <f t="shared" si="0"/>
        <v>0</v>
      </c>
    </row>
    <row r="66" spans="1:17" x14ac:dyDescent="0.15">
      <c r="A66">
        <v>65</v>
      </c>
      <c r="B66" t="s">
        <v>286</v>
      </c>
      <c r="C66">
        <v>3.759555E-5</v>
      </c>
      <c r="D66">
        <v>0</v>
      </c>
      <c r="E66">
        <v>0</v>
      </c>
      <c r="F66">
        <v>0</v>
      </c>
      <c r="G66">
        <v>0</v>
      </c>
      <c r="H66">
        <v>2.8616550000000002E-4</v>
      </c>
      <c r="I66">
        <v>3.9562079999999997E-6</v>
      </c>
      <c r="J66">
        <v>5.6731339999999996E-6</v>
      </c>
      <c r="K66">
        <v>1.140283E-7</v>
      </c>
      <c r="L66">
        <v>1.372064E-5</v>
      </c>
      <c r="M66">
        <v>9.8410689999999999E-6</v>
      </c>
      <c r="N66">
        <v>4.6265100000000001E-4</v>
      </c>
      <c r="O66">
        <v>7.4392410000000001E-4</v>
      </c>
      <c r="P66">
        <v>0</v>
      </c>
      <c r="Q66" s="224">
        <f t="shared" si="0"/>
        <v>1.5636412292999999E-3</v>
      </c>
    </row>
    <row r="67" spans="1:17" x14ac:dyDescent="0.15">
      <c r="A67">
        <v>66</v>
      </c>
      <c r="B67" t="s">
        <v>287</v>
      </c>
      <c r="C67">
        <v>3.759555E-5</v>
      </c>
      <c r="D67">
        <v>0</v>
      </c>
      <c r="E67">
        <v>0</v>
      </c>
      <c r="F67">
        <v>0</v>
      </c>
      <c r="G67">
        <v>0</v>
      </c>
      <c r="H67">
        <v>3.604038E-5</v>
      </c>
      <c r="I67">
        <v>1.8958699999999999E-5</v>
      </c>
      <c r="J67">
        <v>1.072733E-5</v>
      </c>
      <c r="K67">
        <v>1.1908620000000001E-8</v>
      </c>
      <c r="L67">
        <v>3.000609E-5</v>
      </c>
      <c r="M67">
        <v>2.0327379999999998E-6</v>
      </c>
      <c r="N67">
        <v>1.243521E-4</v>
      </c>
      <c r="O67">
        <v>9.6007950000000003E-5</v>
      </c>
      <c r="P67">
        <v>0</v>
      </c>
      <c r="Q67" s="224">
        <f t="shared" ref="Q67:Q130" si="1">SUM(C67:P67)</f>
        <v>3.5573274662000003E-4</v>
      </c>
    </row>
    <row r="68" spans="1:17" x14ac:dyDescent="0.15">
      <c r="A68">
        <v>67</v>
      </c>
      <c r="B68" t="s">
        <v>288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224">
        <f t="shared" si="1"/>
        <v>0</v>
      </c>
    </row>
    <row r="69" spans="1:17" x14ac:dyDescent="0.15">
      <c r="A69">
        <v>68</v>
      </c>
      <c r="B69" t="s">
        <v>289</v>
      </c>
      <c r="C69">
        <v>0</v>
      </c>
      <c r="D69">
        <v>0</v>
      </c>
      <c r="E69">
        <v>0</v>
      </c>
      <c r="F69">
        <v>0</v>
      </c>
      <c r="G69">
        <v>0</v>
      </c>
      <c r="H69">
        <v>1.5812179999999999E-5</v>
      </c>
      <c r="I69">
        <v>2.341961E-4</v>
      </c>
      <c r="J69">
        <v>0</v>
      </c>
      <c r="K69">
        <v>1.2257519999999999E-6</v>
      </c>
      <c r="L69">
        <v>3.4177729999999998E-7</v>
      </c>
      <c r="M69">
        <v>1.075806E-5</v>
      </c>
      <c r="N69">
        <v>3.051676E-7</v>
      </c>
      <c r="O69">
        <v>0</v>
      </c>
      <c r="P69">
        <v>0</v>
      </c>
      <c r="Q69" s="224">
        <f t="shared" si="1"/>
        <v>2.6263903689999999E-4</v>
      </c>
    </row>
    <row r="70" spans="1:17" x14ac:dyDescent="0.15">
      <c r="A70">
        <v>69</v>
      </c>
      <c r="B70" t="s">
        <v>290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s="224">
        <f t="shared" si="1"/>
        <v>0</v>
      </c>
    </row>
    <row r="71" spans="1:17" x14ac:dyDescent="0.15">
      <c r="A71">
        <v>70</v>
      </c>
      <c r="B71" t="s">
        <v>291</v>
      </c>
      <c r="C71">
        <v>2.315881E-4</v>
      </c>
      <c r="D71">
        <v>0</v>
      </c>
      <c r="E71">
        <v>0</v>
      </c>
      <c r="F71">
        <v>0</v>
      </c>
      <c r="G71">
        <v>0</v>
      </c>
      <c r="H71">
        <v>1.453483E-3</v>
      </c>
      <c r="I71">
        <v>4.9226330000000004E-6</v>
      </c>
      <c r="J71">
        <v>1.9144480000000001E-4</v>
      </c>
      <c r="K71">
        <v>2.9524999999999999E-4</v>
      </c>
      <c r="L71">
        <v>5.8077439999999997E-4</v>
      </c>
      <c r="M71">
        <v>2.5993819999999999E-4</v>
      </c>
      <c r="N71">
        <v>1.5353599999999999E-4</v>
      </c>
      <c r="O71">
        <v>1.714162E-6</v>
      </c>
      <c r="P71">
        <v>0</v>
      </c>
      <c r="Q71" s="224">
        <f t="shared" si="1"/>
        <v>3.172651295E-3</v>
      </c>
    </row>
    <row r="72" spans="1:17" x14ac:dyDescent="0.15">
      <c r="A72">
        <v>71</v>
      </c>
      <c r="B72" t="s">
        <v>180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 s="224">
        <f t="shared" si="1"/>
        <v>0</v>
      </c>
    </row>
    <row r="73" spans="1:17" x14ac:dyDescent="0.15">
      <c r="A73">
        <v>72</v>
      </c>
      <c r="B73" t="s">
        <v>292</v>
      </c>
      <c r="C73">
        <v>0</v>
      </c>
      <c r="D73">
        <v>0</v>
      </c>
      <c r="E73">
        <v>0</v>
      </c>
      <c r="F73">
        <v>0</v>
      </c>
      <c r="G73">
        <v>0</v>
      </c>
      <c r="H73">
        <v>4.2633169999999998E-4</v>
      </c>
      <c r="I73">
        <v>2.275256E-5</v>
      </c>
      <c r="J73">
        <v>4.6464849999999999E-5</v>
      </c>
      <c r="K73">
        <v>6.8757259999999997E-5</v>
      </c>
      <c r="L73">
        <v>1.192555E-4</v>
      </c>
      <c r="M73">
        <v>2.281974E-5</v>
      </c>
      <c r="N73">
        <v>1.5180360000000001E-4</v>
      </c>
      <c r="O73">
        <v>9.4863580000000003E-5</v>
      </c>
      <c r="P73">
        <v>0</v>
      </c>
      <c r="Q73" s="224">
        <f t="shared" si="1"/>
        <v>9.5304878999999995E-4</v>
      </c>
    </row>
    <row r="74" spans="1:17" x14ac:dyDescent="0.15">
      <c r="A74">
        <v>73</v>
      </c>
      <c r="B74" t="s">
        <v>293</v>
      </c>
      <c r="C74">
        <v>0</v>
      </c>
      <c r="D74">
        <v>0</v>
      </c>
      <c r="E74">
        <v>0</v>
      </c>
      <c r="F74">
        <v>0</v>
      </c>
      <c r="G74">
        <v>0</v>
      </c>
      <c r="H74">
        <v>3.466402E-5</v>
      </c>
      <c r="I74">
        <v>6.5998759999999997E-8</v>
      </c>
      <c r="J74">
        <v>7.5410649999999998E-6</v>
      </c>
      <c r="K74">
        <v>1.3948739999999999E-4</v>
      </c>
      <c r="L74">
        <v>9.2350920000000005E-6</v>
      </c>
      <c r="M74">
        <v>1.024765E-5</v>
      </c>
      <c r="N74">
        <v>7.3521560000000002E-6</v>
      </c>
      <c r="O74">
        <v>5.4472829999999997E-6</v>
      </c>
      <c r="P74">
        <v>0</v>
      </c>
      <c r="Q74" s="224">
        <f t="shared" si="1"/>
        <v>2.1404066475999998E-4</v>
      </c>
    </row>
    <row r="75" spans="1:17" x14ac:dyDescent="0.15">
      <c r="A75">
        <v>74</v>
      </c>
      <c r="B75" t="s">
        <v>294</v>
      </c>
      <c r="C75">
        <v>0</v>
      </c>
      <c r="D75">
        <v>0</v>
      </c>
      <c r="E75">
        <v>0</v>
      </c>
      <c r="F75">
        <v>0</v>
      </c>
      <c r="G75">
        <v>0</v>
      </c>
      <c r="H75">
        <v>9.4241029999999996E-5</v>
      </c>
      <c r="I75">
        <v>0</v>
      </c>
      <c r="J75">
        <v>0</v>
      </c>
      <c r="K75">
        <v>0</v>
      </c>
      <c r="L75">
        <v>3.970148E-6</v>
      </c>
      <c r="M75">
        <v>9.5967870000000004E-5</v>
      </c>
      <c r="N75">
        <v>4.7641959999999999E-5</v>
      </c>
      <c r="O75">
        <v>3.0519700000000002E-6</v>
      </c>
      <c r="P75">
        <v>0</v>
      </c>
      <c r="Q75" s="224">
        <f t="shared" si="1"/>
        <v>2.4487297799999998E-4</v>
      </c>
    </row>
    <row r="76" spans="1:17" x14ac:dyDescent="0.15">
      <c r="A76">
        <v>75</v>
      </c>
      <c r="B76" t="s">
        <v>295</v>
      </c>
      <c r="C76">
        <v>0</v>
      </c>
      <c r="D76">
        <v>0</v>
      </c>
      <c r="E76">
        <v>0</v>
      </c>
      <c r="F76">
        <v>2.904201E-2</v>
      </c>
      <c r="G76">
        <v>0</v>
      </c>
      <c r="H76">
        <v>9.2433460000000006E-5</v>
      </c>
      <c r="I76">
        <v>1.6369369999999999E-6</v>
      </c>
      <c r="J76">
        <v>1.846476E-8</v>
      </c>
      <c r="K76">
        <v>0</v>
      </c>
      <c r="L76">
        <v>2.9862690000000001E-5</v>
      </c>
      <c r="M76">
        <v>8.3054099999999996E-4</v>
      </c>
      <c r="N76">
        <v>4.1546050000000002E-5</v>
      </c>
      <c r="O76">
        <v>1.211922E-6</v>
      </c>
      <c r="P76">
        <v>0</v>
      </c>
      <c r="Q76" s="224">
        <f t="shared" si="1"/>
        <v>3.0039260523760002E-2</v>
      </c>
    </row>
    <row r="77" spans="1:17" x14ac:dyDescent="0.15">
      <c r="A77">
        <v>76</v>
      </c>
      <c r="B77" t="s">
        <v>296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 s="224">
        <f t="shared" si="1"/>
        <v>0</v>
      </c>
    </row>
    <row r="78" spans="1:17" x14ac:dyDescent="0.15">
      <c r="A78">
        <v>77</v>
      </c>
      <c r="B78" t="s">
        <v>297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 s="224">
        <f t="shared" si="1"/>
        <v>0</v>
      </c>
    </row>
    <row r="79" spans="1:17" x14ac:dyDescent="0.15">
      <c r="A79">
        <v>78</v>
      </c>
      <c r="B79" t="s">
        <v>298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1.5164480000000001E-9</v>
      </c>
      <c r="O79">
        <v>0</v>
      </c>
      <c r="P79">
        <v>0</v>
      </c>
      <c r="Q79" s="224">
        <f t="shared" si="1"/>
        <v>1.5164480000000001E-9</v>
      </c>
    </row>
    <row r="80" spans="1:17" x14ac:dyDescent="0.15">
      <c r="A80">
        <v>79</v>
      </c>
      <c r="B80" t="s">
        <v>299</v>
      </c>
      <c r="C80">
        <v>0</v>
      </c>
      <c r="D80">
        <v>0</v>
      </c>
      <c r="E80">
        <v>0</v>
      </c>
      <c r="F80">
        <v>0</v>
      </c>
      <c r="G80">
        <v>0</v>
      </c>
      <c r="H80">
        <v>7.4439330000000003E-6</v>
      </c>
      <c r="I80">
        <v>5.5220679999999999E-9</v>
      </c>
      <c r="J80">
        <v>0</v>
      </c>
      <c r="K80">
        <v>3.6909879999999998E-7</v>
      </c>
      <c r="L80">
        <v>1.3218140000000001E-7</v>
      </c>
      <c r="M80">
        <v>2.643844E-5</v>
      </c>
      <c r="N80">
        <v>3.982971E-8</v>
      </c>
      <c r="O80">
        <v>0</v>
      </c>
      <c r="P80">
        <v>0</v>
      </c>
      <c r="Q80" s="224">
        <f t="shared" si="1"/>
        <v>3.4429004978000005E-5</v>
      </c>
    </row>
    <row r="81" spans="1:17" x14ac:dyDescent="0.15">
      <c r="A81">
        <v>80</v>
      </c>
      <c r="B81" t="s">
        <v>300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1.074684E-7</v>
      </c>
      <c r="M81">
        <v>0</v>
      </c>
      <c r="N81">
        <v>1.266266E-8</v>
      </c>
      <c r="O81">
        <v>0</v>
      </c>
      <c r="P81">
        <v>0</v>
      </c>
      <c r="Q81" s="224">
        <f t="shared" si="1"/>
        <v>1.2013106000000001E-7</v>
      </c>
    </row>
    <row r="82" spans="1:17" x14ac:dyDescent="0.15">
      <c r="A82">
        <v>81</v>
      </c>
      <c r="B82" t="s">
        <v>301</v>
      </c>
      <c r="C82">
        <v>0</v>
      </c>
      <c r="D82">
        <v>0</v>
      </c>
      <c r="E82">
        <v>0</v>
      </c>
      <c r="F82">
        <v>0</v>
      </c>
      <c r="G82">
        <v>0</v>
      </c>
      <c r="H82">
        <v>7.4439330000000003E-6</v>
      </c>
      <c r="I82">
        <v>5.5220679999999999E-9</v>
      </c>
      <c r="J82">
        <v>0</v>
      </c>
      <c r="K82">
        <v>3.6909879999999998E-7</v>
      </c>
      <c r="L82">
        <v>1.3218140000000001E-7</v>
      </c>
      <c r="M82">
        <v>2.643844E-5</v>
      </c>
      <c r="N82">
        <v>3.982971E-8</v>
      </c>
      <c r="O82">
        <v>0</v>
      </c>
      <c r="P82">
        <v>0</v>
      </c>
      <c r="Q82" s="224">
        <f t="shared" si="1"/>
        <v>3.4429004978000005E-5</v>
      </c>
    </row>
    <row r="83" spans="1:17" x14ac:dyDescent="0.15">
      <c r="A83">
        <v>82</v>
      </c>
      <c r="B83" t="s">
        <v>302</v>
      </c>
      <c r="C83">
        <v>0</v>
      </c>
      <c r="D83">
        <v>0</v>
      </c>
      <c r="E83">
        <v>0</v>
      </c>
      <c r="F83">
        <v>0</v>
      </c>
      <c r="G83">
        <v>0</v>
      </c>
      <c r="H83">
        <v>1.126808E-5</v>
      </c>
      <c r="I83">
        <v>0</v>
      </c>
      <c r="J83">
        <v>4.2025419999999999E-6</v>
      </c>
      <c r="K83">
        <v>0</v>
      </c>
      <c r="L83">
        <v>0</v>
      </c>
      <c r="M83">
        <v>1.6010209999999999E-6</v>
      </c>
      <c r="N83">
        <v>6.3603920000000006E-8</v>
      </c>
      <c r="O83">
        <v>0</v>
      </c>
      <c r="P83">
        <v>0</v>
      </c>
      <c r="Q83" s="224">
        <f t="shared" si="1"/>
        <v>1.7135246920000002E-5</v>
      </c>
    </row>
    <row r="84" spans="1:17" x14ac:dyDescent="0.15">
      <c r="A84">
        <v>83</v>
      </c>
      <c r="B84" t="s">
        <v>303</v>
      </c>
      <c r="C84">
        <v>0</v>
      </c>
      <c r="D84">
        <v>0</v>
      </c>
      <c r="E84">
        <v>0</v>
      </c>
      <c r="F84">
        <v>0</v>
      </c>
      <c r="G84">
        <v>0</v>
      </c>
      <c r="H84">
        <v>1.654207E-6</v>
      </c>
      <c r="I84">
        <v>1.227126E-9</v>
      </c>
      <c r="J84">
        <v>0</v>
      </c>
      <c r="K84">
        <v>8.2021970000000002E-8</v>
      </c>
      <c r="L84">
        <v>2.937364E-8</v>
      </c>
      <c r="M84">
        <v>5.8752089999999997E-6</v>
      </c>
      <c r="N84">
        <v>8.8510450000000004E-9</v>
      </c>
      <c r="O84">
        <v>0</v>
      </c>
      <c r="P84">
        <v>0</v>
      </c>
      <c r="Q84" s="224">
        <f t="shared" si="1"/>
        <v>7.6508897809999983E-6</v>
      </c>
    </row>
    <row r="85" spans="1:17" x14ac:dyDescent="0.15">
      <c r="A85">
        <v>84</v>
      </c>
      <c r="B85" t="s">
        <v>304</v>
      </c>
      <c r="C85">
        <v>0</v>
      </c>
      <c r="D85">
        <v>0</v>
      </c>
      <c r="E85">
        <v>0</v>
      </c>
      <c r="F85">
        <v>0</v>
      </c>
      <c r="G85">
        <v>0</v>
      </c>
      <c r="H85">
        <v>9.6595399999999993E-5</v>
      </c>
      <c r="I85">
        <v>1.2747180000000001E-7</v>
      </c>
      <c r="J85">
        <v>3.2623339999999998E-7</v>
      </c>
      <c r="K85">
        <v>9.8443819999999996E-5</v>
      </c>
      <c r="L85">
        <v>6.4346650000000002E-5</v>
      </c>
      <c r="M85">
        <v>3.59795E-6</v>
      </c>
      <c r="N85">
        <v>5.3785210000000002E-6</v>
      </c>
      <c r="O85">
        <v>8.0836599999999997E-7</v>
      </c>
      <c r="P85">
        <v>0</v>
      </c>
      <c r="Q85" s="224">
        <f t="shared" si="1"/>
        <v>2.6962441219999993E-4</v>
      </c>
    </row>
    <row r="86" spans="1:17" x14ac:dyDescent="0.15">
      <c r="A86">
        <v>85</v>
      </c>
      <c r="B86" t="s">
        <v>305</v>
      </c>
      <c r="C86">
        <v>0</v>
      </c>
      <c r="D86">
        <v>0</v>
      </c>
      <c r="E86">
        <v>0</v>
      </c>
      <c r="F86">
        <v>0</v>
      </c>
      <c r="G86">
        <v>0</v>
      </c>
      <c r="H86">
        <v>7.2306029999999999E-7</v>
      </c>
      <c r="I86">
        <v>0</v>
      </c>
      <c r="J86">
        <v>0</v>
      </c>
      <c r="K86">
        <v>7.2636190000000004E-8</v>
      </c>
      <c r="L86">
        <v>3.1365629999999999E-8</v>
      </c>
      <c r="M86">
        <v>0</v>
      </c>
      <c r="N86">
        <v>0</v>
      </c>
      <c r="O86">
        <v>7.9239480000000006E-8</v>
      </c>
      <c r="P86">
        <v>0</v>
      </c>
      <c r="Q86" s="224">
        <f t="shared" si="1"/>
        <v>9.0630159999999999E-7</v>
      </c>
    </row>
    <row r="87" spans="1:17" x14ac:dyDescent="0.15">
      <c r="A87">
        <v>86</v>
      </c>
      <c r="B87" t="s">
        <v>306</v>
      </c>
      <c r="C87">
        <v>0</v>
      </c>
      <c r="D87">
        <v>0</v>
      </c>
      <c r="E87">
        <v>0</v>
      </c>
      <c r="F87">
        <v>0</v>
      </c>
      <c r="G87">
        <v>0</v>
      </c>
      <c r="H87">
        <v>2.5511010000000001E-5</v>
      </c>
      <c r="I87">
        <v>1.9847559999999999E-7</v>
      </c>
      <c r="J87">
        <v>4.120534E-8</v>
      </c>
      <c r="K87">
        <v>3.94328E-5</v>
      </c>
      <c r="L87">
        <v>1.1373699999999999E-5</v>
      </c>
      <c r="M87">
        <v>2.2903359999999999E-8</v>
      </c>
      <c r="N87">
        <v>1.905284E-6</v>
      </c>
      <c r="O87">
        <v>1.21042E-9</v>
      </c>
      <c r="P87">
        <v>0</v>
      </c>
      <c r="Q87" s="224">
        <f t="shared" si="1"/>
        <v>7.8486588720000003E-5</v>
      </c>
    </row>
    <row r="88" spans="1:17" x14ac:dyDescent="0.15">
      <c r="A88">
        <v>87</v>
      </c>
      <c r="B88" t="s">
        <v>307</v>
      </c>
      <c r="C88">
        <v>0</v>
      </c>
      <c r="D88">
        <v>0</v>
      </c>
      <c r="E88">
        <v>0</v>
      </c>
      <c r="F88">
        <v>0</v>
      </c>
      <c r="G88">
        <v>0</v>
      </c>
      <c r="H88">
        <v>2.8882760000000001E-6</v>
      </c>
      <c r="I88">
        <v>0</v>
      </c>
      <c r="J88">
        <v>0</v>
      </c>
      <c r="K88">
        <v>0</v>
      </c>
      <c r="L88">
        <v>5.633097E-8</v>
      </c>
      <c r="M88">
        <v>7.0269069999999995E-8</v>
      </c>
      <c r="N88">
        <v>1.2637329999999999E-6</v>
      </c>
      <c r="O88">
        <v>0</v>
      </c>
      <c r="P88">
        <v>0</v>
      </c>
      <c r="Q88" s="224">
        <f t="shared" si="1"/>
        <v>4.2786090399999998E-6</v>
      </c>
    </row>
    <row r="89" spans="1:17" x14ac:dyDescent="0.15">
      <c r="A89">
        <v>88</v>
      </c>
      <c r="B89" t="s">
        <v>308</v>
      </c>
      <c r="C89">
        <v>0</v>
      </c>
      <c r="D89">
        <v>0</v>
      </c>
      <c r="E89">
        <v>0</v>
      </c>
      <c r="F89">
        <v>0</v>
      </c>
      <c r="G89">
        <v>0</v>
      </c>
      <c r="H89">
        <v>2.8882760000000001E-6</v>
      </c>
      <c r="I89">
        <v>0</v>
      </c>
      <c r="J89">
        <v>0</v>
      </c>
      <c r="K89">
        <v>0</v>
      </c>
      <c r="L89">
        <v>5.633097E-8</v>
      </c>
      <c r="M89">
        <v>7.0269069999999995E-8</v>
      </c>
      <c r="N89">
        <v>1.2637329999999999E-6</v>
      </c>
      <c r="O89">
        <v>0</v>
      </c>
      <c r="P89">
        <v>0</v>
      </c>
      <c r="Q89" s="224">
        <f t="shared" si="1"/>
        <v>4.2786090399999998E-6</v>
      </c>
    </row>
    <row r="90" spans="1:17" x14ac:dyDescent="0.15">
      <c r="A90">
        <v>89</v>
      </c>
      <c r="B90" t="s">
        <v>309</v>
      </c>
      <c r="C90">
        <v>1.60298E-5</v>
      </c>
      <c r="D90">
        <v>0</v>
      </c>
      <c r="E90">
        <v>0</v>
      </c>
      <c r="F90">
        <v>0</v>
      </c>
      <c r="G90">
        <v>0</v>
      </c>
      <c r="H90">
        <v>7.9654119999999996E-4</v>
      </c>
      <c r="I90">
        <v>2.7264040000000001E-5</v>
      </c>
      <c r="J90">
        <v>1.671697E-3</v>
      </c>
      <c r="K90">
        <v>2.1615800000000002E-3</v>
      </c>
      <c r="L90">
        <v>2.7191519999999997E-4</v>
      </c>
      <c r="M90">
        <v>4.798143E-6</v>
      </c>
      <c r="N90">
        <v>1.8121820000000001E-5</v>
      </c>
      <c r="O90">
        <v>6.4655799999999999E-6</v>
      </c>
      <c r="P90">
        <v>0</v>
      </c>
      <c r="Q90" s="224">
        <f t="shared" si="1"/>
        <v>4.974412783E-3</v>
      </c>
    </row>
    <row r="91" spans="1:17" x14ac:dyDescent="0.15">
      <c r="A91">
        <v>90</v>
      </c>
      <c r="B91" t="s">
        <v>310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 s="224">
        <f t="shared" si="1"/>
        <v>0</v>
      </c>
    </row>
    <row r="92" spans="1:17" x14ac:dyDescent="0.15">
      <c r="A92">
        <v>91</v>
      </c>
      <c r="B92" t="s">
        <v>311</v>
      </c>
      <c r="C92">
        <v>0</v>
      </c>
      <c r="D92">
        <v>0</v>
      </c>
      <c r="E92">
        <v>0</v>
      </c>
      <c r="F92">
        <v>0</v>
      </c>
      <c r="G92">
        <v>0</v>
      </c>
      <c r="H92">
        <v>7.5655160000000004E-5</v>
      </c>
      <c r="I92">
        <v>1.2973529999999999E-7</v>
      </c>
      <c r="J92">
        <v>0</v>
      </c>
      <c r="K92">
        <v>2.2803940000000001E-6</v>
      </c>
      <c r="L92">
        <v>3.7756670000000002E-5</v>
      </c>
      <c r="M92">
        <v>2.3578980000000001E-7</v>
      </c>
      <c r="N92">
        <v>5.5328800000000003E-6</v>
      </c>
      <c r="O92">
        <v>1.4736260000000001E-8</v>
      </c>
      <c r="P92">
        <v>0</v>
      </c>
      <c r="Q92" s="224">
        <f t="shared" si="1"/>
        <v>1.2160536536000001E-4</v>
      </c>
    </row>
    <row r="93" spans="1:17" x14ac:dyDescent="0.15">
      <c r="A93">
        <v>92</v>
      </c>
      <c r="B93" t="s">
        <v>312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 s="224">
        <f t="shared" si="1"/>
        <v>0</v>
      </c>
    </row>
    <row r="94" spans="1:17" x14ac:dyDescent="0.15">
      <c r="A94">
        <v>93</v>
      </c>
      <c r="B94" t="s">
        <v>313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 s="224">
        <f t="shared" si="1"/>
        <v>0</v>
      </c>
    </row>
    <row r="95" spans="1:17" x14ac:dyDescent="0.15">
      <c r="A95">
        <v>94</v>
      </c>
      <c r="B95" t="s">
        <v>314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 s="224">
        <f t="shared" si="1"/>
        <v>0</v>
      </c>
    </row>
    <row r="96" spans="1:17" x14ac:dyDescent="0.15">
      <c r="A96">
        <v>95</v>
      </c>
      <c r="B96" t="s">
        <v>315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 s="224">
        <f t="shared" si="1"/>
        <v>0</v>
      </c>
    </row>
    <row r="97" spans="1:17" x14ac:dyDescent="0.15">
      <c r="A97">
        <v>96</v>
      </c>
      <c r="B97" t="s">
        <v>316</v>
      </c>
      <c r="C97">
        <v>0</v>
      </c>
      <c r="D97">
        <v>0</v>
      </c>
      <c r="E97">
        <v>0</v>
      </c>
      <c r="F97">
        <v>0</v>
      </c>
      <c r="G97">
        <v>0</v>
      </c>
      <c r="H97">
        <v>6.5461250000000006E-5</v>
      </c>
      <c r="I97">
        <v>1.0534749999999999E-6</v>
      </c>
      <c r="J97">
        <v>9.6399299999999994E-6</v>
      </c>
      <c r="K97">
        <v>1.3101880000000001E-7</v>
      </c>
      <c r="L97">
        <v>9.7524009999999994E-6</v>
      </c>
      <c r="M97">
        <v>3.3844740000000001E-7</v>
      </c>
      <c r="N97">
        <v>2.345568E-6</v>
      </c>
      <c r="O97">
        <v>1.9764350000000002E-6</v>
      </c>
      <c r="P97">
        <v>0</v>
      </c>
      <c r="Q97" s="224">
        <f t="shared" si="1"/>
        <v>9.0698525200000018E-5</v>
      </c>
    </row>
    <row r="98" spans="1:17" x14ac:dyDescent="0.15">
      <c r="A98">
        <v>97</v>
      </c>
      <c r="B98" t="s">
        <v>317</v>
      </c>
      <c r="C98">
        <v>0</v>
      </c>
      <c r="D98">
        <v>0</v>
      </c>
      <c r="E98">
        <v>0</v>
      </c>
      <c r="F98">
        <v>0</v>
      </c>
      <c r="G98">
        <v>0</v>
      </c>
      <c r="H98">
        <v>1.6381580000000001E-5</v>
      </c>
      <c r="I98">
        <v>0</v>
      </c>
      <c r="J98">
        <v>1.668477E-8</v>
      </c>
      <c r="K98">
        <v>1.5865840000000001E-10</v>
      </c>
      <c r="L98">
        <v>1.632224E-7</v>
      </c>
      <c r="M98">
        <v>1.926033E-7</v>
      </c>
      <c r="N98">
        <v>1.332417E-5</v>
      </c>
      <c r="O98">
        <v>1.928271E-7</v>
      </c>
      <c r="P98">
        <v>0</v>
      </c>
      <c r="Q98" s="224">
        <f t="shared" si="1"/>
        <v>3.0271246228399996E-5</v>
      </c>
    </row>
    <row r="99" spans="1:17" x14ac:dyDescent="0.15">
      <c r="A99">
        <v>98</v>
      </c>
      <c r="B99" t="s">
        <v>318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 s="224">
        <f t="shared" si="1"/>
        <v>0</v>
      </c>
    </row>
    <row r="100" spans="1:17" x14ac:dyDescent="0.15">
      <c r="A100">
        <v>99</v>
      </c>
      <c r="B100" t="s">
        <v>319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7.3201219999999998E-6</v>
      </c>
      <c r="I100">
        <v>2.222193E-8</v>
      </c>
      <c r="J100">
        <v>7.2148519999999999E-7</v>
      </c>
      <c r="K100">
        <v>6.7829280000000001E-8</v>
      </c>
      <c r="L100">
        <v>9.3842699999999999E-7</v>
      </c>
      <c r="M100">
        <v>4.061719E-8</v>
      </c>
      <c r="N100">
        <v>6.2868609999999999E-7</v>
      </c>
      <c r="O100">
        <v>2.7221140000000001E-8</v>
      </c>
      <c r="P100">
        <v>0</v>
      </c>
      <c r="Q100" s="224">
        <f t="shared" si="1"/>
        <v>9.7666098400000008E-6</v>
      </c>
    </row>
    <row r="101" spans="1:17" x14ac:dyDescent="0.15">
      <c r="A101">
        <v>100</v>
      </c>
      <c r="B101" t="s">
        <v>320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1.067485E-6</v>
      </c>
      <c r="I101">
        <v>0</v>
      </c>
      <c r="J101">
        <v>3.9280030000000002E-6</v>
      </c>
      <c r="K101">
        <v>0</v>
      </c>
      <c r="L101">
        <v>1.3717179999999999E-7</v>
      </c>
      <c r="M101">
        <v>0</v>
      </c>
      <c r="N101">
        <v>2.7077890000000001E-8</v>
      </c>
      <c r="O101">
        <v>7.7178630000000003E-7</v>
      </c>
      <c r="P101">
        <v>0</v>
      </c>
      <c r="Q101" s="224">
        <f t="shared" si="1"/>
        <v>5.9315239900000007E-6</v>
      </c>
    </row>
    <row r="102" spans="1:17" x14ac:dyDescent="0.15">
      <c r="A102">
        <v>101</v>
      </c>
      <c r="B102" t="s">
        <v>321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1.3855080000000001E-5</v>
      </c>
      <c r="I102">
        <v>0</v>
      </c>
      <c r="J102">
        <v>1.250532E-8</v>
      </c>
      <c r="K102">
        <v>5.9209060000000001E-6</v>
      </c>
      <c r="L102">
        <v>2.6097530000000002E-6</v>
      </c>
      <c r="M102">
        <v>1.063139E-7</v>
      </c>
      <c r="N102">
        <v>4.2000789999999999E-6</v>
      </c>
      <c r="O102">
        <v>2.9899219999999999E-7</v>
      </c>
      <c r="P102">
        <v>0</v>
      </c>
      <c r="Q102" s="224">
        <f t="shared" si="1"/>
        <v>2.7003629420000002E-5</v>
      </c>
    </row>
    <row r="103" spans="1:17" x14ac:dyDescent="0.15">
      <c r="A103">
        <v>102</v>
      </c>
      <c r="B103" t="s">
        <v>322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 s="224">
        <f t="shared" si="1"/>
        <v>0</v>
      </c>
    </row>
    <row r="104" spans="1:17" x14ac:dyDescent="0.15">
      <c r="A104">
        <v>103</v>
      </c>
      <c r="B104" t="s">
        <v>323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 s="224">
        <f t="shared" si="1"/>
        <v>0</v>
      </c>
    </row>
    <row r="105" spans="1:17" x14ac:dyDescent="0.15">
      <c r="A105">
        <v>104</v>
      </c>
      <c r="B105" t="s">
        <v>324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 s="224">
        <f t="shared" si="1"/>
        <v>0</v>
      </c>
    </row>
    <row r="106" spans="1:17" x14ac:dyDescent="0.15">
      <c r="A106">
        <v>105</v>
      </c>
      <c r="B106" t="s">
        <v>325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3.4873599999999998E-5</v>
      </c>
      <c r="I106">
        <v>5.6850739999999997E-6</v>
      </c>
      <c r="J106">
        <v>0</v>
      </c>
      <c r="K106">
        <v>4.2030379999999999E-7</v>
      </c>
      <c r="L106">
        <v>1.8126180000000001E-6</v>
      </c>
      <c r="M106">
        <v>2.2421870000000001E-4</v>
      </c>
      <c r="N106">
        <v>4.300171E-7</v>
      </c>
      <c r="O106">
        <v>1.042042E-7</v>
      </c>
      <c r="P106">
        <v>0</v>
      </c>
      <c r="Q106" s="224">
        <f t="shared" si="1"/>
        <v>2.6754451710000001E-4</v>
      </c>
    </row>
    <row r="107" spans="1:17" x14ac:dyDescent="0.15">
      <c r="A107">
        <v>106</v>
      </c>
      <c r="B107" t="s">
        <v>326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 s="224">
        <f t="shared" si="1"/>
        <v>0</v>
      </c>
    </row>
    <row r="108" spans="1:17" x14ac:dyDescent="0.15">
      <c r="A108">
        <v>107</v>
      </c>
      <c r="B108" t="s">
        <v>327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 s="224">
        <f t="shared" si="1"/>
        <v>0</v>
      </c>
    </row>
    <row r="109" spans="1:17" x14ac:dyDescent="0.15">
      <c r="A109">
        <v>108</v>
      </c>
      <c r="B109" t="s">
        <v>328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 s="224">
        <f t="shared" si="1"/>
        <v>0</v>
      </c>
    </row>
    <row r="110" spans="1:17" x14ac:dyDescent="0.15">
      <c r="A110">
        <v>109</v>
      </c>
      <c r="B110" t="s">
        <v>329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 s="224">
        <f t="shared" si="1"/>
        <v>0</v>
      </c>
    </row>
    <row r="111" spans="1:17" x14ac:dyDescent="0.15">
      <c r="A111">
        <v>110</v>
      </c>
      <c r="B111" t="s">
        <v>330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 s="224">
        <f t="shared" si="1"/>
        <v>0</v>
      </c>
    </row>
    <row r="112" spans="1:17" x14ac:dyDescent="0.15">
      <c r="A112">
        <v>111</v>
      </c>
      <c r="B112" t="s">
        <v>331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 s="224">
        <f t="shared" si="1"/>
        <v>0</v>
      </c>
    </row>
    <row r="113" spans="1:17" x14ac:dyDescent="0.15">
      <c r="A113">
        <v>112</v>
      </c>
      <c r="B113" t="s">
        <v>332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 s="224">
        <f t="shared" si="1"/>
        <v>0</v>
      </c>
    </row>
    <row r="114" spans="1:17" x14ac:dyDescent="0.15">
      <c r="A114">
        <v>113</v>
      </c>
      <c r="B114" t="s">
        <v>333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 s="224">
        <f t="shared" si="1"/>
        <v>0</v>
      </c>
    </row>
    <row r="115" spans="1:17" x14ac:dyDescent="0.15">
      <c r="A115">
        <v>114</v>
      </c>
      <c r="B115" t="s">
        <v>334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 s="224">
        <f t="shared" si="1"/>
        <v>0</v>
      </c>
    </row>
    <row r="116" spans="1:17" x14ac:dyDescent="0.15">
      <c r="A116">
        <v>115</v>
      </c>
      <c r="B116" t="s">
        <v>335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 s="224">
        <f t="shared" si="1"/>
        <v>0</v>
      </c>
    </row>
    <row r="117" spans="1:17" x14ac:dyDescent="0.15">
      <c r="A117">
        <v>116</v>
      </c>
      <c r="B117" t="s">
        <v>336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 s="224">
        <f t="shared" si="1"/>
        <v>0</v>
      </c>
    </row>
    <row r="118" spans="1:17" x14ac:dyDescent="0.15">
      <c r="A118">
        <v>117</v>
      </c>
      <c r="B118" t="s">
        <v>337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 s="224">
        <f t="shared" si="1"/>
        <v>0</v>
      </c>
    </row>
    <row r="119" spans="1:17" x14ac:dyDescent="0.15">
      <c r="A119">
        <v>118</v>
      </c>
      <c r="B119" t="s">
        <v>338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 s="224">
        <f t="shared" si="1"/>
        <v>0</v>
      </c>
    </row>
    <row r="120" spans="1:17" x14ac:dyDescent="0.15">
      <c r="A120">
        <v>119</v>
      </c>
      <c r="B120" t="s">
        <v>339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 s="224">
        <f t="shared" si="1"/>
        <v>0</v>
      </c>
    </row>
    <row r="121" spans="1:17" x14ac:dyDescent="0.15">
      <c r="A121">
        <v>120</v>
      </c>
      <c r="B121" t="s">
        <v>340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s="224">
        <f t="shared" si="1"/>
        <v>0</v>
      </c>
    </row>
    <row r="122" spans="1:17" x14ac:dyDescent="0.15">
      <c r="A122">
        <v>121</v>
      </c>
      <c r="B122" t="s">
        <v>341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 s="224">
        <f t="shared" si="1"/>
        <v>0</v>
      </c>
    </row>
    <row r="123" spans="1:17" x14ac:dyDescent="0.15">
      <c r="A123">
        <v>122</v>
      </c>
      <c r="B123" t="s">
        <v>342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 s="224">
        <f t="shared" si="1"/>
        <v>0</v>
      </c>
    </row>
    <row r="124" spans="1:17" x14ac:dyDescent="0.15">
      <c r="A124">
        <v>123</v>
      </c>
      <c r="B124" t="s">
        <v>343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 s="224">
        <f t="shared" si="1"/>
        <v>0</v>
      </c>
    </row>
    <row r="125" spans="1:17" x14ac:dyDescent="0.15">
      <c r="A125">
        <v>124</v>
      </c>
      <c r="B125" t="s">
        <v>344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 s="224">
        <f t="shared" si="1"/>
        <v>0</v>
      </c>
    </row>
    <row r="126" spans="1:17" x14ac:dyDescent="0.15">
      <c r="A126">
        <v>125</v>
      </c>
      <c r="B126" t="s">
        <v>345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 s="224">
        <f t="shared" si="1"/>
        <v>0</v>
      </c>
    </row>
    <row r="127" spans="1:17" x14ac:dyDescent="0.15">
      <c r="A127">
        <v>126</v>
      </c>
      <c r="B127" t="s">
        <v>346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 s="224">
        <f t="shared" si="1"/>
        <v>0</v>
      </c>
    </row>
    <row r="128" spans="1:17" x14ac:dyDescent="0.15">
      <c r="A128">
        <v>127</v>
      </c>
      <c r="B128" t="s">
        <v>347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 s="224">
        <f t="shared" si="1"/>
        <v>0</v>
      </c>
    </row>
    <row r="129" spans="1:17" x14ac:dyDescent="0.15">
      <c r="A129">
        <v>128</v>
      </c>
      <c r="B129" t="s">
        <v>348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 s="224">
        <f t="shared" si="1"/>
        <v>0</v>
      </c>
    </row>
    <row r="130" spans="1:17" x14ac:dyDescent="0.15">
      <c r="A130">
        <v>129</v>
      </c>
      <c r="B130" t="s">
        <v>349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 s="224">
        <f t="shared" si="1"/>
        <v>0</v>
      </c>
    </row>
    <row r="131" spans="1:17" x14ac:dyDescent="0.15">
      <c r="A131">
        <v>130</v>
      </c>
      <c r="B131" t="s">
        <v>350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 s="224">
        <f t="shared" ref="Q131:Q137" si="2">SUM(C131:P131)</f>
        <v>0</v>
      </c>
    </row>
    <row r="132" spans="1:17" x14ac:dyDescent="0.15">
      <c r="A132">
        <v>131</v>
      </c>
      <c r="B132" t="s">
        <v>351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 s="224">
        <f t="shared" si="2"/>
        <v>0</v>
      </c>
    </row>
    <row r="133" spans="1:17" x14ac:dyDescent="0.15">
      <c r="A133">
        <v>132</v>
      </c>
      <c r="B133" t="s">
        <v>352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 s="224">
        <f t="shared" si="2"/>
        <v>0</v>
      </c>
    </row>
    <row r="134" spans="1:17" x14ac:dyDescent="0.15">
      <c r="A134">
        <v>133</v>
      </c>
      <c r="B134" t="s">
        <v>353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 s="224">
        <f t="shared" si="2"/>
        <v>0</v>
      </c>
    </row>
    <row r="135" spans="1:17" x14ac:dyDescent="0.15">
      <c r="A135">
        <v>134</v>
      </c>
      <c r="B135" t="s">
        <v>354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 s="224">
        <f t="shared" si="2"/>
        <v>0</v>
      </c>
    </row>
    <row r="136" spans="1:17" x14ac:dyDescent="0.15">
      <c r="A136">
        <v>135</v>
      </c>
      <c r="B136" t="s">
        <v>355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 s="224">
        <f t="shared" si="2"/>
        <v>0</v>
      </c>
    </row>
    <row r="137" spans="1:17" x14ac:dyDescent="0.15">
      <c r="A137">
        <v>136</v>
      </c>
      <c r="B137" t="s">
        <v>356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 s="224">
        <f t="shared" si="2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topLeftCell="A108" workbookViewId="0">
      <selection activeCell="G132" sqref="G132"/>
    </sheetView>
  </sheetViews>
  <sheetFormatPr baseColWidth="10" defaultRowHeight="13" x14ac:dyDescent="0.15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154" bestFit="1" customWidth="1"/>
    <col min="11" max="11" width="8.6640625" style="15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3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3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3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43" customFormat="1" ht="14" thickBot="1" x14ac:dyDescent="0.2">
      <c r="D1" s="144" t="s">
        <v>8</v>
      </c>
      <c r="E1" s="144" t="s">
        <v>0</v>
      </c>
      <c r="F1" s="145" t="s">
        <v>100</v>
      </c>
      <c r="G1" s="146" t="s">
        <v>85</v>
      </c>
      <c r="H1" s="146" t="s">
        <v>86</v>
      </c>
      <c r="I1" s="146" t="s">
        <v>87</v>
      </c>
      <c r="J1" s="146" t="s">
        <v>88</v>
      </c>
      <c r="K1" s="146" t="s">
        <v>89</v>
      </c>
      <c r="L1" s="147" t="s">
        <v>90</v>
      </c>
      <c r="M1" s="147" t="s">
        <v>94</v>
      </c>
      <c r="N1" s="147" t="s">
        <v>93</v>
      </c>
      <c r="O1" s="147" t="s">
        <v>91</v>
      </c>
      <c r="P1" s="147" t="s">
        <v>92</v>
      </c>
      <c r="Q1" s="148" t="s">
        <v>95</v>
      </c>
      <c r="R1" s="148" t="s">
        <v>96</v>
      </c>
      <c r="S1" s="148" t="s">
        <v>97</v>
      </c>
      <c r="T1" s="148" t="s">
        <v>98</v>
      </c>
      <c r="U1" s="148" t="s">
        <v>99</v>
      </c>
      <c r="V1" s="146" t="s">
        <v>101</v>
      </c>
      <c r="W1" s="146" t="s">
        <v>102</v>
      </c>
      <c r="X1" s="146" t="s">
        <v>103</v>
      </c>
      <c r="Y1" s="146" t="s">
        <v>135</v>
      </c>
      <c r="Z1" s="147" t="s">
        <v>104</v>
      </c>
      <c r="AA1" s="147" t="s">
        <v>105</v>
      </c>
      <c r="AB1" s="147" t="s">
        <v>106</v>
      </c>
      <c r="AC1" s="149" t="s">
        <v>136</v>
      </c>
      <c r="AD1" s="148" t="s">
        <v>107</v>
      </c>
      <c r="AE1" s="148" t="s">
        <v>108</v>
      </c>
      <c r="AF1" s="148" t="s">
        <v>109</v>
      </c>
      <c r="AG1" s="148" t="s">
        <v>137</v>
      </c>
      <c r="AH1" s="146" t="s">
        <v>110</v>
      </c>
      <c r="AI1" s="146" t="s">
        <v>112</v>
      </c>
      <c r="AJ1" s="146" t="s">
        <v>111</v>
      </c>
      <c r="AK1" s="147" t="s">
        <v>116</v>
      </c>
      <c r="AL1" s="147" t="s">
        <v>117</v>
      </c>
      <c r="AM1" s="147" t="s">
        <v>118</v>
      </c>
      <c r="AN1" s="148" t="s">
        <v>113</v>
      </c>
      <c r="AO1" s="148" t="s">
        <v>114</v>
      </c>
      <c r="AP1" s="148" t="s">
        <v>115</v>
      </c>
    </row>
    <row r="2" spans="1:42" x14ac:dyDescent="0.15">
      <c r="A2" s="150" t="s">
        <v>75</v>
      </c>
      <c r="B2" s="151">
        <v>1</v>
      </c>
      <c r="D2">
        <v>1</v>
      </c>
      <c r="E2" t="s">
        <v>225</v>
      </c>
      <c r="F2">
        <v>0.995</v>
      </c>
      <c r="G2">
        <v>0.8</v>
      </c>
      <c r="H2">
        <v>0.3</v>
      </c>
      <c r="I2">
        <v>0.6</v>
      </c>
      <c r="J2">
        <v>0.6</v>
      </c>
      <c r="K2" s="225">
        <v>0.05</v>
      </c>
    </row>
    <row r="3" spans="1:42" x14ac:dyDescent="0.15">
      <c r="A3" s="150" t="s">
        <v>76</v>
      </c>
      <c r="B3" s="152">
        <v>1</v>
      </c>
      <c r="D3">
        <v>2</v>
      </c>
      <c r="E3" t="s">
        <v>226</v>
      </c>
      <c r="F3">
        <v>0.995</v>
      </c>
      <c r="G3">
        <v>0.8</v>
      </c>
      <c r="H3">
        <v>0.6</v>
      </c>
      <c r="I3">
        <v>0.6</v>
      </c>
      <c r="J3">
        <v>0.6</v>
      </c>
      <c r="K3" s="225">
        <v>0.05</v>
      </c>
    </row>
    <row r="4" spans="1:42" x14ac:dyDescent="0.15">
      <c r="A4" s="150" t="s">
        <v>77</v>
      </c>
      <c r="B4" s="152">
        <v>1</v>
      </c>
      <c r="D4">
        <v>3</v>
      </c>
      <c r="E4" t="s">
        <v>227</v>
      </c>
      <c r="F4">
        <v>0.995</v>
      </c>
      <c r="G4">
        <v>0.5</v>
      </c>
      <c r="H4">
        <v>0.3</v>
      </c>
      <c r="I4">
        <v>0.6</v>
      </c>
      <c r="J4">
        <v>0.6</v>
      </c>
      <c r="K4" s="225">
        <v>0.05</v>
      </c>
    </row>
    <row r="5" spans="1:42" x14ac:dyDescent="0.15">
      <c r="A5" s="150" t="s">
        <v>78</v>
      </c>
      <c r="B5" s="152">
        <v>1</v>
      </c>
      <c r="D5">
        <v>4</v>
      </c>
      <c r="E5" t="s">
        <v>228</v>
      </c>
      <c r="F5">
        <v>0.995</v>
      </c>
      <c r="G5">
        <v>0.5</v>
      </c>
      <c r="H5">
        <v>0.6</v>
      </c>
      <c r="I5">
        <v>0.6</v>
      </c>
      <c r="J5">
        <v>0.6</v>
      </c>
      <c r="K5" s="225">
        <v>0.05</v>
      </c>
    </row>
    <row r="6" spans="1:42" x14ac:dyDescent="0.15">
      <c r="A6" s="150" t="s">
        <v>79</v>
      </c>
      <c r="B6" s="152">
        <v>1</v>
      </c>
      <c r="D6">
        <v>5</v>
      </c>
      <c r="E6" t="s">
        <v>229</v>
      </c>
      <c r="F6">
        <v>0.995</v>
      </c>
      <c r="G6">
        <v>0.5</v>
      </c>
      <c r="H6">
        <v>0.6</v>
      </c>
      <c r="I6">
        <v>0.6</v>
      </c>
      <c r="J6">
        <v>0.6</v>
      </c>
      <c r="K6" s="225">
        <v>0.05</v>
      </c>
    </row>
    <row r="7" spans="1:42" x14ac:dyDescent="0.15">
      <c r="A7" s="150" t="s">
        <v>80</v>
      </c>
      <c r="B7" s="152">
        <v>1</v>
      </c>
      <c r="D7">
        <v>6</v>
      </c>
      <c r="E7" t="s">
        <v>230</v>
      </c>
      <c r="F7">
        <v>0.995</v>
      </c>
      <c r="G7">
        <v>0.5</v>
      </c>
      <c r="H7">
        <v>0.2</v>
      </c>
      <c r="I7">
        <v>0.6</v>
      </c>
      <c r="J7">
        <v>0.6</v>
      </c>
      <c r="K7" s="225">
        <v>0.05</v>
      </c>
    </row>
    <row r="8" spans="1:42" x14ac:dyDescent="0.15">
      <c r="A8" s="150" t="s">
        <v>81</v>
      </c>
      <c r="B8" s="152">
        <v>1</v>
      </c>
      <c r="D8">
        <v>7</v>
      </c>
      <c r="E8" t="s">
        <v>231</v>
      </c>
      <c r="F8">
        <v>0.995</v>
      </c>
      <c r="G8">
        <v>0.5</v>
      </c>
      <c r="H8">
        <v>0.6</v>
      </c>
      <c r="I8">
        <v>0.6</v>
      </c>
      <c r="J8">
        <v>0.6</v>
      </c>
      <c r="K8" s="225">
        <v>0.05</v>
      </c>
    </row>
    <row r="9" spans="1:42" x14ac:dyDescent="0.15">
      <c r="A9" s="150" t="s">
        <v>82</v>
      </c>
      <c r="B9" s="152">
        <v>0.1</v>
      </c>
      <c r="C9" s="141" t="s">
        <v>151</v>
      </c>
      <c r="D9">
        <v>8</v>
      </c>
      <c r="E9" t="s">
        <v>232</v>
      </c>
      <c r="F9">
        <v>0.995</v>
      </c>
      <c r="G9">
        <v>0.8</v>
      </c>
      <c r="H9">
        <v>0.6</v>
      </c>
      <c r="I9">
        <v>0.6</v>
      </c>
      <c r="J9">
        <v>0.6</v>
      </c>
      <c r="K9" s="225">
        <v>0.05</v>
      </c>
    </row>
    <row r="10" spans="1:42" ht="14" thickBot="1" x14ac:dyDescent="0.2">
      <c r="A10" s="150" t="s">
        <v>150</v>
      </c>
      <c r="B10" s="153">
        <f>1/3</f>
        <v>0.33333333333333331</v>
      </c>
      <c r="C10" s="141" t="s">
        <v>151</v>
      </c>
      <c r="D10">
        <v>9</v>
      </c>
      <c r="E10" t="s">
        <v>233</v>
      </c>
      <c r="F10">
        <v>0.995</v>
      </c>
      <c r="G10">
        <v>0.8</v>
      </c>
      <c r="H10">
        <v>0.6</v>
      </c>
      <c r="I10">
        <v>0.6</v>
      </c>
      <c r="J10">
        <v>0.6</v>
      </c>
      <c r="K10" s="225">
        <v>0.05</v>
      </c>
    </row>
    <row r="11" spans="1:42" x14ac:dyDescent="0.15">
      <c r="D11">
        <v>10</v>
      </c>
      <c r="E11" t="s">
        <v>234</v>
      </c>
      <c r="F11">
        <v>0.995</v>
      </c>
      <c r="G11">
        <v>0.5</v>
      </c>
      <c r="H11">
        <v>0.6</v>
      </c>
      <c r="I11">
        <v>0.6</v>
      </c>
      <c r="J11">
        <v>0.6</v>
      </c>
      <c r="K11" s="225">
        <v>0.05</v>
      </c>
    </row>
    <row r="12" spans="1:42" x14ac:dyDescent="0.15">
      <c r="D12">
        <v>11</v>
      </c>
      <c r="E12" t="s">
        <v>235</v>
      </c>
      <c r="F12">
        <v>0.995</v>
      </c>
      <c r="G12">
        <v>0.5</v>
      </c>
      <c r="H12">
        <v>0.6</v>
      </c>
      <c r="I12">
        <v>0.6</v>
      </c>
      <c r="J12">
        <v>0.6</v>
      </c>
      <c r="K12" s="225">
        <v>0.05</v>
      </c>
    </row>
    <row r="13" spans="1:42" x14ac:dyDescent="0.15">
      <c r="D13">
        <v>12</v>
      </c>
      <c r="E13" t="s">
        <v>236</v>
      </c>
      <c r="F13">
        <v>0.995</v>
      </c>
      <c r="G13">
        <v>0.5</v>
      </c>
      <c r="H13">
        <v>0.4</v>
      </c>
      <c r="I13">
        <v>0.7</v>
      </c>
      <c r="J13">
        <v>0.7</v>
      </c>
      <c r="K13" s="225">
        <v>0.05</v>
      </c>
    </row>
    <row r="14" spans="1:42" x14ac:dyDescent="0.15">
      <c r="D14">
        <v>13</v>
      </c>
      <c r="E14" t="s">
        <v>237</v>
      </c>
      <c r="F14">
        <v>0.995</v>
      </c>
      <c r="G14">
        <v>0.5</v>
      </c>
      <c r="H14">
        <v>0.4</v>
      </c>
      <c r="I14">
        <v>0.8</v>
      </c>
      <c r="J14">
        <v>0.8</v>
      </c>
      <c r="K14" s="225">
        <v>0.05</v>
      </c>
    </row>
    <row r="15" spans="1:42" x14ac:dyDescent="0.15">
      <c r="D15">
        <v>14</v>
      </c>
      <c r="E15" t="s">
        <v>238</v>
      </c>
      <c r="F15">
        <v>0.995</v>
      </c>
      <c r="G15">
        <v>0.1</v>
      </c>
      <c r="H15">
        <v>0.4</v>
      </c>
      <c r="I15">
        <v>0.7</v>
      </c>
      <c r="J15">
        <v>0.7</v>
      </c>
      <c r="K15" s="225">
        <v>0.05</v>
      </c>
    </row>
    <row r="16" spans="1:42" x14ac:dyDescent="0.15">
      <c r="D16">
        <v>15</v>
      </c>
      <c r="E16" t="s">
        <v>239</v>
      </c>
      <c r="F16">
        <v>0.995</v>
      </c>
      <c r="G16">
        <v>0.1</v>
      </c>
      <c r="H16">
        <v>0.4</v>
      </c>
      <c r="I16">
        <v>0.8</v>
      </c>
      <c r="J16">
        <v>0.8</v>
      </c>
      <c r="K16" s="225">
        <v>0.05</v>
      </c>
    </row>
    <row r="17" spans="4:33" x14ac:dyDescent="0.15">
      <c r="D17">
        <v>16</v>
      </c>
      <c r="E17" t="s">
        <v>240</v>
      </c>
      <c r="F17">
        <v>0.995</v>
      </c>
      <c r="G17">
        <v>0.5</v>
      </c>
      <c r="H17">
        <v>0.6</v>
      </c>
      <c r="I17">
        <v>0.6</v>
      </c>
      <c r="J17">
        <v>0.6</v>
      </c>
      <c r="K17" s="225">
        <v>0.05</v>
      </c>
    </row>
    <row r="18" spans="4:33" x14ac:dyDescent="0.15">
      <c r="D18">
        <v>17</v>
      </c>
      <c r="E18" t="s">
        <v>241</v>
      </c>
      <c r="F18">
        <v>0.995</v>
      </c>
      <c r="G18">
        <v>0.8</v>
      </c>
      <c r="H18">
        <v>0.6</v>
      </c>
      <c r="I18">
        <v>0.6</v>
      </c>
      <c r="J18">
        <v>0.6</v>
      </c>
      <c r="K18" s="225">
        <v>0.05</v>
      </c>
    </row>
    <row r="19" spans="4:33" x14ac:dyDescent="0.15">
      <c r="D19">
        <v>18</v>
      </c>
      <c r="E19" t="s">
        <v>242</v>
      </c>
      <c r="F19">
        <v>0.995</v>
      </c>
      <c r="G19">
        <v>0.5</v>
      </c>
      <c r="H19">
        <v>0.6</v>
      </c>
      <c r="I19">
        <v>0.6</v>
      </c>
      <c r="J19">
        <v>0.6</v>
      </c>
      <c r="K19" s="225">
        <v>0.05</v>
      </c>
    </row>
    <row r="20" spans="4:33" x14ac:dyDescent="0.15">
      <c r="D20">
        <v>19</v>
      </c>
      <c r="E20" t="s">
        <v>243</v>
      </c>
      <c r="F20">
        <v>0.995</v>
      </c>
      <c r="G20">
        <v>0.5</v>
      </c>
      <c r="H20">
        <v>0.6</v>
      </c>
      <c r="I20">
        <v>0.6</v>
      </c>
      <c r="J20">
        <v>0.6</v>
      </c>
      <c r="K20" s="225">
        <v>0.05</v>
      </c>
    </row>
    <row r="21" spans="4:33" x14ac:dyDescent="0.15">
      <c r="D21">
        <v>20</v>
      </c>
      <c r="E21" t="s">
        <v>244</v>
      </c>
      <c r="F21">
        <v>0.995</v>
      </c>
      <c r="G21">
        <v>0.5</v>
      </c>
      <c r="H21">
        <v>0.6</v>
      </c>
      <c r="I21">
        <v>0.6</v>
      </c>
      <c r="J21">
        <v>0.6</v>
      </c>
      <c r="K21" s="225">
        <v>0.05</v>
      </c>
    </row>
    <row r="22" spans="4:33" x14ac:dyDescent="0.15">
      <c r="D22">
        <v>21</v>
      </c>
      <c r="E22" t="s">
        <v>245</v>
      </c>
      <c r="F22">
        <v>0.995</v>
      </c>
      <c r="G22">
        <v>0.5</v>
      </c>
      <c r="H22">
        <v>0.6</v>
      </c>
      <c r="I22">
        <v>0.6</v>
      </c>
      <c r="J22">
        <v>0.6</v>
      </c>
      <c r="K22" s="225">
        <v>0.05</v>
      </c>
    </row>
    <row r="23" spans="4:33" x14ac:dyDescent="0.15">
      <c r="D23">
        <v>22</v>
      </c>
      <c r="E23" t="s">
        <v>246</v>
      </c>
      <c r="F23">
        <v>0.995</v>
      </c>
      <c r="G23">
        <v>0.5</v>
      </c>
      <c r="H23">
        <v>0.6</v>
      </c>
      <c r="I23">
        <v>0.6</v>
      </c>
      <c r="J23">
        <v>0.6</v>
      </c>
      <c r="K23" s="225">
        <v>0.05</v>
      </c>
    </row>
    <row r="24" spans="4:33" x14ac:dyDescent="0.15">
      <c r="D24">
        <v>23</v>
      </c>
      <c r="E24" t="s">
        <v>247</v>
      </c>
      <c r="F24">
        <v>0.995</v>
      </c>
      <c r="G24">
        <v>0.5</v>
      </c>
      <c r="H24">
        <v>0.6</v>
      </c>
      <c r="I24">
        <v>0.6</v>
      </c>
      <c r="J24">
        <v>0.6</v>
      </c>
      <c r="K24" s="225">
        <v>0.05</v>
      </c>
    </row>
    <row r="25" spans="4:33" x14ac:dyDescent="0.15">
      <c r="D25">
        <v>24</v>
      </c>
      <c r="E25" t="s">
        <v>248</v>
      </c>
      <c r="F25">
        <v>0.995</v>
      </c>
      <c r="G25">
        <v>0.5</v>
      </c>
      <c r="H25">
        <v>0.6</v>
      </c>
      <c r="I25">
        <v>0.6</v>
      </c>
      <c r="J25">
        <v>0.6</v>
      </c>
      <c r="K25" s="225">
        <v>0.05</v>
      </c>
    </row>
    <row r="26" spans="4:33" x14ac:dyDescent="0.15">
      <c r="D26">
        <v>25</v>
      </c>
      <c r="E26" t="s">
        <v>249</v>
      </c>
      <c r="F26">
        <v>0.995</v>
      </c>
      <c r="G26">
        <v>0.5</v>
      </c>
      <c r="H26">
        <v>0.6</v>
      </c>
      <c r="I26">
        <v>0.6</v>
      </c>
      <c r="J26">
        <v>0.6</v>
      </c>
      <c r="K26" s="225">
        <v>0.05</v>
      </c>
    </row>
    <row r="27" spans="4:33" x14ac:dyDescent="0.15">
      <c r="D27">
        <v>26</v>
      </c>
      <c r="E27" t="s">
        <v>250</v>
      </c>
      <c r="F27">
        <v>0.995</v>
      </c>
      <c r="G27">
        <v>0.8</v>
      </c>
      <c r="H27">
        <v>0.6</v>
      </c>
      <c r="I27">
        <v>0.6</v>
      </c>
      <c r="J27">
        <v>0.6</v>
      </c>
      <c r="K27" s="225">
        <v>0.05</v>
      </c>
      <c r="Y27"/>
      <c r="AC27"/>
      <c r="AG27"/>
    </row>
    <row r="28" spans="4:33" x14ac:dyDescent="0.15">
      <c r="D28">
        <v>27</v>
      </c>
      <c r="E28" t="s">
        <v>251</v>
      </c>
      <c r="F28">
        <v>0.995</v>
      </c>
      <c r="G28">
        <v>0.5</v>
      </c>
      <c r="H28">
        <v>0.7</v>
      </c>
      <c r="I28">
        <v>0.7</v>
      </c>
      <c r="J28">
        <v>0.7</v>
      </c>
      <c r="K28" s="225">
        <v>0.05</v>
      </c>
      <c r="Y28"/>
      <c r="AC28"/>
      <c r="AG28"/>
    </row>
    <row r="29" spans="4:33" x14ac:dyDescent="0.15">
      <c r="D29">
        <v>28</v>
      </c>
      <c r="E29" t="s">
        <v>252</v>
      </c>
      <c r="F29">
        <v>0.995</v>
      </c>
      <c r="G29">
        <v>0.5</v>
      </c>
      <c r="H29">
        <v>0.7</v>
      </c>
      <c r="I29">
        <v>0.7</v>
      </c>
      <c r="J29">
        <v>0.7</v>
      </c>
      <c r="K29" s="225">
        <v>0.05</v>
      </c>
      <c r="Y29"/>
      <c r="AC29"/>
      <c r="AG29"/>
    </row>
    <row r="30" spans="4:33" x14ac:dyDescent="0.15">
      <c r="D30">
        <v>29</v>
      </c>
      <c r="E30" t="s">
        <v>253</v>
      </c>
      <c r="F30">
        <v>0.995</v>
      </c>
      <c r="G30">
        <v>0.8</v>
      </c>
      <c r="H30">
        <v>0.7</v>
      </c>
      <c r="I30">
        <v>0.7</v>
      </c>
      <c r="J30">
        <v>0.7</v>
      </c>
      <c r="K30" s="225">
        <v>0.05</v>
      </c>
      <c r="Y30"/>
      <c r="AC30"/>
      <c r="AG30"/>
    </row>
    <row r="31" spans="4:33" x14ac:dyDescent="0.15">
      <c r="D31">
        <v>30</v>
      </c>
      <c r="E31" t="s">
        <v>254</v>
      </c>
      <c r="F31">
        <v>0.995</v>
      </c>
      <c r="G31">
        <v>0.8</v>
      </c>
      <c r="H31">
        <v>0.4</v>
      </c>
      <c r="I31">
        <v>0.4</v>
      </c>
      <c r="J31">
        <v>0.4</v>
      </c>
      <c r="K31" s="225">
        <v>0.05</v>
      </c>
      <c r="Y31"/>
      <c r="AC31"/>
      <c r="AG31"/>
    </row>
    <row r="32" spans="4:33" x14ac:dyDescent="0.15">
      <c r="D32">
        <v>31</v>
      </c>
      <c r="E32" t="s">
        <v>177</v>
      </c>
      <c r="F32">
        <v>0.995</v>
      </c>
      <c r="G32">
        <v>0.5</v>
      </c>
      <c r="H32">
        <v>0.4</v>
      </c>
      <c r="I32">
        <v>0.4</v>
      </c>
      <c r="J32">
        <v>0.4</v>
      </c>
      <c r="K32" s="225">
        <v>0.05</v>
      </c>
      <c r="Y32"/>
      <c r="AC32"/>
      <c r="AG32"/>
    </row>
    <row r="33" spans="4:33" x14ac:dyDescent="0.15">
      <c r="D33">
        <v>32</v>
      </c>
      <c r="E33" t="s">
        <v>255</v>
      </c>
      <c r="F33">
        <v>0.995</v>
      </c>
      <c r="G33">
        <v>0.8</v>
      </c>
      <c r="H33">
        <v>0.4</v>
      </c>
      <c r="I33">
        <v>0.4</v>
      </c>
      <c r="J33">
        <v>0.4</v>
      </c>
      <c r="K33" s="225">
        <v>0.05</v>
      </c>
      <c r="Y33"/>
      <c r="AC33"/>
      <c r="AG33"/>
    </row>
    <row r="34" spans="4:33" x14ac:dyDescent="0.15">
      <c r="D34">
        <v>33</v>
      </c>
      <c r="E34" t="s">
        <v>256</v>
      </c>
      <c r="F34">
        <v>0.995</v>
      </c>
      <c r="G34">
        <v>0.1</v>
      </c>
      <c r="H34">
        <v>0.3</v>
      </c>
      <c r="I34">
        <v>0.3</v>
      </c>
      <c r="J34">
        <v>0.3</v>
      </c>
      <c r="K34" s="225">
        <v>0.05</v>
      </c>
      <c r="Y34"/>
      <c r="AC34"/>
      <c r="AG34"/>
    </row>
    <row r="35" spans="4:33" x14ac:dyDescent="0.15">
      <c r="D35">
        <v>34</v>
      </c>
      <c r="E35" t="s">
        <v>257</v>
      </c>
      <c r="F35">
        <v>0.995</v>
      </c>
      <c r="G35">
        <v>0.8</v>
      </c>
      <c r="H35">
        <v>0.4</v>
      </c>
      <c r="I35">
        <v>0.4</v>
      </c>
      <c r="J35">
        <v>0.4</v>
      </c>
      <c r="K35" s="225">
        <v>0.05</v>
      </c>
      <c r="Y35"/>
      <c r="AC35"/>
      <c r="AG35"/>
    </row>
    <row r="36" spans="4:33" x14ac:dyDescent="0.15">
      <c r="D36">
        <v>35</v>
      </c>
      <c r="E36" t="s">
        <v>178</v>
      </c>
      <c r="F36">
        <v>0.995</v>
      </c>
      <c r="G36">
        <v>0.5</v>
      </c>
      <c r="H36">
        <v>0.6</v>
      </c>
      <c r="I36">
        <v>0.6</v>
      </c>
      <c r="J36">
        <v>0.6</v>
      </c>
      <c r="K36" s="225">
        <v>0.05</v>
      </c>
      <c r="Y36"/>
      <c r="AC36"/>
      <c r="AG36"/>
    </row>
    <row r="37" spans="4:33" x14ac:dyDescent="0.15">
      <c r="D37">
        <v>36</v>
      </c>
      <c r="E37" t="s">
        <v>258</v>
      </c>
      <c r="F37">
        <v>0.995</v>
      </c>
      <c r="G37">
        <v>0.5</v>
      </c>
      <c r="H37">
        <v>0.4</v>
      </c>
      <c r="I37">
        <v>0.4</v>
      </c>
      <c r="J37">
        <v>0.4</v>
      </c>
      <c r="K37" s="225">
        <v>0.05</v>
      </c>
    </row>
    <row r="38" spans="4:33" x14ac:dyDescent="0.15">
      <c r="D38">
        <v>37</v>
      </c>
      <c r="E38" t="s">
        <v>179</v>
      </c>
      <c r="F38">
        <v>0.995</v>
      </c>
      <c r="G38">
        <v>0.1</v>
      </c>
      <c r="H38">
        <v>0.3</v>
      </c>
      <c r="I38">
        <v>0.3</v>
      </c>
      <c r="J38">
        <v>0.3</v>
      </c>
      <c r="K38" s="225">
        <v>0.05</v>
      </c>
      <c r="Y38"/>
      <c r="AC38"/>
      <c r="AG38"/>
    </row>
    <row r="39" spans="4:33" x14ac:dyDescent="0.15">
      <c r="D39">
        <v>38</v>
      </c>
      <c r="E39" t="s">
        <v>259</v>
      </c>
      <c r="F39">
        <v>0.995</v>
      </c>
      <c r="G39">
        <v>0.5</v>
      </c>
      <c r="H39">
        <v>0.4</v>
      </c>
      <c r="I39">
        <v>0.4</v>
      </c>
      <c r="J39">
        <v>0.4</v>
      </c>
      <c r="K39" s="225">
        <v>0.05</v>
      </c>
      <c r="Y39"/>
      <c r="AC39"/>
      <c r="AG39"/>
    </row>
    <row r="40" spans="4:33" x14ac:dyDescent="0.15">
      <c r="D40">
        <v>39</v>
      </c>
      <c r="E40" t="s">
        <v>260</v>
      </c>
      <c r="F40">
        <v>0.995</v>
      </c>
      <c r="G40">
        <v>0.1</v>
      </c>
      <c r="H40">
        <v>0.3</v>
      </c>
      <c r="I40">
        <v>0.3</v>
      </c>
      <c r="J40">
        <v>0.3</v>
      </c>
      <c r="K40" s="225">
        <v>0.05</v>
      </c>
      <c r="Y40"/>
      <c r="AC40"/>
      <c r="AG40"/>
    </row>
    <row r="41" spans="4:33" x14ac:dyDescent="0.15">
      <c r="D41">
        <v>40</v>
      </c>
      <c r="E41" t="s">
        <v>261</v>
      </c>
      <c r="F41">
        <v>0.995</v>
      </c>
      <c r="G41">
        <v>0.1</v>
      </c>
      <c r="H41">
        <v>0.6</v>
      </c>
      <c r="I41">
        <v>0.6</v>
      </c>
      <c r="J41">
        <v>0.6</v>
      </c>
      <c r="K41" s="225">
        <v>0.05</v>
      </c>
      <c r="Y41"/>
      <c r="AC41"/>
      <c r="AG41"/>
    </row>
    <row r="42" spans="4:33" x14ac:dyDescent="0.15">
      <c r="D42">
        <v>41</v>
      </c>
      <c r="E42" t="s">
        <v>262</v>
      </c>
      <c r="F42">
        <v>0.995</v>
      </c>
      <c r="G42">
        <v>0.8</v>
      </c>
      <c r="H42">
        <v>0.4</v>
      </c>
      <c r="I42">
        <v>0.4</v>
      </c>
      <c r="J42">
        <v>0.4</v>
      </c>
      <c r="K42" s="225">
        <v>0.05</v>
      </c>
      <c r="Y42"/>
      <c r="AC42"/>
      <c r="AG42"/>
    </row>
    <row r="43" spans="4:33" x14ac:dyDescent="0.15">
      <c r="D43">
        <v>42</v>
      </c>
      <c r="E43" t="s">
        <v>263</v>
      </c>
      <c r="F43">
        <v>0.995</v>
      </c>
      <c r="G43">
        <v>0.1</v>
      </c>
      <c r="H43">
        <v>0.3</v>
      </c>
      <c r="I43">
        <v>0.3</v>
      </c>
      <c r="J43">
        <v>0.3</v>
      </c>
      <c r="K43" s="225">
        <v>0.05</v>
      </c>
      <c r="Y43"/>
      <c r="AC43"/>
      <c r="AG43"/>
    </row>
    <row r="44" spans="4:33" x14ac:dyDescent="0.15">
      <c r="D44">
        <v>43</v>
      </c>
      <c r="E44" t="s">
        <v>264</v>
      </c>
      <c r="F44">
        <v>0.995</v>
      </c>
      <c r="G44">
        <v>0.5</v>
      </c>
      <c r="H44">
        <v>0.6</v>
      </c>
      <c r="I44">
        <v>0.6</v>
      </c>
      <c r="J44">
        <v>0.6</v>
      </c>
      <c r="K44" s="225">
        <v>0.05</v>
      </c>
      <c r="Y44"/>
      <c r="AC44"/>
      <c r="AG44"/>
    </row>
    <row r="45" spans="4:33" x14ac:dyDescent="0.15">
      <c r="D45">
        <v>44</v>
      </c>
      <c r="E45" t="s">
        <v>265</v>
      </c>
      <c r="F45">
        <v>0.995</v>
      </c>
      <c r="G45">
        <v>0.5</v>
      </c>
      <c r="H45">
        <v>0.6</v>
      </c>
      <c r="I45">
        <v>0.6</v>
      </c>
      <c r="J45">
        <v>0.6</v>
      </c>
      <c r="K45" s="225">
        <v>0.05</v>
      </c>
      <c r="Y45"/>
      <c r="AC45"/>
      <c r="AG45"/>
    </row>
    <row r="46" spans="4:33" x14ac:dyDescent="0.15">
      <c r="D46">
        <v>45</v>
      </c>
      <c r="E46" t="s">
        <v>266</v>
      </c>
      <c r="F46">
        <v>0.995</v>
      </c>
      <c r="G46">
        <v>0.1</v>
      </c>
      <c r="H46">
        <v>0.6</v>
      </c>
      <c r="I46">
        <v>0.6</v>
      </c>
      <c r="J46">
        <v>0.6</v>
      </c>
      <c r="K46" s="225">
        <v>0.05</v>
      </c>
      <c r="Y46"/>
      <c r="AC46"/>
      <c r="AG46"/>
    </row>
    <row r="47" spans="4:33" x14ac:dyDescent="0.15">
      <c r="D47">
        <v>46</v>
      </c>
      <c r="E47" t="s">
        <v>267</v>
      </c>
      <c r="F47">
        <v>0.995</v>
      </c>
      <c r="G47">
        <v>0.5</v>
      </c>
      <c r="H47">
        <v>0.6</v>
      </c>
      <c r="I47">
        <v>0.6</v>
      </c>
      <c r="J47">
        <v>0.6</v>
      </c>
      <c r="K47" s="225">
        <v>0.05</v>
      </c>
      <c r="Y47"/>
      <c r="AC47"/>
      <c r="AG47"/>
    </row>
    <row r="48" spans="4:33" x14ac:dyDescent="0.15">
      <c r="D48">
        <v>47</v>
      </c>
      <c r="E48" t="s">
        <v>268</v>
      </c>
      <c r="F48">
        <v>0.995</v>
      </c>
      <c r="G48">
        <v>0.5</v>
      </c>
      <c r="H48">
        <v>0.6</v>
      </c>
      <c r="I48">
        <v>0.6</v>
      </c>
      <c r="J48">
        <v>0.6</v>
      </c>
      <c r="K48" s="225">
        <v>0.05</v>
      </c>
      <c r="Y48"/>
      <c r="AC48"/>
      <c r="AG48"/>
    </row>
    <row r="49" spans="4:33" x14ac:dyDescent="0.15">
      <c r="D49">
        <v>48</v>
      </c>
      <c r="E49" t="s">
        <v>269</v>
      </c>
      <c r="F49">
        <v>0.995</v>
      </c>
      <c r="G49">
        <v>0.5</v>
      </c>
      <c r="H49">
        <v>0.6</v>
      </c>
      <c r="I49">
        <v>0.6</v>
      </c>
      <c r="J49">
        <v>0.6</v>
      </c>
      <c r="K49" s="225">
        <v>0.05</v>
      </c>
      <c r="Y49"/>
      <c r="AC49"/>
      <c r="AG49"/>
    </row>
    <row r="50" spans="4:33" x14ac:dyDescent="0.15">
      <c r="D50">
        <v>49</v>
      </c>
      <c r="E50" t="s">
        <v>270</v>
      </c>
      <c r="F50">
        <v>0.995</v>
      </c>
      <c r="G50">
        <v>0.5</v>
      </c>
      <c r="H50">
        <v>0.7</v>
      </c>
      <c r="I50">
        <v>0.7</v>
      </c>
      <c r="J50">
        <v>0.7</v>
      </c>
      <c r="K50" s="225">
        <v>0.05</v>
      </c>
      <c r="Y50"/>
      <c r="AC50"/>
      <c r="AG50"/>
    </row>
    <row r="51" spans="4:33" x14ac:dyDescent="0.15">
      <c r="D51">
        <v>50</v>
      </c>
      <c r="E51" t="s">
        <v>271</v>
      </c>
      <c r="F51">
        <v>0.995</v>
      </c>
      <c r="G51">
        <v>0.5</v>
      </c>
      <c r="H51">
        <v>0.7</v>
      </c>
      <c r="I51">
        <v>0.7</v>
      </c>
      <c r="J51">
        <v>0.7</v>
      </c>
      <c r="K51" s="225">
        <v>0.05</v>
      </c>
      <c r="Y51"/>
      <c r="AC51"/>
      <c r="AG51"/>
    </row>
    <row r="52" spans="4:33" x14ac:dyDescent="0.15">
      <c r="D52">
        <v>51</v>
      </c>
      <c r="E52" t="s">
        <v>272</v>
      </c>
      <c r="F52">
        <v>0.995</v>
      </c>
      <c r="G52">
        <v>0.5</v>
      </c>
      <c r="H52">
        <v>0.7</v>
      </c>
      <c r="I52">
        <v>0.7</v>
      </c>
      <c r="J52">
        <v>0.7</v>
      </c>
      <c r="K52" s="225">
        <v>0.05</v>
      </c>
      <c r="Y52"/>
      <c r="AC52"/>
      <c r="AG52"/>
    </row>
    <row r="53" spans="4:33" x14ac:dyDescent="0.15">
      <c r="D53">
        <v>52</v>
      </c>
      <c r="E53" t="s">
        <v>273</v>
      </c>
      <c r="F53">
        <v>0.995</v>
      </c>
      <c r="G53">
        <v>0.8</v>
      </c>
      <c r="H53">
        <v>0.6</v>
      </c>
      <c r="I53">
        <v>0.6</v>
      </c>
      <c r="J53">
        <v>0.6</v>
      </c>
      <c r="K53" s="225">
        <v>0.05</v>
      </c>
      <c r="Y53"/>
      <c r="AC53"/>
      <c r="AG53"/>
    </row>
    <row r="54" spans="4:33" x14ac:dyDescent="0.15">
      <c r="D54">
        <v>53</v>
      </c>
      <c r="E54" t="s">
        <v>274</v>
      </c>
      <c r="F54">
        <v>0.995</v>
      </c>
      <c r="G54">
        <v>0.5</v>
      </c>
      <c r="H54">
        <v>0.5</v>
      </c>
      <c r="I54">
        <v>0.8</v>
      </c>
      <c r="J54">
        <v>0.8</v>
      </c>
      <c r="K54" s="225">
        <v>0.05</v>
      </c>
      <c r="Y54"/>
      <c r="AC54"/>
      <c r="AG54"/>
    </row>
    <row r="55" spans="4:33" x14ac:dyDescent="0.15">
      <c r="D55">
        <v>54</v>
      </c>
      <c r="E55" t="s">
        <v>275</v>
      </c>
      <c r="F55">
        <v>0.995</v>
      </c>
      <c r="G55">
        <v>0.8</v>
      </c>
      <c r="H55">
        <v>0.7</v>
      </c>
      <c r="I55">
        <v>0.7</v>
      </c>
      <c r="J55">
        <v>0.7</v>
      </c>
      <c r="K55" s="225">
        <v>0.05</v>
      </c>
      <c r="Y55"/>
      <c r="AC55"/>
      <c r="AG55"/>
    </row>
    <row r="56" spans="4:33" x14ac:dyDescent="0.15">
      <c r="D56">
        <v>55</v>
      </c>
      <c r="E56" t="s">
        <v>276</v>
      </c>
      <c r="F56">
        <v>0.995</v>
      </c>
      <c r="G56">
        <v>0.5</v>
      </c>
      <c r="H56">
        <v>0.7</v>
      </c>
      <c r="I56">
        <v>0.7</v>
      </c>
      <c r="J56">
        <v>0.7</v>
      </c>
      <c r="K56" s="225">
        <v>0.05</v>
      </c>
      <c r="Y56"/>
      <c r="AC56"/>
      <c r="AG56"/>
    </row>
    <row r="57" spans="4:33" x14ac:dyDescent="0.15">
      <c r="D57">
        <v>56</v>
      </c>
      <c r="E57" t="s">
        <v>277</v>
      </c>
      <c r="F57">
        <v>0.995</v>
      </c>
      <c r="G57">
        <v>0.8</v>
      </c>
      <c r="H57">
        <v>0.7</v>
      </c>
      <c r="I57">
        <v>0.7</v>
      </c>
      <c r="J57">
        <v>0.7</v>
      </c>
      <c r="K57" s="225">
        <v>0.05</v>
      </c>
      <c r="Y57"/>
      <c r="AC57"/>
      <c r="AG57"/>
    </row>
    <row r="58" spans="4:33" x14ac:dyDescent="0.15">
      <c r="D58">
        <v>57</v>
      </c>
      <c r="E58" t="s">
        <v>278</v>
      </c>
      <c r="F58">
        <v>0.995</v>
      </c>
      <c r="G58">
        <v>0.5</v>
      </c>
      <c r="H58">
        <v>0.4</v>
      </c>
      <c r="I58">
        <v>0.4</v>
      </c>
      <c r="J58">
        <v>0.4</v>
      </c>
      <c r="K58" s="225">
        <v>0.05</v>
      </c>
      <c r="Y58"/>
      <c r="AC58"/>
      <c r="AG58"/>
    </row>
    <row r="59" spans="4:33" x14ac:dyDescent="0.15">
      <c r="D59">
        <v>58</v>
      </c>
      <c r="E59" t="s">
        <v>279</v>
      </c>
      <c r="F59">
        <v>0.995</v>
      </c>
      <c r="G59">
        <v>0.1</v>
      </c>
      <c r="H59">
        <v>0.3</v>
      </c>
      <c r="I59">
        <v>0.3</v>
      </c>
      <c r="J59">
        <v>0.3</v>
      </c>
      <c r="K59" s="225">
        <v>0.05</v>
      </c>
      <c r="Y59"/>
      <c r="AC59"/>
      <c r="AG59"/>
    </row>
    <row r="60" spans="4:33" x14ac:dyDescent="0.15">
      <c r="D60">
        <v>59</v>
      </c>
      <c r="E60" t="s">
        <v>280</v>
      </c>
      <c r="F60">
        <v>0.995</v>
      </c>
      <c r="G60">
        <v>0.8</v>
      </c>
      <c r="H60">
        <v>0.6</v>
      </c>
      <c r="I60">
        <v>0.6</v>
      </c>
      <c r="J60">
        <v>0.6</v>
      </c>
      <c r="K60" s="225">
        <v>0.05</v>
      </c>
      <c r="Y60"/>
      <c r="AC60"/>
      <c r="AG60"/>
    </row>
    <row r="61" spans="4:33" x14ac:dyDescent="0.15">
      <c r="D61">
        <v>60</v>
      </c>
      <c r="E61" t="s">
        <v>281</v>
      </c>
      <c r="F61">
        <v>0.995</v>
      </c>
      <c r="G61">
        <v>0.1</v>
      </c>
      <c r="H61">
        <v>0.6</v>
      </c>
      <c r="I61">
        <v>0.6</v>
      </c>
      <c r="J61">
        <v>0.6</v>
      </c>
      <c r="K61" s="225">
        <v>0.05</v>
      </c>
      <c r="Y61"/>
      <c r="AC61"/>
      <c r="AG61"/>
    </row>
    <row r="62" spans="4:33" x14ac:dyDescent="0.15">
      <c r="D62">
        <v>61</v>
      </c>
      <c r="E62" t="s">
        <v>282</v>
      </c>
      <c r="F62">
        <v>0.995</v>
      </c>
      <c r="G62">
        <v>0.5</v>
      </c>
      <c r="H62">
        <v>0.6</v>
      </c>
      <c r="I62">
        <v>0.6</v>
      </c>
      <c r="J62">
        <v>0.6</v>
      </c>
      <c r="K62" s="225">
        <v>0.05</v>
      </c>
      <c r="Y62"/>
      <c r="AC62"/>
      <c r="AG62"/>
    </row>
    <row r="63" spans="4:33" x14ac:dyDescent="0.15">
      <c r="D63">
        <v>62</v>
      </c>
      <c r="E63" t="s">
        <v>283</v>
      </c>
      <c r="F63">
        <v>0.995</v>
      </c>
      <c r="G63">
        <v>0.5</v>
      </c>
      <c r="H63">
        <v>0.6</v>
      </c>
      <c r="I63">
        <v>0.6</v>
      </c>
      <c r="J63">
        <v>0.6</v>
      </c>
      <c r="K63" s="225">
        <v>0.05</v>
      </c>
      <c r="Y63"/>
      <c r="AC63"/>
      <c r="AG63"/>
    </row>
    <row r="64" spans="4:33" x14ac:dyDescent="0.15">
      <c r="D64">
        <v>63</v>
      </c>
      <c r="E64" t="s">
        <v>284</v>
      </c>
      <c r="F64">
        <v>0.995</v>
      </c>
      <c r="G64">
        <v>0.5</v>
      </c>
      <c r="H64">
        <v>0.6</v>
      </c>
      <c r="I64">
        <v>0.6</v>
      </c>
      <c r="J64">
        <v>0.6</v>
      </c>
      <c r="K64" s="225">
        <v>0.05</v>
      </c>
      <c r="Y64"/>
      <c r="AC64"/>
      <c r="AG64"/>
    </row>
    <row r="65" spans="4:33" x14ac:dyDescent="0.15">
      <c r="D65">
        <v>64</v>
      </c>
      <c r="E65" t="s">
        <v>285</v>
      </c>
      <c r="F65">
        <v>0.995</v>
      </c>
      <c r="G65">
        <v>0.8</v>
      </c>
      <c r="H65">
        <v>0.4</v>
      </c>
      <c r="I65">
        <v>0.4</v>
      </c>
      <c r="J65">
        <v>0.4</v>
      </c>
      <c r="K65" s="225">
        <v>0.05</v>
      </c>
      <c r="Y65"/>
      <c r="AC65"/>
      <c r="AG65"/>
    </row>
    <row r="66" spans="4:33" x14ac:dyDescent="0.15">
      <c r="D66">
        <v>65</v>
      </c>
      <c r="E66" t="s">
        <v>286</v>
      </c>
      <c r="F66">
        <v>0.995</v>
      </c>
      <c r="G66">
        <v>0.5</v>
      </c>
      <c r="H66">
        <v>0.3</v>
      </c>
      <c r="I66">
        <v>0.3</v>
      </c>
      <c r="J66">
        <v>0.3</v>
      </c>
      <c r="K66" s="225">
        <v>0.05</v>
      </c>
      <c r="Y66"/>
      <c r="AC66"/>
      <c r="AG66"/>
    </row>
    <row r="67" spans="4:33" x14ac:dyDescent="0.15">
      <c r="D67">
        <v>66</v>
      </c>
      <c r="E67" t="s">
        <v>287</v>
      </c>
      <c r="F67">
        <v>0.995</v>
      </c>
      <c r="G67">
        <v>0.8</v>
      </c>
      <c r="H67">
        <v>0.6</v>
      </c>
      <c r="I67">
        <v>0.6</v>
      </c>
      <c r="J67">
        <v>0.6</v>
      </c>
      <c r="K67" s="225">
        <v>0.05</v>
      </c>
      <c r="Y67"/>
      <c r="AC67"/>
      <c r="AG67"/>
    </row>
    <row r="68" spans="4:33" x14ac:dyDescent="0.15">
      <c r="D68">
        <v>67</v>
      </c>
      <c r="E68" t="s">
        <v>288</v>
      </c>
      <c r="F68">
        <v>0.995</v>
      </c>
      <c r="G68">
        <v>0.8</v>
      </c>
      <c r="H68">
        <v>0.6</v>
      </c>
      <c r="I68">
        <v>0.6</v>
      </c>
      <c r="J68">
        <v>0.6</v>
      </c>
      <c r="K68" s="225">
        <v>0.05</v>
      </c>
      <c r="Y68"/>
      <c r="AC68"/>
      <c r="AG68"/>
    </row>
    <row r="69" spans="4:33" x14ac:dyDescent="0.15">
      <c r="D69">
        <v>68</v>
      </c>
      <c r="E69" t="s">
        <v>289</v>
      </c>
      <c r="F69">
        <v>0.995</v>
      </c>
      <c r="G69">
        <v>0.5</v>
      </c>
      <c r="H69">
        <v>0.5</v>
      </c>
      <c r="I69">
        <v>0.8</v>
      </c>
      <c r="J69">
        <v>0.8</v>
      </c>
      <c r="K69" s="225">
        <v>0.05</v>
      </c>
      <c r="Y69"/>
      <c r="AC69"/>
      <c r="AG69"/>
    </row>
    <row r="70" spans="4:33" x14ac:dyDescent="0.15">
      <c r="D70">
        <v>69</v>
      </c>
      <c r="E70" t="s">
        <v>290</v>
      </c>
      <c r="F70">
        <v>0.995</v>
      </c>
      <c r="G70">
        <v>0.1</v>
      </c>
      <c r="H70">
        <v>0.7</v>
      </c>
      <c r="I70">
        <v>0.7</v>
      </c>
      <c r="J70">
        <v>0.7</v>
      </c>
      <c r="K70" s="225">
        <v>0.05</v>
      </c>
      <c r="Y70"/>
      <c r="AC70"/>
      <c r="AG70"/>
    </row>
    <row r="71" spans="4:33" x14ac:dyDescent="0.15">
      <c r="D71">
        <v>70</v>
      </c>
      <c r="E71" t="s">
        <v>291</v>
      </c>
      <c r="F71">
        <v>0.995</v>
      </c>
      <c r="G71">
        <v>0.1</v>
      </c>
      <c r="H71">
        <v>0.7</v>
      </c>
      <c r="I71">
        <v>0.7</v>
      </c>
      <c r="J71">
        <v>0.7</v>
      </c>
      <c r="K71" s="225">
        <v>0.05</v>
      </c>
      <c r="Y71"/>
      <c r="AC71"/>
      <c r="AG71"/>
    </row>
    <row r="72" spans="4:33" x14ac:dyDescent="0.15">
      <c r="D72">
        <v>71</v>
      </c>
      <c r="E72" t="s">
        <v>180</v>
      </c>
      <c r="F72">
        <v>0.995</v>
      </c>
      <c r="G72">
        <v>0.8</v>
      </c>
      <c r="H72">
        <v>0.7</v>
      </c>
      <c r="I72">
        <v>0.7</v>
      </c>
      <c r="J72">
        <v>0.7</v>
      </c>
      <c r="K72" s="225">
        <v>0.05</v>
      </c>
      <c r="Y72"/>
      <c r="AC72"/>
      <c r="AG72"/>
    </row>
    <row r="73" spans="4:33" x14ac:dyDescent="0.15">
      <c r="D73">
        <v>72</v>
      </c>
      <c r="E73" t="s">
        <v>292</v>
      </c>
      <c r="F73">
        <v>0.995</v>
      </c>
      <c r="G73">
        <v>0.8</v>
      </c>
      <c r="H73">
        <v>0.7</v>
      </c>
      <c r="I73">
        <v>0.7</v>
      </c>
      <c r="J73">
        <v>0.7</v>
      </c>
      <c r="K73" s="225">
        <v>0.05</v>
      </c>
      <c r="Y73"/>
      <c r="AC73"/>
      <c r="AG73"/>
    </row>
    <row r="74" spans="4:33" x14ac:dyDescent="0.15">
      <c r="D74">
        <v>73</v>
      </c>
      <c r="E74" t="s">
        <v>293</v>
      </c>
      <c r="F74">
        <v>0.995</v>
      </c>
      <c r="G74">
        <v>0.8</v>
      </c>
      <c r="H74">
        <v>0.7</v>
      </c>
      <c r="I74">
        <v>0.7</v>
      </c>
      <c r="J74">
        <v>0.7</v>
      </c>
      <c r="K74" s="225">
        <v>0.05</v>
      </c>
    </row>
    <row r="75" spans="4:33" x14ac:dyDescent="0.15">
      <c r="D75">
        <v>74</v>
      </c>
      <c r="E75" t="s">
        <v>294</v>
      </c>
      <c r="F75">
        <v>0.995</v>
      </c>
      <c r="G75">
        <v>0.8</v>
      </c>
      <c r="H75">
        <v>0.7</v>
      </c>
      <c r="I75">
        <v>0.7</v>
      </c>
      <c r="J75">
        <v>0.7</v>
      </c>
      <c r="K75" s="225">
        <v>0.05</v>
      </c>
    </row>
    <row r="76" spans="4:33" x14ac:dyDescent="0.15">
      <c r="D76">
        <v>75</v>
      </c>
      <c r="E76" t="s">
        <v>295</v>
      </c>
      <c r="F76">
        <v>0.995</v>
      </c>
      <c r="G76">
        <v>0.8</v>
      </c>
      <c r="H76">
        <v>0.5</v>
      </c>
      <c r="I76">
        <v>0.8</v>
      </c>
      <c r="J76">
        <v>0.8</v>
      </c>
      <c r="K76" s="225">
        <v>0.05</v>
      </c>
    </row>
    <row r="77" spans="4:33" x14ac:dyDescent="0.15">
      <c r="D77">
        <v>76</v>
      </c>
      <c r="E77" t="s">
        <v>296</v>
      </c>
      <c r="F77">
        <v>0.995</v>
      </c>
      <c r="G77">
        <v>0.8</v>
      </c>
      <c r="H77">
        <v>0.6</v>
      </c>
      <c r="I77">
        <v>0.6</v>
      </c>
      <c r="J77">
        <v>0.6</v>
      </c>
      <c r="K77" s="225">
        <v>0.05</v>
      </c>
    </row>
    <row r="78" spans="4:33" x14ac:dyDescent="0.15">
      <c r="D78">
        <v>77</v>
      </c>
      <c r="E78" t="s">
        <v>297</v>
      </c>
      <c r="F78">
        <v>0.995</v>
      </c>
      <c r="G78">
        <v>0.8</v>
      </c>
      <c r="H78">
        <v>0.7</v>
      </c>
      <c r="I78">
        <v>0.7</v>
      </c>
      <c r="J78">
        <v>0.7</v>
      </c>
      <c r="K78" s="225">
        <v>0.05</v>
      </c>
    </row>
    <row r="79" spans="4:33" x14ac:dyDescent="0.15">
      <c r="D79">
        <v>78</v>
      </c>
      <c r="E79" t="s">
        <v>298</v>
      </c>
      <c r="F79">
        <v>0.995</v>
      </c>
      <c r="G79">
        <v>0.8</v>
      </c>
      <c r="H79">
        <v>0.7</v>
      </c>
      <c r="I79">
        <v>0.7</v>
      </c>
      <c r="J79">
        <v>0.7</v>
      </c>
      <c r="K79" s="225">
        <v>0.05</v>
      </c>
    </row>
    <row r="80" spans="4:33" x14ac:dyDescent="0.15">
      <c r="D80">
        <v>79</v>
      </c>
      <c r="E80" t="s">
        <v>299</v>
      </c>
      <c r="F80">
        <v>0.995</v>
      </c>
      <c r="G80">
        <v>0.8</v>
      </c>
      <c r="H80">
        <v>0.7</v>
      </c>
      <c r="I80">
        <v>0.7</v>
      </c>
      <c r="J80">
        <v>0.7</v>
      </c>
      <c r="K80" s="225">
        <v>0.05</v>
      </c>
    </row>
    <row r="81" spans="4:33" x14ac:dyDescent="0.15">
      <c r="D81">
        <v>80</v>
      </c>
      <c r="E81" t="s">
        <v>300</v>
      </c>
      <c r="F81">
        <v>0.995</v>
      </c>
      <c r="G81">
        <v>0.8</v>
      </c>
      <c r="H81">
        <v>0.7</v>
      </c>
      <c r="I81">
        <v>0.7</v>
      </c>
      <c r="J81">
        <v>0.7</v>
      </c>
      <c r="K81" s="225">
        <v>0.05</v>
      </c>
      <c r="Y81"/>
      <c r="AC81"/>
      <c r="AG81"/>
    </row>
    <row r="82" spans="4:33" x14ac:dyDescent="0.15">
      <c r="D82">
        <v>81</v>
      </c>
      <c r="E82" t="s">
        <v>301</v>
      </c>
      <c r="F82">
        <v>0.995</v>
      </c>
      <c r="G82">
        <v>0.8</v>
      </c>
      <c r="H82">
        <v>0.7</v>
      </c>
      <c r="I82">
        <v>0.7</v>
      </c>
      <c r="J82">
        <v>0.7</v>
      </c>
      <c r="K82" s="225">
        <v>0.05</v>
      </c>
      <c r="Y82"/>
      <c r="AC82"/>
      <c r="AG82"/>
    </row>
    <row r="83" spans="4:33" x14ac:dyDescent="0.15">
      <c r="D83">
        <v>82</v>
      </c>
      <c r="E83" t="s">
        <v>302</v>
      </c>
      <c r="F83">
        <v>0.995</v>
      </c>
      <c r="G83">
        <v>0.8</v>
      </c>
      <c r="H83">
        <v>0.7</v>
      </c>
      <c r="I83">
        <v>0.7</v>
      </c>
      <c r="J83">
        <v>0.7</v>
      </c>
      <c r="K83" s="225">
        <v>0.05</v>
      </c>
      <c r="Y83"/>
      <c r="AC83"/>
      <c r="AG83"/>
    </row>
    <row r="84" spans="4:33" x14ac:dyDescent="0.15">
      <c r="D84">
        <v>83</v>
      </c>
      <c r="E84" t="s">
        <v>303</v>
      </c>
      <c r="F84">
        <v>0.995</v>
      </c>
      <c r="G84">
        <v>0.8</v>
      </c>
      <c r="H84">
        <v>0.7</v>
      </c>
      <c r="I84">
        <v>0.7</v>
      </c>
      <c r="J84">
        <v>0.7</v>
      </c>
      <c r="K84" s="225">
        <v>0.05</v>
      </c>
      <c r="Y84"/>
      <c r="AC84"/>
      <c r="AG84"/>
    </row>
    <row r="85" spans="4:33" x14ac:dyDescent="0.15">
      <c r="D85">
        <v>84</v>
      </c>
      <c r="E85" t="s">
        <v>304</v>
      </c>
      <c r="F85">
        <v>0.995</v>
      </c>
      <c r="G85">
        <v>0.8</v>
      </c>
      <c r="H85">
        <v>0.6</v>
      </c>
      <c r="I85">
        <v>0.8</v>
      </c>
      <c r="J85">
        <v>0.8</v>
      </c>
      <c r="K85" s="225">
        <v>0.05</v>
      </c>
    </row>
    <row r="86" spans="4:33" x14ac:dyDescent="0.15">
      <c r="D86">
        <v>85</v>
      </c>
      <c r="E86" t="s">
        <v>305</v>
      </c>
      <c r="F86">
        <v>0.995</v>
      </c>
      <c r="G86">
        <v>0.5</v>
      </c>
      <c r="H86">
        <v>0.6</v>
      </c>
      <c r="I86">
        <v>0.8</v>
      </c>
      <c r="J86">
        <v>0.8</v>
      </c>
      <c r="K86" s="225">
        <v>0.05</v>
      </c>
    </row>
    <row r="87" spans="4:33" x14ac:dyDescent="0.15">
      <c r="D87">
        <v>86</v>
      </c>
      <c r="E87" t="s">
        <v>306</v>
      </c>
      <c r="F87">
        <v>0.995</v>
      </c>
      <c r="G87">
        <v>0.8</v>
      </c>
      <c r="H87">
        <v>0.6</v>
      </c>
      <c r="I87">
        <v>0.7</v>
      </c>
      <c r="J87">
        <v>0.7</v>
      </c>
      <c r="K87" s="225">
        <v>0.05</v>
      </c>
    </row>
    <row r="88" spans="4:33" x14ac:dyDescent="0.15">
      <c r="D88">
        <v>87</v>
      </c>
      <c r="E88" t="s">
        <v>307</v>
      </c>
      <c r="F88">
        <v>0.995</v>
      </c>
      <c r="G88">
        <v>0.8</v>
      </c>
      <c r="H88">
        <v>0.5</v>
      </c>
      <c r="I88">
        <v>0.8</v>
      </c>
      <c r="J88">
        <v>0.8</v>
      </c>
      <c r="K88" s="225">
        <v>0.05</v>
      </c>
    </row>
    <row r="89" spans="4:33" x14ac:dyDescent="0.15">
      <c r="D89">
        <v>88</v>
      </c>
      <c r="E89" t="s">
        <v>308</v>
      </c>
      <c r="F89">
        <v>0.995</v>
      </c>
      <c r="G89">
        <v>0.8</v>
      </c>
      <c r="H89">
        <v>0.6</v>
      </c>
      <c r="I89">
        <v>0.6</v>
      </c>
      <c r="J89">
        <v>0.6</v>
      </c>
      <c r="K89" s="225">
        <v>0.05</v>
      </c>
    </row>
    <row r="90" spans="4:33" x14ac:dyDescent="0.15">
      <c r="D90">
        <v>89</v>
      </c>
      <c r="E90" t="s">
        <v>309</v>
      </c>
      <c r="F90">
        <v>0.995</v>
      </c>
      <c r="G90">
        <v>0.5</v>
      </c>
      <c r="H90">
        <v>0.6</v>
      </c>
      <c r="I90">
        <v>0.7</v>
      </c>
      <c r="J90">
        <v>0.7</v>
      </c>
      <c r="K90" s="225">
        <v>0.05</v>
      </c>
    </row>
    <row r="91" spans="4:33" x14ac:dyDescent="0.15">
      <c r="D91">
        <v>90</v>
      </c>
      <c r="E91" t="s">
        <v>310</v>
      </c>
      <c r="F91">
        <v>0.995</v>
      </c>
      <c r="G91">
        <v>0.5</v>
      </c>
      <c r="H91">
        <v>0.6</v>
      </c>
      <c r="I91">
        <v>0.7</v>
      </c>
      <c r="J91">
        <v>0.7</v>
      </c>
      <c r="K91" s="225">
        <v>0.05</v>
      </c>
    </row>
    <row r="92" spans="4:33" x14ac:dyDescent="0.15">
      <c r="D92">
        <v>91</v>
      </c>
      <c r="E92" t="s">
        <v>311</v>
      </c>
      <c r="F92">
        <v>0.995</v>
      </c>
      <c r="G92">
        <v>0.5</v>
      </c>
      <c r="H92">
        <v>0.6</v>
      </c>
      <c r="I92">
        <v>0.7</v>
      </c>
      <c r="J92">
        <v>0.7</v>
      </c>
      <c r="K92" s="225">
        <v>0.05</v>
      </c>
    </row>
    <row r="93" spans="4:33" x14ac:dyDescent="0.15">
      <c r="D93">
        <v>92</v>
      </c>
      <c r="E93" t="s">
        <v>312</v>
      </c>
      <c r="F93">
        <v>0.995</v>
      </c>
      <c r="G93">
        <v>0.8</v>
      </c>
      <c r="H93">
        <v>0.6</v>
      </c>
      <c r="I93">
        <v>0.7</v>
      </c>
      <c r="J93">
        <v>0.7</v>
      </c>
      <c r="K93" s="225">
        <v>0.05</v>
      </c>
    </row>
    <row r="94" spans="4:33" x14ac:dyDescent="0.15">
      <c r="D94">
        <v>93</v>
      </c>
      <c r="E94" t="s">
        <v>313</v>
      </c>
      <c r="F94">
        <v>0.995</v>
      </c>
      <c r="G94">
        <v>0.8</v>
      </c>
      <c r="H94">
        <v>0.6</v>
      </c>
      <c r="I94">
        <v>0.7</v>
      </c>
      <c r="J94">
        <v>0.7</v>
      </c>
      <c r="K94" s="225">
        <v>0.05</v>
      </c>
    </row>
    <row r="95" spans="4:33" x14ac:dyDescent="0.15">
      <c r="D95">
        <v>94</v>
      </c>
      <c r="E95" t="s">
        <v>314</v>
      </c>
      <c r="F95">
        <v>0.995</v>
      </c>
      <c r="G95">
        <v>0.8</v>
      </c>
      <c r="H95">
        <v>0.6</v>
      </c>
      <c r="I95">
        <v>0.7</v>
      </c>
      <c r="J95">
        <v>0.7</v>
      </c>
      <c r="K95" s="225">
        <v>0.05</v>
      </c>
    </row>
    <row r="96" spans="4:33" x14ac:dyDescent="0.15">
      <c r="D96">
        <v>95</v>
      </c>
      <c r="E96" t="s">
        <v>315</v>
      </c>
      <c r="F96">
        <v>0.995</v>
      </c>
      <c r="G96">
        <v>0.8</v>
      </c>
      <c r="H96">
        <v>0.6</v>
      </c>
      <c r="I96">
        <v>0.7</v>
      </c>
      <c r="J96">
        <v>0.7</v>
      </c>
      <c r="K96" s="225">
        <v>0.05</v>
      </c>
    </row>
    <row r="97" spans="4:11" x14ac:dyDescent="0.15">
      <c r="D97">
        <v>96</v>
      </c>
      <c r="E97" t="s">
        <v>316</v>
      </c>
      <c r="F97">
        <v>0.995</v>
      </c>
      <c r="G97">
        <v>0.5</v>
      </c>
      <c r="H97">
        <v>0.6</v>
      </c>
      <c r="I97">
        <v>0.7</v>
      </c>
      <c r="J97">
        <v>0.7</v>
      </c>
      <c r="K97" s="225">
        <v>0.05</v>
      </c>
    </row>
    <row r="98" spans="4:11" x14ac:dyDescent="0.15">
      <c r="D98">
        <v>97</v>
      </c>
      <c r="E98" t="s">
        <v>317</v>
      </c>
      <c r="F98">
        <v>0.995</v>
      </c>
      <c r="G98">
        <v>0.1</v>
      </c>
      <c r="H98">
        <v>0.6</v>
      </c>
      <c r="I98">
        <v>0.7</v>
      </c>
      <c r="J98">
        <v>0.7</v>
      </c>
      <c r="K98" s="225">
        <v>0.05</v>
      </c>
    </row>
    <row r="99" spans="4:11" x14ac:dyDescent="0.15">
      <c r="D99">
        <v>98</v>
      </c>
      <c r="E99" t="s">
        <v>318</v>
      </c>
      <c r="F99">
        <v>0.995</v>
      </c>
      <c r="G99">
        <v>0.8</v>
      </c>
      <c r="H99">
        <v>0.6</v>
      </c>
      <c r="I99">
        <v>0.7</v>
      </c>
      <c r="J99">
        <v>0.7</v>
      </c>
      <c r="K99" s="225">
        <v>0.05</v>
      </c>
    </row>
    <row r="100" spans="4:11" x14ac:dyDescent="0.15">
      <c r="D100">
        <v>99</v>
      </c>
      <c r="E100" t="s">
        <v>319</v>
      </c>
      <c r="F100">
        <v>0.995</v>
      </c>
      <c r="G100">
        <v>0.5</v>
      </c>
      <c r="H100">
        <v>0.6</v>
      </c>
      <c r="I100">
        <v>0.7</v>
      </c>
      <c r="J100">
        <v>0.7</v>
      </c>
      <c r="K100" s="225">
        <v>0.05</v>
      </c>
    </row>
    <row r="101" spans="4:11" x14ac:dyDescent="0.15">
      <c r="D101">
        <v>100</v>
      </c>
      <c r="E101" t="s">
        <v>320</v>
      </c>
      <c r="F101">
        <v>0.995</v>
      </c>
      <c r="G101">
        <v>0.1</v>
      </c>
      <c r="H101">
        <v>0.6</v>
      </c>
      <c r="I101">
        <v>0.7</v>
      </c>
      <c r="J101">
        <v>0.7</v>
      </c>
      <c r="K101" s="225">
        <v>0.05</v>
      </c>
    </row>
    <row r="102" spans="4:11" x14ac:dyDescent="0.15">
      <c r="D102">
        <v>101</v>
      </c>
      <c r="E102" t="s">
        <v>321</v>
      </c>
      <c r="F102">
        <v>0.995</v>
      </c>
      <c r="G102">
        <v>0.5</v>
      </c>
      <c r="H102">
        <v>0.6</v>
      </c>
      <c r="I102">
        <v>0.7</v>
      </c>
      <c r="J102">
        <v>0.7</v>
      </c>
      <c r="K102" s="225">
        <v>0.05</v>
      </c>
    </row>
    <row r="103" spans="4:11" x14ac:dyDescent="0.15">
      <c r="D103">
        <v>102</v>
      </c>
      <c r="E103" t="s">
        <v>322</v>
      </c>
      <c r="F103">
        <v>0.995</v>
      </c>
      <c r="G103">
        <v>0.8</v>
      </c>
      <c r="H103">
        <v>0.6</v>
      </c>
      <c r="I103">
        <v>0.7</v>
      </c>
      <c r="J103">
        <v>0.7</v>
      </c>
      <c r="K103" s="225">
        <v>0.05</v>
      </c>
    </row>
    <row r="104" spans="4:11" x14ac:dyDescent="0.15">
      <c r="D104">
        <v>103</v>
      </c>
      <c r="E104" t="s">
        <v>323</v>
      </c>
      <c r="F104">
        <v>0.995</v>
      </c>
      <c r="G104">
        <v>0.8</v>
      </c>
      <c r="H104">
        <v>0.6</v>
      </c>
      <c r="I104">
        <v>0.7</v>
      </c>
      <c r="J104">
        <v>0.7</v>
      </c>
      <c r="K104" s="225">
        <v>0.05</v>
      </c>
    </row>
    <row r="105" spans="4:11" x14ac:dyDescent="0.15">
      <c r="D105">
        <v>104</v>
      </c>
      <c r="E105" t="s">
        <v>324</v>
      </c>
      <c r="F105">
        <v>0.995</v>
      </c>
      <c r="G105">
        <v>0.8</v>
      </c>
      <c r="H105">
        <v>0.6</v>
      </c>
      <c r="I105">
        <v>0.7</v>
      </c>
      <c r="J105">
        <v>0.7</v>
      </c>
      <c r="K105" s="225">
        <v>0.05</v>
      </c>
    </row>
    <row r="106" spans="4:11" x14ac:dyDescent="0.15">
      <c r="D106">
        <v>105</v>
      </c>
      <c r="E106" t="s">
        <v>325</v>
      </c>
      <c r="F106">
        <v>0.995</v>
      </c>
      <c r="G106">
        <v>0.5</v>
      </c>
      <c r="H106">
        <v>0.6</v>
      </c>
      <c r="I106">
        <v>0.6</v>
      </c>
      <c r="J106">
        <v>0.6</v>
      </c>
      <c r="K106" s="225">
        <v>0.05</v>
      </c>
    </row>
    <row r="107" spans="4:11" x14ac:dyDescent="0.15">
      <c r="D107">
        <v>106</v>
      </c>
      <c r="E107" t="s">
        <v>326</v>
      </c>
      <c r="F107">
        <v>0.995</v>
      </c>
      <c r="G107">
        <v>0.8</v>
      </c>
      <c r="H107">
        <v>0.7</v>
      </c>
      <c r="I107">
        <v>0.7</v>
      </c>
      <c r="J107">
        <v>0.7</v>
      </c>
      <c r="K107" s="225">
        <v>0.05</v>
      </c>
    </row>
    <row r="108" spans="4:11" x14ac:dyDescent="0.15">
      <c r="D108">
        <v>107</v>
      </c>
      <c r="E108" t="s">
        <v>327</v>
      </c>
      <c r="F108">
        <v>0.995</v>
      </c>
      <c r="G108">
        <v>0.8</v>
      </c>
      <c r="H108">
        <v>0.7</v>
      </c>
      <c r="I108">
        <v>0.7</v>
      </c>
      <c r="J108">
        <v>0.7</v>
      </c>
      <c r="K108" s="225">
        <v>0.05</v>
      </c>
    </row>
    <row r="109" spans="4:11" x14ac:dyDescent="0.15">
      <c r="D109">
        <v>108</v>
      </c>
      <c r="E109" t="s">
        <v>328</v>
      </c>
      <c r="F109">
        <v>0.995</v>
      </c>
      <c r="G109">
        <v>0.8</v>
      </c>
      <c r="H109">
        <v>0.6</v>
      </c>
      <c r="I109">
        <v>0.6</v>
      </c>
      <c r="J109">
        <v>0.6</v>
      </c>
      <c r="K109" s="225">
        <v>0.05</v>
      </c>
    </row>
    <row r="110" spans="4:11" x14ac:dyDescent="0.15">
      <c r="D110">
        <v>109</v>
      </c>
      <c r="E110" t="s">
        <v>329</v>
      </c>
      <c r="F110">
        <v>0.995</v>
      </c>
      <c r="G110">
        <v>0.8</v>
      </c>
      <c r="H110">
        <v>0.7</v>
      </c>
      <c r="I110">
        <v>0.7</v>
      </c>
      <c r="J110">
        <v>0.7</v>
      </c>
      <c r="K110" s="225">
        <v>0.05</v>
      </c>
    </row>
    <row r="111" spans="4:11" x14ac:dyDescent="0.15">
      <c r="D111">
        <v>110</v>
      </c>
      <c r="E111" t="s">
        <v>330</v>
      </c>
      <c r="F111">
        <v>0.995</v>
      </c>
      <c r="G111">
        <v>0.8</v>
      </c>
      <c r="H111">
        <v>0.6</v>
      </c>
      <c r="I111">
        <v>0.6</v>
      </c>
      <c r="J111">
        <v>0.6</v>
      </c>
      <c r="K111" s="225">
        <v>0.05</v>
      </c>
    </row>
    <row r="112" spans="4:11" x14ac:dyDescent="0.15">
      <c r="D112">
        <v>111</v>
      </c>
      <c r="E112" t="s">
        <v>331</v>
      </c>
      <c r="F112">
        <v>0.995</v>
      </c>
      <c r="G112">
        <v>0.8</v>
      </c>
      <c r="H112">
        <v>0.7</v>
      </c>
      <c r="I112">
        <v>0.7</v>
      </c>
      <c r="J112">
        <v>0.7</v>
      </c>
      <c r="K112" s="225">
        <v>0.05</v>
      </c>
    </row>
    <row r="113" spans="4:11" x14ac:dyDescent="0.15">
      <c r="D113">
        <v>112</v>
      </c>
      <c r="E113" t="s">
        <v>332</v>
      </c>
      <c r="F113">
        <v>0.995</v>
      </c>
      <c r="G113">
        <v>0.8</v>
      </c>
      <c r="H113">
        <v>0.7</v>
      </c>
      <c r="I113">
        <v>0.7</v>
      </c>
      <c r="J113">
        <v>0.7</v>
      </c>
      <c r="K113" s="225">
        <v>0.05</v>
      </c>
    </row>
    <row r="114" spans="4:11" x14ac:dyDescent="0.15">
      <c r="D114">
        <v>113</v>
      </c>
      <c r="E114" t="s">
        <v>333</v>
      </c>
      <c r="F114">
        <v>0.995</v>
      </c>
      <c r="G114">
        <v>0.8</v>
      </c>
      <c r="H114">
        <v>0.7</v>
      </c>
      <c r="I114">
        <v>0.6</v>
      </c>
      <c r="J114">
        <v>0.6</v>
      </c>
      <c r="K114" s="225">
        <v>0.05</v>
      </c>
    </row>
    <row r="115" spans="4:11" x14ac:dyDescent="0.15">
      <c r="D115">
        <v>114</v>
      </c>
      <c r="E115" t="s">
        <v>334</v>
      </c>
      <c r="F115">
        <v>0.995</v>
      </c>
      <c r="G115">
        <v>0.8</v>
      </c>
      <c r="H115">
        <v>0.7</v>
      </c>
      <c r="I115">
        <v>0.7</v>
      </c>
      <c r="J115">
        <v>0.7</v>
      </c>
      <c r="K115" s="225">
        <v>0.05</v>
      </c>
    </row>
    <row r="116" spans="4:11" x14ac:dyDescent="0.15">
      <c r="D116">
        <v>115</v>
      </c>
      <c r="E116" t="s">
        <v>335</v>
      </c>
      <c r="F116">
        <v>0.995</v>
      </c>
      <c r="G116">
        <v>0.8</v>
      </c>
      <c r="H116">
        <v>0.7</v>
      </c>
      <c r="I116">
        <v>0.7</v>
      </c>
      <c r="J116">
        <v>0.7</v>
      </c>
      <c r="K116" s="225">
        <v>0.05</v>
      </c>
    </row>
    <row r="117" spans="4:11" x14ac:dyDescent="0.15">
      <c r="D117">
        <v>116</v>
      </c>
      <c r="E117" t="s">
        <v>336</v>
      </c>
      <c r="F117">
        <v>0.995</v>
      </c>
      <c r="G117">
        <v>0.8</v>
      </c>
      <c r="H117">
        <v>0.7</v>
      </c>
      <c r="I117">
        <v>0.7</v>
      </c>
      <c r="J117">
        <v>0.7</v>
      </c>
      <c r="K117" s="225">
        <v>0.05</v>
      </c>
    </row>
    <row r="118" spans="4:11" x14ac:dyDescent="0.15">
      <c r="D118">
        <v>117</v>
      </c>
      <c r="E118" t="s">
        <v>337</v>
      </c>
      <c r="F118">
        <v>0.995</v>
      </c>
      <c r="G118">
        <v>0.8</v>
      </c>
      <c r="H118">
        <v>0.5</v>
      </c>
      <c r="I118">
        <v>0</v>
      </c>
      <c r="J118">
        <v>0</v>
      </c>
      <c r="K118" s="225">
        <v>0.05</v>
      </c>
    </row>
    <row r="119" spans="4:11" x14ac:dyDescent="0.15">
      <c r="D119">
        <v>118</v>
      </c>
      <c r="E119" t="s">
        <v>338</v>
      </c>
      <c r="F119">
        <v>0.995</v>
      </c>
      <c r="G119">
        <v>0.8</v>
      </c>
      <c r="H119">
        <v>0.5</v>
      </c>
      <c r="I119">
        <v>0</v>
      </c>
      <c r="J119">
        <v>0</v>
      </c>
      <c r="K119" s="225">
        <v>0.05</v>
      </c>
    </row>
    <row r="120" spans="4:11" x14ac:dyDescent="0.15">
      <c r="D120">
        <v>119</v>
      </c>
      <c r="E120" t="s">
        <v>339</v>
      </c>
      <c r="F120">
        <v>0.995</v>
      </c>
      <c r="G120">
        <v>0.8</v>
      </c>
      <c r="H120">
        <v>0</v>
      </c>
      <c r="I120">
        <v>0</v>
      </c>
      <c r="J120">
        <v>0</v>
      </c>
      <c r="K120" s="225">
        <v>0.05</v>
      </c>
    </row>
    <row r="121" spans="4:11" x14ac:dyDescent="0.15">
      <c r="D121">
        <v>120</v>
      </c>
      <c r="E121" t="s">
        <v>340</v>
      </c>
      <c r="F121">
        <v>0.995</v>
      </c>
      <c r="G121">
        <v>0.8</v>
      </c>
      <c r="H121">
        <v>0</v>
      </c>
      <c r="I121">
        <v>0</v>
      </c>
      <c r="J121">
        <v>0</v>
      </c>
      <c r="K121" s="225">
        <v>0.05</v>
      </c>
    </row>
    <row r="122" spans="4:11" x14ac:dyDescent="0.15">
      <c r="D122">
        <v>121</v>
      </c>
      <c r="E122" t="s">
        <v>341</v>
      </c>
      <c r="F122">
        <v>0.995</v>
      </c>
      <c r="G122">
        <v>0.8</v>
      </c>
      <c r="H122">
        <v>0</v>
      </c>
      <c r="I122">
        <v>0</v>
      </c>
      <c r="J122">
        <v>0</v>
      </c>
      <c r="K122" s="225">
        <v>0.05</v>
      </c>
    </row>
    <row r="123" spans="4:11" x14ac:dyDescent="0.15">
      <c r="D123">
        <v>122</v>
      </c>
      <c r="E123" t="s">
        <v>342</v>
      </c>
      <c r="F123">
        <v>0.995</v>
      </c>
      <c r="G123">
        <v>0.8</v>
      </c>
      <c r="H123">
        <v>0</v>
      </c>
      <c r="I123">
        <v>0</v>
      </c>
      <c r="J123">
        <v>0</v>
      </c>
      <c r="K123" s="225">
        <v>0.05</v>
      </c>
    </row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EG139"/>
  <sheetViews>
    <sheetView topLeftCell="A115" workbookViewId="0">
      <selection activeCell="A128" sqref="A128"/>
    </sheetView>
  </sheetViews>
  <sheetFormatPr baseColWidth="10" defaultRowHeight="13" x14ac:dyDescent="0.15"/>
  <cols>
    <col min="1" max="1" width="39.83203125" style="226" bestFit="1" customWidth="1"/>
    <col min="2" max="22" width="10.83203125" style="226"/>
    <col min="23" max="26" width="10.83203125" style="225"/>
    <col min="27" max="123" width="10.83203125" style="226"/>
    <col min="138" max="16384" width="10.83203125" style="226"/>
  </cols>
  <sheetData>
    <row r="1" spans="1:123" x14ac:dyDescent="0.15">
      <c r="A1" s="208" t="s">
        <v>119</v>
      </c>
      <c r="B1" s="226" t="s">
        <v>225</v>
      </c>
      <c r="C1" s="226" t="s">
        <v>226</v>
      </c>
      <c r="D1" s="226" t="s">
        <v>227</v>
      </c>
      <c r="E1" s="226" t="s">
        <v>228</v>
      </c>
      <c r="F1" s="226" t="s">
        <v>229</v>
      </c>
      <c r="G1" s="226" t="s">
        <v>230</v>
      </c>
      <c r="H1" s="226" t="s">
        <v>231</v>
      </c>
      <c r="I1" s="226" t="s">
        <v>232</v>
      </c>
      <c r="J1" s="226" t="s">
        <v>233</v>
      </c>
      <c r="K1" s="226" t="s">
        <v>234</v>
      </c>
      <c r="L1" s="226" t="s">
        <v>235</v>
      </c>
      <c r="M1" s="226" t="s">
        <v>236</v>
      </c>
      <c r="N1" s="226" t="s">
        <v>237</v>
      </c>
      <c r="O1" s="226" t="s">
        <v>238</v>
      </c>
      <c r="P1" s="226" t="s">
        <v>239</v>
      </c>
      <c r="Q1" s="226" t="s">
        <v>240</v>
      </c>
      <c r="R1" s="226" t="s">
        <v>241</v>
      </c>
      <c r="S1" s="226" t="s">
        <v>242</v>
      </c>
      <c r="T1" s="226" t="s">
        <v>243</v>
      </c>
      <c r="U1" s="226" t="s">
        <v>244</v>
      </c>
      <c r="V1" s="226" t="s">
        <v>245</v>
      </c>
      <c r="W1" s="3" t="s">
        <v>246</v>
      </c>
      <c r="X1" s="3" t="s">
        <v>247</v>
      </c>
      <c r="Y1" s="225" t="s">
        <v>248</v>
      </c>
      <c r="Z1" s="225" t="s">
        <v>249</v>
      </c>
      <c r="AA1" s="226" t="s">
        <v>250</v>
      </c>
      <c r="AB1" s="226" t="s">
        <v>251</v>
      </c>
      <c r="AC1" s="226" t="s">
        <v>252</v>
      </c>
      <c r="AD1" s="226" t="s">
        <v>253</v>
      </c>
      <c r="AE1" s="226" t="s">
        <v>254</v>
      </c>
      <c r="AF1" s="226" t="s">
        <v>177</v>
      </c>
      <c r="AG1" s="226" t="s">
        <v>255</v>
      </c>
      <c r="AH1" s="226" t="s">
        <v>256</v>
      </c>
      <c r="AI1" s="226" t="s">
        <v>257</v>
      </c>
      <c r="AJ1" s="226" t="s">
        <v>178</v>
      </c>
      <c r="AK1" s="226" t="s">
        <v>258</v>
      </c>
      <c r="AL1" s="226" t="s">
        <v>179</v>
      </c>
      <c r="AM1" s="226" t="s">
        <v>259</v>
      </c>
      <c r="AN1" s="226" t="s">
        <v>260</v>
      </c>
      <c r="AO1" s="226" t="s">
        <v>261</v>
      </c>
      <c r="AP1" s="226" t="s">
        <v>262</v>
      </c>
      <c r="AQ1" s="226" t="s">
        <v>263</v>
      </c>
      <c r="AR1" s="226" t="s">
        <v>264</v>
      </c>
      <c r="AS1" s="226" t="s">
        <v>265</v>
      </c>
      <c r="AT1" s="226" t="s">
        <v>266</v>
      </c>
      <c r="AU1" s="226" t="s">
        <v>267</v>
      </c>
      <c r="AV1" s="226" t="s">
        <v>268</v>
      </c>
      <c r="AW1" s="226" t="s">
        <v>269</v>
      </c>
      <c r="AX1" s="226" t="s">
        <v>270</v>
      </c>
      <c r="AY1" s="226" t="s">
        <v>271</v>
      </c>
      <c r="AZ1" s="226" t="s">
        <v>272</v>
      </c>
      <c r="BA1" s="226" t="s">
        <v>273</v>
      </c>
      <c r="BB1" s="226" t="s">
        <v>274</v>
      </c>
      <c r="BC1" s="226" t="s">
        <v>275</v>
      </c>
      <c r="BD1" s="226" t="s">
        <v>276</v>
      </c>
      <c r="BE1" s="226" t="s">
        <v>277</v>
      </c>
      <c r="BF1" s="226" t="s">
        <v>278</v>
      </c>
      <c r="BG1" s="226" t="s">
        <v>279</v>
      </c>
      <c r="BH1" s="226" t="s">
        <v>280</v>
      </c>
      <c r="BI1" s="226" t="s">
        <v>281</v>
      </c>
      <c r="BJ1" s="226" t="s">
        <v>282</v>
      </c>
      <c r="BK1" s="226" t="s">
        <v>283</v>
      </c>
      <c r="BL1" s="226" t="s">
        <v>284</v>
      </c>
      <c r="BM1" s="226" t="s">
        <v>285</v>
      </c>
      <c r="BN1" s="226" t="s">
        <v>286</v>
      </c>
      <c r="BO1" s="226" t="s">
        <v>287</v>
      </c>
      <c r="BP1" s="226" t="s">
        <v>288</v>
      </c>
      <c r="BQ1" s="226" t="s">
        <v>289</v>
      </c>
      <c r="BR1" s="226" t="s">
        <v>290</v>
      </c>
      <c r="BS1" s="226" t="s">
        <v>291</v>
      </c>
      <c r="BT1" s="226" t="s">
        <v>180</v>
      </c>
      <c r="BU1" s="226" t="s">
        <v>292</v>
      </c>
      <c r="BV1" s="226" t="s">
        <v>293</v>
      </c>
      <c r="BW1" s="226" t="s">
        <v>294</v>
      </c>
      <c r="BX1" s="226" t="s">
        <v>295</v>
      </c>
      <c r="BY1" s="226" t="s">
        <v>296</v>
      </c>
      <c r="BZ1" s="226" t="s">
        <v>297</v>
      </c>
      <c r="CA1" s="226" t="s">
        <v>298</v>
      </c>
      <c r="CB1" s="226" t="s">
        <v>299</v>
      </c>
      <c r="CC1" s="226" t="s">
        <v>300</v>
      </c>
      <c r="CD1" s="226" t="s">
        <v>301</v>
      </c>
      <c r="CE1" s="226" t="s">
        <v>302</v>
      </c>
      <c r="CF1" s="226" t="s">
        <v>303</v>
      </c>
      <c r="CG1" s="226" t="s">
        <v>304</v>
      </c>
      <c r="CH1" s="226" t="s">
        <v>305</v>
      </c>
      <c r="CI1" s="226" t="s">
        <v>306</v>
      </c>
      <c r="CJ1" s="226" t="s">
        <v>307</v>
      </c>
      <c r="CK1" s="226" t="s">
        <v>308</v>
      </c>
      <c r="CL1" s="226" t="s">
        <v>309</v>
      </c>
      <c r="CM1" s="226" t="s">
        <v>310</v>
      </c>
      <c r="CN1" s="226" t="s">
        <v>311</v>
      </c>
      <c r="CO1" s="226" t="s">
        <v>312</v>
      </c>
      <c r="CP1" s="226" t="s">
        <v>313</v>
      </c>
      <c r="CQ1" s="226" t="s">
        <v>314</v>
      </c>
      <c r="CR1" s="226" t="s">
        <v>315</v>
      </c>
      <c r="CS1" s="226" t="s">
        <v>316</v>
      </c>
      <c r="CT1" s="226" t="s">
        <v>317</v>
      </c>
      <c r="CU1" s="226" t="s">
        <v>318</v>
      </c>
      <c r="CV1" s="226" t="s">
        <v>319</v>
      </c>
      <c r="CW1" s="226" t="s">
        <v>320</v>
      </c>
      <c r="CX1" s="226" t="s">
        <v>321</v>
      </c>
      <c r="CY1" s="226" t="s">
        <v>322</v>
      </c>
      <c r="CZ1" s="226" t="s">
        <v>323</v>
      </c>
      <c r="DA1" s="226" t="s">
        <v>324</v>
      </c>
      <c r="DB1" s="226" t="s">
        <v>325</v>
      </c>
      <c r="DC1" s="226" t="s">
        <v>326</v>
      </c>
      <c r="DD1" s="226" t="s">
        <v>327</v>
      </c>
      <c r="DE1" s="226" t="s">
        <v>328</v>
      </c>
      <c r="DF1" s="226" t="s">
        <v>329</v>
      </c>
      <c r="DG1" s="226" t="s">
        <v>330</v>
      </c>
      <c r="DH1" s="226" t="s">
        <v>331</v>
      </c>
      <c r="DI1" s="226" t="s">
        <v>332</v>
      </c>
      <c r="DJ1" s="226" t="s">
        <v>333</v>
      </c>
      <c r="DK1" s="226" t="s">
        <v>334</v>
      </c>
      <c r="DL1" s="226" t="s">
        <v>335</v>
      </c>
      <c r="DM1" s="226" t="s">
        <v>336</v>
      </c>
      <c r="DN1" s="226" t="s">
        <v>337</v>
      </c>
      <c r="DO1" s="226" t="s">
        <v>338</v>
      </c>
      <c r="DP1" s="226" t="s">
        <v>339</v>
      </c>
      <c r="DQ1" s="226" t="s">
        <v>340</v>
      </c>
      <c r="DR1" s="226" t="s">
        <v>341</v>
      </c>
      <c r="DS1" s="226" t="s">
        <v>342</v>
      </c>
    </row>
    <row r="2" spans="1:123" x14ac:dyDescent="0.15">
      <c r="A2" s="156" t="s">
        <v>225</v>
      </c>
      <c r="B2">
        <v>0.8</v>
      </c>
      <c r="C2" s="226">
        <v>0.8</v>
      </c>
      <c r="D2" s="226">
        <v>0.8</v>
      </c>
      <c r="E2" s="226">
        <v>0.8</v>
      </c>
      <c r="F2" s="226">
        <v>0.8</v>
      </c>
      <c r="G2" s="226">
        <v>0.8</v>
      </c>
      <c r="H2" s="226">
        <v>0.8</v>
      </c>
      <c r="I2" s="226">
        <v>0.8</v>
      </c>
      <c r="J2" s="226">
        <v>0.8</v>
      </c>
      <c r="K2" s="226">
        <v>0.8</v>
      </c>
      <c r="L2" s="226">
        <v>0.8</v>
      </c>
      <c r="M2" s="226">
        <v>0.7</v>
      </c>
      <c r="N2" s="226">
        <v>0.7</v>
      </c>
      <c r="O2" s="226">
        <v>0.6</v>
      </c>
      <c r="P2" s="226">
        <v>0.6</v>
      </c>
      <c r="Q2" s="226">
        <v>0.7</v>
      </c>
      <c r="R2" s="226">
        <v>0.8</v>
      </c>
      <c r="S2" s="226">
        <v>0.8</v>
      </c>
      <c r="T2" s="226">
        <v>0.8</v>
      </c>
      <c r="U2" s="226">
        <v>0.8</v>
      </c>
      <c r="V2" s="226">
        <v>0.8</v>
      </c>
      <c r="W2" s="225">
        <v>0.8</v>
      </c>
      <c r="X2" s="225">
        <v>0.8</v>
      </c>
      <c r="Y2" s="225">
        <v>0.8</v>
      </c>
      <c r="Z2" s="225">
        <v>0.8</v>
      </c>
      <c r="AA2" s="226">
        <v>0.8</v>
      </c>
      <c r="AB2" s="226">
        <v>0.6</v>
      </c>
      <c r="AC2" s="226">
        <v>0.8</v>
      </c>
      <c r="AD2" s="226">
        <v>0.8</v>
      </c>
      <c r="AE2" s="226">
        <v>0.1</v>
      </c>
      <c r="AF2" s="226">
        <v>0.1</v>
      </c>
      <c r="AG2" s="226">
        <v>0.1</v>
      </c>
      <c r="AH2" s="226">
        <v>0.1</v>
      </c>
      <c r="AI2" s="226">
        <v>0.8</v>
      </c>
      <c r="AJ2" s="226">
        <v>0.7</v>
      </c>
      <c r="AK2" s="226">
        <v>0.1</v>
      </c>
      <c r="AL2" s="226">
        <v>0.3</v>
      </c>
      <c r="AM2" s="226">
        <v>0.1</v>
      </c>
      <c r="AN2" s="226">
        <v>0.1</v>
      </c>
      <c r="AO2" s="226">
        <v>0.1</v>
      </c>
      <c r="AP2" s="226">
        <v>0.1</v>
      </c>
      <c r="AQ2" s="226">
        <v>0.1</v>
      </c>
      <c r="AR2" s="226">
        <v>0.1</v>
      </c>
      <c r="AS2" s="226">
        <v>0.1</v>
      </c>
      <c r="AT2" s="226">
        <v>0.7</v>
      </c>
      <c r="AU2" s="226">
        <v>0.3</v>
      </c>
      <c r="AV2" s="226">
        <v>0.3</v>
      </c>
      <c r="AW2" s="226">
        <v>0.3</v>
      </c>
      <c r="AX2" s="226">
        <v>0.8</v>
      </c>
      <c r="AY2" s="226">
        <v>0.8</v>
      </c>
      <c r="AZ2" s="226">
        <v>0.8</v>
      </c>
      <c r="BA2" s="226">
        <v>0.6</v>
      </c>
      <c r="BB2" s="226">
        <v>0.6</v>
      </c>
      <c r="BC2" s="226">
        <v>0.8</v>
      </c>
      <c r="BD2" s="226">
        <v>0.7</v>
      </c>
      <c r="BE2" s="226">
        <v>0.8</v>
      </c>
      <c r="BF2" s="226">
        <v>0.1</v>
      </c>
      <c r="BG2" s="226">
        <v>0.1</v>
      </c>
      <c r="BH2" s="226">
        <v>0.3</v>
      </c>
      <c r="BI2" s="226">
        <v>0.3</v>
      </c>
      <c r="BJ2" s="226">
        <v>0.3</v>
      </c>
      <c r="BK2" s="226">
        <v>0.3</v>
      </c>
      <c r="BL2" s="226">
        <v>0.3</v>
      </c>
      <c r="BM2" s="226">
        <v>0.3</v>
      </c>
      <c r="BN2" s="226">
        <v>0.7</v>
      </c>
      <c r="BO2" s="226">
        <v>0.7</v>
      </c>
      <c r="BP2" s="226">
        <v>0.8</v>
      </c>
      <c r="BQ2" s="226">
        <v>0.8</v>
      </c>
      <c r="BR2" s="226">
        <v>0.7</v>
      </c>
      <c r="BS2" s="226">
        <v>0.7</v>
      </c>
      <c r="BT2" s="226">
        <v>0.7</v>
      </c>
      <c r="BU2" s="226">
        <v>0.7</v>
      </c>
      <c r="BV2" s="226">
        <v>0.8</v>
      </c>
      <c r="BW2" s="226">
        <v>0.8</v>
      </c>
      <c r="BX2" s="226">
        <v>0.7</v>
      </c>
      <c r="BY2" s="226">
        <v>0.8</v>
      </c>
      <c r="BZ2" s="226">
        <v>0.8</v>
      </c>
      <c r="CA2" s="226">
        <v>0.8</v>
      </c>
      <c r="CB2" s="226">
        <v>0.8</v>
      </c>
      <c r="CC2" s="226">
        <v>0.8</v>
      </c>
      <c r="CD2" s="226">
        <v>0.8</v>
      </c>
      <c r="CE2" s="226">
        <v>0.8</v>
      </c>
      <c r="CF2" s="226">
        <v>0.8</v>
      </c>
      <c r="CG2" s="226">
        <v>0.8</v>
      </c>
      <c r="CH2" s="226">
        <v>0.8</v>
      </c>
      <c r="CI2" s="226">
        <v>0.8</v>
      </c>
      <c r="CJ2" s="226">
        <v>0.8</v>
      </c>
      <c r="CK2" s="226">
        <v>0.8</v>
      </c>
      <c r="CL2" s="226">
        <v>0.8</v>
      </c>
      <c r="CM2" s="226">
        <v>0.8</v>
      </c>
      <c r="CN2" s="226">
        <v>0.8</v>
      </c>
      <c r="CO2" s="226">
        <v>0.8</v>
      </c>
      <c r="CP2" s="226">
        <v>0.8</v>
      </c>
      <c r="CQ2" s="226">
        <v>0.8</v>
      </c>
      <c r="CR2" s="226">
        <v>0.8</v>
      </c>
      <c r="CS2" s="226">
        <v>0.8</v>
      </c>
      <c r="CT2" s="226">
        <v>0.8</v>
      </c>
      <c r="CU2" s="226">
        <v>0.8</v>
      </c>
      <c r="CV2" s="226">
        <v>0.8</v>
      </c>
      <c r="CW2" s="226">
        <v>0.8</v>
      </c>
      <c r="CX2" s="226">
        <v>0.8</v>
      </c>
      <c r="CY2" s="226">
        <v>0.8</v>
      </c>
      <c r="CZ2" s="226">
        <v>0.8</v>
      </c>
      <c r="DA2" s="226">
        <v>0.8</v>
      </c>
      <c r="DB2" s="226">
        <v>0.8</v>
      </c>
      <c r="DC2" s="226">
        <v>0.8</v>
      </c>
      <c r="DD2" s="226">
        <v>0.8</v>
      </c>
      <c r="DE2" s="226">
        <v>0.8</v>
      </c>
      <c r="DF2" s="226">
        <v>0.8</v>
      </c>
      <c r="DG2" s="226">
        <v>0.8</v>
      </c>
      <c r="DH2" s="226">
        <v>0.8</v>
      </c>
      <c r="DI2" s="226">
        <v>0.8</v>
      </c>
      <c r="DJ2" s="226">
        <v>0.8</v>
      </c>
      <c r="DK2" s="226">
        <v>0.8</v>
      </c>
      <c r="DL2" s="226">
        <v>0.1</v>
      </c>
      <c r="DM2" s="226">
        <v>0</v>
      </c>
      <c r="DN2" s="226">
        <v>0</v>
      </c>
      <c r="DO2" s="226">
        <v>0</v>
      </c>
      <c r="DP2" s="226">
        <v>0</v>
      </c>
      <c r="DQ2" s="226">
        <v>0</v>
      </c>
      <c r="DR2" s="226">
        <v>0</v>
      </c>
      <c r="DS2" s="226">
        <v>0</v>
      </c>
    </row>
    <row r="3" spans="1:123" x14ac:dyDescent="0.15">
      <c r="A3" s="156" t="s">
        <v>226</v>
      </c>
      <c r="B3">
        <v>0.8</v>
      </c>
      <c r="C3" s="226">
        <v>0.8</v>
      </c>
      <c r="D3" s="226">
        <v>0.8</v>
      </c>
      <c r="E3" s="226">
        <v>0.8</v>
      </c>
      <c r="F3" s="226">
        <v>0.8</v>
      </c>
      <c r="G3" s="226">
        <v>0.8</v>
      </c>
      <c r="H3" s="226">
        <v>0.8</v>
      </c>
      <c r="I3" s="226">
        <v>0.8</v>
      </c>
      <c r="J3" s="226">
        <v>0.8</v>
      </c>
      <c r="K3" s="226">
        <v>0.8</v>
      </c>
      <c r="L3" s="226">
        <v>0.8</v>
      </c>
      <c r="M3" s="226">
        <v>0.7</v>
      </c>
      <c r="N3" s="226">
        <v>0.7</v>
      </c>
      <c r="O3" s="226">
        <v>0.6</v>
      </c>
      <c r="P3" s="226">
        <v>0.6</v>
      </c>
      <c r="Q3" s="226">
        <v>0.7</v>
      </c>
      <c r="R3" s="226">
        <v>0.8</v>
      </c>
      <c r="S3" s="226">
        <v>0.8</v>
      </c>
      <c r="T3" s="226">
        <v>0.8</v>
      </c>
      <c r="U3" s="226">
        <v>0.8</v>
      </c>
      <c r="V3" s="226">
        <v>0.8</v>
      </c>
      <c r="W3" s="225">
        <v>0.8</v>
      </c>
      <c r="X3" s="225">
        <v>0.8</v>
      </c>
      <c r="Y3" s="225">
        <v>0.8</v>
      </c>
      <c r="Z3" s="225">
        <v>0.8</v>
      </c>
      <c r="AA3" s="226">
        <v>0.8</v>
      </c>
      <c r="AB3" s="226">
        <v>0.6</v>
      </c>
      <c r="AC3" s="226">
        <v>0.8</v>
      </c>
      <c r="AD3" s="226">
        <v>0.8</v>
      </c>
      <c r="AE3" s="226">
        <v>0.1</v>
      </c>
      <c r="AF3" s="226">
        <v>0.1</v>
      </c>
      <c r="AG3" s="226">
        <v>0.1</v>
      </c>
      <c r="AH3" s="226">
        <v>0.1</v>
      </c>
      <c r="AI3" s="226">
        <v>0.8</v>
      </c>
      <c r="AJ3" s="226">
        <v>0.7</v>
      </c>
      <c r="AK3" s="226">
        <v>0.1</v>
      </c>
      <c r="AL3" s="226">
        <v>0.3</v>
      </c>
      <c r="AM3" s="226">
        <v>0.1</v>
      </c>
      <c r="AN3" s="226">
        <v>0.1</v>
      </c>
      <c r="AO3" s="226">
        <v>0.1</v>
      </c>
      <c r="AP3" s="226">
        <v>0.1</v>
      </c>
      <c r="AQ3" s="226">
        <v>0.1</v>
      </c>
      <c r="AR3" s="226">
        <v>0.1</v>
      </c>
      <c r="AS3" s="226">
        <v>0.1</v>
      </c>
      <c r="AT3" s="226">
        <v>0.7</v>
      </c>
      <c r="AU3" s="226">
        <v>0.3</v>
      </c>
      <c r="AV3" s="226">
        <v>0.3</v>
      </c>
      <c r="AW3" s="226">
        <v>0.3</v>
      </c>
      <c r="AX3" s="226">
        <v>0.8</v>
      </c>
      <c r="AY3" s="226">
        <v>0.8</v>
      </c>
      <c r="AZ3" s="226">
        <v>0.8</v>
      </c>
      <c r="BA3" s="226">
        <v>0.6</v>
      </c>
      <c r="BB3" s="226">
        <v>0.6</v>
      </c>
      <c r="BC3" s="226">
        <v>0.8</v>
      </c>
      <c r="BD3" s="226">
        <v>0.7</v>
      </c>
      <c r="BE3" s="226">
        <v>0.8</v>
      </c>
      <c r="BF3" s="226">
        <v>0.1</v>
      </c>
      <c r="BG3" s="226">
        <v>0.1</v>
      </c>
      <c r="BH3" s="226">
        <v>0.3</v>
      </c>
      <c r="BI3" s="226">
        <v>0.3</v>
      </c>
      <c r="BJ3" s="226">
        <v>0.3</v>
      </c>
      <c r="BK3" s="226">
        <v>0.3</v>
      </c>
      <c r="BL3" s="226">
        <v>0.3</v>
      </c>
      <c r="BM3" s="226">
        <v>0.3</v>
      </c>
      <c r="BN3" s="226">
        <v>0.7</v>
      </c>
      <c r="BO3" s="226">
        <v>0.7</v>
      </c>
      <c r="BP3" s="226">
        <v>0.8</v>
      </c>
      <c r="BQ3" s="226">
        <v>0.8</v>
      </c>
      <c r="BR3" s="226">
        <v>0.7</v>
      </c>
      <c r="BS3" s="226">
        <v>0.7</v>
      </c>
      <c r="BT3" s="226">
        <v>0.7</v>
      </c>
      <c r="BU3" s="226">
        <v>0.7</v>
      </c>
      <c r="BV3" s="226">
        <v>0.8</v>
      </c>
      <c r="BW3" s="226">
        <v>0.8</v>
      </c>
      <c r="BX3" s="226">
        <v>0.7</v>
      </c>
      <c r="BY3" s="226">
        <v>0.8</v>
      </c>
      <c r="BZ3" s="226">
        <v>0.8</v>
      </c>
      <c r="CA3" s="226">
        <v>0.8</v>
      </c>
      <c r="CB3" s="226">
        <v>0.8</v>
      </c>
      <c r="CC3" s="226">
        <v>0.8</v>
      </c>
      <c r="CD3" s="226">
        <v>0.8</v>
      </c>
      <c r="CE3" s="226">
        <v>0.8</v>
      </c>
      <c r="CF3" s="226">
        <v>0.8</v>
      </c>
      <c r="CG3" s="226">
        <v>0.8</v>
      </c>
      <c r="CH3" s="226">
        <v>0.8</v>
      </c>
      <c r="CI3" s="226">
        <v>0.8</v>
      </c>
      <c r="CJ3" s="226">
        <v>0.8</v>
      </c>
      <c r="CK3" s="226">
        <v>0.8</v>
      </c>
      <c r="CL3" s="226">
        <v>0.8</v>
      </c>
      <c r="CM3" s="226">
        <v>0.8</v>
      </c>
      <c r="CN3" s="226">
        <v>0.8</v>
      </c>
      <c r="CO3" s="226">
        <v>0.8</v>
      </c>
      <c r="CP3" s="226">
        <v>0.8</v>
      </c>
      <c r="CQ3" s="226">
        <v>0.8</v>
      </c>
      <c r="CR3" s="226">
        <v>0.8</v>
      </c>
      <c r="CS3" s="226">
        <v>0.8</v>
      </c>
      <c r="CT3" s="226">
        <v>0.8</v>
      </c>
      <c r="CU3" s="226">
        <v>0.8</v>
      </c>
      <c r="CV3" s="226">
        <v>0.8</v>
      </c>
      <c r="CW3" s="226">
        <v>0.8</v>
      </c>
      <c r="CX3" s="226">
        <v>0.8</v>
      </c>
      <c r="CY3" s="226">
        <v>0.8</v>
      </c>
      <c r="CZ3" s="226">
        <v>0.8</v>
      </c>
      <c r="DA3" s="226">
        <v>0.8</v>
      </c>
      <c r="DB3" s="226">
        <v>0.8</v>
      </c>
      <c r="DC3" s="226">
        <v>0.8</v>
      </c>
      <c r="DD3" s="226">
        <v>0.8</v>
      </c>
      <c r="DE3" s="226">
        <v>0.8</v>
      </c>
      <c r="DF3" s="226">
        <v>0.8</v>
      </c>
      <c r="DG3" s="226">
        <v>0.8</v>
      </c>
      <c r="DH3" s="226">
        <v>0.8</v>
      </c>
      <c r="DI3" s="226">
        <v>0.8</v>
      </c>
      <c r="DJ3" s="226">
        <v>0.8</v>
      </c>
      <c r="DK3" s="226">
        <v>0.8</v>
      </c>
      <c r="DL3" s="226">
        <v>0.1</v>
      </c>
      <c r="DM3" s="226">
        <v>0</v>
      </c>
      <c r="DN3" s="226">
        <v>0</v>
      </c>
      <c r="DO3" s="226">
        <v>0</v>
      </c>
      <c r="DP3" s="226">
        <v>0</v>
      </c>
      <c r="DQ3" s="226">
        <v>0</v>
      </c>
      <c r="DR3" s="226">
        <v>0</v>
      </c>
      <c r="DS3" s="226">
        <v>0</v>
      </c>
    </row>
    <row r="4" spans="1:123" x14ac:dyDescent="0.15">
      <c r="A4" s="156" t="s">
        <v>227</v>
      </c>
      <c r="B4">
        <v>0.8</v>
      </c>
      <c r="C4" s="226">
        <v>0.8</v>
      </c>
      <c r="D4" s="226">
        <v>0.8</v>
      </c>
      <c r="E4" s="226">
        <v>0.8</v>
      </c>
      <c r="F4" s="226">
        <v>0.8</v>
      </c>
      <c r="G4" s="226">
        <v>0.8</v>
      </c>
      <c r="H4" s="226">
        <v>0.8</v>
      </c>
      <c r="I4" s="226">
        <v>0.8</v>
      </c>
      <c r="J4" s="226">
        <v>0.8</v>
      </c>
      <c r="K4" s="226">
        <v>0.8</v>
      </c>
      <c r="L4" s="226">
        <v>0.8</v>
      </c>
      <c r="M4" s="226">
        <v>0.7</v>
      </c>
      <c r="N4" s="226">
        <v>0.7</v>
      </c>
      <c r="O4" s="226">
        <v>0.6</v>
      </c>
      <c r="P4" s="226">
        <v>0.6</v>
      </c>
      <c r="Q4" s="226">
        <v>0.7</v>
      </c>
      <c r="R4" s="226">
        <v>0.8</v>
      </c>
      <c r="S4" s="226">
        <v>0.8</v>
      </c>
      <c r="T4" s="226">
        <v>0.8</v>
      </c>
      <c r="U4" s="226">
        <v>0.8</v>
      </c>
      <c r="V4" s="226">
        <v>0.8</v>
      </c>
      <c r="W4" s="225">
        <v>0.8</v>
      </c>
      <c r="X4" s="225">
        <v>0.8</v>
      </c>
      <c r="Y4" s="225">
        <v>0.8</v>
      </c>
      <c r="Z4" s="225">
        <v>0.8</v>
      </c>
      <c r="AA4" s="226">
        <v>0.8</v>
      </c>
      <c r="AB4" s="226">
        <v>0.6</v>
      </c>
      <c r="AC4" s="226">
        <v>0.8</v>
      </c>
      <c r="AD4" s="226">
        <v>0.8</v>
      </c>
      <c r="AE4" s="226">
        <v>0.1</v>
      </c>
      <c r="AF4" s="226">
        <v>0.1</v>
      </c>
      <c r="AG4" s="226">
        <v>0.1</v>
      </c>
      <c r="AH4" s="226">
        <v>0.1</v>
      </c>
      <c r="AI4" s="226">
        <v>0.8</v>
      </c>
      <c r="AJ4" s="226">
        <v>0.7</v>
      </c>
      <c r="AK4" s="226">
        <v>0.1</v>
      </c>
      <c r="AL4" s="226">
        <v>0.3</v>
      </c>
      <c r="AM4" s="226">
        <v>0.1</v>
      </c>
      <c r="AN4" s="226">
        <v>0.1</v>
      </c>
      <c r="AO4" s="226">
        <v>0.1</v>
      </c>
      <c r="AP4" s="226">
        <v>0.1</v>
      </c>
      <c r="AQ4" s="226">
        <v>0.1</v>
      </c>
      <c r="AR4" s="226">
        <v>0.1</v>
      </c>
      <c r="AS4" s="226">
        <v>0.1</v>
      </c>
      <c r="AT4" s="226">
        <v>0.7</v>
      </c>
      <c r="AU4" s="226">
        <v>0.3</v>
      </c>
      <c r="AV4" s="226">
        <v>0.3</v>
      </c>
      <c r="AW4" s="226">
        <v>0.3</v>
      </c>
      <c r="AX4" s="226">
        <v>0.8</v>
      </c>
      <c r="AY4" s="226">
        <v>0.8</v>
      </c>
      <c r="AZ4" s="226">
        <v>0.8</v>
      </c>
      <c r="BA4" s="226">
        <v>0.6</v>
      </c>
      <c r="BB4" s="226">
        <v>0.6</v>
      </c>
      <c r="BC4" s="226">
        <v>0.8</v>
      </c>
      <c r="BD4" s="226">
        <v>0.7</v>
      </c>
      <c r="BE4" s="226">
        <v>0.8</v>
      </c>
      <c r="BF4" s="226">
        <v>0.1</v>
      </c>
      <c r="BG4" s="226">
        <v>0.1</v>
      </c>
      <c r="BH4" s="226">
        <v>0.3</v>
      </c>
      <c r="BI4" s="226">
        <v>0.3</v>
      </c>
      <c r="BJ4" s="226">
        <v>0.3</v>
      </c>
      <c r="BK4" s="226">
        <v>0.3</v>
      </c>
      <c r="BL4" s="226">
        <v>0.3</v>
      </c>
      <c r="BM4" s="226">
        <v>0.3</v>
      </c>
      <c r="BN4" s="226">
        <v>0.7</v>
      </c>
      <c r="BO4" s="226">
        <v>0.7</v>
      </c>
      <c r="BP4" s="226">
        <v>0.8</v>
      </c>
      <c r="BQ4" s="226">
        <v>0.8</v>
      </c>
      <c r="BR4" s="226">
        <v>0.7</v>
      </c>
      <c r="BS4" s="226">
        <v>0.7</v>
      </c>
      <c r="BT4" s="226">
        <v>0.7</v>
      </c>
      <c r="BU4" s="226">
        <v>0.7</v>
      </c>
      <c r="BV4" s="226">
        <v>0.8</v>
      </c>
      <c r="BW4" s="226">
        <v>0.8</v>
      </c>
      <c r="BX4" s="226">
        <v>0.7</v>
      </c>
      <c r="BY4" s="226">
        <v>0.8</v>
      </c>
      <c r="BZ4" s="226">
        <v>0.8</v>
      </c>
      <c r="CA4" s="226">
        <v>0.8</v>
      </c>
      <c r="CB4" s="226">
        <v>0.8</v>
      </c>
      <c r="CC4" s="226">
        <v>0.8</v>
      </c>
      <c r="CD4" s="226">
        <v>0.8</v>
      </c>
      <c r="CE4" s="226">
        <v>0.8</v>
      </c>
      <c r="CF4" s="226">
        <v>0.8</v>
      </c>
      <c r="CG4" s="226">
        <v>0.8</v>
      </c>
      <c r="CH4" s="226">
        <v>0.8</v>
      </c>
      <c r="CI4" s="226">
        <v>0.8</v>
      </c>
      <c r="CJ4" s="226">
        <v>0.8</v>
      </c>
      <c r="CK4" s="226">
        <v>0.8</v>
      </c>
      <c r="CL4" s="226">
        <v>0.8</v>
      </c>
      <c r="CM4" s="226">
        <v>0.8</v>
      </c>
      <c r="CN4" s="226">
        <v>0.8</v>
      </c>
      <c r="CO4" s="226">
        <v>0.8</v>
      </c>
      <c r="CP4" s="226">
        <v>0.8</v>
      </c>
      <c r="CQ4" s="226">
        <v>0.8</v>
      </c>
      <c r="CR4" s="226">
        <v>0.8</v>
      </c>
      <c r="CS4" s="226">
        <v>0.8</v>
      </c>
      <c r="CT4" s="226">
        <v>0.8</v>
      </c>
      <c r="CU4" s="226">
        <v>0.8</v>
      </c>
      <c r="CV4" s="226">
        <v>0.8</v>
      </c>
      <c r="CW4" s="226">
        <v>0.8</v>
      </c>
      <c r="CX4" s="226">
        <v>0.8</v>
      </c>
      <c r="CY4" s="226">
        <v>0.8</v>
      </c>
      <c r="CZ4" s="226">
        <v>0.8</v>
      </c>
      <c r="DA4" s="226">
        <v>0.8</v>
      </c>
      <c r="DB4" s="226">
        <v>0.8</v>
      </c>
      <c r="DC4" s="226">
        <v>0.8</v>
      </c>
      <c r="DD4" s="226">
        <v>0.8</v>
      </c>
      <c r="DE4" s="226">
        <v>0.8</v>
      </c>
      <c r="DF4" s="226">
        <v>0.8</v>
      </c>
      <c r="DG4" s="226">
        <v>0.8</v>
      </c>
      <c r="DH4" s="226">
        <v>0.8</v>
      </c>
      <c r="DI4" s="226">
        <v>0.8</v>
      </c>
      <c r="DJ4" s="226">
        <v>0.8</v>
      </c>
      <c r="DK4" s="226">
        <v>0.8</v>
      </c>
      <c r="DL4" s="226">
        <v>0.1</v>
      </c>
      <c r="DM4" s="226">
        <v>0</v>
      </c>
      <c r="DN4" s="226">
        <v>0</v>
      </c>
      <c r="DO4" s="226">
        <v>0</v>
      </c>
      <c r="DP4" s="226">
        <v>0</v>
      </c>
      <c r="DQ4" s="226">
        <v>0</v>
      </c>
      <c r="DR4" s="226">
        <v>0</v>
      </c>
      <c r="DS4" s="226">
        <v>0</v>
      </c>
    </row>
    <row r="5" spans="1:123" x14ac:dyDescent="0.15">
      <c r="A5" s="156" t="s">
        <v>228</v>
      </c>
      <c r="B5">
        <v>0.8</v>
      </c>
      <c r="C5" s="226">
        <v>0.8</v>
      </c>
      <c r="D5" s="226">
        <v>0.8</v>
      </c>
      <c r="E5" s="226">
        <v>0.8</v>
      </c>
      <c r="F5" s="226">
        <v>0.8</v>
      </c>
      <c r="G5" s="226">
        <v>0.8</v>
      </c>
      <c r="H5" s="226">
        <v>0.8</v>
      </c>
      <c r="I5" s="226">
        <v>0.8</v>
      </c>
      <c r="J5" s="226">
        <v>0.8</v>
      </c>
      <c r="K5" s="226">
        <v>0.8</v>
      </c>
      <c r="L5" s="226">
        <v>0.8</v>
      </c>
      <c r="M5" s="226">
        <v>0.7</v>
      </c>
      <c r="N5" s="226">
        <v>0.7</v>
      </c>
      <c r="O5" s="226">
        <v>0.6</v>
      </c>
      <c r="P5" s="226">
        <v>0.6</v>
      </c>
      <c r="Q5" s="226">
        <v>0.7</v>
      </c>
      <c r="R5" s="226">
        <v>0.8</v>
      </c>
      <c r="S5" s="226">
        <v>0.8</v>
      </c>
      <c r="T5" s="226">
        <v>0.8</v>
      </c>
      <c r="U5" s="226">
        <v>0.8</v>
      </c>
      <c r="V5" s="226">
        <v>0.8</v>
      </c>
      <c r="W5" s="225">
        <v>0.8</v>
      </c>
      <c r="X5" s="225">
        <v>0.8</v>
      </c>
      <c r="Y5" s="225">
        <v>0.8</v>
      </c>
      <c r="Z5" s="225">
        <v>0.8</v>
      </c>
      <c r="AA5" s="226">
        <v>0.8</v>
      </c>
      <c r="AB5" s="226">
        <v>0.6</v>
      </c>
      <c r="AC5" s="226">
        <v>0.8</v>
      </c>
      <c r="AD5" s="226">
        <v>0.8</v>
      </c>
      <c r="AE5" s="226">
        <v>0.1</v>
      </c>
      <c r="AF5" s="226">
        <v>0.1</v>
      </c>
      <c r="AG5" s="226">
        <v>0.1</v>
      </c>
      <c r="AH5" s="226">
        <v>0.1</v>
      </c>
      <c r="AI5" s="226">
        <v>0.8</v>
      </c>
      <c r="AJ5" s="226">
        <v>0.7</v>
      </c>
      <c r="AK5" s="226">
        <v>0.1</v>
      </c>
      <c r="AL5" s="226">
        <v>0.3</v>
      </c>
      <c r="AM5" s="226">
        <v>0.1</v>
      </c>
      <c r="AN5" s="226">
        <v>0.1</v>
      </c>
      <c r="AO5" s="226">
        <v>0.1</v>
      </c>
      <c r="AP5" s="226">
        <v>0.1</v>
      </c>
      <c r="AQ5" s="226">
        <v>0.1</v>
      </c>
      <c r="AR5" s="226">
        <v>0.1</v>
      </c>
      <c r="AS5" s="226">
        <v>0.1</v>
      </c>
      <c r="AT5" s="226">
        <v>0.7</v>
      </c>
      <c r="AU5" s="226">
        <v>0.3</v>
      </c>
      <c r="AV5" s="226">
        <v>0.3</v>
      </c>
      <c r="AW5" s="226">
        <v>0.3</v>
      </c>
      <c r="AX5" s="226">
        <v>0.8</v>
      </c>
      <c r="AY5" s="226">
        <v>0.8</v>
      </c>
      <c r="AZ5" s="226">
        <v>0.8</v>
      </c>
      <c r="BA5" s="226">
        <v>0.6</v>
      </c>
      <c r="BB5" s="226">
        <v>0.6</v>
      </c>
      <c r="BC5" s="226">
        <v>0.8</v>
      </c>
      <c r="BD5" s="226">
        <v>0.7</v>
      </c>
      <c r="BE5" s="226">
        <v>0.8</v>
      </c>
      <c r="BF5" s="226">
        <v>0.1</v>
      </c>
      <c r="BG5" s="226">
        <v>0.1</v>
      </c>
      <c r="BH5" s="226">
        <v>0.3</v>
      </c>
      <c r="BI5" s="226">
        <v>0.3</v>
      </c>
      <c r="BJ5" s="226">
        <v>0.3</v>
      </c>
      <c r="BK5" s="226">
        <v>0.3</v>
      </c>
      <c r="BL5" s="226">
        <v>0.3</v>
      </c>
      <c r="BM5" s="226">
        <v>0.3</v>
      </c>
      <c r="BN5" s="226">
        <v>0.7</v>
      </c>
      <c r="BO5" s="226">
        <v>0.7</v>
      </c>
      <c r="BP5" s="226">
        <v>0.8</v>
      </c>
      <c r="BQ5" s="226">
        <v>0.8</v>
      </c>
      <c r="BR5" s="226">
        <v>0.7</v>
      </c>
      <c r="BS5" s="226">
        <v>0.7</v>
      </c>
      <c r="BT5" s="226">
        <v>0.7</v>
      </c>
      <c r="BU5" s="226">
        <v>0.7</v>
      </c>
      <c r="BV5" s="226">
        <v>0.8</v>
      </c>
      <c r="BW5" s="226">
        <v>0.8</v>
      </c>
      <c r="BX5" s="226">
        <v>0.7</v>
      </c>
      <c r="BY5" s="226">
        <v>0.8</v>
      </c>
      <c r="BZ5" s="226">
        <v>0.8</v>
      </c>
      <c r="CA5" s="226">
        <v>0.8</v>
      </c>
      <c r="CB5" s="226">
        <v>0.8</v>
      </c>
      <c r="CC5" s="226">
        <v>0.8</v>
      </c>
      <c r="CD5" s="226">
        <v>0.8</v>
      </c>
      <c r="CE5" s="226">
        <v>0.8</v>
      </c>
      <c r="CF5" s="226">
        <v>0.8</v>
      </c>
      <c r="CG5" s="226">
        <v>0.8</v>
      </c>
      <c r="CH5" s="226">
        <v>0.8</v>
      </c>
      <c r="CI5" s="226">
        <v>0.8</v>
      </c>
      <c r="CJ5" s="226">
        <v>0.8</v>
      </c>
      <c r="CK5" s="226">
        <v>0.8</v>
      </c>
      <c r="CL5" s="226">
        <v>0.8</v>
      </c>
      <c r="CM5" s="226">
        <v>0.8</v>
      </c>
      <c r="CN5" s="226">
        <v>0.8</v>
      </c>
      <c r="CO5" s="226">
        <v>0.8</v>
      </c>
      <c r="CP5" s="226">
        <v>0.8</v>
      </c>
      <c r="CQ5" s="226">
        <v>0.8</v>
      </c>
      <c r="CR5" s="226">
        <v>0.8</v>
      </c>
      <c r="CS5" s="226">
        <v>0.8</v>
      </c>
      <c r="CT5" s="226">
        <v>0.8</v>
      </c>
      <c r="CU5" s="226">
        <v>0.8</v>
      </c>
      <c r="CV5" s="226">
        <v>0.8</v>
      </c>
      <c r="CW5" s="226">
        <v>0.8</v>
      </c>
      <c r="CX5" s="226">
        <v>0.8</v>
      </c>
      <c r="CY5" s="226">
        <v>0.8</v>
      </c>
      <c r="CZ5" s="226">
        <v>0.8</v>
      </c>
      <c r="DA5" s="226">
        <v>0.8</v>
      </c>
      <c r="DB5" s="226">
        <v>0.8</v>
      </c>
      <c r="DC5" s="226">
        <v>0.8</v>
      </c>
      <c r="DD5" s="226">
        <v>0.8</v>
      </c>
      <c r="DE5" s="226">
        <v>0.8</v>
      </c>
      <c r="DF5" s="226">
        <v>0.8</v>
      </c>
      <c r="DG5" s="226">
        <v>0.8</v>
      </c>
      <c r="DH5" s="226">
        <v>0.8</v>
      </c>
      <c r="DI5" s="226">
        <v>0.8</v>
      </c>
      <c r="DJ5" s="226">
        <v>0.8</v>
      </c>
      <c r="DK5" s="226">
        <v>0.8</v>
      </c>
      <c r="DL5" s="226">
        <v>0.1</v>
      </c>
      <c r="DM5" s="226">
        <v>0</v>
      </c>
      <c r="DN5" s="226">
        <v>0</v>
      </c>
      <c r="DO5" s="226">
        <v>0</v>
      </c>
      <c r="DP5" s="226">
        <v>0</v>
      </c>
      <c r="DQ5" s="226">
        <v>0</v>
      </c>
      <c r="DR5" s="226">
        <v>0</v>
      </c>
      <c r="DS5" s="226">
        <v>0</v>
      </c>
    </row>
    <row r="6" spans="1:123" x14ac:dyDescent="0.15">
      <c r="A6" s="156" t="s">
        <v>229</v>
      </c>
      <c r="B6">
        <v>0.8</v>
      </c>
      <c r="C6" s="226">
        <v>0.8</v>
      </c>
      <c r="D6" s="226">
        <v>0.8</v>
      </c>
      <c r="E6" s="226">
        <v>0.8</v>
      </c>
      <c r="F6" s="226">
        <v>0.8</v>
      </c>
      <c r="G6" s="226">
        <v>0.8</v>
      </c>
      <c r="H6" s="226">
        <v>0.8</v>
      </c>
      <c r="I6" s="226">
        <v>0.8</v>
      </c>
      <c r="J6" s="226">
        <v>0.8</v>
      </c>
      <c r="K6" s="226">
        <v>0.8</v>
      </c>
      <c r="L6" s="226">
        <v>0.8</v>
      </c>
      <c r="M6" s="226">
        <v>0.7</v>
      </c>
      <c r="N6" s="226">
        <v>0.7</v>
      </c>
      <c r="O6" s="226">
        <v>0.6</v>
      </c>
      <c r="P6" s="226">
        <v>0.6</v>
      </c>
      <c r="Q6" s="226">
        <v>0.7</v>
      </c>
      <c r="R6" s="226">
        <v>0.8</v>
      </c>
      <c r="S6" s="226">
        <v>0.8</v>
      </c>
      <c r="T6" s="226">
        <v>0.8</v>
      </c>
      <c r="U6" s="226">
        <v>0.8</v>
      </c>
      <c r="V6" s="226">
        <v>0.8</v>
      </c>
      <c r="W6" s="225">
        <v>0.8</v>
      </c>
      <c r="X6" s="225">
        <v>0.8</v>
      </c>
      <c r="Y6" s="225">
        <v>0.8</v>
      </c>
      <c r="Z6" s="225">
        <v>0.8</v>
      </c>
      <c r="AA6" s="226">
        <v>0.8</v>
      </c>
      <c r="AB6" s="226">
        <v>0.6</v>
      </c>
      <c r="AC6" s="226">
        <v>0.8</v>
      </c>
      <c r="AD6" s="226">
        <v>0.8</v>
      </c>
      <c r="AE6" s="226">
        <v>0.1</v>
      </c>
      <c r="AF6" s="226">
        <v>0.1</v>
      </c>
      <c r="AG6" s="226">
        <v>0.1</v>
      </c>
      <c r="AH6" s="226">
        <v>0.1</v>
      </c>
      <c r="AI6" s="226">
        <v>0.8</v>
      </c>
      <c r="AJ6" s="226">
        <v>0.7</v>
      </c>
      <c r="AK6" s="226">
        <v>0.1</v>
      </c>
      <c r="AL6" s="226">
        <v>0.3</v>
      </c>
      <c r="AM6" s="226">
        <v>0.1</v>
      </c>
      <c r="AN6" s="226">
        <v>0.1</v>
      </c>
      <c r="AO6" s="226">
        <v>0.1</v>
      </c>
      <c r="AP6" s="226">
        <v>0.1</v>
      </c>
      <c r="AQ6" s="226">
        <v>0.1</v>
      </c>
      <c r="AR6" s="226">
        <v>0.1</v>
      </c>
      <c r="AS6" s="226">
        <v>0.1</v>
      </c>
      <c r="AT6" s="226">
        <v>0.7</v>
      </c>
      <c r="AU6" s="226">
        <v>0.3</v>
      </c>
      <c r="AV6" s="226">
        <v>0.3</v>
      </c>
      <c r="AW6" s="226">
        <v>0.3</v>
      </c>
      <c r="AX6" s="226">
        <v>0.8</v>
      </c>
      <c r="AY6" s="226">
        <v>0.8</v>
      </c>
      <c r="AZ6" s="226">
        <v>0.8</v>
      </c>
      <c r="BA6" s="226">
        <v>0.6</v>
      </c>
      <c r="BB6" s="226">
        <v>0.6</v>
      </c>
      <c r="BC6" s="226">
        <v>0.8</v>
      </c>
      <c r="BD6" s="226">
        <v>0.7</v>
      </c>
      <c r="BE6" s="226">
        <v>0.8</v>
      </c>
      <c r="BF6" s="226">
        <v>0.1</v>
      </c>
      <c r="BG6" s="226">
        <v>0.1</v>
      </c>
      <c r="BH6" s="226">
        <v>0.3</v>
      </c>
      <c r="BI6" s="226">
        <v>0.3</v>
      </c>
      <c r="BJ6" s="226">
        <v>0.3</v>
      </c>
      <c r="BK6" s="226">
        <v>0.3</v>
      </c>
      <c r="BL6" s="226">
        <v>0.3</v>
      </c>
      <c r="BM6" s="226">
        <v>0.3</v>
      </c>
      <c r="BN6" s="226">
        <v>0.7</v>
      </c>
      <c r="BO6" s="226">
        <v>0.7</v>
      </c>
      <c r="BP6" s="226">
        <v>0.8</v>
      </c>
      <c r="BQ6" s="226">
        <v>0.8</v>
      </c>
      <c r="BR6" s="226">
        <v>0.7</v>
      </c>
      <c r="BS6" s="226">
        <v>0.7</v>
      </c>
      <c r="BT6" s="226">
        <v>0.7</v>
      </c>
      <c r="BU6" s="226">
        <v>0.7</v>
      </c>
      <c r="BV6" s="226">
        <v>0.8</v>
      </c>
      <c r="BW6" s="226">
        <v>0.8</v>
      </c>
      <c r="BX6" s="226">
        <v>0.7</v>
      </c>
      <c r="BY6" s="226">
        <v>0.8</v>
      </c>
      <c r="BZ6" s="226">
        <v>0.8</v>
      </c>
      <c r="CA6" s="226">
        <v>0.8</v>
      </c>
      <c r="CB6" s="226">
        <v>0.8</v>
      </c>
      <c r="CC6" s="226">
        <v>0.8</v>
      </c>
      <c r="CD6" s="226">
        <v>0.8</v>
      </c>
      <c r="CE6" s="226">
        <v>0.8</v>
      </c>
      <c r="CF6" s="226">
        <v>0.8</v>
      </c>
      <c r="CG6" s="226">
        <v>0.8</v>
      </c>
      <c r="CH6" s="226">
        <v>0.8</v>
      </c>
      <c r="CI6" s="226">
        <v>0.8</v>
      </c>
      <c r="CJ6" s="226">
        <v>0.8</v>
      </c>
      <c r="CK6" s="226">
        <v>0.8</v>
      </c>
      <c r="CL6" s="226">
        <v>0.8</v>
      </c>
      <c r="CM6" s="226">
        <v>0.8</v>
      </c>
      <c r="CN6" s="226">
        <v>0.8</v>
      </c>
      <c r="CO6" s="226">
        <v>0.8</v>
      </c>
      <c r="CP6" s="226">
        <v>0.8</v>
      </c>
      <c r="CQ6" s="226">
        <v>0.8</v>
      </c>
      <c r="CR6" s="226">
        <v>0.8</v>
      </c>
      <c r="CS6" s="226">
        <v>0.8</v>
      </c>
      <c r="CT6" s="226">
        <v>0.8</v>
      </c>
      <c r="CU6" s="226">
        <v>0.8</v>
      </c>
      <c r="CV6" s="226">
        <v>0.8</v>
      </c>
      <c r="CW6" s="226">
        <v>0.8</v>
      </c>
      <c r="CX6" s="226">
        <v>0.8</v>
      </c>
      <c r="CY6" s="226">
        <v>0.8</v>
      </c>
      <c r="CZ6" s="226">
        <v>0.8</v>
      </c>
      <c r="DA6" s="226">
        <v>0.8</v>
      </c>
      <c r="DB6" s="226">
        <v>0.8</v>
      </c>
      <c r="DC6" s="226">
        <v>0.8</v>
      </c>
      <c r="DD6" s="226">
        <v>0.8</v>
      </c>
      <c r="DE6" s="226">
        <v>0.8</v>
      </c>
      <c r="DF6" s="226">
        <v>0.8</v>
      </c>
      <c r="DG6" s="226">
        <v>0.8</v>
      </c>
      <c r="DH6" s="226">
        <v>0.8</v>
      </c>
      <c r="DI6" s="226">
        <v>0.8</v>
      </c>
      <c r="DJ6" s="226">
        <v>0.8</v>
      </c>
      <c r="DK6" s="226">
        <v>0.8</v>
      </c>
      <c r="DL6" s="226">
        <v>0.1</v>
      </c>
      <c r="DM6" s="226">
        <v>0</v>
      </c>
      <c r="DN6" s="226">
        <v>0</v>
      </c>
      <c r="DO6" s="226">
        <v>0</v>
      </c>
      <c r="DP6" s="226">
        <v>0</v>
      </c>
      <c r="DQ6" s="226">
        <v>0</v>
      </c>
      <c r="DR6" s="226">
        <v>0</v>
      </c>
      <c r="DS6" s="226">
        <v>0</v>
      </c>
    </row>
    <row r="7" spans="1:123" x14ac:dyDescent="0.15">
      <c r="A7" s="156" t="s">
        <v>230</v>
      </c>
      <c r="B7">
        <v>0.8</v>
      </c>
      <c r="C7" s="226">
        <v>0.8</v>
      </c>
      <c r="D7" s="226">
        <v>0.8</v>
      </c>
      <c r="E7" s="226">
        <v>0.8</v>
      </c>
      <c r="F7" s="226">
        <v>0.8</v>
      </c>
      <c r="G7" s="226">
        <v>0.8</v>
      </c>
      <c r="H7" s="226">
        <v>0.8</v>
      </c>
      <c r="I7" s="226">
        <v>0.8</v>
      </c>
      <c r="J7" s="226">
        <v>0.8</v>
      </c>
      <c r="K7" s="226">
        <v>0.8</v>
      </c>
      <c r="L7" s="226">
        <v>0.8</v>
      </c>
      <c r="M7" s="226">
        <v>0.7</v>
      </c>
      <c r="N7" s="226">
        <v>0.7</v>
      </c>
      <c r="O7" s="226">
        <v>0.6</v>
      </c>
      <c r="P7" s="226">
        <v>0.6</v>
      </c>
      <c r="Q7" s="226">
        <v>0.7</v>
      </c>
      <c r="R7" s="226">
        <v>0.8</v>
      </c>
      <c r="S7" s="226">
        <v>0.8</v>
      </c>
      <c r="T7" s="226">
        <v>0.8</v>
      </c>
      <c r="U7" s="226">
        <v>0.8</v>
      </c>
      <c r="V7" s="226">
        <v>0.8</v>
      </c>
      <c r="W7" s="225">
        <v>0.8</v>
      </c>
      <c r="X7" s="225">
        <v>0.8</v>
      </c>
      <c r="Y7" s="225">
        <v>0.8</v>
      </c>
      <c r="Z7" s="225">
        <v>0.8</v>
      </c>
      <c r="AA7" s="226">
        <v>0.8</v>
      </c>
      <c r="AB7" s="226">
        <v>0.6</v>
      </c>
      <c r="AC7" s="226">
        <v>0.8</v>
      </c>
      <c r="AD7" s="226">
        <v>0.8</v>
      </c>
      <c r="AE7" s="226">
        <v>0.1</v>
      </c>
      <c r="AF7" s="226">
        <v>0.1</v>
      </c>
      <c r="AG7" s="226">
        <v>0.1</v>
      </c>
      <c r="AH7" s="226">
        <v>0.1</v>
      </c>
      <c r="AI7" s="226">
        <v>0.8</v>
      </c>
      <c r="AJ7" s="226">
        <v>0.7</v>
      </c>
      <c r="AK7" s="226">
        <v>0.1</v>
      </c>
      <c r="AL7" s="226">
        <v>0.3</v>
      </c>
      <c r="AM7" s="226">
        <v>0.1</v>
      </c>
      <c r="AN7" s="226">
        <v>0.1</v>
      </c>
      <c r="AO7" s="226">
        <v>0.1</v>
      </c>
      <c r="AP7" s="226">
        <v>0.1</v>
      </c>
      <c r="AQ7" s="226">
        <v>0.1</v>
      </c>
      <c r="AR7" s="226">
        <v>0.1</v>
      </c>
      <c r="AS7" s="226">
        <v>0.1</v>
      </c>
      <c r="AT7" s="226">
        <v>0.7</v>
      </c>
      <c r="AU7" s="226">
        <v>0.3</v>
      </c>
      <c r="AV7" s="226">
        <v>0.3</v>
      </c>
      <c r="AW7" s="226">
        <v>0.3</v>
      </c>
      <c r="AX7" s="226">
        <v>0.8</v>
      </c>
      <c r="AY7" s="226">
        <v>0.8</v>
      </c>
      <c r="AZ7" s="226">
        <v>0.8</v>
      </c>
      <c r="BA7" s="226">
        <v>0.6</v>
      </c>
      <c r="BB7" s="226">
        <v>0.6</v>
      </c>
      <c r="BC7" s="226">
        <v>0.8</v>
      </c>
      <c r="BD7" s="226">
        <v>0.7</v>
      </c>
      <c r="BE7" s="226">
        <v>0.8</v>
      </c>
      <c r="BF7" s="226">
        <v>0.1</v>
      </c>
      <c r="BG7" s="226">
        <v>0.1</v>
      </c>
      <c r="BH7" s="226">
        <v>0.3</v>
      </c>
      <c r="BI7" s="226">
        <v>0.3</v>
      </c>
      <c r="BJ7" s="226">
        <v>0.3</v>
      </c>
      <c r="BK7" s="226">
        <v>0.3</v>
      </c>
      <c r="BL7" s="226">
        <v>0.3</v>
      </c>
      <c r="BM7" s="226">
        <v>0.3</v>
      </c>
      <c r="BN7" s="226">
        <v>0.7</v>
      </c>
      <c r="BO7" s="226">
        <v>0.7</v>
      </c>
      <c r="BP7" s="226">
        <v>0.8</v>
      </c>
      <c r="BQ7" s="226">
        <v>0.8</v>
      </c>
      <c r="BR7" s="226">
        <v>0.7</v>
      </c>
      <c r="BS7" s="226">
        <v>0.7</v>
      </c>
      <c r="BT7" s="226">
        <v>0.7</v>
      </c>
      <c r="BU7" s="226">
        <v>0.7</v>
      </c>
      <c r="BV7" s="226">
        <v>0.8</v>
      </c>
      <c r="BW7" s="226">
        <v>0.8</v>
      </c>
      <c r="BX7" s="226">
        <v>0.7</v>
      </c>
      <c r="BY7" s="226">
        <v>0.8</v>
      </c>
      <c r="BZ7" s="226">
        <v>0.8</v>
      </c>
      <c r="CA7" s="226">
        <v>0.8</v>
      </c>
      <c r="CB7" s="226">
        <v>0.8</v>
      </c>
      <c r="CC7" s="226">
        <v>0.8</v>
      </c>
      <c r="CD7" s="226">
        <v>0.8</v>
      </c>
      <c r="CE7" s="226">
        <v>0.8</v>
      </c>
      <c r="CF7" s="226">
        <v>0.8</v>
      </c>
      <c r="CG7" s="226">
        <v>0.8</v>
      </c>
      <c r="CH7" s="226">
        <v>0.8</v>
      </c>
      <c r="CI7" s="226">
        <v>0.8</v>
      </c>
      <c r="CJ7" s="226">
        <v>0.8</v>
      </c>
      <c r="CK7" s="226">
        <v>0.8</v>
      </c>
      <c r="CL7" s="226">
        <v>0.8</v>
      </c>
      <c r="CM7" s="226">
        <v>0.8</v>
      </c>
      <c r="CN7" s="226">
        <v>0.8</v>
      </c>
      <c r="CO7" s="226">
        <v>0.8</v>
      </c>
      <c r="CP7" s="226">
        <v>0.8</v>
      </c>
      <c r="CQ7" s="226">
        <v>0.8</v>
      </c>
      <c r="CR7" s="226">
        <v>0.8</v>
      </c>
      <c r="CS7" s="226">
        <v>0.8</v>
      </c>
      <c r="CT7" s="226">
        <v>0.8</v>
      </c>
      <c r="CU7" s="226">
        <v>0.8</v>
      </c>
      <c r="CV7" s="226">
        <v>0.8</v>
      </c>
      <c r="CW7" s="226">
        <v>0.8</v>
      </c>
      <c r="CX7" s="226">
        <v>0.8</v>
      </c>
      <c r="CY7" s="226">
        <v>0.8</v>
      </c>
      <c r="CZ7" s="226">
        <v>0.8</v>
      </c>
      <c r="DA7" s="226">
        <v>0.8</v>
      </c>
      <c r="DB7" s="226">
        <v>0.8</v>
      </c>
      <c r="DC7" s="226">
        <v>0.8</v>
      </c>
      <c r="DD7" s="226">
        <v>0.8</v>
      </c>
      <c r="DE7" s="226">
        <v>0.8</v>
      </c>
      <c r="DF7" s="226">
        <v>0.8</v>
      </c>
      <c r="DG7" s="226">
        <v>0.8</v>
      </c>
      <c r="DH7" s="226">
        <v>0.8</v>
      </c>
      <c r="DI7" s="226">
        <v>0.8</v>
      </c>
      <c r="DJ7" s="226">
        <v>0.8</v>
      </c>
      <c r="DK7" s="226">
        <v>0.8</v>
      </c>
      <c r="DL7" s="226">
        <v>0.1</v>
      </c>
      <c r="DM7" s="226">
        <v>0</v>
      </c>
      <c r="DN7" s="226">
        <v>0</v>
      </c>
      <c r="DO7" s="226">
        <v>0</v>
      </c>
      <c r="DP7" s="226">
        <v>0</v>
      </c>
      <c r="DQ7" s="226">
        <v>0</v>
      </c>
      <c r="DR7" s="226">
        <v>0</v>
      </c>
      <c r="DS7" s="226">
        <v>0</v>
      </c>
    </row>
    <row r="8" spans="1:123" x14ac:dyDescent="0.15">
      <c r="A8" s="156" t="s">
        <v>231</v>
      </c>
      <c r="B8">
        <v>0.8</v>
      </c>
      <c r="C8" s="226">
        <v>0.8</v>
      </c>
      <c r="D8" s="226">
        <v>0.8</v>
      </c>
      <c r="E8" s="226">
        <v>0.8</v>
      </c>
      <c r="F8" s="226">
        <v>0.8</v>
      </c>
      <c r="G8" s="226">
        <v>0.8</v>
      </c>
      <c r="H8" s="226">
        <v>0.8</v>
      </c>
      <c r="I8" s="226">
        <v>0.8</v>
      </c>
      <c r="J8" s="226">
        <v>0.8</v>
      </c>
      <c r="K8" s="226">
        <v>0.8</v>
      </c>
      <c r="L8" s="226">
        <v>0.8</v>
      </c>
      <c r="M8" s="226">
        <v>0.7</v>
      </c>
      <c r="N8" s="226">
        <v>0.7</v>
      </c>
      <c r="O8" s="226">
        <v>0.6</v>
      </c>
      <c r="P8" s="226">
        <v>0.6</v>
      </c>
      <c r="Q8" s="226">
        <v>0.7</v>
      </c>
      <c r="R8" s="226">
        <v>0.8</v>
      </c>
      <c r="S8" s="226">
        <v>0.8</v>
      </c>
      <c r="T8" s="226">
        <v>0.8</v>
      </c>
      <c r="U8" s="226">
        <v>0.8</v>
      </c>
      <c r="V8" s="226">
        <v>0.8</v>
      </c>
      <c r="W8" s="225">
        <v>0.8</v>
      </c>
      <c r="X8" s="225">
        <v>0.8</v>
      </c>
      <c r="Y8" s="225">
        <v>0.8</v>
      </c>
      <c r="Z8" s="225">
        <v>0.8</v>
      </c>
      <c r="AA8" s="226">
        <v>0.8</v>
      </c>
      <c r="AB8" s="226">
        <v>0.6</v>
      </c>
      <c r="AC8" s="226">
        <v>0.8</v>
      </c>
      <c r="AD8" s="226">
        <v>0.8</v>
      </c>
      <c r="AE8" s="226">
        <v>0.1</v>
      </c>
      <c r="AF8" s="226">
        <v>0.1</v>
      </c>
      <c r="AG8" s="226">
        <v>0.1</v>
      </c>
      <c r="AH8" s="226">
        <v>0.1</v>
      </c>
      <c r="AI8" s="226">
        <v>0.8</v>
      </c>
      <c r="AJ8" s="226">
        <v>0.7</v>
      </c>
      <c r="AK8" s="226">
        <v>0.1</v>
      </c>
      <c r="AL8" s="226">
        <v>0.3</v>
      </c>
      <c r="AM8" s="226">
        <v>0.1</v>
      </c>
      <c r="AN8" s="226">
        <v>0.1</v>
      </c>
      <c r="AO8" s="226">
        <v>0.1</v>
      </c>
      <c r="AP8" s="226">
        <v>0.1</v>
      </c>
      <c r="AQ8" s="226">
        <v>0.1</v>
      </c>
      <c r="AR8" s="226">
        <v>0.1</v>
      </c>
      <c r="AS8" s="226">
        <v>0.1</v>
      </c>
      <c r="AT8" s="226">
        <v>0.7</v>
      </c>
      <c r="AU8" s="226">
        <v>0.3</v>
      </c>
      <c r="AV8" s="226">
        <v>0.3</v>
      </c>
      <c r="AW8" s="226">
        <v>0.3</v>
      </c>
      <c r="AX8" s="226">
        <v>0.8</v>
      </c>
      <c r="AY8" s="226">
        <v>0.8</v>
      </c>
      <c r="AZ8" s="226">
        <v>0.8</v>
      </c>
      <c r="BA8" s="226">
        <v>0.6</v>
      </c>
      <c r="BB8" s="226">
        <v>0.6</v>
      </c>
      <c r="BC8" s="226">
        <v>0.8</v>
      </c>
      <c r="BD8" s="226">
        <v>0.7</v>
      </c>
      <c r="BE8" s="226">
        <v>0.8</v>
      </c>
      <c r="BF8" s="226">
        <v>0.1</v>
      </c>
      <c r="BG8" s="226">
        <v>0.1</v>
      </c>
      <c r="BH8" s="226">
        <v>0.3</v>
      </c>
      <c r="BI8" s="226">
        <v>0.3</v>
      </c>
      <c r="BJ8" s="226">
        <v>0.3</v>
      </c>
      <c r="BK8" s="226">
        <v>0.3</v>
      </c>
      <c r="BL8" s="226">
        <v>0.3</v>
      </c>
      <c r="BM8" s="226">
        <v>0.3</v>
      </c>
      <c r="BN8" s="226">
        <v>0.7</v>
      </c>
      <c r="BO8" s="226">
        <v>0.7</v>
      </c>
      <c r="BP8" s="226">
        <v>0.8</v>
      </c>
      <c r="BQ8" s="226">
        <v>0.8</v>
      </c>
      <c r="BR8" s="226">
        <v>0.7</v>
      </c>
      <c r="BS8" s="226">
        <v>0.7</v>
      </c>
      <c r="BT8" s="226">
        <v>0.7</v>
      </c>
      <c r="BU8" s="226">
        <v>0.7</v>
      </c>
      <c r="BV8" s="226">
        <v>0.8</v>
      </c>
      <c r="BW8" s="226">
        <v>0.8</v>
      </c>
      <c r="BX8" s="226">
        <v>0.7</v>
      </c>
      <c r="BY8" s="226">
        <v>0.8</v>
      </c>
      <c r="BZ8" s="226">
        <v>0.8</v>
      </c>
      <c r="CA8" s="226">
        <v>0.8</v>
      </c>
      <c r="CB8" s="226">
        <v>0.8</v>
      </c>
      <c r="CC8" s="226">
        <v>0.8</v>
      </c>
      <c r="CD8" s="226">
        <v>0.8</v>
      </c>
      <c r="CE8" s="226">
        <v>0.8</v>
      </c>
      <c r="CF8" s="226">
        <v>0.8</v>
      </c>
      <c r="CG8" s="226">
        <v>0.8</v>
      </c>
      <c r="CH8" s="226">
        <v>0.8</v>
      </c>
      <c r="CI8" s="226">
        <v>0.8</v>
      </c>
      <c r="CJ8" s="226">
        <v>0.8</v>
      </c>
      <c r="CK8" s="226">
        <v>0.8</v>
      </c>
      <c r="CL8" s="226">
        <v>0.8</v>
      </c>
      <c r="CM8" s="226">
        <v>0.8</v>
      </c>
      <c r="CN8" s="226">
        <v>0.8</v>
      </c>
      <c r="CO8" s="226">
        <v>0.8</v>
      </c>
      <c r="CP8" s="226">
        <v>0.8</v>
      </c>
      <c r="CQ8" s="226">
        <v>0.8</v>
      </c>
      <c r="CR8" s="226">
        <v>0.8</v>
      </c>
      <c r="CS8" s="226">
        <v>0.8</v>
      </c>
      <c r="CT8" s="226">
        <v>0.8</v>
      </c>
      <c r="CU8" s="226">
        <v>0.8</v>
      </c>
      <c r="CV8" s="226">
        <v>0.8</v>
      </c>
      <c r="CW8" s="226">
        <v>0.8</v>
      </c>
      <c r="CX8" s="226">
        <v>0.8</v>
      </c>
      <c r="CY8" s="226">
        <v>0.8</v>
      </c>
      <c r="CZ8" s="226">
        <v>0.8</v>
      </c>
      <c r="DA8" s="226">
        <v>0.8</v>
      </c>
      <c r="DB8" s="226">
        <v>0.8</v>
      </c>
      <c r="DC8" s="226">
        <v>0.8</v>
      </c>
      <c r="DD8" s="226">
        <v>0.8</v>
      </c>
      <c r="DE8" s="226">
        <v>0.8</v>
      </c>
      <c r="DF8" s="226">
        <v>0.8</v>
      </c>
      <c r="DG8" s="226">
        <v>0.8</v>
      </c>
      <c r="DH8" s="226">
        <v>0.8</v>
      </c>
      <c r="DI8" s="226">
        <v>0.8</v>
      </c>
      <c r="DJ8" s="226">
        <v>0.8</v>
      </c>
      <c r="DK8" s="226">
        <v>0.8</v>
      </c>
      <c r="DL8" s="226">
        <v>0.1</v>
      </c>
      <c r="DM8" s="226">
        <v>0</v>
      </c>
      <c r="DN8" s="226">
        <v>0</v>
      </c>
      <c r="DO8" s="226">
        <v>0</v>
      </c>
      <c r="DP8" s="226">
        <v>0</v>
      </c>
      <c r="DQ8" s="226">
        <v>0</v>
      </c>
      <c r="DR8" s="226">
        <v>0</v>
      </c>
      <c r="DS8" s="226">
        <v>0</v>
      </c>
    </row>
    <row r="9" spans="1:123" x14ac:dyDescent="0.15">
      <c r="A9" s="156" t="s">
        <v>232</v>
      </c>
      <c r="B9">
        <v>0.8</v>
      </c>
      <c r="C9" s="226">
        <v>0.8</v>
      </c>
      <c r="D9" s="226">
        <v>0.8</v>
      </c>
      <c r="E9" s="226">
        <v>0.8</v>
      </c>
      <c r="F9" s="226">
        <v>0.8</v>
      </c>
      <c r="G9" s="226">
        <v>0.8</v>
      </c>
      <c r="H9" s="226">
        <v>0.8</v>
      </c>
      <c r="I9" s="226">
        <v>0.8</v>
      </c>
      <c r="J9" s="226">
        <v>0.8</v>
      </c>
      <c r="K9" s="226">
        <v>0.8</v>
      </c>
      <c r="L9" s="226">
        <v>0.8</v>
      </c>
      <c r="M9" s="226">
        <v>0.7</v>
      </c>
      <c r="N9" s="226">
        <v>0.7</v>
      </c>
      <c r="O9" s="226">
        <v>0.6</v>
      </c>
      <c r="P9" s="226">
        <v>0.6</v>
      </c>
      <c r="Q9" s="226">
        <v>0.7</v>
      </c>
      <c r="R9" s="226">
        <v>0.8</v>
      </c>
      <c r="S9" s="226">
        <v>0.8</v>
      </c>
      <c r="T9" s="226">
        <v>0.8</v>
      </c>
      <c r="U9" s="226">
        <v>0.8</v>
      </c>
      <c r="V9" s="226">
        <v>0.8</v>
      </c>
      <c r="W9" s="225">
        <v>0.8</v>
      </c>
      <c r="X9" s="225">
        <v>0.8</v>
      </c>
      <c r="Y9" s="225">
        <v>0.8</v>
      </c>
      <c r="Z9" s="225">
        <v>0.8</v>
      </c>
      <c r="AA9" s="226">
        <v>0.8</v>
      </c>
      <c r="AB9" s="226">
        <v>0.6</v>
      </c>
      <c r="AC9" s="226">
        <v>0.8</v>
      </c>
      <c r="AD9" s="226">
        <v>0.8</v>
      </c>
      <c r="AE9" s="226">
        <v>0.1</v>
      </c>
      <c r="AF9" s="226">
        <v>0.1</v>
      </c>
      <c r="AG9" s="226">
        <v>0.1</v>
      </c>
      <c r="AH9" s="226">
        <v>0.1</v>
      </c>
      <c r="AI9" s="226">
        <v>0.8</v>
      </c>
      <c r="AJ9" s="226">
        <v>0.7</v>
      </c>
      <c r="AK9" s="226">
        <v>0.1</v>
      </c>
      <c r="AL9" s="226">
        <v>0.3</v>
      </c>
      <c r="AM9" s="226">
        <v>0.1</v>
      </c>
      <c r="AN9" s="226">
        <v>0.1</v>
      </c>
      <c r="AO9" s="226">
        <v>0.1</v>
      </c>
      <c r="AP9" s="226">
        <v>0.1</v>
      </c>
      <c r="AQ9" s="226">
        <v>0.1</v>
      </c>
      <c r="AR9" s="226">
        <v>0.1</v>
      </c>
      <c r="AS9" s="226">
        <v>0.1</v>
      </c>
      <c r="AT9" s="226">
        <v>0.7</v>
      </c>
      <c r="AU9" s="226">
        <v>0.3</v>
      </c>
      <c r="AV9" s="226">
        <v>0.3</v>
      </c>
      <c r="AW9" s="226">
        <v>0.3</v>
      </c>
      <c r="AX9" s="226">
        <v>0.8</v>
      </c>
      <c r="AY9" s="226">
        <v>0.8</v>
      </c>
      <c r="AZ9" s="226">
        <v>0.8</v>
      </c>
      <c r="BA9" s="226">
        <v>0.6</v>
      </c>
      <c r="BB9" s="226">
        <v>0.6</v>
      </c>
      <c r="BC9" s="226">
        <v>0.8</v>
      </c>
      <c r="BD9" s="226">
        <v>0.7</v>
      </c>
      <c r="BE9" s="226">
        <v>0.8</v>
      </c>
      <c r="BF9" s="226">
        <v>0.1</v>
      </c>
      <c r="BG9" s="226">
        <v>0.1</v>
      </c>
      <c r="BH9" s="226">
        <v>0.3</v>
      </c>
      <c r="BI9" s="226">
        <v>0.3</v>
      </c>
      <c r="BJ9" s="226">
        <v>0.3</v>
      </c>
      <c r="BK9" s="226">
        <v>0.3</v>
      </c>
      <c r="BL9" s="226">
        <v>0.3</v>
      </c>
      <c r="BM9" s="226">
        <v>0.3</v>
      </c>
      <c r="BN9" s="226">
        <v>0.7</v>
      </c>
      <c r="BO9" s="226">
        <v>0.7</v>
      </c>
      <c r="BP9" s="226">
        <v>0.8</v>
      </c>
      <c r="BQ9" s="226">
        <v>0.8</v>
      </c>
      <c r="BR9" s="226">
        <v>0.7</v>
      </c>
      <c r="BS9" s="226">
        <v>0.7</v>
      </c>
      <c r="BT9" s="226">
        <v>0.7</v>
      </c>
      <c r="BU9" s="226">
        <v>0.7</v>
      </c>
      <c r="BV9" s="226">
        <v>0.8</v>
      </c>
      <c r="BW9" s="226">
        <v>0.8</v>
      </c>
      <c r="BX9" s="226">
        <v>0.7</v>
      </c>
      <c r="BY9" s="226">
        <v>0.8</v>
      </c>
      <c r="BZ9" s="226">
        <v>0.8</v>
      </c>
      <c r="CA9" s="226">
        <v>0.8</v>
      </c>
      <c r="CB9" s="226">
        <v>0.8</v>
      </c>
      <c r="CC9" s="226">
        <v>0.8</v>
      </c>
      <c r="CD9" s="226">
        <v>0.8</v>
      </c>
      <c r="CE9" s="226">
        <v>0.8</v>
      </c>
      <c r="CF9" s="226">
        <v>0.8</v>
      </c>
      <c r="CG9" s="226">
        <v>0.8</v>
      </c>
      <c r="CH9" s="226">
        <v>0.8</v>
      </c>
      <c r="CI9" s="226">
        <v>0.8</v>
      </c>
      <c r="CJ9" s="226">
        <v>0.8</v>
      </c>
      <c r="CK9" s="226">
        <v>0.8</v>
      </c>
      <c r="CL9" s="226">
        <v>0.8</v>
      </c>
      <c r="CM9" s="226">
        <v>0.8</v>
      </c>
      <c r="CN9" s="226">
        <v>0.8</v>
      </c>
      <c r="CO9" s="226">
        <v>0.8</v>
      </c>
      <c r="CP9" s="226">
        <v>0.8</v>
      </c>
      <c r="CQ9" s="226">
        <v>0.8</v>
      </c>
      <c r="CR9" s="226">
        <v>0.8</v>
      </c>
      <c r="CS9" s="226">
        <v>0.8</v>
      </c>
      <c r="CT9" s="226">
        <v>0.8</v>
      </c>
      <c r="CU9" s="226">
        <v>0.8</v>
      </c>
      <c r="CV9" s="226">
        <v>0.8</v>
      </c>
      <c r="CW9" s="226">
        <v>0.8</v>
      </c>
      <c r="CX9" s="226">
        <v>0.8</v>
      </c>
      <c r="CY9" s="226">
        <v>0.8</v>
      </c>
      <c r="CZ9" s="226">
        <v>0.8</v>
      </c>
      <c r="DA9" s="226">
        <v>0.8</v>
      </c>
      <c r="DB9" s="226">
        <v>0.8</v>
      </c>
      <c r="DC9" s="226">
        <v>0.8</v>
      </c>
      <c r="DD9" s="226">
        <v>0.8</v>
      </c>
      <c r="DE9" s="226">
        <v>0.8</v>
      </c>
      <c r="DF9" s="226">
        <v>0.8</v>
      </c>
      <c r="DG9" s="226">
        <v>0.8</v>
      </c>
      <c r="DH9" s="226">
        <v>0.8</v>
      </c>
      <c r="DI9" s="226">
        <v>0.8</v>
      </c>
      <c r="DJ9" s="226">
        <v>0.8</v>
      </c>
      <c r="DK9" s="226">
        <v>0.8</v>
      </c>
      <c r="DL9" s="226">
        <v>0.1</v>
      </c>
      <c r="DM9" s="226">
        <v>0</v>
      </c>
      <c r="DN9" s="226">
        <v>0</v>
      </c>
      <c r="DO9" s="226">
        <v>0</v>
      </c>
      <c r="DP9" s="226">
        <v>0</v>
      </c>
      <c r="DQ9" s="226">
        <v>0</v>
      </c>
      <c r="DR9" s="226">
        <v>0</v>
      </c>
      <c r="DS9" s="226">
        <v>0</v>
      </c>
    </row>
    <row r="10" spans="1:123" x14ac:dyDescent="0.15">
      <c r="A10" s="156" t="s">
        <v>233</v>
      </c>
      <c r="B10">
        <v>0.8</v>
      </c>
      <c r="C10" s="226">
        <v>0.8</v>
      </c>
      <c r="D10" s="226">
        <v>0.8</v>
      </c>
      <c r="E10" s="226">
        <v>0.8</v>
      </c>
      <c r="F10" s="226">
        <v>0.8</v>
      </c>
      <c r="G10" s="226">
        <v>0.8</v>
      </c>
      <c r="H10" s="226">
        <v>0.8</v>
      </c>
      <c r="I10" s="226">
        <v>0.8</v>
      </c>
      <c r="J10" s="226">
        <v>0.8</v>
      </c>
      <c r="K10" s="226">
        <v>0.8</v>
      </c>
      <c r="L10" s="226">
        <v>0.8</v>
      </c>
      <c r="M10" s="226">
        <v>0.7</v>
      </c>
      <c r="N10" s="226">
        <v>0.7</v>
      </c>
      <c r="O10" s="226">
        <v>0.6</v>
      </c>
      <c r="P10" s="226">
        <v>0.6</v>
      </c>
      <c r="Q10" s="226">
        <v>0.7</v>
      </c>
      <c r="R10" s="226">
        <v>0.8</v>
      </c>
      <c r="S10" s="226">
        <v>0.8</v>
      </c>
      <c r="T10" s="226">
        <v>0.8</v>
      </c>
      <c r="U10" s="226">
        <v>0.8</v>
      </c>
      <c r="V10" s="226">
        <v>0.8</v>
      </c>
      <c r="W10" s="225">
        <v>0.8</v>
      </c>
      <c r="X10" s="225">
        <v>0.8</v>
      </c>
      <c r="Y10" s="225">
        <v>0.8</v>
      </c>
      <c r="Z10" s="225">
        <v>0.8</v>
      </c>
      <c r="AA10" s="226">
        <v>0.8</v>
      </c>
      <c r="AB10" s="226">
        <v>0.6</v>
      </c>
      <c r="AC10" s="226">
        <v>0.8</v>
      </c>
      <c r="AD10" s="226">
        <v>0.8</v>
      </c>
      <c r="AE10" s="226">
        <v>0.1</v>
      </c>
      <c r="AF10" s="226">
        <v>0.1</v>
      </c>
      <c r="AG10" s="226">
        <v>0.1</v>
      </c>
      <c r="AH10" s="226">
        <v>0.1</v>
      </c>
      <c r="AI10" s="226">
        <v>0.8</v>
      </c>
      <c r="AJ10" s="226">
        <v>0.7</v>
      </c>
      <c r="AK10" s="226">
        <v>0.1</v>
      </c>
      <c r="AL10" s="226">
        <v>0.3</v>
      </c>
      <c r="AM10" s="226">
        <v>0.1</v>
      </c>
      <c r="AN10" s="226">
        <v>0.1</v>
      </c>
      <c r="AO10" s="226">
        <v>0.1</v>
      </c>
      <c r="AP10" s="226">
        <v>0.1</v>
      </c>
      <c r="AQ10" s="226">
        <v>0.1</v>
      </c>
      <c r="AR10" s="226">
        <v>0.1</v>
      </c>
      <c r="AS10" s="226">
        <v>0.1</v>
      </c>
      <c r="AT10" s="226">
        <v>0.7</v>
      </c>
      <c r="AU10" s="226">
        <v>0.3</v>
      </c>
      <c r="AV10" s="226">
        <v>0.3</v>
      </c>
      <c r="AW10" s="226">
        <v>0.3</v>
      </c>
      <c r="AX10" s="226">
        <v>0.8</v>
      </c>
      <c r="AY10" s="226">
        <v>0.8</v>
      </c>
      <c r="AZ10" s="226">
        <v>0.8</v>
      </c>
      <c r="BA10" s="226">
        <v>0.6</v>
      </c>
      <c r="BB10" s="226">
        <v>0.6</v>
      </c>
      <c r="BC10" s="226">
        <v>0.8</v>
      </c>
      <c r="BD10" s="226">
        <v>0.7</v>
      </c>
      <c r="BE10" s="226">
        <v>0.8</v>
      </c>
      <c r="BF10" s="226">
        <v>0.1</v>
      </c>
      <c r="BG10" s="226">
        <v>0.1</v>
      </c>
      <c r="BH10" s="226">
        <v>0.3</v>
      </c>
      <c r="BI10" s="226">
        <v>0.3</v>
      </c>
      <c r="BJ10" s="226">
        <v>0.3</v>
      </c>
      <c r="BK10" s="226">
        <v>0.3</v>
      </c>
      <c r="BL10" s="226">
        <v>0.3</v>
      </c>
      <c r="BM10" s="226">
        <v>0.3</v>
      </c>
      <c r="BN10" s="226">
        <v>0.7</v>
      </c>
      <c r="BO10" s="226">
        <v>0.7</v>
      </c>
      <c r="BP10" s="226">
        <v>0.8</v>
      </c>
      <c r="BQ10" s="226">
        <v>0.8</v>
      </c>
      <c r="BR10" s="226">
        <v>0.7</v>
      </c>
      <c r="BS10" s="226">
        <v>0.7</v>
      </c>
      <c r="BT10" s="226">
        <v>0.7</v>
      </c>
      <c r="BU10" s="226">
        <v>0.7</v>
      </c>
      <c r="BV10" s="226">
        <v>0.8</v>
      </c>
      <c r="BW10" s="226">
        <v>0.8</v>
      </c>
      <c r="BX10" s="226">
        <v>0.7</v>
      </c>
      <c r="BY10" s="226">
        <v>0.8</v>
      </c>
      <c r="BZ10" s="226">
        <v>0.8</v>
      </c>
      <c r="CA10" s="226">
        <v>0.8</v>
      </c>
      <c r="CB10" s="226">
        <v>0.8</v>
      </c>
      <c r="CC10" s="226">
        <v>0.8</v>
      </c>
      <c r="CD10" s="226">
        <v>0.8</v>
      </c>
      <c r="CE10" s="226">
        <v>0.8</v>
      </c>
      <c r="CF10" s="226">
        <v>0.8</v>
      </c>
      <c r="CG10" s="226">
        <v>0.8</v>
      </c>
      <c r="CH10" s="226">
        <v>0.8</v>
      </c>
      <c r="CI10" s="226">
        <v>0.8</v>
      </c>
      <c r="CJ10" s="226">
        <v>0.8</v>
      </c>
      <c r="CK10" s="226">
        <v>0.8</v>
      </c>
      <c r="CL10" s="226">
        <v>0.8</v>
      </c>
      <c r="CM10" s="226">
        <v>0.8</v>
      </c>
      <c r="CN10" s="226">
        <v>0.8</v>
      </c>
      <c r="CO10" s="226">
        <v>0.8</v>
      </c>
      <c r="CP10" s="226">
        <v>0.8</v>
      </c>
      <c r="CQ10" s="226">
        <v>0.8</v>
      </c>
      <c r="CR10" s="226">
        <v>0.8</v>
      </c>
      <c r="CS10" s="226">
        <v>0.8</v>
      </c>
      <c r="CT10" s="226">
        <v>0.8</v>
      </c>
      <c r="CU10" s="226">
        <v>0.8</v>
      </c>
      <c r="CV10" s="226">
        <v>0.8</v>
      </c>
      <c r="CW10" s="226">
        <v>0.8</v>
      </c>
      <c r="CX10" s="226">
        <v>0.8</v>
      </c>
      <c r="CY10" s="226">
        <v>0.8</v>
      </c>
      <c r="CZ10" s="226">
        <v>0.8</v>
      </c>
      <c r="DA10" s="226">
        <v>0.8</v>
      </c>
      <c r="DB10" s="226">
        <v>0.8</v>
      </c>
      <c r="DC10" s="226">
        <v>0.8</v>
      </c>
      <c r="DD10" s="226">
        <v>0.8</v>
      </c>
      <c r="DE10" s="226">
        <v>0.8</v>
      </c>
      <c r="DF10" s="226">
        <v>0.8</v>
      </c>
      <c r="DG10" s="226">
        <v>0.8</v>
      </c>
      <c r="DH10" s="226">
        <v>0.8</v>
      </c>
      <c r="DI10" s="226">
        <v>0.8</v>
      </c>
      <c r="DJ10" s="226">
        <v>0.8</v>
      </c>
      <c r="DK10" s="226">
        <v>0.8</v>
      </c>
      <c r="DL10" s="226">
        <v>0.1</v>
      </c>
      <c r="DM10" s="226">
        <v>0</v>
      </c>
      <c r="DN10" s="226">
        <v>0</v>
      </c>
      <c r="DO10" s="226">
        <v>0</v>
      </c>
      <c r="DP10" s="226">
        <v>0</v>
      </c>
      <c r="DQ10" s="226">
        <v>0</v>
      </c>
      <c r="DR10" s="226">
        <v>0</v>
      </c>
      <c r="DS10" s="226">
        <v>0</v>
      </c>
    </row>
    <row r="11" spans="1:123" x14ac:dyDescent="0.15">
      <c r="A11" s="156" t="s">
        <v>234</v>
      </c>
      <c r="B11">
        <v>0.8</v>
      </c>
      <c r="C11" s="226">
        <v>0.8</v>
      </c>
      <c r="D11" s="226">
        <v>0.8</v>
      </c>
      <c r="E11" s="226">
        <v>0.8</v>
      </c>
      <c r="F11" s="226">
        <v>0.8</v>
      </c>
      <c r="G11" s="226">
        <v>0.8</v>
      </c>
      <c r="H11" s="226">
        <v>0.8</v>
      </c>
      <c r="I11" s="226">
        <v>0.8</v>
      </c>
      <c r="J11" s="226">
        <v>0.8</v>
      </c>
      <c r="K11" s="226">
        <v>0.8</v>
      </c>
      <c r="L11" s="226">
        <v>0.8</v>
      </c>
      <c r="M11" s="226">
        <v>0.7</v>
      </c>
      <c r="N11" s="226">
        <v>0.7</v>
      </c>
      <c r="O11" s="226">
        <v>0.6</v>
      </c>
      <c r="P11" s="226">
        <v>0.6</v>
      </c>
      <c r="Q11" s="226">
        <v>0.7</v>
      </c>
      <c r="R11" s="226">
        <v>0.8</v>
      </c>
      <c r="S11" s="226">
        <v>0.8</v>
      </c>
      <c r="T11" s="226">
        <v>0.8</v>
      </c>
      <c r="U11" s="226">
        <v>0.8</v>
      </c>
      <c r="V11" s="226">
        <v>0.8</v>
      </c>
      <c r="W11" s="225">
        <v>0.8</v>
      </c>
      <c r="X11" s="225">
        <v>0.8</v>
      </c>
      <c r="Y11" s="225">
        <v>0.8</v>
      </c>
      <c r="Z11" s="225">
        <v>0.8</v>
      </c>
      <c r="AA11" s="226">
        <v>0.8</v>
      </c>
      <c r="AB11" s="226">
        <v>0.6</v>
      </c>
      <c r="AC11" s="226">
        <v>0.8</v>
      </c>
      <c r="AD11" s="226">
        <v>0.8</v>
      </c>
      <c r="AE11" s="226">
        <v>0.1</v>
      </c>
      <c r="AF11" s="226">
        <v>0.1</v>
      </c>
      <c r="AG11" s="226">
        <v>0.1</v>
      </c>
      <c r="AH11" s="226">
        <v>0.1</v>
      </c>
      <c r="AI11" s="226">
        <v>0.8</v>
      </c>
      <c r="AJ11" s="226">
        <v>0.7</v>
      </c>
      <c r="AK11" s="226">
        <v>0.1</v>
      </c>
      <c r="AL11" s="226">
        <v>0.3</v>
      </c>
      <c r="AM11" s="226">
        <v>0.1</v>
      </c>
      <c r="AN11" s="226">
        <v>0.1</v>
      </c>
      <c r="AO11" s="226">
        <v>0.1</v>
      </c>
      <c r="AP11" s="226">
        <v>0.1</v>
      </c>
      <c r="AQ11" s="226">
        <v>0.1</v>
      </c>
      <c r="AR11" s="226">
        <v>0.1</v>
      </c>
      <c r="AS11" s="226">
        <v>0.1</v>
      </c>
      <c r="AT11" s="226">
        <v>0.7</v>
      </c>
      <c r="AU11" s="226">
        <v>0.3</v>
      </c>
      <c r="AV11" s="226">
        <v>0.3</v>
      </c>
      <c r="AW11" s="226">
        <v>0.3</v>
      </c>
      <c r="AX11" s="226">
        <v>0.8</v>
      </c>
      <c r="AY11" s="226">
        <v>0.8</v>
      </c>
      <c r="AZ11" s="226">
        <v>0.8</v>
      </c>
      <c r="BA11" s="226">
        <v>0.6</v>
      </c>
      <c r="BB11" s="226">
        <v>0.6</v>
      </c>
      <c r="BC11" s="226">
        <v>0.8</v>
      </c>
      <c r="BD11" s="226">
        <v>0.7</v>
      </c>
      <c r="BE11" s="226">
        <v>0.8</v>
      </c>
      <c r="BF11" s="226">
        <v>0.1</v>
      </c>
      <c r="BG11" s="226">
        <v>0.1</v>
      </c>
      <c r="BH11" s="226">
        <v>0.3</v>
      </c>
      <c r="BI11" s="226">
        <v>0.3</v>
      </c>
      <c r="BJ11" s="226">
        <v>0.3</v>
      </c>
      <c r="BK11" s="226">
        <v>0.3</v>
      </c>
      <c r="BL11" s="226">
        <v>0.3</v>
      </c>
      <c r="BM11" s="226">
        <v>0.3</v>
      </c>
      <c r="BN11" s="226">
        <v>0.7</v>
      </c>
      <c r="BO11" s="226">
        <v>0.7</v>
      </c>
      <c r="BP11" s="226">
        <v>0.8</v>
      </c>
      <c r="BQ11" s="226">
        <v>0.8</v>
      </c>
      <c r="BR11" s="226">
        <v>0.7</v>
      </c>
      <c r="BS11" s="226">
        <v>0.7</v>
      </c>
      <c r="BT11" s="226">
        <v>0.7</v>
      </c>
      <c r="BU11" s="226">
        <v>0.7</v>
      </c>
      <c r="BV11" s="226">
        <v>0.8</v>
      </c>
      <c r="BW11" s="226">
        <v>0.8</v>
      </c>
      <c r="BX11" s="226">
        <v>0.7</v>
      </c>
      <c r="BY11" s="226">
        <v>0.8</v>
      </c>
      <c r="BZ11" s="226">
        <v>0.8</v>
      </c>
      <c r="CA11" s="226">
        <v>0.8</v>
      </c>
      <c r="CB11" s="226">
        <v>0.8</v>
      </c>
      <c r="CC11" s="226">
        <v>0.8</v>
      </c>
      <c r="CD11" s="226">
        <v>0.8</v>
      </c>
      <c r="CE11" s="226">
        <v>0.8</v>
      </c>
      <c r="CF11" s="226">
        <v>0.8</v>
      </c>
      <c r="CG11" s="226">
        <v>0.8</v>
      </c>
      <c r="CH11" s="226">
        <v>0.8</v>
      </c>
      <c r="CI11" s="226">
        <v>0.8</v>
      </c>
      <c r="CJ11" s="226">
        <v>0.8</v>
      </c>
      <c r="CK11" s="226">
        <v>0.8</v>
      </c>
      <c r="CL11" s="226">
        <v>0.8</v>
      </c>
      <c r="CM11" s="226">
        <v>0.8</v>
      </c>
      <c r="CN11" s="226">
        <v>0.8</v>
      </c>
      <c r="CO11" s="226">
        <v>0.8</v>
      </c>
      <c r="CP11" s="226">
        <v>0.8</v>
      </c>
      <c r="CQ11" s="226">
        <v>0.8</v>
      </c>
      <c r="CR11" s="226">
        <v>0.8</v>
      </c>
      <c r="CS11" s="226">
        <v>0.8</v>
      </c>
      <c r="CT11" s="226">
        <v>0.8</v>
      </c>
      <c r="CU11" s="226">
        <v>0.8</v>
      </c>
      <c r="CV11" s="226">
        <v>0.8</v>
      </c>
      <c r="CW11" s="226">
        <v>0.8</v>
      </c>
      <c r="CX11" s="226">
        <v>0.8</v>
      </c>
      <c r="CY11" s="226">
        <v>0.8</v>
      </c>
      <c r="CZ11" s="226">
        <v>0.8</v>
      </c>
      <c r="DA11" s="226">
        <v>0.8</v>
      </c>
      <c r="DB11" s="226">
        <v>0.8</v>
      </c>
      <c r="DC11" s="226">
        <v>0.8</v>
      </c>
      <c r="DD11" s="226">
        <v>0.8</v>
      </c>
      <c r="DE11" s="226">
        <v>0.8</v>
      </c>
      <c r="DF11" s="226">
        <v>0.8</v>
      </c>
      <c r="DG11" s="226">
        <v>0.8</v>
      </c>
      <c r="DH11" s="226">
        <v>0.8</v>
      </c>
      <c r="DI11" s="226">
        <v>0.8</v>
      </c>
      <c r="DJ11" s="226">
        <v>0.8</v>
      </c>
      <c r="DK11" s="226">
        <v>0.8</v>
      </c>
      <c r="DL11" s="226">
        <v>0.1</v>
      </c>
      <c r="DM11" s="226">
        <v>0</v>
      </c>
      <c r="DN11" s="226">
        <v>0</v>
      </c>
      <c r="DO11" s="226">
        <v>0</v>
      </c>
      <c r="DP11" s="226">
        <v>0</v>
      </c>
      <c r="DQ11" s="226">
        <v>0</v>
      </c>
      <c r="DR11" s="226">
        <v>0</v>
      </c>
      <c r="DS11" s="226">
        <v>0</v>
      </c>
    </row>
    <row r="12" spans="1:123" x14ac:dyDescent="0.15">
      <c r="A12" s="156" t="s">
        <v>235</v>
      </c>
      <c r="B12">
        <v>0.8</v>
      </c>
      <c r="C12" s="226">
        <v>0.8</v>
      </c>
      <c r="D12" s="226">
        <v>0.8</v>
      </c>
      <c r="E12" s="226">
        <v>0.8</v>
      </c>
      <c r="F12" s="226">
        <v>0.8</v>
      </c>
      <c r="G12" s="226">
        <v>0.8</v>
      </c>
      <c r="H12" s="226">
        <v>0.8</v>
      </c>
      <c r="I12" s="226">
        <v>0.8</v>
      </c>
      <c r="J12" s="226">
        <v>0.8</v>
      </c>
      <c r="K12" s="226">
        <v>0.8</v>
      </c>
      <c r="L12" s="226">
        <v>0.8</v>
      </c>
      <c r="M12" s="226">
        <v>0.7</v>
      </c>
      <c r="N12" s="226">
        <v>0.7</v>
      </c>
      <c r="O12" s="226">
        <v>0.6</v>
      </c>
      <c r="P12" s="226">
        <v>0.6</v>
      </c>
      <c r="Q12" s="226">
        <v>0.7</v>
      </c>
      <c r="R12" s="226">
        <v>0.8</v>
      </c>
      <c r="S12" s="226">
        <v>0.8</v>
      </c>
      <c r="T12" s="226">
        <v>0.8</v>
      </c>
      <c r="U12" s="226">
        <v>0.8</v>
      </c>
      <c r="V12" s="226">
        <v>0.8</v>
      </c>
      <c r="W12" s="225">
        <v>0.8</v>
      </c>
      <c r="X12" s="225">
        <v>0.8</v>
      </c>
      <c r="Y12" s="225">
        <v>0.8</v>
      </c>
      <c r="Z12" s="225">
        <v>0.8</v>
      </c>
      <c r="AA12" s="226">
        <v>0.8</v>
      </c>
      <c r="AB12" s="226">
        <v>0.6</v>
      </c>
      <c r="AC12" s="226">
        <v>0.8</v>
      </c>
      <c r="AD12" s="226">
        <v>0.8</v>
      </c>
      <c r="AE12" s="226">
        <v>0.1</v>
      </c>
      <c r="AF12" s="226">
        <v>0.1</v>
      </c>
      <c r="AG12" s="226">
        <v>0.1</v>
      </c>
      <c r="AH12" s="226">
        <v>0.1</v>
      </c>
      <c r="AI12" s="226">
        <v>0.8</v>
      </c>
      <c r="AJ12" s="226">
        <v>0.7</v>
      </c>
      <c r="AK12" s="226">
        <v>0.1</v>
      </c>
      <c r="AL12" s="226">
        <v>0.3</v>
      </c>
      <c r="AM12" s="226">
        <v>0.1</v>
      </c>
      <c r="AN12" s="226">
        <v>0.1</v>
      </c>
      <c r="AO12" s="226">
        <v>0.1</v>
      </c>
      <c r="AP12" s="226">
        <v>0.1</v>
      </c>
      <c r="AQ12" s="226">
        <v>0.1</v>
      </c>
      <c r="AR12" s="226">
        <v>0.1</v>
      </c>
      <c r="AS12" s="226">
        <v>0.1</v>
      </c>
      <c r="AT12" s="226">
        <v>0.7</v>
      </c>
      <c r="AU12" s="226">
        <v>0.3</v>
      </c>
      <c r="AV12" s="226">
        <v>0.3</v>
      </c>
      <c r="AW12" s="226">
        <v>0.3</v>
      </c>
      <c r="AX12" s="226">
        <v>0.8</v>
      </c>
      <c r="AY12" s="226">
        <v>0.8</v>
      </c>
      <c r="AZ12" s="226">
        <v>0.8</v>
      </c>
      <c r="BA12" s="226">
        <v>0.6</v>
      </c>
      <c r="BB12" s="226">
        <v>0.6</v>
      </c>
      <c r="BC12" s="226">
        <v>0.8</v>
      </c>
      <c r="BD12" s="226">
        <v>0.7</v>
      </c>
      <c r="BE12" s="226">
        <v>0.8</v>
      </c>
      <c r="BF12" s="226">
        <v>0.1</v>
      </c>
      <c r="BG12" s="226">
        <v>0.1</v>
      </c>
      <c r="BH12" s="226">
        <v>0.3</v>
      </c>
      <c r="BI12" s="226">
        <v>0.3</v>
      </c>
      <c r="BJ12" s="226">
        <v>0.3</v>
      </c>
      <c r="BK12" s="226">
        <v>0.3</v>
      </c>
      <c r="BL12" s="226">
        <v>0.3</v>
      </c>
      <c r="BM12" s="226">
        <v>0.3</v>
      </c>
      <c r="BN12" s="226">
        <v>0.7</v>
      </c>
      <c r="BO12" s="226">
        <v>0.7</v>
      </c>
      <c r="BP12" s="226">
        <v>0.8</v>
      </c>
      <c r="BQ12" s="226">
        <v>0.8</v>
      </c>
      <c r="BR12" s="226">
        <v>0.7</v>
      </c>
      <c r="BS12" s="226">
        <v>0.7</v>
      </c>
      <c r="BT12" s="226">
        <v>0.7</v>
      </c>
      <c r="BU12" s="226">
        <v>0.7</v>
      </c>
      <c r="BV12" s="226">
        <v>0.8</v>
      </c>
      <c r="BW12" s="226">
        <v>0.8</v>
      </c>
      <c r="BX12" s="226">
        <v>0.7</v>
      </c>
      <c r="BY12" s="226">
        <v>0.8</v>
      </c>
      <c r="BZ12" s="226">
        <v>0.8</v>
      </c>
      <c r="CA12" s="226">
        <v>0.8</v>
      </c>
      <c r="CB12" s="226">
        <v>0.8</v>
      </c>
      <c r="CC12" s="226">
        <v>0.8</v>
      </c>
      <c r="CD12" s="226">
        <v>0.8</v>
      </c>
      <c r="CE12" s="226">
        <v>0.8</v>
      </c>
      <c r="CF12" s="226">
        <v>0.8</v>
      </c>
      <c r="CG12" s="226">
        <v>0.8</v>
      </c>
      <c r="CH12" s="226">
        <v>0.8</v>
      </c>
      <c r="CI12" s="226">
        <v>0.8</v>
      </c>
      <c r="CJ12" s="226">
        <v>0.8</v>
      </c>
      <c r="CK12" s="226">
        <v>0.8</v>
      </c>
      <c r="CL12" s="226">
        <v>0.8</v>
      </c>
      <c r="CM12" s="226">
        <v>0.8</v>
      </c>
      <c r="CN12" s="226">
        <v>0.8</v>
      </c>
      <c r="CO12" s="226">
        <v>0.8</v>
      </c>
      <c r="CP12" s="226">
        <v>0.8</v>
      </c>
      <c r="CQ12" s="226">
        <v>0.8</v>
      </c>
      <c r="CR12" s="226">
        <v>0.8</v>
      </c>
      <c r="CS12" s="226">
        <v>0.8</v>
      </c>
      <c r="CT12" s="226">
        <v>0.8</v>
      </c>
      <c r="CU12" s="226">
        <v>0.8</v>
      </c>
      <c r="CV12" s="226">
        <v>0.8</v>
      </c>
      <c r="CW12" s="226">
        <v>0.8</v>
      </c>
      <c r="CX12" s="226">
        <v>0.8</v>
      </c>
      <c r="CY12" s="226">
        <v>0.8</v>
      </c>
      <c r="CZ12" s="226">
        <v>0.8</v>
      </c>
      <c r="DA12" s="226">
        <v>0.8</v>
      </c>
      <c r="DB12" s="226">
        <v>0.8</v>
      </c>
      <c r="DC12" s="226">
        <v>0.8</v>
      </c>
      <c r="DD12" s="226">
        <v>0.8</v>
      </c>
      <c r="DE12" s="226">
        <v>0.8</v>
      </c>
      <c r="DF12" s="226">
        <v>0.8</v>
      </c>
      <c r="DG12" s="226">
        <v>0.8</v>
      </c>
      <c r="DH12" s="226">
        <v>0.8</v>
      </c>
      <c r="DI12" s="226">
        <v>0.8</v>
      </c>
      <c r="DJ12" s="226">
        <v>0.8</v>
      </c>
      <c r="DK12" s="226">
        <v>0.8</v>
      </c>
      <c r="DL12" s="226">
        <v>0.1</v>
      </c>
      <c r="DM12" s="226">
        <v>0</v>
      </c>
      <c r="DN12" s="226">
        <v>0</v>
      </c>
      <c r="DO12" s="226">
        <v>0</v>
      </c>
      <c r="DP12" s="226">
        <v>0</v>
      </c>
      <c r="DQ12" s="226">
        <v>0</v>
      </c>
      <c r="DR12" s="226">
        <v>0</v>
      </c>
      <c r="DS12" s="226">
        <v>0</v>
      </c>
    </row>
    <row r="13" spans="1:123" x14ac:dyDescent="0.15">
      <c r="A13" s="156" t="s">
        <v>236</v>
      </c>
      <c r="B13">
        <v>0.8</v>
      </c>
      <c r="C13" s="226">
        <v>0.8</v>
      </c>
      <c r="D13" s="226">
        <v>0.8</v>
      </c>
      <c r="E13" s="226">
        <v>0.8</v>
      </c>
      <c r="F13" s="226">
        <v>0.8</v>
      </c>
      <c r="G13" s="226">
        <v>0.8</v>
      </c>
      <c r="H13" s="226">
        <v>0.8</v>
      </c>
      <c r="I13" s="226">
        <v>0.8</v>
      </c>
      <c r="J13" s="226">
        <v>0.8</v>
      </c>
      <c r="K13" s="226">
        <v>0.8</v>
      </c>
      <c r="L13" s="226">
        <v>0.8</v>
      </c>
      <c r="M13" s="226">
        <v>0.7</v>
      </c>
      <c r="N13" s="226">
        <v>0.7</v>
      </c>
      <c r="O13" s="226">
        <v>0.6</v>
      </c>
      <c r="P13" s="226">
        <v>0.6</v>
      </c>
      <c r="Q13" s="226">
        <v>0.7</v>
      </c>
      <c r="R13" s="226">
        <v>0.8</v>
      </c>
      <c r="S13" s="226">
        <v>0.8</v>
      </c>
      <c r="T13" s="226">
        <v>0.8</v>
      </c>
      <c r="U13" s="226">
        <v>0.8</v>
      </c>
      <c r="V13" s="226">
        <v>0.8</v>
      </c>
      <c r="W13" s="225">
        <v>0.8</v>
      </c>
      <c r="X13" s="225">
        <v>0.8</v>
      </c>
      <c r="Y13" s="225">
        <v>0.8</v>
      </c>
      <c r="Z13" s="225">
        <v>0.8</v>
      </c>
      <c r="AA13" s="226">
        <v>0.8</v>
      </c>
      <c r="AB13" s="226">
        <v>0.6</v>
      </c>
      <c r="AC13" s="226">
        <v>0.8</v>
      </c>
      <c r="AD13" s="226">
        <v>0.8</v>
      </c>
      <c r="AE13" s="226">
        <v>0.1</v>
      </c>
      <c r="AF13" s="226">
        <v>0.1</v>
      </c>
      <c r="AG13" s="226">
        <v>0.1</v>
      </c>
      <c r="AH13" s="226">
        <v>0.1</v>
      </c>
      <c r="AI13" s="226">
        <v>0.8</v>
      </c>
      <c r="AJ13" s="226">
        <v>0.7</v>
      </c>
      <c r="AK13" s="226">
        <v>0.1</v>
      </c>
      <c r="AL13" s="226">
        <v>0.3</v>
      </c>
      <c r="AM13" s="226">
        <v>0.1</v>
      </c>
      <c r="AN13" s="226">
        <v>0.1</v>
      </c>
      <c r="AO13" s="226">
        <v>0.1</v>
      </c>
      <c r="AP13" s="226">
        <v>0.1</v>
      </c>
      <c r="AQ13" s="226">
        <v>0.1</v>
      </c>
      <c r="AR13" s="226">
        <v>0.1</v>
      </c>
      <c r="AS13" s="226">
        <v>0.1</v>
      </c>
      <c r="AT13" s="226">
        <v>0.7</v>
      </c>
      <c r="AU13" s="226">
        <v>0.3</v>
      </c>
      <c r="AV13" s="226">
        <v>0.3</v>
      </c>
      <c r="AW13" s="226">
        <v>0.3</v>
      </c>
      <c r="AX13" s="226">
        <v>0.8</v>
      </c>
      <c r="AY13" s="226">
        <v>0.8</v>
      </c>
      <c r="AZ13" s="226">
        <v>0.8</v>
      </c>
      <c r="BA13" s="226">
        <v>0.6</v>
      </c>
      <c r="BB13" s="226">
        <v>0.6</v>
      </c>
      <c r="BC13" s="226">
        <v>0.8</v>
      </c>
      <c r="BD13" s="226">
        <v>0.7</v>
      </c>
      <c r="BE13" s="226">
        <v>0.8</v>
      </c>
      <c r="BF13" s="226">
        <v>0.1</v>
      </c>
      <c r="BG13" s="226">
        <v>0.1</v>
      </c>
      <c r="BH13" s="226">
        <v>0.3</v>
      </c>
      <c r="BI13" s="226">
        <v>0.3</v>
      </c>
      <c r="BJ13" s="226">
        <v>0.3</v>
      </c>
      <c r="BK13" s="226">
        <v>0.3</v>
      </c>
      <c r="BL13" s="226">
        <v>0.3</v>
      </c>
      <c r="BM13" s="226">
        <v>0.3</v>
      </c>
      <c r="BN13" s="226">
        <v>0.7</v>
      </c>
      <c r="BO13" s="226">
        <v>0.7</v>
      </c>
      <c r="BP13" s="226">
        <v>0.8</v>
      </c>
      <c r="BQ13" s="226">
        <v>0.8</v>
      </c>
      <c r="BR13" s="226">
        <v>0.7</v>
      </c>
      <c r="BS13" s="226">
        <v>0.7</v>
      </c>
      <c r="BT13" s="226">
        <v>0.7</v>
      </c>
      <c r="BU13" s="226">
        <v>0.7</v>
      </c>
      <c r="BV13" s="226">
        <v>0.8</v>
      </c>
      <c r="BW13" s="226">
        <v>0.8</v>
      </c>
      <c r="BX13" s="226">
        <v>0.7</v>
      </c>
      <c r="BY13" s="226">
        <v>0.8</v>
      </c>
      <c r="BZ13" s="226">
        <v>0.8</v>
      </c>
      <c r="CA13" s="226">
        <v>0.8</v>
      </c>
      <c r="CB13" s="226">
        <v>0.8</v>
      </c>
      <c r="CC13" s="226">
        <v>0.8</v>
      </c>
      <c r="CD13" s="226">
        <v>0.8</v>
      </c>
      <c r="CE13" s="226">
        <v>0.8</v>
      </c>
      <c r="CF13" s="226">
        <v>0.8</v>
      </c>
      <c r="CG13" s="226">
        <v>0.8</v>
      </c>
      <c r="CH13" s="226">
        <v>0.8</v>
      </c>
      <c r="CI13" s="226">
        <v>0.8</v>
      </c>
      <c r="CJ13" s="226">
        <v>0.8</v>
      </c>
      <c r="CK13" s="226">
        <v>0.8</v>
      </c>
      <c r="CL13" s="226">
        <v>0.8</v>
      </c>
      <c r="CM13" s="226">
        <v>0.8</v>
      </c>
      <c r="CN13" s="226">
        <v>0.8</v>
      </c>
      <c r="CO13" s="226">
        <v>0.8</v>
      </c>
      <c r="CP13" s="226">
        <v>0.8</v>
      </c>
      <c r="CQ13" s="226">
        <v>0.8</v>
      </c>
      <c r="CR13" s="226">
        <v>0.8</v>
      </c>
      <c r="CS13" s="226">
        <v>0.8</v>
      </c>
      <c r="CT13" s="226">
        <v>0.8</v>
      </c>
      <c r="CU13" s="226">
        <v>0.8</v>
      </c>
      <c r="CV13" s="226">
        <v>0.8</v>
      </c>
      <c r="CW13" s="226">
        <v>0.8</v>
      </c>
      <c r="CX13" s="226">
        <v>0.8</v>
      </c>
      <c r="CY13" s="226">
        <v>0.8</v>
      </c>
      <c r="CZ13" s="226">
        <v>0.8</v>
      </c>
      <c r="DA13" s="226">
        <v>0.8</v>
      </c>
      <c r="DB13" s="226">
        <v>0.8</v>
      </c>
      <c r="DC13" s="226">
        <v>0.8</v>
      </c>
      <c r="DD13" s="226">
        <v>0.8</v>
      </c>
      <c r="DE13" s="226">
        <v>0.8</v>
      </c>
      <c r="DF13" s="226">
        <v>0.8</v>
      </c>
      <c r="DG13" s="226">
        <v>0.8</v>
      </c>
      <c r="DH13" s="226">
        <v>0.8</v>
      </c>
      <c r="DI13" s="226">
        <v>0.8</v>
      </c>
      <c r="DJ13" s="226">
        <v>0.8</v>
      </c>
      <c r="DK13" s="226">
        <v>0.8</v>
      </c>
      <c r="DL13" s="226">
        <v>0.1</v>
      </c>
      <c r="DM13" s="226">
        <v>0</v>
      </c>
      <c r="DN13" s="226">
        <v>0</v>
      </c>
      <c r="DO13" s="226">
        <v>0</v>
      </c>
      <c r="DP13" s="226">
        <v>0</v>
      </c>
      <c r="DQ13" s="226">
        <v>0</v>
      </c>
      <c r="DR13" s="226">
        <v>0</v>
      </c>
      <c r="DS13" s="226">
        <v>0</v>
      </c>
    </row>
    <row r="14" spans="1:123" x14ac:dyDescent="0.15">
      <c r="A14" s="156" t="s">
        <v>237</v>
      </c>
      <c r="B14">
        <v>0.8</v>
      </c>
      <c r="C14" s="226">
        <v>0.8</v>
      </c>
      <c r="D14" s="226">
        <v>0.8</v>
      </c>
      <c r="E14" s="226">
        <v>0.8</v>
      </c>
      <c r="F14" s="226">
        <v>0.8</v>
      </c>
      <c r="G14" s="226">
        <v>0.8</v>
      </c>
      <c r="H14" s="226">
        <v>0.8</v>
      </c>
      <c r="I14" s="226">
        <v>0.8</v>
      </c>
      <c r="J14" s="226">
        <v>0.8</v>
      </c>
      <c r="K14" s="226">
        <v>0.8</v>
      </c>
      <c r="L14" s="226">
        <v>0.8</v>
      </c>
      <c r="M14" s="226">
        <v>0.7</v>
      </c>
      <c r="N14" s="226">
        <v>0.7</v>
      </c>
      <c r="O14" s="226">
        <v>0.6</v>
      </c>
      <c r="P14" s="226">
        <v>0.6</v>
      </c>
      <c r="Q14" s="226">
        <v>0.7</v>
      </c>
      <c r="R14" s="226">
        <v>0.8</v>
      </c>
      <c r="S14" s="226">
        <v>0.8</v>
      </c>
      <c r="T14" s="226">
        <v>0.8</v>
      </c>
      <c r="U14" s="226">
        <v>0.8</v>
      </c>
      <c r="V14" s="226">
        <v>0.8</v>
      </c>
      <c r="W14" s="225">
        <v>0.8</v>
      </c>
      <c r="X14" s="225">
        <v>0.8</v>
      </c>
      <c r="Y14" s="225">
        <v>0.8</v>
      </c>
      <c r="Z14" s="225">
        <v>0.8</v>
      </c>
      <c r="AA14" s="226">
        <v>0.8</v>
      </c>
      <c r="AB14" s="226">
        <v>0.6</v>
      </c>
      <c r="AC14" s="226">
        <v>0.8</v>
      </c>
      <c r="AD14" s="226">
        <v>0.8</v>
      </c>
      <c r="AE14" s="226">
        <v>0.1</v>
      </c>
      <c r="AF14" s="226">
        <v>0.1</v>
      </c>
      <c r="AG14" s="226">
        <v>0.1</v>
      </c>
      <c r="AH14" s="226">
        <v>0.1</v>
      </c>
      <c r="AI14" s="226">
        <v>0.8</v>
      </c>
      <c r="AJ14" s="226">
        <v>0.7</v>
      </c>
      <c r="AK14" s="226">
        <v>0.1</v>
      </c>
      <c r="AL14" s="226">
        <v>0.3</v>
      </c>
      <c r="AM14" s="226">
        <v>0.1</v>
      </c>
      <c r="AN14" s="226">
        <v>0.1</v>
      </c>
      <c r="AO14" s="226">
        <v>0.1</v>
      </c>
      <c r="AP14" s="226">
        <v>0.1</v>
      </c>
      <c r="AQ14" s="226">
        <v>0.1</v>
      </c>
      <c r="AR14" s="226">
        <v>0.1</v>
      </c>
      <c r="AS14" s="226">
        <v>0.1</v>
      </c>
      <c r="AT14" s="226">
        <v>0.7</v>
      </c>
      <c r="AU14" s="226">
        <v>0.3</v>
      </c>
      <c r="AV14" s="226">
        <v>0.3</v>
      </c>
      <c r="AW14" s="226">
        <v>0.3</v>
      </c>
      <c r="AX14" s="226">
        <v>0.8</v>
      </c>
      <c r="AY14" s="226">
        <v>0.8</v>
      </c>
      <c r="AZ14" s="226">
        <v>0.8</v>
      </c>
      <c r="BA14" s="226">
        <v>0.6</v>
      </c>
      <c r="BB14" s="226">
        <v>0.6</v>
      </c>
      <c r="BC14" s="226">
        <v>0.8</v>
      </c>
      <c r="BD14" s="226">
        <v>0.7</v>
      </c>
      <c r="BE14" s="226">
        <v>0.8</v>
      </c>
      <c r="BF14" s="226">
        <v>0.1</v>
      </c>
      <c r="BG14" s="226">
        <v>0.1</v>
      </c>
      <c r="BH14" s="226">
        <v>0.3</v>
      </c>
      <c r="BI14" s="226">
        <v>0.3</v>
      </c>
      <c r="BJ14" s="226">
        <v>0.3</v>
      </c>
      <c r="BK14" s="226">
        <v>0.3</v>
      </c>
      <c r="BL14" s="226">
        <v>0.3</v>
      </c>
      <c r="BM14" s="226">
        <v>0.3</v>
      </c>
      <c r="BN14" s="226">
        <v>0.7</v>
      </c>
      <c r="BO14" s="226">
        <v>0.7</v>
      </c>
      <c r="BP14" s="226">
        <v>0.8</v>
      </c>
      <c r="BQ14" s="226">
        <v>0.8</v>
      </c>
      <c r="BR14" s="226">
        <v>0.7</v>
      </c>
      <c r="BS14" s="226">
        <v>0.7</v>
      </c>
      <c r="BT14" s="226">
        <v>0.7</v>
      </c>
      <c r="BU14" s="226">
        <v>0.7</v>
      </c>
      <c r="BV14" s="226">
        <v>0.8</v>
      </c>
      <c r="BW14" s="226">
        <v>0.8</v>
      </c>
      <c r="BX14" s="226">
        <v>0.7</v>
      </c>
      <c r="BY14" s="226">
        <v>0.8</v>
      </c>
      <c r="BZ14" s="226">
        <v>0.8</v>
      </c>
      <c r="CA14" s="226">
        <v>0.8</v>
      </c>
      <c r="CB14" s="226">
        <v>0.8</v>
      </c>
      <c r="CC14" s="226">
        <v>0.8</v>
      </c>
      <c r="CD14" s="226">
        <v>0.8</v>
      </c>
      <c r="CE14" s="226">
        <v>0.8</v>
      </c>
      <c r="CF14" s="226">
        <v>0.8</v>
      </c>
      <c r="CG14" s="226">
        <v>0.8</v>
      </c>
      <c r="CH14" s="226">
        <v>0.8</v>
      </c>
      <c r="CI14" s="226">
        <v>0.8</v>
      </c>
      <c r="CJ14" s="226">
        <v>0.8</v>
      </c>
      <c r="CK14" s="226">
        <v>0.8</v>
      </c>
      <c r="CL14" s="226">
        <v>0.8</v>
      </c>
      <c r="CM14" s="226">
        <v>0.8</v>
      </c>
      <c r="CN14" s="226">
        <v>0.8</v>
      </c>
      <c r="CO14" s="226">
        <v>0.8</v>
      </c>
      <c r="CP14" s="226">
        <v>0.8</v>
      </c>
      <c r="CQ14" s="226">
        <v>0.8</v>
      </c>
      <c r="CR14" s="226">
        <v>0.8</v>
      </c>
      <c r="CS14" s="226">
        <v>0.8</v>
      </c>
      <c r="CT14" s="226">
        <v>0.8</v>
      </c>
      <c r="CU14" s="226">
        <v>0.8</v>
      </c>
      <c r="CV14" s="226">
        <v>0.8</v>
      </c>
      <c r="CW14" s="226">
        <v>0.8</v>
      </c>
      <c r="CX14" s="226">
        <v>0.8</v>
      </c>
      <c r="CY14" s="226">
        <v>0.8</v>
      </c>
      <c r="CZ14" s="226">
        <v>0.8</v>
      </c>
      <c r="DA14" s="226">
        <v>0.8</v>
      </c>
      <c r="DB14" s="226">
        <v>0.8</v>
      </c>
      <c r="DC14" s="226">
        <v>0.8</v>
      </c>
      <c r="DD14" s="226">
        <v>0.8</v>
      </c>
      <c r="DE14" s="226">
        <v>0.8</v>
      </c>
      <c r="DF14" s="226">
        <v>0.8</v>
      </c>
      <c r="DG14" s="226">
        <v>0.8</v>
      </c>
      <c r="DH14" s="226">
        <v>0.8</v>
      </c>
      <c r="DI14" s="226">
        <v>0.8</v>
      </c>
      <c r="DJ14" s="226">
        <v>0.8</v>
      </c>
      <c r="DK14" s="226">
        <v>0.8</v>
      </c>
      <c r="DL14" s="226">
        <v>0.1</v>
      </c>
      <c r="DM14" s="226">
        <v>0</v>
      </c>
      <c r="DN14" s="226">
        <v>0</v>
      </c>
      <c r="DO14" s="226">
        <v>0</v>
      </c>
      <c r="DP14" s="226">
        <v>0</v>
      </c>
      <c r="DQ14" s="226">
        <v>0</v>
      </c>
      <c r="DR14" s="226">
        <v>0</v>
      </c>
      <c r="DS14" s="226">
        <v>0</v>
      </c>
    </row>
    <row r="15" spans="1:123" x14ac:dyDescent="0.15">
      <c r="A15" s="156" t="s">
        <v>238</v>
      </c>
      <c r="B15">
        <v>0.8</v>
      </c>
      <c r="C15" s="226">
        <v>0.8</v>
      </c>
      <c r="D15" s="226">
        <v>0.8</v>
      </c>
      <c r="E15" s="226">
        <v>0.8</v>
      </c>
      <c r="F15" s="226">
        <v>0.8</v>
      </c>
      <c r="G15" s="226">
        <v>0.8</v>
      </c>
      <c r="H15" s="226">
        <v>0.8</v>
      </c>
      <c r="I15" s="226">
        <v>0.8</v>
      </c>
      <c r="J15" s="226">
        <v>0.8</v>
      </c>
      <c r="K15" s="226">
        <v>0.8</v>
      </c>
      <c r="L15" s="226">
        <v>0.8</v>
      </c>
      <c r="M15" s="226">
        <v>0.7</v>
      </c>
      <c r="N15" s="226">
        <v>0.7</v>
      </c>
      <c r="O15" s="226">
        <v>0.6</v>
      </c>
      <c r="P15" s="226">
        <v>0.6</v>
      </c>
      <c r="Q15" s="226">
        <v>0.7</v>
      </c>
      <c r="R15" s="226">
        <v>0.8</v>
      </c>
      <c r="S15" s="226">
        <v>0.8</v>
      </c>
      <c r="T15" s="226">
        <v>0.8</v>
      </c>
      <c r="U15" s="226">
        <v>0.8</v>
      </c>
      <c r="V15" s="226">
        <v>0.8</v>
      </c>
      <c r="W15" s="225">
        <v>0.8</v>
      </c>
      <c r="X15" s="225">
        <v>0.8</v>
      </c>
      <c r="Y15" s="225">
        <v>0.8</v>
      </c>
      <c r="Z15" s="225">
        <v>0.8</v>
      </c>
      <c r="AA15" s="226">
        <v>0.8</v>
      </c>
      <c r="AB15" s="226">
        <v>0.6</v>
      </c>
      <c r="AC15" s="226">
        <v>0.8</v>
      </c>
      <c r="AD15" s="226">
        <v>0.8</v>
      </c>
      <c r="AE15" s="226">
        <v>0.1</v>
      </c>
      <c r="AF15" s="226">
        <v>0.1</v>
      </c>
      <c r="AG15" s="226">
        <v>0.1</v>
      </c>
      <c r="AH15" s="226">
        <v>0.1</v>
      </c>
      <c r="AI15" s="226">
        <v>0.8</v>
      </c>
      <c r="AJ15" s="226">
        <v>0.7</v>
      </c>
      <c r="AK15" s="226">
        <v>0.1</v>
      </c>
      <c r="AL15" s="226">
        <v>0.3</v>
      </c>
      <c r="AM15" s="226">
        <v>0.1</v>
      </c>
      <c r="AN15" s="226">
        <v>0.1</v>
      </c>
      <c r="AO15" s="226">
        <v>0.1</v>
      </c>
      <c r="AP15" s="226">
        <v>0.1</v>
      </c>
      <c r="AQ15" s="226">
        <v>0.1</v>
      </c>
      <c r="AR15" s="226">
        <v>0.1</v>
      </c>
      <c r="AS15" s="226">
        <v>0.1</v>
      </c>
      <c r="AT15" s="226">
        <v>0.7</v>
      </c>
      <c r="AU15" s="226">
        <v>0.3</v>
      </c>
      <c r="AV15" s="226">
        <v>0.3</v>
      </c>
      <c r="AW15" s="226">
        <v>0.3</v>
      </c>
      <c r="AX15" s="226">
        <v>0.8</v>
      </c>
      <c r="AY15" s="226">
        <v>0.8</v>
      </c>
      <c r="AZ15" s="226">
        <v>0.8</v>
      </c>
      <c r="BA15" s="226">
        <v>0.6</v>
      </c>
      <c r="BB15" s="226">
        <v>0.6</v>
      </c>
      <c r="BC15" s="226">
        <v>0.8</v>
      </c>
      <c r="BD15" s="226">
        <v>0.7</v>
      </c>
      <c r="BE15" s="226">
        <v>0.8</v>
      </c>
      <c r="BF15" s="226">
        <v>0.1</v>
      </c>
      <c r="BG15" s="226">
        <v>0.1</v>
      </c>
      <c r="BH15" s="226">
        <v>0.3</v>
      </c>
      <c r="BI15" s="226">
        <v>0.3</v>
      </c>
      <c r="BJ15" s="226">
        <v>0.3</v>
      </c>
      <c r="BK15" s="226">
        <v>0.3</v>
      </c>
      <c r="BL15" s="226">
        <v>0.3</v>
      </c>
      <c r="BM15" s="226">
        <v>0.3</v>
      </c>
      <c r="BN15" s="226">
        <v>0.7</v>
      </c>
      <c r="BO15" s="226">
        <v>0.7</v>
      </c>
      <c r="BP15" s="226">
        <v>0.8</v>
      </c>
      <c r="BQ15" s="226">
        <v>0.8</v>
      </c>
      <c r="BR15" s="226">
        <v>0.7</v>
      </c>
      <c r="BS15" s="226">
        <v>0.7</v>
      </c>
      <c r="BT15" s="226">
        <v>0.7</v>
      </c>
      <c r="BU15" s="226">
        <v>0.7</v>
      </c>
      <c r="BV15" s="226">
        <v>0.8</v>
      </c>
      <c r="BW15" s="226">
        <v>0.8</v>
      </c>
      <c r="BX15" s="226">
        <v>0.7</v>
      </c>
      <c r="BY15" s="226">
        <v>0.8</v>
      </c>
      <c r="BZ15" s="226">
        <v>0.8</v>
      </c>
      <c r="CA15" s="226">
        <v>0.8</v>
      </c>
      <c r="CB15" s="226">
        <v>0.8</v>
      </c>
      <c r="CC15" s="226">
        <v>0.8</v>
      </c>
      <c r="CD15" s="226">
        <v>0.8</v>
      </c>
      <c r="CE15" s="226">
        <v>0.8</v>
      </c>
      <c r="CF15" s="226">
        <v>0.8</v>
      </c>
      <c r="CG15" s="226">
        <v>0.8</v>
      </c>
      <c r="CH15" s="226">
        <v>0.8</v>
      </c>
      <c r="CI15" s="226">
        <v>0.8</v>
      </c>
      <c r="CJ15" s="226">
        <v>0.8</v>
      </c>
      <c r="CK15" s="226">
        <v>0.8</v>
      </c>
      <c r="CL15" s="226">
        <v>0.8</v>
      </c>
      <c r="CM15" s="226">
        <v>0.8</v>
      </c>
      <c r="CN15" s="226">
        <v>0.8</v>
      </c>
      <c r="CO15" s="226">
        <v>0.8</v>
      </c>
      <c r="CP15" s="226">
        <v>0.8</v>
      </c>
      <c r="CQ15" s="226">
        <v>0.8</v>
      </c>
      <c r="CR15" s="226">
        <v>0.8</v>
      </c>
      <c r="CS15" s="226">
        <v>0.8</v>
      </c>
      <c r="CT15" s="226">
        <v>0.8</v>
      </c>
      <c r="CU15" s="226">
        <v>0.8</v>
      </c>
      <c r="CV15" s="226">
        <v>0.8</v>
      </c>
      <c r="CW15" s="226">
        <v>0.8</v>
      </c>
      <c r="CX15" s="226">
        <v>0.8</v>
      </c>
      <c r="CY15" s="226">
        <v>0.8</v>
      </c>
      <c r="CZ15" s="226">
        <v>0.8</v>
      </c>
      <c r="DA15" s="226">
        <v>0.8</v>
      </c>
      <c r="DB15" s="226">
        <v>0.8</v>
      </c>
      <c r="DC15" s="226">
        <v>0.8</v>
      </c>
      <c r="DD15" s="226">
        <v>0.8</v>
      </c>
      <c r="DE15" s="226">
        <v>0.8</v>
      </c>
      <c r="DF15" s="226">
        <v>0.8</v>
      </c>
      <c r="DG15" s="226">
        <v>0.8</v>
      </c>
      <c r="DH15" s="226">
        <v>0.8</v>
      </c>
      <c r="DI15" s="226">
        <v>0.8</v>
      </c>
      <c r="DJ15" s="226">
        <v>0.8</v>
      </c>
      <c r="DK15" s="226">
        <v>0.8</v>
      </c>
      <c r="DL15" s="226">
        <v>0.1</v>
      </c>
      <c r="DM15" s="226">
        <v>0</v>
      </c>
      <c r="DN15" s="226">
        <v>0</v>
      </c>
      <c r="DO15" s="226">
        <v>0</v>
      </c>
      <c r="DP15" s="226">
        <v>0</v>
      </c>
      <c r="DQ15" s="226">
        <v>0</v>
      </c>
      <c r="DR15" s="226">
        <v>0</v>
      </c>
      <c r="DS15" s="226">
        <v>0</v>
      </c>
    </row>
    <row r="16" spans="1:123" x14ac:dyDescent="0.15">
      <c r="A16" s="156" t="s">
        <v>239</v>
      </c>
      <c r="B16">
        <v>0.8</v>
      </c>
      <c r="C16" s="226">
        <v>0.8</v>
      </c>
      <c r="D16" s="226">
        <v>0.8</v>
      </c>
      <c r="E16" s="226">
        <v>0.8</v>
      </c>
      <c r="F16" s="226">
        <v>0.8</v>
      </c>
      <c r="G16" s="226">
        <v>0.8</v>
      </c>
      <c r="H16" s="226">
        <v>0.8</v>
      </c>
      <c r="I16" s="226">
        <v>0.8</v>
      </c>
      <c r="J16" s="226">
        <v>0.8</v>
      </c>
      <c r="K16" s="226">
        <v>0.8</v>
      </c>
      <c r="L16" s="226">
        <v>0.8</v>
      </c>
      <c r="M16" s="226">
        <v>0.7</v>
      </c>
      <c r="N16" s="226">
        <v>0.7</v>
      </c>
      <c r="O16" s="226">
        <v>0.6</v>
      </c>
      <c r="P16" s="226">
        <v>0.6</v>
      </c>
      <c r="Q16" s="226">
        <v>0.7</v>
      </c>
      <c r="R16" s="226">
        <v>0.8</v>
      </c>
      <c r="S16" s="226">
        <v>0.8</v>
      </c>
      <c r="T16" s="226">
        <v>0.8</v>
      </c>
      <c r="U16" s="226">
        <v>0.8</v>
      </c>
      <c r="V16" s="226">
        <v>0.8</v>
      </c>
      <c r="W16" s="225">
        <v>0.8</v>
      </c>
      <c r="X16" s="225">
        <v>0.8</v>
      </c>
      <c r="Y16" s="225">
        <v>0.8</v>
      </c>
      <c r="Z16" s="225">
        <v>0.8</v>
      </c>
      <c r="AA16" s="226">
        <v>0.8</v>
      </c>
      <c r="AB16" s="226">
        <v>0.6</v>
      </c>
      <c r="AC16" s="226">
        <v>0.8</v>
      </c>
      <c r="AD16" s="226">
        <v>0.8</v>
      </c>
      <c r="AE16" s="226">
        <v>0.1</v>
      </c>
      <c r="AF16" s="226">
        <v>0.1</v>
      </c>
      <c r="AG16" s="226">
        <v>0.1</v>
      </c>
      <c r="AH16" s="226">
        <v>0.1</v>
      </c>
      <c r="AI16" s="226">
        <v>0.8</v>
      </c>
      <c r="AJ16" s="226">
        <v>0.7</v>
      </c>
      <c r="AK16" s="226">
        <v>0.1</v>
      </c>
      <c r="AL16" s="226">
        <v>0.3</v>
      </c>
      <c r="AM16" s="226">
        <v>0.1</v>
      </c>
      <c r="AN16" s="226">
        <v>0.1</v>
      </c>
      <c r="AO16" s="226">
        <v>0.1</v>
      </c>
      <c r="AP16" s="226">
        <v>0.1</v>
      </c>
      <c r="AQ16" s="226">
        <v>0.1</v>
      </c>
      <c r="AR16" s="226">
        <v>0.1</v>
      </c>
      <c r="AS16" s="226">
        <v>0.1</v>
      </c>
      <c r="AT16" s="226">
        <v>0.7</v>
      </c>
      <c r="AU16" s="226">
        <v>0.3</v>
      </c>
      <c r="AV16" s="226">
        <v>0.3</v>
      </c>
      <c r="AW16" s="226">
        <v>0.3</v>
      </c>
      <c r="AX16" s="226">
        <v>0.8</v>
      </c>
      <c r="AY16" s="226">
        <v>0.8</v>
      </c>
      <c r="AZ16" s="226">
        <v>0.8</v>
      </c>
      <c r="BA16" s="226">
        <v>0.6</v>
      </c>
      <c r="BB16" s="226">
        <v>0.6</v>
      </c>
      <c r="BC16" s="226">
        <v>0.8</v>
      </c>
      <c r="BD16" s="226">
        <v>0.7</v>
      </c>
      <c r="BE16" s="226">
        <v>0.8</v>
      </c>
      <c r="BF16" s="226">
        <v>0.1</v>
      </c>
      <c r="BG16" s="226">
        <v>0.1</v>
      </c>
      <c r="BH16" s="226">
        <v>0.3</v>
      </c>
      <c r="BI16" s="226">
        <v>0.3</v>
      </c>
      <c r="BJ16" s="226">
        <v>0.3</v>
      </c>
      <c r="BK16" s="226">
        <v>0.3</v>
      </c>
      <c r="BL16" s="226">
        <v>0.3</v>
      </c>
      <c r="BM16" s="226">
        <v>0.3</v>
      </c>
      <c r="BN16" s="226">
        <v>0.7</v>
      </c>
      <c r="BO16" s="226">
        <v>0.7</v>
      </c>
      <c r="BP16" s="226">
        <v>0.8</v>
      </c>
      <c r="BQ16" s="226">
        <v>0.8</v>
      </c>
      <c r="BR16" s="226">
        <v>0.7</v>
      </c>
      <c r="BS16" s="226">
        <v>0.7</v>
      </c>
      <c r="BT16" s="226">
        <v>0.7</v>
      </c>
      <c r="BU16" s="226">
        <v>0.7</v>
      </c>
      <c r="BV16" s="226">
        <v>0.8</v>
      </c>
      <c r="BW16" s="226">
        <v>0.8</v>
      </c>
      <c r="BX16" s="226">
        <v>0.7</v>
      </c>
      <c r="BY16" s="226">
        <v>0.8</v>
      </c>
      <c r="BZ16" s="226">
        <v>0.8</v>
      </c>
      <c r="CA16" s="226">
        <v>0.8</v>
      </c>
      <c r="CB16" s="226">
        <v>0.8</v>
      </c>
      <c r="CC16" s="226">
        <v>0.8</v>
      </c>
      <c r="CD16" s="226">
        <v>0.8</v>
      </c>
      <c r="CE16" s="226">
        <v>0.8</v>
      </c>
      <c r="CF16" s="226">
        <v>0.8</v>
      </c>
      <c r="CG16" s="226">
        <v>0.8</v>
      </c>
      <c r="CH16" s="226">
        <v>0.8</v>
      </c>
      <c r="CI16" s="226">
        <v>0.8</v>
      </c>
      <c r="CJ16" s="226">
        <v>0.8</v>
      </c>
      <c r="CK16" s="226">
        <v>0.8</v>
      </c>
      <c r="CL16" s="226">
        <v>0.8</v>
      </c>
      <c r="CM16" s="226">
        <v>0.8</v>
      </c>
      <c r="CN16" s="226">
        <v>0.8</v>
      </c>
      <c r="CO16" s="226">
        <v>0.8</v>
      </c>
      <c r="CP16" s="226">
        <v>0.8</v>
      </c>
      <c r="CQ16" s="226">
        <v>0.8</v>
      </c>
      <c r="CR16" s="226">
        <v>0.8</v>
      </c>
      <c r="CS16" s="226">
        <v>0.8</v>
      </c>
      <c r="CT16" s="226">
        <v>0.8</v>
      </c>
      <c r="CU16" s="226">
        <v>0.8</v>
      </c>
      <c r="CV16" s="226">
        <v>0.8</v>
      </c>
      <c r="CW16" s="226">
        <v>0.8</v>
      </c>
      <c r="CX16" s="226">
        <v>0.8</v>
      </c>
      <c r="CY16" s="226">
        <v>0.8</v>
      </c>
      <c r="CZ16" s="226">
        <v>0.8</v>
      </c>
      <c r="DA16" s="226">
        <v>0.8</v>
      </c>
      <c r="DB16" s="226">
        <v>0.8</v>
      </c>
      <c r="DC16" s="226">
        <v>0.8</v>
      </c>
      <c r="DD16" s="226">
        <v>0.8</v>
      </c>
      <c r="DE16" s="226">
        <v>0.8</v>
      </c>
      <c r="DF16" s="226">
        <v>0.8</v>
      </c>
      <c r="DG16" s="226">
        <v>0.8</v>
      </c>
      <c r="DH16" s="226">
        <v>0.8</v>
      </c>
      <c r="DI16" s="226">
        <v>0.8</v>
      </c>
      <c r="DJ16" s="226">
        <v>0.8</v>
      </c>
      <c r="DK16" s="226">
        <v>0.8</v>
      </c>
      <c r="DL16" s="226">
        <v>0.1</v>
      </c>
      <c r="DM16" s="226">
        <v>0</v>
      </c>
      <c r="DN16" s="226">
        <v>0</v>
      </c>
      <c r="DO16" s="226">
        <v>0</v>
      </c>
      <c r="DP16" s="226">
        <v>0</v>
      </c>
      <c r="DQ16" s="226">
        <v>0</v>
      </c>
      <c r="DR16" s="226">
        <v>0</v>
      </c>
      <c r="DS16" s="226">
        <v>0</v>
      </c>
    </row>
    <row r="17" spans="1:123" x14ac:dyDescent="0.15">
      <c r="A17" s="156" t="s">
        <v>240</v>
      </c>
      <c r="B17">
        <v>0.8</v>
      </c>
      <c r="C17" s="226">
        <v>0.8</v>
      </c>
      <c r="D17" s="226">
        <v>0.8</v>
      </c>
      <c r="E17" s="226">
        <v>0.8</v>
      </c>
      <c r="F17" s="226">
        <v>0.8</v>
      </c>
      <c r="G17" s="226">
        <v>0.8</v>
      </c>
      <c r="H17" s="226">
        <v>0.8</v>
      </c>
      <c r="I17" s="226">
        <v>0.8</v>
      </c>
      <c r="J17" s="226">
        <v>0.8</v>
      </c>
      <c r="K17" s="226">
        <v>0.8</v>
      </c>
      <c r="L17" s="226">
        <v>0.8</v>
      </c>
      <c r="M17" s="226">
        <v>0.7</v>
      </c>
      <c r="N17" s="226">
        <v>0.7</v>
      </c>
      <c r="O17" s="226">
        <v>0.6</v>
      </c>
      <c r="P17" s="226">
        <v>0.6</v>
      </c>
      <c r="Q17" s="226">
        <v>0.7</v>
      </c>
      <c r="R17" s="226">
        <v>0.8</v>
      </c>
      <c r="S17" s="226">
        <v>0.8</v>
      </c>
      <c r="T17" s="226">
        <v>0.8</v>
      </c>
      <c r="U17" s="226">
        <v>0.8</v>
      </c>
      <c r="V17" s="226">
        <v>0.8</v>
      </c>
      <c r="W17" s="225">
        <v>0.8</v>
      </c>
      <c r="X17" s="225">
        <v>0.8</v>
      </c>
      <c r="Y17" s="225">
        <v>0.8</v>
      </c>
      <c r="Z17" s="225">
        <v>0.8</v>
      </c>
      <c r="AA17" s="226">
        <v>0.8</v>
      </c>
      <c r="AB17" s="226">
        <v>0.6</v>
      </c>
      <c r="AC17" s="226">
        <v>0.8</v>
      </c>
      <c r="AD17" s="226">
        <v>0.8</v>
      </c>
      <c r="AE17" s="226">
        <v>0.1</v>
      </c>
      <c r="AF17" s="226">
        <v>0.1</v>
      </c>
      <c r="AG17" s="226">
        <v>0.1</v>
      </c>
      <c r="AH17" s="226">
        <v>0.1</v>
      </c>
      <c r="AI17" s="226">
        <v>0.8</v>
      </c>
      <c r="AJ17" s="226">
        <v>0.7</v>
      </c>
      <c r="AK17" s="226">
        <v>0.1</v>
      </c>
      <c r="AL17" s="226">
        <v>0.3</v>
      </c>
      <c r="AM17" s="226">
        <v>0.1</v>
      </c>
      <c r="AN17" s="226">
        <v>0.1</v>
      </c>
      <c r="AO17" s="226">
        <v>0.1</v>
      </c>
      <c r="AP17" s="226">
        <v>0.1</v>
      </c>
      <c r="AQ17" s="226">
        <v>0.1</v>
      </c>
      <c r="AR17" s="226">
        <v>0.1</v>
      </c>
      <c r="AS17" s="226">
        <v>0.1</v>
      </c>
      <c r="AT17" s="226">
        <v>0.7</v>
      </c>
      <c r="AU17" s="226">
        <v>0.3</v>
      </c>
      <c r="AV17" s="226">
        <v>0.3</v>
      </c>
      <c r="AW17" s="226">
        <v>0.3</v>
      </c>
      <c r="AX17" s="226">
        <v>0.8</v>
      </c>
      <c r="AY17" s="226">
        <v>0.8</v>
      </c>
      <c r="AZ17" s="226">
        <v>0.8</v>
      </c>
      <c r="BA17" s="226">
        <v>0.6</v>
      </c>
      <c r="BB17" s="226">
        <v>0.6</v>
      </c>
      <c r="BC17" s="226">
        <v>0.8</v>
      </c>
      <c r="BD17" s="226">
        <v>0.7</v>
      </c>
      <c r="BE17" s="226">
        <v>0.8</v>
      </c>
      <c r="BF17" s="226">
        <v>0.1</v>
      </c>
      <c r="BG17" s="226">
        <v>0.1</v>
      </c>
      <c r="BH17" s="226">
        <v>0.3</v>
      </c>
      <c r="BI17" s="226">
        <v>0.3</v>
      </c>
      <c r="BJ17" s="226">
        <v>0.3</v>
      </c>
      <c r="BK17" s="226">
        <v>0.3</v>
      </c>
      <c r="BL17" s="226">
        <v>0.3</v>
      </c>
      <c r="BM17" s="226">
        <v>0.3</v>
      </c>
      <c r="BN17" s="226">
        <v>0.7</v>
      </c>
      <c r="BO17" s="226">
        <v>0.7</v>
      </c>
      <c r="BP17" s="226">
        <v>0.8</v>
      </c>
      <c r="BQ17" s="226">
        <v>0.8</v>
      </c>
      <c r="BR17" s="226">
        <v>0.7</v>
      </c>
      <c r="BS17" s="226">
        <v>0.7</v>
      </c>
      <c r="BT17" s="226">
        <v>0.7</v>
      </c>
      <c r="BU17" s="226">
        <v>0.7</v>
      </c>
      <c r="BV17" s="226">
        <v>0.8</v>
      </c>
      <c r="BW17" s="226">
        <v>0.8</v>
      </c>
      <c r="BX17" s="226">
        <v>0.7</v>
      </c>
      <c r="BY17" s="226">
        <v>0.8</v>
      </c>
      <c r="BZ17" s="226">
        <v>0.8</v>
      </c>
      <c r="CA17" s="226">
        <v>0.8</v>
      </c>
      <c r="CB17" s="226">
        <v>0.8</v>
      </c>
      <c r="CC17" s="226">
        <v>0.8</v>
      </c>
      <c r="CD17" s="226">
        <v>0.8</v>
      </c>
      <c r="CE17" s="226">
        <v>0.8</v>
      </c>
      <c r="CF17" s="226">
        <v>0.8</v>
      </c>
      <c r="CG17" s="226">
        <v>0.8</v>
      </c>
      <c r="CH17" s="226">
        <v>0.8</v>
      </c>
      <c r="CI17" s="226">
        <v>0.8</v>
      </c>
      <c r="CJ17" s="226">
        <v>0.8</v>
      </c>
      <c r="CK17" s="226">
        <v>0.8</v>
      </c>
      <c r="CL17" s="226">
        <v>0.8</v>
      </c>
      <c r="CM17" s="226">
        <v>0.8</v>
      </c>
      <c r="CN17" s="226">
        <v>0.8</v>
      </c>
      <c r="CO17" s="226">
        <v>0.8</v>
      </c>
      <c r="CP17" s="226">
        <v>0.8</v>
      </c>
      <c r="CQ17" s="226">
        <v>0.8</v>
      </c>
      <c r="CR17" s="226">
        <v>0.8</v>
      </c>
      <c r="CS17" s="226">
        <v>0.8</v>
      </c>
      <c r="CT17" s="226">
        <v>0.8</v>
      </c>
      <c r="CU17" s="226">
        <v>0.8</v>
      </c>
      <c r="CV17" s="226">
        <v>0.8</v>
      </c>
      <c r="CW17" s="226">
        <v>0.8</v>
      </c>
      <c r="CX17" s="226">
        <v>0.8</v>
      </c>
      <c r="CY17" s="226">
        <v>0.8</v>
      </c>
      <c r="CZ17" s="226">
        <v>0.8</v>
      </c>
      <c r="DA17" s="226">
        <v>0.8</v>
      </c>
      <c r="DB17" s="226">
        <v>0.8</v>
      </c>
      <c r="DC17" s="226">
        <v>0.8</v>
      </c>
      <c r="DD17" s="226">
        <v>0.8</v>
      </c>
      <c r="DE17" s="226">
        <v>0.8</v>
      </c>
      <c r="DF17" s="226">
        <v>0.8</v>
      </c>
      <c r="DG17" s="226">
        <v>0.8</v>
      </c>
      <c r="DH17" s="226">
        <v>0.8</v>
      </c>
      <c r="DI17" s="226">
        <v>0.8</v>
      </c>
      <c r="DJ17" s="226">
        <v>0.8</v>
      </c>
      <c r="DK17" s="226">
        <v>0.8</v>
      </c>
      <c r="DL17" s="226">
        <v>0.1</v>
      </c>
      <c r="DM17" s="226">
        <v>0</v>
      </c>
      <c r="DN17" s="226">
        <v>0</v>
      </c>
      <c r="DO17" s="226">
        <v>0</v>
      </c>
      <c r="DP17" s="226">
        <v>0</v>
      </c>
      <c r="DQ17" s="226">
        <v>0</v>
      </c>
      <c r="DR17" s="226">
        <v>0</v>
      </c>
      <c r="DS17" s="226">
        <v>0</v>
      </c>
    </row>
    <row r="18" spans="1:123" x14ac:dyDescent="0.15">
      <c r="A18" s="156" t="s">
        <v>241</v>
      </c>
      <c r="B18">
        <v>0.8</v>
      </c>
      <c r="C18" s="226">
        <v>0.8</v>
      </c>
      <c r="D18" s="226">
        <v>0.8</v>
      </c>
      <c r="E18" s="226">
        <v>0.8</v>
      </c>
      <c r="F18" s="226">
        <v>0.8</v>
      </c>
      <c r="G18" s="226">
        <v>0.8</v>
      </c>
      <c r="H18" s="226">
        <v>0.8</v>
      </c>
      <c r="I18" s="226">
        <v>0.8</v>
      </c>
      <c r="J18" s="226">
        <v>0.8</v>
      </c>
      <c r="K18" s="226">
        <v>0.8</v>
      </c>
      <c r="L18" s="226">
        <v>0.8</v>
      </c>
      <c r="M18" s="226">
        <v>0.7</v>
      </c>
      <c r="N18" s="226">
        <v>0.7</v>
      </c>
      <c r="O18" s="226">
        <v>0.6</v>
      </c>
      <c r="P18" s="226">
        <v>0.6</v>
      </c>
      <c r="Q18" s="226">
        <v>0.7</v>
      </c>
      <c r="R18" s="226">
        <v>0.8</v>
      </c>
      <c r="S18" s="226">
        <v>0.8</v>
      </c>
      <c r="T18" s="226">
        <v>0.8</v>
      </c>
      <c r="U18" s="226">
        <v>0.8</v>
      </c>
      <c r="V18" s="226">
        <v>0.8</v>
      </c>
      <c r="W18" s="225">
        <v>0.8</v>
      </c>
      <c r="X18" s="225">
        <v>0.8</v>
      </c>
      <c r="Y18" s="225">
        <v>0.8</v>
      </c>
      <c r="Z18" s="225">
        <v>0.8</v>
      </c>
      <c r="AA18" s="226">
        <v>0.8</v>
      </c>
      <c r="AB18" s="226">
        <v>0.6</v>
      </c>
      <c r="AC18" s="226">
        <v>0.8</v>
      </c>
      <c r="AD18" s="226">
        <v>0.8</v>
      </c>
      <c r="AE18" s="226">
        <v>0.1</v>
      </c>
      <c r="AF18" s="226">
        <v>0.1</v>
      </c>
      <c r="AG18" s="226">
        <v>0.1</v>
      </c>
      <c r="AH18" s="226">
        <v>0.1</v>
      </c>
      <c r="AI18" s="226">
        <v>0.8</v>
      </c>
      <c r="AJ18" s="226">
        <v>0.7</v>
      </c>
      <c r="AK18" s="226">
        <v>0.1</v>
      </c>
      <c r="AL18" s="226">
        <v>0.3</v>
      </c>
      <c r="AM18" s="226">
        <v>0.1</v>
      </c>
      <c r="AN18" s="226">
        <v>0.1</v>
      </c>
      <c r="AO18" s="226">
        <v>0.1</v>
      </c>
      <c r="AP18" s="226">
        <v>0.1</v>
      </c>
      <c r="AQ18" s="226">
        <v>0.1</v>
      </c>
      <c r="AR18" s="226">
        <v>0.1</v>
      </c>
      <c r="AS18" s="226">
        <v>0.1</v>
      </c>
      <c r="AT18" s="226">
        <v>0.7</v>
      </c>
      <c r="AU18" s="226">
        <v>0.3</v>
      </c>
      <c r="AV18" s="226">
        <v>0.3</v>
      </c>
      <c r="AW18" s="226">
        <v>0.3</v>
      </c>
      <c r="AX18" s="226">
        <v>0.8</v>
      </c>
      <c r="AY18" s="226">
        <v>0.8</v>
      </c>
      <c r="AZ18" s="226">
        <v>0.8</v>
      </c>
      <c r="BA18" s="226">
        <v>0.6</v>
      </c>
      <c r="BB18" s="226">
        <v>0.6</v>
      </c>
      <c r="BC18" s="226">
        <v>0.8</v>
      </c>
      <c r="BD18" s="226">
        <v>0.7</v>
      </c>
      <c r="BE18" s="226">
        <v>0.8</v>
      </c>
      <c r="BF18" s="226">
        <v>0.1</v>
      </c>
      <c r="BG18" s="226">
        <v>0.1</v>
      </c>
      <c r="BH18" s="226">
        <v>0.3</v>
      </c>
      <c r="BI18" s="226">
        <v>0.3</v>
      </c>
      <c r="BJ18" s="226">
        <v>0.3</v>
      </c>
      <c r="BK18" s="226">
        <v>0.3</v>
      </c>
      <c r="BL18" s="226">
        <v>0.3</v>
      </c>
      <c r="BM18" s="226">
        <v>0.3</v>
      </c>
      <c r="BN18" s="226">
        <v>0.7</v>
      </c>
      <c r="BO18" s="226">
        <v>0.7</v>
      </c>
      <c r="BP18" s="226">
        <v>0.8</v>
      </c>
      <c r="BQ18" s="226">
        <v>0.8</v>
      </c>
      <c r="BR18" s="226">
        <v>0.7</v>
      </c>
      <c r="BS18" s="226">
        <v>0.7</v>
      </c>
      <c r="BT18" s="226">
        <v>0.7</v>
      </c>
      <c r="BU18" s="226">
        <v>0.7</v>
      </c>
      <c r="BV18" s="226">
        <v>0.8</v>
      </c>
      <c r="BW18" s="226">
        <v>0.8</v>
      </c>
      <c r="BX18" s="226">
        <v>0.7</v>
      </c>
      <c r="BY18" s="226">
        <v>0.8</v>
      </c>
      <c r="BZ18" s="226">
        <v>0.8</v>
      </c>
      <c r="CA18" s="226">
        <v>0.8</v>
      </c>
      <c r="CB18" s="226">
        <v>0.8</v>
      </c>
      <c r="CC18" s="226">
        <v>0.8</v>
      </c>
      <c r="CD18" s="226">
        <v>0.8</v>
      </c>
      <c r="CE18" s="226">
        <v>0.8</v>
      </c>
      <c r="CF18" s="226">
        <v>0.8</v>
      </c>
      <c r="CG18" s="226">
        <v>0.8</v>
      </c>
      <c r="CH18" s="226">
        <v>0.8</v>
      </c>
      <c r="CI18" s="226">
        <v>0.8</v>
      </c>
      <c r="CJ18" s="226">
        <v>0.8</v>
      </c>
      <c r="CK18" s="226">
        <v>0.8</v>
      </c>
      <c r="CL18" s="226">
        <v>0.8</v>
      </c>
      <c r="CM18" s="226">
        <v>0.8</v>
      </c>
      <c r="CN18" s="226">
        <v>0.8</v>
      </c>
      <c r="CO18" s="226">
        <v>0.8</v>
      </c>
      <c r="CP18" s="226">
        <v>0.8</v>
      </c>
      <c r="CQ18" s="226">
        <v>0.8</v>
      </c>
      <c r="CR18" s="226">
        <v>0.8</v>
      </c>
      <c r="CS18" s="226">
        <v>0.8</v>
      </c>
      <c r="CT18" s="226">
        <v>0.8</v>
      </c>
      <c r="CU18" s="226">
        <v>0.8</v>
      </c>
      <c r="CV18" s="226">
        <v>0.8</v>
      </c>
      <c r="CW18" s="226">
        <v>0.8</v>
      </c>
      <c r="CX18" s="226">
        <v>0.8</v>
      </c>
      <c r="CY18" s="226">
        <v>0.8</v>
      </c>
      <c r="CZ18" s="226">
        <v>0.8</v>
      </c>
      <c r="DA18" s="226">
        <v>0.8</v>
      </c>
      <c r="DB18" s="226">
        <v>0.8</v>
      </c>
      <c r="DC18" s="226">
        <v>0.8</v>
      </c>
      <c r="DD18" s="226">
        <v>0.8</v>
      </c>
      <c r="DE18" s="226">
        <v>0.8</v>
      </c>
      <c r="DF18" s="226">
        <v>0.8</v>
      </c>
      <c r="DG18" s="226">
        <v>0.8</v>
      </c>
      <c r="DH18" s="226">
        <v>0.8</v>
      </c>
      <c r="DI18" s="226">
        <v>0.8</v>
      </c>
      <c r="DJ18" s="226">
        <v>0.8</v>
      </c>
      <c r="DK18" s="226">
        <v>0.8</v>
      </c>
      <c r="DL18" s="226">
        <v>0.1</v>
      </c>
      <c r="DM18" s="226">
        <v>0</v>
      </c>
      <c r="DN18" s="226">
        <v>0</v>
      </c>
      <c r="DO18" s="226">
        <v>0</v>
      </c>
      <c r="DP18" s="226">
        <v>0</v>
      </c>
      <c r="DQ18" s="226">
        <v>0</v>
      </c>
      <c r="DR18" s="226">
        <v>0</v>
      </c>
      <c r="DS18" s="226">
        <v>0</v>
      </c>
    </row>
    <row r="19" spans="1:123" x14ac:dyDescent="0.15">
      <c r="A19" s="156" t="s">
        <v>242</v>
      </c>
      <c r="B19">
        <v>0.8</v>
      </c>
      <c r="C19" s="226">
        <v>0.8</v>
      </c>
      <c r="D19" s="226">
        <v>0.8</v>
      </c>
      <c r="E19" s="226">
        <v>0.8</v>
      </c>
      <c r="F19" s="226">
        <v>0.8</v>
      </c>
      <c r="G19" s="226">
        <v>0.8</v>
      </c>
      <c r="H19" s="226">
        <v>0.8</v>
      </c>
      <c r="I19" s="226">
        <v>0.8</v>
      </c>
      <c r="J19" s="226">
        <v>0.8</v>
      </c>
      <c r="K19" s="226">
        <v>0.8</v>
      </c>
      <c r="L19" s="226">
        <v>0.8</v>
      </c>
      <c r="M19" s="226">
        <v>0.7</v>
      </c>
      <c r="N19" s="226">
        <v>0.7</v>
      </c>
      <c r="O19" s="226">
        <v>0.6</v>
      </c>
      <c r="P19" s="226">
        <v>0.6</v>
      </c>
      <c r="Q19" s="226">
        <v>0.7</v>
      </c>
      <c r="R19" s="226">
        <v>0.8</v>
      </c>
      <c r="S19" s="226">
        <v>0.8</v>
      </c>
      <c r="T19" s="226">
        <v>0.8</v>
      </c>
      <c r="U19" s="226">
        <v>0.8</v>
      </c>
      <c r="V19" s="226">
        <v>0.8</v>
      </c>
      <c r="W19" s="225">
        <v>0.8</v>
      </c>
      <c r="X19" s="225">
        <v>0.8</v>
      </c>
      <c r="Y19" s="225">
        <v>0.8</v>
      </c>
      <c r="Z19" s="225">
        <v>0.8</v>
      </c>
      <c r="AA19" s="226">
        <v>0.8</v>
      </c>
      <c r="AB19" s="226">
        <v>0.6</v>
      </c>
      <c r="AC19" s="226">
        <v>0.8</v>
      </c>
      <c r="AD19" s="226">
        <v>0.8</v>
      </c>
      <c r="AE19" s="226">
        <v>0.1</v>
      </c>
      <c r="AF19" s="226">
        <v>0.1</v>
      </c>
      <c r="AG19" s="226">
        <v>0.1</v>
      </c>
      <c r="AH19" s="226">
        <v>0.1</v>
      </c>
      <c r="AI19" s="226">
        <v>0.8</v>
      </c>
      <c r="AJ19" s="226">
        <v>0.7</v>
      </c>
      <c r="AK19" s="226">
        <v>0.1</v>
      </c>
      <c r="AL19" s="226">
        <v>0.3</v>
      </c>
      <c r="AM19" s="226">
        <v>0.1</v>
      </c>
      <c r="AN19" s="226">
        <v>0.1</v>
      </c>
      <c r="AO19" s="226">
        <v>0.1</v>
      </c>
      <c r="AP19" s="226">
        <v>0.1</v>
      </c>
      <c r="AQ19" s="226">
        <v>0.1</v>
      </c>
      <c r="AR19" s="226">
        <v>0.1</v>
      </c>
      <c r="AS19" s="226">
        <v>0.1</v>
      </c>
      <c r="AT19" s="226">
        <v>0.7</v>
      </c>
      <c r="AU19" s="226">
        <v>0.3</v>
      </c>
      <c r="AV19" s="226">
        <v>0.3</v>
      </c>
      <c r="AW19" s="226">
        <v>0.3</v>
      </c>
      <c r="AX19" s="226">
        <v>0.8</v>
      </c>
      <c r="AY19" s="226">
        <v>0.8</v>
      </c>
      <c r="AZ19" s="226">
        <v>0.8</v>
      </c>
      <c r="BA19" s="226">
        <v>0.6</v>
      </c>
      <c r="BB19" s="226">
        <v>0.6</v>
      </c>
      <c r="BC19" s="226">
        <v>0.8</v>
      </c>
      <c r="BD19" s="226">
        <v>0.7</v>
      </c>
      <c r="BE19" s="226">
        <v>0.8</v>
      </c>
      <c r="BF19" s="226">
        <v>0.1</v>
      </c>
      <c r="BG19" s="226">
        <v>0.1</v>
      </c>
      <c r="BH19" s="226">
        <v>0.3</v>
      </c>
      <c r="BI19" s="226">
        <v>0.3</v>
      </c>
      <c r="BJ19" s="226">
        <v>0.3</v>
      </c>
      <c r="BK19" s="226">
        <v>0.3</v>
      </c>
      <c r="BL19" s="226">
        <v>0.3</v>
      </c>
      <c r="BM19" s="226">
        <v>0.3</v>
      </c>
      <c r="BN19" s="226">
        <v>0.7</v>
      </c>
      <c r="BO19" s="226">
        <v>0.7</v>
      </c>
      <c r="BP19" s="226">
        <v>0.8</v>
      </c>
      <c r="BQ19" s="226">
        <v>0.8</v>
      </c>
      <c r="BR19" s="226">
        <v>0.7</v>
      </c>
      <c r="BS19" s="226">
        <v>0.7</v>
      </c>
      <c r="BT19" s="226">
        <v>0.7</v>
      </c>
      <c r="BU19" s="226">
        <v>0.7</v>
      </c>
      <c r="BV19" s="226">
        <v>0.8</v>
      </c>
      <c r="BW19" s="226">
        <v>0.8</v>
      </c>
      <c r="BX19" s="226">
        <v>0.7</v>
      </c>
      <c r="BY19" s="226">
        <v>0.8</v>
      </c>
      <c r="BZ19" s="226">
        <v>0.8</v>
      </c>
      <c r="CA19" s="226">
        <v>0.8</v>
      </c>
      <c r="CB19" s="226">
        <v>0.8</v>
      </c>
      <c r="CC19" s="226">
        <v>0.8</v>
      </c>
      <c r="CD19" s="226">
        <v>0.8</v>
      </c>
      <c r="CE19" s="226">
        <v>0.8</v>
      </c>
      <c r="CF19" s="226">
        <v>0.8</v>
      </c>
      <c r="CG19" s="226">
        <v>0.8</v>
      </c>
      <c r="CH19" s="226">
        <v>0.8</v>
      </c>
      <c r="CI19" s="226">
        <v>0.8</v>
      </c>
      <c r="CJ19" s="226">
        <v>0.8</v>
      </c>
      <c r="CK19" s="226">
        <v>0.8</v>
      </c>
      <c r="CL19" s="226">
        <v>0.8</v>
      </c>
      <c r="CM19" s="226">
        <v>0.8</v>
      </c>
      <c r="CN19" s="226">
        <v>0.8</v>
      </c>
      <c r="CO19" s="226">
        <v>0.8</v>
      </c>
      <c r="CP19" s="226">
        <v>0.8</v>
      </c>
      <c r="CQ19" s="226">
        <v>0.8</v>
      </c>
      <c r="CR19" s="226">
        <v>0.8</v>
      </c>
      <c r="CS19" s="226">
        <v>0.8</v>
      </c>
      <c r="CT19" s="226">
        <v>0.8</v>
      </c>
      <c r="CU19" s="226">
        <v>0.8</v>
      </c>
      <c r="CV19" s="226">
        <v>0.8</v>
      </c>
      <c r="CW19" s="226">
        <v>0.8</v>
      </c>
      <c r="CX19" s="226">
        <v>0.8</v>
      </c>
      <c r="CY19" s="226">
        <v>0.8</v>
      </c>
      <c r="CZ19" s="226">
        <v>0.8</v>
      </c>
      <c r="DA19" s="226">
        <v>0.8</v>
      </c>
      <c r="DB19" s="226">
        <v>0.8</v>
      </c>
      <c r="DC19" s="226">
        <v>0.8</v>
      </c>
      <c r="DD19" s="226">
        <v>0.8</v>
      </c>
      <c r="DE19" s="226">
        <v>0.8</v>
      </c>
      <c r="DF19" s="226">
        <v>0.8</v>
      </c>
      <c r="DG19" s="226">
        <v>0.8</v>
      </c>
      <c r="DH19" s="226">
        <v>0.8</v>
      </c>
      <c r="DI19" s="226">
        <v>0.8</v>
      </c>
      <c r="DJ19" s="226">
        <v>0.8</v>
      </c>
      <c r="DK19" s="226">
        <v>0.8</v>
      </c>
      <c r="DL19" s="226">
        <v>0.1</v>
      </c>
      <c r="DM19" s="226">
        <v>0</v>
      </c>
      <c r="DN19" s="226">
        <v>0</v>
      </c>
      <c r="DO19" s="226">
        <v>0</v>
      </c>
      <c r="DP19" s="226">
        <v>0</v>
      </c>
      <c r="DQ19" s="226">
        <v>0</v>
      </c>
      <c r="DR19" s="226">
        <v>0</v>
      </c>
      <c r="DS19" s="226">
        <v>0</v>
      </c>
    </row>
    <row r="20" spans="1:123" x14ac:dyDescent="0.15">
      <c r="A20" s="156" t="s">
        <v>243</v>
      </c>
      <c r="B20">
        <v>0.8</v>
      </c>
      <c r="C20" s="226">
        <v>0.8</v>
      </c>
      <c r="D20" s="226">
        <v>0.8</v>
      </c>
      <c r="E20" s="226">
        <v>0.8</v>
      </c>
      <c r="F20" s="226">
        <v>0.8</v>
      </c>
      <c r="G20" s="226">
        <v>0.8</v>
      </c>
      <c r="H20" s="226">
        <v>0.8</v>
      </c>
      <c r="I20" s="226">
        <v>0.8</v>
      </c>
      <c r="J20" s="226">
        <v>0.8</v>
      </c>
      <c r="K20" s="226">
        <v>0.8</v>
      </c>
      <c r="L20" s="226">
        <v>0.8</v>
      </c>
      <c r="M20" s="226">
        <v>0.7</v>
      </c>
      <c r="N20" s="226">
        <v>0.7</v>
      </c>
      <c r="O20" s="226">
        <v>0.6</v>
      </c>
      <c r="P20" s="226">
        <v>0.6</v>
      </c>
      <c r="Q20" s="226">
        <v>0.7</v>
      </c>
      <c r="R20" s="226">
        <v>0.8</v>
      </c>
      <c r="S20" s="226">
        <v>0.8</v>
      </c>
      <c r="T20" s="226">
        <v>0.8</v>
      </c>
      <c r="U20" s="226">
        <v>0.8</v>
      </c>
      <c r="V20" s="226">
        <v>0.8</v>
      </c>
      <c r="W20" s="225">
        <v>0.8</v>
      </c>
      <c r="X20" s="225">
        <v>0.8</v>
      </c>
      <c r="Y20" s="225">
        <v>0.8</v>
      </c>
      <c r="Z20" s="225">
        <v>0.8</v>
      </c>
      <c r="AA20" s="226">
        <v>0.8</v>
      </c>
      <c r="AB20" s="226">
        <v>0.6</v>
      </c>
      <c r="AC20" s="226">
        <v>0.8</v>
      </c>
      <c r="AD20" s="226">
        <v>0.8</v>
      </c>
      <c r="AE20" s="226">
        <v>0.1</v>
      </c>
      <c r="AF20" s="226">
        <v>0.1</v>
      </c>
      <c r="AG20" s="226">
        <v>0.1</v>
      </c>
      <c r="AH20" s="226">
        <v>0.1</v>
      </c>
      <c r="AI20" s="226">
        <v>0.8</v>
      </c>
      <c r="AJ20" s="226">
        <v>0.7</v>
      </c>
      <c r="AK20" s="226">
        <v>0.1</v>
      </c>
      <c r="AL20" s="226">
        <v>0.3</v>
      </c>
      <c r="AM20" s="226">
        <v>0.1</v>
      </c>
      <c r="AN20" s="226">
        <v>0.1</v>
      </c>
      <c r="AO20" s="226">
        <v>0.1</v>
      </c>
      <c r="AP20" s="226">
        <v>0.1</v>
      </c>
      <c r="AQ20" s="226">
        <v>0.1</v>
      </c>
      <c r="AR20" s="226">
        <v>0.1</v>
      </c>
      <c r="AS20" s="226">
        <v>0.1</v>
      </c>
      <c r="AT20" s="226">
        <v>0.7</v>
      </c>
      <c r="AU20" s="226">
        <v>0.3</v>
      </c>
      <c r="AV20" s="226">
        <v>0.3</v>
      </c>
      <c r="AW20" s="226">
        <v>0.3</v>
      </c>
      <c r="AX20" s="226">
        <v>0.8</v>
      </c>
      <c r="AY20" s="226">
        <v>0.8</v>
      </c>
      <c r="AZ20" s="226">
        <v>0.8</v>
      </c>
      <c r="BA20" s="226">
        <v>0.6</v>
      </c>
      <c r="BB20" s="226">
        <v>0.6</v>
      </c>
      <c r="BC20" s="226">
        <v>0.8</v>
      </c>
      <c r="BD20" s="226">
        <v>0.7</v>
      </c>
      <c r="BE20" s="226">
        <v>0.8</v>
      </c>
      <c r="BF20" s="226">
        <v>0.1</v>
      </c>
      <c r="BG20" s="226">
        <v>0.1</v>
      </c>
      <c r="BH20" s="226">
        <v>0.3</v>
      </c>
      <c r="BI20" s="226">
        <v>0.3</v>
      </c>
      <c r="BJ20" s="226">
        <v>0.3</v>
      </c>
      <c r="BK20" s="226">
        <v>0.3</v>
      </c>
      <c r="BL20" s="226">
        <v>0.3</v>
      </c>
      <c r="BM20" s="226">
        <v>0.3</v>
      </c>
      <c r="BN20" s="226">
        <v>0.7</v>
      </c>
      <c r="BO20" s="226">
        <v>0.7</v>
      </c>
      <c r="BP20" s="226">
        <v>0.8</v>
      </c>
      <c r="BQ20" s="226">
        <v>0.8</v>
      </c>
      <c r="BR20" s="226">
        <v>0.7</v>
      </c>
      <c r="BS20" s="226">
        <v>0.7</v>
      </c>
      <c r="BT20" s="226">
        <v>0.7</v>
      </c>
      <c r="BU20" s="226">
        <v>0.7</v>
      </c>
      <c r="BV20" s="226">
        <v>0.8</v>
      </c>
      <c r="BW20" s="226">
        <v>0.8</v>
      </c>
      <c r="BX20" s="226">
        <v>0.7</v>
      </c>
      <c r="BY20" s="226">
        <v>0.8</v>
      </c>
      <c r="BZ20" s="226">
        <v>0.8</v>
      </c>
      <c r="CA20" s="226">
        <v>0.8</v>
      </c>
      <c r="CB20" s="226">
        <v>0.8</v>
      </c>
      <c r="CC20" s="226">
        <v>0.8</v>
      </c>
      <c r="CD20" s="226">
        <v>0.8</v>
      </c>
      <c r="CE20" s="226">
        <v>0.8</v>
      </c>
      <c r="CF20" s="226">
        <v>0.8</v>
      </c>
      <c r="CG20" s="226">
        <v>0.8</v>
      </c>
      <c r="CH20" s="226">
        <v>0.8</v>
      </c>
      <c r="CI20" s="226">
        <v>0.8</v>
      </c>
      <c r="CJ20" s="226">
        <v>0.8</v>
      </c>
      <c r="CK20" s="226">
        <v>0.8</v>
      </c>
      <c r="CL20" s="226">
        <v>0.8</v>
      </c>
      <c r="CM20" s="226">
        <v>0.8</v>
      </c>
      <c r="CN20" s="226">
        <v>0.8</v>
      </c>
      <c r="CO20" s="226">
        <v>0.8</v>
      </c>
      <c r="CP20" s="226">
        <v>0.8</v>
      </c>
      <c r="CQ20" s="226">
        <v>0.8</v>
      </c>
      <c r="CR20" s="226">
        <v>0.8</v>
      </c>
      <c r="CS20" s="226">
        <v>0.8</v>
      </c>
      <c r="CT20" s="226">
        <v>0.8</v>
      </c>
      <c r="CU20" s="226">
        <v>0.8</v>
      </c>
      <c r="CV20" s="226">
        <v>0.8</v>
      </c>
      <c r="CW20" s="226">
        <v>0.8</v>
      </c>
      <c r="CX20" s="226">
        <v>0.8</v>
      </c>
      <c r="CY20" s="226">
        <v>0.8</v>
      </c>
      <c r="CZ20" s="226">
        <v>0.8</v>
      </c>
      <c r="DA20" s="226">
        <v>0.8</v>
      </c>
      <c r="DB20" s="226">
        <v>0.8</v>
      </c>
      <c r="DC20" s="226">
        <v>0.8</v>
      </c>
      <c r="DD20" s="226">
        <v>0.8</v>
      </c>
      <c r="DE20" s="226">
        <v>0.8</v>
      </c>
      <c r="DF20" s="226">
        <v>0.8</v>
      </c>
      <c r="DG20" s="226">
        <v>0.8</v>
      </c>
      <c r="DH20" s="226">
        <v>0.8</v>
      </c>
      <c r="DI20" s="226">
        <v>0.8</v>
      </c>
      <c r="DJ20" s="226">
        <v>0.8</v>
      </c>
      <c r="DK20" s="226">
        <v>0.8</v>
      </c>
      <c r="DL20" s="226">
        <v>0.1</v>
      </c>
      <c r="DM20" s="226">
        <v>0</v>
      </c>
      <c r="DN20" s="226">
        <v>0</v>
      </c>
      <c r="DO20" s="226">
        <v>0</v>
      </c>
      <c r="DP20" s="226">
        <v>0</v>
      </c>
      <c r="DQ20" s="226">
        <v>0</v>
      </c>
      <c r="DR20" s="226">
        <v>0</v>
      </c>
      <c r="DS20" s="226">
        <v>0</v>
      </c>
    </row>
    <row r="21" spans="1:123" x14ac:dyDescent="0.15">
      <c r="A21" s="156" t="s">
        <v>244</v>
      </c>
      <c r="B21">
        <v>0.8</v>
      </c>
      <c r="C21" s="226">
        <v>0.8</v>
      </c>
      <c r="D21" s="226">
        <v>0.8</v>
      </c>
      <c r="E21" s="226">
        <v>0.8</v>
      </c>
      <c r="F21" s="226">
        <v>0.8</v>
      </c>
      <c r="G21" s="226">
        <v>0.8</v>
      </c>
      <c r="H21" s="226">
        <v>0.8</v>
      </c>
      <c r="I21" s="226">
        <v>0.8</v>
      </c>
      <c r="J21" s="226">
        <v>0.8</v>
      </c>
      <c r="K21" s="226">
        <v>0.8</v>
      </c>
      <c r="L21" s="226">
        <v>0.8</v>
      </c>
      <c r="M21" s="226">
        <v>0.7</v>
      </c>
      <c r="N21" s="226">
        <v>0.7</v>
      </c>
      <c r="O21" s="226">
        <v>0.6</v>
      </c>
      <c r="P21" s="226">
        <v>0.6</v>
      </c>
      <c r="Q21" s="226">
        <v>0.7</v>
      </c>
      <c r="R21" s="226">
        <v>0.8</v>
      </c>
      <c r="S21" s="226">
        <v>0.8</v>
      </c>
      <c r="T21" s="226">
        <v>0.8</v>
      </c>
      <c r="U21" s="226">
        <v>0.8</v>
      </c>
      <c r="V21" s="226">
        <v>0.8</v>
      </c>
      <c r="W21" s="225">
        <v>0.8</v>
      </c>
      <c r="X21" s="225">
        <v>0.8</v>
      </c>
      <c r="Y21" s="225">
        <v>0.8</v>
      </c>
      <c r="Z21" s="225">
        <v>0.8</v>
      </c>
      <c r="AA21" s="226">
        <v>0.8</v>
      </c>
      <c r="AB21" s="226">
        <v>0.6</v>
      </c>
      <c r="AC21" s="226">
        <v>0.8</v>
      </c>
      <c r="AD21" s="226">
        <v>0.8</v>
      </c>
      <c r="AE21" s="226">
        <v>0.1</v>
      </c>
      <c r="AF21" s="226">
        <v>0.1</v>
      </c>
      <c r="AG21" s="226">
        <v>0.1</v>
      </c>
      <c r="AH21" s="226">
        <v>0.1</v>
      </c>
      <c r="AI21" s="226">
        <v>0.8</v>
      </c>
      <c r="AJ21" s="226">
        <v>0.7</v>
      </c>
      <c r="AK21" s="226">
        <v>0.1</v>
      </c>
      <c r="AL21" s="226">
        <v>0.3</v>
      </c>
      <c r="AM21" s="226">
        <v>0.1</v>
      </c>
      <c r="AN21" s="226">
        <v>0.1</v>
      </c>
      <c r="AO21" s="226">
        <v>0.1</v>
      </c>
      <c r="AP21" s="226">
        <v>0.1</v>
      </c>
      <c r="AQ21" s="226">
        <v>0.1</v>
      </c>
      <c r="AR21" s="226">
        <v>0.1</v>
      </c>
      <c r="AS21" s="226">
        <v>0.1</v>
      </c>
      <c r="AT21" s="226">
        <v>0.7</v>
      </c>
      <c r="AU21" s="226">
        <v>0.3</v>
      </c>
      <c r="AV21" s="226">
        <v>0.3</v>
      </c>
      <c r="AW21" s="226">
        <v>0.3</v>
      </c>
      <c r="AX21" s="226">
        <v>0.8</v>
      </c>
      <c r="AY21" s="226">
        <v>0.8</v>
      </c>
      <c r="AZ21" s="226">
        <v>0.8</v>
      </c>
      <c r="BA21" s="226">
        <v>0.6</v>
      </c>
      <c r="BB21" s="226">
        <v>0.6</v>
      </c>
      <c r="BC21" s="226">
        <v>0.8</v>
      </c>
      <c r="BD21" s="226">
        <v>0.7</v>
      </c>
      <c r="BE21" s="226">
        <v>0.8</v>
      </c>
      <c r="BF21" s="226">
        <v>0.1</v>
      </c>
      <c r="BG21" s="226">
        <v>0.1</v>
      </c>
      <c r="BH21" s="226">
        <v>0.3</v>
      </c>
      <c r="BI21" s="226">
        <v>0.3</v>
      </c>
      <c r="BJ21" s="226">
        <v>0.3</v>
      </c>
      <c r="BK21" s="226">
        <v>0.3</v>
      </c>
      <c r="BL21" s="226">
        <v>0.3</v>
      </c>
      <c r="BM21" s="226">
        <v>0.3</v>
      </c>
      <c r="BN21" s="226">
        <v>0.7</v>
      </c>
      <c r="BO21" s="226">
        <v>0.7</v>
      </c>
      <c r="BP21" s="226">
        <v>0.8</v>
      </c>
      <c r="BQ21" s="226">
        <v>0.8</v>
      </c>
      <c r="BR21" s="226">
        <v>0.7</v>
      </c>
      <c r="BS21" s="226">
        <v>0.7</v>
      </c>
      <c r="BT21" s="226">
        <v>0.7</v>
      </c>
      <c r="BU21" s="226">
        <v>0.7</v>
      </c>
      <c r="BV21" s="226">
        <v>0.8</v>
      </c>
      <c r="BW21" s="226">
        <v>0.8</v>
      </c>
      <c r="BX21" s="226">
        <v>0.7</v>
      </c>
      <c r="BY21" s="226">
        <v>0.8</v>
      </c>
      <c r="BZ21" s="226">
        <v>0.8</v>
      </c>
      <c r="CA21" s="226">
        <v>0.8</v>
      </c>
      <c r="CB21" s="226">
        <v>0.8</v>
      </c>
      <c r="CC21" s="226">
        <v>0.8</v>
      </c>
      <c r="CD21" s="226">
        <v>0.8</v>
      </c>
      <c r="CE21" s="226">
        <v>0.8</v>
      </c>
      <c r="CF21" s="226">
        <v>0.8</v>
      </c>
      <c r="CG21" s="226">
        <v>0.8</v>
      </c>
      <c r="CH21" s="226">
        <v>0.8</v>
      </c>
      <c r="CI21" s="226">
        <v>0.8</v>
      </c>
      <c r="CJ21" s="226">
        <v>0.8</v>
      </c>
      <c r="CK21" s="226">
        <v>0.8</v>
      </c>
      <c r="CL21" s="226">
        <v>0.8</v>
      </c>
      <c r="CM21" s="226">
        <v>0.8</v>
      </c>
      <c r="CN21" s="226">
        <v>0.8</v>
      </c>
      <c r="CO21" s="226">
        <v>0.8</v>
      </c>
      <c r="CP21" s="226">
        <v>0.8</v>
      </c>
      <c r="CQ21" s="226">
        <v>0.8</v>
      </c>
      <c r="CR21" s="226">
        <v>0.8</v>
      </c>
      <c r="CS21" s="226">
        <v>0.8</v>
      </c>
      <c r="CT21" s="226">
        <v>0.8</v>
      </c>
      <c r="CU21" s="226">
        <v>0.8</v>
      </c>
      <c r="CV21" s="226">
        <v>0.8</v>
      </c>
      <c r="CW21" s="226">
        <v>0.8</v>
      </c>
      <c r="CX21" s="226">
        <v>0.8</v>
      </c>
      <c r="CY21" s="226">
        <v>0.8</v>
      </c>
      <c r="CZ21" s="226">
        <v>0.8</v>
      </c>
      <c r="DA21" s="226">
        <v>0.8</v>
      </c>
      <c r="DB21" s="226">
        <v>0.8</v>
      </c>
      <c r="DC21" s="226">
        <v>0.8</v>
      </c>
      <c r="DD21" s="226">
        <v>0.8</v>
      </c>
      <c r="DE21" s="226">
        <v>0.8</v>
      </c>
      <c r="DF21" s="226">
        <v>0.8</v>
      </c>
      <c r="DG21" s="226">
        <v>0.8</v>
      </c>
      <c r="DH21" s="226">
        <v>0.8</v>
      </c>
      <c r="DI21" s="226">
        <v>0.8</v>
      </c>
      <c r="DJ21" s="226">
        <v>0.8</v>
      </c>
      <c r="DK21" s="226">
        <v>0.8</v>
      </c>
      <c r="DL21" s="226">
        <v>0.1</v>
      </c>
      <c r="DM21" s="226">
        <v>0</v>
      </c>
      <c r="DN21" s="226">
        <v>0</v>
      </c>
      <c r="DO21" s="226">
        <v>0</v>
      </c>
      <c r="DP21" s="226">
        <v>0</v>
      </c>
      <c r="DQ21" s="226">
        <v>0</v>
      </c>
      <c r="DR21" s="226">
        <v>0</v>
      </c>
      <c r="DS21" s="226">
        <v>0</v>
      </c>
    </row>
    <row r="22" spans="1:123" x14ac:dyDescent="0.15">
      <c r="A22" s="156" t="s">
        <v>245</v>
      </c>
      <c r="B22">
        <v>0.8</v>
      </c>
      <c r="C22" s="226">
        <v>0.8</v>
      </c>
      <c r="D22" s="226">
        <v>0.8</v>
      </c>
      <c r="E22" s="226">
        <v>0.8</v>
      </c>
      <c r="F22" s="226">
        <v>0.8</v>
      </c>
      <c r="G22" s="226">
        <v>0.8</v>
      </c>
      <c r="H22" s="226">
        <v>0.8</v>
      </c>
      <c r="I22" s="226">
        <v>0.8</v>
      </c>
      <c r="J22" s="226">
        <v>0.8</v>
      </c>
      <c r="K22" s="226">
        <v>0.8</v>
      </c>
      <c r="L22" s="226">
        <v>0.8</v>
      </c>
      <c r="M22" s="226">
        <v>0.7</v>
      </c>
      <c r="N22" s="226">
        <v>0.7</v>
      </c>
      <c r="O22" s="226">
        <v>0.6</v>
      </c>
      <c r="P22" s="226">
        <v>0.6</v>
      </c>
      <c r="Q22" s="226">
        <v>0.7</v>
      </c>
      <c r="R22" s="226">
        <v>0.8</v>
      </c>
      <c r="S22" s="226">
        <v>0.8</v>
      </c>
      <c r="T22" s="226">
        <v>0.8</v>
      </c>
      <c r="U22" s="226">
        <v>0.8</v>
      </c>
      <c r="V22" s="226">
        <v>0.8</v>
      </c>
      <c r="W22" s="225">
        <v>0.8</v>
      </c>
      <c r="X22" s="225">
        <v>0.8</v>
      </c>
      <c r="Y22" s="225">
        <v>0.8</v>
      </c>
      <c r="Z22" s="225">
        <v>0.8</v>
      </c>
      <c r="AA22" s="226">
        <v>0.8</v>
      </c>
      <c r="AB22" s="226">
        <v>0.6</v>
      </c>
      <c r="AC22" s="226">
        <v>0.8</v>
      </c>
      <c r="AD22" s="226">
        <v>0.8</v>
      </c>
      <c r="AE22" s="226">
        <v>0.1</v>
      </c>
      <c r="AF22" s="226">
        <v>0.1</v>
      </c>
      <c r="AG22" s="226">
        <v>0.1</v>
      </c>
      <c r="AH22" s="226">
        <v>0.1</v>
      </c>
      <c r="AI22" s="226">
        <v>0.8</v>
      </c>
      <c r="AJ22" s="226">
        <v>0.7</v>
      </c>
      <c r="AK22" s="226">
        <v>0.1</v>
      </c>
      <c r="AL22" s="226">
        <v>0.3</v>
      </c>
      <c r="AM22" s="226">
        <v>0.1</v>
      </c>
      <c r="AN22" s="226">
        <v>0.1</v>
      </c>
      <c r="AO22" s="226">
        <v>0.1</v>
      </c>
      <c r="AP22" s="226">
        <v>0.1</v>
      </c>
      <c r="AQ22" s="226">
        <v>0.1</v>
      </c>
      <c r="AR22" s="226">
        <v>0.1</v>
      </c>
      <c r="AS22" s="226">
        <v>0.1</v>
      </c>
      <c r="AT22" s="226">
        <v>0.7</v>
      </c>
      <c r="AU22" s="226">
        <v>0.3</v>
      </c>
      <c r="AV22" s="226">
        <v>0.3</v>
      </c>
      <c r="AW22" s="226">
        <v>0.3</v>
      </c>
      <c r="AX22" s="226">
        <v>0.8</v>
      </c>
      <c r="AY22" s="226">
        <v>0.8</v>
      </c>
      <c r="AZ22" s="226">
        <v>0.8</v>
      </c>
      <c r="BA22" s="226">
        <v>0.6</v>
      </c>
      <c r="BB22" s="226">
        <v>0.6</v>
      </c>
      <c r="BC22" s="226">
        <v>0.8</v>
      </c>
      <c r="BD22" s="226">
        <v>0.7</v>
      </c>
      <c r="BE22" s="226">
        <v>0.8</v>
      </c>
      <c r="BF22" s="226">
        <v>0.1</v>
      </c>
      <c r="BG22" s="226">
        <v>0.1</v>
      </c>
      <c r="BH22" s="226">
        <v>0.3</v>
      </c>
      <c r="BI22" s="226">
        <v>0.3</v>
      </c>
      <c r="BJ22" s="226">
        <v>0.3</v>
      </c>
      <c r="BK22" s="226">
        <v>0.3</v>
      </c>
      <c r="BL22" s="226">
        <v>0.3</v>
      </c>
      <c r="BM22" s="226">
        <v>0.3</v>
      </c>
      <c r="BN22" s="226">
        <v>0.7</v>
      </c>
      <c r="BO22" s="226">
        <v>0.7</v>
      </c>
      <c r="BP22" s="226">
        <v>0.8</v>
      </c>
      <c r="BQ22" s="226">
        <v>0.8</v>
      </c>
      <c r="BR22" s="226">
        <v>0.7</v>
      </c>
      <c r="BS22" s="226">
        <v>0.7</v>
      </c>
      <c r="BT22" s="226">
        <v>0.7</v>
      </c>
      <c r="BU22" s="226">
        <v>0.7</v>
      </c>
      <c r="BV22" s="226">
        <v>0.8</v>
      </c>
      <c r="BW22" s="226">
        <v>0.8</v>
      </c>
      <c r="BX22" s="226">
        <v>0.7</v>
      </c>
      <c r="BY22" s="226">
        <v>0.8</v>
      </c>
      <c r="BZ22" s="226">
        <v>0.8</v>
      </c>
      <c r="CA22" s="226">
        <v>0.8</v>
      </c>
      <c r="CB22" s="226">
        <v>0.8</v>
      </c>
      <c r="CC22" s="226">
        <v>0.8</v>
      </c>
      <c r="CD22" s="226">
        <v>0.8</v>
      </c>
      <c r="CE22" s="226">
        <v>0.8</v>
      </c>
      <c r="CF22" s="226">
        <v>0.8</v>
      </c>
      <c r="CG22" s="226">
        <v>0.8</v>
      </c>
      <c r="CH22" s="226">
        <v>0.8</v>
      </c>
      <c r="CI22" s="226">
        <v>0.8</v>
      </c>
      <c r="CJ22" s="226">
        <v>0.8</v>
      </c>
      <c r="CK22" s="226">
        <v>0.8</v>
      </c>
      <c r="CL22" s="226">
        <v>0.8</v>
      </c>
      <c r="CM22" s="226">
        <v>0.8</v>
      </c>
      <c r="CN22" s="226">
        <v>0.8</v>
      </c>
      <c r="CO22" s="226">
        <v>0.8</v>
      </c>
      <c r="CP22" s="226">
        <v>0.8</v>
      </c>
      <c r="CQ22" s="226">
        <v>0.8</v>
      </c>
      <c r="CR22" s="226">
        <v>0.8</v>
      </c>
      <c r="CS22" s="226">
        <v>0.8</v>
      </c>
      <c r="CT22" s="226">
        <v>0.8</v>
      </c>
      <c r="CU22" s="226">
        <v>0.8</v>
      </c>
      <c r="CV22" s="226">
        <v>0.8</v>
      </c>
      <c r="CW22" s="226">
        <v>0.8</v>
      </c>
      <c r="CX22" s="226">
        <v>0.8</v>
      </c>
      <c r="CY22" s="226">
        <v>0.8</v>
      </c>
      <c r="CZ22" s="226">
        <v>0.8</v>
      </c>
      <c r="DA22" s="226">
        <v>0.8</v>
      </c>
      <c r="DB22" s="226">
        <v>0.8</v>
      </c>
      <c r="DC22" s="226">
        <v>0.8</v>
      </c>
      <c r="DD22" s="226">
        <v>0.8</v>
      </c>
      <c r="DE22" s="226">
        <v>0.8</v>
      </c>
      <c r="DF22" s="226">
        <v>0.8</v>
      </c>
      <c r="DG22" s="226">
        <v>0.8</v>
      </c>
      <c r="DH22" s="226">
        <v>0.8</v>
      </c>
      <c r="DI22" s="226">
        <v>0.8</v>
      </c>
      <c r="DJ22" s="226">
        <v>0.8</v>
      </c>
      <c r="DK22" s="226">
        <v>0.8</v>
      </c>
      <c r="DL22" s="226">
        <v>0.1</v>
      </c>
      <c r="DM22" s="226">
        <v>0</v>
      </c>
      <c r="DN22" s="226">
        <v>0</v>
      </c>
      <c r="DO22" s="226">
        <v>0</v>
      </c>
      <c r="DP22" s="226">
        <v>0</v>
      </c>
      <c r="DQ22" s="226">
        <v>0</v>
      </c>
      <c r="DR22" s="226">
        <v>0</v>
      </c>
      <c r="DS22" s="226">
        <v>0</v>
      </c>
    </row>
    <row r="23" spans="1:123" x14ac:dyDescent="0.15">
      <c r="A23" s="156" t="s">
        <v>246</v>
      </c>
      <c r="B23">
        <v>0.8</v>
      </c>
      <c r="C23" s="226">
        <v>0.8</v>
      </c>
      <c r="D23" s="226">
        <v>0.8</v>
      </c>
      <c r="E23" s="226">
        <v>0.8</v>
      </c>
      <c r="F23" s="226">
        <v>0.8</v>
      </c>
      <c r="G23" s="226">
        <v>0.8</v>
      </c>
      <c r="H23" s="226">
        <v>0.8</v>
      </c>
      <c r="I23" s="226">
        <v>0.8</v>
      </c>
      <c r="J23" s="226">
        <v>0.8</v>
      </c>
      <c r="K23" s="226">
        <v>0.8</v>
      </c>
      <c r="L23" s="226">
        <v>0.8</v>
      </c>
      <c r="M23" s="226">
        <v>0.7</v>
      </c>
      <c r="N23" s="226">
        <v>0.7</v>
      </c>
      <c r="O23" s="226">
        <v>0.6</v>
      </c>
      <c r="P23" s="226">
        <v>0.6</v>
      </c>
      <c r="Q23" s="226">
        <v>0.7</v>
      </c>
      <c r="R23" s="226">
        <v>0.8</v>
      </c>
      <c r="S23" s="226">
        <v>0.8</v>
      </c>
      <c r="T23" s="226">
        <v>0.8</v>
      </c>
      <c r="U23" s="226">
        <v>0.8</v>
      </c>
      <c r="V23" s="226">
        <v>0.8</v>
      </c>
      <c r="W23" s="225">
        <v>0.8</v>
      </c>
      <c r="X23" s="225">
        <v>0.8</v>
      </c>
      <c r="Y23" s="225">
        <v>0.8</v>
      </c>
      <c r="Z23" s="225">
        <v>0.8</v>
      </c>
      <c r="AA23" s="226">
        <v>0.8</v>
      </c>
      <c r="AB23" s="226">
        <v>0.6</v>
      </c>
      <c r="AC23" s="226">
        <v>0.8</v>
      </c>
      <c r="AD23" s="226">
        <v>0.8</v>
      </c>
      <c r="AE23" s="226">
        <v>0.1</v>
      </c>
      <c r="AF23" s="226">
        <v>0.1</v>
      </c>
      <c r="AG23" s="226">
        <v>0.1</v>
      </c>
      <c r="AH23" s="226">
        <v>0.1</v>
      </c>
      <c r="AI23" s="226">
        <v>0.8</v>
      </c>
      <c r="AJ23" s="226">
        <v>0.7</v>
      </c>
      <c r="AK23" s="226">
        <v>0.1</v>
      </c>
      <c r="AL23" s="226">
        <v>0.3</v>
      </c>
      <c r="AM23" s="226">
        <v>0.1</v>
      </c>
      <c r="AN23" s="226">
        <v>0.1</v>
      </c>
      <c r="AO23" s="226">
        <v>0.1</v>
      </c>
      <c r="AP23" s="226">
        <v>0.1</v>
      </c>
      <c r="AQ23" s="226">
        <v>0.1</v>
      </c>
      <c r="AR23" s="226">
        <v>0.1</v>
      </c>
      <c r="AS23" s="226">
        <v>0.1</v>
      </c>
      <c r="AT23" s="226">
        <v>0.7</v>
      </c>
      <c r="AU23" s="226">
        <v>0.3</v>
      </c>
      <c r="AV23" s="226">
        <v>0.3</v>
      </c>
      <c r="AW23" s="226">
        <v>0.3</v>
      </c>
      <c r="AX23" s="226">
        <v>0.8</v>
      </c>
      <c r="AY23" s="226">
        <v>0.8</v>
      </c>
      <c r="AZ23" s="226">
        <v>0.8</v>
      </c>
      <c r="BA23" s="226">
        <v>0.6</v>
      </c>
      <c r="BB23" s="226">
        <v>0.6</v>
      </c>
      <c r="BC23" s="226">
        <v>0.8</v>
      </c>
      <c r="BD23" s="226">
        <v>0.7</v>
      </c>
      <c r="BE23" s="226">
        <v>0.8</v>
      </c>
      <c r="BF23" s="226">
        <v>0.1</v>
      </c>
      <c r="BG23" s="226">
        <v>0.1</v>
      </c>
      <c r="BH23" s="226">
        <v>0.3</v>
      </c>
      <c r="BI23" s="226">
        <v>0.3</v>
      </c>
      <c r="BJ23" s="226">
        <v>0.3</v>
      </c>
      <c r="BK23" s="226">
        <v>0.3</v>
      </c>
      <c r="BL23" s="226">
        <v>0.3</v>
      </c>
      <c r="BM23" s="226">
        <v>0.3</v>
      </c>
      <c r="BN23" s="226">
        <v>0.7</v>
      </c>
      <c r="BO23" s="226">
        <v>0.7</v>
      </c>
      <c r="BP23" s="226">
        <v>0.8</v>
      </c>
      <c r="BQ23" s="226">
        <v>0.8</v>
      </c>
      <c r="BR23" s="226">
        <v>0.7</v>
      </c>
      <c r="BS23" s="226">
        <v>0.7</v>
      </c>
      <c r="BT23" s="226">
        <v>0.7</v>
      </c>
      <c r="BU23" s="226">
        <v>0.7</v>
      </c>
      <c r="BV23" s="226">
        <v>0.8</v>
      </c>
      <c r="BW23" s="226">
        <v>0.8</v>
      </c>
      <c r="BX23" s="226">
        <v>0.7</v>
      </c>
      <c r="BY23" s="226">
        <v>0.8</v>
      </c>
      <c r="BZ23" s="226">
        <v>0.8</v>
      </c>
      <c r="CA23" s="226">
        <v>0.8</v>
      </c>
      <c r="CB23" s="226">
        <v>0.8</v>
      </c>
      <c r="CC23" s="226">
        <v>0.8</v>
      </c>
      <c r="CD23" s="226">
        <v>0.8</v>
      </c>
      <c r="CE23" s="226">
        <v>0.8</v>
      </c>
      <c r="CF23" s="226">
        <v>0.8</v>
      </c>
      <c r="CG23" s="226">
        <v>0.8</v>
      </c>
      <c r="CH23" s="226">
        <v>0.8</v>
      </c>
      <c r="CI23" s="226">
        <v>0.8</v>
      </c>
      <c r="CJ23" s="226">
        <v>0.8</v>
      </c>
      <c r="CK23" s="226">
        <v>0.8</v>
      </c>
      <c r="CL23" s="226">
        <v>0.8</v>
      </c>
      <c r="CM23" s="226">
        <v>0.8</v>
      </c>
      <c r="CN23" s="226">
        <v>0.8</v>
      </c>
      <c r="CO23" s="226">
        <v>0.8</v>
      </c>
      <c r="CP23" s="226">
        <v>0.8</v>
      </c>
      <c r="CQ23" s="226">
        <v>0.8</v>
      </c>
      <c r="CR23" s="226">
        <v>0.8</v>
      </c>
      <c r="CS23" s="226">
        <v>0.8</v>
      </c>
      <c r="CT23" s="226">
        <v>0.8</v>
      </c>
      <c r="CU23" s="226">
        <v>0.8</v>
      </c>
      <c r="CV23" s="226">
        <v>0.8</v>
      </c>
      <c r="CW23" s="226">
        <v>0.8</v>
      </c>
      <c r="CX23" s="226">
        <v>0.8</v>
      </c>
      <c r="CY23" s="226">
        <v>0.8</v>
      </c>
      <c r="CZ23" s="226">
        <v>0.8</v>
      </c>
      <c r="DA23" s="226">
        <v>0.8</v>
      </c>
      <c r="DB23" s="226">
        <v>0.8</v>
      </c>
      <c r="DC23" s="226">
        <v>0.8</v>
      </c>
      <c r="DD23" s="226">
        <v>0.8</v>
      </c>
      <c r="DE23" s="226">
        <v>0.8</v>
      </c>
      <c r="DF23" s="226">
        <v>0.8</v>
      </c>
      <c r="DG23" s="226">
        <v>0.8</v>
      </c>
      <c r="DH23" s="226">
        <v>0.8</v>
      </c>
      <c r="DI23" s="226">
        <v>0.8</v>
      </c>
      <c r="DJ23" s="226">
        <v>0.8</v>
      </c>
      <c r="DK23" s="226">
        <v>0.8</v>
      </c>
      <c r="DL23" s="226">
        <v>0.1</v>
      </c>
      <c r="DM23" s="226">
        <v>0</v>
      </c>
      <c r="DN23" s="226">
        <v>0</v>
      </c>
      <c r="DO23" s="226">
        <v>0</v>
      </c>
      <c r="DP23" s="226">
        <v>0</v>
      </c>
      <c r="DQ23" s="226">
        <v>0</v>
      </c>
      <c r="DR23" s="226">
        <v>0</v>
      </c>
      <c r="DS23" s="226">
        <v>0</v>
      </c>
    </row>
    <row r="24" spans="1:123" x14ac:dyDescent="0.15">
      <c r="A24" s="156" t="s">
        <v>247</v>
      </c>
      <c r="B24">
        <v>0.8</v>
      </c>
      <c r="C24" s="226">
        <v>0.8</v>
      </c>
      <c r="D24" s="226">
        <v>0.8</v>
      </c>
      <c r="E24" s="226">
        <v>0.8</v>
      </c>
      <c r="F24" s="226">
        <v>0.8</v>
      </c>
      <c r="G24" s="226">
        <v>0.8</v>
      </c>
      <c r="H24" s="226">
        <v>0.8</v>
      </c>
      <c r="I24" s="226">
        <v>0.8</v>
      </c>
      <c r="J24" s="226">
        <v>0.8</v>
      </c>
      <c r="K24" s="226">
        <v>0.8</v>
      </c>
      <c r="L24" s="226">
        <v>0.8</v>
      </c>
      <c r="M24" s="226">
        <v>0.7</v>
      </c>
      <c r="N24" s="226">
        <v>0.7</v>
      </c>
      <c r="O24" s="226">
        <v>0.6</v>
      </c>
      <c r="P24" s="226">
        <v>0.6</v>
      </c>
      <c r="Q24" s="226">
        <v>0.7</v>
      </c>
      <c r="R24" s="226">
        <v>0.8</v>
      </c>
      <c r="S24" s="226">
        <v>0.8</v>
      </c>
      <c r="T24" s="226">
        <v>0.8</v>
      </c>
      <c r="U24" s="226">
        <v>0.8</v>
      </c>
      <c r="V24" s="226">
        <v>0.8</v>
      </c>
      <c r="W24" s="225">
        <v>0.8</v>
      </c>
      <c r="X24" s="225">
        <v>0.8</v>
      </c>
      <c r="Y24" s="225">
        <v>0.8</v>
      </c>
      <c r="Z24" s="225">
        <v>0.8</v>
      </c>
      <c r="AA24" s="226">
        <v>0.8</v>
      </c>
      <c r="AB24" s="226">
        <v>0.6</v>
      </c>
      <c r="AC24" s="226">
        <v>0.8</v>
      </c>
      <c r="AD24" s="226">
        <v>0.8</v>
      </c>
      <c r="AE24" s="226">
        <v>0.1</v>
      </c>
      <c r="AF24" s="226">
        <v>0.1</v>
      </c>
      <c r="AG24" s="226">
        <v>0.1</v>
      </c>
      <c r="AH24" s="226">
        <v>0.1</v>
      </c>
      <c r="AI24" s="226">
        <v>0.8</v>
      </c>
      <c r="AJ24" s="226">
        <v>0.7</v>
      </c>
      <c r="AK24" s="226">
        <v>0.1</v>
      </c>
      <c r="AL24" s="226">
        <v>0.3</v>
      </c>
      <c r="AM24" s="226">
        <v>0.1</v>
      </c>
      <c r="AN24" s="226">
        <v>0.1</v>
      </c>
      <c r="AO24" s="226">
        <v>0.1</v>
      </c>
      <c r="AP24" s="226">
        <v>0.1</v>
      </c>
      <c r="AQ24" s="226">
        <v>0.1</v>
      </c>
      <c r="AR24" s="226">
        <v>0.1</v>
      </c>
      <c r="AS24" s="226">
        <v>0.1</v>
      </c>
      <c r="AT24" s="226">
        <v>0.7</v>
      </c>
      <c r="AU24" s="226">
        <v>0.3</v>
      </c>
      <c r="AV24" s="226">
        <v>0.3</v>
      </c>
      <c r="AW24" s="226">
        <v>0.3</v>
      </c>
      <c r="AX24" s="226">
        <v>0.8</v>
      </c>
      <c r="AY24" s="226">
        <v>0.8</v>
      </c>
      <c r="AZ24" s="226">
        <v>0.8</v>
      </c>
      <c r="BA24" s="226">
        <v>0.6</v>
      </c>
      <c r="BB24" s="226">
        <v>0.6</v>
      </c>
      <c r="BC24" s="226">
        <v>0.8</v>
      </c>
      <c r="BD24" s="226">
        <v>0.7</v>
      </c>
      <c r="BE24" s="226">
        <v>0.8</v>
      </c>
      <c r="BF24" s="226">
        <v>0.1</v>
      </c>
      <c r="BG24" s="226">
        <v>0.1</v>
      </c>
      <c r="BH24" s="226">
        <v>0.3</v>
      </c>
      <c r="BI24" s="226">
        <v>0.3</v>
      </c>
      <c r="BJ24" s="226">
        <v>0.3</v>
      </c>
      <c r="BK24" s="226">
        <v>0.3</v>
      </c>
      <c r="BL24" s="226">
        <v>0.3</v>
      </c>
      <c r="BM24" s="226">
        <v>0.3</v>
      </c>
      <c r="BN24" s="226">
        <v>0.7</v>
      </c>
      <c r="BO24" s="226">
        <v>0.7</v>
      </c>
      <c r="BP24" s="226">
        <v>0.8</v>
      </c>
      <c r="BQ24" s="226">
        <v>0.8</v>
      </c>
      <c r="BR24" s="226">
        <v>0.7</v>
      </c>
      <c r="BS24" s="226">
        <v>0.7</v>
      </c>
      <c r="BT24" s="226">
        <v>0.7</v>
      </c>
      <c r="BU24" s="226">
        <v>0.7</v>
      </c>
      <c r="BV24" s="226">
        <v>0.8</v>
      </c>
      <c r="BW24" s="226">
        <v>0.8</v>
      </c>
      <c r="BX24" s="226">
        <v>0.7</v>
      </c>
      <c r="BY24" s="226">
        <v>0.8</v>
      </c>
      <c r="BZ24" s="226">
        <v>0.8</v>
      </c>
      <c r="CA24" s="226">
        <v>0.8</v>
      </c>
      <c r="CB24" s="226">
        <v>0.8</v>
      </c>
      <c r="CC24" s="226">
        <v>0.8</v>
      </c>
      <c r="CD24" s="226">
        <v>0.8</v>
      </c>
      <c r="CE24" s="226">
        <v>0.8</v>
      </c>
      <c r="CF24" s="226">
        <v>0.8</v>
      </c>
      <c r="CG24" s="226">
        <v>0.8</v>
      </c>
      <c r="CH24" s="226">
        <v>0.8</v>
      </c>
      <c r="CI24" s="226">
        <v>0.8</v>
      </c>
      <c r="CJ24" s="226">
        <v>0.8</v>
      </c>
      <c r="CK24" s="226">
        <v>0.8</v>
      </c>
      <c r="CL24" s="226">
        <v>0.8</v>
      </c>
      <c r="CM24" s="226">
        <v>0.8</v>
      </c>
      <c r="CN24" s="226">
        <v>0.8</v>
      </c>
      <c r="CO24" s="226">
        <v>0.8</v>
      </c>
      <c r="CP24" s="226">
        <v>0.8</v>
      </c>
      <c r="CQ24" s="226">
        <v>0.8</v>
      </c>
      <c r="CR24" s="226">
        <v>0.8</v>
      </c>
      <c r="CS24" s="226">
        <v>0.8</v>
      </c>
      <c r="CT24" s="226">
        <v>0.8</v>
      </c>
      <c r="CU24" s="226">
        <v>0.8</v>
      </c>
      <c r="CV24" s="226">
        <v>0.8</v>
      </c>
      <c r="CW24" s="226">
        <v>0.8</v>
      </c>
      <c r="CX24" s="226">
        <v>0.8</v>
      </c>
      <c r="CY24" s="226">
        <v>0.8</v>
      </c>
      <c r="CZ24" s="226">
        <v>0.8</v>
      </c>
      <c r="DA24" s="226">
        <v>0.8</v>
      </c>
      <c r="DB24" s="226">
        <v>0.8</v>
      </c>
      <c r="DC24" s="226">
        <v>0.8</v>
      </c>
      <c r="DD24" s="226">
        <v>0.8</v>
      </c>
      <c r="DE24" s="226">
        <v>0.8</v>
      </c>
      <c r="DF24" s="226">
        <v>0.8</v>
      </c>
      <c r="DG24" s="226">
        <v>0.8</v>
      </c>
      <c r="DH24" s="226">
        <v>0.8</v>
      </c>
      <c r="DI24" s="226">
        <v>0.8</v>
      </c>
      <c r="DJ24" s="226">
        <v>0.8</v>
      </c>
      <c r="DK24" s="226">
        <v>0.8</v>
      </c>
      <c r="DL24" s="226">
        <v>0.1</v>
      </c>
      <c r="DM24" s="226">
        <v>0</v>
      </c>
      <c r="DN24" s="226">
        <v>0</v>
      </c>
      <c r="DO24" s="226">
        <v>0</v>
      </c>
      <c r="DP24" s="226">
        <v>0</v>
      </c>
      <c r="DQ24" s="226">
        <v>0</v>
      </c>
      <c r="DR24" s="226">
        <v>0</v>
      </c>
      <c r="DS24" s="226">
        <v>0</v>
      </c>
    </row>
    <row r="25" spans="1:123" x14ac:dyDescent="0.15">
      <c r="A25" s="156" t="s">
        <v>248</v>
      </c>
      <c r="B25">
        <v>0.8</v>
      </c>
      <c r="C25" s="226">
        <v>0.8</v>
      </c>
      <c r="D25" s="226">
        <v>0.8</v>
      </c>
      <c r="E25" s="226">
        <v>0.8</v>
      </c>
      <c r="F25" s="226">
        <v>0.8</v>
      </c>
      <c r="G25" s="226">
        <v>0.8</v>
      </c>
      <c r="H25" s="226">
        <v>0.8</v>
      </c>
      <c r="I25" s="226">
        <v>0.8</v>
      </c>
      <c r="J25" s="226">
        <v>0.8</v>
      </c>
      <c r="K25" s="226">
        <v>0.8</v>
      </c>
      <c r="L25" s="226">
        <v>0.8</v>
      </c>
      <c r="M25" s="226">
        <v>0.7</v>
      </c>
      <c r="N25" s="226">
        <v>0.7</v>
      </c>
      <c r="O25" s="226">
        <v>0.6</v>
      </c>
      <c r="P25" s="226">
        <v>0.6</v>
      </c>
      <c r="Q25" s="226">
        <v>0.7</v>
      </c>
      <c r="R25" s="226">
        <v>0.8</v>
      </c>
      <c r="S25" s="226">
        <v>0.8</v>
      </c>
      <c r="T25" s="226">
        <v>0.8</v>
      </c>
      <c r="U25" s="226">
        <v>0.8</v>
      </c>
      <c r="V25" s="226">
        <v>0.8</v>
      </c>
      <c r="W25" s="225">
        <v>0.8</v>
      </c>
      <c r="X25" s="225">
        <v>0.8</v>
      </c>
      <c r="Y25" s="225">
        <v>0.8</v>
      </c>
      <c r="Z25" s="225">
        <v>0.8</v>
      </c>
      <c r="AA25" s="226">
        <v>0.8</v>
      </c>
      <c r="AB25" s="226">
        <v>0.6</v>
      </c>
      <c r="AC25" s="226">
        <v>0.8</v>
      </c>
      <c r="AD25" s="226">
        <v>0.8</v>
      </c>
      <c r="AE25" s="226">
        <v>0.1</v>
      </c>
      <c r="AF25" s="226">
        <v>0.1</v>
      </c>
      <c r="AG25" s="226">
        <v>0.1</v>
      </c>
      <c r="AH25" s="226">
        <v>0.1</v>
      </c>
      <c r="AI25" s="226">
        <v>0.8</v>
      </c>
      <c r="AJ25" s="226">
        <v>0.7</v>
      </c>
      <c r="AK25" s="226">
        <v>0.1</v>
      </c>
      <c r="AL25" s="226">
        <v>0.3</v>
      </c>
      <c r="AM25" s="226">
        <v>0.1</v>
      </c>
      <c r="AN25" s="226">
        <v>0.1</v>
      </c>
      <c r="AO25" s="226">
        <v>0.1</v>
      </c>
      <c r="AP25" s="226">
        <v>0.1</v>
      </c>
      <c r="AQ25" s="226">
        <v>0.1</v>
      </c>
      <c r="AR25" s="226">
        <v>0.1</v>
      </c>
      <c r="AS25" s="226">
        <v>0.1</v>
      </c>
      <c r="AT25" s="226">
        <v>0.7</v>
      </c>
      <c r="AU25" s="226">
        <v>0.3</v>
      </c>
      <c r="AV25" s="226">
        <v>0.3</v>
      </c>
      <c r="AW25" s="226">
        <v>0.3</v>
      </c>
      <c r="AX25" s="226">
        <v>0.8</v>
      </c>
      <c r="AY25" s="226">
        <v>0.8</v>
      </c>
      <c r="AZ25" s="226">
        <v>0.8</v>
      </c>
      <c r="BA25" s="226">
        <v>0.6</v>
      </c>
      <c r="BB25" s="226">
        <v>0.6</v>
      </c>
      <c r="BC25" s="226">
        <v>0.8</v>
      </c>
      <c r="BD25" s="226">
        <v>0.7</v>
      </c>
      <c r="BE25" s="226">
        <v>0.8</v>
      </c>
      <c r="BF25" s="226">
        <v>0.1</v>
      </c>
      <c r="BG25" s="226">
        <v>0.1</v>
      </c>
      <c r="BH25" s="226">
        <v>0.3</v>
      </c>
      <c r="BI25" s="226">
        <v>0.3</v>
      </c>
      <c r="BJ25" s="226">
        <v>0.3</v>
      </c>
      <c r="BK25" s="226">
        <v>0.3</v>
      </c>
      <c r="BL25" s="226">
        <v>0.3</v>
      </c>
      <c r="BM25" s="226">
        <v>0.3</v>
      </c>
      <c r="BN25" s="226">
        <v>0.7</v>
      </c>
      <c r="BO25" s="226">
        <v>0.7</v>
      </c>
      <c r="BP25" s="226">
        <v>0.8</v>
      </c>
      <c r="BQ25" s="226">
        <v>0.8</v>
      </c>
      <c r="BR25" s="226">
        <v>0.7</v>
      </c>
      <c r="BS25" s="226">
        <v>0.7</v>
      </c>
      <c r="BT25" s="226">
        <v>0.7</v>
      </c>
      <c r="BU25" s="226">
        <v>0.7</v>
      </c>
      <c r="BV25" s="226">
        <v>0.8</v>
      </c>
      <c r="BW25" s="226">
        <v>0.8</v>
      </c>
      <c r="BX25" s="226">
        <v>0.7</v>
      </c>
      <c r="BY25" s="226">
        <v>0.8</v>
      </c>
      <c r="BZ25" s="226">
        <v>0.8</v>
      </c>
      <c r="CA25" s="226">
        <v>0.8</v>
      </c>
      <c r="CB25" s="226">
        <v>0.8</v>
      </c>
      <c r="CC25" s="226">
        <v>0.8</v>
      </c>
      <c r="CD25" s="226">
        <v>0.8</v>
      </c>
      <c r="CE25" s="226">
        <v>0.8</v>
      </c>
      <c r="CF25" s="226">
        <v>0.8</v>
      </c>
      <c r="CG25" s="226">
        <v>0.8</v>
      </c>
      <c r="CH25" s="226">
        <v>0.8</v>
      </c>
      <c r="CI25" s="226">
        <v>0.8</v>
      </c>
      <c r="CJ25" s="226">
        <v>0.8</v>
      </c>
      <c r="CK25" s="226">
        <v>0.8</v>
      </c>
      <c r="CL25" s="226">
        <v>0.8</v>
      </c>
      <c r="CM25" s="226">
        <v>0.8</v>
      </c>
      <c r="CN25" s="226">
        <v>0.8</v>
      </c>
      <c r="CO25" s="226">
        <v>0.8</v>
      </c>
      <c r="CP25" s="226">
        <v>0.8</v>
      </c>
      <c r="CQ25" s="226">
        <v>0.8</v>
      </c>
      <c r="CR25" s="226">
        <v>0.8</v>
      </c>
      <c r="CS25" s="226">
        <v>0.8</v>
      </c>
      <c r="CT25" s="226">
        <v>0.8</v>
      </c>
      <c r="CU25" s="226">
        <v>0.8</v>
      </c>
      <c r="CV25" s="226">
        <v>0.8</v>
      </c>
      <c r="CW25" s="226">
        <v>0.8</v>
      </c>
      <c r="CX25" s="226">
        <v>0.8</v>
      </c>
      <c r="CY25" s="226">
        <v>0.8</v>
      </c>
      <c r="CZ25" s="226">
        <v>0.8</v>
      </c>
      <c r="DA25" s="226">
        <v>0.8</v>
      </c>
      <c r="DB25" s="226">
        <v>0.8</v>
      </c>
      <c r="DC25" s="226">
        <v>0.8</v>
      </c>
      <c r="DD25" s="226">
        <v>0.8</v>
      </c>
      <c r="DE25" s="226">
        <v>0.8</v>
      </c>
      <c r="DF25" s="226">
        <v>0.8</v>
      </c>
      <c r="DG25" s="226">
        <v>0.8</v>
      </c>
      <c r="DH25" s="226">
        <v>0.8</v>
      </c>
      <c r="DI25" s="226">
        <v>0.8</v>
      </c>
      <c r="DJ25" s="226">
        <v>0.8</v>
      </c>
      <c r="DK25" s="226">
        <v>0.8</v>
      </c>
      <c r="DL25" s="226">
        <v>0.1</v>
      </c>
      <c r="DM25" s="226">
        <v>0</v>
      </c>
      <c r="DN25" s="226">
        <v>0</v>
      </c>
      <c r="DO25" s="226">
        <v>0</v>
      </c>
      <c r="DP25" s="226">
        <v>0</v>
      </c>
      <c r="DQ25" s="226">
        <v>0</v>
      </c>
      <c r="DR25" s="226">
        <v>0</v>
      </c>
      <c r="DS25" s="226">
        <v>0</v>
      </c>
    </row>
    <row r="26" spans="1:123" x14ac:dyDescent="0.15">
      <c r="A26" s="156" t="s">
        <v>249</v>
      </c>
      <c r="B26">
        <v>0.8</v>
      </c>
      <c r="C26" s="226">
        <v>0.8</v>
      </c>
      <c r="D26" s="226">
        <v>0.8</v>
      </c>
      <c r="E26" s="226">
        <v>0.8</v>
      </c>
      <c r="F26" s="226">
        <v>0.8</v>
      </c>
      <c r="G26" s="226">
        <v>0.8</v>
      </c>
      <c r="H26" s="226">
        <v>0.8</v>
      </c>
      <c r="I26" s="226">
        <v>0.8</v>
      </c>
      <c r="J26" s="226">
        <v>0.8</v>
      </c>
      <c r="K26" s="226">
        <v>0.8</v>
      </c>
      <c r="L26" s="226">
        <v>0.8</v>
      </c>
      <c r="M26" s="226">
        <v>0.7</v>
      </c>
      <c r="N26" s="226">
        <v>0.7</v>
      </c>
      <c r="O26" s="226">
        <v>0.6</v>
      </c>
      <c r="P26" s="226">
        <v>0.6</v>
      </c>
      <c r="Q26" s="226">
        <v>0.7</v>
      </c>
      <c r="R26" s="226">
        <v>0.8</v>
      </c>
      <c r="S26" s="226">
        <v>0.8</v>
      </c>
      <c r="T26" s="226">
        <v>0.8</v>
      </c>
      <c r="U26" s="226">
        <v>0.8</v>
      </c>
      <c r="V26" s="226">
        <v>0.8</v>
      </c>
      <c r="W26" s="225">
        <v>0.8</v>
      </c>
      <c r="X26" s="225">
        <v>0.8</v>
      </c>
      <c r="Y26" s="225">
        <v>0.8</v>
      </c>
      <c r="Z26" s="225">
        <v>0.8</v>
      </c>
      <c r="AA26" s="226">
        <v>0.8</v>
      </c>
      <c r="AB26" s="226">
        <v>0.6</v>
      </c>
      <c r="AC26" s="226">
        <v>0.8</v>
      </c>
      <c r="AD26" s="226">
        <v>0.8</v>
      </c>
      <c r="AE26" s="226">
        <v>0.1</v>
      </c>
      <c r="AF26" s="226">
        <v>0.1</v>
      </c>
      <c r="AG26" s="226">
        <v>0.1</v>
      </c>
      <c r="AH26" s="226">
        <v>0.1</v>
      </c>
      <c r="AI26" s="226">
        <v>0.8</v>
      </c>
      <c r="AJ26" s="226">
        <v>0.7</v>
      </c>
      <c r="AK26" s="226">
        <v>0.1</v>
      </c>
      <c r="AL26" s="226">
        <v>0.3</v>
      </c>
      <c r="AM26" s="226">
        <v>0.1</v>
      </c>
      <c r="AN26" s="226">
        <v>0.1</v>
      </c>
      <c r="AO26" s="226">
        <v>0.1</v>
      </c>
      <c r="AP26" s="226">
        <v>0.1</v>
      </c>
      <c r="AQ26" s="226">
        <v>0.1</v>
      </c>
      <c r="AR26" s="226">
        <v>0.1</v>
      </c>
      <c r="AS26" s="226">
        <v>0.1</v>
      </c>
      <c r="AT26" s="226">
        <v>0.7</v>
      </c>
      <c r="AU26" s="226">
        <v>0.3</v>
      </c>
      <c r="AV26" s="226">
        <v>0.3</v>
      </c>
      <c r="AW26" s="226">
        <v>0.3</v>
      </c>
      <c r="AX26" s="226">
        <v>0.8</v>
      </c>
      <c r="AY26" s="226">
        <v>0.8</v>
      </c>
      <c r="AZ26" s="226">
        <v>0.8</v>
      </c>
      <c r="BA26" s="226">
        <v>0.6</v>
      </c>
      <c r="BB26" s="226">
        <v>0.6</v>
      </c>
      <c r="BC26" s="226">
        <v>0.8</v>
      </c>
      <c r="BD26" s="226">
        <v>0.7</v>
      </c>
      <c r="BE26" s="226">
        <v>0.8</v>
      </c>
      <c r="BF26" s="226">
        <v>0.1</v>
      </c>
      <c r="BG26" s="226">
        <v>0.1</v>
      </c>
      <c r="BH26" s="226">
        <v>0.3</v>
      </c>
      <c r="BI26" s="226">
        <v>0.3</v>
      </c>
      <c r="BJ26" s="226">
        <v>0.3</v>
      </c>
      <c r="BK26" s="226">
        <v>0.3</v>
      </c>
      <c r="BL26" s="226">
        <v>0.3</v>
      </c>
      <c r="BM26" s="226">
        <v>0.3</v>
      </c>
      <c r="BN26" s="226">
        <v>0.7</v>
      </c>
      <c r="BO26" s="226">
        <v>0.7</v>
      </c>
      <c r="BP26" s="226">
        <v>0.8</v>
      </c>
      <c r="BQ26" s="226">
        <v>0.8</v>
      </c>
      <c r="BR26" s="226">
        <v>0.7</v>
      </c>
      <c r="BS26" s="226">
        <v>0.7</v>
      </c>
      <c r="BT26" s="226">
        <v>0.7</v>
      </c>
      <c r="BU26" s="226">
        <v>0.7</v>
      </c>
      <c r="BV26" s="226">
        <v>0.8</v>
      </c>
      <c r="BW26" s="226">
        <v>0.8</v>
      </c>
      <c r="BX26" s="226">
        <v>0.7</v>
      </c>
      <c r="BY26" s="226">
        <v>0.8</v>
      </c>
      <c r="BZ26" s="226">
        <v>0.8</v>
      </c>
      <c r="CA26" s="226">
        <v>0.8</v>
      </c>
      <c r="CB26" s="226">
        <v>0.8</v>
      </c>
      <c r="CC26" s="226">
        <v>0.8</v>
      </c>
      <c r="CD26" s="226">
        <v>0.8</v>
      </c>
      <c r="CE26" s="226">
        <v>0.8</v>
      </c>
      <c r="CF26" s="226">
        <v>0.8</v>
      </c>
      <c r="CG26" s="226">
        <v>0.8</v>
      </c>
      <c r="CH26" s="226">
        <v>0.8</v>
      </c>
      <c r="CI26" s="226">
        <v>0.8</v>
      </c>
      <c r="CJ26" s="226">
        <v>0.8</v>
      </c>
      <c r="CK26" s="226">
        <v>0.8</v>
      </c>
      <c r="CL26" s="226">
        <v>0.8</v>
      </c>
      <c r="CM26" s="226">
        <v>0.8</v>
      </c>
      <c r="CN26" s="226">
        <v>0.8</v>
      </c>
      <c r="CO26" s="226">
        <v>0.8</v>
      </c>
      <c r="CP26" s="226">
        <v>0.8</v>
      </c>
      <c r="CQ26" s="226">
        <v>0.8</v>
      </c>
      <c r="CR26" s="226">
        <v>0.8</v>
      </c>
      <c r="CS26" s="226">
        <v>0.8</v>
      </c>
      <c r="CT26" s="226">
        <v>0.8</v>
      </c>
      <c r="CU26" s="226">
        <v>0.8</v>
      </c>
      <c r="CV26" s="226">
        <v>0.8</v>
      </c>
      <c r="CW26" s="226">
        <v>0.8</v>
      </c>
      <c r="CX26" s="226">
        <v>0.8</v>
      </c>
      <c r="CY26" s="226">
        <v>0.8</v>
      </c>
      <c r="CZ26" s="226">
        <v>0.8</v>
      </c>
      <c r="DA26" s="226">
        <v>0.8</v>
      </c>
      <c r="DB26" s="226">
        <v>0.8</v>
      </c>
      <c r="DC26" s="226">
        <v>0.8</v>
      </c>
      <c r="DD26" s="226">
        <v>0.8</v>
      </c>
      <c r="DE26" s="226">
        <v>0.8</v>
      </c>
      <c r="DF26" s="226">
        <v>0.8</v>
      </c>
      <c r="DG26" s="226">
        <v>0.8</v>
      </c>
      <c r="DH26" s="226">
        <v>0.8</v>
      </c>
      <c r="DI26" s="226">
        <v>0.8</v>
      </c>
      <c r="DJ26" s="226">
        <v>0.8</v>
      </c>
      <c r="DK26" s="226">
        <v>0.8</v>
      </c>
      <c r="DL26" s="226">
        <v>0.1</v>
      </c>
      <c r="DM26" s="226">
        <v>0</v>
      </c>
      <c r="DN26" s="226">
        <v>0</v>
      </c>
      <c r="DO26" s="226">
        <v>0</v>
      </c>
      <c r="DP26" s="226">
        <v>0</v>
      </c>
      <c r="DQ26" s="226">
        <v>0</v>
      </c>
      <c r="DR26" s="226">
        <v>0</v>
      </c>
      <c r="DS26" s="226">
        <v>0</v>
      </c>
    </row>
    <row r="27" spans="1:123" x14ac:dyDescent="0.15">
      <c r="A27" s="156" t="s">
        <v>250</v>
      </c>
      <c r="B27">
        <v>0.8</v>
      </c>
      <c r="C27" s="226">
        <v>0.8</v>
      </c>
      <c r="D27" s="226">
        <v>0.8</v>
      </c>
      <c r="E27" s="226">
        <v>0.8</v>
      </c>
      <c r="F27" s="226">
        <v>0.8</v>
      </c>
      <c r="G27" s="226">
        <v>0.8</v>
      </c>
      <c r="H27" s="226">
        <v>0.8</v>
      </c>
      <c r="I27" s="226">
        <v>0.8</v>
      </c>
      <c r="J27" s="226">
        <v>0.8</v>
      </c>
      <c r="K27" s="226">
        <v>0.8</v>
      </c>
      <c r="L27" s="226">
        <v>0.8</v>
      </c>
      <c r="M27" s="226">
        <v>0.7</v>
      </c>
      <c r="N27" s="226">
        <v>0.7</v>
      </c>
      <c r="O27" s="226">
        <v>0.6</v>
      </c>
      <c r="P27" s="226">
        <v>0.6</v>
      </c>
      <c r="Q27" s="226">
        <v>0.7</v>
      </c>
      <c r="R27" s="226">
        <v>0.8</v>
      </c>
      <c r="S27" s="226">
        <v>0.8</v>
      </c>
      <c r="T27" s="226">
        <v>0.8</v>
      </c>
      <c r="U27" s="226">
        <v>0.8</v>
      </c>
      <c r="V27" s="226">
        <v>0.8</v>
      </c>
      <c r="W27" s="225">
        <v>0.8</v>
      </c>
      <c r="X27" s="225">
        <v>0.8</v>
      </c>
      <c r="Y27" s="225">
        <v>0.8</v>
      </c>
      <c r="Z27" s="225">
        <v>0.8</v>
      </c>
      <c r="AA27" s="226">
        <v>0.8</v>
      </c>
      <c r="AB27" s="226">
        <v>0.6</v>
      </c>
      <c r="AC27" s="226">
        <v>0.8</v>
      </c>
      <c r="AD27" s="226">
        <v>0.8</v>
      </c>
      <c r="AE27" s="226">
        <v>0.1</v>
      </c>
      <c r="AF27" s="226">
        <v>0.1</v>
      </c>
      <c r="AG27" s="226">
        <v>0.1</v>
      </c>
      <c r="AH27" s="226">
        <v>0.1</v>
      </c>
      <c r="AI27" s="226">
        <v>0.8</v>
      </c>
      <c r="AJ27" s="226">
        <v>0.7</v>
      </c>
      <c r="AK27" s="226">
        <v>0.1</v>
      </c>
      <c r="AL27" s="226">
        <v>0.3</v>
      </c>
      <c r="AM27" s="226">
        <v>0.1</v>
      </c>
      <c r="AN27" s="226">
        <v>0.1</v>
      </c>
      <c r="AO27" s="226">
        <v>0.1</v>
      </c>
      <c r="AP27" s="226">
        <v>0.1</v>
      </c>
      <c r="AQ27" s="226">
        <v>0.1</v>
      </c>
      <c r="AR27" s="226">
        <v>0.1</v>
      </c>
      <c r="AS27" s="226">
        <v>0.1</v>
      </c>
      <c r="AT27" s="226">
        <v>0.7</v>
      </c>
      <c r="AU27" s="226">
        <v>0.3</v>
      </c>
      <c r="AV27" s="226">
        <v>0.3</v>
      </c>
      <c r="AW27" s="226">
        <v>0.3</v>
      </c>
      <c r="AX27" s="226">
        <v>0.8</v>
      </c>
      <c r="AY27" s="226">
        <v>0.8</v>
      </c>
      <c r="AZ27" s="226">
        <v>0.8</v>
      </c>
      <c r="BA27" s="226">
        <v>0.6</v>
      </c>
      <c r="BB27" s="226">
        <v>0.6</v>
      </c>
      <c r="BC27" s="226">
        <v>0.8</v>
      </c>
      <c r="BD27" s="226">
        <v>0.7</v>
      </c>
      <c r="BE27" s="226">
        <v>0.8</v>
      </c>
      <c r="BF27" s="226">
        <v>0.1</v>
      </c>
      <c r="BG27" s="226">
        <v>0.1</v>
      </c>
      <c r="BH27" s="226">
        <v>0.3</v>
      </c>
      <c r="BI27" s="226">
        <v>0.3</v>
      </c>
      <c r="BJ27" s="226">
        <v>0.3</v>
      </c>
      <c r="BK27" s="226">
        <v>0.3</v>
      </c>
      <c r="BL27" s="226">
        <v>0.3</v>
      </c>
      <c r="BM27" s="226">
        <v>0.3</v>
      </c>
      <c r="BN27" s="226">
        <v>0.7</v>
      </c>
      <c r="BO27" s="226">
        <v>0.7</v>
      </c>
      <c r="BP27" s="226">
        <v>0.8</v>
      </c>
      <c r="BQ27" s="226">
        <v>0.8</v>
      </c>
      <c r="BR27" s="226">
        <v>0.7</v>
      </c>
      <c r="BS27" s="226">
        <v>0.7</v>
      </c>
      <c r="BT27" s="226">
        <v>0.7</v>
      </c>
      <c r="BU27" s="226">
        <v>0.7</v>
      </c>
      <c r="BV27" s="226">
        <v>0.8</v>
      </c>
      <c r="BW27" s="226">
        <v>0.8</v>
      </c>
      <c r="BX27" s="226">
        <v>0.7</v>
      </c>
      <c r="BY27" s="226">
        <v>0.8</v>
      </c>
      <c r="BZ27" s="226">
        <v>0.8</v>
      </c>
      <c r="CA27" s="226">
        <v>0.8</v>
      </c>
      <c r="CB27" s="226">
        <v>0.8</v>
      </c>
      <c r="CC27" s="226">
        <v>0.8</v>
      </c>
      <c r="CD27" s="226">
        <v>0.8</v>
      </c>
      <c r="CE27" s="226">
        <v>0.8</v>
      </c>
      <c r="CF27" s="226">
        <v>0.8</v>
      </c>
      <c r="CG27" s="226">
        <v>0.8</v>
      </c>
      <c r="CH27" s="226">
        <v>0.8</v>
      </c>
      <c r="CI27" s="226">
        <v>0.8</v>
      </c>
      <c r="CJ27" s="226">
        <v>0.8</v>
      </c>
      <c r="CK27" s="226">
        <v>0.8</v>
      </c>
      <c r="CL27" s="226">
        <v>0.8</v>
      </c>
      <c r="CM27" s="226">
        <v>0.8</v>
      </c>
      <c r="CN27" s="226">
        <v>0.8</v>
      </c>
      <c r="CO27" s="226">
        <v>0.8</v>
      </c>
      <c r="CP27" s="226">
        <v>0.8</v>
      </c>
      <c r="CQ27" s="226">
        <v>0.8</v>
      </c>
      <c r="CR27" s="226">
        <v>0.8</v>
      </c>
      <c r="CS27" s="226">
        <v>0.8</v>
      </c>
      <c r="CT27" s="226">
        <v>0.8</v>
      </c>
      <c r="CU27" s="226">
        <v>0.8</v>
      </c>
      <c r="CV27" s="226">
        <v>0.8</v>
      </c>
      <c r="CW27" s="226">
        <v>0.8</v>
      </c>
      <c r="CX27" s="226">
        <v>0.8</v>
      </c>
      <c r="CY27" s="226">
        <v>0.8</v>
      </c>
      <c r="CZ27" s="226">
        <v>0.8</v>
      </c>
      <c r="DA27" s="226">
        <v>0.8</v>
      </c>
      <c r="DB27" s="226">
        <v>0.8</v>
      </c>
      <c r="DC27" s="226">
        <v>0.8</v>
      </c>
      <c r="DD27" s="226">
        <v>0.8</v>
      </c>
      <c r="DE27" s="226">
        <v>0.8</v>
      </c>
      <c r="DF27" s="226">
        <v>0.8</v>
      </c>
      <c r="DG27" s="226">
        <v>0.8</v>
      </c>
      <c r="DH27" s="226">
        <v>0.8</v>
      </c>
      <c r="DI27" s="226">
        <v>0.8</v>
      </c>
      <c r="DJ27" s="226">
        <v>0.8</v>
      </c>
      <c r="DK27" s="226">
        <v>0.8</v>
      </c>
      <c r="DL27" s="226">
        <v>0.1</v>
      </c>
      <c r="DM27" s="226">
        <v>0</v>
      </c>
      <c r="DN27" s="226">
        <v>0</v>
      </c>
      <c r="DO27" s="226">
        <v>0</v>
      </c>
      <c r="DP27" s="226">
        <v>0</v>
      </c>
      <c r="DQ27" s="226">
        <v>0</v>
      </c>
      <c r="DR27" s="226">
        <v>0</v>
      </c>
      <c r="DS27" s="226">
        <v>0</v>
      </c>
    </row>
    <row r="28" spans="1:123" x14ac:dyDescent="0.15">
      <c r="A28" s="156" t="s">
        <v>251</v>
      </c>
      <c r="B28">
        <v>0.8</v>
      </c>
      <c r="C28" s="226">
        <v>0.8</v>
      </c>
      <c r="D28" s="226">
        <v>0.8</v>
      </c>
      <c r="E28" s="226">
        <v>0.8</v>
      </c>
      <c r="F28" s="226">
        <v>0.8</v>
      </c>
      <c r="G28" s="226">
        <v>0.8</v>
      </c>
      <c r="H28" s="226">
        <v>0.8</v>
      </c>
      <c r="I28" s="226">
        <v>0.8</v>
      </c>
      <c r="J28" s="226">
        <v>0.8</v>
      </c>
      <c r="K28" s="226">
        <v>0.8</v>
      </c>
      <c r="L28" s="226">
        <v>0.8</v>
      </c>
      <c r="M28" s="226">
        <v>0.7</v>
      </c>
      <c r="N28" s="226">
        <v>0.7</v>
      </c>
      <c r="O28" s="226">
        <v>0.6</v>
      </c>
      <c r="P28" s="226">
        <v>0.6</v>
      </c>
      <c r="Q28" s="226">
        <v>0.7</v>
      </c>
      <c r="R28" s="226">
        <v>0.8</v>
      </c>
      <c r="S28" s="226">
        <v>0.8</v>
      </c>
      <c r="T28" s="226">
        <v>0.8</v>
      </c>
      <c r="U28" s="226">
        <v>0.8</v>
      </c>
      <c r="V28" s="226">
        <v>0.8</v>
      </c>
      <c r="W28" s="225">
        <v>0.8</v>
      </c>
      <c r="X28" s="225">
        <v>0.8</v>
      </c>
      <c r="Y28" s="225">
        <v>0.8</v>
      </c>
      <c r="Z28" s="225">
        <v>0.8</v>
      </c>
      <c r="AA28" s="226">
        <v>0.8</v>
      </c>
      <c r="AB28" s="226">
        <v>0.6</v>
      </c>
      <c r="AC28" s="226">
        <v>0.8</v>
      </c>
      <c r="AD28" s="226">
        <v>0.8</v>
      </c>
      <c r="AE28" s="226">
        <v>0.1</v>
      </c>
      <c r="AF28" s="226">
        <v>0.1</v>
      </c>
      <c r="AG28" s="226">
        <v>0.1</v>
      </c>
      <c r="AH28" s="226">
        <v>0.1</v>
      </c>
      <c r="AI28" s="226">
        <v>0.8</v>
      </c>
      <c r="AJ28" s="226">
        <v>0.7</v>
      </c>
      <c r="AK28" s="226">
        <v>0.1</v>
      </c>
      <c r="AL28" s="226">
        <v>0.3</v>
      </c>
      <c r="AM28" s="226">
        <v>0.1</v>
      </c>
      <c r="AN28" s="226">
        <v>0.1</v>
      </c>
      <c r="AO28" s="226">
        <v>0.1</v>
      </c>
      <c r="AP28" s="226">
        <v>0.1</v>
      </c>
      <c r="AQ28" s="226">
        <v>0.1</v>
      </c>
      <c r="AR28" s="226">
        <v>0.1</v>
      </c>
      <c r="AS28" s="226">
        <v>0.1</v>
      </c>
      <c r="AT28" s="226">
        <v>0.7</v>
      </c>
      <c r="AU28" s="226">
        <v>0.3</v>
      </c>
      <c r="AV28" s="226">
        <v>0.3</v>
      </c>
      <c r="AW28" s="226">
        <v>0.3</v>
      </c>
      <c r="AX28" s="226">
        <v>0.8</v>
      </c>
      <c r="AY28" s="226">
        <v>0.8</v>
      </c>
      <c r="AZ28" s="226">
        <v>0.8</v>
      </c>
      <c r="BA28" s="226">
        <v>0.6</v>
      </c>
      <c r="BB28" s="226">
        <v>0.6</v>
      </c>
      <c r="BC28" s="226">
        <v>0.8</v>
      </c>
      <c r="BD28" s="226">
        <v>0.7</v>
      </c>
      <c r="BE28" s="226">
        <v>0.8</v>
      </c>
      <c r="BF28" s="226">
        <v>0.1</v>
      </c>
      <c r="BG28" s="226">
        <v>0.1</v>
      </c>
      <c r="BH28" s="226">
        <v>0.3</v>
      </c>
      <c r="BI28" s="226">
        <v>0.3</v>
      </c>
      <c r="BJ28" s="226">
        <v>0.3</v>
      </c>
      <c r="BK28" s="226">
        <v>0.3</v>
      </c>
      <c r="BL28" s="226">
        <v>0.3</v>
      </c>
      <c r="BM28" s="226">
        <v>0.3</v>
      </c>
      <c r="BN28" s="226">
        <v>0.7</v>
      </c>
      <c r="BO28" s="226">
        <v>0.7</v>
      </c>
      <c r="BP28" s="226">
        <v>0.8</v>
      </c>
      <c r="BQ28" s="226">
        <v>0.8</v>
      </c>
      <c r="BR28" s="226">
        <v>0.7</v>
      </c>
      <c r="BS28" s="226">
        <v>0.7</v>
      </c>
      <c r="BT28" s="226">
        <v>0.7</v>
      </c>
      <c r="BU28" s="226">
        <v>0.7</v>
      </c>
      <c r="BV28" s="226">
        <v>0.8</v>
      </c>
      <c r="BW28" s="226">
        <v>0.8</v>
      </c>
      <c r="BX28" s="226">
        <v>0.7</v>
      </c>
      <c r="BY28" s="226">
        <v>0.8</v>
      </c>
      <c r="BZ28" s="226">
        <v>0.8</v>
      </c>
      <c r="CA28" s="226">
        <v>0.8</v>
      </c>
      <c r="CB28" s="226">
        <v>0.8</v>
      </c>
      <c r="CC28" s="226">
        <v>0.8</v>
      </c>
      <c r="CD28" s="226">
        <v>0.8</v>
      </c>
      <c r="CE28" s="226">
        <v>0.8</v>
      </c>
      <c r="CF28" s="226">
        <v>0.8</v>
      </c>
      <c r="CG28" s="226">
        <v>0.8</v>
      </c>
      <c r="CH28" s="226">
        <v>0.8</v>
      </c>
      <c r="CI28" s="226">
        <v>0.8</v>
      </c>
      <c r="CJ28" s="226">
        <v>0.8</v>
      </c>
      <c r="CK28" s="226">
        <v>0.8</v>
      </c>
      <c r="CL28" s="226">
        <v>0.8</v>
      </c>
      <c r="CM28" s="226">
        <v>0.8</v>
      </c>
      <c r="CN28" s="226">
        <v>0.8</v>
      </c>
      <c r="CO28" s="226">
        <v>0.8</v>
      </c>
      <c r="CP28" s="226">
        <v>0.8</v>
      </c>
      <c r="CQ28" s="226">
        <v>0.8</v>
      </c>
      <c r="CR28" s="226">
        <v>0.8</v>
      </c>
      <c r="CS28" s="226">
        <v>0.8</v>
      </c>
      <c r="CT28" s="226">
        <v>0.8</v>
      </c>
      <c r="CU28" s="226">
        <v>0.8</v>
      </c>
      <c r="CV28" s="226">
        <v>0.8</v>
      </c>
      <c r="CW28" s="226">
        <v>0.8</v>
      </c>
      <c r="CX28" s="226">
        <v>0.8</v>
      </c>
      <c r="CY28" s="226">
        <v>0.8</v>
      </c>
      <c r="CZ28" s="226">
        <v>0.8</v>
      </c>
      <c r="DA28" s="226">
        <v>0.8</v>
      </c>
      <c r="DB28" s="226">
        <v>0.8</v>
      </c>
      <c r="DC28" s="226">
        <v>0.8</v>
      </c>
      <c r="DD28" s="226">
        <v>0.8</v>
      </c>
      <c r="DE28" s="226">
        <v>0.8</v>
      </c>
      <c r="DF28" s="226">
        <v>0.8</v>
      </c>
      <c r="DG28" s="226">
        <v>0.8</v>
      </c>
      <c r="DH28" s="226">
        <v>0.8</v>
      </c>
      <c r="DI28" s="226">
        <v>0.8</v>
      </c>
      <c r="DJ28" s="226">
        <v>0.8</v>
      </c>
      <c r="DK28" s="226">
        <v>0.8</v>
      </c>
      <c r="DL28" s="226">
        <v>0.1</v>
      </c>
      <c r="DM28" s="226">
        <v>0</v>
      </c>
      <c r="DN28" s="226">
        <v>0</v>
      </c>
      <c r="DO28" s="226">
        <v>0</v>
      </c>
      <c r="DP28" s="226">
        <v>0</v>
      </c>
      <c r="DQ28" s="226">
        <v>0</v>
      </c>
      <c r="DR28" s="226">
        <v>0</v>
      </c>
      <c r="DS28" s="226">
        <v>0</v>
      </c>
    </row>
    <row r="29" spans="1:123" x14ac:dyDescent="0.15">
      <c r="A29" s="156" t="s">
        <v>252</v>
      </c>
      <c r="B29">
        <v>0.8</v>
      </c>
      <c r="C29" s="226">
        <v>0.8</v>
      </c>
      <c r="D29" s="226">
        <v>0.8</v>
      </c>
      <c r="E29" s="226">
        <v>0.8</v>
      </c>
      <c r="F29" s="226">
        <v>0.8</v>
      </c>
      <c r="G29" s="226">
        <v>0.8</v>
      </c>
      <c r="H29" s="226">
        <v>0.8</v>
      </c>
      <c r="I29" s="226">
        <v>0.8</v>
      </c>
      <c r="J29" s="226">
        <v>0.8</v>
      </c>
      <c r="K29" s="226">
        <v>0.8</v>
      </c>
      <c r="L29" s="226">
        <v>0.8</v>
      </c>
      <c r="M29" s="226">
        <v>0.7</v>
      </c>
      <c r="N29" s="226">
        <v>0.7</v>
      </c>
      <c r="O29" s="226">
        <v>0.6</v>
      </c>
      <c r="P29" s="226">
        <v>0.6</v>
      </c>
      <c r="Q29" s="226">
        <v>0.7</v>
      </c>
      <c r="R29" s="226">
        <v>0.8</v>
      </c>
      <c r="S29" s="226">
        <v>0.8</v>
      </c>
      <c r="T29" s="226">
        <v>0.8</v>
      </c>
      <c r="U29" s="226">
        <v>0.8</v>
      </c>
      <c r="V29" s="226">
        <v>0.8</v>
      </c>
      <c r="W29" s="225">
        <v>0.8</v>
      </c>
      <c r="X29" s="225">
        <v>0.8</v>
      </c>
      <c r="Y29" s="225">
        <v>0.8</v>
      </c>
      <c r="Z29" s="225">
        <v>0.8</v>
      </c>
      <c r="AA29" s="226">
        <v>0.8</v>
      </c>
      <c r="AB29" s="226">
        <v>0.6</v>
      </c>
      <c r="AC29" s="226">
        <v>0.8</v>
      </c>
      <c r="AD29" s="226">
        <v>0.8</v>
      </c>
      <c r="AE29" s="226">
        <v>0.1</v>
      </c>
      <c r="AF29" s="226">
        <v>0.1</v>
      </c>
      <c r="AG29" s="226">
        <v>0.1</v>
      </c>
      <c r="AH29" s="226">
        <v>0.1</v>
      </c>
      <c r="AI29" s="226">
        <v>0.8</v>
      </c>
      <c r="AJ29" s="226">
        <v>0.7</v>
      </c>
      <c r="AK29" s="226">
        <v>0.1</v>
      </c>
      <c r="AL29" s="226">
        <v>0.3</v>
      </c>
      <c r="AM29" s="226">
        <v>0.1</v>
      </c>
      <c r="AN29" s="226">
        <v>0.1</v>
      </c>
      <c r="AO29" s="226">
        <v>0.1</v>
      </c>
      <c r="AP29" s="226">
        <v>0.1</v>
      </c>
      <c r="AQ29" s="226">
        <v>0.1</v>
      </c>
      <c r="AR29" s="226">
        <v>0.1</v>
      </c>
      <c r="AS29" s="226">
        <v>0.1</v>
      </c>
      <c r="AT29" s="226">
        <v>0.7</v>
      </c>
      <c r="AU29" s="226">
        <v>0.3</v>
      </c>
      <c r="AV29" s="226">
        <v>0.3</v>
      </c>
      <c r="AW29" s="226">
        <v>0.3</v>
      </c>
      <c r="AX29" s="226">
        <v>0.8</v>
      </c>
      <c r="AY29" s="226">
        <v>0.8</v>
      </c>
      <c r="AZ29" s="226">
        <v>0.8</v>
      </c>
      <c r="BA29" s="226">
        <v>0.6</v>
      </c>
      <c r="BB29" s="226">
        <v>0.6</v>
      </c>
      <c r="BC29" s="226">
        <v>0.8</v>
      </c>
      <c r="BD29" s="226">
        <v>0.7</v>
      </c>
      <c r="BE29" s="226">
        <v>0.8</v>
      </c>
      <c r="BF29" s="226">
        <v>0.1</v>
      </c>
      <c r="BG29" s="226">
        <v>0.1</v>
      </c>
      <c r="BH29" s="226">
        <v>0.3</v>
      </c>
      <c r="BI29" s="226">
        <v>0.3</v>
      </c>
      <c r="BJ29" s="226">
        <v>0.3</v>
      </c>
      <c r="BK29" s="226">
        <v>0.3</v>
      </c>
      <c r="BL29" s="226">
        <v>0.3</v>
      </c>
      <c r="BM29" s="226">
        <v>0.3</v>
      </c>
      <c r="BN29" s="226">
        <v>0.7</v>
      </c>
      <c r="BO29" s="226">
        <v>0.7</v>
      </c>
      <c r="BP29" s="226">
        <v>0.8</v>
      </c>
      <c r="BQ29" s="226">
        <v>0.8</v>
      </c>
      <c r="BR29" s="226">
        <v>0.7</v>
      </c>
      <c r="BS29" s="226">
        <v>0.7</v>
      </c>
      <c r="BT29" s="226">
        <v>0.7</v>
      </c>
      <c r="BU29" s="226">
        <v>0.7</v>
      </c>
      <c r="BV29" s="226">
        <v>0.8</v>
      </c>
      <c r="BW29" s="226">
        <v>0.8</v>
      </c>
      <c r="BX29" s="226">
        <v>0.7</v>
      </c>
      <c r="BY29" s="226">
        <v>0.8</v>
      </c>
      <c r="BZ29" s="226">
        <v>0.8</v>
      </c>
      <c r="CA29" s="226">
        <v>0.8</v>
      </c>
      <c r="CB29" s="226">
        <v>0.8</v>
      </c>
      <c r="CC29" s="226">
        <v>0.8</v>
      </c>
      <c r="CD29" s="226">
        <v>0.8</v>
      </c>
      <c r="CE29" s="226">
        <v>0.8</v>
      </c>
      <c r="CF29" s="226">
        <v>0.8</v>
      </c>
      <c r="CG29" s="226">
        <v>0.8</v>
      </c>
      <c r="CH29" s="226">
        <v>0.8</v>
      </c>
      <c r="CI29" s="226">
        <v>0.8</v>
      </c>
      <c r="CJ29" s="226">
        <v>0.8</v>
      </c>
      <c r="CK29" s="226">
        <v>0.8</v>
      </c>
      <c r="CL29" s="226">
        <v>0.8</v>
      </c>
      <c r="CM29" s="226">
        <v>0.8</v>
      </c>
      <c r="CN29" s="226">
        <v>0.8</v>
      </c>
      <c r="CO29" s="226">
        <v>0.8</v>
      </c>
      <c r="CP29" s="226">
        <v>0.8</v>
      </c>
      <c r="CQ29" s="226">
        <v>0.8</v>
      </c>
      <c r="CR29" s="226">
        <v>0.8</v>
      </c>
      <c r="CS29" s="226">
        <v>0.8</v>
      </c>
      <c r="CT29" s="226">
        <v>0.8</v>
      </c>
      <c r="CU29" s="226">
        <v>0.8</v>
      </c>
      <c r="CV29" s="226">
        <v>0.8</v>
      </c>
      <c r="CW29" s="226">
        <v>0.8</v>
      </c>
      <c r="CX29" s="226">
        <v>0.8</v>
      </c>
      <c r="CY29" s="226">
        <v>0.8</v>
      </c>
      <c r="CZ29" s="226">
        <v>0.8</v>
      </c>
      <c r="DA29" s="226">
        <v>0.8</v>
      </c>
      <c r="DB29" s="226">
        <v>0.8</v>
      </c>
      <c r="DC29" s="226">
        <v>0.8</v>
      </c>
      <c r="DD29" s="226">
        <v>0.8</v>
      </c>
      <c r="DE29" s="226">
        <v>0.8</v>
      </c>
      <c r="DF29" s="226">
        <v>0.8</v>
      </c>
      <c r="DG29" s="226">
        <v>0.8</v>
      </c>
      <c r="DH29" s="226">
        <v>0.8</v>
      </c>
      <c r="DI29" s="226">
        <v>0.8</v>
      </c>
      <c r="DJ29" s="226">
        <v>0.8</v>
      </c>
      <c r="DK29" s="226">
        <v>0.8</v>
      </c>
      <c r="DL29" s="226">
        <v>0.1</v>
      </c>
      <c r="DM29" s="226">
        <v>0</v>
      </c>
      <c r="DN29" s="226">
        <v>0</v>
      </c>
      <c r="DO29" s="226">
        <v>0</v>
      </c>
      <c r="DP29" s="226">
        <v>0</v>
      </c>
      <c r="DQ29" s="226">
        <v>0</v>
      </c>
      <c r="DR29" s="226">
        <v>0</v>
      </c>
      <c r="DS29" s="226">
        <v>0</v>
      </c>
    </row>
    <row r="30" spans="1:123" x14ac:dyDescent="0.15">
      <c r="A30" s="156" t="s">
        <v>253</v>
      </c>
      <c r="B30">
        <v>0.8</v>
      </c>
      <c r="C30" s="226">
        <v>0.8</v>
      </c>
      <c r="D30" s="226">
        <v>0.8</v>
      </c>
      <c r="E30" s="226">
        <v>0.8</v>
      </c>
      <c r="F30" s="226">
        <v>0.8</v>
      </c>
      <c r="G30" s="226">
        <v>0.8</v>
      </c>
      <c r="H30" s="226">
        <v>0.8</v>
      </c>
      <c r="I30" s="226">
        <v>0.8</v>
      </c>
      <c r="J30" s="226">
        <v>0.8</v>
      </c>
      <c r="K30" s="226">
        <v>0.8</v>
      </c>
      <c r="L30" s="226">
        <v>0.8</v>
      </c>
      <c r="M30" s="226">
        <v>0.7</v>
      </c>
      <c r="N30" s="226">
        <v>0.7</v>
      </c>
      <c r="O30" s="226">
        <v>0.6</v>
      </c>
      <c r="P30" s="226">
        <v>0.6</v>
      </c>
      <c r="Q30" s="226">
        <v>0.7</v>
      </c>
      <c r="R30" s="226">
        <v>0.8</v>
      </c>
      <c r="S30" s="226">
        <v>0.8</v>
      </c>
      <c r="T30" s="226">
        <v>0.8</v>
      </c>
      <c r="U30" s="226">
        <v>0.8</v>
      </c>
      <c r="V30" s="226">
        <v>0.8</v>
      </c>
      <c r="W30" s="225">
        <v>0.8</v>
      </c>
      <c r="X30" s="225">
        <v>0.8</v>
      </c>
      <c r="Y30" s="225">
        <v>0.8</v>
      </c>
      <c r="Z30" s="225">
        <v>0.8</v>
      </c>
      <c r="AA30" s="226">
        <v>0.8</v>
      </c>
      <c r="AB30" s="226">
        <v>0.6</v>
      </c>
      <c r="AC30" s="226">
        <v>0.8</v>
      </c>
      <c r="AD30" s="226">
        <v>0.8</v>
      </c>
      <c r="AE30" s="226">
        <v>0.1</v>
      </c>
      <c r="AF30" s="226">
        <v>0.1</v>
      </c>
      <c r="AG30" s="226">
        <v>0.1</v>
      </c>
      <c r="AH30" s="226">
        <v>0.1</v>
      </c>
      <c r="AI30" s="226">
        <v>0.8</v>
      </c>
      <c r="AJ30" s="226">
        <v>0.7</v>
      </c>
      <c r="AK30" s="226">
        <v>0.1</v>
      </c>
      <c r="AL30" s="226">
        <v>0.3</v>
      </c>
      <c r="AM30" s="226">
        <v>0.1</v>
      </c>
      <c r="AN30" s="226">
        <v>0.1</v>
      </c>
      <c r="AO30" s="226">
        <v>0.1</v>
      </c>
      <c r="AP30" s="226">
        <v>0.1</v>
      </c>
      <c r="AQ30" s="226">
        <v>0.1</v>
      </c>
      <c r="AR30" s="226">
        <v>0.1</v>
      </c>
      <c r="AS30" s="226">
        <v>0.1</v>
      </c>
      <c r="AT30" s="226">
        <v>0.7</v>
      </c>
      <c r="AU30" s="226">
        <v>0.3</v>
      </c>
      <c r="AV30" s="226">
        <v>0.3</v>
      </c>
      <c r="AW30" s="226">
        <v>0.3</v>
      </c>
      <c r="AX30" s="226">
        <v>0.8</v>
      </c>
      <c r="AY30" s="226">
        <v>0.8</v>
      </c>
      <c r="AZ30" s="226">
        <v>0.8</v>
      </c>
      <c r="BA30" s="226">
        <v>0.6</v>
      </c>
      <c r="BB30" s="226">
        <v>0.6</v>
      </c>
      <c r="BC30" s="226">
        <v>0.8</v>
      </c>
      <c r="BD30" s="226">
        <v>0.7</v>
      </c>
      <c r="BE30" s="226">
        <v>0.8</v>
      </c>
      <c r="BF30" s="226">
        <v>0.1</v>
      </c>
      <c r="BG30" s="226">
        <v>0.1</v>
      </c>
      <c r="BH30" s="226">
        <v>0.3</v>
      </c>
      <c r="BI30" s="226">
        <v>0.3</v>
      </c>
      <c r="BJ30" s="226">
        <v>0.3</v>
      </c>
      <c r="BK30" s="226">
        <v>0.3</v>
      </c>
      <c r="BL30" s="226">
        <v>0.3</v>
      </c>
      <c r="BM30" s="226">
        <v>0.3</v>
      </c>
      <c r="BN30" s="226">
        <v>0.7</v>
      </c>
      <c r="BO30" s="226">
        <v>0.7</v>
      </c>
      <c r="BP30" s="226">
        <v>0.8</v>
      </c>
      <c r="BQ30" s="226">
        <v>0.8</v>
      </c>
      <c r="BR30" s="226">
        <v>0.7</v>
      </c>
      <c r="BS30" s="226">
        <v>0.7</v>
      </c>
      <c r="BT30" s="226">
        <v>0.7</v>
      </c>
      <c r="BU30" s="226">
        <v>0.7</v>
      </c>
      <c r="BV30" s="226">
        <v>0.8</v>
      </c>
      <c r="BW30" s="226">
        <v>0.8</v>
      </c>
      <c r="BX30" s="226">
        <v>0.7</v>
      </c>
      <c r="BY30" s="226">
        <v>0.8</v>
      </c>
      <c r="BZ30" s="226">
        <v>0.8</v>
      </c>
      <c r="CA30" s="226">
        <v>0.8</v>
      </c>
      <c r="CB30" s="226">
        <v>0.8</v>
      </c>
      <c r="CC30" s="226">
        <v>0.8</v>
      </c>
      <c r="CD30" s="226">
        <v>0.8</v>
      </c>
      <c r="CE30" s="226">
        <v>0.8</v>
      </c>
      <c r="CF30" s="226">
        <v>0.8</v>
      </c>
      <c r="CG30" s="226">
        <v>0.8</v>
      </c>
      <c r="CH30" s="226">
        <v>0.8</v>
      </c>
      <c r="CI30" s="226">
        <v>0.8</v>
      </c>
      <c r="CJ30" s="226">
        <v>0.8</v>
      </c>
      <c r="CK30" s="226">
        <v>0.8</v>
      </c>
      <c r="CL30" s="226">
        <v>0.8</v>
      </c>
      <c r="CM30" s="226">
        <v>0.8</v>
      </c>
      <c r="CN30" s="226">
        <v>0.8</v>
      </c>
      <c r="CO30" s="226">
        <v>0.8</v>
      </c>
      <c r="CP30" s="226">
        <v>0.8</v>
      </c>
      <c r="CQ30" s="226">
        <v>0.8</v>
      </c>
      <c r="CR30" s="226">
        <v>0.8</v>
      </c>
      <c r="CS30" s="226">
        <v>0.8</v>
      </c>
      <c r="CT30" s="226">
        <v>0.8</v>
      </c>
      <c r="CU30" s="226">
        <v>0.8</v>
      </c>
      <c r="CV30" s="226">
        <v>0.8</v>
      </c>
      <c r="CW30" s="226">
        <v>0.8</v>
      </c>
      <c r="CX30" s="226">
        <v>0.8</v>
      </c>
      <c r="CY30" s="226">
        <v>0.8</v>
      </c>
      <c r="CZ30" s="226">
        <v>0.8</v>
      </c>
      <c r="DA30" s="226">
        <v>0.8</v>
      </c>
      <c r="DB30" s="226">
        <v>0.8</v>
      </c>
      <c r="DC30" s="226">
        <v>0.8</v>
      </c>
      <c r="DD30" s="226">
        <v>0.8</v>
      </c>
      <c r="DE30" s="226">
        <v>0.8</v>
      </c>
      <c r="DF30" s="226">
        <v>0.8</v>
      </c>
      <c r="DG30" s="226">
        <v>0.8</v>
      </c>
      <c r="DH30" s="226">
        <v>0.8</v>
      </c>
      <c r="DI30" s="226">
        <v>0.8</v>
      </c>
      <c r="DJ30" s="226">
        <v>0.8</v>
      </c>
      <c r="DK30" s="226">
        <v>0.8</v>
      </c>
      <c r="DL30" s="226">
        <v>0.1</v>
      </c>
      <c r="DM30" s="226">
        <v>0</v>
      </c>
      <c r="DN30" s="226">
        <v>0</v>
      </c>
      <c r="DO30" s="226">
        <v>0</v>
      </c>
      <c r="DP30" s="226">
        <v>0</v>
      </c>
      <c r="DQ30" s="226">
        <v>0</v>
      </c>
      <c r="DR30" s="226">
        <v>0</v>
      </c>
      <c r="DS30" s="226">
        <v>0</v>
      </c>
    </row>
    <row r="31" spans="1:123" x14ac:dyDescent="0.15">
      <c r="A31" s="156" t="s">
        <v>254</v>
      </c>
      <c r="B31">
        <v>0.8</v>
      </c>
      <c r="C31" s="226">
        <v>0.8</v>
      </c>
      <c r="D31" s="226">
        <v>0.8</v>
      </c>
      <c r="E31" s="226">
        <v>0.8</v>
      </c>
      <c r="F31" s="226">
        <v>0.8</v>
      </c>
      <c r="G31" s="226">
        <v>0.8</v>
      </c>
      <c r="H31" s="226">
        <v>0.8</v>
      </c>
      <c r="I31" s="226">
        <v>0.8</v>
      </c>
      <c r="J31" s="226">
        <v>0.8</v>
      </c>
      <c r="K31" s="226">
        <v>0.8</v>
      </c>
      <c r="L31" s="226">
        <v>0.8</v>
      </c>
      <c r="M31" s="226">
        <v>0.7</v>
      </c>
      <c r="N31" s="226">
        <v>0.7</v>
      </c>
      <c r="O31" s="226">
        <v>0.6</v>
      </c>
      <c r="P31" s="226">
        <v>0.6</v>
      </c>
      <c r="Q31" s="226">
        <v>0.7</v>
      </c>
      <c r="R31" s="226">
        <v>0.8</v>
      </c>
      <c r="S31" s="226">
        <v>0.8</v>
      </c>
      <c r="T31" s="226">
        <v>0.8</v>
      </c>
      <c r="U31" s="226">
        <v>0.8</v>
      </c>
      <c r="V31" s="226">
        <v>0.8</v>
      </c>
      <c r="W31" s="225">
        <v>0.8</v>
      </c>
      <c r="X31" s="225">
        <v>0.8</v>
      </c>
      <c r="Y31" s="225">
        <v>0.8</v>
      </c>
      <c r="Z31" s="225">
        <v>0.8</v>
      </c>
      <c r="AA31" s="226">
        <v>0.8</v>
      </c>
      <c r="AB31" s="226">
        <v>0.6</v>
      </c>
      <c r="AC31" s="226">
        <v>0.8</v>
      </c>
      <c r="AD31" s="226">
        <v>0.8</v>
      </c>
      <c r="AE31" s="226">
        <v>0.1</v>
      </c>
      <c r="AF31" s="226">
        <v>0.1</v>
      </c>
      <c r="AG31" s="226">
        <v>0.1</v>
      </c>
      <c r="AH31" s="226">
        <v>0.1</v>
      </c>
      <c r="AI31" s="226">
        <v>0.8</v>
      </c>
      <c r="AJ31" s="226">
        <v>0.7</v>
      </c>
      <c r="AK31" s="226">
        <v>0.1</v>
      </c>
      <c r="AL31" s="226">
        <v>0.3</v>
      </c>
      <c r="AM31" s="226">
        <v>0.1</v>
      </c>
      <c r="AN31" s="226">
        <v>0.1</v>
      </c>
      <c r="AO31" s="226">
        <v>0.1</v>
      </c>
      <c r="AP31" s="226">
        <v>0.1</v>
      </c>
      <c r="AQ31" s="226">
        <v>0.1</v>
      </c>
      <c r="AR31" s="226">
        <v>0.1</v>
      </c>
      <c r="AS31" s="226">
        <v>0.1</v>
      </c>
      <c r="AT31" s="226">
        <v>0.7</v>
      </c>
      <c r="AU31" s="226">
        <v>0.3</v>
      </c>
      <c r="AV31" s="226">
        <v>0.3</v>
      </c>
      <c r="AW31" s="226">
        <v>0.3</v>
      </c>
      <c r="AX31" s="226">
        <v>0.8</v>
      </c>
      <c r="AY31" s="226">
        <v>0.8</v>
      </c>
      <c r="AZ31" s="226">
        <v>0.8</v>
      </c>
      <c r="BA31" s="226">
        <v>0.6</v>
      </c>
      <c r="BB31" s="226">
        <v>0.6</v>
      </c>
      <c r="BC31" s="226">
        <v>0.8</v>
      </c>
      <c r="BD31" s="226">
        <v>0.7</v>
      </c>
      <c r="BE31" s="226">
        <v>0.8</v>
      </c>
      <c r="BF31" s="226">
        <v>0.1</v>
      </c>
      <c r="BG31" s="226">
        <v>0.1</v>
      </c>
      <c r="BH31" s="226">
        <v>0.3</v>
      </c>
      <c r="BI31" s="226">
        <v>0.3</v>
      </c>
      <c r="BJ31" s="226">
        <v>0.3</v>
      </c>
      <c r="BK31" s="226">
        <v>0.3</v>
      </c>
      <c r="BL31" s="226">
        <v>0.3</v>
      </c>
      <c r="BM31" s="226">
        <v>0.3</v>
      </c>
      <c r="BN31" s="226">
        <v>0.7</v>
      </c>
      <c r="BO31" s="226">
        <v>0.7</v>
      </c>
      <c r="BP31" s="226">
        <v>0.8</v>
      </c>
      <c r="BQ31" s="226">
        <v>0.8</v>
      </c>
      <c r="BR31" s="226">
        <v>0.7</v>
      </c>
      <c r="BS31" s="226">
        <v>0.7</v>
      </c>
      <c r="BT31" s="226">
        <v>0.7</v>
      </c>
      <c r="BU31" s="226">
        <v>0.7</v>
      </c>
      <c r="BV31" s="226">
        <v>0.8</v>
      </c>
      <c r="BW31" s="226">
        <v>0.8</v>
      </c>
      <c r="BX31" s="226">
        <v>0.7</v>
      </c>
      <c r="BY31" s="226">
        <v>0.8</v>
      </c>
      <c r="BZ31" s="226">
        <v>0.8</v>
      </c>
      <c r="CA31" s="226">
        <v>0.8</v>
      </c>
      <c r="CB31" s="226">
        <v>0.8</v>
      </c>
      <c r="CC31" s="226">
        <v>0.8</v>
      </c>
      <c r="CD31" s="226">
        <v>0.8</v>
      </c>
      <c r="CE31" s="226">
        <v>0.8</v>
      </c>
      <c r="CF31" s="226">
        <v>0.8</v>
      </c>
      <c r="CG31" s="226">
        <v>0.8</v>
      </c>
      <c r="CH31" s="226">
        <v>0.8</v>
      </c>
      <c r="CI31" s="226">
        <v>0.8</v>
      </c>
      <c r="CJ31" s="226">
        <v>0.8</v>
      </c>
      <c r="CK31" s="226">
        <v>0.8</v>
      </c>
      <c r="CL31" s="226">
        <v>0.8</v>
      </c>
      <c r="CM31" s="226">
        <v>0.8</v>
      </c>
      <c r="CN31" s="226">
        <v>0.8</v>
      </c>
      <c r="CO31" s="226">
        <v>0.8</v>
      </c>
      <c r="CP31" s="226">
        <v>0.8</v>
      </c>
      <c r="CQ31" s="226">
        <v>0.8</v>
      </c>
      <c r="CR31" s="226">
        <v>0.8</v>
      </c>
      <c r="CS31" s="226">
        <v>0.8</v>
      </c>
      <c r="CT31" s="226">
        <v>0.8</v>
      </c>
      <c r="CU31" s="226">
        <v>0.8</v>
      </c>
      <c r="CV31" s="226">
        <v>0.8</v>
      </c>
      <c r="CW31" s="226">
        <v>0.8</v>
      </c>
      <c r="CX31" s="226">
        <v>0.8</v>
      </c>
      <c r="CY31" s="226">
        <v>0.8</v>
      </c>
      <c r="CZ31" s="226">
        <v>0.8</v>
      </c>
      <c r="DA31" s="226">
        <v>0.8</v>
      </c>
      <c r="DB31" s="226">
        <v>0.8</v>
      </c>
      <c r="DC31" s="226">
        <v>0.8</v>
      </c>
      <c r="DD31" s="226">
        <v>0.8</v>
      </c>
      <c r="DE31" s="226">
        <v>0.8</v>
      </c>
      <c r="DF31" s="226">
        <v>0.8</v>
      </c>
      <c r="DG31" s="226">
        <v>0.8</v>
      </c>
      <c r="DH31" s="226">
        <v>0.8</v>
      </c>
      <c r="DI31" s="226">
        <v>0.8</v>
      </c>
      <c r="DJ31" s="226">
        <v>0.8</v>
      </c>
      <c r="DK31" s="226">
        <v>0.8</v>
      </c>
      <c r="DL31" s="226">
        <v>0.1</v>
      </c>
      <c r="DM31" s="226">
        <v>0</v>
      </c>
      <c r="DN31" s="226">
        <v>0</v>
      </c>
      <c r="DO31" s="226">
        <v>0</v>
      </c>
      <c r="DP31" s="226">
        <v>0</v>
      </c>
      <c r="DQ31" s="226">
        <v>0</v>
      </c>
      <c r="DR31" s="226">
        <v>0</v>
      </c>
      <c r="DS31" s="226">
        <v>0</v>
      </c>
    </row>
    <row r="32" spans="1:123" x14ac:dyDescent="0.15">
      <c r="A32" s="156" t="s">
        <v>177</v>
      </c>
      <c r="B32">
        <v>0.8</v>
      </c>
      <c r="C32" s="226">
        <v>0.8</v>
      </c>
      <c r="D32" s="226">
        <v>0.8</v>
      </c>
      <c r="E32" s="226">
        <v>0.8</v>
      </c>
      <c r="F32" s="226">
        <v>0.8</v>
      </c>
      <c r="G32" s="226">
        <v>0.8</v>
      </c>
      <c r="H32" s="226">
        <v>0.8</v>
      </c>
      <c r="I32" s="226">
        <v>0.8</v>
      </c>
      <c r="J32" s="226">
        <v>0.8</v>
      </c>
      <c r="K32" s="226">
        <v>0.8</v>
      </c>
      <c r="L32" s="226">
        <v>0.8</v>
      </c>
      <c r="M32" s="226">
        <v>0.7</v>
      </c>
      <c r="N32" s="226">
        <v>0.7</v>
      </c>
      <c r="O32" s="226">
        <v>0.6</v>
      </c>
      <c r="P32" s="226">
        <v>0.6</v>
      </c>
      <c r="Q32" s="226">
        <v>0.7</v>
      </c>
      <c r="R32" s="226">
        <v>0.8</v>
      </c>
      <c r="S32" s="226">
        <v>0.8</v>
      </c>
      <c r="T32" s="226">
        <v>0.8</v>
      </c>
      <c r="U32" s="226">
        <v>0.8</v>
      </c>
      <c r="V32" s="226">
        <v>0.8</v>
      </c>
      <c r="W32" s="225">
        <v>0.8</v>
      </c>
      <c r="X32" s="225">
        <v>0.8</v>
      </c>
      <c r="Y32" s="225">
        <v>0.8</v>
      </c>
      <c r="Z32" s="225">
        <v>0.8</v>
      </c>
      <c r="AA32" s="226">
        <v>0.8</v>
      </c>
      <c r="AB32" s="226">
        <v>0.6</v>
      </c>
      <c r="AC32" s="226">
        <v>0.8</v>
      </c>
      <c r="AD32" s="226">
        <v>0.8</v>
      </c>
      <c r="AE32" s="226">
        <v>0.1</v>
      </c>
      <c r="AF32" s="226">
        <v>0.1</v>
      </c>
      <c r="AG32" s="226">
        <v>0.1</v>
      </c>
      <c r="AH32" s="226">
        <v>0.1</v>
      </c>
      <c r="AI32" s="226">
        <v>0.8</v>
      </c>
      <c r="AJ32" s="226">
        <v>0.7</v>
      </c>
      <c r="AK32" s="226">
        <v>0.1</v>
      </c>
      <c r="AL32" s="226">
        <v>0.3</v>
      </c>
      <c r="AM32" s="226">
        <v>0.1</v>
      </c>
      <c r="AN32" s="226">
        <v>0.1</v>
      </c>
      <c r="AO32" s="226">
        <v>0.1</v>
      </c>
      <c r="AP32" s="226">
        <v>0.1</v>
      </c>
      <c r="AQ32" s="226">
        <v>0.1</v>
      </c>
      <c r="AR32" s="226">
        <v>0.1</v>
      </c>
      <c r="AS32" s="226">
        <v>0.1</v>
      </c>
      <c r="AT32" s="226">
        <v>0.7</v>
      </c>
      <c r="AU32" s="226">
        <v>0.3</v>
      </c>
      <c r="AV32" s="226">
        <v>0.3</v>
      </c>
      <c r="AW32" s="226">
        <v>0.3</v>
      </c>
      <c r="AX32" s="226">
        <v>0.8</v>
      </c>
      <c r="AY32" s="226">
        <v>0.8</v>
      </c>
      <c r="AZ32" s="226">
        <v>0.8</v>
      </c>
      <c r="BA32" s="226">
        <v>0.6</v>
      </c>
      <c r="BB32" s="226">
        <v>0.6</v>
      </c>
      <c r="BC32" s="226">
        <v>0.8</v>
      </c>
      <c r="BD32" s="226">
        <v>0.7</v>
      </c>
      <c r="BE32" s="226">
        <v>0.8</v>
      </c>
      <c r="BF32" s="226">
        <v>0.1</v>
      </c>
      <c r="BG32" s="226">
        <v>0.1</v>
      </c>
      <c r="BH32" s="226">
        <v>0.3</v>
      </c>
      <c r="BI32" s="226">
        <v>0.3</v>
      </c>
      <c r="BJ32" s="226">
        <v>0.3</v>
      </c>
      <c r="BK32" s="226">
        <v>0.3</v>
      </c>
      <c r="BL32" s="226">
        <v>0.3</v>
      </c>
      <c r="BM32" s="226">
        <v>0.3</v>
      </c>
      <c r="BN32" s="226">
        <v>0.7</v>
      </c>
      <c r="BO32" s="226">
        <v>0.7</v>
      </c>
      <c r="BP32" s="226">
        <v>0.8</v>
      </c>
      <c r="BQ32" s="226">
        <v>0.8</v>
      </c>
      <c r="BR32" s="226">
        <v>0.7</v>
      </c>
      <c r="BS32" s="226">
        <v>0.7</v>
      </c>
      <c r="BT32" s="226">
        <v>0.7</v>
      </c>
      <c r="BU32" s="226">
        <v>0.7</v>
      </c>
      <c r="BV32" s="226">
        <v>0.8</v>
      </c>
      <c r="BW32" s="226">
        <v>0.8</v>
      </c>
      <c r="BX32" s="226">
        <v>0.7</v>
      </c>
      <c r="BY32" s="226">
        <v>0.8</v>
      </c>
      <c r="BZ32" s="226">
        <v>0.8</v>
      </c>
      <c r="CA32" s="226">
        <v>0.8</v>
      </c>
      <c r="CB32" s="226">
        <v>0.8</v>
      </c>
      <c r="CC32" s="226">
        <v>0.8</v>
      </c>
      <c r="CD32" s="226">
        <v>0.8</v>
      </c>
      <c r="CE32" s="226">
        <v>0.8</v>
      </c>
      <c r="CF32" s="226">
        <v>0.8</v>
      </c>
      <c r="CG32" s="226">
        <v>0.8</v>
      </c>
      <c r="CH32" s="226">
        <v>0.8</v>
      </c>
      <c r="CI32" s="226">
        <v>0.8</v>
      </c>
      <c r="CJ32" s="226">
        <v>0.8</v>
      </c>
      <c r="CK32" s="226">
        <v>0.8</v>
      </c>
      <c r="CL32" s="226">
        <v>0.8</v>
      </c>
      <c r="CM32" s="226">
        <v>0.8</v>
      </c>
      <c r="CN32" s="226">
        <v>0.8</v>
      </c>
      <c r="CO32" s="226">
        <v>0.8</v>
      </c>
      <c r="CP32" s="226">
        <v>0.8</v>
      </c>
      <c r="CQ32" s="226">
        <v>0.8</v>
      </c>
      <c r="CR32" s="226">
        <v>0.8</v>
      </c>
      <c r="CS32" s="226">
        <v>0.8</v>
      </c>
      <c r="CT32" s="226">
        <v>0.8</v>
      </c>
      <c r="CU32" s="226">
        <v>0.8</v>
      </c>
      <c r="CV32" s="226">
        <v>0.8</v>
      </c>
      <c r="CW32" s="226">
        <v>0.8</v>
      </c>
      <c r="CX32" s="226">
        <v>0.8</v>
      </c>
      <c r="CY32" s="226">
        <v>0.8</v>
      </c>
      <c r="CZ32" s="226">
        <v>0.8</v>
      </c>
      <c r="DA32" s="226">
        <v>0.8</v>
      </c>
      <c r="DB32" s="226">
        <v>0.8</v>
      </c>
      <c r="DC32" s="226">
        <v>0.8</v>
      </c>
      <c r="DD32" s="226">
        <v>0.8</v>
      </c>
      <c r="DE32" s="226">
        <v>0.8</v>
      </c>
      <c r="DF32" s="226">
        <v>0.8</v>
      </c>
      <c r="DG32" s="226">
        <v>0.8</v>
      </c>
      <c r="DH32" s="226">
        <v>0.8</v>
      </c>
      <c r="DI32" s="226">
        <v>0.8</v>
      </c>
      <c r="DJ32" s="226">
        <v>0.8</v>
      </c>
      <c r="DK32" s="226">
        <v>0.8</v>
      </c>
      <c r="DL32" s="226">
        <v>0.1</v>
      </c>
      <c r="DM32" s="226">
        <v>0</v>
      </c>
      <c r="DN32" s="226">
        <v>0</v>
      </c>
      <c r="DO32" s="226">
        <v>0</v>
      </c>
      <c r="DP32" s="226">
        <v>0</v>
      </c>
      <c r="DQ32" s="226">
        <v>0</v>
      </c>
      <c r="DR32" s="226">
        <v>0</v>
      </c>
      <c r="DS32" s="226">
        <v>0</v>
      </c>
    </row>
    <row r="33" spans="1:123" x14ac:dyDescent="0.15">
      <c r="A33" s="156" t="s">
        <v>255</v>
      </c>
      <c r="B33">
        <v>0.8</v>
      </c>
      <c r="C33" s="226">
        <v>0.8</v>
      </c>
      <c r="D33" s="226">
        <v>0.8</v>
      </c>
      <c r="E33" s="226">
        <v>0.8</v>
      </c>
      <c r="F33" s="226">
        <v>0.8</v>
      </c>
      <c r="G33" s="226">
        <v>0.8</v>
      </c>
      <c r="H33" s="226">
        <v>0.8</v>
      </c>
      <c r="I33" s="226">
        <v>0.8</v>
      </c>
      <c r="J33" s="226">
        <v>0.8</v>
      </c>
      <c r="K33" s="226">
        <v>0.8</v>
      </c>
      <c r="L33" s="226">
        <v>0.8</v>
      </c>
      <c r="M33" s="226">
        <v>0.7</v>
      </c>
      <c r="N33" s="226">
        <v>0.7</v>
      </c>
      <c r="O33" s="226">
        <v>0.6</v>
      </c>
      <c r="P33" s="226">
        <v>0.6</v>
      </c>
      <c r="Q33" s="226">
        <v>0.7</v>
      </c>
      <c r="R33" s="226">
        <v>0.8</v>
      </c>
      <c r="S33" s="226">
        <v>0.8</v>
      </c>
      <c r="T33" s="226">
        <v>0.8</v>
      </c>
      <c r="U33" s="226">
        <v>0.8</v>
      </c>
      <c r="V33" s="226">
        <v>0.8</v>
      </c>
      <c r="W33" s="225">
        <v>0.8</v>
      </c>
      <c r="X33" s="225">
        <v>0.8</v>
      </c>
      <c r="Y33" s="225">
        <v>0.8</v>
      </c>
      <c r="Z33" s="225">
        <v>0.8</v>
      </c>
      <c r="AA33" s="226">
        <v>0.8</v>
      </c>
      <c r="AB33" s="226">
        <v>0.6</v>
      </c>
      <c r="AC33" s="226">
        <v>0.8</v>
      </c>
      <c r="AD33" s="226">
        <v>0.8</v>
      </c>
      <c r="AE33" s="226">
        <v>0.1</v>
      </c>
      <c r="AF33" s="226">
        <v>0.1</v>
      </c>
      <c r="AG33" s="226">
        <v>0.1</v>
      </c>
      <c r="AH33" s="226">
        <v>0.1</v>
      </c>
      <c r="AI33" s="226">
        <v>0.8</v>
      </c>
      <c r="AJ33" s="226">
        <v>0.7</v>
      </c>
      <c r="AK33" s="226">
        <v>0.1</v>
      </c>
      <c r="AL33" s="226">
        <v>0.3</v>
      </c>
      <c r="AM33" s="226">
        <v>0.1</v>
      </c>
      <c r="AN33" s="226">
        <v>0.1</v>
      </c>
      <c r="AO33" s="226">
        <v>0.1</v>
      </c>
      <c r="AP33" s="226">
        <v>0.1</v>
      </c>
      <c r="AQ33" s="226">
        <v>0.1</v>
      </c>
      <c r="AR33" s="226">
        <v>0.1</v>
      </c>
      <c r="AS33" s="226">
        <v>0.1</v>
      </c>
      <c r="AT33" s="226">
        <v>0.7</v>
      </c>
      <c r="AU33" s="226">
        <v>0.3</v>
      </c>
      <c r="AV33" s="226">
        <v>0.3</v>
      </c>
      <c r="AW33" s="226">
        <v>0.3</v>
      </c>
      <c r="AX33" s="226">
        <v>0.8</v>
      </c>
      <c r="AY33" s="226">
        <v>0.8</v>
      </c>
      <c r="AZ33" s="226">
        <v>0.8</v>
      </c>
      <c r="BA33" s="226">
        <v>0.6</v>
      </c>
      <c r="BB33" s="226">
        <v>0.6</v>
      </c>
      <c r="BC33" s="226">
        <v>0.8</v>
      </c>
      <c r="BD33" s="226">
        <v>0.7</v>
      </c>
      <c r="BE33" s="226">
        <v>0.8</v>
      </c>
      <c r="BF33" s="226">
        <v>0.1</v>
      </c>
      <c r="BG33" s="226">
        <v>0.1</v>
      </c>
      <c r="BH33" s="226">
        <v>0.3</v>
      </c>
      <c r="BI33" s="226">
        <v>0.3</v>
      </c>
      <c r="BJ33" s="226">
        <v>0.3</v>
      </c>
      <c r="BK33" s="226">
        <v>0.3</v>
      </c>
      <c r="BL33" s="226">
        <v>0.3</v>
      </c>
      <c r="BM33" s="226">
        <v>0.3</v>
      </c>
      <c r="BN33" s="226">
        <v>0.7</v>
      </c>
      <c r="BO33" s="226">
        <v>0.7</v>
      </c>
      <c r="BP33" s="226">
        <v>0.8</v>
      </c>
      <c r="BQ33" s="226">
        <v>0.8</v>
      </c>
      <c r="BR33" s="226">
        <v>0.7</v>
      </c>
      <c r="BS33" s="226">
        <v>0.7</v>
      </c>
      <c r="BT33" s="226">
        <v>0.7</v>
      </c>
      <c r="BU33" s="226">
        <v>0.7</v>
      </c>
      <c r="BV33" s="226">
        <v>0.8</v>
      </c>
      <c r="BW33" s="226">
        <v>0.8</v>
      </c>
      <c r="BX33" s="226">
        <v>0.7</v>
      </c>
      <c r="BY33" s="226">
        <v>0.8</v>
      </c>
      <c r="BZ33" s="226">
        <v>0.8</v>
      </c>
      <c r="CA33" s="226">
        <v>0.8</v>
      </c>
      <c r="CB33" s="226">
        <v>0.8</v>
      </c>
      <c r="CC33" s="226">
        <v>0.8</v>
      </c>
      <c r="CD33" s="226">
        <v>0.8</v>
      </c>
      <c r="CE33" s="226">
        <v>0.8</v>
      </c>
      <c r="CF33" s="226">
        <v>0.8</v>
      </c>
      <c r="CG33" s="226">
        <v>0.8</v>
      </c>
      <c r="CH33" s="226">
        <v>0.8</v>
      </c>
      <c r="CI33" s="226">
        <v>0.8</v>
      </c>
      <c r="CJ33" s="226">
        <v>0.8</v>
      </c>
      <c r="CK33" s="226">
        <v>0.8</v>
      </c>
      <c r="CL33" s="226">
        <v>0.8</v>
      </c>
      <c r="CM33" s="226">
        <v>0.8</v>
      </c>
      <c r="CN33" s="226">
        <v>0.8</v>
      </c>
      <c r="CO33" s="226">
        <v>0.8</v>
      </c>
      <c r="CP33" s="226">
        <v>0.8</v>
      </c>
      <c r="CQ33" s="226">
        <v>0.8</v>
      </c>
      <c r="CR33" s="226">
        <v>0.8</v>
      </c>
      <c r="CS33" s="226">
        <v>0.8</v>
      </c>
      <c r="CT33" s="226">
        <v>0.8</v>
      </c>
      <c r="CU33" s="226">
        <v>0.8</v>
      </c>
      <c r="CV33" s="226">
        <v>0.8</v>
      </c>
      <c r="CW33" s="226">
        <v>0.8</v>
      </c>
      <c r="CX33" s="226">
        <v>0.8</v>
      </c>
      <c r="CY33" s="226">
        <v>0.8</v>
      </c>
      <c r="CZ33" s="226">
        <v>0.8</v>
      </c>
      <c r="DA33" s="226">
        <v>0.8</v>
      </c>
      <c r="DB33" s="226">
        <v>0.8</v>
      </c>
      <c r="DC33" s="226">
        <v>0.8</v>
      </c>
      <c r="DD33" s="226">
        <v>0.8</v>
      </c>
      <c r="DE33" s="226">
        <v>0.8</v>
      </c>
      <c r="DF33" s="226">
        <v>0.8</v>
      </c>
      <c r="DG33" s="226">
        <v>0.8</v>
      </c>
      <c r="DH33" s="226">
        <v>0.8</v>
      </c>
      <c r="DI33" s="226">
        <v>0.8</v>
      </c>
      <c r="DJ33" s="226">
        <v>0.8</v>
      </c>
      <c r="DK33" s="226">
        <v>0.8</v>
      </c>
      <c r="DL33" s="226">
        <v>0.1</v>
      </c>
      <c r="DM33" s="226">
        <v>0</v>
      </c>
      <c r="DN33" s="226">
        <v>0</v>
      </c>
      <c r="DO33" s="226">
        <v>0</v>
      </c>
      <c r="DP33" s="226">
        <v>0</v>
      </c>
      <c r="DQ33" s="226">
        <v>0</v>
      </c>
      <c r="DR33" s="226">
        <v>0</v>
      </c>
      <c r="DS33" s="226">
        <v>0</v>
      </c>
    </row>
    <row r="34" spans="1:123" x14ac:dyDescent="0.15">
      <c r="A34" s="156" t="s">
        <v>256</v>
      </c>
      <c r="B34">
        <v>0.8</v>
      </c>
      <c r="C34" s="226">
        <v>0.8</v>
      </c>
      <c r="D34" s="226">
        <v>0.8</v>
      </c>
      <c r="E34" s="226">
        <v>0.8</v>
      </c>
      <c r="F34" s="226">
        <v>0.8</v>
      </c>
      <c r="G34" s="226">
        <v>0.8</v>
      </c>
      <c r="H34" s="226">
        <v>0.8</v>
      </c>
      <c r="I34" s="226">
        <v>0.8</v>
      </c>
      <c r="J34" s="226">
        <v>0.8</v>
      </c>
      <c r="K34" s="226">
        <v>0.8</v>
      </c>
      <c r="L34" s="226">
        <v>0.8</v>
      </c>
      <c r="M34" s="226">
        <v>0.7</v>
      </c>
      <c r="N34" s="226">
        <v>0.7</v>
      </c>
      <c r="O34" s="226">
        <v>0.6</v>
      </c>
      <c r="P34" s="226">
        <v>0.6</v>
      </c>
      <c r="Q34" s="226">
        <v>0.7</v>
      </c>
      <c r="R34" s="226">
        <v>0.8</v>
      </c>
      <c r="S34" s="226">
        <v>0.8</v>
      </c>
      <c r="T34" s="226">
        <v>0.8</v>
      </c>
      <c r="U34" s="226">
        <v>0.8</v>
      </c>
      <c r="V34" s="226">
        <v>0.8</v>
      </c>
      <c r="W34" s="225">
        <v>0.8</v>
      </c>
      <c r="X34" s="225">
        <v>0.8</v>
      </c>
      <c r="Y34" s="225">
        <v>0.8</v>
      </c>
      <c r="Z34" s="225">
        <v>0.8</v>
      </c>
      <c r="AA34" s="226">
        <v>0.8</v>
      </c>
      <c r="AB34" s="226">
        <v>0.6</v>
      </c>
      <c r="AC34" s="226">
        <v>0.8</v>
      </c>
      <c r="AD34" s="226">
        <v>0.8</v>
      </c>
      <c r="AE34" s="226">
        <v>0.1</v>
      </c>
      <c r="AF34" s="226">
        <v>0.1</v>
      </c>
      <c r="AG34" s="226">
        <v>0.1</v>
      </c>
      <c r="AH34" s="226">
        <v>0.1</v>
      </c>
      <c r="AI34" s="226">
        <v>0.8</v>
      </c>
      <c r="AJ34" s="226">
        <v>0.7</v>
      </c>
      <c r="AK34" s="226">
        <v>0.1</v>
      </c>
      <c r="AL34" s="226">
        <v>0.3</v>
      </c>
      <c r="AM34" s="226">
        <v>0.1</v>
      </c>
      <c r="AN34" s="226">
        <v>0.1</v>
      </c>
      <c r="AO34" s="226">
        <v>0.1</v>
      </c>
      <c r="AP34" s="226">
        <v>0.1</v>
      </c>
      <c r="AQ34" s="226">
        <v>0.1</v>
      </c>
      <c r="AR34" s="226">
        <v>0.1</v>
      </c>
      <c r="AS34" s="226">
        <v>0.1</v>
      </c>
      <c r="AT34" s="226">
        <v>0.7</v>
      </c>
      <c r="AU34" s="226">
        <v>0.3</v>
      </c>
      <c r="AV34" s="226">
        <v>0.3</v>
      </c>
      <c r="AW34" s="226">
        <v>0.3</v>
      </c>
      <c r="AX34" s="226">
        <v>0.8</v>
      </c>
      <c r="AY34" s="226">
        <v>0.8</v>
      </c>
      <c r="AZ34" s="226">
        <v>0.8</v>
      </c>
      <c r="BA34" s="226">
        <v>0.6</v>
      </c>
      <c r="BB34" s="226">
        <v>0.6</v>
      </c>
      <c r="BC34" s="226">
        <v>0.8</v>
      </c>
      <c r="BD34" s="226">
        <v>0.7</v>
      </c>
      <c r="BE34" s="226">
        <v>0.8</v>
      </c>
      <c r="BF34" s="226">
        <v>0.1</v>
      </c>
      <c r="BG34" s="226">
        <v>0.1</v>
      </c>
      <c r="BH34" s="226">
        <v>0.3</v>
      </c>
      <c r="BI34" s="226">
        <v>0.3</v>
      </c>
      <c r="BJ34" s="226">
        <v>0.3</v>
      </c>
      <c r="BK34" s="226">
        <v>0.3</v>
      </c>
      <c r="BL34" s="226">
        <v>0.3</v>
      </c>
      <c r="BM34" s="226">
        <v>0.3</v>
      </c>
      <c r="BN34" s="226">
        <v>0.7</v>
      </c>
      <c r="BO34" s="226">
        <v>0.7</v>
      </c>
      <c r="BP34" s="226">
        <v>0.8</v>
      </c>
      <c r="BQ34" s="226">
        <v>0.8</v>
      </c>
      <c r="BR34" s="226">
        <v>0.7</v>
      </c>
      <c r="BS34" s="226">
        <v>0.7</v>
      </c>
      <c r="BT34" s="226">
        <v>0.7</v>
      </c>
      <c r="BU34" s="226">
        <v>0.7</v>
      </c>
      <c r="BV34" s="226">
        <v>0.8</v>
      </c>
      <c r="BW34" s="226">
        <v>0.8</v>
      </c>
      <c r="BX34" s="226">
        <v>0.7</v>
      </c>
      <c r="BY34" s="226">
        <v>0.8</v>
      </c>
      <c r="BZ34" s="226">
        <v>0.8</v>
      </c>
      <c r="CA34" s="226">
        <v>0.8</v>
      </c>
      <c r="CB34" s="226">
        <v>0.8</v>
      </c>
      <c r="CC34" s="226">
        <v>0.8</v>
      </c>
      <c r="CD34" s="226">
        <v>0.8</v>
      </c>
      <c r="CE34" s="226">
        <v>0.8</v>
      </c>
      <c r="CF34" s="226">
        <v>0.8</v>
      </c>
      <c r="CG34" s="226">
        <v>0.8</v>
      </c>
      <c r="CH34" s="226">
        <v>0.8</v>
      </c>
      <c r="CI34" s="226">
        <v>0.8</v>
      </c>
      <c r="CJ34" s="226">
        <v>0.8</v>
      </c>
      <c r="CK34" s="226">
        <v>0.8</v>
      </c>
      <c r="CL34" s="226">
        <v>0.8</v>
      </c>
      <c r="CM34" s="226">
        <v>0.8</v>
      </c>
      <c r="CN34" s="226">
        <v>0.8</v>
      </c>
      <c r="CO34" s="226">
        <v>0.8</v>
      </c>
      <c r="CP34" s="226">
        <v>0.8</v>
      </c>
      <c r="CQ34" s="226">
        <v>0.8</v>
      </c>
      <c r="CR34" s="226">
        <v>0.8</v>
      </c>
      <c r="CS34" s="226">
        <v>0.8</v>
      </c>
      <c r="CT34" s="226">
        <v>0.8</v>
      </c>
      <c r="CU34" s="226">
        <v>0.8</v>
      </c>
      <c r="CV34" s="226">
        <v>0.8</v>
      </c>
      <c r="CW34" s="226">
        <v>0.8</v>
      </c>
      <c r="CX34" s="226">
        <v>0.8</v>
      </c>
      <c r="CY34" s="226">
        <v>0.8</v>
      </c>
      <c r="CZ34" s="226">
        <v>0.8</v>
      </c>
      <c r="DA34" s="226">
        <v>0.8</v>
      </c>
      <c r="DB34" s="226">
        <v>0.8</v>
      </c>
      <c r="DC34" s="226">
        <v>0.8</v>
      </c>
      <c r="DD34" s="226">
        <v>0.8</v>
      </c>
      <c r="DE34" s="226">
        <v>0.8</v>
      </c>
      <c r="DF34" s="226">
        <v>0.8</v>
      </c>
      <c r="DG34" s="226">
        <v>0.8</v>
      </c>
      <c r="DH34" s="226">
        <v>0.8</v>
      </c>
      <c r="DI34" s="226">
        <v>0.8</v>
      </c>
      <c r="DJ34" s="226">
        <v>0.8</v>
      </c>
      <c r="DK34" s="226">
        <v>0.8</v>
      </c>
      <c r="DL34" s="226">
        <v>0.1</v>
      </c>
      <c r="DM34" s="226">
        <v>0</v>
      </c>
      <c r="DN34" s="226">
        <v>0</v>
      </c>
      <c r="DO34" s="226">
        <v>0</v>
      </c>
      <c r="DP34" s="226">
        <v>0</v>
      </c>
      <c r="DQ34" s="226">
        <v>0</v>
      </c>
      <c r="DR34" s="226">
        <v>0</v>
      </c>
      <c r="DS34" s="226">
        <v>0</v>
      </c>
    </row>
    <row r="35" spans="1:123" x14ac:dyDescent="0.15">
      <c r="A35" s="156" t="s">
        <v>257</v>
      </c>
      <c r="B35">
        <v>0.8</v>
      </c>
      <c r="C35" s="226">
        <v>0.8</v>
      </c>
      <c r="D35" s="226">
        <v>0.8</v>
      </c>
      <c r="E35" s="226">
        <v>0.8</v>
      </c>
      <c r="F35" s="226">
        <v>0.8</v>
      </c>
      <c r="G35" s="226">
        <v>0.8</v>
      </c>
      <c r="H35" s="226">
        <v>0.8</v>
      </c>
      <c r="I35" s="226">
        <v>0.8</v>
      </c>
      <c r="J35" s="226">
        <v>0.8</v>
      </c>
      <c r="K35" s="226">
        <v>0.8</v>
      </c>
      <c r="L35" s="226">
        <v>0.8</v>
      </c>
      <c r="M35" s="226">
        <v>0.7</v>
      </c>
      <c r="N35" s="226">
        <v>0.7</v>
      </c>
      <c r="O35" s="226">
        <v>0.6</v>
      </c>
      <c r="P35" s="226">
        <v>0.6</v>
      </c>
      <c r="Q35" s="226">
        <v>0.7</v>
      </c>
      <c r="R35" s="226">
        <v>0.8</v>
      </c>
      <c r="S35" s="226">
        <v>0.8</v>
      </c>
      <c r="T35" s="226">
        <v>0.8</v>
      </c>
      <c r="U35" s="226">
        <v>0.8</v>
      </c>
      <c r="V35" s="226">
        <v>0.8</v>
      </c>
      <c r="W35" s="225">
        <v>0.8</v>
      </c>
      <c r="X35" s="225">
        <v>0.8</v>
      </c>
      <c r="Y35" s="225">
        <v>0.8</v>
      </c>
      <c r="Z35" s="225">
        <v>0.8</v>
      </c>
      <c r="AA35" s="226">
        <v>0.8</v>
      </c>
      <c r="AB35" s="226">
        <v>0.6</v>
      </c>
      <c r="AC35" s="226">
        <v>0.8</v>
      </c>
      <c r="AD35" s="226">
        <v>0.8</v>
      </c>
      <c r="AE35" s="226">
        <v>0.1</v>
      </c>
      <c r="AF35" s="226">
        <v>0.1</v>
      </c>
      <c r="AG35" s="226">
        <v>0.1</v>
      </c>
      <c r="AH35" s="226">
        <v>0.1</v>
      </c>
      <c r="AI35" s="226">
        <v>0.8</v>
      </c>
      <c r="AJ35" s="226">
        <v>0.7</v>
      </c>
      <c r="AK35" s="226">
        <v>0.1</v>
      </c>
      <c r="AL35" s="226">
        <v>0.3</v>
      </c>
      <c r="AM35" s="226">
        <v>0.1</v>
      </c>
      <c r="AN35" s="226">
        <v>0.1</v>
      </c>
      <c r="AO35" s="226">
        <v>0.1</v>
      </c>
      <c r="AP35" s="226">
        <v>0.1</v>
      </c>
      <c r="AQ35" s="226">
        <v>0.1</v>
      </c>
      <c r="AR35" s="226">
        <v>0.1</v>
      </c>
      <c r="AS35" s="226">
        <v>0.1</v>
      </c>
      <c r="AT35" s="226">
        <v>0.7</v>
      </c>
      <c r="AU35" s="226">
        <v>0.3</v>
      </c>
      <c r="AV35" s="226">
        <v>0.3</v>
      </c>
      <c r="AW35" s="226">
        <v>0.3</v>
      </c>
      <c r="AX35" s="226">
        <v>0.8</v>
      </c>
      <c r="AY35" s="226">
        <v>0.8</v>
      </c>
      <c r="AZ35" s="226">
        <v>0.8</v>
      </c>
      <c r="BA35" s="226">
        <v>0.6</v>
      </c>
      <c r="BB35" s="226">
        <v>0.6</v>
      </c>
      <c r="BC35" s="226">
        <v>0.8</v>
      </c>
      <c r="BD35" s="226">
        <v>0.7</v>
      </c>
      <c r="BE35" s="226">
        <v>0.8</v>
      </c>
      <c r="BF35" s="226">
        <v>0.1</v>
      </c>
      <c r="BG35" s="226">
        <v>0.1</v>
      </c>
      <c r="BH35" s="226">
        <v>0.3</v>
      </c>
      <c r="BI35" s="226">
        <v>0.3</v>
      </c>
      <c r="BJ35" s="226">
        <v>0.3</v>
      </c>
      <c r="BK35" s="226">
        <v>0.3</v>
      </c>
      <c r="BL35" s="226">
        <v>0.3</v>
      </c>
      <c r="BM35" s="226">
        <v>0.3</v>
      </c>
      <c r="BN35" s="226">
        <v>0.7</v>
      </c>
      <c r="BO35" s="226">
        <v>0.7</v>
      </c>
      <c r="BP35" s="226">
        <v>0.8</v>
      </c>
      <c r="BQ35" s="226">
        <v>0.8</v>
      </c>
      <c r="BR35" s="226">
        <v>0.7</v>
      </c>
      <c r="BS35" s="226">
        <v>0.7</v>
      </c>
      <c r="BT35" s="226">
        <v>0.7</v>
      </c>
      <c r="BU35" s="226">
        <v>0.7</v>
      </c>
      <c r="BV35" s="226">
        <v>0.8</v>
      </c>
      <c r="BW35" s="226">
        <v>0.8</v>
      </c>
      <c r="BX35" s="226">
        <v>0.7</v>
      </c>
      <c r="BY35" s="226">
        <v>0.8</v>
      </c>
      <c r="BZ35" s="226">
        <v>0.8</v>
      </c>
      <c r="CA35" s="226">
        <v>0.8</v>
      </c>
      <c r="CB35" s="226">
        <v>0.8</v>
      </c>
      <c r="CC35" s="226">
        <v>0.8</v>
      </c>
      <c r="CD35" s="226">
        <v>0.8</v>
      </c>
      <c r="CE35" s="226">
        <v>0.8</v>
      </c>
      <c r="CF35" s="226">
        <v>0.8</v>
      </c>
      <c r="CG35" s="226">
        <v>0.8</v>
      </c>
      <c r="CH35" s="226">
        <v>0.8</v>
      </c>
      <c r="CI35" s="226">
        <v>0.8</v>
      </c>
      <c r="CJ35" s="226">
        <v>0.8</v>
      </c>
      <c r="CK35" s="226">
        <v>0.8</v>
      </c>
      <c r="CL35" s="226">
        <v>0.8</v>
      </c>
      <c r="CM35" s="226">
        <v>0.8</v>
      </c>
      <c r="CN35" s="226">
        <v>0.8</v>
      </c>
      <c r="CO35" s="226">
        <v>0.8</v>
      </c>
      <c r="CP35" s="226">
        <v>0.8</v>
      </c>
      <c r="CQ35" s="226">
        <v>0.8</v>
      </c>
      <c r="CR35" s="226">
        <v>0.8</v>
      </c>
      <c r="CS35" s="226">
        <v>0.8</v>
      </c>
      <c r="CT35" s="226">
        <v>0.8</v>
      </c>
      <c r="CU35" s="226">
        <v>0.8</v>
      </c>
      <c r="CV35" s="226">
        <v>0.8</v>
      </c>
      <c r="CW35" s="226">
        <v>0.8</v>
      </c>
      <c r="CX35" s="226">
        <v>0.8</v>
      </c>
      <c r="CY35" s="226">
        <v>0.8</v>
      </c>
      <c r="CZ35" s="226">
        <v>0.8</v>
      </c>
      <c r="DA35" s="226">
        <v>0.8</v>
      </c>
      <c r="DB35" s="226">
        <v>0.8</v>
      </c>
      <c r="DC35" s="226">
        <v>0.8</v>
      </c>
      <c r="DD35" s="226">
        <v>0.8</v>
      </c>
      <c r="DE35" s="226">
        <v>0.8</v>
      </c>
      <c r="DF35" s="226">
        <v>0.8</v>
      </c>
      <c r="DG35" s="226">
        <v>0.8</v>
      </c>
      <c r="DH35" s="226">
        <v>0.8</v>
      </c>
      <c r="DI35" s="226">
        <v>0.8</v>
      </c>
      <c r="DJ35" s="226">
        <v>0.8</v>
      </c>
      <c r="DK35" s="226">
        <v>0.8</v>
      </c>
      <c r="DL35" s="226">
        <v>0.1</v>
      </c>
      <c r="DM35" s="226">
        <v>0</v>
      </c>
      <c r="DN35" s="226">
        <v>0</v>
      </c>
      <c r="DO35" s="226">
        <v>0</v>
      </c>
      <c r="DP35" s="226">
        <v>0</v>
      </c>
      <c r="DQ35" s="226">
        <v>0</v>
      </c>
      <c r="DR35" s="226">
        <v>0</v>
      </c>
      <c r="DS35" s="226">
        <v>0</v>
      </c>
    </row>
    <row r="36" spans="1:123" x14ac:dyDescent="0.15">
      <c r="A36" s="156" t="s">
        <v>178</v>
      </c>
      <c r="B36">
        <v>0.8</v>
      </c>
      <c r="C36" s="226">
        <v>0.8</v>
      </c>
      <c r="D36" s="226">
        <v>0.8</v>
      </c>
      <c r="E36" s="226">
        <v>0.8</v>
      </c>
      <c r="F36" s="226">
        <v>0.8</v>
      </c>
      <c r="G36" s="226">
        <v>0.8</v>
      </c>
      <c r="H36" s="226">
        <v>0.8</v>
      </c>
      <c r="I36" s="226">
        <v>0.8</v>
      </c>
      <c r="J36" s="226">
        <v>0.8</v>
      </c>
      <c r="K36" s="226">
        <v>0.8</v>
      </c>
      <c r="L36" s="226">
        <v>0.8</v>
      </c>
      <c r="M36" s="226">
        <v>0.7</v>
      </c>
      <c r="N36" s="226">
        <v>0.7</v>
      </c>
      <c r="O36" s="226">
        <v>0.6</v>
      </c>
      <c r="P36" s="226">
        <v>0.6</v>
      </c>
      <c r="Q36" s="226">
        <v>0.7</v>
      </c>
      <c r="R36" s="226">
        <v>0.8</v>
      </c>
      <c r="S36" s="226">
        <v>0.8</v>
      </c>
      <c r="T36" s="226">
        <v>0.8</v>
      </c>
      <c r="U36" s="226">
        <v>0.8</v>
      </c>
      <c r="V36" s="226">
        <v>0.8</v>
      </c>
      <c r="W36" s="225">
        <v>0.8</v>
      </c>
      <c r="X36" s="225">
        <v>0.8</v>
      </c>
      <c r="Y36" s="225">
        <v>0.8</v>
      </c>
      <c r="Z36" s="225">
        <v>0.8</v>
      </c>
      <c r="AA36" s="226">
        <v>0.8</v>
      </c>
      <c r="AB36" s="226">
        <v>0.6</v>
      </c>
      <c r="AC36" s="226">
        <v>0.8</v>
      </c>
      <c r="AD36" s="226">
        <v>0.8</v>
      </c>
      <c r="AE36" s="226">
        <v>0.1</v>
      </c>
      <c r="AF36" s="226">
        <v>0.1</v>
      </c>
      <c r="AG36" s="226">
        <v>0.1</v>
      </c>
      <c r="AH36" s="226">
        <v>0.1</v>
      </c>
      <c r="AI36" s="226">
        <v>0.8</v>
      </c>
      <c r="AJ36" s="226">
        <v>0.7</v>
      </c>
      <c r="AK36" s="226">
        <v>0.1</v>
      </c>
      <c r="AL36" s="226">
        <v>0.3</v>
      </c>
      <c r="AM36" s="226">
        <v>0.1</v>
      </c>
      <c r="AN36" s="226">
        <v>0.1</v>
      </c>
      <c r="AO36" s="226">
        <v>0.1</v>
      </c>
      <c r="AP36" s="226">
        <v>0.1</v>
      </c>
      <c r="AQ36" s="226">
        <v>0.1</v>
      </c>
      <c r="AR36" s="226">
        <v>0.1</v>
      </c>
      <c r="AS36" s="226">
        <v>0.1</v>
      </c>
      <c r="AT36" s="226">
        <v>0.7</v>
      </c>
      <c r="AU36" s="226">
        <v>0.3</v>
      </c>
      <c r="AV36" s="226">
        <v>0.3</v>
      </c>
      <c r="AW36" s="226">
        <v>0.3</v>
      </c>
      <c r="AX36" s="226">
        <v>0.8</v>
      </c>
      <c r="AY36" s="226">
        <v>0.8</v>
      </c>
      <c r="AZ36" s="226">
        <v>0.8</v>
      </c>
      <c r="BA36" s="226">
        <v>0.6</v>
      </c>
      <c r="BB36" s="226">
        <v>0.6</v>
      </c>
      <c r="BC36" s="226">
        <v>0.8</v>
      </c>
      <c r="BD36" s="226">
        <v>0.7</v>
      </c>
      <c r="BE36" s="226">
        <v>0.8</v>
      </c>
      <c r="BF36" s="226">
        <v>0.1</v>
      </c>
      <c r="BG36" s="226">
        <v>0.1</v>
      </c>
      <c r="BH36" s="226">
        <v>0.3</v>
      </c>
      <c r="BI36" s="226">
        <v>0.3</v>
      </c>
      <c r="BJ36" s="226">
        <v>0.3</v>
      </c>
      <c r="BK36" s="226">
        <v>0.3</v>
      </c>
      <c r="BL36" s="226">
        <v>0.3</v>
      </c>
      <c r="BM36" s="226">
        <v>0.3</v>
      </c>
      <c r="BN36" s="226">
        <v>0.7</v>
      </c>
      <c r="BO36" s="226">
        <v>0.7</v>
      </c>
      <c r="BP36" s="226">
        <v>0.8</v>
      </c>
      <c r="BQ36" s="226">
        <v>0.8</v>
      </c>
      <c r="BR36" s="226">
        <v>0.7</v>
      </c>
      <c r="BS36" s="226">
        <v>0.7</v>
      </c>
      <c r="BT36" s="226">
        <v>0.7</v>
      </c>
      <c r="BU36" s="226">
        <v>0.7</v>
      </c>
      <c r="BV36" s="226">
        <v>0.8</v>
      </c>
      <c r="BW36" s="226">
        <v>0.8</v>
      </c>
      <c r="BX36" s="226">
        <v>0.7</v>
      </c>
      <c r="BY36" s="226">
        <v>0.8</v>
      </c>
      <c r="BZ36" s="226">
        <v>0.8</v>
      </c>
      <c r="CA36" s="226">
        <v>0.8</v>
      </c>
      <c r="CB36" s="226">
        <v>0.8</v>
      </c>
      <c r="CC36" s="226">
        <v>0.8</v>
      </c>
      <c r="CD36" s="226">
        <v>0.8</v>
      </c>
      <c r="CE36" s="226">
        <v>0.8</v>
      </c>
      <c r="CF36" s="226">
        <v>0.8</v>
      </c>
      <c r="CG36" s="226">
        <v>0.8</v>
      </c>
      <c r="CH36" s="226">
        <v>0.8</v>
      </c>
      <c r="CI36" s="226">
        <v>0.8</v>
      </c>
      <c r="CJ36" s="226">
        <v>0.8</v>
      </c>
      <c r="CK36" s="226">
        <v>0.8</v>
      </c>
      <c r="CL36" s="226">
        <v>0.8</v>
      </c>
      <c r="CM36" s="226">
        <v>0.8</v>
      </c>
      <c r="CN36" s="226">
        <v>0.8</v>
      </c>
      <c r="CO36" s="226">
        <v>0.8</v>
      </c>
      <c r="CP36" s="226">
        <v>0.8</v>
      </c>
      <c r="CQ36" s="226">
        <v>0.8</v>
      </c>
      <c r="CR36" s="226">
        <v>0.8</v>
      </c>
      <c r="CS36" s="226">
        <v>0.8</v>
      </c>
      <c r="CT36" s="226">
        <v>0.8</v>
      </c>
      <c r="CU36" s="226">
        <v>0.8</v>
      </c>
      <c r="CV36" s="226">
        <v>0.8</v>
      </c>
      <c r="CW36" s="226">
        <v>0.8</v>
      </c>
      <c r="CX36" s="226">
        <v>0.8</v>
      </c>
      <c r="CY36" s="226">
        <v>0.8</v>
      </c>
      <c r="CZ36" s="226">
        <v>0.8</v>
      </c>
      <c r="DA36" s="226">
        <v>0.8</v>
      </c>
      <c r="DB36" s="226">
        <v>0.8</v>
      </c>
      <c r="DC36" s="226">
        <v>0.8</v>
      </c>
      <c r="DD36" s="226">
        <v>0.8</v>
      </c>
      <c r="DE36" s="226">
        <v>0.8</v>
      </c>
      <c r="DF36" s="226">
        <v>0.8</v>
      </c>
      <c r="DG36" s="226">
        <v>0.8</v>
      </c>
      <c r="DH36" s="226">
        <v>0.8</v>
      </c>
      <c r="DI36" s="226">
        <v>0.8</v>
      </c>
      <c r="DJ36" s="226">
        <v>0.8</v>
      </c>
      <c r="DK36" s="226">
        <v>0.8</v>
      </c>
      <c r="DL36" s="226">
        <v>0.1</v>
      </c>
      <c r="DM36" s="226">
        <v>0</v>
      </c>
      <c r="DN36" s="226">
        <v>0</v>
      </c>
      <c r="DO36" s="226">
        <v>0</v>
      </c>
      <c r="DP36" s="226">
        <v>0</v>
      </c>
      <c r="DQ36" s="226">
        <v>0</v>
      </c>
      <c r="DR36" s="226">
        <v>0</v>
      </c>
      <c r="DS36" s="226">
        <v>0</v>
      </c>
    </row>
    <row r="37" spans="1:123" x14ac:dyDescent="0.15">
      <c r="A37" s="156" t="s">
        <v>258</v>
      </c>
      <c r="B37">
        <v>0.8</v>
      </c>
      <c r="C37" s="226">
        <v>0.8</v>
      </c>
      <c r="D37" s="226">
        <v>0.8</v>
      </c>
      <c r="E37" s="226">
        <v>0.8</v>
      </c>
      <c r="F37" s="226">
        <v>0.8</v>
      </c>
      <c r="G37" s="226">
        <v>0.8</v>
      </c>
      <c r="H37" s="226">
        <v>0.8</v>
      </c>
      <c r="I37" s="226">
        <v>0.8</v>
      </c>
      <c r="J37" s="226">
        <v>0.8</v>
      </c>
      <c r="K37" s="226">
        <v>0.8</v>
      </c>
      <c r="L37" s="226">
        <v>0.8</v>
      </c>
      <c r="M37" s="226">
        <v>0.7</v>
      </c>
      <c r="N37" s="226">
        <v>0.7</v>
      </c>
      <c r="O37" s="226">
        <v>0.6</v>
      </c>
      <c r="P37" s="226">
        <v>0.6</v>
      </c>
      <c r="Q37" s="226">
        <v>0.7</v>
      </c>
      <c r="R37" s="226">
        <v>0.8</v>
      </c>
      <c r="S37" s="226">
        <v>0.8</v>
      </c>
      <c r="T37" s="226">
        <v>0.8</v>
      </c>
      <c r="U37" s="226">
        <v>0.8</v>
      </c>
      <c r="V37" s="226">
        <v>0.8</v>
      </c>
      <c r="W37" s="225">
        <v>0.8</v>
      </c>
      <c r="X37" s="225">
        <v>0.8</v>
      </c>
      <c r="Y37" s="225">
        <v>0.8</v>
      </c>
      <c r="Z37" s="225">
        <v>0.8</v>
      </c>
      <c r="AA37" s="226">
        <v>0.8</v>
      </c>
      <c r="AB37" s="226">
        <v>0.6</v>
      </c>
      <c r="AC37" s="226">
        <v>0.8</v>
      </c>
      <c r="AD37" s="226">
        <v>0.8</v>
      </c>
      <c r="AE37" s="226">
        <v>0.1</v>
      </c>
      <c r="AF37" s="226">
        <v>0.1</v>
      </c>
      <c r="AG37" s="226">
        <v>0.1</v>
      </c>
      <c r="AH37" s="226">
        <v>0.1</v>
      </c>
      <c r="AI37" s="226">
        <v>0.8</v>
      </c>
      <c r="AJ37" s="226">
        <v>0.7</v>
      </c>
      <c r="AK37" s="226">
        <v>0.1</v>
      </c>
      <c r="AL37" s="226">
        <v>0.3</v>
      </c>
      <c r="AM37" s="226">
        <v>0.1</v>
      </c>
      <c r="AN37" s="226">
        <v>0.1</v>
      </c>
      <c r="AO37" s="226">
        <v>0.1</v>
      </c>
      <c r="AP37" s="226">
        <v>0.1</v>
      </c>
      <c r="AQ37" s="226">
        <v>0.1</v>
      </c>
      <c r="AR37" s="226">
        <v>0.1</v>
      </c>
      <c r="AS37" s="226">
        <v>0.1</v>
      </c>
      <c r="AT37" s="226">
        <v>0.7</v>
      </c>
      <c r="AU37" s="226">
        <v>0.3</v>
      </c>
      <c r="AV37" s="226">
        <v>0.3</v>
      </c>
      <c r="AW37" s="226">
        <v>0.3</v>
      </c>
      <c r="AX37" s="226">
        <v>0.8</v>
      </c>
      <c r="AY37" s="226">
        <v>0.8</v>
      </c>
      <c r="AZ37" s="226">
        <v>0.8</v>
      </c>
      <c r="BA37" s="226">
        <v>0.6</v>
      </c>
      <c r="BB37" s="226">
        <v>0.6</v>
      </c>
      <c r="BC37" s="226">
        <v>0.8</v>
      </c>
      <c r="BD37" s="226">
        <v>0.7</v>
      </c>
      <c r="BE37" s="226">
        <v>0.8</v>
      </c>
      <c r="BF37" s="226">
        <v>0.1</v>
      </c>
      <c r="BG37" s="226">
        <v>0.1</v>
      </c>
      <c r="BH37" s="226">
        <v>0.3</v>
      </c>
      <c r="BI37" s="226">
        <v>0.3</v>
      </c>
      <c r="BJ37" s="226">
        <v>0.3</v>
      </c>
      <c r="BK37" s="226">
        <v>0.3</v>
      </c>
      <c r="BL37" s="226">
        <v>0.3</v>
      </c>
      <c r="BM37" s="226">
        <v>0.3</v>
      </c>
      <c r="BN37" s="226">
        <v>0.7</v>
      </c>
      <c r="BO37" s="226">
        <v>0.7</v>
      </c>
      <c r="BP37" s="226">
        <v>0.8</v>
      </c>
      <c r="BQ37" s="226">
        <v>0.8</v>
      </c>
      <c r="BR37" s="226">
        <v>0.7</v>
      </c>
      <c r="BS37" s="226">
        <v>0.7</v>
      </c>
      <c r="BT37" s="226">
        <v>0.7</v>
      </c>
      <c r="BU37" s="226">
        <v>0.7</v>
      </c>
      <c r="BV37" s="226">
        <v>0.8</v>
      </c>
      <c r="BW37" s="226">
        <v>0.8</v>
      </c>
      <c r="BX37" s="226">
        <v>0.7</v>
      </c>
      <c r="BY37" s="226">
        <v>0.8</v>
      </c>
      <c r="BZ37" s="226">
        <v>0.8</v>
      </c>
      <c r="CA37" s="226">
        <v>0.8</v>
      </c>
      <c r="CB37" s="226">
        <v>0.8</v>
      </c>
      <c r="CC37" s="226">
        <v>0.8</v>
      </c>
      <c r="CD37" s="226">
        <v>0.8</v>
      </c>
      <c r="CE37" s="226">
        <v>0.8</v>
      </c>
      <c r="CF37" s="226">
        <v>0.8</v>
      </c>
      <c r="CG37" s="226">
        <v>0.8</v>
      </c>
      <c r="CH37" s="226">
        <v>0.8</v>
      </c>
      <c r="CI37" s="226">
        <v>0.8</v>
      </c>
      <c r="CJ37" s="226">
        <v>0.8</v>
      </c>
      <c r="CK37" s="226">
        <v>0.8</v>
      </c>
      <c r="CL37" s="226">
        <v>0.8</v>
      </c>
      <c r="CM37" s="226">
        <v>0.8</v>
      </c>
      <c r="CN37" s="226">
        <v>0.8</v>
      </c>
      <c r="CO37" s="226">
        <v>0.8</v>
      </c>
      <c r="CP37" s="226">
        <v>0.8</v>
      </c>
      <c r="CQ37" s="226">
        <v>0.8</v>
      </c>
      <c r="CR37" s="226">
        <v>0.8</v>
      </c>
      <c r="CS37" s="226">
        <v>0.8</v>
      </c>
      <c r="CT37" s="226">
        <v>0.8</v>
      </c>
      <c r="CU37" s="226">
        <v>0.8</v>
      </c>
      <c r="CV37" s="226">
        <v>0.8</v>
      </c>
      <c r="CW37" s="226">
        <v>0.8</v>
      </c>
      <c r="CX37" s="226">
        <v>0.8</v>
      </c>
      <c r="CY37" s="226">
        <v>0.8</v>
      </c>
      <c r="CZ37" s="226">
        <v>0.8</v>
      </c>
      <c r="DA37" s="226">
        <v>0.8</v>
      </c>
      <c r="DB37" s="226">
        <v>0.8</v>
      </c>
      <c r="DC37" s="226">
        <v>0.8</v>
      </c>
      <c r="DD37" s="226">
        <v>0.8</v>
      </c>
      <c r="DE37" s="226">
        <v>0.8</v>
      </c>
      <c r="DF37" s="226">
        <v>0.8</v>
      </c>
      <c r="DG37" s="226">
        <v>0.8</v>
      </c>
      <c r="DH37" s="226">
        <v>0.8</v>
      </c>
      <c r="DI37" s="226">
        <v>0.8</v>
      </c>
      <c r="DJ37" s="226">
        <v>0.8</v>
      </c>
      <c r="DK37" s="226">
        <v>0.8</v>
      </c>
      <c r="DL37" s="226">
        <v>0.1</v>
      </c>
      <c r="DM37" s="226">
        <v>0</v>
      </c>
      <c r="DN37" s="226">
        <v>0</v>
      </c>
      <c r="DO37" s="226">
        <v>0</v>
      </c>
      <c r="DP37" s="226">
        <v>0</v>
      </c>
      <c r="DQ37" s="226">
        <v>0</v>
      </c>
      <c r="DR37" s="226">
        <v>0</v>
      </c>
      <c r="DS37" s="226">
        <v>0</v>
      </c>
    </row>
    <row r="38" spans="1:123" x14ac:dyDescent="0.15">
      <c r="A38" s="156" t="s">
        <v>179</v>
      </c>
      <c r="B38">
        <v>0.8</v>
      </c>
      <c r="C38" s="226">
        <v>0.8</v>
      </c>
      <c r="D38" s="226">
        <v>0.8</v>
      </c>
      <c r="E38" s="226">
        <v>0.8</v>
      </c>
      <c r="F38" s="226">
        <v>0.8</v>
      </c>
      <c r="G38" s="226">
        <v>0.8</v>
      </c>
      <c r="H38" s="226">
        <v>0.8</v>
      </c>
      <c r="I38" s="226">
        <v>0.8</v>
      </c>
      <c r="J38" s="226">
        <v>0.8</v>
      </c>
      <c r="K38" s="226">
        <v>0.8</v>
      </c>
      <c r="L38" s="226">
        <v>0.8</v>
      </c>
      <c r="M38" s="226">
        <v>0.7</v>
      </c>
      <c r="N38" s="226">
        <v>0.7</v>
      </c>
      <c r="O38" s="226">
        <v>0.6</v>
      </c>
      <c r="P38" s="226">
        <v>0.6</v>
      </c>
      <c r="Q38" s="226">
        <v>0.7</v>
      </c>
      <c r="R38" s="226">
        <v>0.8</v>
      </c>
      <c r="S38" s="226">
        <v>0.8</v>
      </c>
      <c r="T38" s="226">
        <v>0.8</v>
      </c>
      <c r="U38" s="226">
        <v>0.8</v>
      </c>
      <c r="V38" s="226">
        <v>0.8</v>
      </c>
      <c r="W38" s="225">
        <v>0.8</v>
      </c>
      <c r="X38" s="225">
        <v>0.8</v>
      </c>
      <c r="Y38" s="225">
        <v>0.8</v>
      </c>
      <c r="Z38" s="225">
        <v>0.8</v>
      </c>
      <c r="AA38" s="226">
        <v>0.8</v>
      </c>
      <c r="AB38" s="226">
        <v>0.6</v>
      </c>
      <c r="AC38" s="226">
        <v>0.8</v>
      </c>
      <c r="AD38" s="226">
        <v>0.8</v>
      </c>
      <c r="AE38" s="226">
        <v>0.1</v>
      </c>
      <c r="AF38" s="226">
        <v>0.1</v>
      </c>
      <c r="AG38" s="226">
        <v>0.1</v>
      </c>
      <c r="AH38" s="226">
        <v>0.1</v>
      </c>
      <c r="AI38" s="226">
        <v>0.8</v>
      </c>
      <c r="AJ38" s="226">
        <v>0.7</v>
      </c>
      <c r="AK38" s="226">
        <v>0.1</v>
      </c>
      <c r="AL38" s="226">
        <v>0.3</v>
      </c>
      <c r="AM38" s="226">
        <v>0.1</v>
      </c>
      <c r="AN38" s="226">
        <v>0.1</v>
      </c>
      <c r="AO38" s="226">
        <v>0.1</v>
      </c>
      <c r="AP38" s="226">
        <v>0.1</v>
      </c>
      <c r="AQ38" s="226">
        <v>0.1</v>
      </c>
      <c r="AR38" s="226">
        <v>0.1</v>
      </c>
      <c r="AS38" s="226">
        <v>0.1</v>
      </c>
      <c r="AT38" s="226">
        <v>0.7</v>
      </c>
      <c r="AU38" s="226">
        <v>0.3</v>
      </c>
      <c r="AV38" s="226">
        <v>0.3</v>
      </c>
      <c r="AW38" s="226">
        <v>0.3</v>
      </c>
      <c r="AX38" s="226">
        <v>0.8</v>
      </c>
      <c r="AY38" s="226">
        <v>0.8</v>
      </c>
      <c r="AZ38" s="226">
        <v>0.8</v>
      </c>
      <c r="BA38" s="226">
        <v>0.6</v>
      </c>
      <c r="BB38" s="226">
        <v>0.6</v>
      </c>
      <c r="BC38" s="226">
        <v>0.8</v>
      </c>
      <c r="BD38" s="226">
        <v>0.7</v>
      </c>
      <c r="BE38" s="226">
        <v>0.8</v>
      </c>
      <c r="BF38" s="226">
        <v>0.1</v>
      </c>
      <c r="BG38" s="226">
        <v>0.1</v>
      </c>
      <c r="BH38" s="226">
        <v>0.3</v>
      </c>
      <c r="BI38" s="226">
        <v>0.3</v>
      </c>
      <c r="BJ38" s="226">
        <v>0.3</v>
      </c>
      <c r="BK38" s="226">
        <v>0.3</v>
      </c>
      <c r="BL38" s="226">
        <v>0.3</v>
      </c>
      <c r="BM38" s="226">
        <v>0.3</v>
      </c>
      <c r="BN38" s="226">
        <v>0.7</v>
      </c>
      <c r="BO38" s="226">
        <v>0.7</v>
      </c>
      <c r="BP38" s="226">
        <v>0.8</v>
      </c>
      <c r="BQ38" s="226">
        <v>0.8</v>
      </c>
      <c r="BR38" s="226">
        <v>0.7</v>
      </c>
      <c r="BS38" s="226">
        <v>0.7</v>
      </c>
      <c r="BT38" s="226">
        <v>0.7</v>
      </c>
      <c r="BU38" s="226">
        <v>0.7</v>
      </c>
      <c r="BV38" s="226">
        <v>0.8</v>
      </c>
      <c r="BW38" s="226">
        <v>0.8</v>
      </c>
      <c r="BX38" s="226">
        <v>0.7</v>
      </c>
      <c r="BY38" s="226">
        <v>0.8</v>
      </c>
      <c r="BZ38" s="226">
        <v>0.8</v>
      </c>
      <c r="CA38" s="226">
        <v>0.8</v>
      </c>
      <c r="CB38" s="226">
        <v>0.8</v>
      </c>
      <c r="CC38" s="226">
        <v>0.8</v>
      </c>
      <c r="CD38" s="226">
        <v>0.8</v>
      </c>
      <c r="CE38" s="226">
        <v>0.8</v>
      </c>
      <c r="CF38" s="226">
        <v>0.8</v>
      </c>
      <c r="CG38" s="226">
        <v>0.8</v>
      </c>
      <c r="CH38" s="226">
        <v>0.8</v>
      </c>
      <c r="CI38" s="226">
        <v>0.8</v>
      </c>
      <c r="CJ38" s="226">
        <v>0.8</v>
      </c>
      <c r="CK38" s="226">
        <v>0.8</v>
      </c>
      <c r="CL38" s="226">
        <v>0.8</v>
      </c>
      <c r="CM38" s="226">
        <v>0.8</v>
      </c>
      <c r="CN38" s="226">
        <v>0.8</v>
      </c>
      <c r="CO38" s="226">
        <v>0.8</v>
      </c>
      <c r="CP38" s="226">
        <v>0.8</v>
      </c>
      <c r="CQ38" s="226">
        <v>0.8</v>
      </c>
      <c r="CR38" s="226">
        <v>0.8</v>
      </c>
      <c r="CS38" s="226">
        <v>0.8</v>
      </c>
      <c r="CT38" s="226">
        <v>0.8</v>
      </c>
      <c r="CU38" s="226">
        <v>0.8</v>
      </c>
      <c r="CV38" s="226">
        <v>0.8</v>
      </c>
      <c r="CW38" s="226">
        <v>0.8</v>
      </c>
      <c r="CX38" s="226">
        <v>0.8</v>
      </c>
      <c r="CY38" s="226">
        <v>0.8</v>
      </c>
      <c r="CZ38" s="226">
        <v>0.8</v>
      </c>
      <c r="DA38" s="226">
        <v>0.8</v>
      </c>
      <c r="DB38" s="226">
        <v>0.8</v>
      </c>
      <c r="DC38" s="226">
        <v>0.8</v>
      </c>
      <c r="DD38" s="226">
        <v>0.8</v>
      </c>
      <c r="DE38" s="226">
        <v>0.8</v>
      </c>
      <c r="DF38" s="226">
        <v>0.8</v>
      </c>
      <c r="DG38" s="226">
        <v>0.8</v>
      </c>
      <c r="DH38" s="226">
        <v>0.8</v>
      </c>
      <c r="DI38" s="226">
        <v>0.8</v>
      </c>
      <c r="DJ38" s="226">
        <v>0.8</v>
      </c>
      <c r="DK38" s="226">
        <v>0.8</v>
      </c>
      <c r="DL38" s="226">
        <v>0.1</v>
      </c>
      <c r="DM38" s="226">
        <v>0</v>
      </c>
      <c r="DN38" s="226">
        <v>0</v>
      </c>
      <c r="DO38" s="226">
        <v>0</v>
      </c>
      <c r="DP38" s="226">
        <v>0</v>
      </c>
      <c r="DQ38" s="226">
        <v>0</v>
      </c>
      <c r="DR38" s="226">
        <v>0</v>
      </c>
      <c r="DS38" s="226">
        <v>0</v>
      </c>
    </row>
    <row r="39" spans="1:123" x14ac:dyDescent="0.15">
      <c r="A39" s="156" t="s">
        <v>259</v>
      </c>
      <c r="B39">
        <v>0.8</v>
      </c>
      <c r="C39" s="226">
        <v>0.8</v>
      </c>
      <c r="D39" s="226">
        <v>0.8</v>
      </c>
      <c r="E39" s="226">
        <v>0.8</v>
      </c>
      <c r="F39" s="226">
        <v>0.8</v>
      </c>
      <c r="G39" s="226">
        <v>0.8</v>
      </c>
      <c r="H39" s="226">
        <v>0.8</v>
      </c>
      <c r="I39" s="226">
        <v>0.8</v>
      </c>
      <c r="J39" s="226">
        <v>0.8</v>
      </c>
      <c r="K39" s="226">
        <v>0.8</v>
      </c>
      <c r="L39" s="226">
        <v>0.8</v>
      </c>
      <c r="M39" s="226">
        <v>0.7</v>
      </c>
      <c r="N39" s="226">
        <v>0.7</v>
      </c>
      <c r="O39" s="226">
        <v>0.6</v>
      </c>
      <c r="P39" s="226">
        <v>0.6</v>
      </c>
      <c r="Q39" s="226">
        <v>0.7</v>
      </c>
      <c r="R39" s="226">
        <v>0.8</v>
      </c>
      <c r="S39" s="226">
        <v>0.8</v>
      </c>
      <c r="T39" s="226">
        <v>0.8</v>
      </c>
      <c r="U39" s="226">
        <v>0.8</v>
      </c>
      <c r="V39" s="226">
        <v>0.8</v>
      </c>
      <c r="W39" s="225">
        <v>0.8</v>
      </c>
      <c r="X39" s="225">
        <v>0.8</v>
      </c>
      <c r="Y39" s="225">
        <v>0.8</v>
      </c>
      <c r="Z39" s="225">
        <v>0.8</v>
      </c>
      <c r="AA39" s="226">
        <v>0.8</v>
      </c>
      <c r="AB39" s="226">
        <v>0.6</v>
      </c>
      <c r="AC39" s="226">
        <v>0.8</v>
      </c>
      <c r="AD39" s="226">
        <v>0.8</v>
      </c>
      <c r="AE39" s="226">
        <v>0.1</v>
      </c>
      <c r="AF39" s="226">
        <v>0.1</v>
      </c>
      <c r="AG39" s="226">
        <v>0.1</v>
      </c>
      <c r="AH39" s="226">
        <v>0.1</v>
      </c>
      <c r="AI39" s="226">
        <v>0.8</v>
      </c>
      <c r="AJ39" s="226">
        <v>0.7</v>
      </c>
      <c r="AK39" s="226">
        <v>0.1</v>
      </c>
      <c r="AL39" s="226">
        <v>0.3</v>
      </c>
      <c r="AM39" s="226">
        <v>0.1</v>
      </c>
      <c r="AN39" s="226">
        <v>0.1</v>
      </c>
      <c r="AO39" s="226">
        <v>0.1</v>
      </c>
      <c r="AP39" s="226">
        <v>0.1</v>
      </c>
      <c r="AQ39" s="226">
        <v>0.1</v>
      </c>
      <c r="AR39" s="226">
        <v>0.1</v>
      </c>
      <c r="AS39" s="226">
        <v>0.1</v>
      </c>
      <c r="AT39" s="226">
        <v>0.7</v>
      </c>
      <c r="AU39" s="226">
        <v>0.3</v>
      </c>
      <c r="AV39" s="226">
        <v>0.3</v>
      </c>
      <c r="AW39" s="226">
        <v>0.3</v>
      </c>
      <c r="AX39" s="226">
        <v>0.8</v>
      </c>
      <c r="AY39" s="226">
        <v>0.8</v>
      </c>
      <c r="AZ39" s="226">
        <v>0.8</v>
      </c>
      <c r="BA39" s="226">
        <v>0.6</v>
      </c>
      <c r="BB39" s="226">
        <v>0.6</v>
      </c>
      <c r="BC39" s="226">
        <v>0.8</v>
      </c>
      <c r="BD39" s="226">
        <v>0.7</v>
      </c>
      <c r="BE39" s="226">
        <v>0.8</v>
      </c>
      <c r="BF39" s="226">
        <v>0.1</v>
      </c>
      <c r="BG39" s="226">
        <v>0.1</v>
      </c>
      <c r="BH39" s="226">
        <v>0.3</v>
      </c>
      <c r="BI39" s="226">
        <v>0.3</v>
      </c>
      <c r="BJ39" s="226">
        <v>0.3</v>
      </c>
      <c r="BK39" s="226">
        <v>0.3</v>
      </c>
      <c r="BL39" s="226">
        <v>0.3</v>
      </c>
      <c r="BM39" s="226">
        <v>0.3</v>
      </c>
      <c r="BN39" s="226">
        <v>0.7</v>
      </c>
      <c r="BO39" s="226">
        <v>0.7</v>
      </c>
      <c r="BP39" s="226">
        <v>0.8</v>
      </c>
      <c r="BQ39" s="226">
        <v>0.8</v>
      </c>
      <c r="BR39" s="226">
        <v>0.7</v>
      </c>
      <c r="BS39" s="226">
        <v>0.7</v>
      </c>
      <c r="BT39" s="226">
        <v>0.7</v>
      </c>
      <c r="BU39" s="226">
        <v>0.7</v>
      </c>
      <c r="BV39" s="226">
        <v>0.8</v>
      </c>
      <c r="BW39" s="226">
        <v>0.8</v>
      </c>
      <c r="BX39" s="226">
        <v>0.7</v>
      </c>
      <c r="BY39" s="226">
        <v>0.8</v>
      </c>
      <c r="BZ39" s="226">
        <v>0.8</v>
      </c>
      <c r="CA39" s="226">
        <v>0.8</v>
      </c>
      <c r="CB39" s="226">
        <v>0.8</v>
      </c>
      <c r="CC39" s="226">
        <v>0.8</v>
      </c>
      <c r="CD39" s="226">
        <v>0.8</v>
      </c>
      <c r="CE39" s="226">
        <v>0.8</v>
      </c>
      <c r="CF39" s="226">
        <v>0.8</v>
      </c>
      <c r="CG39" s="226">
        <v>0.8</v>
      </c>
      <c r="CH39" s="226">
        <v>0.8</v>
      </c>
      <c r="CI39" s="226">
        <v>0.8</v>
      </c>
      <c r="CJ39" s="226">
        <v>0.8</v>
      </c>
      <c r="CK39" s="226">
        <v>0.8</v>
      </c>
      <c r="CL39" s="226">
        <v>0.8</v>
      </c>
      <c r="CM39" s="226">
        <v>0.8</v>
      </c>
      <c r="CN39" s="226">
        <v>0.8</v>
      </c>
      <c r="CO39" s="226">
        <v>0.8</v>
      </c>
      <c r="CP39" s="226">
        <v>0.8</v>
      </c>
      <c r="CQ39" s="226">
        <v>0.8</v>
      </c>
      <c r="CR39" s="226">
        <v>0.8</v>
      </c>
      <c r="CS39" s="226">
        <v>0.8</v>
      </c>
      <c r="CT39" s="226">
        <v>0.8</v>
      </c>
      <c r="CU39" s="226">
        <v>0.8</v>
      </c>
      <c r="CV39" s="226">
        <v>0.8</v>
      </c>
      <c r="CW39" s="226">
        <v>0.8</v>
      </c>
      <c r="CX39" s="226">
        <v>0.8</v>
      </c>
      <c r="CY39" s="226">
        <v>0.8</v>
      </c>
      <c r="CZ39" s="226">
        <v>0.8</v>
      </c>
      <c r="DA39" s="226">
        <v>0.8</v>
      </c>
      <c r="DB39" s="226">
        <v>0.8</v>
      </c>
      <c r="DC39" s="226">
        <v>0.8</v>
      </c>
      <c r="DD39" s="226">
        <v>0.8</v>
      </c>
      <c r="DE39" s="226">
        <v>0.8</v>
      </c>
      <c r="DF39" s="226">
        <v>0.8</v>
      </c>
      <c r="DG39" s="226">
        <v>0.8</v>
      </c>
      <c r="DH39" s="226">
        <v>0.8</v>
      </c>
      <c r="DI39" s="226">
        <v>0.8</v>
      </c>
      <c r="DJ39" s="226">
        <v>0.8</v>
      </c>
      <c r="DK39" s="226">
        <v>0.8</v>
      </c>
      <c r="DL39" s="226">
        <v>0.1</v>
      </c>
      <c r="DM39" s="226">
        <v>0</v>
      </c>
      <c r="DN39" s="226">
        <v>0</v>
      </c>
      <c r="DO39" s="226">
        <v>0</v>
      </c>
      <c r="DP39" s="226">
        <v>0</v>
      </c>
      <c r="DQ39" s="226">
        <v>0</v>
      </c>
      <c r="DR39" s="226">
        <v>0</v>
      </c>
      <c r="DS39" s="226">
        <v>0</v>
      </c>
    </row>
    <row r="40" spans="1:123" x14ac:dyDescent="0.15">
      <c r="A40" s="156" t="s">
        <v>260</v>
      </c>
      <c r="B40">
        <v>0.8</v>
      </c>
      <c r="C40" s="226">
        <v>0.8</v>
      </c>
      <c r="D40" s="226">
        <v>0.8</v>
      </c>
      <c r="E40" s="226">
        <v>0.8</v>
      </c>
      <c r="F40" s="226">
        <v>0.8</v>
      </c>
      <c r="G40" s="226">
        <v>0.8</v>
      </c>
      <c r="H40" s="226">
        <v>0.8</v>
      </c>
      <c r="I40" s="226">
        <v>0.8</v>
      </c>
      <c r="J40" s="226">
        <v>0.8</v>
      </c>
      <c r="K40" s="226">
        <v>0.8</v>
      </c>
      <c r="L40" s="226">
        <v>0.8</v>
      </c>
      <c r="M40" s="226">
        <v>0.7</v>
      </c>
      <c r="N40" s="226">
        <v>0.7</v>
      </c>
      <c r="O40" s="226">
        <v>0.6</v>
      </c>
      <c r="P40" s="226">
        <v>0.6</v>
      </c>
      <c r="Q40" s="226">
        <v>0.7</v>
      </c>
      <c r="R40" s="226">
        <v>0.8</v>
      </c>
      <c r="S40" s="226">
        <v>0.8</v>
      </c>
      <c r="T40" s="226">
        <v>0.8</v>
      </c>
      <c r="U40" s="226">
        <v>0.8</v>
      </c>
      <c r="V40" s="226">
        <v>0.8</v>
      </c>
      <c r="W40" s="225">
        <v>0.8</v>
      </c>
      <c r="X40" s="225">
        <v>0.8</v>
      </c>
      <c r="Y40" s="225">
        <v>0.8</v>
      </c>
      <c r="Z40" s="225">
        <v>0.8</v>
      </c>
      <c r="AA40" s="226">
        <v>0.8</v>
      </c>
      <c r="AB40" s="226">
        <v>0.6</v>
      </c>
      <c r="AC40" s="226">
        <v>0.8</v>
      </c>
      <c r="AD40" s="226">
        <v>0.8</v>
      </c>
      <c r="AE40" s="226">
        <v>0.1</v>
      </c>
      <c r="AF40" s="226">
        <v>0.1</v>
      </c>
      <c r="AG40" s="226">
        <v>0.1</v>
      </c>
      <c r="AH40" s="226">
        <v>0.1</v>
      </c>
      <c r="AI40" s="226">
        <v>0.8</v>
      </c>
      <c r="AJ40" s="226">
        <v>0.7</v>
      </c>
      <c r="AK40" s="226">
        <v>0.1</v>
      </c>
      <c r="AL40" s="226">
        <v>0.3</v>
      </c>
      <c r="AM40" s="226">
        <v>0.1</v>
      </c>
      <c r="AN40" s="226">
        <v>0.1</v>
      </c>
      <c r="AO40" s="226">
        <v>0.1</v>
      </c>
      <c r="AP40" s="226">
        <v>0.1</v>
      </c>
      <c r="AQ40" s="226">
        <v>0.1</v>
      </c>
      <c r="AR40" s="226">
        <v>0.1</v>
      </c>
      <c r="AS40" s="226">
        <v>0.1</v>
      </c>
      <c r="AT40" s="226">
        <v>0.7</v>
      </c>
      <c r="AU40" s="226">
        <v>0.3</v>
      </c>
      <c r="AV40" s="226">
        <v>0.3</v>
      </c>
      <c r="AW40" s="226">
        <v>0.3</v>
      </c>
      <c r="AX40" s="226">
        <v>0.8</v>
      </c>
      <c r="AY40" s="226">
        <v>0.8</v>
      </c>
      <c r="AZ40" s="226">
        <v>0.8</v>
      </c>
      <c r="BA40" s="226">
        <v>0.6</v>
      </c>
      <c r="BB40" s="226">
        <v>0.6</v>
      </c>
      <c r="BC40" s="226">
        <v>0.8</v>
      </c>
      <c r="BD40" s="226">
        <v>0.7</v>
      </c>
      <c r="BE40" s="226">
        <v>0.8</v>
      </c>
      <c r="BF40" s="226">
        <v>0.1</v>
      </c>
      <c r="BG40" s="226">
        <v>0.1</v>
      </c>
      <c r="BH40" s="226">
        <v>0.3</v>
      </c>
      <c r="BI40" s="226">
        <v>0.3</v>
      </c>
      <c r="BJ40" s="226">
        <v>0.3</v>
      </c>
      <c r="BK40" s="226">
        <v>0.3</v>
      </c>
      <c r="BL40" s="226">
        <v>0.3</v>
      </c>
      <c r="BM40" s="226">
        <v>0.3</v>
      </c>
      <c r="BN40" s="226">
        <v>0.7</v>
      </c>
      <c r="BO40" s="226">
        <v>0.7</v>
      </c>
      <c r="BP40" s="226">
        <v>0.8</v>
      </c>
      <c r="BQ40" s="226">
        <v>0.8</v>
      </c>
      <c r="BR40" s="226">
        <v>0.7</v>
      </c>
      <c r="BS40" s="226">
        <v>0.7</v>
      </c>
      <c r="BT40" s="226">
        <v>0.7</v>
      </c>
      <c r="BU40" s="226">
        <v>0.7</v>
      </c>
      <c r="BV40" s="226">
        <v>0.8</v>
      </c>
      <c r="BW40" s="226">
        <v>0.8</v>
      </c>
      <c r="BX40" s="226">
        <v>0.7</v>
      </c>
      <c r="BY40" s="226">
        <v>0.8</v>
      </c>
      <c r="BZ40" s="226">
        <v>0.8</v>
      </c>
      <c r="CA40" s="226">
        <v>0.8</v>
      </c>
      <c r="CB40" s="226">
        <v>0.8</v>
      </c>
      <c r="CC40" s="226">
        <v>0.8</v>
      </c>
      <c r="CD40" s="226">
        <v>0.8</v>
      </c>
      <c r="CE40" s="226">
        <v>0.8</v>
      </c>
      <c r="CF40" s="226">
        <v>0.8</v>
      </c>
      <c r="CG40" s="226">
        <v>0.8</v>
      </c>
      <c r="CH40" s="226">
        <v>0.8</v>
      </c>
      <c r="CI40" s="226">
        <v>0.8</v>
      </c>
      <c r="CJ40" s="226">
        <v>0.8</v>
      </c>
      <c r="CK40" s="226">
        <v>0.8</v>
      </c>
      <c r="CL40" s="226">
        <v>0.8</v>
      </c>
      <c r="CM40" s="226">
        <v>0.8</v>
      </c>
      <c r="CN40" s="226">
        <v>0.8</v>
      </c>
      <c r="CO40" s="226">
        <v>0.8</v>
      </c>
      <c r="CP40" s="226">
        <v>0.8</v>
      </c>
      <c r="CQ40" s="226">
        <v>0.8</v>
      </c>
      <c r="CR40" s="226">
        <v>0.8</v>
      </c>
      <c r="CS40" s="226">
        <v>0.8</v>
      </c>
      <c r="CT40" s="226">
        <v>0.8</v>
      </c>
      <c r="CU40" s="226">
        <v>0.8</v>
      </c>
      <c r="CV40" s="226">
        <v>0.8</v>
      </c>
      <c r="CW40" s="226">
        <v>0.8</v>
      </c>
      <c r="CX40" s="226">
        <v>0.8</v>
      </c>
      <c r="CY40" s="226">
        <v>0.8</v>
      </c>
      <c r="CZ40" s="226">
        <v>0.8</v>
      </c>
      <c r="DA40" s="226">
        <v>0.8</v>
      </c>
      <c r="DB40" s="226">
        <v>0.8</v>
      </c>
      <c r="DC40" s="226">
        <v>0.8</v>
      </c>
      <c r="DD40" s="226">
        <v>0.8</v>
      </c>
      <c r="DE40" s="226">
        <v>0.8</v>
      </c>
      <c r="DF40" s="226">
        <v>0.8</v>
      </c>
      <c r="DG40" s="226">
        <v>0.8</v>
      </c>
      <c r="DH40" s="226">
        <v>0.8</v>
      </c>
      <c r="DI40" s="226">
        <v>0.8</v>
      </c>
      <c r="DJ40" s="226">
        <v>0.8</v>
      </c>
      <c r="DK40" s="226">
        <v>0.8</v>
      </c>
      <c r="DL40" s="226">
        <v>0.1</v>
      </c>
      <c r="DM40" s="226">
        <v>0</v>
      </c>
      <c r="DN40" s="226">
        <v>0</v>
      </c>
      <c r="DO40" s="226">
        <v>0</v>
      </c>
      <c r="DP40" s="226">
        <v>0</v>
      </c>
      <c r="DQ40" s="226">
        <v>0</v>
      </c>
      <c r="DR40" s="226">
        <v>0</v>
      </c>
      <c r="DS40" s="226">
        <v>0</v>
      </c>
    </row>
    <row r="41" spans="1:123" x14ac:dyDescent="0.15">
      <c r="A41" s="156" t="s">
        <v>261</v>
      </c>
      <c r="B41">
        <v>0.8</v>
      </c>
      <c r="C41" s="226">
        <v>0.8</v>
      </c>
      <c r="D41" s="226">
        <v>0.8</v>
      </c>
      <c r="E41" s="226">
        <v>0.8</v>
      </c>
      <c r="F41" s="226">
        <v>0.8</v>
      </c>
      <c r="G41" s="226">
        <v>0.8</v>
      </c>
      <c r="H41" s="226">
        <v>0.8</v>
      </c>
      <c r="I41" s="226">
        <v>0.8</v>
      </c>
      <c r="J41" s="226">
        <v>0.8</v>
      </c>
      <c r="K41" s="226">
        <v>0.8</v>
      </c>
      <c r="L41" s="226">
        <v>0.8</v>
      </c>
      <c r="M41" s="226">
        <v>0.7</v>
      </c>
      <c r="N41" s="226">
        <v>0.7</v>
      </c>
      <c r="O41" s="226">
        <v>0.6</v>
      </c>
      <c r="P41" s="226">
        <v>0.6</v>
      </c>
      <c r="Q41" s="226">
        <v>0.7</v>
      </c>
      <c r="R41" s="226">
        <v>0.8</v>
      </c>
      <c r="S41" s="226">
        <v>0.8</v>
      </c>
      <c r="T41" s="226">
        <v>0.8</v>
      </c>
      <c r="U41" s="226">
        <v>0.8</v>
      </c>
      <c r="V41" s="226">
        <v>0.8</v>
      </c>
      <c r="W41" s="225">
        <v>0.8</v>
      </c>
      <c r="X41" s="225">
        <v>0.8</v>
      </c>
      <c r="Y41" s="225">
        <v>0.8</v>
      </c>
      <c r="Z41" s="225">
        <v>0.8</v>
      </c>
      <c r="AA41" s="226">
        <v>0.8</v>
      </c>
      <c r="AB41" s="226">
        <v>0.6</v>
      </c>
      <c r="AC41" s="226">
        <v>0.8</v>
      </c>
      <c r="AD41" s="226">
        <v>0.8</v>
      </c>
      <c r="AE41" s="226">
        <v>0.1</v>
      </c>
      <c r="AF41" s="226">
        <v>0.1</v>
      </c>
      <c r="AG41" s="226">
        <v>0.1</v>
      </c>
      <c r="AH41" s="226">
        <v>0.1</v>
      </c>
      <c r="AI41" s="226">
        <v>0.8</v>
      </c>
      <c r="AJ41" s="226">
        <v>0.7</v>
      </c>
      <c r="AK41" s="226">
        <v>0.1</v>
      </c>
      <c r="AL41" s="226">
        <v>0.3</v>
      </c>
      <c r="AM41" s="226">
        <v>0.1</v>
      </c>
      <c r="AN41" s="226">
        <v>0.1</v>
      </c>
      <c r="AO41" s="226">
        <v>0.1</v>
      </c>
      <c r="AP41" s="226">
        <v>0.1</v>
      </c>
      <c r="AQ41" s="226">
        <v>0.1</v>
      </c>
      <c r="AR41" s="226">
        <v>0.1</v>
      </c>
      <c r="AS41" s="226">
        <v>0.1</v>
      </c>
      <c r="AT41" s="226">
        <v>0.7</v>
      </c>
      <c r="AU41" s="226">
        <v>0.3</v>
      </c>
      <c r="AV41" s="226">
        <v>0.3</v>
      </c>
      <c r="AW41" s="226">
        <v>0.3</v>
      </c>
      <c r="AX41" s="226">
        <v>0.8</v>
      </c>
      <c r="AY41" s="226">
        <v>0.8</v>
      </c>
      <c r="AZ41" s="226">
        <v>0.8</v>
      </c>
      <c r="BA41" s="226">
        <v>0.6</v>
      </c>
      <c r="BB41" s="226">
        <v>0.6</v>
      </c>
      <c r="BC41" s="226">
        <v>0.8</v>
      </c>
      <c r="BD41" s="226">
        <v>0.7</v>
      </c>
      <c r="BE41" s="226">
        <v>0.8</v>
      </c>
      <c r="BF41" s="226">
        <v>0.1</v>
      </c>
      <c r="BG41" s="226">
        <v>0.1</v>
      </c>
      <c r="BH41" s="226">
        <v>0.3</v>
      </c>
      <c r="BI41" s="226">
        <v>0.3</v>
      </c>
      <c r="BJ41" s="226">
        <v>0.3</v>
      </c>
      <c r="BK41" s="226">
        <v>0.3</v>
      </c>
      <c r="BL41" s="226">
        <v>0.3</v>
      </c>
      <c r="BM41" s="226">
        <v>0.3</v>
      </c>
      <c r="BN41" s="226">
        <v>0.7</v>
      </c>
      <c r="BO41" s="226">
        <v>0.7</v>
      </c>
      <c r="BP41" s="226">
        <v>0.8</v>
      </c>
      <c r="BQ41" s="226">
        <v>0.8</v>
      </c>
      <c r="BR41" s="226">
        <v>0.7</v>
      </c>
      <c r="BS41" s="226">
        <v>0.7</v>
      </c>
      <c r="BT41" s="226">
        <v>0.7</v>
      </c>
      <c r="BU41" s="226">
        <v>0.7</v>
      </c>
      <c r="BV41" s="226">
        <v>0.8</v>
      </c>
      <c r="BW41" s="226">
        <v>0.8</v>
      </c>
      <c r="BX41" s="226">
        <v>0.7</v>
      </c>
      <c r="BY41" s="226">
        <v>0.8</v>
      </c>
      <c r="BZ41" s="226">
        <v>0.8</v>
      </c>
      <c r="CA41" s="226">
        <v>0.8</v>
      </c>
      <c r="CB41" s="226">
        <v>0.8</v>
      </c>
      <c r="CC41" s="226">
        <v>0.8</v>
      </c>
      <c r="CD41" s="226">
        <v>0.8</v>
      </c>
      <c r="CE41" s="226">
        <v>0.8</v>
      </c>
      <c r="CF41" s="226">
        <v>0.8</v>
      </c>
      <c r="CG41" s="226">
        <v>0.8</v>
      </c>
      <c r="CH41" s="226">
        <v>0.8</v>
      </c>
      <c r="CI41" s="226">
        <v>0.8</v>
      </c>
      <c r="CJ41" s="226">
        <v>0.8</v>
      </c>
      <c r="CK41" s="226">
        <v>0.8</v>
      </c>
      <c r="CL41" s="226">
        <v>0.8</v>
      </c>
      <c r="CM41" s="226">
        <v>0.8</v>
      </c>
      <c r="CN41" s="226">
        <v>0.8</v>
      </c>
      <c r="CO41" s="226">
        <v>0.8</v>
      </c>
      <c r="CP41" s="226">
        <v>0.8</v>
      </c>
      <c r="CQ41" s="226">
        <v>0.8</v>
      </c>
      <c r="CR41" s="226">
        <v>0.8</v>
      </c>
      <c r="CS41" s="226">
        <v>0.8</v>
      </c>
      <c r="CT41" s="226">
        <v>0.8</v>
      </c>
      <c r="CU41" s="226">
        <v>0.8</v>
      </c>
      <c r="CV41" s="226">
        <v>0.8</v>
      </c>
      <c r="CW41" s="226">
        <v>0.8</v>
      </c>
      <c r="CX41" s="226">
        <v>0.8</v>
      </c>
      <c r="CY41" s="226">
        <v>0.8</v>
      </c>
      <c r="CZ41" s="226">
        <v>0.8</v>
      </c>
      <c r="DA41" s="226">
        <v>0.8</v>
      </c>
      <c r="DB41" s="226">
        <v>0.8</v>
      </c>
      <c r="DC41" s="226">
        <v>0.8</v>
      </c>
      <c r="DD41" s="226">
        <v>0.8</v>
      </c>
      <c r="DE41" s="226">
        <v>0.8</v>
      </c>
      <c r="DF41" s="226">
        <v>0.8</v>
      </c>
      <c r="DG41" s="226">
        <v>0.8</v>
      </c>
      <c r="DH41" s="226">
        <v>0.8</v>
      </c>
      <c r="DI41" s="226">
        <v>0.8</v>
      </c>
      <c r="DJ41" s="226">
        <v>0.8</v>
      </c>
      <c r="DK41" s="226">
        <v>0.8</v>
      </c>
      <c r="DL41" s="226">
        <v>0.1</v>
      </c>
      <c r="DM41" s="226">
        <v>0</v>
      </c>
      <c r="DN41" s="226">
        <v>0</v>
      </c>
      <c r="DO41" s="226">
        <v>0</v>
      </c>
      <c r="DP41" s="226">
        <v>0</v>
      </c>
      <c r="DQ41" s="226">
        <v>0</v>
      </c>
      <c r="DR41" s="226">
        <v>0</v>
      </c>
      <c r="DS41" s="226">
        <v>0</v>
      </c>
    </row>
    <row r="42" spans="1:123" x14ac:dyDescent="0.15">
      <c r="A42" s="156" t="s">
        <v>262</v>
      </c>
      <c r="B42">
        <v>0.8</v>
      </c>
      <c r="C42" s="226">
        <v>0.8</v>
      </c>
      <c r="D42" s="226">
        <v>0.8</v>
      </c>
      <c r="E42" s="226">
        <v>0.8</v>
      </c>
      <c r="F42" s="226">
        <v>0.8</v>
      </c>
      <c r="G42" s="226">
        <v>0.8</v>
      </c>
      <c r="H42" s="226">
        <v>0.8</v>
      </c>
      <c r="I42" s="226">
        <v>0.8</v>
      </c>
      <c r="J42" s="226">
        <v>0.8</v>
      </c>
      <c r="K42" s="226">
        <v>0.8</v>
      </c>
      <c r="L42" s="226">
        <v>0.8</v>
      </c>
      <c r="M42" s="226">
        <v>0.7</v>
      </c>
      <c r="N42" s="226">
        <v>0.7</v>
      </c>
      <c r="O42" s="226">
        <v>0.6</v>
      </c>
      <c r="P42" s="226">
        <v>0.6</v>
      </c>
      <c r="Q42" s="226">
        <v>0.7</v>
      </c>
      <c r="R42" s="226">
        <v>0.8</v>
      </c>
      <c r="S42" s="226">
        <v>0.8</v>
      </c>
      <c r="T42" s="226">
        <v>0.8</v>
      </c>
      <c r="U42" s="226">
        <v>0.8</v>
      </c>
      <c r="V42" s="226">
        <v>0.8</v>
      </c>
      <c r="W42" s="225">
        <v>0.8</v>
      </c>
      <c r="X42" s="225">
        <v>0.8</v>
      </c>
      <c r="Y42" s="225">
        <v>0.8</v>
      </c>
      <c r="Z42" s="225">
        <v>0.8</v>
      </c>
      <c r="AA42" s="226">
        <v>0.8</v>
      </c>
      <c r="AB42" s="226">
        <v>0.6</v>
      </c>
      <c r="AC42" s="226">
        <v>0.8</v>
      </c>
      <c r="AD42" s="226">
        <v>0.8</v>
      </c>
      <c r="AE42" s="226">
        <v>0.1</v>
      </c>
      <c r="AF42" s="226">
        <v>0.1</v>
      </c>
      <c r="AG42" s="226">
        <v>0.1</v>
      </c>
      <c r="AH42" s="226">
        <v>0.1</v>
      </c>
      <c r="AI42" s="226">
        <v>0.8</v>
      </c>
      <c r="AJ42" s="226">
        <v>0.7</v>
      </c>
      <c r="AK42" s="226">
        <v>0.1</v>
      </c>
      <c r="AL42" s="226">
        <v>0.3</v>
      </c>
      <c r="AM42" s="226">
        <v>0.1</v>
      </c>
      <c r="AN42" s="226">
        <v>0.1</v>
      </c>
      <c r="AO42" s="226">
        <v>0.1</v>
      </c>
      <c r="AP42" s="226">
        <v>0.1</v>
      </c>
      <c r="AQ42" s="226">
        <v>0.1</v>
      </c>
      <c r="AR42" s="226">
        <v>0.1</v>
      </c>
      <c r="AS42" s="226">
        <v>0.1</v>
      </c>
      <c r="AT42" s="226">
        <v>0.7</v>
      </c>
      <c r="AU42" s="226">
        <v>0.3</v>
      </c>
      <c r="AV42" s="226">
        <v>0.3</v>
      </c>
      <c r="AW42" s="226">
        <v>0.3</v>
      </c>
      <c r="AX42" s="226">
        <v>0.8</v>
      </c>
      <c r="AY42" s="226">
        <v>0.8</v>
      </c>
      <c r="AZ42" s="226">
        <v>0.8</v>
      </c>
      <c r="BA42" s="226">
        <v>0.6</v>
      </c>
      <c r="BB42" s="226">
        <v>0.6</v>
      </c>
      <c r="BC42" s="226">
        <v>0.8</v>
      </c>
      <c r="BD42" s="226">
        <v>0.7</v>
      </c>
      <c r="BE42" s="226">
        <v>0.8</v>
      </c>
      <c r="BF42" s="226">
        <v>0.1</v>
      </c>
      <c r="BG42" s="226">
        <v>0.1</v>
      </c>
      <c r="BH42" s="226">
        <v>0.3</v>
      </c>
      <c r="BI42" s="226">
        <v>0.3</v>
      </c>
      <c r="BJ42" s="226">
        <v>0.3</v>
      </c>
      <c r="BK42" s="226">
        <v>0.3</v>
      </c>
      <c r="BL42" s="226">
        <v>0.3</v>
      </c>
      <c r="BM42" s="226">
        <v>0.3</v>
      </c>
      <c r="BN42" s="226">
        <v>0.7</v>
      </c>
      <c r="BO42" s="226">
        <v>0.7</v>
      </c>
      <c r="BP42" s="226">
        <v>0.8</v>
      </c>
      <c r="BQ42" s="226">
        <v>0.8</v>
      </c>
      <c r="BR42" s="226">
        <v>0.7</v>
      </c>
      <c r="BS42" s="226">
        <v>0.7</v>
      </c>
      <c r="BT42" s="226">
        <v>0.7</v>
      </c>
      <c r="BU42" s="226">
        <v>0.7</v>
      </c>
      <c r="BV42" s="226">
        <v>0.8</v>
      </c>
      <c r="BW42" s="226">
        <v>0.8</v>
      </c>
      <c r="BX42" s="226">
        <v>0.7</v>
      </c>
      <c r="BY42" s="226">
        <v>0.8</v>
      </c>
      <c r="BZ42" s="226">
        <v>0.8</v>
      </c>
      <c r="CA42" s="226">
        <v>0.8</v>
      </c>
      <c r="CB42" s="226">
        <v>0.8</v>
      </c>
      <c r="CC42" s="226">
        <v>0.8</v>
      </c>
      <c r="CD42" s="226">
        <v>0.8</v>
      </c>
      <c r="CE42" s="226">
        <v>0.8</v>
      </c>
      <c r="CF42" s="226">
        <v>0.8</v>
      </c>
      <c r="CG42" s="226">
        <v>0.8</v>
      </c>
      <c r="CH42" s="226">
        <v>0.8</v>
      </c>
      <c r="CI42" s="226">
        <v>0.8</v>
      </c>
      <c r="CJ42" s="226">
        <v>0.8</v>
      </c>
      <c r="CK42" s="226">
        <v>0.8</v>
      </c>
      <c r="CL42" s="226">
        <v>0.8</v>
      </c>
      <c r="CM42" s="226">
        <v>0.8</v>
      </c>
      <c r="CN42" s="226">
        <v>0.8</v>
      </c>
      <c r="CO42" s="226">
        <v>0.8</v>
      </c>
      <c r="CP42" s="226">
        <v>0.8</v>
      </c>
      <c r="CQ42" s="226">
        <v>0.8</v>
      </c>
      <c r="CR42" s="226">
        <v>0.8</v>
      </c>
      <c r="CS42" s="226">
        <v>0.8</v>
      </c>
      <c r="CT42" s="226">
        <v>0.8</v>
      </c>
      <c r="CU42" s="226">
        <v>0.8</v>
      </c>
      <c r="CV42" s="226">
        <v>0.8</v>
      </c>
      <c r="CW42" s="226">
        <v>0.8</v>
      </c>
      <c r="CX42" s="226">
        <v>0.8</v>
      </c>
      <c r="CY42" s="226">
        <v>0.8</v>
      </c>
      <c r="CZ42" s="226">
        <v>0.8</v>
      </c>
      <c r="DA42" s="226">
        <v>0.8</v>
      </c>
      <c r="DB42" s="226">
        <v>0.8</v>
      </c>
      <c r="DC42" s="226">
        <v>0.8</v>
      </c>
      <c r="DD42" s="226">
        <v>0.8</v>
      </c>
      <c r="DE42" s="226">
        <v>0.8</v>
      </c>
      <c r="DF42" s="226">
        <v>0.8</v>
      </c>
      <c r="DG42" s="226">
        <v>0.8</v>
      </c>
      <c r="DH42" s="226">
        <v>0.8</v>
      </c>
      <c r="DI42" s="226">
        <v>0.8</v>
      </c>
      <c r="DJ42" s="226">
        <v>0.8</v>
      </c>
      <c r="DK42" s="226">
        <v>0.8</v>
      </c>
      <c r="DL42" s="226">
        <v>0.1</v>
      </c>
      <c r="DM42" s="226">
        <v>0</v>
      </c>
      <c r="DN42" s="226">
        <v>0</v>
      </c>
      <c r="DO42" s="226">
        <v>0</v>
      </c>
      <c r="DP42" s="226">
        <v>0</v>
      </c>
      <c r="DQ42" s="226">
        <v>0</v>
      </c>
      <c r="DR42" s="226">
        <v>0</v>
      </c>
      <c r="DS42" s="226">
        <v>0</v>
      </c>
    </row>
    <row r="43" spans="1:123" x14ac:dyDescent="0.15">
      <c r="A43" s="156" t="s">
        <v>263</v>
      </c>
      <c r="B43">
        <v>0.8</v>
      </c>
      <c r="C43" s="226">
        <v>0.8</v>
      </c>
      <c r="D43" s="226">
        <v>0.8</v>
      </c>
      <c r="E43" s="226">
        <v>0.8</v>
      </c>
      <c r="F43" s="226">
        <v>0.8</v>
      </c>
      <c r="G43" s="226">
        <v>0.8</v>
      </c>
      <c r="H43" s="226">
        <v>0.8</v>
      </c>
      <c r="I43" s="226">
        <v>0.8</v>
      </c>
      <c r="J43" s="226">
        <v>0.8</v>
      </c>
      <c r="K43" s="226">
        <v>0.8</v>
      </c>
      <c r="L43" s="226">
        <v>0.8</v>
      </c>
      <c r="M43" s="226">
        <v>0.7</v>
      </c>
      <c r="N43" s="226">
        <v>0.7</v>
      </c>
      <c r="O43" s="226">
        <v>0.6</v>
      </c>
      <c r="P43" s="226">
        <v>0.6</v>
      </c>
      <c r="Q43" s="226">
        <v>0.7</v>
      </c>
      <c r="R43" s="226">
        <v>0.8</v>
      </c>
      <c r="S43" s="226">
        <v>0.8</v>
      </c>
      <c r="T43" s="226">
        <v>0.8</v>
      </c>
      <c r="U43" s="226">
        <v>0.8</v>
      </c>
      <c r="V43" s="226">
        <v>0.8</v>
      </c>
      <c r="W43" s="225">
        <v>0.8</v>
      </c>
      <c r="X43" s="225">
        <v>0.8</v>
      </c>
      <c r="Y43" s="225">
        <v>0.8</v>
      </c>
      <c r="Z43" s="225">
        <v>0.8</v>
      </c>
      <c r="AA43" s="226">
        <v>0.8</v>
      </c>
      <c r="AB43" s="226">
        <v>0.6</v>
      </c>
      <c r="AC43" s="226">
        <v>0.8</v>
      </c>
      <c r="AD43" s="226">
        <v>0.8</v>
      </c>
      <c r="AE43" s="226">
        <v>0.1</v>
      </c>
      <c r="AF43" s="226">
        <v>0.1</v>
      </c>
      <c r="AG43" s="226">
        <v>0.1</v>
      </c>
      <c r="AH43" s="226">
        <v>0.1</v>
      </c>
      <c r="AI43" s="226">
        <v>0.8</v>
      </c>
      <c r="AJ43" s="226">
        <v>0.7</v>
      </c>
      <c r="AK43" s="226">
        <v>0.1</v>
      </c>
      <c r="AL43" s="226">
        <v>0.3</v>
      </c>
      <c r="AM43" s="226">
        <v>0.1</v>
      </c>
      <c r="AN43" s="226">
        <v>0.1</v>
      </c>
      <c r="AO43" s="226">
        <v>0.1</v>
      </c>
      <c r="AP43" s="226">
        <v>0.1</v>
      </c>
      <c r="AQ43" s="226">
        <v>0.1</v>
      </c>
      <c r="AR43" s="226">
        <v>0.1</v>
      </c>
      <c r="AS43" s="226">
        <v>0.1</v>
      </c>
      <c r="AT43" s="226">
        <v>0.7</v>
      </c>
      <c r="AU43" s="226">
        <v>0.3</v>
      </c>
      <c r="AV43" s="226">
        <v>0.3</v>
      </c>
      <c r="AW43" s="226">
        <v>0.3</v>
      </c>
      <c r="AX43" s="226">
        <v>0.8</v>
      </c>
      <c r="AY43" s="226">
        <v>0.8</v>
      </c>
      <c r="AZ43" s="226">
        <v>0.8</v>
      </c>
      <c r="BA43" s="226">
        <v>0.6</v>
      </c>
      <c r="BB43" s="226">
        <v>0.6</v>
      </c>
      <c r="BC43" s="226">
        <v>0.8</v>
      </c>
      <c r="BD43" s="226">
        <v>0.7</v>
      </c>
      <c r="BE43" s="226">
        <v>0.8</v>
      </c>
      <c r="BF43" s="226">
        <v>0.1</v>
      </c>
      <c r="BG43" s="226">
        <v>0.1</v>
      </c>
      <c r="BH43" s="226">
        <v>0.3</v>
      </c>
      <c r="BI43" s="226">
        <v>0.3</v>
      </c>
      <c r="BJ43" s="226">
        <v>0.3</v>
      </c>
      <c r="BK43" s="226">
        <v>0.3</v>
      </c>
      <c r="BL43" s="226">
        <v>0.3</v>
      </c>
      <c r="BM43" s="226">
        <v>0.3</v>
      </c>
      <c r="BN43" s="226">
        <v>0.7</v>
      </c>
      <c r="BO43" s="226">
        <v>0.7</v>
      </c>
      <c r="BP43" s="226">
        <v>0.8</v>
      </c>
      <c r="BQ43" s="226">
        <v>0.8</v>
      </c>
      <c r="BR43" s="226">
        <v>0.7</v>
      </c>
      <c r="BS43" s="226">
        <v>0.7</v>
      </c>
      <c r="BT43" s="226">
        <v>0.7</v>
      </c>
      <c r="BU43" s="226">
        <v>0.7</v>
      </c>
      <c r="BV43" s="226">
        <v>0.8</v>
      </c>
      <c r="BW43" s="226">
        <v>0.8</v>
      </c>
      <c r="BX43" s="226">
        <v>0.7</v>
      </c>
      <c r="BY43" s="226">
        <v>0.8</v>
      </c>
      <c r="BZ43" s="226">
        <v>0.8</v>
      </c>
      <c r="CA43" s="226">
        <v>0.8</v>
      </c>
      <c r="CB43" s="226">
        <v>0.8</v>
      </c>
      <c r="CC43" s="226">
        <v>0.8</v>
      </c>
      <c r="CD43" s="226">
        <v>0.8</v>
      </c>
      <c r="CE43" s="226">
        <v>0.8</v>
      </c>
      <c r="CF43" s="226">
        <v>0.8</v>
      </c>
      <c r="CG43" s="226">
        <v>0.8</v>
      </c>
      <c r="CH43" s="226">
        <v>0.8</v>
      </c>
      <c r="CI43" s="226">
        <v>0.8</v>
      </c>
      <c r="CJ43" s="226">
        <v>0.8</v>
      </c>
      <c r="CK43" s="226">
        <v>0.8</v>
      </c>
      <c r="CL43" s="226">
        <v>0.8</v>
      </c>
      <c r="CM43" s="226">
        <v>0.8</v>
      </c>
      <c r="CN43" s="226">
        <v>0.8</v>
      </c>
      <c r="CO43" s="226">
        <v>0.8</v>
      </c>
      <c r="CP43" s="226">
        <v>0.8</v>
      </c>
      <c r="CQ43" s="226">
        <v>0.8</v>
      </c>
      <c r="CR43" s="226">
        <v>0.8</v>
      </c>
      <c r="CS43" s="226">
        <v>0.8</v>
      </c>
      <c r="CT43" s="226">
        <v>0.8</v>
      </c>
      <c r="CU43" s="226">
        <v>0.8</v>
      </c>
      <c r="CV43" s="226">
        <v>0.8</v>
      </c>
      <c r="CW43" s="226">
        <v>0.8</v>
      </c>
      <c r="CX43" s="226">
        <v>0.8</v>
      </c>
      <c r="CY43" s="226">
        <v>0.8</v>
      </c>
      <c r="CZ43" s="226">
        <v>0.8</v>
      </c>
      <c r="DA43" s="226">
        <v>0.8</v>
      </c>
      <c r="DB43" s="226">
        <v>0.8</v>
      </c>
      <c r="DC43" s="226">
        <v>0.8</v>
      </c>
      <c r="DD43" s="226">
        <v>0.8</v>
      </c>
      <c r="DE43" s="226">
        <v>0.8</v>
      </c>
      <c r="DF43" s="226">
        <v>0.8</v>
      </c>
      <c r="DG43" s="226">
        <v>0.8</v>
      </c>
      <c r="DH43" s="226">
        <v>0.8</v>
      </c>
      <c r="DI43" s="226">
        <v>0.8</v>
      </c>
      <c r="DJ43" s="226">
        <v>0.8</v>
      </c>
      <c r="DK43" s="226">
        <v>0.8</v>
      </c>
      <c r="DL43" s="226">
        <v>0.1</v>
      </c>
      <c r="DM43" s="226">
        <v>0</v>
      </c>
      <c r="DN43" s="226">
        <v>0</v>
      </c>
      <c r="DO43" s="226">
        <v>0</v>
      </c>
      <c r="DP43" s="226">
        <v>0</v>
      </c>
      <c r="DQ43" s="226">
        <v>0</v>
      </c>
      <c r="DR43" s="226">
        <v>0</v>
      </c>
      <c r="DS43" s="226">
        <v>0</v>
      </c>
    </row>
    <row r="44" spans="1:123" x14ac:dyDescent="0.15">
      <c r="A44" s="156" t="s">
        <v>264</v>
      </c>
      <c r="B44">
        <v>0.8</v>
      </c>
      <c r="C44" s="226">
        <v>0.8</v>
      </c>
      <c r="D44" s="226">
        <v>0.8</v>
      </c>
      <c r="E44" s="226">
        <v>0.8</v>
      </c>
      <c r="F44" s="226">
        <v>0.8</v>
      </c>
      <c r="G44" s="226">
        <v>0.8</v>
      </c>
      <c r="H44" s="226">
        <v>0.8</v>
      </c>
      <c r="I44" s="226">
        <v>0.8</v>
      </c>
      <c r="J44" s="226">
        <v>0.8</v>
      </c>
      <c r="K44" s="226">
        <v>0.8</v>
      </c>
      <c r="L44" s="226">
        <v>0.8</v>
      </c>
      <c r="M44" s="226">
        <v>0.7</v>
      </c>
      <c r="N44" s="226">
        <v>0.7</v>
      </c>
      <c r="O44" s="226">
        <v>0.6</v>
      </c>
      <c r="P44" s="226">
        <v>0.6</v>
      </c>
      <c r="Q44" s="226">
        <v>0.7</v>
      </c>
      <c r="R44" s="226">
        <v>0.8</v>
      </c>
      <c r="S44" s="226">
        <v>0.8</v>
      </c>
      <c r="T44" s="226">
        <v>0.8</v>
      </c>
      <c r="U44" s="226">
        <v>0.8</v>
      </c>
      <c r="V44" s="226">
        <v>0.8</v>
      </c>
      <c r="W44" s="225">
        <v>0.8</v>
      </c>
      <c r="X44" s="225">
        <v>0.8</v>
      </c>
      <c r="Y44" s="225">
        <v>0.8</v>
      </c>
      <c r="Z44" s="225">
        <v>0.8</v>
      </c>
      <c r="AA44" s="226">
        <v>0.8</v>
      </c>
      <c r="AB44" s="226">
        <v>0.6</v>
      </c>
      <c r="AC44" s="226">
        <v>0.8</v>
      </c>
      <c r="AD44" s="226">
        <v>0.8</v>
      </c>
      <c r="AE44" s="226">
        <v>0.1</v>
      </c>
      <c r="AF44" s="226">
        <v>0.1</v>
      </c>
      <c r="AG44" s="226">
        <v>0.1</v>
      </c>
      <c r="AH44" s="226">
        <v>0.1</v>
      </c>
      <c r="AI44" s="226">
        <v>0.8</v>
      </c>
      <c r="AJ44" s="226">
        <v>0.7</v>
      </c>
      <c r="AK44" s="226">
        <v>0.1</v>
      </c>
      <c r="AL44" s="226">
        <v>0.3</v>
      </c>
      <c r="AM44" s="226">
        <v>0.1</v>
      </c>
      <c r="AN44" s="226">
        <v>0.1</v>
      </c>
      <c r="AO44" s="226">
        <v>0.1</v>
      </c>
      <c r="AP44" s="226">
        <v>0.1</v>
      </c>
      <c r="AQ44" s="226">
        <v>0.1</v>
      </c>
      <c r="AR44" s="226">
        <v>0.1</v>
      </c>
      <c r="AS44" s="226">
        <v>0.1</v>
      </c>
      <c r="AT44" s="226">
        <v>0.7</v>
      </c>
      <c r="AU44" s="226">
        <v>0.3</v>
      </c>
      <c r="AV44" s="226">
        <v>0.3</v>
      </c>
      <c r="AW44" s="226">
        <v>0.3</v>
      </c>
      <c r="AX44" s="226">
        <v>0.8</v>
      </c>
      <c r="AY44" s="226">
        <v>0.8</v>
      </c>
      <c r="AZ44" s="226">
        <v>0.8</v>
      </c>
      <c r="BA44" s="226">
        <v>0.6</v>
      </c>
      <c r="BB44" s="226">
        <v>0.6</v>
      </c>
      <c r="BC44" s="226">
        <v>0.8</v>
      </c>
      <c r="BD44" s="226">
        <v>0.7</v>
      </c>
      <c r="BE44" s="226">
        <v>0.8</v>
      </c>
      <c r="BF44" s="226">
        <v>0.1</v>
      </c>
      <c r="BG44" s="226">
        <v>0.1</v>
      </c>
      <c r="BH44" s="226">
        <v>0.3</v>
      </c>
      <c r="BI44" s="226">
        <v>0.3</v>
      </c>
      <c r="BJ44" s="226">
        <v>0.3</v>
      </c>
      <c r="BK44" s="226">
        <v>0.3</v>
      </c>
      <c r="BL44" s="226">
        <v>0.3</v>
      </c>
      <c r="BM44" s="226">
        <v>0.3</v>
      </c>
      <c r="BN44" s="226">
        <v>0.7</v>
      </c>
      <c r="BO44" s="226">
        <v>0.7</v>
      </c>
      <c r="BP44" s="226">
        <v>0.8</v>
      </c>
      <c r="BQ44" s="226">
        <v>0.8</v>
      </c>
      <c r="BR44" s="226">
        <v>0.7</v>
      </c>
      <c r="BS44" s="226">
        <v>0.7</v>
      </c>
      <c r="BT44" s="226">
        <v>0.7</v>
      </c>
      <c r="BU44" s="226">
        <v>0.7</v>
      </c>
      <c r="BV44" s="226">
        <v>0.8</v>
      </c>
      <c r="BW44" s="226">
        <v>0.8</v>
      </c>
      <c r="BX44" s="226">
        <v>0.7</v>
      </c>
      <c r="BY44" s="226">
        <v>0.8</v>
      </c>
      <c r="BZ44" s="226">
        <v>0.8</v>
      </c>
      <c r="CA44" s="226">
        <v>0.8</v>
      </c>
      <c r="CB44" s="226">
        <v>0.8</v>
      </c>
      <c r="CC44" s="226">
        <v>0.8</v>
      </c>
      <c r="CD44" s="226">
        <v>0.8</v>
      </c>
      <c r="CE44" s="226">
        <v>0.8</v>
      </c>
      <c r="CF44" s="226">
        <v>0.8</v>
      </c>
      <c r="CG44" s="226">
        <v>0.8</v>
      </c>
      <c r="CH44" s="226">
        <v>0.8</v>
      </c>
      <c r="CI44" s="226">
        <v>0.8</v>
      </c>
      <c r="CJ44" s="226">
        <v>0.8</v>
      </c>
      <c r="CK44" s="226">
        <v>0.8</v>
      </c>
      <c r="CL44" s="226">
        <v>0.8</v>
      </c>
      <c r="CM44" s="226">
        <v>0.8</v>
      </c>
      <c r="CN44" s="226">
        <v>0.8</v>
      </c>
      <c r="CO44" s="226">
        <v>0.8</v>
      </c>
      <c r="CP44" s="226">
        <v>0.8</v>
      </c>
      <c r="CQ44" s="226">
        <v>0.8</v>
      </c>
      <c r="CR44" s="226">
        <v>0.8</v>
      </c>
      <c r="CS44" s="226">
        <v>0.8</v>
      </c>
      <c r="CT44" s="226">
        <v>0.8</v>
      </c>
      <c r="CU44" s="226">
        <v>0.8</v>
      </c>
      <c r="CV44" s="226">
        <v>0.8</v>
      </c>
      <c r="CW44" s="226">
        <v>0.8</v>
      </c>
      <c r="CX44" s="226">
        <v>0.8</v>
      </c>
      <c r="CY44" s="226">
        <v>0.8</v>
      </c>
      <c r="CZ44" s="226">
        <v>0.8</v>
      </c>
      <c r="DA44" s="226">
        <v>0.8</v>
      </c>
      <c r="DB44" s="226">
        <v>0.8</v>
      </c>
      <c r="DC44" s="226">
        <v>0.8</v>
      </c>
      <c r="DD44" s="226">
        <v>0.8</v>
      </c>
      <c r="DE44" s="226">
        <v>0.8</v>
      </c>
      <c r="DF44" s="226">
        <v>0.8</v>
      </c>
      <c r="DG44" s="226">
        <v>0.8</v>
      </c>
      <c r="DH44" s="226">
        <v>0.8</v>
      </c>
      <c r="DI44" s="226">
        <v>0.8</v>
      </c>
      <c r="DJ44" s="226">
        <v>0.8</v>
      </c>
      <c r="DK44" s="226">
        <v>0.8</v>
      </c>
      <c r="DL44" s="226">
        <v>0.1</v>
      </c>
      <c r="DM44" s="226">
        <v>0</v>
      </c>
      <c r="DN44" s="226">
        <v>0</v>
      </c>
      <c r="DO44" s="226">
        <v>0</v>
      </c>
      <c r="DP44" s="226">
        <v>0</v>
      </c>
      <c r="DQ44" s="226">
        <v>0</v>
      </c>
      <c r="DR44" s="226">
        <v>0</v>
      </c>
      <c r="DS44" s="226">
        <v>0</v>
      </c>
    </row>
    <row r="45" spans="1:123" x14ac:dyDescent="0.15">
      <c r="A45" s="156" t="s">
        <v>265</v>
      </c>
      <c r="B45">
        <v>0.8</v>
      </c>
      <c r="C45" s="226">
        <v>0.8</v>
      </c>
      <c r="D45" s="226">
        <v>0.8</v>
      </c>
      <c r="E45" s="226">
        <v>0.8</v>
      </c>
      <c r="F45" s="226">
        <v>0.8</v>
      </c>
      <c r="G45" s="226">
        <v>0.8</v>
      </c>
      <c r="H45" s="226">
        <v>0.8</v>
      </c>
      <c r="I45" s="226">
        <v>0.8</v>
      </c>
      <c r="J45" s="226">
        <v>0.8</v>
      </c>
      <c r="K45" s="226">
        <v>0.8</v>
      </c>
      <c r="L45" s="226">
        <v>0.8</v>
      </c>
      <c r="M45" s="226">
        <v>0.7</v>
      </c>
      <c r="N45" s="226">
        <v>0.7</v>
      </c>
      <c r="O45" s="226">
        <v>0.6</v>
      </c>
      <c r="P45" s="226">
        <v>0.6</v>
      </c>
      <c r="Q45" s="226">
        <v>0.7</v>
      </c>
      <c r="R45" s="226">
        <v>0.8</v>
      </c>
      <c r="S45" s="226">
        <v>0.8</v>
      </c>
      <c r="T45" s="226">
        <v>0.8</v>
      </c>
      <c r="U45" s="226">
        <v>0.8</v>
      </c>
      <c r="V45" s="226">
        <v>0.8</v>
      </c>
      <c r="W45" s="225">
        <v>0.8</v>
      </c>
      <c r="X45" s="225">
        <v>0.8</v>
      </c>
      <c r="Y45" s="225">
        <v>0.8</v>
      </c>
      <c r="Z45" s="225">
        <v>0.8</v>
      </c>
      <c r="AA45" s="226">
        <v>0.8</v>
      </c>
      <c r="AB45" s="226">
        <v>0.6</v>
      </c>
      <c r="AC45" s="226">
        <v>0.8</v>
      </c>
      <c r="AD45" s="226">
        <v>0.8</v>
      </c>
      <c r="AE45" s="226">
        <v>0.1</v>
      </c>
      <c r="AF45" s="226">
        <v>0.1</v>
      </c>
      <c r="AG45" s="226">
        <v>0.1</v>
      </c>
      <c r="AH45" s="226">
        <v>0.1</v>
      </c>
      <c r="AI45" s="226">
        <v>0.8</v>
      </c>
      <c r="AJ45" s="226">
        <v>0.7</v>
      </c>
      <c r="AK45" s="226">
        <v>0.1</v>
      </c>
      <c r="AL45" s="226">
        <v>0.3</v>
      </c>
      <c r="AM45" s="226">
        <v>0.1</v>
      </c>
      <c r="AN45" s="226">
        <v>0.1</v>
      </c>
      <c r="AO45" s="226">
        <v>0.1</v>
      </c>
      <c r="AP45" s="226">
        <v>0.1</v>
      </c>
      <c r="AQ45" s="226">
        <v>0.1</v>
      </c>
      <c r="AR45" s="226">
        <v>0.1</v>
      </c>
      <c r="AS45" s="226">
        <v>0.1</v>
      </c>
      <c r="AT45" s="226">
        <v>0.7</v>
      </c>
      <c r="AU45" s="226">
        <v>0.3</v>
      </c>
      <c r="AV45" s="226">
        <v>0.3</v>
      </c>
      <c r="AW45" s="226">
        <v>0.3</v>
      </c>
      <c r="AX45" s="226">
        <v>0.8</v>
      </c>
      <c r="AY45" s="226">
        <v>0.8</v>
      </c>
      <c r="AZ45" s="226">
        <v>0.8</v>
      </c>
      <c r="BA45" s="226">
        <v>0.6</v>
      </c>
      <c r="BB45" s="226">
        <v>0.6</v>
      </c>
      <c r="BC45" s="226">
        <v>0.8</v>
      </c>
      <c r="BD45" s="226">
        <v>0.7</v>
      </c>
      <c r="BE45" s="226">
        <v>0.8</v>
      </c>
      <c r="BF45" s="226">
        <v>0.1</v>
      </c>
      <c r="BG45" s="226">
        <v>0.1</v>
      </c>
      <c r="BH45" s="226">
        <v>0.3</v>
      </c>
      <c r="BI45" s="226">
        <v>0.3</v>
      </c>
      <c r="BJ45" s="226">
        <v>0.3</v>
      </c>
      <c r="BK45" s="226">
        <v>0.3</v>
      </c>
      <c r="BL45" s="226">
        <v>0.3</v>
      </c>
      <c r="BM45" s="226">
        <v>0.3</v>
      </c>
      <c r="BN45" s="226">
        <v>0.7</v>
      </c>
      <c r="BO45" s="226">
        <v>0.7</v>
      </c>
      <c r="BP45" s="226">
        <v>0.8</v>
      </c>
      <c r="BQ45" s="226">
        <v>0.8</v>
      </c>
      <c r="BR45" s="226">
        <v>0.7</v>
      </c>
      <c r="BS45" s="226">
        <v>0.7</v>
      </c>
      <c r="BT45" s="226">
        <v>0.7</v>
      </c>
      <c r="BU45" s="226">
        <v>0.7</v>
      </c>
      <c r="BV45" s="226">
        <v>0.8</v>
      </c>
      <c r="BW45" s="226">
        <v>0.8</v>
      </c>
      <c r="BX45" s="226">
        <v>0.7</v>
      </c>
      <c r="BY45" s="226">
        <v>0.8</v>
      </c>
      <c r="BZ45" s="226">
        <v>0.8</v>
      </c>
      <c r="CA45" s="226">
        <v>0.8</v>
      </c>
      <c r="CB45" s="226">
        <v>0.8</v>
      </c>
      <c r="CC45" s="226">
        <v>0.8</v>
      </c>
      <c r="CD45" s="226">
        <v>0.8</v>
      </c>
      <c r="CE45" s="226">
        <v>0.8</v>
      </c>
      <c r="CF45" s="226">
        <v>0.8</v>
      </c>
      <c r="CG45" s="226">
        <v>0.8</v>
      </c>
      <c r="CH45" s="226">
        <v>0.8</v>
      </c>
      <c r="CI45" s="226">
        <v>0.8</v>
      </c>
      <c r="CJ45" s="226">
        <v>0.8</v>
      </c>
      <c r="CK45" s="226">
        <v>0.8</v>
      </c>
      <c r="CL45" s="226">
        <v>0.8</v>
      </c>
      <c r="CM45" s="226">
        <v>0.8</v>
      </c>
      <c r="CN45" s="226">
        <v>0.8</v>
      </c>
      <c r="CO45" s="226">
        <v>0.8</v>
      </c>
      <c r="CP45" s="226">
        <v>0.8</v>
      </c>
      <c r="CQ45" s="226">
        <v>0.8</v>
      </c>
      <c r="CR45" s="226">
        <v>0.8</v>
      </c>
      <c r="CS45" s="226">
        <v>0.8</v>
      </c>
      <c r="CT45" s="226">
        <v>0.8</v>
      </c>
      <c r="CU45" s="226">
        <v>0.8</v>
      </c>
      <c r="CV45" s="226">
        <v>0.8</v>
      </c>
      <c r="CW45" s="226">
        <v>0.8</v>
      </c>
      <c r="CX45" s="226">
        <v>0.8</v>
      </c>
      <c r="CY45" s="226">
        <v>0.8</v>
      </c>
      <c r="CZ45" s="226">
        <v>0.8</v>
      </c>
      <c r="DA45" s="226">
        <v>0.8</v>
      </c>
      <c r="DB45" s="226">
        <v>0.8</v>
      </c>
      <c r="DC45" s="226">
        <v>0.8</v>
      </c>
      <c r="DD45" s="226">
        <v>0.8</v>
      </c>
      <c r="DE45" s="226">
        <v>0.8</v>
      </c>
      <c r="DF45" s="226">
        <v>0.8</v>
      </c>
      <c r="DG45" s="226">
        <v>0.8</v>
      </c>
      <c r="DH45" s="226">
        <v>0.8</v>
      </c>
      <c r="DI45" s="226">
        <v>0.8</v>
      </c>
      <c r="DJ45" s="226">
        <v>0.8</v>
      </c>
      <c r="DK45" s="226">
        <v>0.8</v>
      </c>
      <c r="DL45" s="226">
        <v>0.1</v>
      </c>
      <c r="DM45" s="226">
        <v>0</v>
      </c>
      <c r="DN45" s="226">
        <v>0</v>
      </c>
      <c r="DO45" s="226">
        <v>0</v>
      </c>
      <c r="DP45" s="226">
        <v>0</v>
      </c>
      <c r="DQ45" s="226">
        <v>0</v>
      </c>
      <c r="DR45" s="226">
        <v>0</v>
      </c>
      <c r="DS45" s="226">
        <v>0</v>
      </c>
    </row>
    <row r="46" spans="1:123" x14ac:dyDescent="0.15">
      <c r="A46" s="156" t="s">
        <v>266</v>
      </c>
      <c r="B46">
        <v>0.8</v>
      </c>
      <c r="C46" s="226">
        <v>0.8</v>
      </c>
      <c r="D46" s="226">
        <v>0.8</v>
      </c>
      <c r="E46" s="226">
        <v>0.8</v>
      </c>
      <c r="F46" s="226">
        <v>0.8</v>
      </c>
      <c r="G46" s="226">
        <v>0.8</v>
      </c>
      <c r="H46" s="226">
        <v>0.8</v>
      </c>
      <c r="I46" s="226">
        <v>0.8</v>
      </c>
      <c r="J46" s="226">
        <v>0.8</v>
      </c>
      <c r="K46" s="226">
        <v>0.8</v>
      </c>
      <c r="L46" s="226">
        <v>0.8</v>
      </c>
      <c r="M46" s="226">
        <v>0.7</v>
      </c>
      <c r="N46" s="226">
        <v>0.7</v>
      </c>
      <c r="O46" s="226">
        <v>0.6</v>
      </c>
      <c r="P46" s="226">
        <v>0.6</v>
      </c>
      <c r="Q46" s="226">
        <v>0.7</v>
      </c>
      <c r="R46" s="226">
        <v>0.8</v>
      </c>
      <c r="S46" s="226">
        <v>0.8</v>
      </c>
      <c r="T46" s="226">
        <v>0.8</v>
      </c>
      <c r="U46" s="226">
        <v>0.8</v>
      </c>
      <c r="V46" s="226">
        <v>0.8</v>
      </c>
      <c r="W46" s="225">
        <v>0.8</v>
      </c>
      <c r="X46" s="225">
        <v>0.8</v>
      </c>
      <c r="Y46" s="225">
        <v>0.8</v>
      </c>
      <c r="Z46" s="225">
        <v>0.8</v>
      </c>
      <c r="AA46" s="226">
        <v>0.8</v>
      </c>
      <c r="AB46" s="226">
        <v>0.6</v>
      </c>
      <c r="AC46" s="226">
        <v>0.8</v>
      </c>
      <c r="AD46" s="226">
        <v>0.8</v>
      </c>
      <c r="AE46" s="226">
        <v>0.1</v>
      </c>
      <c r="AF46" s="226">
        <v>0.1</v>
      </c>
      <c r="AG46" s="226">
        <v>0.1</v>
      </c>
      <c r="AH46" s="226">
        <v>0.1</v>
      </c>
      <c r="AI46" s="226">
        <v>0.8</v>
      </c>
      <c r="AJ46" s="226">
        <v>0.7</v>
      </c>
      <c r="AK46" s="226">
        <v>0.1</v>
      </c>
      <c r="AL46" s="226">
        <v>0.3</v>
      </c>
      <c r="AM46" s="226">
        <v>0.1</v>
      </c>
      <c r="AN46" s="226">
        <v>0.1</v>
      </c>
      <c r="AO46" s="226">
        <v>0.1</v>
      </c>
      <c r="AP46" s="226">
        <v>0.1</v>
      </c>
      <c r="AQ46" s="226">
        <v>0.1</v>
      </c>
      <c r="AR46" s="226">
        <v>0.1</v>
      </c>
      <c r="AS46" s="226">
        <v>0.1</v>
      </c>
      <c r="AT46" s="226">
        <v>0.7</v>
      </c>
      <c r="AU46" s="226">
        <v>0.3</v>
      </c>
      <c r="AV46" s="226">
        <v>0.3</v>
      </c>
      <c r="AW46" s="226">
        <v>0.3</v>
      </c>
      <c r="AX46" s="226">
        <v>0.8</v>
      </c>
      <c r="AY46" s="226">
        <v>0.8</v>
      </c>
      <c r="AZ46" s="226">
        <v>0.8</v>
      </c>
      <c r="BA46" s="226">
        <v>0.6</v>
      </c>
      <c r="BB46" s="226">
        <v>0.6</v>
      </c>
      <c r="BC46" s="226">
        <v>0.8</v>
      </c>
      <c r="BD46" s="226">
        <v>0.7</v>
      </c>
      <c r="BE46" s="226">
        <v>0.8</v>
      </c>
      <c r="BF46" s="226">
        <v>0.1</v>
      </c>
      <c r="BG46" s="226">
        <v>0.1</v>
      </c>
      <c r="BH46" s="226">
        <v>0.3</v>
      </c>
      <c r="BI46" s="226">
        <v>0.3</v>
      </c>
      <c r="BJ46" s="226">
        <v>0.3</v>
      </c>
      <c r="BK46" s="226">
        <v>0.3</v>
      </c>
      <c r="BL46" s="226">
        <v>0.3</v>
      </c>
      <c r="BM46" s="226">
        <v>0.3</v>
      </c>
      <c r="BN46" s="226">
        <v>0.7</v>
      </c>
      <c r="BO46" s="226">
        <v>0.7</v>
      </c>
      <c r="BP46" s="226">
        <v>0.8</v>
      </c>
      <c r="BQ46" s="226">
        <v>0.8</v>
      </c>
      <c r="BR46" s="226">
        <v>0.7</v>
      </c>
      <c r="BS46" s="226">
        <v>0.7</v>
      </c>
      <c r="BT46" s="226">
        <v>0.7</v>
      </c>
      <c r="BU46" s="226">
        <v>0.7</v>
      </c>
      <c r="BV46" s="226">
        <v>0.8</v>
      </c>
      <c r="BW46" s="226">
        <v>0.8</v>
      </c>
      <c r="BX46" s="226">
        <v>0.7</v>
      </c>
      <c r="BY46" s="226">
        <v>0.8</v>
      </c>
      <c r="BZ46" s="226">
        <v>0.8</v>
      </c>
      <c r="CA46" s="226">
        <v>0.8</v>
      </c>
      <c r="CB46" s="226">
        <v>0.8</v>
      </c>
      <c r="CC46" s="226">
        <v>0.8</v>
      </c>
      <c r="CD46" s="226">
        <v>0.8</v>
      </c>
      <c r="CE46" s="226">
        <v>0.8</v>
      </c>
      <c r="CF46" s="226">
        <v>0.8</v>
      </c>
      <c r="CG46" s="226">
        <v>0.8</v>
      </c>
      <c r="CH46" s="226">
        <v>0.8</v>
      </c>
      <c r="CI46" s="226">
        <v>0.8</v>
      </c>
      <c r="CJ46" s="226">
        <v>0.8</v>
      </c>
      <c r="CK46" s="226">
        <v>0.8</v>
      </c>
      <c r="CL46" s="226">
        <v>0.8</v>
      </c>
      <c r="CM46" s="226">
        <v>0.8</v>
      </c>
      <c r="CN46" s="226">
        <v>0.8</v>
      </c>
      <c r="CO46" s="226">
        <v>0.8</v>
      </c>
      <c r="CP46" s="226">
        <v>0.8</v>
      </c>
      <c r="CQ46" s="226">
        <v>0.8</v>
      </c>
      <c r="CR46" s="226">
        <v>0.8</v>
      </c>
      <c r="CS46" s="226">
        <v>0.8</v>
      </c>
      <c r="CT46" s="226">
        <v>0.8</v>
      </c>
      <c r="CU46" s="226">
        <v>0.8</v>
      </c>
      <c r="CV46" s="226">
        <v>0.8</v>
      </c>
      <c r="CW46" s="226">
        <v>0.8</v>
      </c>
      <c r="CX46" s="226">
        <v>0.8</v>
      </c>
      <c r="CY46" s="226">
        <v>0.8</v>
      </c>
      <c r="CZ46" s="226">
        <v>0.8</v>
      </c>
      <c r="DA46" s="226">
        <v>0.8</v>
      </c>
      <c r="DB46" s="226">
        <v>0.8</v>
      </c>
      <c r="DC46" s="226">
        <v>0.8</v>
      </c>
      <c r="DD46" s="226">
        <v>0.8</v>
      </c>
      <c r="DE46" s="226">
        <v>0.8</v>
      </c>
      <c r="DF46" s="226">
        <v>0.8</v>
      </c>
      <c r="DG46" s="226">
        <v>0.8</v>
      </c>
      <c r="DH46" s="226">
        <v>0.8</v>
      </c>
      <c r="DI46" s="226">
        <v>0.8</v>
      </c>
      <c r="DJ46" s="226">
        <v>0.8</v>
      </c>
      <c r="DK46" s="226">
        <v>0.8</v>
      </c>
      <c r="DL46" s="226">
        <v>0.1</v>
      </c>
      <c r="DM46" s="226">
        <v>0</v>
      </c>
      <c r="DN46" s="226">
        <v>0</v>
      </c>
      <c r="DO46" s="226">
        <v>0</v>
      </c>
      <c r="DP46" s="226">
        <v>0</v>
      </c>
      <c r="DQ46" s="226">
        <v>0</v>
      </c>
      <c r="DR46" s="226">
        <v>0</v>
      </c>
      <c r="DS46" s="226">
        <v>0</v>
      </c>
    </row>
    <row r="47" spans="1:123" x14ac:dyDescent="0.15">
      <c r="A47" s="156" t="s">
        <v>267</v>
      </c>
      <c r="B47">
        <v>0.8</v>
      </c>
      <c r="C47" s="226">
        <v>0.8</v>
      </c>
      <c r="D47" s="226">
        <v>0.8</v>
      </c>
      <c r="E47" s="226">
        <v>0.8</v>
      </c>
      <c r="F47" s="226">
        <v>0.8</v>
      </c>
      <c r="G47" s="226">
        <v>0.8</v>
      </c>
      <c r="H47" s="226">
        <v>0.8</v>
      </c>
      <c r="I47" s="226">
        <v>0.8</v>
      </c>
      <c r="J47" s="226">
        <v>0.8</v>
      </c>
      <c r="K47" s="226">
        <v>0.8</v>
      </c>
      <c r="L47" s="226">
        <v>0.8</v>
      </c>
      <c r="M47" s="226">
        <v>0.7</v>
      </c>
      <c r="N47" s="226">
        <v>0.7</v>
      </c>
      <c r="O47" s="226">
        <v>0.6</v>
      </c>
      <c r="P47" s="226">
        <v>0.6</v>
      </c>
      <c r="Q47" s="226">
        <v>0.7</v>
      </c>
      <c r="R47" s="226">
        <v>0.8</v>
      </c>
      <c r="S47" s="226">
        <v>0.8</v>
      </c>
      <c r="T47" s="226">
        <v>0.8</v>
      </c>
      <c r="U47" s="226">
        <v>0.8</v>
      </c>
      <c r="V47" s="226">
        <v>0.8</v>
      </c>
      <c r="W47" s="225">
        <v>0.8</v>
      </c>
      <c r="X47" s="225">
        <v>0.8</v>
      </c>
      <c r="Y47" s="225">
        <v>0.8</v>
      </c>
      <c r="Z47" s="225">
        <v>0.8</v>
      </c>
      <c r="AA47" s="226">
        <v>0.8</v>
      </c>
      <c r="AB47" s="226">
        <v>0.6</v>
      </c>
      <c r="AC47" s="226">
        <v>0.8</v>
      </c>
      <c r="AD47" s="226">
        <v>0.8</v>
      </c>
      <c r="AE47" s="226">
        <v>0.1</v>
      </c>
      <c r="AF47" s="226">
        <v>0.1</v>
      </c>
      <c r="AG47" s="226">
        <v>0.1</v>
      </c>
      <c r="AH47" s="226">
        <v>0.1</v>
      </c>
      <c r="AI47" s="226">
        <v>0.8</v>
      </c>
      <c r="AJ47" s="226">
        <v>0.7</v>
      </c>
      <c r="AK47" s="226">
        <v>0.1</v>
      </c>
      <c r="AL47" s="226">
        <v>0.3</v>
      </c>
      <c r="AM47" s="226">
        <v>0.1</v>
      </c>
      <c r="AN47" s="226">
        <v>0.1</v>
      </c>
      <c r="AO47" s="226">
        <v>0.1</v>
      </c>
      <c r="AP47" s="226">
        <v>0.1</v>
      </c>
      <c r="AQ47" s="226">
        <v>0.1</v>
      </c>
      <c r="AR47" s="226">
        <v>0.1</v>
      </c>
      <c r="AS47" s="226">
        <v>0.1</v>
      </c>
      <c r="AT47" s="226">
        <v>0.7</v>
      </c>
      <c r="AU47" s="226">
        <v>0.3</v>
      </c>
      <c r="AV47" s="226">
        <v>0.3</v>
      </c>
      <c r="AW47" s="226">
        <v>0.3</v>
      </c>
      <c r="AX47" s="226">
        <v>0.8</v>
      </c>
      <c r="AY47" s="226">
        <v>0.8</v>
      </c>
      <c r="AZ47" s="226">
        <v>0.8</v>
      </c>
      <c r="BA47" s="226">
        <v>0.6</v>
      </c>
      <c r="BB47" s="226">
        <v>0.6</v>
      </c>
      <c r="BC47" s="226">
        <v>0.8</v>
      </c>
      <c r="BD47" s="226">
        <v>0.7</v>
      </c>
      <c r="BE47" s="226">
        <v>0.8</v>
      </c>
      <c r="BF47" s="226">
        <v>0.1</v>
      </c>
      <c r="BG47" s="226">
        <v>0.1</v>
      </c>
      <c r="BH47" s="226">
        <v>0.3</v>
      </c>
      <c r="BI47" s="226">
        <v>0.3</v>
      </c>
      <c r="BJ47" s="226">
        <v>0.3</v>
      </c>
      <c r="BK47" s="226">
        <v>0.3</v>
      </c>
      <c r="BL47" s="226">
        <v>0.3</v>
      </c>
      <c r="BM47" s="226">
        <v>0.3</v>
      </c>
      <c r="BN47" s="226">
        <v>0.7</v>
      </c>
      <c r="BO47" s="226">
        <v>0.7</v>
      </c>
      <c r="BP47" s="226">
        <v>0.8</v>
      </c>
      <c r="BQ47" s="226">
        <v>0.8</v>
      </c>
      <c r="BR47" s="226">
        <v>0.7</v>
      </c>
      <c r="BS47" s="226">
        <v>0.7</v>
      </c>
      <c r="BT47" s="226">
        <v>0.7</v>
      </c>
      <c r="BU47" s="226">
        <v>0.7</v>
      </c>
      <c r="BV47" s="226">
        <v>0.8</v>
      </c>
      <c r="BW47" s="226">
        <v>0.8</v>
      </c>
      <c r="BX47" s="226">
        <v>0.7</v>
      </c>
      <c r="BY47" s="226">
        <v>0.8</v>
      </c>
      <c r="BZ47" s="226">
        <v>0.8</v>
      </c>
      <c r="CA47" s="226">
        <v>0.8</v>
      </c>
      <c r="CB47" s="226">
        <v>0.8</v>
      </c>
      <c r="CC47" s="226">
        <v>0.8</v>
      </c>
      <c r="CD47" s="226">
        <v>0.8</v>
      </c>
      <c r="CE47" s="226">
        <v>0.8</v>
      </c>
      <c r="CF47" s="226">
        <v>0.8</v>
      </c>
      <c r="CG47" s="226">
        <v>0.8</v>
      </c>
      <c r="CH47" s="226">
        <v>0.8</v>
      </c>
      <c r="CI47" s="226">
        <v>0.8</v>
      </c>
      <c r="CJ47" s="226">
        <v>0.8</v>
      </c>
      <c r="CK47" s="226">
        <v>0.8</v>
      </c>
      <c r="CL47" s="226">
        <v>0.8</v>
      </c>
      <c r="CM47" s="226">
        <v>0.8</v>
      </c>
      <c r="CN47" s="226">
        <v>0.8</v>
      </c>
      <c r="CO47" s="226">
        <v>0.8</v>
      </c>
      <c r="CP47" s="226">
        <v>0.8</v>
      </c>
      <c r="CQ47" s="226">
        <v>0.8</v>
      </c>
      <c r="CR47" s="226">
        <v>0.8</v>
      </c>
      <c r="CS47" s="226">
        <v>0.8</v>
      </c>
      <c r="CT47" s="226">
        <v>0.8</v>
      </c>
      <c r="CU47" s="226">
        <v>0.8</v>
      </c>
      <c r="CV47" s="226">
        <v>0.8</v>
      </c>
      <c r="CW47" s="226">
        <v>0.8</v>
      </c>
      <c r="CX47" s="226">
        <v>0.8</v>
      </c>
      <c r="CY47" s="226">
        <v>0.8</v>
      </c>
      <c r="CZ47" s="226">
        <v>0.8</v>
      </c>
      <c r="DA47" s="226">
        <v>0.8</v>
      </c>
      <c r="DB47" s="226">
        <v>0.8</v>
      </c>
      <c r="DC47" s="226">
        <v>0.8</v>
      </c>
      <c r="DD47" s="226">
        <v>0.8</v>
      </c>
      <c r="DE47" s="226">
        <v>0.8</v>
      </c>
      <c r="DF47" s="226">
        <v>0.8</v>
      </c>
      <c r="DG47" s="226">
        <v>0.8</v>
      </c>
      <c r="DH47" s="226">
        <v>0.8</v>
      </c>
      <c r="DI47" s="226">
        <v>0.8</v>
      </c>
      <c r="DJ47" s="226">
        <v>0.8</v>
      </c>
      <c r="DK47" s="226">
        <v>0.8</v>
      </c>
      <c r="DL47" s="226">
        <v>0.1</v>
      </c>
      <c r="DM47" s="226">
        <v>0</v>
      </c>
      <c r="DN47" s="226">
        <v>0</v>
      </c>
      <c r="DO47" s="226">
        <v>0</v>
      </c>
      <c r="DP47" s="226">
        <v>0</v>
      </c>
      <c r="DQ47" s="226">
        <v>0</v>
      </c>
      <c r="DR47" s="226">
        <v>0</v>
      </c>
      <c r="DS47" s="226">
        <v>0</v>
      </c>
    </row>
    <row r="48" spans="1:123" x14ac:dyDescent="0.15">
      <c r="A48" s="156" t="s">
        <v>268</v>
      </c>
      <c r="B48">
        <v>0.8</v>
      </c>
      <c r="C48" s="226">
        <v>0.8</v>
      </c>
      <c r="D48" s="226">
        <v>0.8</v>
      </c>
      <c r="E48" s="226">
        <v>0.8</v>
      </c>
      <c r="F48" s="226">
        <v>0.8</v>
      </c>
      <c r="G48" s="226">
        <v>0.8</v>
      </c>
      <c r="H48" s="226">
        <v>0.8</v>
      </c>
      <c r="I48" s="226">
        <v>0.8</v>
      </c>
      <c r="J48" s="226">
        <v>0.8</v>
      </c>
      <c r="K48" s="226">
        <v>0.8</v>
      </c>
      <c r="L48" s="226">
        <v>0.8</v>
      </c>
      <c r="M48" s="226">
        <v>0.7</v>
      </c>
      <c r="N48" s="226">
        <v>0.7</v>
      </c>
      <c r="O48" s="226">
        <v>0.6</v>
      </c>
      <c r="P48" s="226">
        <v>0.6</v>
      </c>
      <c r="Q48" s="226">
        <v>0.7</v>
      </c>
      <c r="R48" s="226">
        <v>0.8</v>
      </c>
      <c r="S48" s="226">
        <v>0.8</v>
      </c>
      <c r="T48" s="226">
        <v>0.8</v>
      </c>
      <c r="U48" s="226">
        <v>0.8</v>
      </c>
      <c r="V48" s="226">
        <v>0.8</v>
      </c>
      <c r="W48" s="225">
        <v>0.8</v>
      </c>
      <c r="X48" s="225">
        <v>0.8</v>
      </c>
      <c r="Y48" s="225">
        <v>0.8</v>
      </c>
      <c r="Z48" s="225">
        <v>0.8</v>
      </c>
      <c r="AA48" s="226">
        <v>0.8</v>
      </c>
      <c r="AB48" s="226">
        <v>0.6</v>
      </c>
      <c r="AC48" s="226">
        <v>0.8</v>
      </c>
      <c r="AD48" s="226">
        <v>0.8</v>
      </c>
      <c r="AE48" s="226">
        <v>0.1</v>
      </c>
      <c r="AF48" s="226">
        <v>0.1</v>
      </c>
      <c r="AG48" s="226">
        <v>0.1</v>
      </c>
      <c r="AH48" s="226">
        <v>0.1</v>
      </c>
      <c r="AI48" s="226">
        <v>0.8</v>
      </c>
      <c r="AJ48" s="226">
        <v>0.7</v>
      </c>
      <c r="AK48" s="226">
        <v>0.1</v>
      </c>
      <c r="AL48" s="226">
        <v>0.3</v>
      </c>
      <c r="AM48" s="226">
        <v>0.1</v>
      </c>
      <c r="AN48" s="226">
        <v>0.1</v>
      </c>
      <c r="AO48" s="226">
        <v>0.1</v>
      </c>
      <c r="AP48" s="226">
        <v>0.1</v>
      </c>
      <c r="AQ48" s="226">
        <v>0.1</v>
      </c>
      <c r="AR48" s="226">
        <v>0.1</v>
      </c>
      <c r="AS48" s="226">
        <v>0.1</v>
      </c>
      <c r="AT48" s="226">
        <v>0.7</v>
      </c>
      <c r="AU48" s="226">
        <v>0.3</v>
      </c>
      <c r="AV48" s="226">
        <v>0.3</v>
      </c>
      <c r="AW48" s="226">
        <v>0.3</v>
      </c>
      <c r="AX48" s="226">
        <v>0.8</v>
      </c>
      <c r="AY48" s="226">
        <v>0.8</v>
      </c>
      <c r="AZ48" s="226">
        <v>0.8</v>
      </c>
      <c r="BA48" s="226">
        <v>0.6</v>
      </c>
      <c r="BB48" s="226">
        <v>0.6</v>
      </c>
      <c r="BC48" s="226">
        <v>0.8</v>
      </c>
      <c r="BD48" s="226">
        <v>0.7</v>
      </c>
      <c r="BE48" s="226">
        <v>0.8</v>
      </c>
      <c r="BF48" s="226">
        <v>0.1</v>
      </c>
      <c r="BG48" s="226">
        <v>0.1</v>
      </c>
      <c r="BH48" s="226">
        <v>0.3</v>
      </c>
      <c r="BI48" s="226">
        <v>0.3</v>
      </c>
      <c r="BJ48" s="226">
        <v>0.3</v>
      </c>
      <c r="BK48" s="226">
        <v>0.3</v>
      </c>
      <c r="BL48" s="226">
        <v>0.3</v>
      </c>
      <c r="BM48" s="226">
        <v>0.3</v>
      </c>
      <c r="BN48" s="226">
        <v>0.7</v>
      </c>
      <c r="BO48" s="226">
        <v>0.7</v>
      </c>
      <c r="BP48" s="226">
        <v>0.8</v>
      </c>
      <c r="BQ48" s="226">
        <v>0.8</v>
      </c>
      <c r="BR48" s="226">
        <v>0.7</v>
      </c>
      <c r="BS48" s="226">
        <v>0.7</v>
      </c>
      <c r="BT48" s="226">
        <v>0.7</v>
      </c>
      <c r="BU48" s="226">
        <v>0.7</v>
      </c>
      <c r="BV48" s="226">
        <v>0.8</v>
      </c>
      <c r="BW48" s="226">
        <v>0.8</v>
      </c>
      <c r="BX48" s="226">
        <v>0.7</v>
      </c>
      <c r="BY48" s="226">
        <v>0.8</v>
      </c>
      <c r="BZ48" s="226">
        <v>0.8</v>
      </c>
      <c r="CA48" s="226">
        <v>0.8</v>
      </c>
      <c r="CB48" s="226">
        <v>0.8</v>
      </c>
      <c r="CC48" s="226">
        <v>0.8</v>
      </c>
      <c r="CD48" s="226">
        <v>0.8</v>
      </c>
      <c r="CE48" s="226">
        <v>0.8</v>
      </c>
      <c r="CF48" s="226">
        <v>0.8</v>
      </c>
      <c r="CG48" s="226">
        <v>0.8</v>
      </c>
      <c r="CH48" s="226">
        <v>0.8</v>
      </c>
      <c r="CI48" s="226">
        <v>0.8</v>
      </c>
      <c r="CJ48" s="226">
        <v>0.8</v>
      </c>
      <c r="CK48" s="226">
        <v>0.8</v>
      </c>
      <c r="CL48" s="226">
        <v>0.8</v>
      </c>
      <c r="CM48" s="226">
        <v>0.8</v>
      </c>
      <c r="CN48" s="226">
        <v>0.8</v>
      </c>
      <c r="CO48" s="226">
        <v>0.8</v>
      </c>
      <c r="CP48" s="226">
        <v>0.8</v>
      </c>
      <c r="CQ48" s="226">
        <v>0.8</v>
      </c>
      <c r="CR48" s="226">
        <v>0.8</v>
      </c>
      <c r="CS48" s="226">
        <v>0.8</v>
      </c>
      <c r="CT48" s="226">
        <v>0.8</v>
      </c>
      <c r="CU48" s="226">
        <v>0.8</v>
      </c>
      <c r="CV48" s="226">
        <v>0.8</v>
      </c>
      <c r="CW48" s="226">
        <v>0.8</v>
      </c>
      <c r="CX48" s="226">
        <v>0.8</v>
      </c>
      <c r="CY48" s="226">
        <v>0.8</v>
      </c>
      <c r="CZ48" s="226">
        <v>0.8</v>
      </c>
      <c r="DA48" s="226">
        <v>0.8</v>
      </c>
      <c r="DB48" s="226">
        <v>0.8</v>
      </c>
      <c r="DC48" s="226">
        <v>0.8</v>
      </c>
      <c r="DD48" s="226">
        <v>0.8</v>
      </c>
      <c r="DE48" s="226">
        <v>0.8</v>
      </c>
      <c r="DF48" s="226">
        <v>0.8</v>
      </c>
      <c r="DG48" s="226">
        <v>0.8</v>
      </c>
      <c r="DH48" s="226">
        <v>0.8</v>
      </c>
      <c r="DI48" s="226">
        <v>0.8</v>
      </c>
      <c r="DJ48" s="226">
        <v>0.8</v>
      </c>
      <c r="DK48" s="226">
        <v>0.8</v>
      </c>
      <c r="DL48" s="226">
        <v>0.1</v>
      </c>
      <c r="DM48" s="226">
        <v>0</v>
      </c>
      <c r="DN48" s="226">
        <v>0</v>
      </c>
      <c r="DO48" s="226">
        <v>0</v>
      </c>
      <c r="DP48" s="226">
        <v>0</v>
      </c>
      <c r="DQ48" s="226">
        <v>0</v>
      </c>
      <c r="DR48" s="226">
        <v>0</v>
      </c>
      <c r="DS48" s="226">
        <v>0</v>
      </c>
    </row>
    <row r="49" spans="1:123" x14ac:dyDescent="0.15">
      <c r="A49" s="156" t="s">
        <v>269</v>
      </c>
      <c r="B49">
        <v>0.8</v>
      </c>
      <c r="C49" s="226">
        <v>0.8</v>
      </c>
      <c r="D49" s="226">
        <v>0.8</v>
      </c>
      <c r="E49" s="226">
        <v>0.8</v>
      </c>
      <c r="F49" s="226">
        <v>0.8</v>
      </c>
      <c r="G49" s="226">
        <v>0.8</v>
      </c>
      <c r="H49" s="226">
        <v>0.8</v>
      </c>
      <c r="I49" s="226">
        <v>0.8</v>
      </c>
      <c r="J49" s="226">
        <v>0.8</v>
      </c>
      <c r="K49" s="226">
        <v>0.8</v>
      </c>
      <c r="L49" s="226">
        <v>0.8</v>
      </c>
      <c r="M49" s="226">
        <v>0.7</v>
      </c>
      <c r="N49" s="226">
        <v>0.7</v>
      </c>
      <c r="O49" s="226">
        <v>0.6</v>
      </c>
      <c r="P49" s="226">
        <v>0.6</v>
      </c>
      <c r="Q49" s="226">
        <v>0.7</v>
      </c>
      <c r="R49" s="226">
        <v>0.8</v>
      </c>
      <c r="S49" s="226">
        <v>0.8</v>
      </c>
      <c r="T49" s="226">
        <v>0.8</v>
      </c>
      <c r="U49" s="226">
        <v>0.8</v>
      </c>
      <c r="V49" s="226">
        <v>0.8</v>
      </c>
      <c r="W49" s="225">
        <v>0.8</v>
      </c>
      <c r="X49" s="225">
        <v>0.8</v>
      </c>
      <c r="Y49" s="225">
        <v>0.8</v>
      </c>
      <c r="Z49" s="225">
        <v>0.8</v>
      </c>
      <c r="AA49" s="226">
        <v>0.8</v>
      </c>
      <c r="AB49" s="226">
        <v>0.6</v>
      </c>
      <c r="AC49" s="226">
        <v>0.8</v>
      </c>
      <c r="AD49" s="226">
        <v>0.8</v>
      </c>
      <c r="AE49" s="226">
        <v>0.1</v>
      </c>
      <c r="AF49" s="226">
        <v>0.1</v>
      </c>
      <c r="AG49" s="226">
        <v>0.1</v>
      </c>
      <c r="AH49" s="226">
        <v>0.1</v>
      </c>
      <c r="AI49" s="226">
        <v>0.8</v>
      </c>
      <c r="AJ49" s="226">
        <v>0.7</v>
      </c>
      <c r="AK49" s="226">
        <v>0.1</v>
      </c>
      <c r="AL49" s="226">
        <v>0.3</v>
      </c>
      <c r="AM49" s="226">
        <v>0.1</v>
      </c>
      <c r="AN49" s="226">
        <v>0.1</v>
      </c>
      <c r="AO49" s="226">
        <v>0.1</v>
      </c>
      <c r="AP49" s="226">
        <v>0.1</v>
      </c>
      <c r="AQ49" s="226">
        <v>0.1</v>
      </c>
      <c r="AR49" s="226">
        <v>0.1</v>
      </c>
      <c r="AS49" s="226">
        <v>0.1</v>
      </c>
      <c r="AT49" s="226">
        <v>0.7</v>
      </c>
      <c r="AU49" s="226">
        <v>0.3</v>
      </c>
      <c r="AV49" s="226">
        <v>0.3</v>
      </c>
      <c r="AW49" s="226">
        <v>0.3</v>
      </c>
      <c r="AX49" s="226">
        <v>0.8</v>
      </c>
      <c r="AY49" s="226">
        <v>0.8</v>
      </c>
      <c r="AZ49" s="226">
        <v>0.8</v>
      </c>
      <c r="BA49" s="226">
        <v>0.6</v>
      </c>
      <c r="BB49" s="226">
        <v>0.6</v>
      </c>
      <c r="BC49" s="226">
        <v>0.8</v>
      </c>
      <c r="BD49" s="226">
        <v>0.7</v>
      </c>
      <c r="BE49" s="226">
        <v>0.8</v>
      </c>
      <c r="BF49" s="226">
        <v>0.1</v>
      </c>
      <c r="BG49" s="226">
        <v>0.1</v>
      </c>
      <c r="BH49" s="226">
        <v>0.3</v>
      </c>
      <c r="BI49" s="226">
        <v>0.3</v>
      </c>
      <c r="BJ49" s="226">
        <v>0.3</v>
      </c>
      <c r="BK49" s="226">
        <v>0.3</v>
      </c>
      <c r="BL49" s="226">
        <v>0.3</v>
      </c>
      <c r="BM49" s="226">
        <v>0.3</v>
      </c>
      <c r="BN49" s="226">
        <v>0.7</v>
      </c>
      <c r="BO49" s="226">
        <v>0.7</v>
      </c>
      <c r="BP49" s="226">
        <v>0.8</v>
      </c>
      <c r="BQ49" s="226">
        <v>0.8</v>
      </c>
      <c r="BR49" s="226">
        <v>0.7</v>
      </c>
      <c r="BS49" s="226">
        <v>0.7</v>
      </c>
      <c r="BT49" s="226">
        <v>0.7</v>
      </c>
      <c r="BU49" s="226">
        <v>0.7</v>
      </c>
      <c r="BV49" s="226">
        <v>0.8</v>
      </c>
      <c r="BW49" s="226">
        <v>0.8</v>
      </c>
      <c r="BX49" s="226">
        <v>0.7</v>
      </c>
      <c r="BY49" s="226">
        <v>0.8</v>
      </c>
      <c r="BZ49" s="226">
        <v>0.8</v>
      </c>
      <c r="CA49" s="226">
        <v>0.8</v>
      </c>
      <c r="CB49" s="226">
        <v>0.8</v>
      </c>
      <c r="CC49" s="226">
        <v>0.8</v>
      </c>
      <c r="CD49" s="226">
        <v>0.8</v>
      </c>
      <c r="CE49" s="226">
        <v>0.8</v>
      </c>
      <c r="CF49" s="226">
        <v>0.8</v>
      </c>
      <c r="CG49" s="226">
        <v>0.8</v>
      </c>
      <c r="CH49" s="226">
        <v>0.8</v>
      </c>
      <c r="CI49" s="226">
        <v>0.8</v>
      </c>
      <c r="CJ49" s="226">
        <v>0.8</v>
      </c>
      <c r="CK49" s="226">
        <v>0.8</v>
      </c>
      <c r="CL49" s="226">
        <v>0.8</v>
      </c>
      <c r="CM49" s="226">
        <v>0.8</v>
      </c>
      <c r="CN49" s="226">
        <v>0.8</v>
      </c>
      <c r="CO49" s="226">
        <v>0.8</v>
      </c>
      <c r="CP49" s="226">
        <v>0.8</v>
      </c>
      <c r="CQ49" s="226">
        <v>0.8</v>
      </c>
      <c r="CR49" s="226">
        <v>0.8</v>
      </c>
      <c r="CS49" s="226">
        <v>0.8</v>
      </c>
      <c r="CT49" s="226">
        <v>0.8</v>
      </c>
      <c r="CU49" s="226">
        <v>0.8</v>
      </c>
      <c r="CV49" s="226">
        <v>0.8</v>
      </c>
      <c r="CW49" s="226">
        <v>0.8</v>
      </c>
      <c r="CX49" s="226">
        <v>0.8</v>
      </c>
      <c r="CY49" s="226">
        <v>0.8</v>
      </c>
      <c r="CZ49" s="226">
        <v>0.8</v>
      </c>
      <c r="DA49" s="226">
        <v>0.8</v>
      </c>
      <c r="DB49" s="226">
        <v>0.8</v>
      </c>
      <c r="DC49" s="226">
        <v>0.8</v>
      </c>
      <c r="DD49" s="226">
        <v>0.8</v>
      </c>
      <c r="DE49" s="226">
        <v>0.8</v>
      </c>
      <c r="DF49" s="226">
        <v>0.8</v>
      </c>
      <c r="DG49" s="226">
        <v>0.8</v>
      </c>
      <c r="DH49" s="226">
        <v>0.8</v>
      </c>
      <c r="DI49" s="226">
        <v>0.8</v>
      </c>
      <c r="DJ49" s="226">
        <v>0.8</v>
      </c>
      <c r="DK49" s="226">
        <v>0.8</v>
      </c>
      <c r="DL49" s="226">
        <v>0.1</v>
      </c>
      <c r="DM49" s="226">
        <v>0</v>
      </c>
      <c r="DN49" s="226">
        <v>0</v>
      </c>
      <c r="DO49" s="226">
        <v>0</v>
      </c>
      <c r="DP49" s="226">
        <v>0</v>
      </c>
      <c r="DQ49" s="226">
        <v>0</v>
      </c>
      <c r="DR49" s="226">
        <v>0</v>
      </c>
      <c r="DS49" s="226">
        <v>0</v>
      </c>
    </row>
    <row r="50" spans="1:123" x14ac:dyDescent="0.15">
      <c r="A50" s="156" t="s">
        <v>270</v>
      </c>
      <c r="B50">
        <v>0.8</v>
      </c>
      <c r="C50" s="226">
        <v>0.8</v>
      </c>
      <c r="D50" s="226">
        <v>0.8</v>
      </c>
      <c r="E50" s="226">
        <v>0.8</v>
      </c>
      <c r="F50" s="226">
        <v>0.8</v>
      </c>
      <c r="G50" s="226">
        <v>0.8</v>
      </c>
      <c r="H50" s="226">
        <v>0.8</v>
      </c>
      <c r="I50" s="226">
        <v>0.8</v>
      </c>
      <c r="J50" s="226">
        <v>0.8</v>
      </c>
      <c r="K50" s="226">
        <v>0.8</v>
      </c>
      <c r="L50" s="226">
        <v>0.8</v>
      </c>
      <c r="M50" s="226">
        <v>0.7</v>
      </c>
      <c r="N50" s="226">
        <v>0.7</v>
      </c>
      <c r="O50" s="226">
        <v>0.6</v>
      </c>
      <c r="P50" s="226">
        <v>0.6</v>
      </c>
      <c r="Q50" s="226">
        <v>0.7</v>
      </c>
      <c r="R50" s="226">
        <v>0.8</v>
      </c>
      <c r="S50" s="226">
        <v>0.8</v>
      </c>
      <c r="T50" s="226">
        <v>0.8</v>
      </c>
      <c r="U50" s="226">
        <v>0.8</v>
      </c>
      <c r="V50" s="226">
        <v>0.8</v>
      </c>
      <c r="W50" s="225">
        <v>0.8</v>
      </c>
      <c r="X50" s="225">
        <v>0.8</v>
      </c>
      <c r="Y50" s="225">
        <v>0.8</v>
      </c>
      <c r="Z50" s="225">
        <v>0.8</v>
      </c>
      <c r="AA50" s="226">
        <v>0.8</v>
      </c>
      <c r="AB50" s="226">
        <v>0.6</v>
      </c>
      <c r="AC50" s="226">
        <v>0.8</v>
      </c>
      <c r="AD50" s="226">
        <v>0.8</v>
      </c>
      <c r="AE50" s="226">
        <v>0.1</v>
      </c>
      <c r="AF50" s="226">
        <v>0.1</v>
      </c>
      <c r="AG50" s="226">
        <v>0.1</v>
      </c>
      <c r="AH50" s="226">
        <v>0.1</v>
      </c>
      <c r="AI50" s="226">
        <v>0.8</v>
      </c>
      <c r="AJ50" s="226">
        <v>0.7</v>
      </c>
      <c r="AK50" s="226">
        <v>0.1</v>
      </c>
      <c r="AL50" s="226">
        <v>0.3</v>
      </c>
      <c r="AM50" s="226">
        <v>0.1</v>
      </c>
      <c r="AN50" s="226">
        <v>0.1</v>
      </c>
      <c r="AO50" s="226">
        <v>0.1</v>
      </c>
      <c r="AP50" s="226">
        <v>0.1</v>
      </c>
      <c r="AQ50" s="226">
        <v>0.1</v>
      </c>
      <c r="AR50" s="226">
        <v>0.1</v>
      </c>
      <c r="AS50" s="226">
        <v>0.1</v>
      </c>
      <c r="AT50" s="226">
        <v>0.7</v>
      </c>
      <c r="AU50" s="226">
        <v>0.3</v>
      </c>
      <c r="AV50" s="226">
        <v>0.3</v>
      </c>
      <c r="AW50" s="226">
        <v>0.3</v>
      </c>
      <c r="AX50" s="226">
        <v>0.8</v>
      </c>
      <c r="AY50" s="226">
        <v>0.8</v>
      </c>
      <c r="AZ50" s="226">
        <v>0.8</v>
      </c>
      <c r="BA50" s="226">
        <v>0.6</v>
      </c>
      <c r="BB50" s="226">
        <v>0.6</v>
      </c>
      <c r="BC50" s="226">
        <v>0.8</v>
      </c>
      <c r="BD50" s="226">
        <v>0.7</v>
      </c>
      <c r="BE50" s="226">
        <v>0.8</v>
      </c>
      <c r="BF50" s="226">
        <v>0.1</v>
      </c>
      <c r="BG50" s="226">
        <v>0.1</v>
      </c>
      <c r="BH50" s="226">
        <v>0.3</v>
      </c>
      <c r="BI50" s="226">
        <v>0.3</v>
      </c>
      <c r="BJ50" s="226">
        <v>0.3</v>
      </c>
      <c r="BK50" s="226">
        <v>0.3</v>
      </c>
      <c r="BL50" s="226">
        <v>0.3</v>
      </c>
      <c r="BM50" s="226">
        <v>0.3</v>
      </c>
      <c r="BN50" s="226">
        <v>0.7</v>
      </c>
      <c r="BO50" s="226">
        <v>0.7</v>
      </c>
      <c r="BP50" s="226">
        <v>0.8</v>
      </c>
      <c r="BQ50" s="226">
        <v>0.8</v>
      </c>
      <c r="BR50" s="226">
        <v>0.7</v>
      </c>
      <c r="BS50" s="226">
        <v>0.7</v>
      </c>
      <c r="BT50" s="226">
        <v>0.7</v>
      </c>
      <c r="BU50" s="226">
        <v>0.7</v>
      </c>
      <c r="BV50" s="226">
        <v>0.8</v>
      </c>
      <c r="BW50" s="226">
        <v>0.8</v>
      </c>
      <c r="BX50" s="226">
        <v>0.7</v>
      </c>
      <c r="BY50" s="226">
        <v>0.8</v>
      </c>
      <c r="BZ50" s="226">
        <v>0.8</v>
      </c>
      <c r="CA50" s="226">
        <v>0.8</v>
      </c>
      <c r="CB50" s="226">
        <v>0.8</v>
      </c>
      <c r="CC50" s="226">
        <v>0.8</v>
      </c>
      <c r="CD50" s="226">
        <v>0.8</v>
      </c>
      <c r="CE50" s="226">
        <v>0.8</v>
      </c>
      <c r="CF50" s="226">
        <v>0.8</v>
      </c>
      <c r="CG50" s="226">
        <v>0.8</v>
      </c>
      <c r="CH50" s="226">
        <v>0.8</v>
      </c>
      <c r="CI50" s="226">
        <v>0.8</v>
      </c>
      <c r="CJ50" s="226">
        <v>0.8</v>
      </c>
      <c r="CK50" s="226">
        <v>0.8</v>
      </c>
      <c r="CL50" s="226">
        <v>0.8</v>
      </c>
      <c r="CM50" s="226">
        <v>0.8</v>
      </c>
      <c r="CN50" s="226">
        <v>0.8</v>
      </c>
      <c r="CO50" s="226">
        <v>0.8</v>
      </c>
      <c r="CP50" s="226">
        <v>0.8</v>
      </c>
      <c r="CQ50" s="226">
        <v>0.8</v>
      </c>
      <c r="CR50" s="226">
        <v>0.8</v>
      </c>
      <c r="CS50" s="226">
        <v>0.8</v>
      </c>
      <c r="CT50" s="226">
        <v>0.8</v>
      </c>
      <c r="CU50" s="226">
        <v>0.8</v>
      </c>
      <c r="CV50" s="226">
        <v>0.8</v>
      </c>
      <c r="CW50" s="226">
        <v>0.8</v>
      </c>
      <c r="CX50" s="226">
        <v>0.8</v>
      </c>
      <c r="CY50" s="226">
        <v>0.8</v>
      </c>
      <c r="CZ50" s="226">
        <v>0.8</v>
      </c>
      <c r="DA50" s="226">
        <v>0.8</v>
      </c>
      <c r="DB50" s="226">
        <v>0.8</v>
      </c>
      <c r="DC50" s="226">
        <v>0.8</v>
      </c>
      <c r="DD50" s="226">
        <v>0.8</v>
      </c>
      <c r="DE50" s="226">
        <v>0.8</v>
      </c>
      <c r="DF50" s="226">
        <v>0.8</v>
      </c>
      <c r="DG50" s="226">
        <v>0.8</v>
      </c>
      <c r="DH50" s="226">
        <v>0.8</v>
      </c>
      <c r="DI50" s="226">
        <v>0.8</v>
      </c>
      <c r="DJ50" s="226">
        <v>0.8</v>
      </c>
      <c r="DK50" s="226">
        <v>0.8</v>
      </c>
      <c r="DL50" s="226">
        <v>0.1</v>
      </c>
      <c r="DM50" s="226">
        <v>0</v>
      </c>
      <c r="DN50" s="226">
        <v>0</v>
      </c>
      <c r="DO50" s="226">
        <v>0</v>
      </c>
      <c r="DP50" s="226">
        <v>0</v>
      </c>
      <c r="DQ50" s="226">
        <v>0</v>
      </c>
      <c r="DR50" s="226">
        <v>0</v>
      </c>
      <c r="DS50" s="226">
        <v>0</v>
      </c>
    </row>
    <row r="51" spans="1:123" x14ac:dyDescent="0.15">
      <c r="A51" s="156" t="s">
        <v>271</v>
      </c>
      <c r="B51">
        <v>0.8</v>
      </c>
      <c r="C51" s="226">
        <v>0.8</v>
      </c>
      <c r="D51" s="226">
        <v>0.8</v>
      </c>
      <c r="E51" s="226">
        <v>0.8</v>
      </c>
      <c r="F51" s="226">
        <v>0.8</v>
      </c>
      <c r="G51" s="226">
        <v>0.8</v>
      </c>
      <c r="H51" s="226">
        <v>0.8</v>
      </c>
      <c r="I51" s="226">
        <v>0.8</v>
      </c>
      <c r="J51" s="226">
        <v>0.8</v>
      </c>
      <c r="K51" s="226">
        <v>0.8</v>
      </c>
      <c r="L51" s="226">
        <v>0.8</v>
      </c>
      <c r="M51" s="226">
        <v>0.7</v>
      </c>
      <c r="N51" s="226">
        <v>0.7</v>
      </c>
      <c r="O51" s="226">
        <v>0.6</v>
      </c>
      <c r="P51" s="226">
        <v>0.6</v>
      </c>
      <c r="Q51" s="226">
        <v>0.7</v>
      </c>
      <c r="R51" s="226">
        <v>0.8</v>
      </c>
      <c r="S51" s="226">
        <v>0.8</v>
      </c>
      <c r="T51" s="226">
        <v>0.8</v>
      </c>
      <c r="U51" s="226">
        <v>0.8</v>
      </c>
      <c r="V51" s="226">
        <v>0.8</v>
      </c>
      <c r="W51" s="225">
        <v>0.8</v>
      </c>
      <c r="X51" s="225">
        <v>0.8</v>
      </c>
      <c r="Y51" s="225">
        <v>0.8</v>
      </c>
      <c r="Z51" s="225">
        <v>0.8</v>
      </c>
      <c r="AA51" s="226">
        <v>0.8</v>
      </c>
      <c r="AB51" s="226">
        <v>0.6</v>
      </c>
      <c r="AC51" s="226">
        <v>0.8</v>
      </c>
      <c r="AD51" s="226">
        <v>0.8</v>
      </c>
      <c r="AE51" s="226">
        <v>0.1</v>
      </c>
      <c r="AF51" s="226">
        <v>0.1</v>
      </c>
      <c r="AG51" s="226">
        <v>0.1</v>
      </c>
      <c r="AH51" s="226">
        <v>0.1</v>
      </c>
      <c r="AI51" s="226">
        <v>0.8</v>
      </c>
      <c r="AJ51" s="226">
        <v>0.7</v>
      </c>
      <c r="AK51" s="226">
        <v>0.1</v>
      </c>
      <c r="AL51" s="226">
        <v>0.3</v>
      </c>
      <c r="AM51" s="226">
        <v>0.1</v>
      </c>
      <c r="AN51" s="226">
        <v>0.1</v>
      </c>
      <c r="AO51" s="226">
        <v>0.1</v>
      </c>
      <c r="AP51" s="226">
        <v>0.1</v>
      </c>
      <c r="AQ51" s="226">
        <v>0.1</v>
      </c>
      <c r="AR51" s="226">
        <v>0.1</v>
      </c>
      <c r="AS51" s="226">
        <v>0.1</v>
      </c>
      <c r="AT51" s="226">
        <v>0.7</v>
      </c>
      <c r="AU51" s="226">
        <v>0.3</v>
      </c>
      <c r="AV51" s="226">
        <v>0.3</v>
      </c>
      <c r="AW51" s="226">
        <v>0.3</v>
      </c>
      <c r="AX51" s="226">
        <v>0.8</v>
      </c>
      <c r="AY51" s="226">
        <v>0.8</v>
      </c>
      <c r="AZ51" s="226">
        <v>0.8</v>
      </c>
      <c r="BA51" s="226">
        <v>0.6</v>
      </c>
      <c r="BB51" s="226">
        <v>0.6</v>
      </c>
      <c r="BC51" s="226">
        <v>0.8</v>
      </c>
      <c r="BD51" s="226">
        <v>0.7</v>
      </c>
      <c r="BE51" s="226">
        <v>0.8</v>
      </c>
      <c r="BF51" s="226">
        <v>0.1</v>
      </c>
      <c r="BG51" s="226">
        <v>0.1</v>
      </c>
      <c r="BH51" s="226">
        <v>0.3</v>
      </c>
      <c r="BI51" s="226">
        <v>0.3</v>
      </c>
      <c r="BJ51" s="226">
        <v>0.3</v>
      </c>
      <c r="BK51" s="226">
        <v>0.3</v>
      </c>
      <c r="BL51" s="226">
        <v>0.3</v>
      </c>
      <c r="BM51" s="226">
        <v>0.3</v>
      </c>
      <c r="BN51" s="226">
        <v>0.7</v>
      </c>
      <c r="BO51" s="226">
        <v>0.7</v>
      </c>
      <c r="BP51" s="226">
        <v>0.8</v>
      </c>
      <c r="BQ51" s="226">
        <v>0.8</v>
      </c>
      <c r="BR51" s="226">
        <v>0.7</v>
      </c>
      <c r="BS51" s="226">
        <v>0.7</v>
      </c>
      <c r="BT51" s="226">
        <v>0.7</v>
      </c>
      <c r="BU51" s="226">
        <v>0.7</v>
      </c>
      <c r="BV51" s="226">
        <v>0.8</v>
      </c>
      <c r="BW51" s="226">
        <v>0.8</v>
      </c>
      <c r="BX51" s="226">
        <v>0.7</v>
      </c>
      <c r="BY51" s="226">
        <v>0.8</v>
      </c>
      <c r="BZ51" s="226">
        <v>0.8</v>
      </c>
      <c r="CA51" s="226">
        <v>0.8</v>
      </c>
      <c r="CB51" s="226">
        <v>0.8</v>
      </c>
      <c r="CC51" s="226">
        <v>0.8</v>
      </c>
      <c r="CD51" s="226">
        <v>0.8</v>
      </c>
      <c r="CE51" s="226">
        <v>0.8</v>
      </c>
      <c r="CF51" s="226">
        <v>0.8</v>
      </c>
      <c r="CG51" s="226">
        <v>0.8</v>
      </c>
      <c r="CH51" s="226">
        <v>0.8</v>
      </c>
      <c r="CI51" s="226">
        <v>0.8</v>
      </c>
      <c r="CJ51" s="226">
        <v>0.8</v>
      </c>
      <c r="CK51" s="226">
        <v>0.8</v>
      </c>
      <c r="CL51" s="226">
        <v>0.8</v>
      </c>
      <c r="CM51" s="226">
        <v>0.8</v>
      </c>
      <c r="CN51" s="226">
        <v>0.8</v>
      </c>
      <c r="CO51" s="226">
        <v>0.8</v>
      </c>
      <c r="CP51" s="226">
        <v>0.8</v>
      </c>
      <c r="CQ51" s="226">
        <v>0.8</v>
      </c>
      <c r="CR51" s="226">
        <v>0.8</v>
      </c>
      <c r="CS51" s="226">
        <v>0.8</v>
      </c>
      <c r="CT51" s="226">
        <v>0.8</v>
      </c>
      <c r="CU51" s="226">
        <v>0.8</v>
      </c>
      <c r="CV51" s="226">
        <v>0.8</v>
      </c>
      <c r="CW51" s="226">
        <v>0.8</v>
      </c>
      <c r="CX51" s="226">
        <v>0.8</v>
      </c>
      <c r="CY51" s="226">
        <v>0.8</v>
      </c>
      <c r="CZ51" s="226">
        <v>0.8</v>
      </c>
      <c r="DA51" s="226">
        <v>0.8</v>
      </c>
      <c r="DB51" s="226">
        <v>0.8</v>
      </c>
      <c r="DC51" s="226">
        <v>0.8</v>
      </c>
      <c r="DD51" s="226">
        <v>0.8</v>
      </c>
      <c r="DE51" s="226">
        <v>0.8</v>
      </c>
      <c r="DF51" s="226">
        <v>0.8</v>
      </c>
      <c r="DG51" s="226">
        <v>0.8</v>
      </c>
      <c r="DH51" s="226">
        <v>0.8</v>
      </c>
      <c r="DI51" s="226">
        <v>0.8</v>
      </c>
      <c r="DJ51" s="226">
        <v>0.8</v>
      </c>
      <c r="DK51" s="226">
        <v>0.8</v>
      </c>
      <c r="DL51" s="226">
        <v>0.1</v>
      </c>
      <c r="DM51" s="226">
        <v>0</v>
      </c>
      <c r="DN51" s="226">
        <v>0</v>
      </c>
      <c r="DO51" s="226">
        <v>0</v>
      </c>
      <c r="DP51" s="226">
        <v>0</v>
      </c>
      <c r="DQ51" s="226">
        <v>0</v>
      </c>
      <c r="DR51" s="226">
        <v>0</v>
      </c>
      <c r="DS51" s="226">
        <v>0</v>
      </c>
    </row>
    <row r="52" spans="1:123" x14ac:dyDescent="0.15">
      <c r="A52" s="156" t="s">
        <v>272</v>
      </c>
      <c r="B52">
        <v>0.8</v>
      </c>
      <c r="C52" s="226">
        <v>0.8</v>
      </c>
      <c r="D52" s="226">
        <v>0.8</v>
      </c>
      <c r="E52" s="226">
        <v>0.8</v>
      </c>
      <c r="F52" s="226">
        <v>0.8</v>
      </c>
      <c r="G52" s="226">
        <v>0.8</v>
      </c>
      <c r="H52" s="226">
        <v>0.8</v>
      </c>
      <c r="I52" s="226">
        <v>0.8</v>
      </c>
      <c r="J52" s="226">
        <v>0.8</v>
      </c>
      <c r="K52" s="226">
        <v>0.8</v>
      </c>
      <c r="L52" s="226">
        <v>0.8</v>
      </c>
      <c r="M52" s="226">
        <v>0.7</v>
      </c>
      <c r="N52" s="226">
        <v>0.7</v>
      </c>
      <c r="O52" s="226">
        <v>0.6</v>
      </c>
      <c r="P52" s="226">
        <v>0.6</v>
      </c>
      <c r="Q52" s="226">
        <v>0.7</v>
      </c>
      <c r="R52" s="226">
        <v>0.8</v>
      </c>
      <c r="S52" s="226">
        <v>0.8</v>
      </c>
      <c r="T52" s="226">
        <v>0.8</v>
      </c>
      <c r="U52" s="226">
        <v>0.8</v>
      </c>
      <c r="V52" s="226">
        <v>0.8</v>
      </c>
      <c r="W52" s="225">
        <v>0.8</v>
      </c>
      <c r="X52" s="225">
        <v>0.8</v>
      </c>
      <c r="Y52" s="225">
        <v>0.8</v>
      </c>
      <c r="Z52" s="225">
        <v>0.8</v>
      </c>
      <c r="AA52" s="226">
        <v>0.8</v>
      </c>
      <c r="AB52" s="226">
        <v>0.6</v>
      </c>
      <c r="AC52" s="226">
        <v>0.8</v>
      </c>
      <c r="AD52" s="226">
        <v>0.8</v>
      </c>
      <c r="AE52" s="226">
        <v>0.1</v>
      </c>
      <c r="AF52" s="226">
        <v>0.1</v>
      </c>
      <c r="AG52" s="226">
        <v>0.1</v>
      </c>
      <c r="AH52" s="226">
        <v>0.1</v>
      </c>
      <c r="AI52" s="226">
        <v>0.8</v>
      </c>
      <c r="AJ52" s="226">
        <v>0.7</v>
      </c>
      <c r="AK52" s="226">
        <v>0.1</v>
      </c>
      <c r="AL52" s="226">
        <v>0.3</v>
      </c>
      <c r="AM52" s="226">
        <v>0.1</v>
      </c>
      <c r="AN52" s="226">
        <v>0.1</v>
      </c>
      <c r="AO52" s="226">
        <v>0.1</v>
      </c>
      <c r="AP52" s="226">
        <v>0.1</v>
      </c>
      <c r="AQ52" s="226">
        <v>0.1</v>
      </c>
      <c r="AR52" s="226">
        <v>0.1</v>
      </c>
      <c r="AS52" s="226">
        <v>0.1</v>
      </c>
      <c r="AT52" s="226">
        <v>0.7</v>
      </c>
      <c r="AU52" s="226">
        <v>0.3</v>
      </c>
      <c r="AV52" s="226">
        <v>0.3</v>
      </c>
      <c r="AW52" s="226">
        <v>0.3</v>
      </c>
      <c r="AX52" s="226">
        <v>0.8</v>
      </c>
      <c r="AY52" s="226">
        <v>0.8</v>
      </c>
      <c r="AZ52" s="226">
        <v>0.8</v>
      </c>
      <c r="BA52" s="226">
        <v>0.6</v>
      </c>
      <c r="BB52" s="226">
        <v>0.6</v>
      </c>
      <c r="BC52" s="226">
        <v>0.8</v>
      </c>
      <c r="BD52" s="226">
        <v>0.7</v>
      </c>
      <c r="BE52" s="226">
        <v>0.8</v>
      </c>
      <c r="BF52" s="226">
        <v>0.1</v>
      </c>
      <c r="BG52" s="226">
        <v>0.1</v>
      </c>
      <c r="BH52" s="226">
        <v>0.3</v>
      </c>
      <c r="BI52" s="226">
        <v>0.3</v>
      </c>
      <c r="BJ52" s="226">
        <v>0.3</v>
      </c>
      <c r="BK52" s="226">
        <v>0.3</v>
      </c>
      <c r="BL52" s="226">
        <v>0.3</v>
      </c>
      <c r="BM52" s="226">
        <v>0.3</v>
      </c>
      <c r="BN52" s="226">
        <v>0.7</v>
      </c>
      <c r="BO52" s="226">
        <v>0.7</v>
      </c>
      <c r="BP52" s="226">
        <v>0.8</v>
      </c>
      <c r="BQ52" s="226">
        <v>0.8</v>
      </c>
      <c r="BR52" s="226">
        <v>0.7</v>
      </c>
      <c r="BS52" s="226">
        <v>0.7</v>
      </c>
      <c r="BT52" s="226">
        <v>0.7</v>
      </c>
      <c r="BU52" s="226">
        <v>0.7</v>
      </c>
      <c r="BV52" s="226">
        <v>0.8</v>
      </c>
      <c r="BW52" s="226">
        <v>0.8</v>
      </c>
      <c r="BX52" s="226">
        <v>0.7</v>
      </c>
      <c r="BY52" s="226">
        <v>0.8</v>
      </c>
      <c r="BZ52" s="226">
        <v>0.8</v>
      </c>
      <c r="CA52" s="226">
        <v>0.8</v>
      </c>
      <c r="CB52" s="226">
        <v>0.8</v>
      </c>
      <c r="CC52" s="226">
        <v>0.8</v>
      </c>
      <c r="CD52" s="226">
        <v>0.8</v>
      </c>
      <c r="CE52" s="226">
        <v>0.8</v>
      </c>
      <c r="CF52" s="226">
        <v>0.8</v>
      </c>
      <c r="CG52" s="226">
        <v>0.8</v>
      </c>
      <c r="CH52" s="226">
        <v>0.8</v>
      </c>
      <c r="CI52" s="226">
        <v>0.8</v>
      </c>
      <c r="CJ52" s="226">
        <v>0.8</v>
      </c>
      <c r="CK52" s="226">
        <v>0.8</v>
      </c>
      <c r="CL52" s="226">
        <v>0.8</v>
      </c>
      <c r="CM52" s="226">
        <v>0.8</v>
      </c>
      <c r="CN52" s="226">
        <v>0.8</v>
      </c>
      <c r="CO52" s="226">
        <v>0.8</v>
      </c>
      <c r="CP52" s="226">
        <v>0.8</v>
      </c>
      <c r="CQ52" s="226">
        <v>0.8</v>
      </c>
      <c r="CR52" s="226">
        <v>0.8</v>
      </c>
      <c r="CS52" s="226">
        <v>0.8</v>
      </c>
      <c r="CT52" s="226">
        <v>0.8</v>
      </c>
      <c r="CU52" s="226">
        <v>0.8</v>
      </c>
      <c r="CV52" s="226">
        <v>0.8</v>
      </c>
      <c r="CW52" s="226">
        <v>0.8</v>
      </c>
      <c r="CX52" s="226">
        <v>0.8</v>
      </c>
      <c r="CY52" s="226">
        <v>0.8</v>
      </c>
      <c r="CZ52" s="226">
        <v>0.8</v>
      </c>
      <c r="DA52" s="226">
        <v>0.8</v>
      </c>
      <c r="DB52" s="226">
        <v>0.8</v>
      </c>
      <c r="DC52" s="226">
        <v>0.8</v>
      </c>
      <c r="DD52" s="226">
        <v>0.8</v>
      </c>
      <c r="DE52" s="226">
        <v>0.8</v>
      </c>
      <c r="DF52" s="226">
        <v>0.8</v>
      </c>
      <c r="DG52" s="226">
        <v>0.8</v>
      </c>
      <c r="DH52" s="226">
        <v>0.8</v>
      </c>
      <c r="DI52" s="226">
        <v>0.8</v>
      </c>
      <c r="DJ52" s="226">
        <v>0.8</v>
      </c>
      <c r="DK52" s="226">
        <v>0.8</v>
      </c>
      <c r="DL52" s="226">
        <v>0.1</v>
      </c>
      <c r="DM52" s="226">
        <v>0</v>
      </c>
      <c r="DN52" s="226">
        <v>0</v>
      </c>
      <c r="DO52" s="226">
        <v>0</v>
      </c>
      <c r="DP52" s="226">
        <v>0</v>
      </c>
      <c r="DQ52" s="226">
        <v>0</v>
      </c>
      <c r="DR52" s="226">
        <v>0</v>
      </c>
      <c r="DS52" s="226">
        <v>0</v>
      </c>
    </row>
    <row r="53" spans="1:123" x14ac:dyDescent="0.15">
      <c r="A53" s="156" t="s">
        <v>273</v>
      </c>
      <c r="B53">
        <v>0.8</v>
      </c>
      <c r="C53" s="226">
        <v>0.8</v>
      </c>
      <c r="D53" s="226">
        <v>0.8</v>
      </c>
      <c r="E53" s="226">
        <v>0.8</v>
      </c>
      <c r="F53" s="226">
        <v>0.8</v>
      </c>
      <c r="G53" s="226">
        <v>0.8</v>
      </c>
      <c r="H53" s="226">
        <v>0.8</v>
      </c>
      <c r="I53" s="226">
        <v>0.8</v>
      </c>
      <c r="J53" s="226">
        <v>0.8</v>
      </c>
      <c r="K53" s="226">
        <v>0.8</v>
      </c>
      <c r="L53" s="226">
        <v>0.8</v>
      </c>
      <c r="M53" s="226">
        <v>0.7</v>
      </c>
      <c r="N53" s="226">
        <v>0.7</v>
      </c>
      <c r="O53" s="226">
        <v>0.6</v>
      </c>
      <c r="P53" s="226">
        <v>0.6</v>
      </c>
      <c r="Q53" s="226">
        <v>0.7</v>
      </c>
      <c r="R53" s="226">
        <v>0.8</v>
      </c>
      <c r="S53" s="226">
        <v>0.8</v>
      </c>
      <c r="T53" s="226">
        <v>0.8</v>
      </c>
      <c r="U53" s="226">
        <v>0.8</v>
      </c>
      <c r="V53" s="226">
        <v>0.8</v>
      </c>
      <c r="W53" s="225">
        <v>0.8</v>
      </c>
      <c r="X53" s="225">
        <v>0.8</v>
      </c>
      <c r="Y53" s="225">
        <v>0.8</v>
      </c>
      <c r="Z53" s="225">
        <v>0.8</v>
      </c>
      <c r="AA53" s="226">
        <v>0.8</v>
      </c>
      <c r="AB53" s="226">
        <v>0.6</v>
      </c>
      <c r="AC53" s="226">
        <v>0.8</v>
      </c>
      <c r="AD53" s="226">
        <v>0.8</v>
      </c>
      <c r="AE53" s="226">
        <v>0.1</v>
      </c>
      <c r="AF53" s="226">
        <v>0.1</v>
      </c>
      <c r="AG53" s="226">
        <v>0.1</v>
      </c>
      <c r="AH53" s="226">
        <v>0.1</v>
      </c>
      <c r="AI53" s="226">
        <v>0.8</v>
      </c>
      <c r="AJ53" s="226">
        <v>0.7</v>
      </c>
      <c r="AK53" s="226">
        <v>0.1</v>
      </c>
      <c r="AL53" s="226">
        <v>0.3</v>
      </c>
      <c r="AM53" s="226">
        <v>0.1</v>
      </c>
      <c r="AN53" s="226">
        <v>0.1</v>
      </c>
      <c r="AO53" s="226">
        <v>0.1</v>
      </c>
      <c r="AP53" s="226">
        <v>0.1</v>
      </c>
      <c r="AQ53" s="226">
        <v>0.1</v>
      </c>
      <c r="AR53" s="226">
        <v>0.1</v>
      </c>
      <c r="AS53" s="226">
        <v>0.1</v>
      </c>
      <c r="AT53" s="226">
        <v>0.7</v>
      </c>
      <c r="AU53" s="226">
        <v>0.3</v>
      </c>
      <c r="AV53" s="226">
        <v>0.3</v>
      </c>
      <c r="AW53" s="226">
        <v>0.3</v>
      </c>
      <c r="AX53" s="226">
        <v>0.8</v>
      </c>
      <c r="AY53" s="226">
        <v>0.8</v>
      </c>
      <c r="AZ53" s="226">
        <v>0.8</v>
      </c>
      <c r="BA53" s="226">
        <v>0.6</v>
      </c>
      <c r="BB53" s="226">
        <v>0.6</v>
      </c>
      <c r="BC53" s="226">
        <v>0.8</v>
      </c>
      <c r="BD53" s="226">
        <v>0.7</v>
      </c>
      <c r="BE53" s="226">
        <v>0.8</v>
      </c>
      <c r="BF53" s="226">
        <v>0.1</v>
      </c>
      <c r="BG53" s="226">
        <v>0.1</v>
      </c>
      <c r="BH53" s="226">
        <v>0.3</v>
      </c>
      <c r="BI53" s="226">
        <v>0.3</v>
      </c>
      <c r="BJ53" s="226">
        <v>0.3</v>
      </c>
      <c r="BK53" s="226">
        <v>0.3</v>
      </c>
      <c r="BL53" s="226">
        <v>0.3</v>
      </c>
      <c r="BM53" s="226">
        <v>0.3</v>
      </c>
      <c r="BN53" s="226">
        <v>0.7</v>
      </c>
      <c r="BO53" s="226">
        <v>0.7</v>
      </c>
      <c r="BP53" s="226">
        <v>0.8</v>
      </c>
      <c r="BQ53" s="226">
        <v>0.8</v>
      </c>
      <c r="BR53" s="226">
        <v>0.7</v>
      </c>
      <c r="BS53" s="226">
        <v>0.7</v>
      </c>
      <c r="BT53" s="226">
        <v>0.7</v>
      </c>
      <c r="BU53" s="226">
        <v>0.7</v>
      </c>
      <c r="BV53" s="226">
        <v>0.8</v>
      </c>
      <c r="BW53" s="226">
        <v>0.8</v>
      </c>
      <c r="BX53" s="226">
        <v>0.7</v>
      </c>
      <c r="BY53" s="226">
        <v>0.8</v>
      </c>
      <c r="BZ53" s="226">
        <v>0.8</v>
      </c>
      <c r="CA53" s="226">
        <v>0.8</v>
      </c>
      <c r="CB53" s="226">
        <v>0.8</v>
      </c>
      <c r="CC53" s="226">
        <v>0.8</v>
      </c>
      <c r="CD53" s="226">
        <v>0.8</v>
      </c>
      <c r="CE53" s="226">
        <v>0.8</v>
      </c>
      <c r="CF53" s="226">
        <v>0.8</v>
      </c>
      <c r="CG53" s="226">
        <v>0.8</v>
      </c>
      <c r="CH53" s="226">
        <v>0.8</v>
      </c>
      <c r="CI53" s="226">
        <v>0.8</v>
      </c>
      <c r="CJ53" s="226">
        <v>0.8</v>
      </c>
      <c r="CK53" s="226">
        <v>0.8</v>
      </c>
      <c r="CL53" s="226">
        <v>0.8</v>
      </c>
      <c r="CM53" s="226">
        <v>0.8</v>
      </c>
      <c r="CN53" s="226">
        <v>0.8</v>
      </c>
      <c r="CO53" s="226">
        <v>0.8</v>
      </c>
      <c r="CP53" s="226">
        <v>0.8</v>
      </c>
      <c r="CQ53" s="226">
        <v>0.8</v>
      </c>
      <c r="CR53" s="226">
        <v>0.8</v>
      </c>
      <c r="CS53" s="226">
        <v>0.8</v>
      </c>
      <c r="CT53" s="226">
        <v>0.8</v>
      </c>
      <c r="CU53" s="226">
        <v>0.8</v>
      </c>
      <c r="CV53" s="226">
        <v>0.8</v>
      </c>
      <c r="CW53" s="226">
        <v>0.8</v>
      </c>
      <c r="CX53" s="226">
        <v>0.8</v>
      </c>
      <c r="CY53" s="226">
        <v>0.8</v>
      </c>
      <c r="CZ53" s="226">
        <v>0.8</v>
      </c>
      <c r="DA53" s="226">
        <v>0.8</v>
      </c>
      <c r="DB53" s="226">
        <v>0.8</v>
      </c>
      <c r="DC53" s="226">
        <v>0.8</v>
      </c>
      <c r="DD53" s="226">
        <v>0.8</v>
      </c>
      <c r="DE53" s="226">
        <v>0.8</v>
      </c>
      <c r="DF53" s="226">
        <v>0.8</v>
      </c>
      <c r="DG53" s="226">
        <v>0.8</v>
      </c>
      <c r="DH53" s="226">
        <v>0.8</v>
      </c>
      <c r="DI53" s="226">
        <v>0.8</v>
      </c>
      <c r="DJ53" s="226">
        <v>0.8</v>
      </c>
      <c r="DK53" s="226">
        <v>0.8</v>
      </c>
      <c r="DL53" s="226">
        <v>0.1</v>
      </c>
      <c r="DM53" s="226">
        <v>0</v>
      </c>
      <c r="DN53" s="226">
        <v>0</v>
      </c>
      <c r="DO53" s="226">
        <v>0</v>
      </c>
      <c r="DP53" s="226">
        <v>0</v>
      </c>
      <c r="DQ53" s="226">
        <v>0</v>
      </c>
      <c r="DR53" s="226">
        <v>0</v>
      </c>
      <c r="DS53" s="226">
        <v>0</v>
      </c>
    </row>
    <row r="54" spans="1:123" x14ac:dyDescent="0.15">
      <c r="A54" s="156" t="s">
        <v>274</v>
      </c>
      <c r="B54">
        <v>0.8</v>
      </c>
      <c r="C54" s="226">
        <v>0.8</v>
      </c>
      <c r="D54" s="226">
        <v>0.8</v>
      </c>
      <c r="E54" s="226">
        <v>0.8</v>
      </c>
      <c r="F54" s="226">
        <v>0.8</v>
      </c>
      <c r="G54" s="226">
        <v>0.8</v>
      </c>
      <c r="H54" s="226">
        <v>0.8</v>
      </c>
      <c r="I54" s="226">
        <v>0.8</v>
      </c>
      <c r="J54" s="226">
        <v>0.8</v>
      </c>
      <c r="K54" s="226">
        <v>0.8</v>
      </c>
      <c r="L54" s="226">
        <v>0.8</v>
      </c>
      <c r="M54" s="226">
        <v>0.7</v>
      </c>
      <c r="N54" s="226">
        <v>0.7</v>
      </c>
      <c r="O54" s="226">
        <v>0.6</v>
      </c>
      <c r="P54" s="226">
        <v>0.6</v>
      </c>
      <c r="Q54" s="226">
        <v>0.7</v>
      </c>
      <c r="R54" s="226">
        <v>0.8</v>
      </c>
      <c r="S54" s="226">
        <v>0.8</v>
      </c>
      <c r="T54" s="226">
        <v>0.8</v>
      </c>
      <c r="U54" s="226">
        <v>0.8</v>
      </c>
      <c r="V54" s="226">
        <v>0.8</v>
      </c>
      <c r="W54" s="225">
        <v>0.8</v>
      </c>
      <c r="X54" s="225">
        <v>0.8</v>
      </c>
      <c r="Y54" s="225">
        <v>0.8</v>
      </c>
      <c r="Z54" s="225">
        <v>0.8</v>
      </c>
      <c r="AA54" s="226">
        <v>0.8</v>
      </c>
      <c r="AB54" s="226">
        <v>0.6</v>
      </c>
      <c r="AC54" s="226">
        <v>0.8</v>
      </c>
      <c r="AD54" s="226">
        <v>0.8</v>
      </c>
      <c r="AE54" s="226">
        <v>0.1</v>
      </c>
      <c r="AF54" s="226">
        <v>0.1</v>
      </c>
      <c r="AG54" s="226">
        <v>0.1</v>
      </c>
      <c r="AH54" s="226">
        <v>0.1</v>
      </c>
      <c r="AI54" s="226">
        <v>0.8</v>
      </c>
      <c r="AJ54" s="226">
        <v>0.7</v>
      </c>
      <c r="AK54" s="226">
        <v>0.1</v>
      </c>
      <c r="AL54" s="226">
        <v>0.3</v>
      </c>
      <c r="AM54" s="226">
        <v>0.1</v>
      </c>
      <c r="AN54" s="226">
        <v>0.1</v>
      </c>
      <c r="AO54" s="226">
        <v>0.1</v>
      </c>
      <c r="AP54" s="226">
        <v>0.1</v>
      </c>
      <c r="AQ54" s="226">
        <v>0.1</v>
      </c>
      <c r="AR54" s="226">
        <v>0.1</v>
      </c>
      <c r="AS54" s="226">
        <v>0.1</v>
      </c>
      <c r="AT54" s="226">
        <v>0.7</v>
      </c>
      <c r="AU54" s="226">
        <v>0.3</v>
      </c>
      <c r="AV54" s="226">
        <v>0.3</v>
      </c>
      <c r="AW54" s="226">
        <v>0.3</v>
      </c>
      <c r="AX54" s="226">
        <v>0.8</v>
      </c>
      <c r="AY54" s="226">
        <v>0.8</v>
      </c>
      <c r="AZ54" s="226">
        <v>0.8</v>
      </c>
      <c r="BA54" s="226">
        <v>0.6</v>
      </c>
      <c r="BB54" s="226">
        <v>0.6</v>
      </c>
      <c r="BC54" s="226">
        <v>0.8</v>
      </c>
      <c r="BD54" s="226">
        <v>0.7</v>
      </c>
      <c r="BE54" s="226">
        <v>0.8</v>
      </c>
      <c r="BF54" s="226">
        <v>0.1</v>
      </c>
      <c r="BG54" s="226">
        <v>0.1</v>
      </c>
      <c r="BH54" s="226">
        <v>0.3</v>
      </c>
      <c r="BI54" s="226">
        <v>0.3</v>
      </c>
      <c r="BJ54" s="226">
        <v>0.3</v>
      </c>
      <c r="BK54" s="226">
        <v>0.3</v>
      </c>
      <c r="BL54" s="226">
        <v>0.3</v>
      </c>
      <c r="BM54" s="226">
        <v>0.3</v>
      </c>
      <c r="BN54" s="226">
        <v>0.7</v>
      </c>
      <c r="BO54" s="226">
        <v>0.7</v>
      </c>
      <c r="BP54" s="226">
        <v>0.8</v>
      </c>
      <c r="BQ54" s="226">
        <v>0.8</v>
      </c>
      <c r="BR54" s="226">
        <v>0.7</v>
      </c>
      <c r="BS54" s="226">
        <v>0.7</v>
      </c>
      <c r="BT54" s="226">
        <v>0.7</v>
      </c>
      <c r="BU54" s="226">
        <v>0.7</v>
      </c>
      <c r="BV54" s="226">
        <v>0.8</v>
      </c>
      <c r="BW54" s="226">
        <v>0.8</v>
      </c>
      <c r="BX54" s="226">
        <v>0.7</v>
      </c>
      <c r="BY54" s="226">
        <v>0.8</v>
      </c>
      <c r="BZ54" s="226">
        <v>0.8</v>
      </c>
      <c r="CA54" s="226">
        <v>0.8</v>
      </c>
      <c r="CB54" s="226">
        <v>0.8</v>
      </c>
      <c r="CC54" s="226">
        <v>0.8</v>
      </c>
      <c r="CD54" s="226">
        <v>0.8</v>
      </c>
      <c r="CE54" s="226">
        <v>0.8</v>
      </c>
      <c r="CF54" s="226">
        <v>0.8</v>
      </c>
      <c r="CG54" s="226">
        <v>0.8</v>
      </c>
      <c r="CH54" s="226">
        <v>0.8</v>
      </c>
      <c r="CI54" s="226">
        <v>0.8</v>
      </c>
      <c r="CJ54" s="226">
        <v>0.8</v>
      </c>
      <c r="CK54" s="226">
        <v>0.8</v>
      </c>
      <c r="CL54" s="226">
        <v>0.8</v>
      </c>
      <c r="CM54" s="226">
        <v>0.8</v>
      </c>
      <c r="CN54" s="226">
        <v>0.8</v>
      </c>
      <c r="CO54" s="226">
        <v>0.8</v>
      </c>
      <c r="CP54" s="226">
        <v>0.8</v>
      </c>
      <c r="CQ54" s="226">
        <v>0.8</v>
      </c>
      <c r="CR54" s="226">
        <v>0.8</v>
      </c>
      <c r="CS54" s="226">
        <v>0.8</v>
      </c>
      <c r="CT54" s="226">
        <v>0.8</v>
      </c>
      <c r="CU54" s="226">
        <v>0.8</v>
      </c>
      <c r="CV54" s="226">
        <v>0.8</v>
      </c>
      <c r="CW54" s="226">
        <v>0.8</v>
      </c>
      <c r="CX54" s="226">
        <v>0.8</v>
      </c>
      <c r="CY54" s="226">
        <v>0.8</v>
      </c>
      <c r="CZ54" s="226">
        <v>0.8</v>
      </c>
      <c r="DA54" s="226">
        <v>0.8</v>
      </c>
      <c r="DB54" s="226">
        <v>0.8</v>
      </c>
      <c r="DC54" s="226">
        <v>0.8</v>
      </c>
      <c r="DD54" s="226">
        <v>0.8</v>
      </c>
      <c r="DE54" s="226">
        <v>0.8</v>
      </c>
      <c r="DF54" s="226">
        <v>0.8</v>
      </c>
      <c r="DG54" s="226">
        <v>0.8</v>
      </c>
      <c r="DH54" s="226">
        <v>0.8</v>
      </c>
      <c r="DI54" s="226">
        <v>0.8</v>
      </c>
      <c r="DJ54" s="226">
        <v>0.8</v>
      </c>
      <c r="DK54" s="226">
        <v>0.8</v>
      </c>
      <c r="DL54" s="226">
        <v>0.1</v>
      </c>
      <c r="DM54" s="226">
        <v>0</v>
      </c>
      <c r="DN54" s="226">
        <v>0</v>
      </c>
      <c r="DO54" s="226">
        <v>0</v>
      </c>
      <c r="DP54" s="226">
        <v>0</v>
      </c>
      <c r="DQ54" s="226">
        <v>0</v>
      </c>
      <c r="DR54" s="226">
        <v>0</v>
      </c>
      <c r="DS54" s="226">
        <v>0</v>
      </c>
    </row>
    <row r="55" spans="1:123" x14ac:dyDescent="0.15">
      <c r="A55" s="156" t="s">
        <v>275</v>
      </c>
      <c r="B55">
        <v>0.8</v>
      </c>
      <c r="C55" s="226">
        <v>0.8</v>
      </c>
      <c r="D55" s="226">
        <v>0.8</v>
      </c>
      <c r="E55" s="226">
        <v>0.8</v>
      </c>
      <c r="F55" s="226">
        <v>0.8</v>
      </c>
      <c r="G55" s="226">
        <v>0.8</v>
      </c>
      <c r="H55" s="226">
        <v>0.8</v>
      </c>
      <c r="I55" s="226">
        <v>0.8</v>
      </c>
      <c r="J55" s="226">
        <v>0.8</v>
      </c>
      <c r="K55" s="226">
        <v>0.8</v>
      </c>
      <c r="L55" s="226">
        <v>0.8</v>
      </c>
      <c r="M55" s="226">
        <v>0.7</v>
      </c>
      <c r="N55" s="226">
        <v>0.7</v>
      </c>
      <c r="O55" s="226">
        <v>0.6</v>
      </c>
      <c r="P55" s="226">
        <v>0.6</v>
      </c>
      <c r="Q55" s="226">
        <v>0.7</v>
      </c>
      <c r="R55" s="226">
        <v>0.8</v>
      </c>
      <c r="S55" s="226">
        <v>0.8</v>
      </c>
      <c r="T55" s="226">
        <v>0.8</v>
      </c>
      <c r="U55" s="226">
        <v>0.8</v>
      </c>
      <c r="V55" s="226">
        <v>0.8</v>
      </c>
      <c r="W55" s="225">
        <v>0.8</v>
      </c>
      <c r="X55" s="225">
        <v>0.8</v>
      </c>
      <c r="Y55" s="225">
        <v>0.8</v>
      </c>
      <c r="Z55" s="225">
        <v>0.8</v>
      </c>
      <c r="AA55" s="226">
        <v>0.8</v>
      </c>
      <c r="AB55" s="226">
        <v>0.6</v>
      </c>
      <c r="AC55" s="226">
        <v>0.8</v>
      </c>
      <c r="AD55" s="226">
        <v>0.8</v>
      </c>
      <c r="AE55" s="226">
        <v>0.1</v>
      </c>
      <c r="AF55" s="226">
        <v>0.1</v>
      </c>
      <c r="AG55" s="226">
        <v>0.1</v>
      </c>
      <c r="AH55" s="226">
        <v>0.1</v>
      </c>
      <c r="AI55" s="226">
        <v>0.8</v>
      </c>
      <c r="AJ55" s="226">
        <v>0.7</v>
      </c>
      <c r="AK55" s="226">
        <v>0.1</v>
      </c>
      <c r="AL55" s="226">
        <v>0.3</v>
      </c>
      <c r="AM55" s="226">
        <v>0.1</v>
      </c>
      <c r="AN55" s="226">
        <v>0.1</v>
      </c>
      <c r="AO55" s="226">
        <v>0.1</v>
      </c>
      <c r="AP55" s="226">
        <v>0.1</v>
      </c>
      <c r="AQ55" s="226">
        <v>0.1</v>
      </c>
      <c r="AR55" s="226">
        <v>0.1</v>
      </c>
      <c r="AS55" s="226">
        <v>0.1</v>
      </c>
      <c r="AT55" s="226">
        <v>0.7</v>
      </c>
      <c r="AU55" s="226">
        <v>0.3</v>
      </c>
      <c r="AV55" s="226">
        <v>0.3</v>
      </c>
      <c r="AW55" s="226">
        <v>0.3</v>
      </c>
      <c r="AX55" s="226">
        <v>0.8</v>
      </c>
      <c r="AY55" s="226">
        <v>0.8</v>
      </c>
      <c r="AZ55" s="226">
        <v>0.8</v>
      </c>
      <c r="BA55" s="226">
        <v>0.6</v>
      </c>
      <c r="BB55" s="226">
        <v>0.6</v>
      </c>
      <c r="BC55" s="226">
        <v>0.8</v>
      </c>
      <c r="BD55" s="226">
        <v>0.7</v>
      </c>
      <c r="BE55" s="226">
        <v>0.8</v>
      </c>
      <c r="BF55" s="226">
        <v>0.1</v>
      </c>
      <c r="BG55" s="226">
        <v>0.1</v>
      </c>
      <c r="BH55" s="226">
        <v>0.3</v>
      </c>
      <c r="BI55" s="226">
        <v>0.3</v>
      </c>
      <c r="BJ55" s="226">
        <v>0.3</v>
      </c>
      <c r="BK55" s="226">
        <v>0.3</v>
      </c>
      <c r="BL55" s="226">
        <v>0.3</v>
      </c>
      <c r="BM55" s="226">
        <v>0.3</v>
      </c>
      <c r="BN55" s="226">
        <v>0.7</v>
      </c>
      <c r="BO55" s="226">
        <v>0.7</v>
      </c>
      <c r="BP55" s="226">
        <v>0.8</v>
      </c>
      <c r="BQ55" s="226">
        <v>0.8</v>
      </c>
      <c r="BR55" s="226">
        <v>0.7</v>
      </c>
      <c r="BS55" s="226">
        <v>0.7</v>
      </c>
      <c r="BT55" s="226">
        <v>0.7</v>
      </c>
      <c r="BU55" s="226">
        <v>0.7</v>
      </c>
      <c r="BV55" s="226">
        <v>0.8</v>
      </c>
      <c r="BW55" s="226">
        <v>0.8</v>
      </c>
      <c r="BX55" s="226">
        <v>0.7</v>
      </c>
      <c r="BY55" s="226">
        <v>0.8</v>
      </c>
      <c r="BZ55" s="226">
        <v>0.8</v>
      </c>
      <c r="CA55" s="226">
        <v>0.8</v>
      </c>
      <c r="CB55" s="226">
        <v>0.8</v>
      </c>
      <c r="CC55" s="226">
        <v>0.8</v>
      </c>
      <c r="CD55" s="226">
        <v>0.8</v>
      </c>
      <c r="CE55" s="226">
        <v>0.8</v>
      </c>
      <c r="CF55" s="226">
        <v>0.8</v>
      </c>
      <c r="CG55" s="226">
        <v>0.8</v>
      </c>
      <c r="CH55" s="226">
        <v>0.8</v>
      </c>
      <c r="CI55" s="226">
        <v>0.8</v>
      </c>
      <c r="CJ55" s="226">
        <v>0.8</v>
      </c>
      <c r="CK55" s="226">
        <v>0.8</v>
      </c>
      <c r="CL55" s="226">
        <v>0.8</v>
      </c>
      <c r="CM55" s="226">
        <v>0.8</v>
      </c>
      <c r="CN55" s="226">
        <v>0.8</v>
      </c>
      <c r="CO55" s="226">
        <v>0.8</v>
      </c>
      <c r="CP55" s="226">
        <v>0.8</v>
      </c>
      <c r="CQ55" s="226">
        <v>0.8</v>
      </c>
      <c r="CR55" s="226">
        <v>0.8</v>
      </c>
      <c r="CS55" s="226">
        <v>0.8</v>
      </c>
      <c r="CT55" s="226">
        <v>0.8</v>
      </c>
      <c r="CU55" s="226">
        <v>0.8</v>
      </c>
      <c r="CV55" s="226">
        <v>0.8</v>
      </c>
      <c r="CW55" s="226">
        <v>0.8</v>
      </c>
      <c r="CX55" s="226">
        <v>0.8</v>
      </c>
      <c r="CY55" s="226">
        <v>0.8</v>
      </c>
      <c r="CZ55" s="226">
        <v>0.8</v>
      </c>
      <c r="DA55" s="226">
        <v>0.8</v>
      </c>
      <c r="DB55" s="226">
        <v>0.8</v>
      </c>
      <c r="DC55" s="226">
        <v>0.8</v>
      </c>
      <c r="DD55" s="226">
        <v>0.8</v>
      </c>
      <c r="DE55" s="226">
        <v>0.8</v>
      </c>
      <c r="DF55" s="226">
        <v>0.8</v>
      </c>
      <c r="DG55" s="226">
        <v>0.8</v>
      </c>
      <c r="DH55" s="226">
        <v>0.8</v>
      </c>
      <c r="DI55" s="226">
        <v>0.8</v>
      </c>
      <c r="DJ55" s="226">
        <v>0.8</v>
      </c>
      <c r="DK55" s="226">
        <v>0.8</v>
      </c>
      <c r="DL55" s="226">
        <v>0.1</v>
      </c>
      <c r="DM55" s="226">
        <v>0</v>
      </c>
      <c r="DN55" s="226">
        <v>0</v>
      </c>
      <c r="DO55" s="226">
        <v>0</v>
      </c>
      <c r="DP55" s="226">
        <v>0</v>
      </c>
      <c r="DQ55" s="226">
        <v>0</v>
      </c>
      <c r="DR55" s="226">
        <v>0</v>
      </c>
      <c r="DS55" s="226">
        <v>0</v>
      </c>
    </row>
    <row r="56" spans="1:123" x14ac:dyDescent="0.15">
      <c r="A56" s="156" t="s">
        <v>276</v>
      </c>
      <c r="B56">
        <v>0.8</v>
      </c>
      <c r="C56" s="226">
        <v>0.8</v>
      </c>
      <c r="D56" s="226">
        <v>0.8</v>
      </c>
      <c r="E56" s="226">
        <v>0.8</v>
      </c>
      <c r="F56" s="226">
        <v>0.8</v>
      </c>
      <c r="G56" s="226">
        <v>0.8</v>
      </c>
      <c r="H56" s="226">
        <v>0.8</v>
      </c>
      <c r="I56" s="226">
        <v>0.8</v>
      </c>
      <c r="J56" s="226">
        <v>0.8</v>
      </c>
      <c r="K56" s="226">
        <v>0.8</v>
      </c>
      <c r="L56" s="226">
        <v>0.8</v>
      </c>
      <c r="M56" s="226">
        <v>0.7</v>
      </c>
      <c r="N56" s="226">
        <v>0.7</v>
      </c>
      <c r="O56" s="226">
        <v>0.6</v>
      </c>
      <c r="P56" s="226">
        <v>0.6</v>
      </c>
      <c r="Q56" s="226">
        <v>0.7</v>
      </c>
      <c r="R56" s="226">
        <v>0.8</v>
      </c>
      <c r="S56" s="226">
        <v>0.8</v>
      </c>
      <c r="T56" s="226">
        <v>0.8</v>
      </c>
      <c r="U56" s="226">
        <v>0.8</v>
      </c>
      <c r="V56" s="226">
        <v>0.8</v>
      </c>
      <c r="W56" s="225">
        <v>0.8</v>
      </c>
      <c r="X56" s="225">
        <v>0.8</v>
      </c>
      <c r="Y56" s="225">
        <v>0.8</v>
      </c>
      <c r="Z56" s="225">
        <v>0.8</v>
      </c>
      <c r="AA56" s="226">
        <v>0.8</v>
      </c>
      <c r="AB56" s="226">
        <v>0.6</v>
      </c>
      <c r="AC56" s="226">
        <v>0.8</v>
      </c>
      <c r="AD56" s="226">
        <v>0.8</v>
      </c>
      <c r="AE56" s="226">
        <v>0.1</v>
      </c>
      <c r="AF56" s="226">
        <v>0.1</v>
      </c>
      <c r="AG56" s="226">
        <v>0.1</v>
      </c>
      <c r="AH56" s="226">
        <v>0.1</v>
      </c>
      <c r="AI56" s="226">
        <v>0.8</v>
      </c>
      <c r="AJ56" s="226">
        <v>0.7</v>
      </c>
      <c r="AK56" s="226">
        <v>0.1</v>
      </c>
      <c r="AL56" s="226">
        <v>0.3</v>
      </c>
      <c r="AM56" s="226">
        <v>0.1</v>
      </c>
      <c r="AN56" s="226">
        <v>0.1</v>
      </c>
      <c r="AO56" s="226">
        <v>0.1</v>
      </c>
      <c r="AP56" s="226">
        <v>0.1</v>
      </c>
      <c r="AQ56" s="226">
        <v>0.1</v>
      </c>
      <c r="AR56" s="226">
        <v>0.1</v>
      </c>
      <c r="AS56" s="226">
        <v>0.1</v>
      </c>
      <c r="AT56" s="226">
        <v>0.7</v>
      </c>
      <c r="AU56" s="226">
        <v>0.3</v>
      </c>
      <c r="AV56" s="226">
        <v>0.3</v>
      </c>
      <c r="AW56" s="226">
        <v>0.3</v>
      </c>
      <c r="AX56" s="226">
        <v>0.8</v>
      </c>
      <c r="AY56" s="226">
        <v>0.8</v>
      </c>
      <c r="AZ56" s="226">
        <v>0.8</v>
      </c>
      <c r="BA56" s="226">
        <v>0.6</v>
      </c>
      <c r="BB56" s="226">
        <v>0.6</v>
      </c>
      <c r="BC56" s="226">
        <v>0.8</v>
      </c>
      <c r="BD56" s="226">
        <v>0.7</v>
      </c>
      <c r="BE56" s="226">
        <v>0.8</v>
      </c>
      <c r="BF56" s="226">
        <v>0.1</v>
      </c>
      <c r="BG56" s="226">
        <v>0.1</v>
      </c>
      <c r="BH56" s="226">
        <v>0.3</v>
      </c>
      <c r="BI56" s="226">
        <v>0.3</v>
      </c>
      <c r="BJ56" s="226">
        <v>0.3</v>
      </c>
      <c r="BK56" s="226">
        <v>0.3</v>
      </c>
      <c r="BL56" s="226">
        <v>0.3</v>
      </c>
      <c r="BM56" s="226">
        <v>0.3</v>
      </c>
      <c r="BN56" s="226">
        <v>0.7</v>
      </c>
      <c r="BO56" s="226">
        <v>0.7</v>
      </c>
      <c r="BP56" s="226">
        <v>0.8</v>
      </c>
      <c r="BQ56" s="226">
        <v>0.8</v>
      </c>
      <c r="BR56" s="226">
        <v>0.7</v>
      </c>
      <c r="BS56" s="226">
        <v>0.7</v>
      </c>
      <c r="BT56" s="226">
        <v>0.7</v>
      </c>
      <c r="BU56" s="226">
        <v>0.7</v>
      </c>
      <c r="BV56" s="226">
        <v>0.8</v>
      </c>
      <c r="BW56" s="226">
        <v>0.8</v>
      </c>
      <c r="BX56" s="226">
        <v>0.7</v>
      </c>
      <c r="BY56" s="226">
        <v>0.8</v>
      </c>
      <c r="BZ56" s="226">
        <v>0.8</v>
      </c>
      <c r="CA56" s="226">
        <v>0.8</v>
      </c>
      <c r="CB56" s="226">
        <v>0.8</v>
      </c>
      <c r="CC56" s="226">
        <v>0.8</v>
      </c>
      <c r="CD56" s="226">
        <v>0.8</v>
      </c>
      <c r="CE56" s="226">
        <v>0.8</v>
      </c>
      <c r="CF56" s="226">
        <v>0.8</v>
      </c>
      <c r="CG56" s="226">
        <v>0.8</v>
      </c>
      <c r="CH56" s="226">
        <v>0.8</v>
      </c>
      <c r="CI56" s="226">
        <v>0.8</v>
      </c>
      <c r="CJ56" s="226">
        <v>0.8</v>
      </c>
      <c r="CK56" s="226">
        <v>0.8</v>
      </c>
      <c r="CL56" s="226">
        <v>0.8</v>
      </c>
      <c r="CM56" s="226">
        <v>0.8</v>
      </c>
      <c r="CN56" s="226">
        <v>0.8</v>
      </c>
      <c r="CO56" s="226">
        <v>0.8</v>
      </c>
      <c r="CP56" s="226">
        <v>0.8</v>
      </c>
      <c r="CQ56" s="226">
        <v>0.8</v>
      </c>
      <c r="CR56" s="226">
        <v>0.8</v>
      </c>
      <c r="CS56" s="226">
        <v>0.8</v>
      </c>
      <c r="CT56" s="226">
        <v>0.8</v>
      </c>
      <c r="CU56" s="226">
        <v>0.8</v>
      </c>
      <c r="CV56" s="226">
        <v>0.8</v>
      </c>
      <c r="CW56" s="226">
        <v>0.8</v>
      </c>
      <c r="CX56" s="226">
        <v>0.8</v>
      </c>
      <c r="CY56" s="226">
        <v>0.8</v>
      </c>
      <c r="CZ56" s="226">
        <v>0.8</v>
      </c>
      <c r="DA56" s="226">
        <v>0.8</v>
      </c>
      <c r="DB56" s="226">
        <v>0.8</v>
      </c>
      <c r="DC56" s="226">
        <v>0.8</v>
      </c>
      <c r="DD56" s="226">
        <v>0.8</v>
      </c>
      <c r="DE56" s="226">
        <v>0.8</v>
      </c>
      <c r="DF56" s="226">
        <v>0.8</v>
      </c>
      <c r="DG56" s="226">
        <v>0.8</v>
      </c>
      <c r="DH56" s="226">
        <v>0.8</v>
      </c>
      <c r="DI56" s="226">
        <v>0.8</v>
      </c>
      <c r="DJ56" s="226">
        <v>0.8</v>
      </c>
      <c r="DK56" s="226">
        <v>0.8</v>
      </c>
      <c r="DL56" s="226">
        <v>0.1</v>
      </c>
      <c r="DM56" s="226">
        <v>0</v>
      </c>
      <c r="DN56" s="226">
        <v>0</v>
      </c>
      <c r="DO56" s="226">
        <v>0</v>
      </c>
      <c r="DP56" s="226">
        <v>0</v>
      </c>
      <c r="DQ56" s="226">
        <v>0</v>
      </c>
      <c r="DR56" s="226">
        <v>0</v>
      </c>
      <c r="DS56" s="226">
        <v>0</v>
      </c>
    </row>
    <row r="57" spans="1:123" x14ac:dyDescent="0.15">
      <c r="A57" s="156" t="s">
        <v>277</v>
      </c>
      <c r="B57">
        <v>0.8</v>
      </c>
      <c r="C57" s="226">
        <v>0.8</v>
      </c>
      <c r="D57" s="226">
        <v>0.8</v>
      </c>
      <c r="E57" s="226">
        <v>0.8</v>
      </c>
      <c r="F57" s="226">
        <v>0.8</v>
      </c>
      <c r="G57" s="226">
        <v>0.8</v>
      </c>
      <c r="H57" s="226">
        <v>0.8</v>
      </c>
      <c r="I57" s="226">
        <v>0.8</v>
      </c>
      <c r="J57" s="226">
        <v>0.8</v>
      </c>
      <c r="K57" s="226">
        <v>0.8</v>
      </c>
      <c r="L57" s="226">
        <v>0.8</v>
      </c>
      <c r="M57" s="226">
        <v>0.7</v>
      </c>
      <c r="N57" s="226">
        <v>0.7</v>
      </c>
      <c r="O57" s="226">
        <v>0.6</v>
      </c>
      <c r="P57" s="226">
        <v>0.6</v>
      </c>
      <c r="Q57" s="226">
        <v>0.7</v>
      </c>
      <c r="R57" s="226">
        <v>0.8</v>
      </c>
      <c r="S57" s="226">
        <v>0.8</v>
      </c>
      <c r="T57" s="226">
        <v>0.8</v>
      </c>
      <c r="U57" s="226">
        <v>0.8</v>
      </c>
      <c r="V57" s="226">
        <v>0.8</v>
      </c>
      <c r="W57" s="225">
        <v>0.8</v>
      </c>
      <c r="X57" s="225">
        <v>0.8</v>
      </c>
      <c r="Y57" s="225">
        <v>0.8</v>
      </c>
      <c r="Z57" s="225">
        <v>0.8</v>
      </c>
      <c r="AA57" s="226">
        <v>0.8</v>
      </c>
      <c r="AB57" s="226">
        <v>0.6</v>
      </c>
      <c r="AC57" s="226">
        <v>0.8</v>
      </c>
      <c r="AD57" s="226">
        <v>0.8</v>
      </c>
      <c r="AE57" s="226">
        <v>0.1</v>
      </c>
      <c r="AF57" s="226">
        <v>0.1</v>
      </c>
      <c r="AG57" s="226">
        <v>0.1</v>
      </c>
      <c r="AH57" s="226">
        <v>0.1</v>
      </c>
      <c r="AI57" s="226">
        <v>0.8</v>
      </c>
      <c r="AJ57" s="226">
        <v>0.7</v>
      </c>
      <c r="AK57" s="226">
        <v>0.1</v>
      </c>
      <c r="AL57" s="226">
        <v>0.3</v>
      </c>
      <c r="AM57" s="226">
        <v>0.1</v>
      </c>
      <c r="AN57" s="226">
        <v>0.1</v>
      </c>
      <c r="AO57" s="226">
        <v>0.1</v>
      </c>
      <c r="AP57" s="226">
        <v>0.1</v>
      </c>
      <c r="AQ57" s="226">
        <v>0.1</v>
      </c>
      <c r="AR57" s="226">
        <v>0.1</v>
      </c>
      <c r="AS57" s="226">
        <v>0.1</v>
      </c>
      <c r="AT57" s="226">
        <v>0.7</v>
      </c>
      <c r="AU57" s="226">
        <v>0.3</v>
      </c>
      <c r="AV57" s="226">
        <v>0.3</v>
      </c>
      <c r="AW57" s="226">
        <v>0.3</v>
      </c>
      <c r="AX57" s="226">
        <v>0.8</v>
      </c>
      <c r="AY57" s="226">
        <v>0.8</v>
      </c>
      <c r="AZ57" s="226">
        <v>0.8</v>
      </c>
      <c r="BA57" s="226">
        <v>0.6</v>
      </c>
      <c r="BB57" s="226">
        <v>0.6</v>
      </c>
      <c r="BC57" s="226">
        <v>0.8</v>
      </c>
      <c r="BD57" s="226">
        <v>0.7</v>
      </c>
      <c r="BE57" s="226">
        <v>0.8</v>
      </c>
      <c r="BF57" s="226">
        <v>0.1</v>
      </c>
      <c r="BG57" s="226">
        <v>0.1</v>
      </c>
      <c r="BH57" s="226">
        <v>0.3</v>
      </c>
      <c r="BI57" s="226">
        <v>0.3</v>
      </c>
      <c r="BJ57" s="226">
        <v>0.3</v>
      </c>
      <c r="BK57" s="226">
        <v>0.3</v>
      </c>
      <c r="BL57" s="226">
        <v>0.3</v>
      </c>
      <c r="BM57" s="226">
        <v>0.3</v>
      </c>
      <c r="BN57" s="226">
        <v>0.7</v>
      </c>
      <c r="BO57" s="226">
        <v>0.7</v>
      </c>
      <c r="BP57" s="226">
        <v>0.8</v>
      </c>
      <c r="BQ57" s="226">
        <v>0.8</v>
      </c>
      <c r="BR57" s="226">
        <v>0.7</v>
      </c>
      <c r="BS57" s="226">
        <v>0.7</v>
      </c>
      <c r="BT57" s="226">
        <v>0.7</v>
      </c>
      <c r="BU57" s="226">
        <v>0.7</v>
      </c>
      <c r="BV57" s="226">
        <v>0.8</v>
      </c>
      <c r="BW57" s="226">
        <v>0.8</v>
      </c>
      <c r="BX57" s="226">
        <v>0.7</v>
      </c>
      <c r="BY57" s="226">
        <v>0.8</v>
      </c>
      <c r="BZ57" s="226">
        <v>0.8</v>
      </c>
      <c r="CA57" s="226">
        <v>0.8</v>
      </c>
      <c r="CB57" s="226">
        <v>0.8</v>
      </c>
      <c r="CC57" s="226">
        <v>0.8</v>
      </c>
      <c r="CD57" s="226">
        <v>0.8</v>
      </c>
      <c r="CE57" s="226">
        <v>0.8</v>
      </c>
      <c r="CF57" s="226">
        <v>0.8</v>
      </c>
      <c r="CG57" s="226">
        <v>0.8</v>
      </c>
      <c r="CH57" s="226">
        <v>0.8</v>
      </c>
      <c r="CI57" s="226">
        <v>0.8</v>
      </c>
      <c r="CJ57" s="226">
        <v>0.8</v>
      </c>
      <c r="CK57" s="226">
        <v>0.8</v>
      </c>
      <c r="CL57" s="226">
        <v>0.8</v>
      </c>
      <c r="CM57" s="226">
        <v>0.8</v>
      </c>
      <c r="CN57" s="226">
        <v>0.8</v>
      </c>
      <c r="CO57" s="226">
        <v>0.8</v>
      </c>
      <c r="CP57" s="226">
        <v>0.8</v>
      </c>
      <c r="CQ57" s="226">
        <v>0.8</v>
      </c>
      <c r="CR57" s="226">
        <v>0.8</v>
      </c>
      <c r="CS57" s="226">
        <v>0.8</v>
      </c>
      <c r="CT57" s="226">
        <v>0.8</v>
      </c>
      <c r="CU57" s="226">
        <v>0.8</v>
      </c>
      <c r="CV57" s="226">
        <v>0.8</v>
      </c>
      <c r="CW57" s="226">
        <v>0.8</v>
      </c>
      <c r="CX57" s="226">
        <v>0.8</v>
      </c>
      <c r="CY57" s="226">
        <v>0.8</v>
      </c>
      <c r="CZ57" s="226">
        <v>0.8</v>
      </c>
      <c r="DA57" s="226">
        <v>0.8</v>
      </c>
      <c r="DB57" s="226">
        <v>0.8</v>
      </c>
      <c r="DC57" s="226">
        <v>0.8</v>
      </c>
      <c r="DD57" s="226">
        <v>0.8</v>
      </c>
      <c r="DE57" s="226">
        <v>0.8</v>
      </c>
      <c r="DF57" s="226">
        <v>0.8</v>
      </c>
      <c r="DG57" s="226">
        <v>0.8</v>
      </c>
      <c r="DH57" s="226">
        <v>0.8</v>
      </c>
      <c r="DI57" s="226">
        <v>0.8</v>
      </c>
      <c r="DJ57" s="226">
        <v>0.8</v>
      </c>
      <c r="DK57" s="226">
        <v>0.8</v>
      </c>
      <c r="DL57" s="226">
        <v>0.1</v>
      </c>
      <c r="DM57" s="226">
        <v>0</v>
      </c>
      <c r="DN57" s="226">
        <v>0</v>
      </c>
      <c r="DO57" s="226">
        <v>0</v>
      </c>
      <c r="DP57" s="226">
        <v>0</v>
      </c>
      <c r="DQ57" s="226">
        <v>0</v>
      </c>
      <c r="DR57" s="226">
        <v>0</v>
      </c>
      <c r="DS57" s="226">
        <v>0</v>
      </c>
    </row>
    <row r="58" spans="1:123" x14ac:dyDescent="0.15">
      <c r="A58" s="156" t="s">
        <v>278</v>
      </c>
      <c r="B58">
        <v>0.8</v>
      </c>
      <c r="C58" s="226">
        <v>0.8</v>
      </c>
      <c r="D58" s="226">
        <v>0.8</v>
      </c>
      <c r="E58" s="226">
        <v>0.8</v>
      </c>
      <c r="F58" s="226">
        <v>0.8</v>
      </c>
      <c r="G58" s="226">
        <v>0.8</v>
      </c>
      <c r="H58" s="226">
        <v>0.8</v>
      </c>
      <c r="I58" s="226">
        <v>0.8</v>
      </c>
      <c r="J58" s="226">
        <v>0.8</v>
      </c>
      <c r="K58" s="226">
        <v>0.8</v>
      </c>
      <c r="L58" s="226">
        <v>0.8</v>
      </c>
      <c r="M58" s="226">
        <v>0.7</v>
      </c>
      <c r="N58" s="226">
        <v>0.7</v>
      </c>
      <c r="O58" s="226">
        <v>0.6</v>
      </c>
      <c r="P58" s="226">
        <v>0.6</v>
      </c>
      <c r="Q58" s="226">
        <v>0.7</v>
      </c>
      <c r="R58" s="226">
        <v>0.8</v>
      </c>
      <c r="S58" s="226">
        <v>0.8</v>
      </c>
      <c r="T58" s="226">
        <v>0.8</v>
      </c>
      <c r="U58" s="226">
        <v>0.8</v>
      </c>
      <c r="V58" s="226">
        <v>0.8</v>
      </c>
      <c r="W58" s="225">
        <v>0.8</v>
      </c>
      <c r="X58" s="225">
        <v>0.8</v>
      </c>
      <c r="Y58" s="225">
        <v>0.8</v>
      </c>
      <c r="Z58" s="225">
        <v>0.8</v>
      </c>
      <c r="AA58" s="226">
        <v>0.8</v>
      </c>
      <c r="AB58" s="226">
        <v>0.6</v>
      </c>
      <c r="AC58" s="226">
        <v>0.8</v>
      </c>
      <c r="AD58" s="226">
        <v>0.8</v>
      </c>
      <c r="AE58" s="226">
        <v>0.1</v>
      </c>
      <c r="AF58" s="226">
        <v>0.1</v>
      </c>
      <c r="AG58" s="226">
        <v>0.1</v>
      </c>
      <c r="AH58" s="226">
        <v>0.1</v>
      </c>
      <c r="AI58" s="226">
        <v>0.8</v>
      </c>
      <c r="AJ58" s="226">
        <v>0.7</v>
      </c>
      <c r="AK58" s="226">
        <v>0.1</v>
      </c>
      <c r="AL58" s="226">
        <v>0.3</v>
      </c>
      <c r="AM58" s="226">
        <v>0.1</v>
      </c>
      <c r="AN58" s="226">
        <v>0.1</v>
      </c>
      <c r="AO58" s="226">
        <v>0.1</v>
      </c>
      <c r="AP58" s="226">
        <v>0.1</v>
      </c>
      <c r="AQ58" s="226">
        <v>0.1</v>
      </c>
      <c r="AR58" s="226">
        <v>0.1</v>
      </c>
      <c r="AS58" s="226">
        <v>0.1</v>
      </c>
      <c r="AT58" s="226">
        <v>0.7</v>
      </c>
      <c r="AU58" s="226">
        <v>0.3</v>
      </c>
      <c r="AV58" s="226">
        <v>0.3</v>
      </c>
      <c r="AW58" s="226">
        <v>0.3</v>
      </c>
      <c r="AX58" s="226">
        <v>0.8</v>
      </c>
      <c r="AY58" s="226">
        <v>0.8</v>
      </c>
      <c r="AZ58" s="226">
        <v>0.8</v>
      </c>
      <c r="BA58" s="226">
        <v>0.6</v>
      </c>
      <c r="BB58" s="226">
        <v>0.6</v>
      </c>
      <c r="BC58" s="226">
        <v>0.8</v>
      </c>
      <c r="BD58" s="226">
        <v>0.7</v>
      </c>
      <c r="BE58" s="226">
        <v>0.8</v>
      </c>
      <c r="BF58" s="226">
        <v>0.1</v>
      </c>
      <c r="BG58" s="226">
        <v>0.1</v>
      </c>
      <c r="BH58" s="226">
        <v>0.3</v>
      </c>
      <c r="BI58" s="226">
        <v>0.3</v>
      </c>
      <c r="BJ58" s="226">
        <v>0.3</v>
      </c>
      <c r="BK58" s="226">
        <v>0.3</v>
      </c>
      <c r="BL58" s="226">
        <v>0.3</v>
      </c>
      <c r="BM58" s="226">
        <v>0.3</v>
      </c>
      <c r="BN58" s="226">
        <v>0.7</v>
      </c>
      <c r="BO58" s="226">
        <v>0.7</v>
      </c>
      <c r="BP58" s="226">
        <v>0.8</v>
      </c>
      <c r="BQ58" s="226">
        <v>0.8</v>
      </c>
      <c r="BR58" s="226">
        <v>0.7</v>
      </c>
      <c r="BS58" s="226">
        <v>0.7</v>
      </c>
      <c r="BT58" s="226">
        <v>0.7</v>
      </c>
      <c r="BU58" s="226">
        <v>0.7</v>
      </c>
      <c r="BV58" s="226">
        <v>0.8</v>
      </c>
      <c r="BW58" s="226">
        <v>0.8</v>
      </c>
      <c r="BX58" s="226">
        <v>0.7</v>
      </c>
      <c r="BY58" s="226">
        <v>0.8</v>
      </c>
      <c r="BZ58" s="226">
        <v>0.8</v>
      </c>
      <c r="CA58" s="226">
        <v>0.8</v>
      </c>
      <c r="CB58" s="226">
        <v>0.8</v>
      </c>
      <c r="CC58" s="226">
        <v>0.8</v>
      </c>
      <c r="CD58" s="226">
        <v>0.8</v>
      </c>
      <c r="CE58" s="226">
        <v>0.8</v>
      </c>
      <c r="CF58" s="226">
        <v>0.8</v>
      </c>
      <c r="CG58" s="226">
        <v>0.8</v>
      </c>
      <c r="CH58" s="226">
        <v>0.8</v>
      </c>
      <c r="CI58" s="226">
        <v>0.8</v>
      </c>
      <c r="CJ58" s="226">
        <v>0.8</v>
      </c>
      <c r="CK58" s="226">
        <v>0.8</v>
      </c>
      <c r="CL58" s="226">
        <v>0.8</v>
      </c>
      <c r="CM58" s="226">
        <v>0.8</v>
      </c>
      <c r="CN58" s="226">
        <v>0.8</v>
      </c>
      <c r="CO58" s="226">
        <v>0.8</v>
      </c>
      <c r="CP58" s="226">
        <v>0.8</v>
      </c>
      <c r="CQ58" s="226">
        <v>0.8</v>
      </c>
      <c r="CR58" s="226">
        <v>0.8</v>
      </c>
      <c r="CS58" s="226">
        <v>0.8</v>
      </c>
      <c r="CT58" s="226">
        <v>0.8</v>
      </c>
      <c r="CU58" s="226">
        <v>0.8</v>
      </c>
      <c r="CV58" s="226">
        <v>0.8</v>
      </c>
      <c r="CW58" s="226">
        <v>0.8</v>
      </c>
      <c r="CX58" s="226">
        <v>0.8</v>
      </c>
      <c r="CY58" s="226">
        <v>0.8</v>
      </c>
      <c r="CZ58" s="226">
        <v>0.8</v>
      </c>
      <c r="DA58" s="226">
        <v>0.8</v>
      </c>
      <c r="DB58" s="226">
        <v>0.8</v>
      </c>
      <c r="DC58" s="226">
        <v>0.8</v>
      </c>
      <c r="DD58" s="226">
        <v>0.8</v>
      </c>
      <c r="DE58" s="226">
        <v>0.8</v>
      </c>
      <c r="DF58" s="226">
        <v>0.8</v>
      </c>
      <c r="DG58" s="226">
        <v>0.8</v>
      </c>
      <c r="DH58" s="226">
        <v>0.8</v>
      </c>
      <c r="DI58" s="226">
        <v>0.8</v>
      </c>
      <c r="DJ58" s="226">
        <v>0.8</v>
      </c>
      <c r="DK58" s="226">
        <v>0.8</v>
      </c>
      <c r="DL58" s="226">
        <v>0.1</v>
      </c>
      <c r="DM58" s="226">
        <v>0</v>
      </c>
      <c r="DN58" s="226">
        <v>0</v>
      </c>
      <c r="DO58" s="226">
        <v>0</v>
      </c>
      <c r="DP58" s="226">
        <v>0</v>
      </c>
      <c r="DQ58" s="226">
        <v>0</v>
      </c>
      <c r="DR58" s="226">
        <v>0</v>
      </c>
      <c r="DS58" s="226">
        <v>0</v>
      </c>
    </row>
    <row r="59" spans="1:123" x14ac:dyDescent="0.15">
      <c r="A59" s="156" t="s">
        <v>279</v>
      </c>
      <c r="B59">
        <v>0.8</v>
      </c>
      <c r="C59" s="226">
        <v>0.8</v>
      </c>
      <c r="D59" s="226">
        <v>0.8</v>
      </c>
      <c r="E59" s="226">
        <v>0.8</v>
      </c>
      <c r="F59" s="226">
        <v>0.8</v>
      </c>
      <c r="G59" s="226">
        <v>0.8</v>
      </c>
      <c r="H59" s="226">
        <v>0.8</v>
      </c>
      <c r="I59" s="226">
        <v>0.8</v>
      </c>
      <c r="J59" s="226">
        <v>0.8</v>
      </c>
      <c r="K59" s="226">
        <v>0.8</v>
      </c>
      <c r="L59" s="226">
        <v>0.8</v>
      </c>
      <c r="M59" s="226">
        <v>0.7</v>
      </c>
      <c r="N59" s="226">
        <v>0.7</v>
      </c>
      <c r="O59" s="226">
        <v>0.6</v>
      </c>
      <c r="P59" s="226">
        <v>0.6</v>
      </c>
      <c r="Q59" s="226">
        <v>0.7</v>
      </c>
      <c r="R59" s="226">
        <v>0.8</v>
      </c>
      <c r="S59" s="226">
        <v>0.8</v>
      </c>
      <c r="T59" s="226">
        <v>0.8</v>
      </c>
      <c r="U59" s="226">
        <v>0.8</v>
      </c>
      <c r="V59" s="226">
        <v>0.8</v>
      </c>
      <c r="W59" s="225">
        <v>0.8</v>
      </c>
      <c r="X59" s="225">
        <v>0.8</v>
      </c>
      <c r="Y59" s="225">
        <v>0.8</v>
      </c>
      <c r="Z59" s="225">
        <v>0.8</v>
      </c>
      <c r="AA59" s="226">
        <v>0.8</v>
      </c>
      <c r="AB59" s="226">
        <v>0.6</v>
      </c>
      <c r="AC59" s="226">
        <v>0.8</v>
      </c>
      <c r="AD59" s="226">
        <v>0.8</v>
      </c>
      <c r="AE59" s="226">
        <v>0.1</v>
      </c>
      <c r="AF59" s="226">
        <v>0.1</v>
      </c>
      <c r="AG59" s="226">
        <v>0.1</v>
      </c>
      <c r="AH59" s="226">
        <v>0.1</v>
      </c>
      <c r="AI59" s="226">
        <v>0.8</v>
      </c>
      <c r="AJ59" s="226">
        <v>0.7</v>
      </c>
      <c r="AK59" s="226">
        <v>0.1</v>
      </c>
      <c r="AL59" s="226">
        <v>0.3</v>
      </c>
      <c r="AM59" s="226">
        <v>0.1</v>
      </c>
      <c r="AN59" s="226">
        <v>0.1</v>
      </c>
      <c r="AO59" s="226">
        <v>0.1</v>
      </c>
      <c r="AP59" s="226">
        <v>0.1</v>
      </c>
      <c r="AQ59" s="226">
        <v>0.1</v>
      </c>
      <c r="AR59" s="226">
        <v>0.1</v>
      </c>
      <c r="AS59" s="226">
        <v>0.1</v>
      </c>
      <c r="AT59" s="226">
        <v>0.7</v>
      </c>
      <c r="AU59" s="226">
        <v>0.3</v>
      </c>
      <c r="AV59" s="226">
        <v>0.3</v>
      </c>
      <c r="AW59" s="226">
        <v>0.3</v>
      </c>
      <c r="AX59" s="226">
        <v>0.8</v>
      </c>
      <c r="AY59" s="226">
        <v>0.8</v>
      </c>
      <c r="AZ59" s="226">
        <v>0.8</v>
      </c>
      <c r="BA59" s="226">
        <v>0.6</v>
      </c>
      <c r="BB59" s="226">
        <v>0.6</v>
      </c>
      <c r="BC59" s="226">
        <v>0.8</v>
      </c>
      <c r="BD59" s="226">
        <v>0.7</v>
      </c>
      <c r="BE59" s="226">
        <v>0.8</v>
      </c>
      <c r="BF59" s="226">
        <v>0.1</v>
      </c>
      <c r="BG59" s="226">
        <v>0.1</v>
      </c>
      <c r="BH59" s="226">
        <v>0.3</v>
      </c>
      <c r="BI59" s="226">
        <v>0.3</v>
      </c>
      <c r="BJ59" s="226">
        <v>0.3</v>
      </c>
      <c r="BK59" s="226">
        <v>0.3</v>
      </c>
      <c r="BL59" s="226">
        <v>0.3</v>
      </c>
      <c r="BM59" s="226">
        <v>0.3</v>
      </c>
      <c r="BN59" s="226">
        <v>0.7</v>
      </c>
      <c r="BO59" s="226">
        <v>0.7</v>
      </c>
      <c r="BP59" s="226">
        <v>0.8</v>
      </c>
      <c r="BQ59" s="226">
        <v>0.8</v>
      </c>
      <c r="BR59" s="226">
        <v>0.7</v>
      </c>
      <c r="BS59" s="226">
        <v>0.7</v>
      </c>
      <c r="BT59" s="226">
        <v>0.7</v>
      </c>
      <c r="BU59" s="226">
        <v>0.7</v>
      </c>
      <c r="BV59" s="226">
        <v>0.8</v>
      </c>
      <c r="BW59" s="226">
        <v>0.8</v>
      </c>
      <c r="BX59" s="226">
        <v>0.7</v>
      </c>
      <c r="BY59" s="226">
        <v>0.8</v>
      </c>
      <c r="BZ59" s="226">
        <v>0.8</v>
      </c>
      <c r="CA59" s="226">
        <v>0.8</v>
      </c>
      <c r="CB59" s="226">
        <v>0.8</v>
      </c>
      <c r="CC59" s="226">
        <v>0.8</v>
      </c>
      <c r="CD59" s="226">
        <v>0.8</v>
      </c>
      <c r="CE59" s="226">
        <v>0.8</v>
      </c>
      <c r="CF59" s="226">
        <v>0.8</v>
      </c>
      <c r="CG59" s="226">
        <v>0.8</v>
      </c>
      <c r="CH59" s="226">
        <v>0.8</v>
      </c>
      <c r="CI59" s="226">
        <v>0.8</v>
      </c>
      <c r="CJ59" s="226">
        <v>0.8</v>
      </c>
      <c r="CK59" s="226">
        <v>0.8</v>
      </c>
      <c r="CL59" s="226">
        <v>0.8</v>
      </c>
      <c r="CM59" s="226">
        <v>0.8</v>
      </c>
      <c r="CN59" s="226">
        <v>0.8</v>
      </c>
      <c r="CO59" s="226">
        <v>0.8</v>
      </c>
      <c r="CP59" s="226">
        <v>0.8</v>
      </c>
      <c r="CQ59" s="226">
        <v>0.8</v>
      </c>
      <c r="CR59" s="226">
        <v>0.8</v>
      </c>
      <c r="CS59" s="226">
        <v>0.8</v>
      </c>
      <c r="CT59" s="226">
        <v>0.8</v>
      </c>
      <c r="CU59" s="226">
        <v>0.8</v>
      </c>
      <c r="CV59" s="226">
        <v>0.8</v>
      </c>
      <c r="CW59" s="226">
        <v>0.8</v>
      </c>
      <c r="CX59" s="226">
        <v>0.8</v>
      </c>
      <c r="CY59" s="226">
        <v>0.8</v>
      </c>
      <c r="CZ59" s="226">
        <v>0.8</v>
      </c>
      <c r="DA59" s="226">
        <v>0.8</v>
      </c>
      <c r="DB59" s="226">
        <v>0.8</v>
      </c>
      <c r="DC59" s="226">
        <v>0.8</v>
      </c>
      <c r="DD59" s="226">
        <v>0.8</v>
      </c>
      <c r="DE59" s="226">
        <v>0.8</v>
      </c>
      <c r="DF59" s="226">
        <v>0.8</v>
      </c>
      <c r="DG59" s="226">
        <v>0.8</v>
      </c>
      <c r="DH59" s="226">
        <v>0.8</v>
      </c>
      <c r="DI59" s="226">
        <v>0.8</v>
      </c>
      <c r="DJ59" s="226">
        <v>0.8</v>
      </c>
      <c r="DK59" s="226">
        <v>0.8</v>
      </c>
      <c r="DL59" s="226">
        <v>0.1</v>
      </c>
      <c r="DM59" s="226">
        <v>0</v>
      </c>
      <c r="DN59" s="226">
        <v>0</v>
      </c>
      <c r="DO59" s="226">
        <v>0</v>
      </c>
      <c r="DP59" s="226">
        <v>0</v>
      </c>
      <c r="DQ59" s="226">
        <v>0</v>
      </c>
      <c r="DR59" s="226">
        <v>0</v>
      </c>
      <c r="DS59" s="226">
        <v>0</v>
      </c>
    </row>
    <row r="60" spans="1:123" x14ac:dyDescent="0.15">
      <c r="A60" s="156" t="s">
        <v>280</v>
      </c>
      <c r="B60">
        <v>0.8</v>
      </c>
      <c r="C60" s="226">
        <v>0.8</v>
      </c>
      <c r="D60" s="226">
        <v>0.8</v>
      </c>
      <c r="E60" s="226">
        <v>0.8</v>
      </c>
      <c r="F60" s="226">
        <v>0.8</v>
      </c>
      <c r="G60" s="226">
        <v>0.8</v>
      </c>
      <c r="H60" s="226">
        <v>0.8</v>
      </c>
      <c r="I60" s="226">
        <v>0.8</v>
      </c>
      <c r="J60" s="226">
        <v>0.8</v>
      </c>
      <c r="K60" s="226">
        <v>0.8</v>
      </c>
      <c r="L60" s="226">
        <v>0.8</v>
      </c>
      <c r="M60" s="226">
        <v>0.7</v>
      </c>
      <c r="N60" s="226">
        <v>0.7</v>
      </c>
      <c r="O60" s="226">
        <v>0.6</v>
      </c>
      <c r="P60" s="226">
        <v>0.6</v>
      </c>
      <c r="Q60" s="226">
        <v>0.7</v>
      </c>
      <c r="R60" s="226">
        <v>0.8</v>
      </c>
      <c r="S60" s="226">
        <v>0.8</v>
      </c>
      <c r="T60" s="226">
        <v>0.8</v>
      </c>
      <c r="U60" s="226">
        <v>0.8</v>
      </c>
      <c r="V60" s="226">
        <v>0.8</v>
      </c>
      <c r="W60" s="225">
        <v>0.8</v>
      </c>
      <c r="X60" s="225">
        <v>0.8</v>
      </c>
      <c r="Y60" s="225">
        <v>0.8</v>
      </c>
      <c r="Z60" s="225">
        <v>0.8</v>
      </c>
      <c r="AA60" s="226">
        <v>0.8</v>
      </c>
      <c r="AB60" s="226">
        <v>0.6</v>
      </c>
      <c r="AC60" s="226">
        <v>0.8</v>
      </c>
      <c r="AD60" s="226">
        <v>0.8</v>
      </c>
      <c r="AE60" s="226">
        <v>0.1</v>
      </c>
      <c r="AF60" s="226">
        <v>0.1</v>
      </c>
      <c r="AG60" s="226">
        <v>0.1</v>
      </c>
      <c r="AH60" s="226">
        <v>0.1</v>
      </c>
      <c r="AI60" s="226">
        <v>0.8</v>
      </c>
      <c r="AJ60" s="226">
        <v>0.7</v>
      </c>
      <c r="AK60" s="226">
        <v>0.1</v>
      </c>
      <c r="AL60" s="226">
        <v>0.3</v>
      </c>
      <c r="AM60" s="226">
        <v>0.1</v>
      </c>
      <c r="AN60" s="226">
        <v>0.1</v>
      </c>
      <c r="AO60" s="226">
        <v>0.1</v>
      </c>
      <c r="AP60" s="226">
        <v>0.1</v>
      </c>
      <c r="AQ60" s="226">
        <v>0.1</v>
      </c>
      <c r="AR60" s="226">
        <v>0.1</v>
      </c>
      <c r="AS60" s="226">
        <v>0.1</v>
      </c>
      <c r="AT60" s="226">
        <v>0.7</v>
      </c>
      <c r="AU60" s="226">
        <v>0.3</v>
      </c>
      <c r="AV60" s="226">
        <v>0.3</v>
      </c>
      <c r="AW60" s="226">
        <v>0.3</v>
      </c>
      <c r="AX60" s="226">
        <v>0.8</v>
      </c>
      <c r="AY60" s="226">
        <v>0.8</v>
      </c>
      <c r="AZ60" s="226">
        <v>0.8</v>
      </c>
      <c r="BA60" s="226">
        <v>0.6</v>
      </c>
      <c r="BB60" s="226">
        <v>0.6</v>
      </c>
      <c r="BC60" s="226">
        <v>0.8</v>
      </c>
      <c r="BD60" s="226">
        <v>0.7</v>
      </c>
      <c r="BE60" s="226">
        <v>0.8</v>
      </c>
      <c r="BF60" s="226">
        <v>0.1</v>
      </c>
      <c r="BG60" s="226">
        <v>0.1</v>
      </c>
      <c r="BH60" s="226">
        <v>0.3</v>
      </c>
      <c r="BI60" s="226">
        <v>0.3</v>
      </c>
      <c r="BJ60" s="226">
        <v>0.3</v>
      </c>
      <c r="BK60" s="226">
        <v>0.3</v>
      </c>
      <c r="BL60" s="226">
        <v>0.3</v>
      </c>
      <c r="BM60" s="226">
        <v>0.3</v>
      </c>
      <c r="BN60" s="226">
        <v>0.7</v>
      </c>
      <c r="BO60" s="226">
        <v>0.7</v>
      </c>
      <c r="BP60" s="226">
        <v>0.8</v>
      </c>
      <c r="BQ60" s="226">
        <v>0.8</v>
      </c>
      <c r="BR60" s="226">
        <v>0.7</v>
      </c>
      <c r="BS60" s="226">
        <v>0.7</v>
      </c>
      <c r="BT60" s="226">
        <v>0.7</v>
      </c>
      <c r="BU60" s="226">
        <v>0.7</v>
      </c>
      <c r="BV60" s="226">
        <v>0.8</v>
      </c>
      <c r="BW60" s="226">
        <v>0.8</v>
      </c>
      <c r="BX60" s="226">
        <v>0.7</v>
      </c>
      <c r="BY60" s="226">
        <v>0.8</v>
      </c>
      <c r="BZ60" s="226">
        <v>0.8</v>
      </c>
      <c r="CA60" s="226">
        <v>0.8</v>
      </c>
      <c r="CB60" s="226">
        <v>0.8</v>
      </c>
      <c r="CC60" s="226">
        <v>0.8</v>
      </c>
      <c r="CD60" s="226">
        <v>0.8</v>
      </c>
      <c r="CE60" s="226">
        <v>0.8</v>
      </c>
      <c r="CF60" s="226">
        <v>0.8</v>
      </c>
      <c r="CG60" s="226">
        <v>0.8</v>
      </c>
      <c r="CH60" s="226">
        <v>0.8</v>
      </c>
      <c r="CI60" s="226">
        <v>0.8</v>
      </c>
      <c r="CJ60" s="226">
        <v>0.8</v>
      </c>
      <c r="CK60" s="226">
        <v>0.8</v>
      </c>
      <c r="CL60" s="226">
        <v>0.8</v>
      </c>
      <c r="CM60" s="226">
        <v>0.8</v>
      </c>
      <c r="CN60" s="226">
        <v>0.8</v>
      </c>
      <c r="CO60" s="226">
        <v>0.8</v>
      </c>
      <c r="CP60" s="226">
        <v>0.8</v>
      </c>
      <c r="CQ60" s="226">
        <v>0.8</v>
      </c>
      <c r="CR60" s="226">
        <v>0.8</v>
      </c>
      <c r="CS60" s="226">
        <v>0.8</v>
      </c>
      <c r="CT60" s="226">
        <v>0.8</v>
      </c>
      <c r="CU60" s="226">
        <v>0.8</v>
      </c>
      <c r="CV60" s="226">
        <v>0.8</v>
      </c>
      <c r="CW60" s="226">
        <v>0.8</v>
      </c>
      <c r="CX60" s="226">
        <v>0.8</v>
      </c>
      <c r="CY60" s="226">
        <v>0.8</v>
      </c>
      <c r="CZ60" s="226">
        <v>0.8</v>
      </c>
      <c r="DA60" s="226">
        <v>0.8</v>
      </c>
      <c r="DB60" s="226">
        <v>0.8</v>
      </c>
      <c r="DC60" s="226">
        <v>0.8</v>
      </c>
      <c r="DD60" s="226">
        <v>0.8</v>
      </c>
      <c r="DE60" s="226">
        <v>0.8</v>
      </c>
      <c r="DF60" s="226">
        <v>0.8</v>
      </c>
      <c r="DG60" s="226">
        <v>0.8</v>
      </c>
      <c r="DH60" s="226">
        <v>0.8</v>
      </c>
      <c r="DI60" s="226">
        <v>0.8</v>
      </c>
      <c r="DJ60" s="226">
        <v>0.8</v>
      </c>
      <c r="DK60" s="226">
        <v>0.8</v>
      </c>
      <c r="DL60" s="226">
        <v>0.1</v>
      </c>
      <c r="DM60" s="226">
        <v>0</v>
      </c>
      <c r="DN60" s="226">
        <v>0</v>
      </c>
      <c r="DO60" s="226">
        <v>0</v>
      </c>
      <c r="DP60" s="226">
        <v>0</v>
      </c>
      <c r="DQ60" s="226">
        <v>0</v>
      </c>
      <c r="DR60" s="226">
        <v>0</v>
      </c>
      <c r="DS60" s="226">
        <v>0</v>
      </c>
    </row>
    <row r="61" spans="1:123" x14ac:dyDescent="0.15">
      <c r="A61" s="156" t="s">
        <v>281</v>
      </c>
      <c r="B61">
        <v>0.8</v>
      </c>
      <c r="C61" s="226">
        <v>0.8</v>
      </c>
      <c r="D61" s="226">
        <v>0.8</v>
      </c>
      <c r="E61" s="226">
        <v>0.8</v>
      </c>
      <c r="F61" s="226">
        <v>0.8</v>
      </c>
      <c r="G61" s="226">
        <v>0.8</v>
      </c>
      <c r="H61" s="226">
        <v>0.8</v>
      </c>
      <c r="I61" s="226">
        <v>0.8</v>
      </c>
      <c r="J61" s="226">
        <v>0.8</v>
      </c>
      <c r="K61" s="226">
        <v>0.8</v>
      </c>
      <c r="L61" s="226">
        <v>0.8</v>
      </c>
      <c r="M61" s="226">
        <v>0.7</v>
      </c>
      <c r="N61" s="226">
        <v>0.7</v>
      </c>
      <c r="O61" s="226">
        <v>0.6</v>
      </c>
      <c r="P61" s="226">
        <v>0.6</v>
      </c>
      <c r="Q61" s="226">
        <v>0.7</v>
      </c>
      <c r="R61" s="226">
        <v>0.8</v>
      </c>
      <c r="S61" s="226">
        <v>0.8</v>
      </c>
      <c r="T61" s="226">
        <v>0.8</v>
      </c>
      <c r="U61" s="226">
        <v>0.8</v>
      </c>
      <c r="V61" s="226">
        <v>0.8</v>
      </c>
      <c r="W61" s="225">
        <v>0.8</v>
      </c>
      <c r="X61" s="225">
        <v>0.8</v>
      </c>
      <c r="Y61" s="225">
        <v>0.8</v>
      </c>
      <c r="Z61" s="225">
        <v>0.8</v>
      </c>
      <c r="AA61" s="226">
        <v>0.8</v>
      </c>
      <c r="AB61" s="226">
        <v>0.6</v>
      </c>
      <c r="AC61" s="226">
        <v>0.8</v>
      </c>
      <c r="AD61" s="226">
        <v>0.8</v>
      </c>
      <c r="AE61" s="226">
        <v>0.1</v>
      </c>
      <c r="AF61" s="226">
        <v>0.1</v>
      </c>
      <c r="AG61" s="226">
        <v>0.1</v>
      </c>
      <c r="AH61" s="226">
        <v>0.1</v>
      </c>
      <c r="AI61" s="226">
        <v>0.8</v>
      </c>
      <c r="AJ61" s="226">
        <v>0.7</v>
      </c>
      <c r="AK61" s="226">
        <v>0.1</v>
      </c>
      <c r="AL61" s="226">
        <v>0.3</v>
      </c>
      <c r="AM61" s="226">
        <v>0.1</v>
      </c>
      <c r="AN61" s="226">
        <v>0.1</v>
      </c>
      <c r="AO61" s="226">
        <v>0.1</v>
      </c>
      <c r="AP61" s="226">
        <v>0.1</v>
      </c>
      <c r="AQ61" s="226">
        <v>0.1</v>
      </c>
      <c r="AR61" s="226">
        <v>0.1</v>
      </c>
      <c r="AS61" s="226">
        <v>0.1</v>
      </c>
      <c r="AT61" s="226">
        <v>0.7</v>
      </c>
      <c r="AU61" s="226">
        <v>0.3</v>
      </c>
      <c r="AV61" s="226">
        <v>0.3</v>
      </c>
      <c r="AW61" s="226">
        <v>0.3</v>
      </c>
      <c r="AX61" s="226">
        <v>0.8</v>
      </c>
      <c r="AY61" s="226">
        <v>0.8</v>
      </c>
      <c r="AZ61" s="226">
        <v>0.8</v>
      </c>
      <c r="BA61" s="226">
        <v>0.6</v>
      </c>
      <c r="BB61" s="226">
        <v>0.6</v>
      </c>
      <c r="BC61" s="226">
        <v>0.8</v>
      </c>
      <c r="BD61" s="226">
        <v>0.7</v>
      </c>
      <c r="BE61" s="226">
        <v>0.8</v>
      </c>
      <c r="BF61" s="226">
        <v>0.1</v>
      </c>
      <c r="BG61" s="226">
        <v>0.1</v>
      </c>
      <c r="BH61" s="226">
        <v>0.3</v>
      </c>
      <c r="BI61" s="226">
        <v>0.3</v>
      </c>
      <c r="BJ61" s="226">
        <v>0.3</v>
      </c>
      <c r="BK61" s="226">
        <v>0.3</v>
      </c>
      <c r="BL61" s="226">
        <v>0.3</v>
      </c>
      <c r="BM61" s="226">
        <v>0.3</v>
      </c>
      <c r="BN61" s="226">
        <v>0.7</v>
      </c>
      <c r="BO61" s="226">
        <v>0.7</v>
      </c>
      <c r="BP61" s="226">
        <v>0.8</v>
      </c>
      <c r="BQ61" s="226">
        <v>0.8</v>
      </c>
      <c r="BR61" s="226">
        <v>0.7</v>
      </c>
      <c r="BS61" s="226">
        <v>0.7</v>
      </c>
      <c r="BT61" s="226">
        <v>0.7</v>
      </c>
      <c r="BU61" s="226">
        <v>0.7</v>
      </c>
      <c r="BV61" s="226">
        <v>0.8</v>
      </c>
      <c r="BW61" s="226">
        <v>0.8</v>
      </c>
      <c r="BX61" s="226">
        <v>0.7</v>
      </c>
      <c r="BY61" s="226">
        <v>0.8</v>
      </c>
      <c r="BZ61" s="226">
        <v>0.8</v>
      </c>
      <c r="CA61" s="226">
        <v>0.8</v>
      </c>
      <c r="CB61" s="226">
        <v>0.8</v>
      </c>
      <c r="CC61" s="226">
        <v>0.8</v>
      </c>
      <c r="CD61" s="226">
        <v>0.8</v>
      </c>
      <c r="CE61" s="226">
        <v>0.8</v>
      </c>
      <c r="CF61" s="226">
        <v>0.8</v>
      </c>
      <c r="CG61" s="226">
        <v>0.8</v>
      </c>
      <c r="CH61" s="226">
        <v>0.8</v>
      </c>
      <c r="CI61" s="226">
        <v>0.8</v>
      </c>
      <c r="CJ61" s="226">
        <v>0.8</v>
      </c>
      <c r="CK61" s="226">
        <v>0.8</v>
      </c>
      <c r="CL61" s="226">
        <v>0.8</v>
      </c>
      <c r="CM61" s="226">
        <v>0.8</v>
      </c>
      <c r="CN61" s="226">
        <v>0.8</v>
      </c>
      <c r="CO61" s="226">
        <v>0.8</v>
      </c>
      <c r="CP61" s="226">
        <v>0.8</v>
      </c>
      <c r="CQ61" s="226">
        <v>0.8</v>
      </c>
      <c r="CR61" s="226">
        <v>0.8</v>
      </c>
      <c r="CS61" s="226">
        <v>0.8</v>
      </c>
      <c r="CT61" s="226">
        <v>0.8</v>
      </c>
      <c r="CU61" s="226">
        <v>0.8</v>
      </c>
      <c r="CV61" s="226">
        <v>0.8</v>
      </c>
      <c r="CW61" s="226">
        <v>0.8</v>
      </c>
      <c r="CX61" s="226">
        <v>0.8</v>
      </c>
      <c r="CY61" s="226">
        <v>0.8</v>
      </c>
      <c r="CZ61" s="226">
        <v>0.8</v>
      </c>
      <c r="DA61" s="226">
        <v>0.8</v>
      </c>
      <c r="DB61" s="226">
        <v>0.8</v>
      </c>
      <c r="DC61" s="226">
        <v>0.8</v>
      </c>
      <c r="DD61" s="226">
        <v>0.8</v>
      </c>
      <c r="DE61" s="226">
        <v>0.8</v>
      </c>
      <c r="DF61" s="226">
        <v>0.8</v>
      </c>
      <c r="DG61" s="226">
        <v>0.8</v>
      </c>
      <c r="DH61" s="226">
        <v>0.8</v>
      </c>
      <c r="DI61" s="226">
        <v>0.8</v>
      </c>
      <c r="DJ61" s="226">
        <v>0.8</v>
      </c>
      <c r="DK61" s="226">
        <v>0.8</v>
      </c>
      <c r="DL61" s="226">
        <v>0.1</v>
      </c>
      <c r="DM61" s="226">
        <v>0</v>
      </c>
      <c r="DN61" s="226">
        <v>0</v>
      </c>
      <c r="DO61" s="226">
        <v>0</v>
      </c>
      <c r="DP61" s="226">
        <v>0</v>
      </c>
      <c r="DQ61" s="226">
        <v>0</v>
      </c>
      <c r="DR61" s="226">
        <v>0</v>
      </c>
      <c r="DS61" s="226">
        <v>0</v>
      </c>
    </row>
    <row r="62" spans="1:123" x14ac:dyDescent="0.15">
      <c r="A62" s="156" t="s">
        <v>282</v>
      </c>
      <c r="B62">
        <v>0.8</v>
      </c>
      <c r="C62" s="226">
        <v>0.8</v>
      </c>
      <c r="D62" s="226">
        <v>0.8</v>
      </c>
      <c r="E62" s="226">
        <v>0.8</v>
      </c>
      <c r="F62" s="226">
        <v>0.8</v>
      </c>
      <c r="G62" s="226">
        <v>0.8</v>
      </c>
      <c r="H62" s="226">
        <v>0.8</v>
      </c>
      <c r="I62" s="226">
        <v>0.8</v>
      </c>
      <c r="J62" s="226">
        <v>0.8</v>
      </c>
      <c r="K62" s="226">
        <v>0.8</v>
      </c>
      <c r="L62" s="226">
        <v>0.8</v>
      </c>
      <c r="M62" s="226">
        <v>0.7</v>
      </c>
      <c r="N62" s="226">
        <v>0.7</v>
      </c>
      <c r="O62" s="226">
        <v>0.6</v>
      </c>
      <c r="P62" s="226">
        <v>0.6</v>
      </c>
      <c r="Q62" s="226">
        <v>0.7</v>
      </c>
      <c r="R62" s="226">
        <v>0.8</v>
      </c>
      <c r="S62" s="226">
        <v>0.8</v>
      </c>
      <c r="T62" s="226">
        <v>0.8</v>
      </c>
      <c r="U62" s="226">
        <v>0.8</v>
      </c>
      <c r="V62" s="226">
        <v>0.8</v>
      </c>
      <c r="W62" s="225">
        <v>0.8</v>
      </c>
      <c r="X62" s="225">
        <v>0.8</v>
      </c>
      <c r="Y62" s="225">
        <v>0.8</v>
      </c>
      <c r="Z62" s="225">
        <v>0.8</v>
      </c>
      <c r="AA62" s="226">
        <v>0.8</v>
      </c>
      <c r="AB62" s="226">
        <v>0.6</v>
      </c>
      <c r="AC62" s="226">
        <v>0.8</v>
      </c>
      <c r="AD62" s="226">
        <v>0.8</v>
      </c>
      <c r="AE62" s="226">
        <v>0.1</v>
      </c>
      <c r="AF62" s="226">
        <v>0.1</v>
      </c>
      <c r="AG62" s="226">
        <v>0.1</v>
      </c>
      <c r="AH62" s="226">
        <v>0.1</v>
      </c>
      <c r="AI62" s="226">
        <v>0.8</v>
      </c>
      <c r="AJ62" s="226">
        <v>0.7</v>
      </c>
      <c r="AK62" s="226">
        <v>0.1</v>
      </c>
      <c r="AL62" s="226">
        <v>0.3</v>
      </c>
      <c r="AM62" s="226">
        <v>0.1</v>
      </c>
      <c r="AN62" s="226">
        <v>0.1</v>
      </c>
      <c r="AO62" s="226">
        <v>0.1</v>
      </c>
      <c r="AP62" s="226">
        <v>0.1</v>
      </c>
      <c r="AQ62" s="226">
        <v>0.1</v>
      </c>
      <c r="AR62" s="226">
        <v>0.1</v>
      </c>
      <c r="AS62" s="226">
        <v>0.1</v>
      </c>
      <c r="AT62" s="226">
        <v>0.7</v>
      </c>
      <c r="AU62" s="226">
        <v>0.3</v>
      </c>
      <c r="AV62" s="226">
        <v>0.3</v>
      </c>
      <c r="AW62" s="226">
        <v>0.3</v>
      </c>
      <c r="AX62" s="226">
        <v>0.8</v>
      </c>
      <c r="AY62" s="226">
        <v>0.8</v>
      </c>
      <c r="AZ62" s="226">
        <v>0.8</v>
      </c>
      <c r="BA62" s="226">
        <v>0.6</v>
      </c>
      <c r="BB62" s="226">
        <v>0.6</v>
      </c>
      <c r="BC62" s="226">
        <v>0.8</v>
      </c>
      <c r="BD62" s="226">
        <v>0.7</v>
      </c>
      <c r="BE62" s="226">
        <v>0.8</v>
      </c>
      <c r="BF62" s="226">
        <v>0.1</v>
      </c>
      <c r="BG62" s="226">
        <v>0.1</v>
      </c>
      <c r="BH62" s="226">
        <v>0.3</v>
      </c>
      <c r="BI62" s="226">
        <v>0.3</v>
      </c>
      <c r="BJ62" s="226">
        <v>0.3</v>
      </c>
      <c r="BK62" s="226">
        <v>0.3</v>
      </c>
      <c r="BL62" s="226">
        <v>0.3</v>
      </c>
      <c r="BM62" s="226">
        <v>0.3</v>
      </c>
      <c r="BN62" s="226">
        <v>0.7</v>
      </c>
      <c r="BO62" s="226">
        <v>0.7</v>
      </c>
      <c r="BP62" s="226">
        <v>0.8</v>
      </c>
      <c r="BQ62" s="226">
        <v>0.8</v>
      </c>
      <c r="BR62" s="226">
        <v>0.7</v>
      </c>
      <c r="BS62" s="226">
        <v>0.7</v>
      </c>
      <c r="BT62" s="226">
        <v>0.7</v>
      </c>
      <c r="BU62" s="226">
        <v>0.7</v>
      </c>
      <c r="BV62" s="226">
        <v>0.8</v>
      </c>
      <c r="BW62" s="226">
        <v>0.8</v>
      </c>
      <c r="BX62" s="226">
        <v>0.7</v>
      </c>
      <c r="BY62" s="226">
        <v>0.8</v>
      </c>
      <c r="BZ62" s="226">
        <v>0.8</v>
      </c>
      <c r="CA62" s="226">
        <v>0.8</v>
      </c>
      <c r="CB62" s="226">
        <v>0.8</v>
      </c>
      <c r="CC62" s="226">
        <v>0.8</v>
      </c>
      <c r="CD62" s="226">
        <v>0.8</v>
      </c>
      <c r="CE62" s="226">
        <v>0.8</v>
      </c>
      <c r="CF62" s="226">
        <v>0.8</v>
      </c>
      <c r="CG62" s="226">
        <v>0.8</v>
      </c>
      <c r="CH62" s="226">
        <v>0.8</v>
      </c>
      <c r="CI62" s="226">
        <v>0.8</v>
      </c>
      <c r="CJ62" s="226">
        <v>0.8</v>
      </c>
      <c r="CK62" s="226">
        <v>0.8</v>
      </c>
      <c r="CL62" s="226">
        <v>0.8</v>
      </c>
      <c r="CM62" s="226">
        <v>0.8</v>
      </c>
      <c r="CN62" s="226">
        <v>0.8</v>
      </c>
      <c r="CO62" s="226">
        <v>0.8</v>
      </c>
      <c r="CP62" s="226">
        <v>0.8</v>
      </c>
      <c r="CQ62" s="226">
        <v>0.8</v>
      </c>
      <c r="CR62" s="226">
        <v>0.8</v>
      </c>
      <c r="CS62" s="226">
        <v>0.8</v>
      </c>
      <c r="CT62" s="226">
        <v>0.8</v>
      </c>
      <c r="CU62" s="226">
        <v>0.8</v>
      </c>
      <c r="CV62" s="226">
        <v>0.8</v>
      </c>
      <c r="CW62" s="226">
        <v>0.8</v>
      </c>
      <c r="CX62" s="226">
        <v>0.8</v>
      </c>
      <c r="CY62" s="226">
        <v>0.8</v>
      </c>
      <c r="CZ62" s="226">
        <v>0.8</v>
      </c>
      <c r="DA62" s="226">
        <v>0.8</v>
      </c>
      <c r="DB62" s="226">
        <v>0.8</v>
      </c>
      <c r="DC62" s="226">
        <v>0.8</v>
      </c>
      <c r="DD62" s="226">
        <v>0.8</v>
      </c>
      <c r="DE62" s="226">
        <v>0.8</v>
      </c>
      <c r="DF62" s="226">
        <v>0.8</v>
      </c>
      <c r="DG62" s="226">
        <v>0.8</v>
      </c>
      <c r="DH62" s="226">
        <v>0.8</v>
      </c>
      <c r="DI62" s="226">
        <v>0.8</v>
      </c>
      <c r="DJ62" s="226">
        <v>0.8</v>
      </c>
      <c r="DK62" s="226">
        <v>0.8</v>
      </c>
      <c r="DL62" s="226">
        <v>0.1</v>
      </c>
      <c r="DM62" s="226">
        <v>0</v>
      </c>
      <c r="DN62" s="226">
        <v>0</v>
      </c>
      <c r="DO62" s="226">
        <v>0</v>
      </c>
      <c r="DP62" s="226">
        <v>0</v>
      </c>
      <c r="DQ62" s="226">
        <v>0</v>
      </c>
      <c r="DR62" s="226">
        <v>0</v>
      </c>
      <c r="DS62" s="226">
        <v>0</v>
      </c>
    </row>
    <row r="63" spans="1:123" x14ac:dyDescent="0.15">
      <c r="A63" s="156" t="s">
        <v>283</v>
      </c>
      <c r="B63">
        <v>0.8</v>
      </c>
      <c r="C63" s="226">
        <v>0.8</v>
      </c>
      <c r="D63" s="226">
        <v>0.8</v>
      </c>
      <c r="E63" s="226">
        <v>0.8</v>
      </c>
      <c r="F63" s="226">
        <v>0.8</v>
      </c>
      <c r="G63" s="226">
        <v>0.8</v>
      </c>
      <c r="H63" s="226">
        <v>0.8</v>
      </c>
      <c r="I63" s="226">
        <v>0.8</v>
      </c>
      <c r="J63" s="226">
        <v>0.8</v>
      </c>
      <c r="K63" s="226">
        <v>0.8</v>
      </c>
      <c r="L63" s="226">
        <v>0.8</v>
      </c>
      <c r="M63" s="226">
        <v>0.7</v>
      </c>
      <c r="N63" s="226">
        <v>0.7</v>
      </c>
      <c r="O63" s="226">
        <v>0.6</v>
      </c>
      <c r="P63" s="226">
        <v>0.6</v>
      </c>
      <c r="Q63" s="226">
        <v>0.7</v>
      </c>
      <c r="R63" s="226">
        <v>0.8</v>
      </c>
      <c r="S63" s="226">
        <v>0.8</v>
      </c>
      <c r="T63" s="226">
        <v>0.8</v>
      </c>
      <c r="U63" s="226">
        <v>0.8</v>
      </c>
      <c r="V63" s="226">
        <v>0.8</v>
      </c>
      <c r="W63" s="225">
        <v>0.8</v>
      </c>
      <c r="X63" s="225">
        <v>0.8</v>
      </c>
      <c r="Y63" s="225">
        <v>0.8</v>
      </c>
      <c r="Z63" s="225">
        <v>0.8</v>
      </c>
      <c r="AA63" s="226">
        <v>0.8</v>
      </c>
      <c r="AB63" s="226">
        <v>0.6</v>
      </c>
      <c r="AC63" s="226">
        <v>0.8</v>
      </c>
      <c r="AD63" s="226">
        <v>0.8</v>
      </c>
      <c r="AE63" s="226">
        <v>0.1</v>
      </c>
      <c r="AF63" s="226">
        <v>0.1</v>
      </c>
      <c r="AG63" s="226">
        <v>0.1</v>
      </c>
      <c r="AH63" s="226">
        <v>0.1</v>
      </c>
      <c r="AI63" s="226">
        <v>0.8</v>
      </c>
      <c r="AJ63" s="226">
        <v>0.7</v>
      </c>
      <c r="AK63" s="226">
        <v>0.1</v>
      </c>
      <c r="AL63" s="226">
        <v>0.3</v>
      </c>
      <c r="AM63" s="226">
        <v>0.1</v>
      </c>
      <c r="AN63" s="226">
        <v>0.1</v>
      </c>
      <c r="AO63" s="226">
        <v>0.1</v>
      </c>
      <c r="AP63" s="226">
        <v>0.1</v>
      </c>
      <c r="AQ63" s="226">
        <v>0.1</v>
      </c>
      <c r="AR63" s="226">
        <v>0.1</v>
      </c>
      <c r="AS63" s="226">
        <v>0.1</v>
      </c>
      <c r="AT63" s="226">
        <v>0.7</v>
      </c>
      <c r="AU63" s="226">
        <v>0.3</v>
      </c>
      <c r="AV63" s="226">
        <v>0.3</v>
      </c>
      <c r="AW63" s="226">
        <v>0.3</v>
      </c>
      <c r="AX63" s="226">
        <v>0.8</v>
      </c>
      <c r="AY63" s="226">
        <v>0.8</v>
      </c>
      <c r="AZ63" s="226">
        <v>0.8</v>
      </c>
      <c r="BA63" s="226">
        <v>0.6</v>
      </c>
      <c r="BB63" s="226">
        <v>0.6</v>
      </c>
      <c r="BC63" s="226">
        <v>0.8</v>
      </c>
      <c r="BD63" s="226">
        <v>0.7</v>
      </c>
      <c r="BE63" s="226">
        <v>0.8</v>
      </c>
      <c r="BF63" s="226">
        <v>0.1</v>
      </c>
      <c r="BG63" s="226">
        <v>0.1</v>
      </c>
      <c r="BH63" s="226">
        <v>0.3</v>
      </c>
      <c r="BI63" s="226">
        <v>0.3</v>
      </c>
      <c r="BJ63" s="226">
        <v>0.3</v>
      </c>
      <c r="BK63" s="226">
        <v>0.3</v>
      </c>
      <c r="BL63" s="226">
        <v>0.3</v>
      </c>
      <c r="BM63" s="226">
        <v>0.3</v>
      </c>
      <c r="BN63" s="226">
        <v>0.7</v>
      </c>
      <c r="BO63" s="226">
        <v>0.7</v>
      </c>
      <c r="BP63" s="226">
        <v>0.8</v>
      </c>
      <c r="BQ63" s="226">
        <v>0.8</v>
      </c>
      <c r="BR63" s="226">
        <v>0.7</v>
      </c>
      <c r="BS63" s="226">
        <v>0.7</v>
      </c>
      <c r="BT63" s="226">
        <v>0.7</v>
      </c>
      <c r="BU63" s="226">
        <v>0.7</v>
      </c>
      <c r="BV63" s="226">
        <v>0.8</v>
      </c>
      <c r="BW63" s="226">
        <v>0.8</v>
      </c>
      <c r="BX63" s="226">
        <v>0.7</v>
      </c>
      <c r="BY63" s="226">
        <v>0.8</v>
      </c>
      <c r="BZ63" s="226">
        <v>0.8</v>
      </c>
      <c r="CA63" s="226">
        <v>0.8</v>
      </c>
      <c r="CB63" s="226">
        <v>0.8</v>
      </c>
      <c r="CC63" s="226">
        <v>0.8</v>
      </c>
      <c r="CD63" s="226">
        <v>0.8</v>
      </c>
      <c r="CE63" s="226">
        <v>0.8</v>
      </c>
      <c r="CF63" s="226">
        <v>0.8</v>
      </c>
      <c r="CG63" s="226">
        <v>0.8</v>
      </c>
      <c r="CH63" s="226">
        <v>0.8</v>
      </c>
      <c r="CI63" s="226">
        <v>0.8</v>
      </c>
      <c r="CJ63" s="226">
        <v>0.8</v>
      </c>
      <c r="CK63" s="226">
        <v>0.8</v>
      </c>
      <c r="CL63" s="226">
        <v>0.8</v>
      </c>
      <c r="CM63" s="226">
        <v>0.8</v>
      </c>
      <c r="CN63" s="226">
        <v>0.8</v>
      </c>
      <c r="CO63" s="226">
        <v>0.8</v>
      </c>
      <c r="CP63" s="226">
        <v>0.8</v>
      </c>
      <c r="CQ63" s="226">
        <v>0.8</v>
      </c>
      <c r="CR63" s="226">
        <v>0.8</v>
      </c>
      <c r="CS63" s="226">
        <v>0.8</v>
      </c>
      <c r="CT63" s="226">
        <v>0.8</v>
      </c>
      <c r="CU63" s="226">
        <v>0.8</v>
      </c>
      <c r="CV63" s="226">
        <v>0.8</v>
      </c>
      <c r="CW63" s="226">
        <v>0.8</v>
      </c>
      <c r="CX63" s="226">
        <v>0.8</v>
      </c>
      <c r="CY63" s="226">
        <v>0.8</v>
      </c>
      <c r="CZ63" s="226">
        <v>0.8</v>
      </c>
      <c r="DA63" s="226">
        <v>0.8</v>
      </c>
      <c r="DB63" s="226">
        <v>0.8</v>
      </c>
      <c r="DC63" s="226">
        <v>0.8</v>
      </c>
      <c r="DD63" s="226">
        <v>0.8</v>
      </c>
      <c r="DE63" s="226">
        <v>0.8</v>
      </c>
      <c r="DF63" s="226">
        <v>0.8</v>
      </c>
      <c r="DG63" s="226">
        <v>0.8</v>
      </c>
      <c r="DH63" s="226">
        <v>0.8</v>
      </c>
      <c r="DI63" s="226">
        <v>0.8</v>
      </c>
      <c r="DJ63" s="226">
        <v>0.8</v>
      </c>
      <c r="DK63" s="226">
        <v>0.8</v>
      </c>
      <c r="DL63" s="226">
        <v>0.1</v>
      </c>
      <c r="DM63" s="226">
        <v>0</v>
      </c>
      <c r="DN63" s="226">
        <v>0</v>
      </c>
      <c r="DO63" s="226">
        <v>0</v>
      </c>
      <c r="DP63" s="226">
        <v>0</v>
      </c>
      <c r="DQ63" s="226">
        <v>0</v>
      </c>
      <c r="DR63" s="226">
        <v>0</v>
      </c>
      <c r="DS63" s="226">
        <v>0</v>
      </c>
    </row>
    <row r="64" spans="1:123" x14ac:dyDescent="0.15">
      <c r="A64" s="156" t="s">
        <v>284</v>
      </c>
      <c r="B64">
        <v>0.8</v>
      </c>
      <c r="C64" s="226">
        <v>0.8</v>
      </c>
      <c r="D64" s="226">
        <v>0.8</v>
      </c>
      <c r="E64" s="226">
        <v>0.8</v>
      </c>
      <c r="F64" s="226">
        <v>0.8</v>
      </c>
      <c r="G64" s="226">
        <v>0.8</v>
      </c>
      <c r="H64" s="226">
        <v>0.8</v>
      </c>
      <c r="I64" s="226">
        <v>0.8</v>
      </c>
      <c r="J64" s="226">
        <v>0.8</v>
      </c>
      <c r="K64" s="226">
        <v>0.8</v>
      </c>
      <c r="L64" s="226">
        <v>0.8</v>
      </c>
      <c r="M64" s="226">
        <v>0.7</v>
      </c>
      <c r="N64" s="226">
        <v>0.7</v>
      </c>
      <c r="O64" s="226">
        <v>0.6</v>
      </c>
      <c r="P64" s="226">
        <v>0.6</v>
      </c>
      <c r="Q64" s="226">
        <v>0.7</v>
      </c>
      <c r="R64" s="226">
        <v>0.8</v>
      </c>
      <c r="S64" s="226">
        <v>0.8</v>
      </c>
      <c r="T64" s="226">
        <v>0.8</v>
      </c>
      <c r="U64" s="226">
        <v>0.8</v>
      </c>
      <c r="V64" s="226">
        <v>0.8</v>
      </c>
      <c r="W64" s="225">
        <v>0.8</v>
      </c>
      <c r="X64" s="225">
        <v>0.8</v>
      </c>
      <c r="Y64" s="225">
        <v>0.8</v>
      </c>
      <c r="Z64" s="225">
        <v>0.8</v>
      </c>
      <c r="AA64" s="226">
        <v>0.8</v>
      </c>
      <c r="AB64" s="226">
        <v>0.6</v>
      </c>
      <c r="AC64" s="226">
        <v>0.8</v>
      </c>
      <c r="AD64" s="226">
        <v>0.8</v>
      </c>
      <c r="AE64" s="226">
        <v>0.1</v>
      </c>
      <c r="AF64" s="226">
        <v>0.1</v>
      </c>
      <c r="AG64" s="226">
        <v>0.1</v>
      </c>
      <c r="AH64" s="226">
        <v>0.1</v>
      </c>
      <c r="AI64" s="226">
        <v>0.8</v>
      </c>
      <c r="AJ64" s="226">
        <v>0.7</v>
      </c>
      <c r="AK64" s="226">
        <v>0.1</v>
      </c>
      <c r="AL64" s="226">
        <v>0.3</v>
      </c>
      <c r="AM64" s="226">
        <v>0.1</v>
      </c>
      <c r="AN64" s="226">
        <v>0.1</v>
      </c>
      <c r="AO64" s="226">
        <v>0.1</v>
      </c>
      <c r="AP64" s="226">
        <v>0.1</v>
      </c>
      <c r="AQ64" s="226">
        <v>0.1</v>
      </c>
      <c r="AR64" s="226">
        <v>0.1</v>
      </c>
      <c r="AS64" s="226">
        <v>0.1</v>
      </c>
      <c r="AT64" s="226">
        <v>0.7</v>
      </c>
      <c r="AU64" s="226">
        <v>0.3</v>
      </c>
      <c r="AV64" s="226">
        <v>0.3</v>
      </c>
      <c r="AW64" s="226">
        <v>0.3</v>
      </c>
      <c r="AX64" s="226">
        <v>0.8</v>
      </c>
      <c r="AY64" s="226">
        <v>0.8</v>
      </c>
      <c r="AZ64" s="226">
        <v>0.8</v>
      </c>
      <c r="BA64" s="226">
        <v>0.6</v>
      </c>
      <c r="BB64" s="226">
        <v>0.6</v>
      </c>
      <c r="BC64" s="226">
        <v>0.8</v>
      </c>
      <c r="BD64" s="226">
        <v>0.7</v>
      </c>
      <c r="BE64" s="226">
        <v>0.8</v>
      </c>
      <c r="BF64" s="226">
        <v>0.1</v>
      </c>
      <c r="BG64" s="226">
        <v>0.1</v>
      </c>
      <c r="BH64" s="226">
        <v>0.3</v>
      </c>
      <c r="BI64" s="226">
        <v>0.3</v>
      </c>
      <c r="BJ64" s="226">
        <v>0.3</v>
      </c>
      <c r="BK64" s="226">
        <v>0.3</v>
      </c>
      <c r="BL64" s="226">
        <v>0.3</v>
      </c>
      <c r="BM64" s="226">
        <v>0.3</v>
      </c>
      <c r="BN64" s="226">
        <v>0.7</v>
      </c>
      <c r="BO64" s="226">
        <v>0.7</v>
      </c>
      <c r="BP64" s="226">
        <v>0.8</v>
      </c>
      <c r="BQ64" s="226">
        <v>0.8</v>
      </c>
      <c r="BR64" s="226">
        <v>0.7</v>
      </c>
      <c r="BS64" s="226">
        <v>0.7</v>
      </c>
      <c r="BT64" s="226">
        <v>0.7</v>
      </c>
      <c r="BU64" s="226">
        <v>0.7</v>
      </c>
      <c r="BV64" s="226">
        <v>0.8</v>
      </c>
      <c r="BW64" s="226">
        <v>0.8</v>
      </c>
      <c r="BX64" s="226">
        <v>0.7</v>
      </c>
      <c r="BY64" s="226">
        <v>0.8</v>
      </c>
      <c r="BZ64" s="226">
        <v>0.8</v>
      </c>
      <c r="CA64" s="226">
        <v>0.8</v>
      </c>
      <c r="CB64" s="226">
        <v>0.8</v>
      </c>
      <c r="CC64" s="226">
        <v>0.8</v>
      </c>
      <c r="CD64" s="226">
        <v>0.8</v>
      </c>
      <c r="CE64" s="226">
        <v>0.8</v>
      </c>
      <c r="CF64" s="226">
        <v>0.8</v>
      </c>
      <c r="CG64" s="226">
        <v>0.8</v>
      </c>
      <c r="CH64" s="226">
        <v>0.8</v>
      </c>
      <c r="CI64" s="226">
        <v>0.8</v>
      </c>
      <c r="CJ64" s="226">
        <v>0.8</v>
      </c>
      <c r="CK64" s="226">
        <v>0.8</v>
      </c>
      <c r="CL64" s="226">
        <v>0.8</v>
      </c>
      <c r="CM64" s="226">
        <v>0.8</v>
      </c>
      <c r="CN64" s="226">
        <v>0.8</v>
      </c>
      <c r="CO64" s="226">
        <v>0.8</v>
      </c>
      <c r="CP64" s="226">
        <v>0.8</v>
      </c>
      <c r="CQ64" s="226">
        <v>0.8</v>
      </c>
      <c r="CR64" s="226">
        <v>0.8</v>
      </c>
      <c r="CS64" s="226">
        <v>0.8</v>
      </c>
      <c r="CT64" s="226">
        <v>0.8</v>
      </c>
      <c r="CU64" s="226">
        <v>0.8</v>
      </c>
      <c r="CV64" s="226">
        <v>0.8</v>
      </c>
      <c r="CW64" s="226">
        <v>0.8</v>
      </c>
      <c r="CX64" s="226">
        <v>0.8</v>
      </c>
      <c r="CY64" s="226">
        <v>0.8</v>
      </c>
      <c r="CZ64" s="226">
        <v>0.8</v>
      </c>
      <c r="DA64" s="226">
        <v>0.8</v>
      </c>
      <c r="DB64" s="226">
        <v>0.8</v>
      </c>
      <c r="DC64" s="226">
        <v>0.8</v>
      </c>
      <c r="DD64" s="226">
        <v>0.8</v>
      </c>
      <c r="DE64" s="226">
        <v>0.8</v>
      </c>
      <c r="DF64" s="226">
        <v>0.8</v>
      </c>
      <c r="DG64" s="226">
        <v>0.8</v>
      </c>
      <c r="DH64" s="226">
        <v>0.8</v>
      </c>
      <c r="DI64" s="226">
        <v>0.8</v>
      </c>
      <c r="DJ64" s="226">
        <v>0.8</v>
      </c>
      <c r="DK64" s="226">
        <v>0.8</v>
      </c>
      <c r="DL64" s="226">
        <v>0.1</v>
      </c>
      <c r="DM64" s="226">
        <v>0</v>
      </c>
      <c r="DN64" s="226">
        <v>0</v>
      </c>
      <c r="DO64" s="226">
        <v>0</v>
      </c>
      <c r="DP64" s="226">
        <v>0</v>
      </c>
      <c r="DQ64" s="226">
        <v>0</v>
      </c>
      <c r="DR64" s="226">
        <v>0</v>
      </c>
      <c r="DS64" s="226">
        <v>0</v>
      </c>
    </row>
    <row r="65" spans="1:123" x14ac:dyDescent="0.15">
      <c r="A65" s="156" t="s">
        <v>285</v>
      </c>
      <c r="B65">
        <v>0.8</v>
      </c>
      <c r="C65" s="226">
        <v>0.8</v>
      </c>
      <c r="D65" s="226">
        <v>0.8</v>
      </c>
      <c r="E65" s="226">
        <v>0.8</v>
      </c>
      <c r="F65" s="226">
        <v>0.8</v>
      </c>
      <c r="G65" s="226">
        <v>0.8</v>
      </c>
      <c r="H65" s="226">
        <v>0.8</v>
      </c>
      <c r="I65" s="226">
        <v>0.8</v>
      </c>
      <c r="J65" s="226">
        <v>0.8</v>
      </c>
      <c r="K65" s="226">
        <v>0.8</v>
      </c>
      <c r="L65" s="226">
        <v>0.8</v>
      </c>
      <c r="M65" s="226">
        <v>0.7</v>
      </c>
      <c r="N65" s="226">
        <v>0.7</v>
      </c>
      <c r="O65" s="226">
        <v>0.6</v>
      </c>
      <c r="P65" s="226">
        <v>0.6</v>
      </c>
      <c r="Q65" s="226">
        <v>0.7</v>
      </c>
      <c r="R65" s="226">
        <v>0.8</v>
      </c>
      <c r="S65" s="226">
        <v>0.8</v>
      </c>
      <c r="T65" s="226">
        <v>0.8</v>
      </c>
      <c r="U65" s="226">
        <v>0.8</v>
      </c>
      <c r="V65" s="226">
        <v>0.8</v>
      </c>
      <c r="W65" s="225">
        <v>0.8</v>
      </c>
      <c r="X65" s="225">
        <v>0.8</v>
      </c>
      <c r="Y65" s="225">
        <v>0.8</v>
      </c>
      <c r="Z65" s="225">
        <v>0.8</v>
      </c>
      <c r="AA65" s="226">
        <v>0.8</v>
      </c>
      <c r="AB65" s="226">
        <v>0.6</v>
      </c>
      <c r="AC65" s="226">
        <v>0.8</v>
      </c>
      <c r="AD65" s="226">
        <v>0.8</v>
      </c>
      <c r="AE65" s="226">
        <v>0.1</v>
      </c>
      <c r="AF65" s="226">
        <v>0.1</v>
      </c>
      <c r="AG65" s="226">
        <v>0.1</v>
      </c>
      <c r="AH65" s="226">
        <v>0.1</v>
      </c>
      <c r="AI65" s="226">
        <v>0.8</v>
      </c>
      <c r="AJ65" s="226">
        <v>0.7</v>
      </c>
      <c r="AK65" s="226">
        <v>0.1</v>
      </c>
      <c r="AL65" s="226">
        <v>0.3</v>
      </c>
      <c r="AM65" s="226">
        <v>0.1</v>
      </c>
      <c r="AN65" s="226">
        <v>0.1</v>
      </c>
      <c r="AO65" s="226">
        <v>0.1</v>
      </c>
      <c r="AP65" s="226">
        <v>0.1</v>
      </c>
      <c r="AQ65" s="226">
        <v>0.1</v>
      </c>
      <c r="AR65" s="226">
        <v>0.1</v>
      </c>
      <c r="AS65" s="226">
        <v>0.1</v>
      </c>
      <c r="AT65" s="226">
        <v>0.7</v>
      </c>
      <c r="AU65" s="226">
        <v>0.3</v>
      </c>
      <c r="AV65" s="226">
        <v>0.3</v>
      </c>
      <c r="AW65" s="226">
        <v>0.3</v>
      </c>
      <c r="AX65" s="226">
        <v>0.8</v>
      </c>
      <c r="AY65" s="226">
        <v>0.8</v>
      </c>
      <c r="AZ65" s="226">
        <v>0.8</v>
      </c>
      <c r="BA65" s="226">
        <v>0.6</v>
      </c>
      <c r="BB65" s="226">
        <v>0.6</v>
      </c>
      <c r="BC65" s="226">
        <v>0.8</v>
      </c>
      <c r="BD65" s="226">
        <v>0.7</v>
      </c>
      <c r="BE65" s="226">
        <v>0.8</v>
      </c>
      <c r="BF65" s="226">
        <v>0.1</v>
      </c>
      <c r="BG65" s="226">
        <v>0.1</v>
      </c>
      <c r="BH65" s="226">
        <v>0.3</v>
      </c>
      <c r="BI65" s="226">
        <v>0.3</v>
      </c>
      <c r="BJ65" s="226">
        <v>0.3</v>
      </c>
      <c r="BK65" s="226">
        <v>0.3</v>
      </c>
      <c r="BL65" s="226">
        <v>0.3</v>
      </c>
      <c r="BM65" s="226">
        <v>0.3</v>
      </c>
      <c r="BN65" s="226">
        <v>0.7</v>
      </c>
      <c r="BO65" s="226">
        <v>0.7</v>
      </c>
      <c r="BP65" s="226">
        <v>0.8</v>
      </c>
      <c r="BQ65" s="226">
        <v>0.8</v>
      </c>
      <c r="BR65" s="226">
        <v>0.7</v>
      </c>
      <c r="BS65" s="226">
        <v>0.7</v>
      </c>
      <c r="BT65" s="226">
        <v>0.7</v>
      </c>
      <c r="BU65" s="226">
        <v>0.7</v>
      </c>
      <c r="BV65" s="226">
        <v>0.8</v>
      </c>
      <c r="BW65" s="226">
        <v>0.8</v>
      </c>
      <c r="BX65" s="226">
        <v>0.7</v>
      </c>
      <c r="BY65" s="226">
        <v>0.8</v>
      </c>
      <c r="BZ65" s="226">
        <v>0.8</v>
      </c>
      <c r="CA65" s="226">
        <v>0.8</v>
      </c>
      <c r="CB65" s="226">
        <v>0.8</v>
      </c>
      <c r="CC65" s="226">
        <v>0.8</v>
      </c>
      <c r="CD65" s="226">
        <v>0.8</v>
      </c>
      <c r="CE65" s="226">
        <v>0.8</v>
      </c>
      <c r="CF65" s="226">
        <v>0.8</v>
      </c>
      <c r="CG65" s="226">
        <v>0.8</v>
      </c>
      <c r="CH65" s="226">
        <v>0.8</v>
      </c>
      <c r="CI65" s="226">
        <v>0.8</v>
      </c>
      <c r="CJ65" s="226">
        <v>0.8</v>
      </c>
      <c r="CK65" s="226">
        <v>0.8</v>
      </c>
      <c r="CL65" s="226">
        <v>0.8</v>
      </c>
      <c r="CM65" s="226">
        <v>0.8</v>
      </c>
      <c r="CN65" s="226">
        <v>0.8</v>
      </c>
      <c r="CO65" s="226">
        <v>0.8</v>
      </c>
      <c r="CP65" s="226">
        <v>0.8</v>
      </c>
      <c r="CQ65" s="226">
        <v>0.8</v>
      </c>
      <c r="CR65" s="226">
        <v>0.8</v>
      </c>
      <c r="CS65" s="226">
        <v>0.8</v>
      </c>
      <c r="CT65" s="226">
        <v>0.8</v>
      </c>
      <c r="CU65" s="226">
        <v>0.8</v>
      </c>
      <c r="CV65" s="226">
        <v>0.8</v>
      </c>
      <c r="CW65" s="226">
        <v>0.8</v>
      </c>
      <c r="CX65" s="226">
        <v>0.8</v>
      </c>
      <c r="CY65" s="226">
        <v>0.8</v>
      </c>
      <c r="CZ65" s="226">
        <v>0.8</v>
      </c>
      <c r="DA65" s="226">
        <v>0.8</v>
      </c>
      <c r="DB65" s="226">
        <v>0.8</v>
      </c>
      <c r="DC65" s="226">
        <v>0.8</v>
      </c>
      <c r="DD65" s="226">
        <v>0.8</v>
      </c>
      <c r="DE65" s="226">
        <v>0.8</v>
      </c>
      <c r="DF65" s="226">
        <v>0.8</v>
      </c>
      <c r="DG65" s="226">
        <v>0.8</v>
      </c>
      <c r="DH65" s="226">
        <v>0.8</v>
      </c>
      <c r="DI65" s="226">
        <v>0.8</v>
      </c>
      <c r="DJ65" s="226">
        <v>0.8</v>
      </c>
      <c r="DK65" s="226">
        <v>0.8</v>
      </c>
      <c r="DL65" s="226">
        <v>0.1</v>
      </c>
      <c r="DM65" s="226">
        <v>0</v>
      </c>
      <c r="DN65" s="226">
        <v>0</v>
      </c>
      <c r="DO65" s="226">
        <v>0</v>
      </c>
      <c r="DP65" s="226">
        <v>0</v>
      </c>
      <c r="DQ65" s="226">
        <v>0</v>
      </c>
      <c r="DR65" s="226">
        <v>0</v>
      </c>
      <c r="DS65" s="226">
        <v>0</v>
      </c>
    </row>
    <row r="66" spans="1:123" x14ac:dyDescent="0.15">
      <c r="A66" s="156" t="s">
        <v>286</v>
      </c>
      <c r="B66">
        <v>0.8</v>
      </c>
      <c r="C66" s="226">
        <v>0.8</v>
      </c>
      <c r="D66" s="226">
        <v>0.8</v>
      </c>
      <c r="E66" s="226">
        <v>0.8</v>
      </c>
      <c r="F66" s="226">
        <v>0.8</v>
      </c>
      <c r="G66" s="226">
        <v>0.8</v>
      </c>
      <c r="H66" s="226">
        <v>0.8</v>
      </c>
      <c r="I66" s="226">
        <v>0.8</v>
      </c>
      <c r="J66" s="226">
        <v>0.8</v>
      </c>
      <c r="K66" s="226">
        <v>0.8</v>
      </c>
      <c r="L66" s="226">
        <v>0.8</v>
      </c>
      <c r="M66" s="226">
        <v>0.7</v>
      </c>
      <c r="N66" s="226">
        <v>0.7</v>
      </c>
      <c r="O66" s="226">
        <v>0.6</v>
      </c>
      <c r="P66" s="226">
        <v>0.6</v>
      </c>
      <c r="Q66" s="226">
        <v>0.7</v>
      </c>
      <c r="R66" s="226">
        <v>0.8</v>
      </c>
      <c r="S66" s="226">
        <v>0.8</v>
      </c>
      <c r="T66" s="226">
        <v>0.8</v>
      </c>
      <c r="U66" s="226">
        <v>0.8</v>
      </c>
      <c r="V66" s="226">
        <v>0.8</v>
      </c>
      <c r="W66" s="225">
        <v>0.8</v>
      </c>
      <c r="X66" s="225">
        <v>0.8</v>
      </c>
      <c r="Y66" s="225">
        <v>0.8</v>
      </c>
      <c r="Z66" s="225">
        <v>0.8</v>
      </c>
      <c r="AA66" s="226">
        <v>0.8</v>
      </c>
      <c r="AB66" s="226">
        <v>0.6</v>
      </c>
      <c r="AC66" s="226">
        <v>0.8</v>
      </c>
      <c r="AD66" s="226">
        <v>0.8</v>
      </c>
      <c r="AE66" s="226">
        <v>0.1</v>
      </c>
      <c r="AF66" s="226">
        <v>0.1</v>
      </c>
      <c r="AG66" s="226">
        <v>0.1</v>
      </c>
      <c r="AH66" s="226">
        <v>0.1</v>
      </c>
      <c r="AI66" s="226">
        <v>0.8</v>
      </c>
      <c r="AJ66" s="226">
        <v>0.7</v>
      </c>
      <c r="AK66" s="226">
        <v>0.1</v>
      </c>
      <c r="AL66" s="226">
        <v>0.3</v>
      </c>
      <c r="AM66" s="226">
        <v>0.1</v>
      </c>
      <c r="AN66" s="226">
        <v>0.1</v>
      </c>
      <c r="AO66" s="226">
        <v>0.1</v>
      </c>
      <c r="AP66" s="226">
        <v>0.1</v>
      </c>
      <c r="AQ66" s="226">
        <v>0.1</v>
      </c>
      <c r="AR66" s="226">
        <v>0.1</v>
      </c>
      <c r="AS66" s="226">
        <v>0.1</v>
      </c>
      <c r="AT66" s="226">
        <v>0.7</v>
      </c>
      <c r="AU66" s="226">
        <v>0.3</v>
      </c>
      <c r="AV66" s="226">
        <v>0.3</v>
      </c>
      <c r="AW66" s="226">
        <v>0.3</v>
      </c>
      <c r="AX66" s="226">
        <v>0.8</v>
      </c>
      <c r="AY66" s="226">
        <v>0.8</v>
      </c>
      <c r="AZ66" s="226">
        <v>0.8</v>
      </c>
      <c r="BA66" s="226">
        <v>0.6</v>
      </c>
      <c r="BB66" s="226">
        <v>0.6</v>
      </c>
      <c r="BC66" s="226">
        <v>0.8</v>
      </c>
      <c r="BD66" s="226">
        <v>0.7</v>
      </c>
      <c r="BE66" s="226">
        <v>0.8</v>
      </c>
      <c r="BF66" s="226">
        <v>0.1</v>
      </c>
      <c r="BG66" s="226">
        <v>0.1</v>
      </c>
      <c r="BH66" s="226">
        <v>0.3</v>
      </c>
      <c r="BI66" s="226">
        <v>0.3</v>
      </c>
      <c r="BJ66" s="226">
        <v>0.3</v>
      </c>
      <c r="BK66" s="226">
        <v>0.3</v>
      </c>
      <c r="BL66" s="226">
        <v>0.3</v>
      </c>
      <c r="BM66" s="226">
        <v>0.3</v>
      </c>
      <c r="BN66" s="226">
        <v>0.7</v>
      </c>
      <c r="BO66" s="226">
        <v>0.7</v>
      </c>
      <c r="BP66" s="226">
        <v>0.8</v>
      </c>
      <c r="BQ66" s="226">
        <v>0.8</v>
      </c>
      <c r="BR66" s="226">
        <v>0.7</v>
      </c>
      <c r="BS66" s="226">
        <v>0.7</v>
      </c>
      <c r="BT66" s="226">
        <v>0.7</v>
      </c>
      <c r="BU66" s="226">
        <v>0.7</v>
      </c>
      <c r="BV66" s="226">
        <v>0.8</v>
      </c>
      <c r="BW66" s="226">
        <v>0.8</v>
      </c>
      <c r="BX66" s="226">
        <v>0.7</v>
      </c>
      <c r="BY66" s="226">
        <v>0.8</v>
      </c>
      <c r="BZ66" s="226">
        <v>0.8</v>
      </c>
      <c r="CA66" s="226">
        <v>0.8</v>
      </c>
      <c r="CB66" s="226">
        <v>0.8</v>
      </c>
      <c r="CC66" s="226">
        <v>0.8</v>
      </c>
      <c r="CD66" s="226">
        <v>0.8</v>
      </c>
      <c r="CE66" s="226">
        <v>0.8</v>
      </c>
      <c r="CF66" s="226">
        <v>0.8</v>
      </c>
      <c r="CG66" s="226">
        <v>0.8</v>
      </c>
      <c r="CH66" s="226">
        <v>0.8</v>
      </c>
      <c r="CI66" s="226">
        <v>0.8</v>
      </c>
      <c r="CJ66" s="226">
        <v>0.8</v>
      </c>
      <c r="CK66" s="226">
        <v>0.8</v>
      </c>
      <c r="CL66" s="226">
        <v>0.8</v>
      </c>
      <c r="CM66" s="226">
        <v>0.8</v>
      </c>
      <c r="CN66" s="226">
        <v>0.8</v>
      </c>
      <c r="CO66" s="226">
        <v>0.8</v>
      </c>
      <c r="CP66" s="226">
        <v>0.8</v>
      </c>
      <c r="CQ66" s="226">
        <v>0.8</v>
      </c>
      <c r="CR66" s="226">
        <v>0.8</v>
      </c>
      <c r="CS66" s="226">
        <v>0.8</v>
      </c>
      <c r="CT66" s="226">
        <v>0.8</v>
      </c>
      <c r="CU66" s="226">
        <v>0.8</v>
      </c>
      <c r="CV66" s="226">
        <v>0.8</v>
      </c>
      <c r="CW66" s="226">
        <v>0.8</v>
      </c>
      <c r="CX66" s="226">
        <v>0.8</v>
      </c>
      <c r="CY66" s="226">
        <v>0.8</v>
      </c>
      <c r="CZ66" s="226">
        <v>0.8</v>
      </c>
      <c r="DA66" s="226">
        <v>0.8</v>
      </c>
      <c r="DB66" s="226">
        <v>0.8</v>
      </c>
      <c r="DC66" s="226">
        <v>0.8</v>
      </c>
      <c r="DD66" s="226">
        <v>0.8</v>
      </c>
      <c r="DE66" s="226">
        <v>0.8</v>
      </c>
      <c r="DF66" s="226">
        <v>0.8</v>
      </c>
      <c r="DG66" s="226">
        <v>0.8</v>
      </c>
      <c r="DH66" s="226">
        <v>0.8</v>
      </c>
      <c r="DI66" s="226">
        <v>0.8</v>
      </c>
      <c r="DJ66" s="226">
        <v>0.8</v>
      </c>
      <c r="DK66" s="226">
        <v>0.8</v>
      </c>
      <c r="DL66" s="226">
        <v>0.1</v>
      </c>
      <c r="DM66" s="226">
        <v>0</v>
      </c>
      <c r="DN66" s="226">
        <v>0</v>
      </c>
      <c r="DO66" s="226">
        <v>0</v>
      </c>
      <c r="DP66" s="226">
        <v>0</v>
      </c>
      <c r="DQ66" s="226">
        <v>0</v>
      </c>
      <c r="DR66" s="226">
        <v>0</v>
      </c>
      <c r="DS66" s="226">
        <v>0</v>
      </c>
    </row>
    <row r="67" spans="1:123" x14ac:dyDescent="0.15">
      <c r="A67" s="156" t="s">
        <v>287</v>
      </c>
      <c r="B67">
        <v>0.8</v>
      </c>
      <c r="C67" s="226">
        <v>0.8</v>
      </c>
      <c r="D67" s="226">
        <v>0.8</v>
      </c>
      <c r="E67" s="226">
        <v>0.8</v>
      </c>
      <c r="F67" s="226">
        <v>0.8</v>
      </c>
      <c r="G67" s="226">
        <v>0.8</v>
      </c>
      <c r="H67" s="226">
        <v>0.8</v>
      </c>
      <c r="I67" s="226">
        <v>0.8</v>
      </c>
      <c r="J67" s="226">
        <v>0.8</v>
      </c>
      <c r="K67" s="226">
        <v>0.8</v>
      </c>
      <c r="L67" s="226">
        <v>0.8</v>
      </c>
      <c r="M67" s="226">
        <v>0.7</v>
      </c>
      <c r="N67" s="226">
        <v>0.7</v>
      </c>
      <c r="O67" s="226">
        <v>0.6</v>
      </c>
      <c r="P67" s="226">
        <v>0.6</v>
      </c>
      <c r="Q67" s="226">
        <v>0.7</v>
      </c>
      <c r="R67" s="226">
        <v>0.8</v>
      </c>
      <c r="S67" s="226">
        <v>0.8</v>
      </c>
      <c r="T67" s="226">
        <v>0.8</v>
      </c>
      <c r="U67" s="226">
        <v>0.8</v>
      </c>
      <c r="V67" s="226">
        <v>0.8</v>
      </c>
      <c r="W67" s="225">
        <v>0.8</v>
      </c>
      <c r="X67" s="225">
        <v>0.8</v>
      </c>
      <c r="Y67" s="225">
        <v>0.8</v>
      </c>
      <c r="Z67" s="225">
        <v>0.8</v>
      </c>
      <c r="AA67" s="226">
        <v>0.8</v>
      </c>
      <c r="AB67" s="226">
        <v>0.6</v>
      </c>
      <c r="AC67" s="226">
        <v>0.8</v>
      </c>
      <c r="AD67" s="226">
        <v>0.8</v>
      </c>
      <c r="AE67" s="226">
        <v>0.1</v>
      </c>
      <c r="AF67" s="226">
        <v>0.1</v>
      </c>
      <c r="AG67" s="226">
        <v>0.1</v>
      </c>
      <c r="AH67" s="226">
        <v>0.1</v>
      </c>
      <c r="AI67" s="226">
        <v>0.8</v>
      </c>
      <c r="AJ67" s="226">
        <v>0.7</v>
      </c>
      <c r="AK67" s="226">
        <v>0.1</v>
      </c>
      <c r="AL67" s="226">
        <v>0.3</v>
      </c>
      <c r="AM67" s="226">
        <v>0.1</v>
      </c>
      <c r="AN67" s="226">
        <v>0.1</v>
      </c>
      <c r="AO67" s="226">
        <v>0.1</v>
      </c>
      <c r="AP67" s="226">
        <v>0.1</v>
      </c>
      <c r="AQ67" s="226">
        <v>0.1</v>
      </c>
      <c r="AR67" s="226">
        <v>0.1</v>
      </c>
      <c r="AS67" s="226">
        <v>0.1</v>
      </c>
      <c r="AT67" s="226">
        <v>0.7</v>
      </c>
      <c r="AU67" s="226">
        <v>0.3</v>
      </c>
      <c r="AV67" s="226">
        <v>0.3</v>
      </c>
      <c r="AW67" s="226">
        <v>0.3</v>
      </c>
      <c r="AX67" s="226">
        <v>0.8</v>
      </c>
      <c r="AY67" s="226">
        <v>0.8</v>
      </c>
      <c r="AZ67" s="226">
        <v>0.8</v>
      </c>
      <c r="BA67" s="226">
        <v>0.6</v>
      </c>
      <c r="BB67" s="226">
        <v>0.6</v>
      </c>
      <c r="BC67" s="226">
        <v>0.8</v>
      </c>
      <c r="BD67" s="226">
        <v>0.7</v>
      </c>
      <c r="BE67" s="226">
        <v>0.8</v>
      </c>
      <c r="BF67" s="226">
        <v>0.1</v>
      </c>
      <c r="BG67" s="226">
        <v>0.1</v>
      </c>
      <c r="BH67" s="226">
        <v>0.3</v>
      </c>
      <c r="BI67" s="226">
        <v>0.3</v>
      </c>
      <c r="BJ67" s="226">
        <v>0.3</v>
      </c>
      <c r="BK67" s="226">
        <v>0.3</v>
      </c>
      <c r="BL67" s="226">
        <v>0.3</v>
      </c>
      <c r="BM67" s="226">
        <v>0.3</v>
      </c>
      <c r="BN67" s="226">
        <v>0.7</v>
      </c>
      <c r="BO67" s="226">
        <v>0.7</v>
      </c>
      <c r="BP67" s="226">
        <v>0.8</v>
      </c>
      <c r="BQ67" s="226">
        <v>0.8</v>
      </c>
      <c r="BR67" s="226">
        <v>0.7</v>
      </c>
      <c r="BS67" s="226">
        <v>0.7</v>
      </c>
      <c r="BT67" s="226">
        <v>0.7</v>
      </c>
      <c r="BU67" s="226">
        <v>0.7</v>
      </c>
      <c r="BV67" s="226">
        <v>0.8</v>
      </c>
      <c r="BW67" s="226">
        <v>0.8</v>
      </c>
      <c r="BX67" s="226">
        <v>0.7</v>
      </c>
      <c r="BY67" s="226">
        <v>0.8</v>
      </c>
      <c r="BZ67" s="226">
        <v>0.8</v>
      </c>
      <c r="CA67" s="226">
        <v>0.8</v>
      </c>
      <c r="CB67" s="226">
        <v>0.8</v>
      </c>
      <c r="CC67" s="226">
        <v>0.8</v>
      </c>
      <c r="CD67" s="226">
        <v>0.8</v>
      </c>
      <c r="CE67" s="226">
        <v>0.8</v>
      </c>
      <c r="CF67" s="226">
        <v>0.8</v>
      </c>
      <c r="CG67" s="226">
        <v>0.8</v>
      </c>
      <c r="CH67" s="226">
        <v>0.8</v>
      </c>
      <c r="CI67" s="226">
        <v>0.8</v>
      </c>
      <c r="CJ67" s="226">
        <v>0.8</v>
      </c>
      <c r="CK67" s="226">
        <v>0.8</v>
      </c>
      <c r="CL67" s="226">
        <v>0.8</v>
      </c>
      <c r="CM67" s="226">
        <v>0.8</v>
      </c>
      <c r="CN67" s="226">
        <v>0.8</v>
      </c>
      <c r="CO67" s="226">
        <v>0.8</v>
      </c>
      <c r="CP67" s="226">
        <v>0.8</v>
      </c>
      <c r="CQ67" s="226">
        <v>0.8</v>
      </c>
      <c r="CR67" s="226">
        <v>0.8</v>
      </c>
      <c r="CS67" s="226">
        <v>0.8</v>
      </c>
      <c r="CT67" s="226">
        <v>0.8</v>
      </c>
      <c r="CU67" s="226">
        <v>0.8</v>
      </c>
      <c r="CV67" s="226">
        <v>0.8</v>
      </c>
      <c r="CW67" s="226">
        <v>0.8</v>
      </c>
      <c r="CX67" s="226">
        <v>0.8</v>
      </c>
      <c r="CY67" s="226">
        <v>0.8</v>
      </c>
      <c r="CZ67" s="226">
        <v>0.8</v>
      </c>
      <c r="DA67" s="226">
        <v>0.8</v>
      </c>
      <c r="DB67" s="226">
        <v>0.8</v>
      </c>
      <c r="DC67" s="226">
        <v>0.8</v>
      </c>
      <c r="DD67" s="226">
        <v>0.8</v>
      </c>
      <c r="DE67" s="226">
        <v>0.8</v>
      </c>
      <c r="DF67" s="226">
        <v>0.8</v>
      </c>
      <c r="DG67" s="226">
        <v>0.8</v>
      </c>
      <c r="DH67" s="226">
        <v>0.8</v>
      </c>
      <c r="DI67" s="226">
        <v>0.8</v>
      </c>
      <c r="DJ67" s="226">
        <v>0.8</v>
      </c>
      <c r="DK67" s="226">
        <v>0.8</v>
      </c>
      <c r="DL67" s="226">
        <v>0.1</v>
      </c>
      <c r="DM67" s="226">
        <v>0</v>
      </c>
      <c r="DN67" s="226">
        <v>0</v>
      </c>
      <c r="DO67" s="226">
        <v>0</v>
      </c>
      <c r="DP67" s="226">
        <v>0</v>
      </c>
      <c r="DQ67" s="226">
        <v>0</v>
      </c>
      <c r="DR67" s="226">
        <v>0</v>
      </c>
      <c r="DS67" s="226">
        <v>0</v>
      </c>
    </row>
    <row r="68" spans="1:123" x14ac:dyDescent="0.15">
      <c r="A68" s="156" t="s">
        <v>288</v>
      </c>
      <c r="B68">
        <v>0.8</v>
      </c>
      <c r="C68" s="226">
        <v>0.8</v>
      </c>
      <c r="D68" s="226">
        <v>0.8</v>
      </c>
      <c r="E68" s="226">
        <v>0.8</v>
      </c>
      <c r="F68" s="226">
        <v>0.8</v>
      </c>
      <c r="G68" s="226">
        <v>0.8</v>
      </c>
      <c r="H68" s="226">
        <v>0.8</v>
      </c>
      <c r="I68" s="226">
        <v>0.8</v>
      </c>
      <c r="J68" s="226">
        <v>0.8</v>
      </c>
      <c r="K68" s="226">
        <v>0.8</v>
      </c>
      <c r="L68" s="226">
        <v>0.8</v>
      </c>
      <c r="M68" s="226">
        <v>0.7</v>
      </c>
      <c r="N68" s="226">
        <v>0.7</v>
      </c>
      <c r="O68" s="226">
        <v>0.6</v>
      </c>
      <c r="P68" s="226">
        <v>0.6</v>
      </c>
      <c r="Q68" s="226">
        <v>0.7</v>
      </c>
      <c r="R68" s="226">
        <v>0.8</v>
      </c>
      <c r="S68" s="226">
        <v>0.8</v>
      </c>
      <c r="T68" s="226">
        <v>0.8</v>
      </c>
      <c r="U68" s="226">
        <v>0.8</v>
      </c>
      <c r="V68" s="226">
        <v>0.8</v>
      </c>
      <c r="W68" s="225">
        <v>0.8</v>
      </c>
      <c r="X68" s="225">
        <v>0.8</v>
      </c>
      <c r="Y68" s="225">
        <v>0.8</v>
      </c>
      <c r="Z68" s="225">
        <v>0.8</v>
      </c>
      <c r="AA68" s="226">
        <v>0.8</v>
      </c>
      <c r="AB68" s="226">
        <v>0.6</v>
      </c>
      <c r="AC68" s="226">
        <v>0.8</v>
      </c>
      <c r="AD68" s="226">
        <v>0.8</v>
      </c>
      <c r="AE68" s="226">
        <v>0.1</v>
      </c>
      <c r="AF68" s="226">
        <v>0.1</v>
      </c>
      <c r="AG68" s="226">
        <v>0.1</v>
      </c>
      <c r="AH68" s="226">
        <v>0.1</v>
      </c>
      <c r="AI68" s="226">
        <v>0.8</v>
      </c>
      <c r="AJ68" s="226">
        <v>0.7</v>
      </c>
      <c r="AK68" s="226">
        <v>0.1</v>
      </c>
      <c r="AL68" s="226">
        <v>0.3</v>
      </c>
      <c r="AM68" s="226">
        <v>0.1</v>
      </c>
      <c r="AN68" s="226">
        <v>0.1</v>
      </c>
      <c r="AO68" s="226">
        <v>0.1</v>
      </c>
      <c r="AP68" s="226">
        <v>0.1</v>
      </c>
      <c r="AQ68" s="226">
        <v>0.1</v>
      </c>
      <c r="AR68" s="226">
        <v>0.1</v>
      </c>
      <c r="AS68" s="226">
        <v>0.1</v>
      </c>
      <c r="AT68" s="226">
        <v>0.7</v>
      </c>
      <c r="AU68" s="226">
        <v>0.3</v>
      </c>
      <c r="AV68" s="226">
        <v>0.3</v>
      </c>
      <c r="AW68" s="226">
        <v>0.3</v>
      </c>
      <c r="AX68" s="226">
        <v>0.8</v>
      </c>
      <c r="AY68" s="226">
        <v>0.8</v>
      </c>
      <c r="AZ68" s="226">
        <v>0.8</v>
      </c>
      <c r="BA68" s="226">
        <v>0.6</v>
      </c>
      <c r="BB68" s="226">
        <v>0.6</v>
      </c>
      <c r="BC68" s="226">
        <v>0.8</v>
      </c>
      <c r="BD68" s="226">
        <v>0.7</v>
      </c>
      <c r="BE68" s="226">
        <v>0.8</v>
      </c>
      <c r="BF68" s="226">
        <v>0.1</v>
      </c>
      <c r="BG68" s="226">
        <v>0.1</v>
      </c>
      <c r="BH68" s="226">
        <v>0.3</v>
      </c>
      <c r="BI68" s="226">
        <v>0.3</v>
      </c>
      <c r="BJ68" s="226">
        <v>0.3</v>
      </c>
      <c r="BK68" s="226">
        <v>0.3</v>
      </c>
      <c r="BL68" s="226">
        <v>0.3</v>
      </c>
      <c r="BM68" s="226">
        <v>0.3</v>
      </c>
      <c r="BN68" s="226">
        <v>0.7</v>
      </c>
      <c r="BO68" s="226">
        <v>0.7</v>
      </c>
      <c r="BP68" s="226">
        <v>0.8</v>
      </c>
      <c r="BQ68" s="226">
        <v>0.8</v>
      </c>
      <c r="BR68" s="226">
        <v>0.7</v>
      </c>
      <c r="BS68" s="226">
        <v>0.7</v>
      </c>
      <c r="BT68" s="226">
        <v>0.7</v>
      </c>
      <c r="BU68" s="226">
        <v>0.7</v>
      </c>
      <c r="BV68" s="226">
        <v>0.8</v>
      </c>
      <c r="BW68" s="226">
        <v>0.8</v>
      </c>
      <c r="BX68" s="226">
        <v>0.7</v>
      </c>
      <c r="BY68" s="226">
        <v>0.8</v>
      </c>
      <c r="BZ68" s="226">
        <v>0.8</v>
      </c>
      <c r="CA68" s="226">
        <v>0.8</v>
      </c>
      <c r="CB68" s="226">
        <v>0.8</v>
      </c>
      <c r="CC68" s="226">
        <v>0.8</v>
      </c>
      <c r="CD68" s="226">
        <v>0.8</v>
      </c>
      <c r="CE68" s="226">
        <v>0.8</v>
      </c>
      <c r="CF68" s="226">
        <v>0.8</v>
      </c>
      <c r="CG68" s="226">
        <v>0.8</v>
      </c>
      <c r="CH68" s="226">
        <v>0.8</v>
      </c>
      <c r="CI68" s="226">
        <v>0.8</v>
      </c>
      <c r="CJ68" s="226">
        <v>0.8</v>
      </c>
      <c r="CK68" s="226">
        <v>0.8</v>
      </c>
      <c r="CL68" s="226">
        <v>0.8</v>
      </c>
      <c r="CM68" s="226">
        <v>0.8</v>
      </c>
      <c r="CN68" s="226">
        <v>0.8</v>
      </c>
      <c r="CO68" s="226">
        <v>0.8</v>
      </c>
      <c r="CP68" s="226">
        <v>0.8</v>
      </c>
      <c r="CQ68" s="226">
        <v>0.8</v>
      </c>
      <c r="CR68" s="226">
        <v>0.8</v>
      </c>
      <c r="CS68" s="226">
        <v>0.8</v>
      </c>
      <c r="CT68" s="226">
        <v>0.8</v>
      </c>
      <c r="CU68" s="226">
        <v>0.8</v>
      </c>
      <c r="CV68" s="226">
        <v>0.8</v>
      </c>
      <c r="CW68" s="226">
        <v>0.8</v>
      </c>
      <c r="CX68" s="226">
        <v>0.8</v>
      </c>
      <c r="CY68" s="226">
        <v>0.8</v>
      </c>
      <c r="CZ68" s="226">
        <v>0.8</v>
      </c>
      <c r="DA68" s="226">
        <v>0.8</v>
      </c>
      <c r="DB68" s="226">
        <v>0.8</v>
      </c>
      <c r="DC68" s="226">
        <v>0.8</v>
      </c>
      <c r="DD68" s="226">
        <v>0.8</v>
      </c>
      <c r="DE68" s="226">
        <v>0.8</v>
      </c>
      <c r="DF68" s="226">
        <v>0.8</v>
      </c>
      <c r="DG68" s="226">
        <v>0.8</v>
      </c>
      <c r="DH68" s="226">
        <v>0.8</v>
      </c>
      <c r="DI68" s="226">
        <v>0.8</v>
      </c>
      <c r="DJ68" s="226">
        <v>0.8</v>
      </c>
      <c r="DK68" s="226">
        <v>0.8</v>
      </c>
      <c r="DL68" s="226">
        <v>0.1</v>
      </c>
      <c r="DM68" s="226">
        <v>0</v>
      </c>
      <c r="DN68" s="226">
        <v>0</v>
      </c>
      <c r="DO68" s="226">
        <v>0</v>
      </c>
      <c r="DP68" s="226">
        <v>0</v>
      </c>
      <c r="DQ68" s="226">
        <v>0</v>
      </c>
      <c r="DR68" s="226">
        <v>0</v>
      </c>
      <c r="DS68" s="226">
        <v>0</v>
      </c>
    </row>
    <row r="69" spans="1:123" x14ac:dyDescent="0.15">
      <c r="A69" s="156" t="s">
        <v>289</v>
      </c>
      <c r="B69">
        <v>0.8</v>
      </c>
      <c r="C69" s="226">
        <v>0.8</v>
      </c>
      <c r="D69" s="226">
        <v>0.8</v>
      </c>
      <c r="E69" s="226">
        <v>0.8</v>
      </c>
      <c r="F69" s="226">
        <v>0.8</v>
      </c>
      <c r="G69" s="226">
        <v>0.8</v>
      </c>
      <c r="H69" s="226">
        <v>0.8</v>
      </c>
      <c r="I69" s="226">
        <v>0.8</v>
      </c>
      <c r="J69" s="226">
        <v>0.8</v>
      </c>
      <c r="K69" s="226">
        <v>0.8</v>
      </c>
      <c r="L69" s="226">
        <v>0.8</v>
      </c>
      <c r="M69" s="226">
        <v>0.7</v>
      </c>
      <c r="N69" s="226">
        <v>0.7</v>
      </c>
      <c r="O69" s="226">
        <v>0.6</v>
      </c>
      <c r="P69" s="226">
        <v>0.6</v>
      </c>
      <c r="Q69" s="226">
        <v>0.7</v>
      </c>
      <c r="R69" s="226">
        <v>0.8</v>
      </c>
      <c r="S69" s="226">
        <v>0.8</v>
      </c>
      <c r="T69" s="226">
        <v>0.8</v>
      </c>
      <c r="U69" s="226">
        <v>0.8</v>
      </c>
      <c r="V69" s="226">
        <v>0.8</v>
      </c>
      <c r="W69" s="225">
        <v>0.8</v>
      </c>
      <c r="X69" s="225">
        <v>0.8</v>
      </c>
      <c r="Y69" s="225">
        <v>0.8</v>
      </c>
      <c r="Z69" s="225">
        <v>0.8</v>
      </c>
      <c r="AA69" s="226">
        <v>0.8</v>
      </c>
      <c r="AB69" s="226">
        <v>0.6</v>
      </c>
      <c r="AC69" s="226">
        <v>0.8</v>
      </c>
      <c r="AD69" s="226">
        <v>0.8</v>
      </c>
      <c r="AE69" s="226">
        <v>0.1</v>
      </c>
      <c r="AF69" s="226">
        <v>0.1</v>
      </c>
      <c r="AG69" s="226">
        <v>0.1</v>
      </c>
      <c r="AH69" s="226">
        <v>0.1</v>
      </c>
      <c r="AI69" s="226">
        <v>0.8</v>
      </c>
      <c r="AJ69" s="226">
        <v>0.7</v>
      </c>
      <c r="AK69" s="226">
        <v>0.1</v>
      </c>
      <c r="AL69" s="226">
        <v>0.3</v>
      </c>
      <c r="AM69" s="226">
        <v>0.1</v>
      </c>
      <c r="AN69" s="226">
        <v>0.1</v>
      </c>
      <c r="AO69" s="226">
        <v>0.1</v>
      </c>
      <c r="AP69" s="226">
        <v>0.1</v>
      </c>
      <c r="AQ69" s="226">
        <v>0.1</v>
      </c>
      <c r="AR69" s="226">
        <v>0.1</v>
      </c>
      <c r="AS69" s="226">
        <v>0.1</v>
      </c>
      <c r="AT69" s="226">
        <v>0.7</v>
      </c>
      <c r="AU69" s="226">
        <v>0.3</v>
      </c>
      <c r="AV69" s="226">
        <v>0.3</v>
      </c>
      <c r="AW69" s="226">
        <v>0.3</v>
      </c>
      <c r="AX69" s="226">
        <v>0.8</v>
      </c>
      <c r="AY69" s="226">
        <v>0.8</v>
      </c>
      <c r="AZ69" s="226">
        <v>0.8</v>
      </c>
      <c r="BA69" s="226">
        <v>0.6</v>
      </c>
      <c r="BB69" s="226">
        <v>0.6</v>
      </c>
      <c r="BC69" s="226">
        <v>0.8</v>
      </c>
      <c r="BD69" s="226">
        <v>0.7</v>
      </c>
      <c r="BE69" s="226">
        <v>0.8</v>
      </c>
      <c r="BF69" s="226">
        <v>0.1</v>
      </c>
      <c r="BG69" s="226">
        <v>0.1</v>
      </c>
      <c r="BH69" s="226">
        <v>0.3</v>
      </c>
      <c r="BI69" s="226">
        <v>0.3</v>
      </c>
      <c r="BJ69" s="226">
        <v>0.3</v>
      </c>
      <c r="BK69" s="226">
        <v>0.3</v>
      </c>
      <c r="BL69" s="226">
        <v>0.3</v>
      </c>
      <c r="BM69" s="226">
        <v>0.3</v>
      </c>
      <c r="BN69" s="226">
        <v>0.7</v>
      </c>
      <c r="BO69" s="226">
        <v>0.7</v>
      </c>
      <c r="BP69" s="226">
        <v>0.8</v>
      </c>
      <c r="BQ69" s="226">
        <v>0.8</v>
      </c>
      <c r="BR69" s="226">
        <v>0.7</v>
      </c>
      <c r="BS69" s="226">
        <v>0.7</v>
      </c>
      <c r="BT69" s="226">
        <v>0.7</v>
      </c>
      <c r="BU69" s="226">
        <v>0.7</v>
      </c>
      <c r="BV69" s="226">
        <v>0.8</v>
      </c>
      <c r="BW69" s="226">
        <v>0.8</v>
      </c>
      <c r="BX69" s="226">
        <v>0.7</v>
      </c>
      <c r="BY69" s="226">
        <v>0.8</v>
      </c>
      <c r="BZ69" s="226">
        <v>0.8</v>
      </c>
      <c r="CA69" s="226">
        <v>0.8</v>
      </c>
      <c r="CB69" s="226">
        <v>0.8</v>
      </c>
      <c r="CC69" s="226">
        <v>0.8</v>
      </c>
      <c r="CD69" s="226">
        <v>0.8</v>
      </c>
      <c r="CE69" s="226">
        <v>0.8</v>
      </c>
      <c r="CF69" s="226">
        <v>0.8</v>
      </c>
      <c r="CG69" s="226">
        <v>0.8</v>
      </c>
      <c r="CH69" s="226">
        <v>0.8</v>
      </c>
      <c r="CI69" s="226">
        <v>0.8</v>
      </c>
      <c r="CJ69" s="226">
        <v>0.8</v>
      </c>
      <c r="CK69" s="226">
        <v>0.8</v>
      </c>
      <c r="CL69" s="226">
        <v>0.8</v>
      </c>
      <c r="CM69" s="226">
        <v>0.8</v>
      </c>
      <c r="CN69" s="226">
        <v>0.8</v>
      </c>
      <c r="CO69" s="226">
        <v>0.8</v>
      </c>
      <c r="CP69" s="226">
        <v>0.8</v>
      </c>
      <c r="CQ69" s="226">
        <v>0.8</v>
      </c>
      <c r="CR69" s="226">
        <v>0.8</v>
      </c>
      <c r="CS69" s="226">
        <v>0.8</v>
      </c>
      <c r="CT69" s="226">
        <v>0.8</v>
      </c>
      <c r="CU69" s="226">
        <v>0.8</v>
      </c>
      <c r="CV69" s="226">
        <v>0.8</v>
      </c>
      <c r="CW69" s="226">
        <v>0.8</v>
      </c>
      <c r="CX69" s="226">
        <v>0.8</v>
      </c>
      <c r="CY69" s="226">
        <v>0.8</v>
      </c>
      <c r="CZ69" s="226">
        <v>0.8</v>
      </c>
      <c r="DA69" s="226">
        <v>0.8</v>
      </c>
      <c r="DB69" s="226">
        <v>0.8</v>
      </c>
      <c r="DC69" s="226">
        <v>0.8</v>
      </c>
      <c r="DD69" s="226">
        <v>0.8</v>
      </c>
      <c r="DE69" s="226">
        <v>0.8</v>
      </c>
      <c r="DF69" s="226">
        <v>0.8</v>
      </c>
      <c r="DG69" s="226">
        <v>0.8</v>
      </c>
      <c r="DH69" s="226">
        <v>0.8</v>
      </c>
      <c r="DI69" s="226">
        <v>0.8</v>
      </c>
      <c r="DJ69" s="226">
        <v>0.8</v>
      </c>
      <c r="DK69" s="226">
        <v>0.8</v>
      </c>
      <c r="DL69" s="226">
        <v>0.1</v>
      </c>
      <c r="DM69" s="226">
        <v>0</v>
      </c>
      <c r="DN69" s="226">
        <v>0</v>
      </c>
      <c r="DO69" s="226">
        <v>0</v>
      </c>
      <c r="DP69" s="226">
        <v>0</v>
      </c>
      <c r="DQ69" s="226">
        <v>0</v>
      </c>
      <c r="DR69" s="226">
        <v>0</v>
      </c>
      <c r="DS69" s="226">
        <v>0</v>
      </c>
    </row>
    <row r="70" spans="1:123" x14ac:dyDescent="0.15">
      <c r="A70" s="156" t="s">
        <v>290</v>
      </c>
      <c r="B70">
        <v>0.8</v>
      </c>
      <c r="C70" s="226">
        <v>0.8</v>
      </c>
      <c r="D70" s="226">
        <v>0.8</v>
      </c>
      <c r="E70" s="226">
        <v>0.8</v>
      </c>
      <c r="F70" s="226">
        <v>0.8</v>
      </c>
      <c r="G70" s="226">
        <v>0.8</v>
      </c>
      <c r="H70" s="226">
        <v>0.8</v>
      </c>
      <c r="I70" s="226">
        <v>0.8</v>
      </c>
      <c r="J70" s="226">
        <v>0.8</v>
      </c>
      <c r="K70" s="226">
        <v>0.8</v>
      </c>
      <c r="L70" s="226">
        <v>0.8</v>
      </c>
      <c r="M70" s="226">
        <v>0.7</v>
      </c>
      <c r="N70" s="226">
        <v>0.7</v>
      </c>
      <c r="O70" s="226">
        <v>0.6</v>
      </c>
      <c r="P70" s="226">
        <v>0.6</v>
      </c>
      <c r="Q70" s="226">
        <v>0.7</v>
      </c>
      <c r="R70" s="226">
        <v>0.8</v>
      </c>
      <c r="S70" s="226">
        <v>0.8</v>
      </c>
      <c r="T70" s="226">
        <v>0.8</v>
      </c>
      <c r="U70" s="226">
        <v>0.8</v>
      </c>
      <c r="V70" s="226">
        <v>0.8</v>
      </c>
      <c r="W70" s="225">
        <v>0.8</v>
      </c>
      <c r="X70" s="225">
        <v>0.8</v>
      </c>
      <c r="Y70" s="225">
        <v>0.8</v>
      </c>
      <c r="Z70" s="225">
        <v>0.8</v>
      </c>
      <c r="AA70" s="226">
        <v>0.8</v>
      </c>
      <c r="AB70" s="226">
        <v>0.6</v>
      </c>
      <c r="AC70" s="226">
        <v>0.8</v>
      </c>
      <c r="AD70" s="226">
        <v>0.8</v>
      </c>
      <c r="AE70" s="226">
        <v>0.1</v>
      </c>
      <c r="AF70" s="226">
        <v>0.1</v>
      </c>
      <c r="AG70" s="226">
        <v>0.1</v>
      </c>
      <c r="AH70" s="226">
        <v>0.1</v>
      </c>
      <c r="AI70" s="226">
        <v>0.8</v>
      </c>
      <c r="AJ70" s="226">
        <v>0.7</v>
      </c>
      <c r="AK70" s="226">
        <v>0.1</v>
      </c>
      <c r="AL70" s="226">
        <v>0.3</v>
      </c>
      <c r="AM70" s="226">
        <v>0.1</v>
      </c>
      <c r="AN70" s="226">
        <v>0.1</v>
      </c>
      <c r="AO70" s="226">
        <v>0.1</v>
      </c>
      <c r="AP70" s="226">
        <v>0.1</v>
      </c>
      <c r="AQ70" s="226">
        <v>0.1</v>
      </c>
      <c r="AR70" s="226">
        <v>0.1</v>
      </c>
      <c r="AS70" s="226">
        <v>0.1</v>
      </c>
      <c r="AT70" s="226">
        <v>0.7</v>
      </c>
      <c r="AU70" s="226">
        <v>0.3</v>
      </c>
      <c r="AV70" s="226">
        <v>0.3</v>
      </c>
      <c r="AW70" s="226">
        <v>0.3</v>
      </c>
      <c r="AX70" s="226">
        <v>0.8</v>
      </c>
      <c r="AY70" s="226">
        <v>0.8</v>
      </c>
      <c r="AZ70" s="226">
        <v>0.8</v>
      </c>
      <c r="BA70" s="226">
        <v>0.6</v>
      </c>
      <c r="BB70" s="226">
        <v>0.6</v>
      </c>
      <c r="BC70" s="226">
        <v>0.8</v>
      </c>
      <c r="BD70" s="226">
        <v>0.7</v>
      </c>
      <c r="BE70" s="226">
        <v>0.8</v>
      </c>
      <c r="BF70" s="226">
        <v>0.1</v>
      </c>
      <c r="BG70" s="226">
        <v>0.1</v>
      </c>
      <c r="BH70" s="226">
        <v>0.3</v>
      </c>
      <c r="BI70" s="226">
        <v>0.3</v>
      </c>
      <c r="BJ70" s="226">
        <v>0.3</v>
      </c>
      <c r="BK70" s="226">
        <v>0.3</v>
      </c>
      <c r="BL70" s="226">
        <v>0.3</v>
      </c>
      <c r="BM70" s="226">
        <v>0.3</v>
      </c>
      <c r="BN70" s="226">
        <v>0.7</v>
      </c>
      <c r="BO70" s="226">
        <v>0.7</v>
      </c>
      <c r="BP70" s="226">
        <v>0.8</v>
      </c>
      <c r="BQ70" s="226">
        <v>0.8</v>
      </c>
      <c r="BR70" s="226">
        <v>0.7</v>
      </c>
      <c r="BS70" s="226">
        <v>0.7</v>
      </c>
      <c r="BT70" s="226">
        <v>0.7</v>
      </c>
      <c r="BU70" s="226">
        <v>0.7</v>
      </c>
      <c r="BV70" s="226">
        <v>0.8</v>
      </c>
      <c r="BW70" s="226">
        <v>0.8</v>
      </c>
      <c r="BX70" s="226">
        <v>0.7</v>
      </c>
      <c r="BY70" s="226">
        <v>0.8</v>
      </c>
      <c r="BZ70" s="226">
        <v>0.8</v>
      </c>
      <c r="CA70" s="226">
        <v>0.8</v>
      </c>
      <c r="CB70" s="226">
        <v>0.8</v>
      </c>
      <c r="CC70" s="226">
        <v>0.8</v>
      </c>
      <c r="CD70" s="226">
        <v>0.8</v>
      </c>
      <c r="CE70" s="226">
        <v>0.8</v>
      </c>
      <c r="CF70" s="226">
        <v>0.8</v>
      </c>
      <c r="CG70" s="226">
        <v>0.8</v>
      </c>
      <c r="CH70" s="226">
        <v>0.8</v>
      </c>
      <c r="CI70" s="226">
        <v>0.8</v>
      </c>
      <c r="CJ70" s="226">
        <v>0.8</v>
      </c>
      <c r="CK70" s="226">
        <v>0.8</v>
      </c>
      <c r="CL70" s="226">
        <v>0.8</v>
      </c>
      <c r="CM70" s="226">
        <v>0.8</v>
      </c>
      <c r="CN70" s="226">
        <v>0.8</v>
      </c>
      <c r="CO70" s="226">
        <v>0.8</v>
      </c>
      <c r="CP70" s="226">
        <v>0.8</v>
      </c>
      <c r="CQ70" s="226">
        <v>0.8</v>
      </c>
      <c r="CR70" s="226">
        <v>0.8</v>
      </c>
      <c r="CS70" s="226">
        <v>0.8</v>
      </c>
      <c r="CT70" s="226">
        <v>0.8</v>
      </c>
      <c r="CU70" s="226">
        <v>0.8</v>
      </c>
      <c r="CV70" s="226">
        <v>0.8</v>
      </c>
      <c r="CW70" s="226">
        <v>0.8</v>
      </c>
      <c r="CX70" s="226">
        <v>0.8</v>
      </c>
      <c r="CY70" s="226">
        <v>0.8</v>
      </c>
      <c r="CZ70" s="226">
        <v>0.8</v>
      </c>
      <c r="DA70" s="226">
        <v>0.8</v>
      </c>
      <c r="DB70" s="226">
        <v>0.8</v>
      </c>
      <c r="DC70" s="226">
        <v>0.8</v>
      </c>
      <c r="DD70" s="226">
        <v>0.8</v>
      </c>
      <c r="DE70" s="226">
        <v>0.8</v>
      </c>
      <c r="DF70" s="226">
        <v>0.8</v>
      </c>
      <c r="DG70" s="226">
        <v>0.8</v>
      </c>
      <c r="DH70" s="226">
        <v>0.8</v>
      </c>
      <c r="DI70" s="226">
        <v>0.8</v>
      </c>
      <c r="DJ70" s="226">
        <v>0.8</v>
      </c>
      <c r="DK70" s="226">
        <v>0.8</v>
      </c>
      <c r="DL70" s="226">
        <v>0.1</v>
      </c>
      <c r="DM70" s="226">
        <v>0</v>
      </c>
      <c r="DN70" s="226">
        <v>0</v>
      </c>
      <c r="DO70" s="226">
        <v>0</v>
      </c>
      <c r="DP70" s="226">
        <v>0</v>
      </c>
      <c r="DQ70" s="226">
        <v>0</v>
      </c>
      <c r="DR70" s="226">
        <v>0</v>
      </c>
      <c r="DS70" s="226">
        <v>0</v>
      </c>
    </row>
    <row r="71" spans="1:123" x14ac:dyDescent="0.15">
      <c r="A71" s="156" t="s">
        <v>291</v>
      </c>
      <c r="B71">
        <v>0.8</v>
      </c>
      <c r="C71" s="226">
        <v>0.8</v>
      </c>
      <c r="D71" s="226">
        <v>0.8</v>
      </c>
      <c r="E71" s="226">
        <v>0.8</v>
      </c>
      <c r="F71" s="226">
        <v>0.8</v>
      </c>
      <c r="G71" s="226">
        <v>0.8</v>
      </c>
      <c r="H71" s="226">
        <v>0.8</v>
      </c>
      <c r="I71" s="226">
        <v>0.8</v>
      </c>
      <c r="J71" s="226">
        <v>0.8</v>
      </c>
      <c r="K71" s="226">
        <v>0.8</v>
      </c>
      <c r="L71" s="226">
        <v>0.8</v>
      </c>
      <c r="M71" s="226">
        <v>0.7</v>
      </c>
      <c r="N71" s="226">
        <v>0.7</v>
      </c>
      <c r="O71" s="226">
        <v>0.6</v>
      </c>
      <c r="P71" s="226">
        <v>0.6</v>
      </c>
      <c r="Q71" s="226">
        <v>0.7</v>
      </c>
      <c r="R71" s="226">
        <v>0.8</v>
      </c>
      <c r="S71" s="226">
        <v>0.8</v>
      </c>
      <c r="T71" s="226">
        <v>0.8</v>
      </c>
      <c r="U71" s="226">
        <v>0.8</v>
      </c>
      <c r="V71" s="226">
        <v>0.8</v>
      </c>
      <c r="W71" s="225">
        <v>0.8</v>
      </c>
      <c r="X71" s="225">
        <v>0.8</v>
      </c>
      <c r="Y71" s="225">
        <v>0.8</v>
      </c>
      <c r="Z71" s="225">
        <v>0.8</v>
      </c>
      <c r="AA71" s="226">
        <v>0.8</v>
      </c>
      <c r="AB71" s="226">
        <v>0.6</v>
      </c>
      <c r="AC71" s="226">
        <v>0.8</v>
      </c>
      <c r="AD71" s="226">
        <v>0.8</v>
      </c>
      <c r="AE71" s="226">
        <v>0.1</v>
      </c>
      <c r="AF71" s="226">
        <v>0.1</v>
      </c>
      <c r="AG71" s="226">
        <v>0.1</v>
      </c>
      <c r="AH71" s="226">
        <v>0.1</v>
      </c>
      <c r="AI71" s="226">
        <v>0.8</v>
      </c>
      <c r="AJ71" s="226">
        <v>0.7</v>
      </c>
      <c r="AK71" s="226">
        <v>0.1</v>
      </c>
      <c r="AL71" s="226">
        <v>0.3</v>
      </c>
      <c r="AM71" s="226">
        <v>0.1</v>
      </c>
      <c r="AN71" s="226">
        <v>0.1</v>
      </c>
      <c r="AO71" s="226">
        <v>0.1</v>
      </c>
      <c r="AP71" s="226">
        <v>0.1</v>
      </c>
      <c r="AQ71" s="226">
        <v>0.1</v>
      </c>
      <c r="AR71" s="226">
        <v>0.1</v>
      </c>
      <c r="AS71" s="226">
        <v>0.1</v>
      </c>
      <c r="AT71" s="226">
        <v>0.7</v>
      </c>
      <c r="AU71" s="226">
        <v>0.3</v>
      </c>
      <c r="AV71" s="226">
        <v>0.3</v>
      </c>
      <c r="AW71" s="226">
        <v>0.3</v>
      </c>
      <c r="AX71" s="226">
        <v>0.8</v>
      </c>
      <c r="AY71" s="226">
        <v>0.8</v>
      </c>
      <c r="AZ71" s="226">
        <v>0.8</v>
      </c>
      <c r="BA71" s="226">
        <v>0.6</v>
      </c>
      <c r="BB71" s="226">
        <v>0.6</v>
      </c>
      <c r="BC71" s="226">
        <v>0.8</v>
      </c>
      <c r="BD71" s="226">
        <v>0.7</v>
      </c>
      <c r="BE71" s="226">
        <v>0.8</v>
      </c>
      <c r="BF71" s="226">
        <v>0.1</v>
      </c>
      <c r="BG71" s="226">
        <v>0.1</v>
      </c>
      <c r="BH71" s="226">
        <v>0.3</v>
      </c>
      <c r="BI71" s="226">
        <v>0.3</v>
      </c>
      <c r="BJ71" s="226">
        <v>0.3</v>
      </c>
      <c r="BK71" s="226">
        <v>0.3</v>
      </c>
      <c r="BL71" s="226">
        <v>0.3</v>
      </c>
      <c r="BM71" s="226">
        <v>0.3</v>
      </c>
      <c r="BN71" s="226">
        <v>0.7</v>
      </c>
      <c r="BO71" s="226">
        <v>0.7</v>
      </c>
      <c r="BP71" s="226">
        <v>0.8</v>
      </c>
      <c r="BQ71" s="226">
        <v>0.8</v>
      </c>
      <c r="BR71" s="226">
        <v>0.7</v>
      </c>
      <c r="BS71" s="226">
        <v>0.7</v>
      </c>
      <c r="BT71" s="226">
        <v>0.7</v>
      </c>
      <c r="BU71" s="226">
        <v>0.7</v>
      </c>
      <c r="BV71" s="226">
        <v>0.8</v>
      </c>
      <c r="BW71" s="226">
        <v>0.8</v>
      </c>
      <c r="BX71" s="226">
        <v>0.7</v>
      </c>
      <c r="BY71" s="226">
        <v>0.8</v>
      </c>
      <c r="BZ71" s="226">
        <v>0.8</v>
      </c>
      <c r="CA71" s="226">
        <v>0.8</v>
      </c>
      <c r="CB71" s="226">
        <v>0.8</v>
      </c>
      <c r="CC71" s="226">
        <v>0.8</v>
      </c>
      <c r="CD71" s="226">
        <v>0.8</v>
      </c>
      <c r="CE71" s="226">
        <v>0.8</v>
      </c>
      <c r="CF71" s="226">
        <v>0.8</v>
      </c>
      <c r="CG71" s="226">
        <v>0.8</v>
      </c>
      <c r="CH71" s="226">
        <v>0.8</v>
      </c>
      <c r="CI71" s="226">
        <v>0.8</v>
      </c>
      <c r="CJ71" s="226">
        <v>0.8</v>
      </c>
      <c r="CK71" s="226">
        <v>0.8</v>
      </c>
      <c r="CL71" s="226">
        <v>0.8</v>
      </c>
      <c r="CM71" s="226">
        <v>0.8</v>
      </c>
      <c r="CN71" s="226">
        <v>0.8</v>
      </c>
      <c r="CO71" s="226">
        <v>0.8</v>
      </c>
      <c r="CP71" s="226">
        <v>0.8</v>
      </c>
      <c r="CQ71" s="226">
        <v>0.8</v>
      </c>
      <c r="CR71" s="226">
        <v>0.8</v>
      </c>
      <c r="CS71" s="226">
        <v>0.8</v>
      </c>
      <c r="CT71" s="226">
        <v>0.8</v>
      </c>
      <c r="CU71" s="226">
        <v>0.8</v>
      </c>
      <c r="CV71" s="226">
        <v>0.8</v>
      </c>
      <c r="CW71" s="226">
        <v>0.8</v>
      </c>
      <c r="CX71" s="226">
        <v>0.8</v>
      </c>
      <c r="CY71" s="226">
        <v>0.8</v>
      </c>
      <c r="CZ71" s="226">
        <v>0.8</v>
      </c>
      <c r="DA71" s="226">
        <v>0.8</v>
      </c>
      <c r="DB71" s="226">
        <v>0.8</v>
      </c>
      <c r="DC71" s="226">
        <v>0.8</v>
      </c>
      <c r="DD71" s="226">
        <v>0.8</v>
      </c>
      <c r="DE71" s="226">
        <v>0.8</v>
      </c>
      <c r="DF71" s="226">
        <v>0.8</v>
      </c>
      <c r="DG71" s="226">
        <v>0.8</v>
      </c>
      <c r="DH71" s="226">
        <v>0.8</v>
      </c>
      <c r="DI71" s="226">
        <v>0.8</v>
      </c>
      <c r="DJ71" s="226">
        <v>0.8</v>
      </c>
      <c r="DK71" s="226">
        <v>0.8</v>
      </c>
      <c r="DL71" s="226">
        <v>0.1</v>
      </c>
      <c r="DM71" s="226">
        <v>0</v>
      </c>
      <c r="DN71" s="226">
        <v>0</v>
      </c>
      <c r="DO71" s="226">
        <v>0</v>
      </c>
      <c r="DP71" s="226">
        <v>0</v>
      </c>
      <c r="DQ71" s="226">
        <v>0</v>
      </c>
      <c r="DR71" s="226">
        <v>0</v>
      </c>
      <c r="DS71" s="226">
        <v>0</v>
      </c>
    </row>
    <row r="72" spans="1:123" x14ac:dyDescent="0.15">
      <c r="A72" s="156" t="s">
        <v>180</v>
      </c>
      <c r="B72">
        <v>0.8</v>
      </c>
      <c r="C72" s="226">
        <v>0.8</v>
      </c>
      <c r="D72" s="226">
        <v>0.8</v>
      </c>
      <c r="E72" s="226">
        <v>0.8</v>
      </c>
      <c r="F72" s="226">
        <v>0.8</v>
      </c>
      <c r="G72" s="226">
        <v>0.8</v>
      </c>
      <c r="H72" s="226">
        <v>0.8</v>
      </c>
      <c r="I72" s="226">
        <v>0.8</v>
      </c>
      <c r="J72" s="226">
        <v>0.8</v>
      </c>
      <c r="K72" s="226">
        <v>0.8</v>
      </c>
      <c r="L72" s="226">
        <v>0.8</v>
      </c>
      <c r="M72" s="226">
        <v>0.7</v>
      </c>
      <c r="N72" s="226">
        <v>0.7</v>
      </c>
      <c r="O72" s="226">
        <v>0.6</v>
      </c>
      <c r="P72" s="226">
        <v>0.6</v>
      </c>
      <c r="Q72" s="226">
        <v>0.7</v>
      </c>
      <c r="R72" s="226">
        <v>0.8</v>
      </c>
      <c r="S72" s="226">
        <v>0.8</v>
      </c>
      <c r="T72" s="226">
        <v>0.8</v>
      </c>
      <c r="U72" s="226">
        <v>0.8</v>
      </c>
      <c r="V72" s="226">
        <v>0.8</v>
      </c>
      <c r="W72" s="225">
        <v>0.8</v>
      </c>
      <c r="X72" s="225">
        <v>0.8</v>
      </c>
      <c r="Y72" s="225">
        <v>0.8</v>
      </c>
      <c r="Z72" s="225">
        <v>0.8</v>
      </c>
      <c r="AA72" s="226">
        <v>0.8</v>
      </c>
      <c r="AB72" s="226">
        <v>0.6</v>
      </c>
      <c r="AC72" s="226">
        <v>0.8</v>
      </c>
      <c r="AD72" s="226">
        <v>0.8</v>
      </c>
      <c r="AE72" s="226">
        <v>0.1</v>
      </c>
      <c r="AF72" s="226">
        <v>0.1</v>
      </c>
      <c r="AG72" s="226">
        <v>0.1</v>
      </c>
      <c r="AH72" s="226">
        <v>0.1</v>
      </c>
      <c r="AI72" s="226">
        <v>0.8</v>
      </c>
      <c r="AJ72" s="226">
        <v>0.7</v>
      </c>
      <c r="AK72" s="226">
        <v>0.1</v>
      </c>
      <c r="AL72" s="226">
        <v>0.3</v>
      </c>
      <c r="AM72" s="226">
        <v>0.1</v>
      </c>
      <c r="AN72" s="226">
        <v>0.1</v>
      </c>
      <c r="AO72" s="226">
        <v>0.1</v>
      </c>
      <c r="AP72" s="226">
        <v>0.1</v>
      </c>
      <c r="AQ72" s="226">
        <v>0.1</v>
      </c>
      <c r="AR72" s="226">
        <v>0.1</v>
      </c>
      <c r="AS72" s="226">
        <v>0.1</v>
      </c>
      <c r="AT72" s="226">
        <v>0.7</v>
      </c>
      <c r="AU72" s="226">
        <v>0.3</v>
      </c>
      <c r="AV72" s="226">
        <v>0.3</v>
      </c>
      <c r="AW72" s="226">
        <v>0.3</v>
      </c>
      <c r="AX72" s="226">
        <v>0.8</v>
      </c>
      <c r="AY72" s="226">
        <v>0.8</v>
      </c>
      <c r="AZ72" s="226">
        <v>0.8</v>
      </c>
      <c r="BA72" s="226">
        <v>0.6</v>
      </c>
      <c r="BB72" s="226">
        <v>0.6</v>
      </c>
      <c r="BC72" s="226">
        <v>0.8</v>
      </c>
      <c r="BD72" s="226">
        <v>0.7</v>
      </c>
      <c r="BE72" s="226">
        <v>0.8</v>
      </c>
      <c r="BF72" s="226">
        <v>0.1</v>
      </c>
      <c r="BG72" s="226">
        <v>0.1</v>
      </c>
      <c r="BH72" s="226">
        <v>0.3</v>
      </c>
      <c r="BI72" s="226">
        <v>0.3</v>
      </c>
      <c r="BJ72" s="226">
        <v>0.3</v>
      </c>
      <c r="BK72" s="226">
        <v>0.3</v>
      </c>
      <c r="BL72" s="226">
        <v>0.3</v>
      </c>
      <c r="BM72" s="226">
        <v>0.3</v>
      </c>
      <c r="BN72" s="226">
        <v>0.7</v>
      </c>
      <c r="BO72" s="226">
        <v>0.7</v>
      </c>
      <c r="BP72" s="226">
        <v>0.8</v>
      </c>
      <c r="BQ72" s="226">
        <v>0.8</v>
      </c>
      <c r="BR72" s="226">
        <v>0.7</v>
      </c>
      <c r="BS72" s="226">
        <v>0.7</v>
      </c>
      <c r="BT72" s="226">
        <v>0.7</v>
      </c>
      <c r="BU72" s="226">
        <v>0.7</v>
      </c>
      <c r="BV72" s="226">
        <v>0.8</v>
      </c>
      <c r="BW72" s="226">
        <v>0.8</v>
      </c>
      <c r="BX72" s="226">
        <v>0.7</v>
      </c>
      <c r="BY72" s="226">
        <v>0.8</v>
      </c>
      <c r="BZ72" s="226">
        <v>0.8</v>
      </c>
      <c r="CA72" s="226">
        <v>0.8</v>
      </c>
      <c r="CB72" s="226">
        <v>0.8</v>
      </c>
      <c r="CC72" s="226">
        <v>0.8</v>
      </c>
      <c r="CD72" s="226">
        <v>0.8</v>
      </c>
      <c r="CE72" s="226">
        <v>0.8</v>
      </c>
      <c r="CF72" s="226">
        <v>0.8</v>
      </c>
      <c r="CG72" s="226">
        <v>0.8</v>
      </c>
      <c r="CH72" s="226">
        <v>0.8</v>
      </c>
      <c r="CI72" s="226">
        <v>0.8</v>
      </c>
      <c r="CJ72" s="226">
        <v>0.8</v>
      </c>
      <c r="CK72" s="226">
        <v>0.8</v>
      </c>
      <c r="CL72" s="226">
        <v>0.8</v>
      </c>
      <c r="CM72" s="226">
        <v>0.8</v>
      </c>
      <c r="CN72" s="226">
        <v>0.8</v>
      </c>
      <c r="CO72" s="226">
        <v>0.8</v>
      </c>
      <c r="CP72" s="226">
        <v>0.8</v>
      </c>
      <c r="CQ72" s="226">
        <v>0.8</v>
      </c>
      <c r="CR72" s="226">
        <v>0.8</v>
      </c>
      <c r="CS72" s="226">
        <v>0.8</v>
      </c>
      <c r="CT72" s="226">
        <v>0.8</v>
      </c>
      <c r="CU72" s="226">
        <v>0.8</v>
      </c>
      <c r="CV72" s="226">
        <v>0.8</v>
      </c>
      <c r="CW72" s="226">
        <v>0.8</v>
      </c>
      <c r="CX72" s="226">
        <v>0.8</v>
      </c>
      <c r="CY72" s="226">
        <v>0.8</v>
      </c>
      <c r="CZ72" s="226">
        <v>0.8</v>
      </c>
      <c r="DA72" s="226">
        <v>0.8</v>
      </c>
      <c r="DB72" s="226">
        <v>0.8</v>
      </c>
      <c r="DC72" s="226">
        <v>0.8</v>
      </c>
      <c r="DD72" s="226">
        <v>0.8</v>
      </c>
      <c r="DE72" s="226">
        <v>0.8</v>
      </c>
      <c r="DF72" s="226">
        <v>0.8</v>
      </c>
      <c r="DG72" s="226">
        <v>0.8</v>
      </c>
      <c r="DH72" s="226">
        <v>0.8</v>
      </c>
      <c r="DI72" s="226">
        <v>0.8</v>
      </c>
      <c r="DJ72" s="226">
        <v>0.8</v>
      </c>
      <c r="DK72" s="226">
        <v>0.8</v>
      </c>
      <c r="DL72" s="226">
        <v>0.1</v>
      </c>
      <c r="DM72" s="226">
        <v>0</v>
      </c>
      <c r="DN72" s="226">
        <v>0</v>
      </c>
      <c r="DO72" s="226">
        <v>0</v>
      </c>
      <c r="DP72" s="226">
        <v>0</v>
      </c>
      <c r="DQ72" s="226">
        <v>0</v>
      </c>
      <c r="DR72" s="226">
        <v>0</v>
      </c>
      <c r="DS72" s="226">
        <v>0</v>
      </c>
    </row>
    <row r="73" spans="1:123" x14ac:dyDescent="0.15">
      <c r="A73" s="156" t="s">
        <v>292</v>
      </c>
      <c r="B73">
        <v>0.8</v>
      </c>
      <c r="C73" s="226">
        <v>0.8</v>
      </c>
      <c r="D73" s="226">
        <v>0.8</v>
      </c>
      <c r="E73" s="226">
        <v>0.8</v>
      </c>
      <c r="F73" s="226">
        <v>0.8</v>
      </c>
      <c r="G73" s="226">
        <v>0.8</v>
      </c>
      <c r="H73" s="226">
        <v>0.8</v>
      </c>
      <c r="I73" s="226">
        <v>0.8</v>
      </c>
      <c r="J73" s="226">
        <v>0.8</v>
      </c>
      <c r="K73" s="226">
        <v>0.8</v>
      </c>
      <c r="L73" s="226">
        <v>0.8</v>
      </c>
      <c r="M73" s="226">
        <v>0.7</v>
      </c>
      <c r="N73" s="226">
        <v>0.7</v>
      </c>
      <c r="O73" s="226">
        <v>0.6</v>
      </c>
      <c r="P73" s="226">
        <v>0.6</v>
      </c>
      <c r="Q73" s="226">
        <v>0.7</v>
      </c>
      <c r="R73" s="226">
        <v>0.8</v>
      </c>
      <c r="S73" s="226">
        <v>0.8</v>
      </c>
      <c r="T73" s="226">
        <v>0.8</v>
      </c>
      <c r="U73" s="226">
        <v>0.8</v>
      </c>
      <c r="V73" s="226">
        <v>0.8</v>
      </c>
      <c r="W73" s="225">
        <v>0.8</v>
      </c>
      <c r="X73" s="225">
        <v>0.8</v>
      </c>
      <c r="Y73" s="225">
        <v>0.8</v>
      </c>
      <c r="Z73" s="225">
        <v>0.8</v>
      </c>
      <c r="AA73" s="226">
        <v>0.8</v>
      </c>
      <c r="AB73" s="226">
        <v>0.6</v>
      </c>
      <c r="AC73" s="226">
        <v>0.8</v>
      </c>
      <c r="AD73" s="226">
        <v>0.8</v>
      </c>
      <c r="AE73" s="226">
        <v>0.1</v>
      </c>
      <c r="AF73" s="226">
        <v>0.1</v>
      </c>
      <c r="AG73" s="226">
        <v>0.1</v>
      </c>
      <c r="AH73" s="226">
        <v>0.1</v>
      </c>
      <c r="AI73" s="226">
        <v>0.8</v>
      </c>
      <c r="AJ73" s="226">
        <v>0.7</v>
      </c>
      <c r="AK73" s="226">
        <v>0.1</v>
      </c>
      <c r="AL73" s="226">
        <v>0.3</v>
      </c>
      <c r="AM73" s="226">
        <v>0.1</v>
      </c>
      <c r="AN73" s="226">
        <v>0.1</v>
      </c>
      <c r="AO73" s="226">
        <v>0.1</v>
      </c>
      <c r="AP73" s="226">
        <v>0.1</v>
      </c>
      <c r="AQ73" s="226">
        <v>0.1</v>
      </c>
      <c r="AR73" s="226">
        <v>0.1</v>
      </c>
      <c r="AS73" s="226">
        <v>0.1</v>
      </c>
      <c r="AT73" s="226">
        <v>0.7</v>
      </c>
      <c r="AU73" s="226">
        <v>0.3</v>
      </c>
      <c r="AV73" s="226">
        <v>0.3</v>
      </c>
      <c r="AW73" s="226">
        <v>0.3</v>
      </c>
      <c r="AX73" s="226">
        <v>0.8</v>
      </c>
      <c r="AY73" s="226">
        <v>0.8</v>
      </c>
      <c r="AZ73" s="226">
        <v>0.8</v>
      </c>
      <c r="BA73" s="226">
        <v>0.6</v>
      </c>
      <c r="BB73" s="226">
        <v>0.6</v>
      </c>
      <c r="BC73" s="226">
        <v>0.8</v>
      </c>
      <c r="BD73" s="226">
        <v>0.7</v>
      </c>
      <c r="BE73" s="226">
        <v>0.8</v>
      </c>
      <c r="BF73" s="226">
        <v>0.1</v>
      </c>
      <c r="BG73" s="226">
        <v>0.1</v>
      </c>
      <c r="BH73" s="226">
        <v>0.3</v>
      </c>
      <c r="BI73" s="226">
        <v>0.3</v>
      </c>
      <c r="BJ73" s="226">
        <v>0.3</v>
      </c>
      <c r="BK73" s="226">
        <v>0.3</v>
      </c>
      <c r="BL73" s="226">
        <v>0.3</v>
      </c>
      <c r="BM73" s="226">
        <v>0.3</v>
      </c>
      <c r="BN73" s="226">
        <v>0.7</v>
      </c>
      <c r="BO73" s="226">
        <v>0.7</v>
      </c>
      <c r="BP73" s="226">
        <v>0.8</v>
      </c>
      <c r="BQ73" s="226">
        <v>0.8</v>
      </c>
      <c r="BR73" s="226">
        <v>0.7</v>
      </c>
      <c r="BS73" s="226">
        <v>0.7</v>
      </c>
      <c r="BT73" s="226">
        <v>0.7</v>
      </c>
      <c r="BU73" s="226">
        <v>0.7</v>
      </c>
      <c r="BV73" s="226">
        <v>0.8</v>
      </c>
      <c r="BW73" s="226">
        <v>0.8</v>
      </c>
      <c r="BX73" s="226">
        <v>0.7</v>
      </c>
      <c r="BY73" s="226">
        <v>0.8</v>
      </c>
      <c r="BZ73" s="226">
        <v>0.8</v>
      </c>
      <c r="CA73" s="226">
        <v>0.8</v>
      </c>
      <c r="CB73" s="226">
        <v>0.8</v>
      </c>
      <c r="CC73" s="226">
        <v>0.8</v>
      </c>
      <c r="CD73" s="226">
        <v>0.8</v>
      </c>
      <c r="CE73" s="226">
        <v>0.8</v>
      </c>
      <c r="CF73" s="226">
        <v>0.8</v>
      </c>
      <c r="CG73" s="226">
        <v>0.8</v>
      </c>
      <c r="CH73" s="226">
        <v>0.8</v>
      </c>
      <c r="CI73" s="226">
        <v>0.8</v>
      </c>
      <c r="CJ73" s="226">
        <v>0.8</v>
      </c>
      <c r="CK73" s="226">
        <v>0.8</v>
      </c>
      <c r="CL73" s="226">
        <v>0.8</v>
      </c>
      <c r="CM73" s="226">
        <v>0.8</v>
      </c>
      <c r="CN73" s="226">
        <v>0.8</v>
      </c>
      <c r="CO73" s="226">
        <v>0.8</v>
      </c>
      <c r="CP73" s="226">
        <v>0.8</v>
      </c>
      <c r="CQ73" s="226">
        <v>0.8</v>
      </c>
      <c r="CR73" s="226">
        <v>0.8</v>
      </c>
      <c r="CS73" s="226">
        <v>0.8</v>
      </c>
      <c r="CT73" s="226">
        <v>0.8</v>
      </c>
      <c r="CU73" s="226">
        <v>0.8</v>
      </c>
      <c r="CV73" s="226">
        <v>0.8</v>
      </c>
      <c r="CW73" s="226">
        <v>0.8</v>
      </c>
      <c r="CX73" s="226">
        <v>0.8</v>
      </c>
      <c r="CY73" s="226">
        <v>0.8</v>
      </c>
      <c r="CZ73" s="226">
        <v>0.8</v>
      </c>
      <c r="DA73" s="226">
        <v>0.8</v>
      </c>
      <c r="DB73" s="226">
        <v>0.8</v>
      </c>
      <c r="DC73" s="226">
        <v>0.8</v>
      </c>
      <c r="DD73" s="226">
        <v>0.8</v>
      </c>
      <c r="DE73" s="226">
        <v>0.8</v>
      </c>
      <c r="DF73" s="226">
        <v>0.8</v>
      </c>
      <c r="DG73" s="226">
        <v>0.8</v>
      </c>
      <c r="DH73" s="226">
        <v>0.8</v>
      </c>
      <c r="DI73" s="226">
        <v>0.8</v>
      </c>
      <c r="DJ73" s="226">
        <v>0.8</v>
      </c>
      <c r="DK73" s="226">
        <v>0.8</v>
      </c>
      <c r="DL73" s="226">
        <v>0.1</v>
      </c>
      <c r="DM73" s="226">
        <v>0</v>
      </c>
      <c r="DN73" s="226">
        <v>0</v>
      </c>
      <c r="DO73" s="226">
        <v>0</v>
      </c>
      <c r="DP73" s="226">
        <v>0</v>
      </c>
      <c r="DQ73" s="226">
        <v>0</v>
      </c>
      <c r="DR73" s="226">
        <v>0</v>
      </c>
      <c r="DS73" s="226">
        <v>0</v>
      </c>
    </row>
    <row r="74" spans="1:123" x14ac:dyDescent="0.15">
      <c r="A74" s="156" t="s">
        <v>293</v>
      </c>
      <c r="B74">
        <v>0.8</v>
      </c>
      <c r="C74" s="226">
        <v>0.8</v>
      </c>
      <c r="D74" s="226">
        <v>0.8</v>
      </c>
      <c r="E74" s="226">
        <v>0.8</v>
      </c>
      <c r="F74" s="226">
        <v>0.8</v>
      </c>
      <c r="G74" s="226">
        <v>0.8</v>
      </c>
      <c r="H74" s="226">
        <v>0.8</v>
      </c>
      <c r="I74" s="226">
        <v>0.8</v>
      </c>
      <c r="J74" s="226">
        <v>0.8</v>
      </c>
      <c r="K74" s="226">
        <v>0.8</v>
      </c>
      <c r="L74" s="226">
        <v>0.8</v>
      </c>
      <c r="M74" s="226">
        <v>0.7</v>
      </c>
      <c r="N74" s="226">
        <v>0.7</v>
      </c>
      <c r="O74" s="226">
        <v>0.6</v>
      </c>
      <c r="P74" s="226">
        <v>0.6</v>
      </c>
      <c r="Q74" s="226">
        <v>0.7</v>
      </c>
      <c r="R74" s="226">
        <v>0.8</v>
      </c>
      <c r="S74" s="226">
        <v>0.8</v>
      </c>
      <c r="T74" s="226">
        <v>0.8</v>
      </c>
      <c r="U74" s="226">
        <v>0.8</v>
      </c>
      <c r="V74" s="226">
        <v>0.8</v>
      </c>
      <c r="W74" s="225">
        <v>0.8</v>
      </c>
      <c r="X74" s="225">
        <v>0.8</v>
      </c>
      <c r="Y74" s="225">
        <v>0.8</v>
      </c>
      <c r="Z74" s="225">
        <v>0.8</v>
      </c>
      <c r="AA74" s="226">
        <v>0.8</v>
      </c>
      <c r="AB74" s="226">
        <v>0.6</v>
      </c>
      <c r="AC74" s="226">
        <v>0.8</v>
      </c>
      <c r="AD74" s="226">
        <v>0.8</v>
      </c>
      <c r="AE74" s="226">
        <v>0.1</v>
      </c>
      <c r="AF74" s="226">
        <v>0.1</v>
      </c>
      <c r="AG74" s="226">
        <v>0.1</v>
      </c>
      <c r="AH74" s="226">
        <v>0.1</v>
      </c>
      <c r="AI74" s="226">
        <v>0.8</v>
      </c>
      <c r="AJ74" s="226">
        <v>0.7</v>
      </c>
      <c r="AK74" s="226">
        <v>0.1</v>
      </c>
      <c r="AL74" s="226">
        <v>0.3</v>
      </c>
      <c r="AM74" s="226">
        <v>0.1</v>
      </c>
      <c r="AN74" s="226">
        <v>0.1</v>
      </c>
      <c r="AO74" s="226">
        <v>0.1</v>
      </c>
      <c r="AP74" s="226">
        <v>0.1</v>
      </c>
      <c r="AQ74" s="226">
        <v>0.1</v>
      </c>
      <c r="AR74" s="226">
        <v>0.1</v>
      </c>
      <c r="AS74" s="226">
        <v>0.1</v>
      </c>
      <c r="AT74" s="226">
        <v>0.7</v>
      </c>
      <c r="AU74" s="226">
        <v>0.3</v>
      </c>
      <c r="AV74" s="226">
        <v>0.3</v>
      </c>
      <c r="AW74" s="226">
        <v>0.3</v>
      </c>
      <c r="AX74" s="226">
        <v>0.8</v>
      </c>
      <c r="AY74" s="226">
        <v>0.8</v>
      </c>
      <c r="AZ74" s="226">
        <v>0.8</v>
      </c>
      <c r="BA74" s="226">
        <v>0.6</v>
      </c>
      <c r="BB74" s="226">
        <v>0.6</v>
      </c>
      <c r="BC74" s="226">
        <v>0.8</v>
      </c>
      <c r="BD74" s="226">
        <v>0.7</v>
      </c>
      <c r="BE74" s="226">
        <v>0.8</v>
      </c>
      <c r="BF74" s="226">
        <v>0.1</v>
      </c>
      <c r="BG74" s="226">
        <v>0.1</v>
      </c>
      <c r="BH74" s="226">
        <v>0.3</v>
      </c>
      <c r="BI74" s="226">
        <v>0.3</v>
      </c>
      <c r="BJ74" s="226">
        <v>0.3</v>
      </c>
      <c r="BK74" s="226">
        <v>0.3</v>
      </c>
      <c r="BL74" s="226">
        <v>0.3</v>
      </c>
      <c r="BM74" s="226">
        <v>0.3</v>
      </c>
      <c r="BN74" s="226">
        <v>0.7</v>
      </c>
      <c r="BO74" s="226">
        <v>0.7</v>
      </c>
      <c r="BP74" s="226">
        <v>0.8</v>
      </c>
      <c r="BQ74" s="226">
        <v>0.8</v>
      </c>
      <c r="BR74" s="226">
        <v>0.7</v>
      </c>
      <c r="BS74" s="226">
        <v>0.7</v>
      </c>
      <c r="BT74" s="226">
        <v>0.7</v>
      </c>
      <c r="BU74" s="226">
        <v>0.7</v>
      </c>
      <c r="BV74" s="226">
        <v>0.8</v>
      </c>
      <c r="BW74" s="226">
        <v>0.8</v>
      </c>
      <c r="BX74" s="226">
        <v>0.7</v>
      </c>
      <c r="BY74" s="226">
        <v>0.8</v>
      </c>
      <c r="BZ74" s="226">
        <v>0.8</v>
      </c>
      <c r="CA74" s="226">
        <v>0.8</v>
      </c>
      <c r="CB74" s="226">
        <v>0.8</v>
      </c>
      <c r="CC74" s="226">
        <v>0.8</v>
      </c>
      <c r="CD74" s="226">
        <v>0.8</v>
      </c>
      <c r="CE74" s="226">
        <v>0.8</v>
      </c>
      <c r="CF74" s="226">
        <v>0.8</v>
      </c>
      <c r="CG74" s="226">
        <v>0.8</v>
      </c>
      <c r="CH74" s="226">
        <v>0.8</v>
      </c>
      <c r="CI74" s="226">
        <v>0.8</v>
      </c>
      <c r="CJ74" s="226">
        <v>0.8</v>
      </c>
      <c r="CK74" s="226">
        <v>0.8</v>
      </c>
      <c r="CL74" s="226">
        <v>0.8</v>
      </c>
      <c r="CM74" s="226">
        <v>0.8</v>
      </c>
      <c r="CN74" s="226">
        <v>0.8</v>
      </c>
      <c r="CO74" s="226">
        <v>0.8</v>
      </c>
      <c r="CP74" s="226">
        <v>0.8</v>
      </c>
      <c r="CQ74" s="226">
        <v>0.8</v>
      </c>
      <c r="CR74" s="226">
        <v>0.8</v>
      </c>
      <c r="CS74" s="226">
        <v>0.8</v>
      </c>
      <c r="CT74" s="226">
        <v>0.8</v>
      </c>
      <c r="CU74" s="226">
        <v>0.8</v>
      </c>
      <c r="CV74" s="226">
        <v>0.8</v>
      </c>
      <c r="CW74" s="226">
        <v>0.8</v>
      </c>
      <c r="CX74" s="226">
        <v>0.8</v>
      </c>
      <c r="CY74" s="226">
        <v>0.8</v>
      </c>
      <c r="CZ74" s="226">
        <v>0.8</v>
      </c>
      <c r="DA74" s="226">
        <v>0.8</v>
      </c>
      <c r="DB74" s="226">
        <v>0.8</v>
      </c>
      <c r="DC74" s="226">
        <v>0.8</v>
      </c>
      <c r="DD74" s="226">
        <v>0.8</v>
      </c>
      <c r="DE74" s="226">
        <v>0.8</v>
      </c>
      <c r="DF74" s="226">
        <v>0.8</v>
      </c>
      <c r="DG74" s="226">
        <v>0.8</v>
      </c>
      <c r="DH74" s="226">
        <v>0.8</v>
      </c>
      <c r="DI74" s="226">
        <v>0.8</v>
      </c>
      <c r="DJ74" s="226">
        <v>0.8</v>
      </c>
      <c r="DK74" s="226">
        <v>0.8</v>
      </c>
      <c r="DL74" s="226">
        <v>0.1</v>
      </c>
      <c r="DM74" s="226">
        <v>0</v>
      </c>
      <c r="DN74" s="226">
        <v>0</v>
      </c>
      <c r="DO74" s="226">
        <v>0</v>
      </c>
      <c r="DP74" s="226">
        <v>0</v>
      </c>
      <c r="DQ74" s="226">
        <v>0</v>
      </c>
      <c r="DR74" s="226">
        <v>0</v>
      </c>
      <c r="DS74" s="226">
        <v>0</v>
      </c>
    </row>
    <row r="75" spans="1:123" x14ac:dyDescent="0.15">
      <c r="A75" s="156" t="s">
        <v>294</v>
      </c>
      <c r="B75">
        <v>0.8</v>
      </c>
      <c r="C75" s="226">
        <v>0.8</v>
      </c>
      <c r="D75" s="226">
        <v>0.8</v>
      </c>
      <c r="E75" s="226">
        <v>0.8</v>
      </c>
      <c r="F75" s="226">
        <v>0.8</v>
      </c>
      <c r="G75" s="226">
        <v>0.8</v>
      </c>
      <c r="H75" s="226">
        <v>0.8</v>
      </c>
      <c r="I75" s="226">
        <v>0.8</v>
      </c>
      <c r="J75" s="226">
        <v>0.8</v>
      </c>
      <c r="K75" s="226">
        <v>0.8</v>
      </c>
      <c r="L75" s="226">
        <v>0.8</v>
      </c>
      <c r="M75" s="226">
        <v>0.7</v>
      </c>
      <c r="N75" s="226">
        <v>0.7</v>
      </c>
      <c r="O75" s="226">
        <v>0.6</v>
      </c>
      <c r="P75" s="226">
        <v>0.6</v>
      </c>
      <c r="Q75" s="226">
        <v>0.7</v>
      </c>
      <c r="R75" s="226">
        <v>0.8</v>
      </c>
      <c r="S75" s="226">
        <v>0.8</v>
      </c>
      <c r="T75" s="226">
        <v>0.8</v>
      </c>
      <c r="U75" s="226">
        <v>0.8</v>
      </c>
      <c r="V75" s="226">
        <v>0.8</v>
      </c>
      <c r="W75" s="225">
        <v>0.8</v>
      </c>
      <c r="X75" s="225">
        <v>0.8</v>
      </c>
      <c r="Y75" s="225">
        <v>0.8</v>
      </c>
      <c r="Z75" s="225">
        <v>0.8</v>
      </c>
      <c r="AA75" s="226">
        <v>0.8</v>
      </c>
      <c r="AB75" s="226">
        <v>0.6</v>
      </c>
      <c r="AC75" s="226">
        <v>0.8</v>
      </c>
      <c r="AD75" s="226">
        <v>0.8</v>
      </c>
      <c r="AE75" s="226">
        <v>0.1</v>
      </c>
      <c r="AF75" s="226">
        <v>0.1</v>
      </c>
      <c r="AG75" s="226">
        <v>0.1</v>
      </c>
      <c r="AH75" s="226">
        <v>0.1</v>
      </c>
      <c r="AI75" s="226">
        <v>0.8</v>
      </c>
      <c r="AJ75" s="226">
        <v>0.7</v>
      </c>
      <c r="AK75" s="226">
        <v>0.1</v>
      </c>
      <c r="AL75" s="226">
        <v>0.3</v>
      </c>
      <c r="AM75" s="226">
        <v>0.1</v>
      </c>
      <c r="AN75" s="226">
        <v>0.1</v>
      </c>
      <c r="AO75" s="226">
        <v>0.1</v>
      </c>
      <c r="AP75" s="226">
        <v>0.1</v>
      </c>
      <c r="AQ75" s="226">
        <v>0.1</v>
      </c>
      <c r="AR75" s="226">
        <v>0.1</v>
      </c>
      <c r="AS75" s="226">
        <v>0.1</v>
      </c>
      <c r="AT75" s="226">
        <v>0.7</v>
      </c>
      <c r="AU75" s="226">
        <v>0.3</v>
      </c>
      <c r="AV75" s="226">
        <v>0.3</v>
      </c>
      <c r="AW75" s="226">
        <v>0.3</v>
      </c>
      <c r="AX75" s="226">
        <v>0.8</v>
      </c>
      <c r="AY75" s="226">
        <v>0.8</v>
      </c>
      <c r="AZ75" s="226">
        <v>0.8</v>
      </c>
      <c r="BA75" s="226">
        <v>0.6</v>
      </c>
      <c r="BB75" s="226">
        <v>0.6</v>
      </c>
      <c r="BC75" s="226">
        <v>0.8</v>
      </c>
      <c r="BD75" s="226">
        <v>0.7</v>
      </c>
      <c r="BE75" s="226">
        <v>0.8</v>
      </c>
      <c r="BF75" s="226">
        <v>0.1</v>
      </c>
      <c r="BG75" s="226">
        <v>0.1</v>
      </c>
      <c r="BH75" s="226">
        <v>0.3</v>
      </c>
      <c r="BI75" s="226">
        <v>0.3</v>
      </c>
      <c r="BJ75" s="226">
        <v>0.3</v>
      </c>
      <c r="BK75" s="226">
        <v>0.3</v>
      </c>
      <c r="BL75" s="226">
        <v>0.3</v>
      </c>
      <c r="BM75" s="226">
        <v>0.3</v>
      </c>
      <c r="BN75" s="226">
        <v>0.7</v>
      </c>
      <c r="BO75" s="226">
        <v>0.7</v>
      </c>
      <c r="BP75" s="226">
        <v>0.8</v>
      </c>
      <c r="BQ75" s="226">
        <v>0.8</v>
      </c>
      <c r="BR75" s="226">
        <v>0.7</v>
      </c>
      <c r="BS75" s="226">
        <v>0.7</v>
      </c>
      <c r="BT75" s="226">
        <v>0.7</v>
      </c>
      <c r="BU75" s="226">
        <v>0.7</v>
      </c>
      <c r="BV75" s="226">
        <v>0.8</v>
      </c>
      <c r="BW75" s="226">
        <v>0.8</v>
      </c>
      <c r="BX75" s="226">
        <v>0.7</v>
      </c>
      <c r="BY75" s="226">
        <v>0.8</v>
      </c>
      <c r="BZ75" s="226">
        <v>0.8</v>
      </c>
      <c r="CA75" s="226">
        <v>0.8</v>
      </c>
      <c r="CB75" s="226">
        <v>0.8</v>
      </c>
      <c r="CC75" s="226">
        <v>0.8</v>
      </c>
      <c r="CD75" s="226">
        <v>0.8</v>
      </c>
      <c r="CE75" s="226">
        <v>0.8</v>
      </c>
      <c r="CF75" s="226">
        <v>0.8</v>
      </c>
      <c r="CG75" s="226">
        <v>0.8</v>
      </c>
      <c r="CH75" s="226">
        <v>0.8</v>
      </c>
      <c r="CI75" s="226">
        <v>0.8</v>
      </c>
      <c r="CJ75" s="226">
        <v>0.8</v>
      </c>
      <c r="CK75" s="226">
        <v>0.8</v>
      </c>
      <c r="CL75" s="226">
        <v>0.8</v>
      </c>
      <c r="CM75" s="226">
        <v>0.8</v>
      </c>
      <c r="CN75" s="226">
        <v>0.8</v>
      </c>
      <c r="CO75" s="226">
        <v>0.8</v>
      </c>
      <c r="CP75" s="226">
        <v>0.8</v>
      </c>
      <c r="CQ75" s="226">
        <v>0.8</v>
      </c>
      <c r="CR75" s="226">
        <v>0.8</v>
      </c>
      <c r="CS75" s="226">
        <v>0.8</v>
      </c>
      <c r="CT75" s="226">
        <v>0.8</v>
      </c>
      <c r="CU75" s="226">
        <v>0.8</v>
      </c>
      <c r="CV75" s="226">
        <v>0.8</v>
      </c>
      <c r="CW75" s="226">
        <v>0.8</v>
      </c>
      <c r="CX75" s="226">
        <v>0.8</v>
      </c>
      <c r="CY75" s="226">
        <v>0.8</v>
      </c>
      <c r="CZ75" s="226">
        <v>0.8</v>
      </c>
      <c r="DA75" s="226">
        <v>0.8</v>
      </c>
      <c r="DB75" s="226">
        <v>0.8</v>
      </c>
      <c r="DC75" s="226">
        <v>0.8</v>
      </c>
      <c r="DD75" s="226">
        <v>0.8</v>
      </c>
      <c r="DE75" s="226">
        <v>0.8</v>
      </c>
      <c r="DF75" s="226">
        <v>0.8</v>
      </c>
      <c r="DG75" s="226">
        <v>0.8</v>
      </c>
      <c r="DH75" s="226">
        <v>0.8</v>
      </c>
      <c r="DI75" s="226">
        <v>0.8</v>
      </c>
      <c r="DJ75" s="226">
        <v>0.8</v>
      </c>
      <c r="DK75" s="226">
        <v>0.8</v>
      </c>
      <c r="DL75" s="226">
        <v>0.1</v>
      </c>
      <c r="DM75" s="226">
        <v>0</v>
      </c>
      <c r="DN75" s="226">
        <v>0</v>
      </c>
      <c r="DO75" s="226">
        <v>0</v>
      </c>
      <c r="DP75" s="226">
        <v>0</v>
      </c>
      <c r="DQ75" s="226">
        <v>0</v>
      </c>
      <c r="DR75" s="226">
        <v>0</v>
      </c>
      <c r="DS75" s="226">
        <v>0</v>
      </c>
    </row>
    <row r="76" spans="1:123" x14ac:dyDescent="0.15">
      <c r="A76" s="156" t="s">
        <v>295</v>
      </c>
      <c r="B76">
        <v>0.8</v>
      </c>
      <c r="C76" s="226">
        <v>0.8</v>
      </c>
      <c r="D76" s="226">
        <v>0.8</v>
      </c>
      <c r="E76" s="226">
        <v>0.8</v>
      </c>
      <c r="F76" s="226">
        <v>0.8</v>
      </c>
      <c r="G76" s="226">
        <v>0.8</v>
      </c>
      <c r="H76" s="226">
        <v>0.8</v>
      </c>
      <c r="I76" s="226">
        <v>0.8</v>
      </c>
      <c r="J76" s="226">
        <v>0.8</v>
      </c>
      <c r="K76" s="226">
        <v>0.8</v>
      </c>
      <c r="L76" s="226">
        <v>0.8</v>
      </c>
      <c r="M76" s="226">
        <v>0.7</v>
      </c>
      <c r="N76" s="226">
        <v>0.7</v>
      </c>
      <c r="O76" s="226">
        <v>0.6</v>
      </c>
      <c r="P76" s="226">
        <v>0.6</v>
      </c>
      <c r="Q76" s="226">
        <v>0.7</v>
      </c>
      <c r="R76" s="226">
        <v>0.8</v>
      </c>
      <c r="S76" s="226">
        <v>0.8</v>
      </c>
      <c r="T76" s="226">
        <v>0.8</v>
      </c>
      <c r="U76" s="226">
        <v>0.8</v>
      </c>
      <c r="V76" s="226">
        <v>0.8</v>
      </c>
      <c r="W76" s="225">
        <v>0.8</v>
      </c>
      <c r="X76" s="225">
        <v>0.8</v>
      </c>
      <c r="Y76" s="225">
        <v>0.8</v>
      </c>
      <c r="Z76" s="225">
        <v>0.8</v>
      </c>
      <c r="AA76" s="226">
        <v>0.8</v>
      </c>
      <c r="AB76" s="226">
        <v>0.6</v>
      </c>
      <c r="AC76" s="226">
        <v>0.8</v>
      </c>
      <c r="AD76" s="226">
        <v>0.8</v>
      </c>
      <c r="AE76" s="226">
        <v>0.1</v>
      </c>
      <c r="AF76" s="226">
        <v>0.1</v>
      </c>
      <c r="AG76" s="226">
        <v>0.1</v>
      </c>
      <c r="AH76" s="226">
        <v>0.1</v>
      </c>
      <c r="AI76" s="226">
        <v>0.8</v>
      </c>
      <c r="AJ76" s="226">
        <v>0.7</v>
      </c>
      <c r="AK76" s="226">
        <v>0.1</v>
      </c>
      <c r="AL76" s="226">
        <v>0.3</v>
      </c>
      <c r="AM76" s="226">
        <v>0.1</v>
      </c>
      <c r="AN76" s="226">
        <v>0.1</v>
      </c>
      <c r="AO76" s="226">
        <v>0.1</v>
      </c>
      <c r="AP76" s="226">
        <v>0.1</v>
      </c>
      <c r="AQ76" s="226">
        <v>0.1</v>
      </c>
      <c r="AR76" s="226">
        <v>0.1</v>
      </c>
      <c r="AS76" s="226">
        <v>0.1</v>
      </c>
      <c r="AT76" s="226">
        <v>0.7</v>
      </c>
      <c r="AU76" s="226">
        <v>0.3</v>
      </c>
      <c r="AV76" s="226">
        <v>0.3</v>
      </c>
      <c r="AW76" s="226">
        <v>0.3</v>
      </c>
      <c r="AX76" s="226">
        <v>0.8</v>
      </c>
      <c r="AY76" s="226">
        <v>0.8</v>
      </c>
      <c r="AZ76" s="226">
        <v>0.8</v>
      </c>
      <c r="BA76" s="226">
        <v>0.6</v>
      </c>
      <c r="BB76" s="226">
        <v>0.6</v>
      </c>
      <c r="BC76" s="226">
        <v>0.8</v>
      </c>
      <c r="BD76" s="226">
        <v>0.7</v>
      </c>
      <c r="BE76" s="226">
        <v>0.8</v>
      </c>
      <c r="BF76" s="226">
        <v>0.1</v>
      </c>
      <c r="BG76" s="226">
        <v>0.1</v>
      </c>
      <c r="BH76" s="226">
        <v>0.3</v>
      </c>
      <c r="BI76" s="226">
        <v>0.3</v>
      </c>
      <c r="BJ76" s="226">
        <v>0.3</v>
      </c>
      <c r="BK76" s="226">
        <v>0.3</v>
      </c>
      <c r="BL76" s="226">
        <v>0.3</v>
      </c>
      <c r="BM76" s="226">
        <v>0.3</v>
      </c>
      <c r="BN76" s="226">
        <v>0.7</v>
      </c>
      <c r="BO76" s="226">
        <v>0.7</v>
      </c>
      <c r="BP76" s="226">
        <v>0.8</v>
      </c>
      <c r="BQ76" s="226">
        <v>0.8</v>
      </c>
      <c r="BR76" s="226">
        <v>0.7</v>
      </c>
      <c r="BS76" s="226">
        <v>0.7</v>
      </c>
      <c r="BT76" s="226">
        <v>0.7</v>
      </c>
      <c r="BU76" s="226">
        <v>0.7</v>
      </c>
      <c r="BV76" s="226">
        <v>0.8</v>
      </c>
      <c r="BW76" s="226">
        <v>0.8</v>
      </c>
      <c r="BX76" s="226">
        <v>0.7</v>
      </c>
      <c r="BY76" s="226">
        <v>0.8</v>
      </c>
      <c r="BZ76" s="226">
        <v>0.8</v>
      </c>
      <c r="CA76" s="226">
        <v>0.8</v>
      </c>
      <c r="CB76" s="226">
        <v>0.8</v>
      </c>
      <c r="CC76" s="226">
        <v>0.8</v>
      </c>
      <c r="CD76" s="226">
        <v>0.8</v>
      </c>
      <c r="CE76" s="226">
        <v>0.8</v>
      </c>
      <c r="CF76" s="226">
        <v>0.8</v>
      </c>
      <c r="CG76" s="226">
        <v>0.8</v>
      </c>
      <c r="CH76" s="226">
        <v>0.8</v>
      </c>
      <c r="CI76" s="226">
        <v>0.8</v>
      </c>
      <c r="CJ76" s="226">
        <v>0.8</v>
      </c>
      <c r="CK76" s="226">
        <v>0.8</v>
      </c>
      <c r="CL76" s="226">
        <v>0.8</v>
      </c>
      <c r="CM76" s="226">
        <v>0.8</v>
      </c>
      <c r="CN76" s="226">
        <v>0.8</v>
      </c>
      <c r="CO76" s="226">
        <v>0.8</v>
      </c>
      <c r="CP76" s="226">
        <v>0.8</v>
      </c>
      <c r="CQ76" s="226">
        <v>0.8</v>
      </c>
      <c r="CR76" s="226">
        <v>0.8</v>
      </c>
      <c r="CS76" s="226">
        <v>0.8</v>
      </c>
      <c r="CT76" s="226">
        <v>0.8</v>
      </c>
      <c r="CU76" s="226">
        <v>0.8</v>
      </c>
      <c r="CV76" s="226">
        <v>0.8</v>
      </c>
      <c r="CW76" s="226">
        <v>0.8</v>
      </c>
      <c r="CX76" s="226">
        <v>0.8</v>
      </c>
      <c r="CY76" s="226">
        <v>0.8</v>
      </c>
      <c r="CZ76" s="226">
        <v>0.8</v>
      </c>
      <c r="DA76" s="226">
        <v>0.8</v>
      </c>
      <c r="DB76" s="226">
        <v>0.8</v>
      </c>
      <c r="DC76" s="226">
        <v>0.8</v>
      </c>
      <c r="DD76" s="226">
        <v>0.8</v>
      </c>
      <c r="DE76" s="226">
        <v>0.8</v>
      </c>
      <c r="DF76" s="226">
        <v>0.8</v>
      </c>
      <c r="DG76" s="226">
        <v>0.8</v>
      </c>
      <c r="DH76" s="226">
        <v>0.8</v>
      </c>
      <c r="DI76" s="226">
        <v>0.8</v>
      </c>
      <c r="DJ76" s="226">
        <v>0.8</v>
      </c>
      <c r="DK76" s="226">
        <v>0.8</v>
      </c>
      <c r="DL76" s="226">
        <v>0.1</v>
      </c>
      <c r="DM76" s="226">
        <v>0</v>
      </c>
      <c r="DN76" s="226">
        <v>0</v>
      </c>
      <c r="DO76" s="226">
        <v>0</v>
      </c>
      <c r="DP76" s="226">
        <v>0</v>
      </c>
      <c r="DQ76" s="226">
        <v>0</v>
      </c>
      <c r="DR76" s="226">
        <v>0</v>
      </c>
      <c r="DS76" s="226">
        <v>0</v>
      </c>
    </row>
    <row r="77" spans="1:123" x14ac:dyDescent="0.15">
      <c r="A77" s="156" t="s">
        <v>296</v>
      </c>
      <c r="B77">
        <v>0.8</v>
      </c>
      <c r="C77" s="226">
        <v>0.8</v>
      </c>
      <c r="D77" s="226">
        <v>0.8</v>
      </c>
      <c r="E77" s="226">
        <v>0.8</v>
      </c>
      <c r="F77" s="226">
        <v>0.8</v>
      </c>
      <c r="G77" s="226">
        <v>0.8</v>
      </c>
      <c r="H77" s="226">
        <v>0.8</v>
      </c>
      <c r="I77" s="226">
        <v>0.8</v>
      </c>
      <c r="J77" s="226">
        <v>0.8</v>
      </c>
      <c r="K77" s="226">
        <v>0.8</v>
      </c>
      <c r="L77" s="226">
        <v>0.8</v>
      </c>
      <c r="M77" s="226">
        <v>0.7</v>
      </c>
      <c r="N77" s="226">
        <v>0.7</v>
      </c>
      <c r="O77" s="226">
        <v>0.6</v>
      </c>
      <c r="P77" s="226">
        <v>0.6</v>
      </c>
      <c r="Q77" s="226">
        <v>0.7</v>
      </c>
      <c r="R77" s="226">
        <v>0.8</v>
      </c>
      <c r="S77" s="226">
        <v>0.8</v>
      </c>
      <c r="T77" s="226">
        <v>0.8</v>
      </c>
      <c r="U77" s="226">
        <v>0.8</v>
      </c>
      <c r="V77" s="226">
        <v>0.8</v>
      </c>
      <c r="W77" s="225">
        <v>0.8</v>
      </c>
      <c r="X77" s="225">
        <v>0.8</v>
      </c>
      <c r="Y77" s="225">
        <v>0.8</v>
      </c>
      <c r="Z77" s="225">
        <v>0.8</v>
      </c>
      <c r="AA77" s="226">
        <v>0.8</v>
      </c>
      <c r="AB77" s="226">
        <v>0.6</v>
      </c>
      <c r="AC77" s="226">
        <v>0.8</v>
      </c>
      <c r="AD77" s="226">
        <v>0.8</v>
      </c>
      <c r="AE77" s="226">
        <v>0.1</v>
      </c>
      <c r="AF77" s="226">
        <v>0.1</v>
      </c>
      <c r="AG77" s="226">
        <v>0.1</v>
      </c>
      <c r="AH77" s="226">
        <v>0.1</v>
      </c>
      <c r="AI77" s="226">
        <v>0.8</v>
      </c>
      <c r="AJ77" s="226">
        <v>0.7</v>
      </c>
      <c r="AK77" s="226">
        <v>0.1</v>
      </c>
      <c r="AL77" s="226">
        <v>0.3</v>
      </c>
      <c r="AM77" s="226">
        <v>0.1</v>
      </c>
      <c r="AN77" s="226">
        <v>0.1</v>
      </c>
      <c r="AO77" s="226">
        <v>0.1</v>
      </c>
      <c r="AP77" s="226">
        <v>0.1</v>
      </c>
      <c r="AQ77" s="226">
        <v>0.1</v>
      </c>
      <c r="AR77" s="226">
        <v>0.1</v>
      </c>
      <c r="AS77" s="226">
        <v>0.1</v>
      </c>
      <c r="AT77" s="226">
        <v>0.7</v>
      </c>
      <c r="AU77" s="226">
        <v>0.3</v>
      </c>
      <c r="AV77" s="226">
        <v>0.3</v>
      </c>
      <c r="AW77" s="226">
        <v>0.3</v>
      </c>
      <c r="AX77" s="226">
        <v>0.8</v>
      </c>
      <c r="AY77" s="226">
        <v>0.8</v>
      </c>
      <c r="AZ77" s="226">
        <v>0.8</v>
      </c>
      <c r="BA77" s="226">
        <v>0.6</v>
      </c>
      <c r="BB77" s="226">
        <v>0.6</v>
      </c>
      <c r="BC77" s="226">
        <v>0.8</v>
      </c>
      <c r="BD77" s="226">
        <v>0.7</v>
      </c>
      <c r="BE77" s="226">
        <v>0.8</v>
      </c>
      <c r="BF77" s="226">
        <v>0.1</v>
      </c>
      <c r="BG77" s="226">
        <v>0.1</v>
      </c>
      <c r="BH77" s="226">
        <v>0.3</v>
      </c>
      <c r="BI77" s="226">
        <v>0.3</v>
      </c>
      <c r="BJ77" s="226">
        <v>0.3</v>
      </c>
      <c r="BK77" s="226">
        <v>0.3</v>
      </c>
      <c r="BL77" s="226">
        <v>0.3</v>
      </c>
      <c r="BM77" s="226">
        <v>0.3</v>
      </c>
      <c r="BN77" s="226">
        <v>0.7</v>
      </c>
      <c r="BO77" s="226">
        <v>0.7</v>
      </c>
      <c r="BP77" s="226">
        <v>0.8</v>
      </c>
      <c r="BQ77" s="226">
        <v>0.8</v>
      </c>
      <c r="BR77" s="226">
        <v>0.7</v>
      </c>
      <c r="BS77" s="226">
        <v>0.7</v>
      </c>
      <c r="BT77" s="226">
        <v>0.7</v>
      </c>
      <c r="BU77" s="226">
        <v>0.7</v>
      </c>
      <c r="BV77" s="226">
        <v>0.8</v>
      </c>
      <c r="BW77" s="226">
        <v>0.8</v>
      </c>
      <c r="BX77" s="226">
        <v>0.7</v>
      </c>
      <c r="BY77" s="226">
        <v>0.8</v>
      </c>
      <c r="BZ77" s="226">
        <v>0.8</v>
      </c>
      <c r="CA77" s="226">
        <v>0.8</v>
      </c>
      <c r="CB77" s="226">
        <v>0.8</v>
      </c>
      <c r="CC77" s="226">
        <v>0.8</v>
      </c>
      <c r="CD77" s="226">
        <v>0.8</v>
      </c>
      <c r="CE77" s="226">
        <v>0.8</v>
      </c>
      <c r="CF77" s="226">
        <v>0.8</v>
      </c>
      <c r="CG77" s="226">
        <v>0.8</v>
      </c>
      <c r="CH77" s="226">
        <v>0.8</v>
      </c>
      <c r="CI77" s="226">
        <v>0.8</v>
      </c>
      <c r="CJ77" s="226">
        <v>0.8</v>
      </c>
      <c r="CK77" s="226">
        <v>0.8</v>
      </c>
      <c r="CL77" s="226">
        <v>0.8</v>
      </c>
      <c r="CM77" s="226">
        <v>0.8</v>
      </c>
      <c r="CN77" s="226">
        <v>0.8</v>
      </c>
      <c r="CO77" s="226">
        <v>0.8</v>
      </c>
      <c r="CP77" s="226">
        <v>0.8</v>
      </c>
      <c r="CQ77" s="226">
        <v>0.8</v>
      </c>
      <c r="CR77" s="226">
        <v>0.8</v>
      </c>
      <c r="CS77" s="226">
        <v>0.8</v>
      </c>
      <c r="CT77" s="226">
        <v>0.8</v>
      </c>
      <c r="CU77" s="226">
        <v>0.8</v>
      </c>
      <c r="CV77" s="226">
        <v>0.8</v>
      </c>
      <c r="CW77" s="226">
        <v>0.8</v>
      </c>
      <c r="CX77" s="226">
        <v>0.8</v>
      </c>
      <c r="CY77" s="226">
        <v>0.8</v>
      </c>
      <c r="CZ77" s="226">
        <v>0.8</v>
      </c>
      <c r="DA77" s="226">
        <v>0.8</v>
      </c>
      <c r="DB77" s="226">
        <v>0.8</v>
      </c>
      <c r="DC77" s="226">
        <v>0.8</v>
      </c>
      <c r="DD77" s="226">
        <v>0.8</v>
      </c>
      <c r="DE77" s="226">
        <v>0.8</v>
      </c>
      <c r="DF77" s="226">
        <v>0.8</v>
      </c>
      <c r="DG77" s="226">
        <v>0.8</v>
      </c>
      <c r="DH77" s="226">
        <v>0.8</v>
      </c>
      <c r="DI77" s="226">
        <v>0.8</v>
      </c>
      <c r="DJ77" s="226">
        <v>0.8</v>
      </c>
      <c r="DK77" s="226">
        <v>0.8</v>
      </c>
      <c r="DL77" s="226">
        <v>0.1</v>
      </c>
      <c r="DM77" s="226">
        <v>0</v>
      </c>
      <c r="DN77" s="226">
        <v>0</v>
      </c>
      <c r="DO77" s="226">
        <v>0</v>
      </c>
      <c r="DP77" s="226">
        <v>0</v>
      </c>
      <c r="DQ77" s="226">
        <v>0</v>
      </c>
      <c r="DR77" s="226">
        <v>0</v>
      </c>
      <c r="DS77" s="226">
        <v>0</v>
      </c>
    </row>
    <row r="78" spans="1:123" x14ac:dyDescent="0.15">
      <c r="A78" s="156" t="s">
        <v>297</v>
      </c>
      <c r="B78">
        <v>0.8</v>
      </c>
      <c r="C78" s="226">
        <v>0.8</v>
      </c>
      <c r="D78" s="226">
        <v>0.8</v>
      </c>
      <c r="E78" s="226">
        <v>0.8</v>
      </c>
      <c r="F78" s="226">
        <v>0.8</v>
      </c>
      <c r="G78" s="226">
        <v>0.8</v>
      </c>
      <c r="H78" s="226">
        <v>0.8</v>
      </c>
      <c r="I78" s="226">
        <v>0.8</v>
      </c>
      <c r="J78" s="226">
        <v>0.8</v>
      </c>
      <c r="K78" s="226">
        <v>0.8</v>
      </c>
      <c r="L78" s="226">
        <v>0.8</v>
      </c>
      <c r="M78" s="226">
        <v>0.7</v>
      </c>
      <c r="N78" s="226">
        <v>0.7</v>
      </c>
      <c r="O78" s="226">
        <v>0.6</v>
      </c>
      <c r="P78" s="226">
        <v>0.6</v>
      </c>
      <c r="Q78" s="226">
        <v>0.7</v>
      </c>
      <c r="R78" s="226">
        <v>0.8</v>
      </c>
      <c r="S78" s="226">
        <v>0.8</v>
      </c>
      <c r="T78" s="226">
        <v>0.8</v>
      </c>
      <c r="U78" s="226">
        <v>0.8</v>
      </c>
      <c r="V78" s="226">
        <v>0.8</v>
      </c>
      <c r="W78" s="225">
        <v>0.8</v>
      </c>
      <c r="X78" s="225">
        <v>0.8</v>
      </c>
      <c r="Y78" s="225">
        <v>0.8</v>
      </c>
      <c r="Z78" s="225">
        <v>0.8</v>
      </c>
      <c r="AA78" s="226">
        <v>0.8</v>
      </c>
      <c r="AB78" s="226">
        <v>0.6</v>
      </c>
      <c r="AC78" s="226">
        <v>0.8</v>
      </c>
      <c r="AD78" s="226">
        <v>0.8</v>
      </c>
      <c r="AE78" s="226">
        <v>0.1</v>
      </c>
      <c r="AF78" s="226">
        <v>0.1</v>
      </c>
      <c r="AG78" s="226">
        <v>0.1</v>
      </c>
      <c r="AH78" s="226">
        <v>0.1</v>
      </c>
      <c r="AI78" s="226">
        <v>0.8</v>
      </c>
      <c r="AJ78" s="226">
        <v>0.7</v>
      </c>
      <c r="AK78" s="226">
        <v>0.1</v>
      </c>
      <c r="AL78" s="226">
        <v>0.3</v>
      </c>
      <c r="AM78" s="226">
        <v>0.1</v>
      </c>
      <c r="AN78" s="226">
        <v>0.1</v>
      </c>
      <c r="AO78" s="226">
        <v>0.1</v>
      </c>
      <c r="AP78" s="226">
        <v>0.1</v>
      </c>
      <c r="AQ78" s="226">
        <v>0.1</v>
      </c>
      <c r="AR78" s="226">
        <v>0.1</v>
      </c>
      <c r="AS78" s="226">
        <v>0.1</v>
      </c>
      <c r="AT78" s="226">
        <v>0.7</v>
      </c>
      <c r="AU78" s="226">
        <v>0.3</v>
      </c>
      <c r="AV78" s="226">
        <v>0.3</v>
      </c>
      <c r="AW78" s="226">
        <v>0.3</v>
      </c>
      <c r="AX78" s="226">
        <v>0.8</v>
      </c>
      <c r="AY78" s="226">
        <v>0.8</v>
      </c>
      <c r="AZ78" s="226">
        <v>0.8</v>
      </c>
      <c r="BA78" s="226">
        <v>0.6</v>
      </c>
      <c r="BB78" s="226">
        <v>0.6</v>
      </c>
      <c r="BC78" s="226">
        <v>0.8</v>
      </c>
      <c r="BD78" s="226">
        <v>0.7</v>
      </c>
      <c r="BE78" s="226">
        <v>0.8</v>
      </c>
      <c r="BF78" s="226">
        <v>0.1</v>
      </c>
      <c r="BG78" s="226">
        <v>0.1</v>
      </c>
      <c r="BH78" s="226">
        <v>0.3</v>
      </c>
      <c r="BI78" s="226">
        <v>0.3</v>
      </c>
      <c r="BJ78" s="226">
        <v>0.3</v>
      </c>
      <c r="BK78" s="226">
        <v>0.3</v>
      </c>
      <c r="BL78" s="226">
        <v>0.3</v>
      </c>
      <c r="BM78" s="226">
        <v>0.3</v>
      </c>
      <c r="BN78" s="226">
        <v>0.7</v>
      </c>
      <c r="BO78" s="226">
        <v>0.7</v>
      </c>
      <c r="BP78" s="226">
        <v>0.8</v>
      </c>
      <c r="BQ78" s="226">
        <v>0.8</v>
      </c>
      <c r="BR78" s="226">
        <v>0.7</v>
      </c>
      <c r="BS78" s="226">
        <v>0.7</v>
      </c>
      <c r="BT78" s="226">
        <v>0.7</v>
      </c>
      <c r="BU78" s="226">
        <v>0.7</v>
      </c>
      <c r="BV78" s="226">
        <v>0.8</v>
      </c>
      <c r="BW78" s="226">
        <v>0.8</v>
      </c>
      <c r="BX78" s="226">
        <v>0.7</v>
      </c>
      <c r="BY78" s="226">
        <v>0.8</v>
      </c>
      <c r="BZ78" s="226">
        <v>0.8</v>
      </c>
      <c r="CA78" s="226">
        <v>0.8</v>
      </c>
      <c r="CB78" s="226">
        <v>0.8</v>
      </c>
      <c r="CC78" s="226">
        <v>0.8</v>
      </c>
      <c r="CD78" s="226">
        <v>0.8</v>
      </c>
      <c r="CE78" s="226">
        <v>0.8</v>
      </c>
      <c r="CF78" s="226">
        <v>0.8</v>
      </c>
      <c r="CG78" s="226">
        <v>0.8</v>
      </c>
      <c r="CH78" s="226">
        <v>0.8</v>
      </c>
      <c r="CI78" s="226">
        <v>0.8</v>
      </c>
      <c r="CJ78" s="226">
        <v>0.8</v>
      </c>
      <c r="CK78" s="226">
        <v>0.8</v>
      </c>
      <c r="CL78" s="226">
        <v>0.8</v>
      </c>
      <c r="CM78" s="226">
        <v>0.8</v>
      </c>
      <c r="CN78" s="226">
        <v>0.8</v>
      </c>
      <c r="CO78" s="226">
        <v>0.8</v>
      </c>
      <c r="CP78" s="226">
        <v>0.8</v>
      </c>
      <c r="CQ78" s="226">
        <v>0.8</v>
      </c>
      <c r="CR78" s="226">
        <v>0.8</v>
      </c>
      <c r="CS78" s="226">
        <v>0.8</v>
      </c>
      <c r="CT78" s="226">
        <v>0.8</v>
      </c>
      <c r="CU78" s="226">
        <v>0.8</v>
      </c>
      <c r="CV78" s="226">
        <v>0.8</v>
      </c>
      <c r="CW78" s="226">
        <v>0.8</v>
      </c>
      <c r="CX78" s="226">
        <v>0.8</v>
      </c>
      <c r="CY78" s="226">
        <v>0.8</v>
      </c>
      <c r="CZ78" s="226">
        <v>0.8</v>
      </c>
      <c r="DA78" s="226">
        <v>0.8</v>
      </c>
      <c r="DB78" s="226">
        <v>0.8</v>
      </c>
      <c r="DC78" s="226">
        <v>0.8</v>
      </c>
      <c r="DD78" s="226">
        <v>0.8</v>
      </c>
      <c r="DE78" s="226">
        <v>0.8</v>
      </c>
      <c r="DF78" s="226">
        <v>0.8</v>
      </c>
      <c r="DG78" s="226">
        <v>0.8</v>
      </c>
      <c r="DH78" s="226">
        <v>0.8</v>
      </c>
      <c r="DI78" s="226">
        <v>0.8</v>
      </c>
      <c r="DJ78" s="226">
        <v>0.8</v>
      </c>
      <c r="DK78" s="226">
        <v>0.8</v>
      </c>
      <c r="DL78" s="226">
        <v>0.1</v>
      </c>
      <c r="DM78" s="226">
        <v>0</v>
      </c>
      <c r="DN78" s="226">
        <v>0</v>
      </c>
      <c r="DO78" s="226">
        <v>0</v>
      </c>
      <c r="DP78" s="226">
        <v>0</v>
      </c>
      <c r="DQ78" s="226">
        <v>0</v>
      </c>
      <c r="DR78" s="226">
        <v>0</v>
      </c>
      <c r="DS78" s="226">
        <v>0</v>
      </c>
    </row>
    <row r="79" spans="1:123" x14ac:dyDescent="0.15">
      <c r="A79" s="156" t="s">
        <v>298</v>
      </c>
      <c r="B79">
        <v>0.8</v>
      </c>
      <c r="C79" s="226">
        <v>0.8</v>
      </c>
      <c r="D79" s="226">
        <v>0.8</v>
      </c>
      <c r="E79" s="226">
        <v>0.8</v>
      </c>
      <c r="F79" s="226">
        <v>0.8</v>
      </c>
      <c r="G79" s="226">
        <v>0.8</v>
      </c>
      <c r="H79" s="226">
        <v>0.8</v>
      </c>
      <c r="I79" s="226">
        <v>0.8</v>
      </c>
      <c r="J79" s="226">
        <v>0.8</v>
      </c>
      <c r="K79" s="226">
        <v>0.8</v>
      </c>
      <c r="L79" s="226">
        <v>0.8</v>
      </c>
      <c r="M79" s="226">
        <v>0.7</v>
      </c>
      <c r="N79" s="226">
        <v>0.7</v>
      </c>
      <c r="O79" s="226">
        <v>0.6</v>
      </c>
      <c r="P79" s="226">
        <v>0.6</v>
      </c>
      <c r="Q79" s="226">
        <v>0.7</v>
      </c>
      <c r="R79" s="226">
        <v>0.8</v>
      </c>
      <c r="S79" s="226">
        <v>0.8</v>
      </c>
      <c r="T79" s="226">
        <v>0.8</v>
      </c>
      <c r="U79" s="226">
        <v>0.8</v>
      </c>
      <c r="V79" s="226">
        <v>0.8</v>
      </c>
      <c r="W79" s="225">
        <v>0.8</v>
      </c>
      <c r="X79" s="225">
        <v>0.8</v>
      </c>
      <c r="Y79" s="225">
        <v>0.8</v>
      </c>
      <c r="Z79" s="225">
        <v>0.8</v>
      </c>
      <c r="AA79" s="226">
        <v>0.8</v>
      </c>
      <c r="AB79" s="226">
        <v>0.6</v>
      </c>
      <c r="AC79" s="226">
        <v>0.8</v>
      </c>
      <c r="AD79" s="226">
        <v>0.8</v>
      </c>
      <c r="AE79" s="226">
        <v>0.1</v>
      </c>
      <c r="AF79" s="226">
        <v>0.1</v>
      </c>
      <c r="AG79" s="226">
        <v>0.1</v>
      </c>
      <c r="AH79" s="226">
        <v>0.1</v>
      </c>
      <c r="AI79" s="226">
        <v>0.8</v>
      </c>
      <c r="AJ79" s="226">
        <v>0.7</v>
      </c>
      <c r="AK79" s="226">
        <v>0.1</v>
      </c>
      <c r="AL79" s="226">
        <v>0.3</v>
      </c>
      <c r="AM79" s="226">
        <v>0.1</v>
      </c>
      <c r="AN79" s="226">
        <v>0.1</v>
      </c>
      <c r="AO79" s="226">
        <v>0.1</v>
      </c>
      <c r="AP79" s="226">
        <v>0.1</v>
      </c>
      <c r="AQ79" s="226">
        <v>0.1</v>
      </c>
      <c r="AR79" s="226">
        <v>0.1</v>
      </c>
      <c r="AS79" s="226">
        <v>0.1</v>
      </c>
      <c r="AT79" s="226">
        <v>0.7</v>
      </c>
      <c r="AU79" s="226">
        <v>0.3</v>
      </c>
      <c r="AV79" s="226">
        <v>0.3</v>
      </c>
      <c r="AW79" s="226">
        <v>0.3</v>
      </c>
      <c r="AX79" s="226">
        <v>0.8</v>
      </c>
      <c r="AY79" s="226">
        <v>0.8</v>
      </c>
      <c r="AZ79" s="226">
        <v>0.8</v>
      </c>
      <c r="BA79" s="226">
        <v>0.6</v>
      </c>
      <c r="BB79" s="226">
        <v>0.6</v>
      </c>
      <c r="BC79" s="226">
        <v>0.8</v>
      </c>
      <c r="BD79" s="226">
        <v>0.7</v>
      </c>
      <c r="BE79" s="226">
        <v>0.8</v>
      </c>
      <c r="BF79" s="226">
        <v>0.1</v>
      </c>
      <c r="BG79" s="226">
        <v>0.1</v>
      </c>
      <c r="BH79" s="226">
        <v>0.3</v>
      </c>
      <c r="BI79" s="226">
        <v>0.3</v>
      </c>
      <c r="BJ79" s="226">
        <v>0.3</v>
      </c>
      <c r="BK79" s="226">
        <v>0.3</v>
      </c>
      <c r="BL79" s="226">
        <v>0.3</v>
      </c>
      <c r="BM79" s="226">
        <v>0.3</v>
      </c>
      <c r="BN79" s="226">
        <v>0.7</v>
      </c>
      <c r="BO79" s="226">
        <v>0.7</v>
      </c>
      <c r="BP79" s="226">
        <v>0.8</v>
      </c>
      <c r="BQ79" s="226">
        <v>0.8</v>
      </c>
      <c r="BR79" s="226">
        <v>0.7</v>
      </c>
      <c r="BS79" s="226">
        <v>0.7</v>
      </c>
      <c r="BT79" s="226">
        <v>0.7</v>
      </c>
      <c r="BU79" s="226">
        <v>0.7</v>
      </c>
      <c r="BV79" s="226">
        <v>0.8</v>
      </c>
      <c r="BW79" s="226">
        <v>0.8</v>
      </c>
      <c r="BX79" s="226">
        <v>0.7</v>
      </c>
      <c r="BY79" s="226">
        <v>0.8</v>
      </c>
      <c r="BZ79" s="226">
        <v>0.8</v>
      </c>
      <c r="CA79" s="226">
        <v>0.8</v>
      </c>
      <c r="CB79" s="226">
        <v>0.8</v>
      </c>
      <c r="CC79" s="226">
        <v>0.8</v>
      </c>
      <c r="CD79" s="226">
        <v>0.8</v>
      </c>
      <c r="CE79" s="226">
        <v>0.8</v>
      </c>
      <c r="CF79" s="226">
        <v>0.8</v>
      </c>
      <c r="CG79" s="226">
        <v>0.8</v>
      </c>
      <c r="CH79" s="226">
        <v>0.8</v>
      </c>
      <c r="CI79" s="226">
        <v>0.8</v>
      </c>
      <c r="CJ79" s="226">
        <v>0.8</v>
      </c>
      <c r="CK79" s="226">
        <v>0.8</v>
      </c>
      <c r="CL79" s="226">
        <v>0.8</v>
      </c>
      <c r="CM79" s="226">
        <v>0.8</v>
      </c>
      <c r="CN79" s="226">
        <v>0.8</v>
      </c>
      <c r="CO79" s="226">
        <v>0.8</v>
      </c>
      <c r="CP79" s="226">
        <v>0.8</v>
      </c>
      <c r="CQ79" s="226">
        <v>0.8</v>
      </c>
      <c r="CR79" s="226">
        <v>0.8</v>
      </c>
      <c r="CS79" s="226">
        <v>0.8</v>
      </c>
      <c r="CT79" s="226">
        <v>0.8</v>
      </c>
      <c r="CU79" s="226">
        <v>0.8</v>
      </c>
      <c r="CV79" s="226">
        <v>0.8</v>
      </c>
      <c r="CW79" s="226">
        <v>0.8</v>
      </c>
      <c r="CX79" s="226">
        <v>0.8</v>
      </c>
      <c r="CY79" s="226">
        <v>0.8</v>
      </c>
      <c r="CZ79" s="226">
        <v>0.8</v>
      </c>
      <c r="DA79" s="226">
        <v>0.8</v>
      </c>
      <c r="DB79" s="226">
        <v>0.8</v>
      </c>
      <c r="DC79" s="226">
        <v>0.8</v>
      </c>
      <c r="DD79" s="226">
        <v>0.8</v>
      </c>
      <c r="DE79" s="226">
        <v>0.8</v>
      </c>
      <c r="DF79" s="226">
        <v>0.8</v>
      </c>
      <c r="DG79" s="226">
        <v>0.8</v>
      </c>
      <c r="DH79" s="226">
        <v>0.8</v>
      </c>
      <c r="DI79" s="226">
        <v>0.8</v>
      </c>
      <c r="DJ79" s="226">
        <v>0.8</v>
      </c>
      <c r="DK79" s="226">
        <v>0.8</v>
      </c>
      <c r="DL79" s="226">
        <v>0.1</v>
      </c>
      <c r="DM79" s="226">
        <v>0</v>
      </c>
      <c r="DN79" s="226">
        <v>0</v>
      </c>
      <c r="DO79" s="226">
        <v>0</v>
      </c>
      <c r="DP79" s="226">
        <v>0</v>
      </c>
      <c r="DQ79" s="226">
        <v>0</v>
      </c>
      <c r="DR79" s="226">
        <v>0</v>
      </c>
      <c r="DS79" s="226">
        <v>0</v>
      </c>
    </row>
    <row r="80" spans="1:123" x14ac:dyDescent="0.15">
      <c r="A80" s="156" t="s">
        <v>299</v>
      </c>
      <c r="B80">
        <v>0.8</v>
      </c>
      <c r="C80" s="226">
        <v>0.8</v>
      </c>
      <c r="D80" s="226">
        <v>0.8</v>
      </c>
      <c r="E80" s="226">
        <v>0.8</v>
      </c>
      <c r="F80" s="226">
        <v>0.8</v>
      </c>
      <c r="G80" s="226">
        <v>0.8</v>
      </c>
      <c r="H80" s="226">
        <v>0.8</v>
      </c>
      <c r="I80" s="226">
        <v>0.8</v>
      </c>
      <c r="J80" s="226">
        <v>0.8</v>
      </c>
      <c r="K80" s="226">
        <v>0.8</v>
      </c>
      <c r="L80" s="226">
        <v>0.8</v>
      </c>
      <c r="M80" s="226">
        <v>0.7</v>
      </c>
      <c r="N80" s="226">
        <v>0.7</v>
      </c>
      <c r="O80" s="226">
        <v>0.6</v>
      </c>
      <c r="P80" s="226">
        <v>0.6</v>
      </c>
      <c r="Q80" s="226">
        <v>0.7</v>
      </c>
      <c r="R80" s="226">
        <v>0.8</v>
      </c>
      <c r="S80" s="226">
        <v>0.8</v>
      </c>
      <c r="T80" s="226">
        <v>0.8</v>
      </c>
      <c r="U80" s="226">
        <v>0.8</v>
      </c>
      <c r="V80" s="226">
        <v>0.8</v>
      </c>
      <c r="W80" s="225">
        <v>0.8</v>
      </c>
      <c r="X80" s="225">
        <v>0.8</v>
      </c>
      <c r="Y80" s="225">
        <v>0.8</v>
      </c>
      <c r="Z80" s="225">
        <v>0.8</v>
      </c>
      <c r="AA80" s="226">
        <v>0.8</v>
      </c>
      <c r="AB80" s="226">
        <v>0.6</v>
      </c>
      <c r="AC80" s="226">
        <v>0.8</v>
      </c>
      <c r="AD80" s="226">
        <v>0.8</v>
      </c>
      <c r="AE80" s="226">
        <v>0.1</v>
      </c>
      <c r="AF80" s="226">
        <v>0.1</v>
      </c>
      <c r="AG80" s="226">
        <v>0.1</v>
      </c>
      <c r="AH80" s="226">
        <v>0.1</v>
      </c>
      <c r="AI80" s="226">
        <v>0.8</v>
      </c>
      <c r="AJ80" s="226">
        <v>0.7</v>
      </c>
      <c r="AK80" s="226">
        <v>0.1</v>
      </c>
      <c r="AL80" s="226">
        <v>0.3</v>
      </c>
      <c r="AM80" s="226">
        <v>0.1</v>
      </c>
      <c r="AN80" s="226">
        <v>0.1</v>
      </c>
      <c r="AO80" s="226">
        <v>0.1</v>
      </c>
      <c r="AP80" s="226">
        <v>0.1</v>
      </c>
      <c r="AQ80" s="226">
        <v>0.1</v>
      </c>
      <c r="AR80" s="226">
        <v>0.1</v>
      </c>
      <c r="AS80" s="226">
        <v>0.1</v>
      </c>
      <c r="AT80" s="226">
        <v>0.7</v>
      </c>
      <c r="AU80" s="226">
        <v>0.3</v>
      </c>
      <c r="AV80" s="226">
        <v>0.3</v>
      </c>
      <c r="AW80" s="226">
        <v>0.3</v>
      </c>
      <c r="AX80" s="226">
        <v>0.8</v>
      </c>
      <c r="AY80" s="226">
        <v>0.8</v>
      </c>
      <c r="AZ80" s="226">
        <v>0.8</v>
      </c>
      <c r="BA80" s="226">
        <v>0.6</v>
      </c>
      <c r="BB80" s="226">
        <v>0.6</v>
      </c>
      <c r="BC80" s="226">
        <v>0.8</v>
      </c>
      <c r="BD80" s="226">
        <v>0.7</v>
      </c>
      <c r="BE80" s="226">
        <v>0.8</v>
      </c>
      <c r="BF80" s="226">
        <v>0.1</v>
      </c>
      <c r="BG80" s="226">
        <v>0.1</v>
      </c>
      <c r="BH80" s="226">
        <v>0.3</v>
      </c>
      <c r="BI80" s="226">
        <v>0.3</v>
      </c>
      <c r="BJ80" s="226">
        <v>0.3</v>
      </c>
      <c r="BK80" s="226">
        <v>0.3</v>
      </c>
      <c r="BL80" s="226">
        <v>0.3</v>
      </c>
      <c r="BM80" s="226">
        <v>0.3</v>
      </c>
      <c r="BN80" s="226">
        <v>0.7</v>
      </c>
      <c r="BO80" s="226">
        <v>0.7</v>
      </c>
      <c r="BP80" s="226">
        <v>0.8</v>
      </c>
      <c r="BQ80" s="226">
        <v>0.8</v>
      </c>
      <c r="BR80" s="226">
        <v>0.7</v>
      </c>
      <c r="BS80" s="226">
        <v>0.7</v>
      </c>
      <c r="BT80" s="226">
        <v>0.7</v>
      </c>
      <c r="BU80" s="226">
        <v>0.7</v>
      </c>
      <c r="BV80" s="226">
        <v>0.8</v>
      </c>
      <c r="BW80" s="226">
        <v>0.8</v>
      </c>
      <c r="BX80" s="226">
        <v>0.7</v>
      </c>
      <c r="BY80" s="226">
        <v>0.8</v>
      </c>
      <c r="BZ80" s="226">
        <v>0.8</v>
      </c>
      <c r="CA80" s="226">
        <v>0.8</v>
      </c>
      <c r="CB80" s="226">
        <v>0.8</v>
      </c>
      <c r="CC80" s="226">
        <v>0.8</v>
      </c>
      <c r="CD80" s="226">
        <v>0.8</v>
      </c>
      <c r="CE80" s="226">
        <v>0.8</v>
      </c>
      <c r="CF80" s="226">
        <v>0.8</v>
      </c>
      <c r="CG80" s="226">
        <v>0.8</v>
      </c>
      <c r="CH80" s="226">
        <v>0.8</v>
      </c>
      <c r="CI80" s="226">
        <v>0.8</v>
      </c>
      <c r="CJ80" s="226">
        <v>0.8</v>
      </c>
      <c r="CK80" s="226">
        <v>0.8</v>
      </c>
      <c r="CL80" s="226">
        <v>0.8</v>
      </c>
      <c r="CM80" s="226">
        <v>0.8</v>
      </c>
      <c r="CN80" s="226">
        <v>0.8</v>
      </c>
      <c r="CO80" s="226">
        <v>0.8</v>
      </c>
      <c r="CP80" s="226">
        <v>0.8</v>
      </c>
      <c r="CQ80" s="226">
        <v>0.8</v>
      </c>
      <c r="CR80" s="226">
        <v>0.8</v>
      </c>
      <c r="CS80" s="226">
        <v>0.8</v>
      </c>
      <c r="CT80" s="226">
        <v>0.8</v>
      </c>
      <c r="CU80" s="226">
        <v>0.8</v>
      </c>
      <c r="CV80" s="226">
        <v>0.8</v>
      </c>
      <c r="CW80" s="226">
        <v>0.8</v>
      </c>
      <c r="CX80" s="226">
        <v>0.8</v>
      </c>
      <c r="CY80" s="226">
        <v>0.8</v>
      </c>
      <c r="CZ80" s="226">
        <v>0.8</v>
      </c>
      <c r="DA80" s="226">
        <v>0.8</v>
      </c>
      <c r="DB80" s="226">
        <v>0.8</v>
      </c>
      <c r="DC80" s="226">
        <v>0.8</v>
      </c>
      <c r="DD80" s="226">
        <v>0.8</v>
      </c>
      <c r="DE80" s="226">
        <v>0.8</v>
      </c>
      <c r="DF80" s="226">
        <v>0.8</v>
      </c>
      <c r="DG80" s="226">
        <v>0.8</v>
      </c>
      <c r="DH80" s="226">
        <v>0.8</v>
      </c>
      <c r="DI80" s="226">
        <v>0.8</v>
      </c>
      <c r="DJ80" s="226">
        <v>0.8</v>
      </c>
      <c r="DK80" s="226">
        <v>0.8</v>
      </c>
      <c r="DL80" s="226">
        <v>0.1</v>
      </c>
      <c r="DM80" s="226">
        <v>0</v>
      </c>
      <c r="DN80" s="226">
        <v>0</v>
      </c>
      <c r="DO80" s="226">
        <v>0</v>
      </c>
      <c r="DP80" s="226">
        <v>0</v>
      </c>
      <c r="DQ80" s="226">
        <v>0</v>
      </c>
      <c r="DR80" s="226">
        <v>0</v>
      </c>
      <c r="DS80" s="226">
        <v>0</v>
      </c>
    </row>
    <row r="81" spans="1:123" x14ac:dyDescent="0.15">
      <c r="A81" s="156" t="s">
        <v>300</v>
      </c>
      <c r="B81">
        <v>0.8</v>
      </c>
      <c r="C81" s="226">
        <v>0.8</v>
      </c>
      <c r="D81" s="226">
        <v>0.8</v>
      </c>
      <c r="E81" s="226">
        <v>0.8</v>
      </c>
      <c r="F81" s="226">
        <v>0.8</v>
      </c>
      <c r="G81" s="226">
        <v>0.8</v>
      </c>
      <c r="H81" s="226">
        <v>0.8</v>
      </c>
      <c r="I81" s="226">
        <v>0.8</v>
      </c>
      <c r="J81" s="226">
        <v>0.8</v>
      </c>
      <c r="K81" s="226">
        <v>0.8</v>
      </c>
      <c r="L81" s="226">
        <v>0.8</v>
      </c>
      <c r="M81" s="226">
        <v>0.7</v>
      </c>
      <c r="N81" s="226">
        <v>0.7</v>
      </c>
      <c r="O81" s="226">
        <v>0.6</v>
      </c>
      <c r="P81" s="226">
        <v>0.6</v>
      </c>
      <c r="Q81" s="226">
        <v>0.7</v>
      </c>
      <c r="R81" s="226">
        <v>0.8</v>
      </c>
      <c r="S81" s="226">
        <v>0.8</v>
      </c>
      <c r="T81" s="226">
        <v>0.8</v>
      </c>
      <c r="U81" s="226">
        <v>0.8</v>
      </c>
      <c r="V81" s="226">
        <v>0.8</v>
      </c>
      <c r="W81" s="225">
        <v>0.8</v>
      </c>
      <c r="X81" s="225">
        <v>0.8</v>
      </c>
      <c r="Y81" s="225">
        <v>0.8</v>
      </c>
      <c r="Z81" s="225">
        <v>0.8</v>
      </c>
      <c r="AA81" s="226">
        <v>0.8</v>
      </c>
      <c r="AB81" s="226">
        <v>0.6</v>
      </c>
      <c r="AC81" s="226">
        <v>0.8</v>
      </c>
      <c r="AD81" s="226">
        <v>0.8</v>
      </c>
      <c r="AE81" s="226">
        <v>0.1</v>
      </c>
      <c r="AF81" s="226">
        <v>0.1</v>
      </c>
      <c r="AG81" s="226">
        <v>0.1</v>
      </c>
      <c r="AH81" s="226">
        <v>0.1</v>
      </c>
      <c r="AI81" s="226">
        <v>0.8</v>
      </c>
      <c r="AJ81" s="226">
        <v>0.7</v>
      </c>
      <c r="AK81" s="226">
        <v>0.1</v>
      </c>
      <c r="AL81" s="226">
        <v>0.3</v>
      </c>
      <c r="AM81" s="226">
        <v>0.1</v>
      </c>
      <c r="AN81" s="226">
        <v>0.1</v>
      </c>
      <c r="AO81" s="226">
        <v>0.1</v>
      </c>
      <c r="AP81" s="226">
        <v>0.1</v>
      </c>
      <c r="AQ81" s="226">
        <v>0.1</v>
      </c>
      <c r="AR81" s="226">
        <v>0.1</v>
      </c>
      <c r="AS81" s="226">
        <v>0.1</v>
      </c>
      <c r="AT81" s="226">
        <v>0.7</v>
      </c>
      <c r="AU81" s="226">
        <v>0.3</v>
      </c>
      <c r="AV81" s="226">
        <v>0.3</v>
      </c>
      <c r="AW81" s="226">
        <v>0.3</v>
      </c>
      <c r="AX81" s="226">
        <v>0.8</v>
      </c>
      <c r="AY81" s="226">
        <v>0.8</v>
      </c>
      <c r="AZ81" s="226">
        <v>0.8</v>
      </c>
      <c r="BA81" s="226">
        <v>0.6</v>
      </c>
      <c r="BB81" s="226">
        <v>0.6</v>
      </c>
      <c r="BC81" s="226">
        <v>0.8</v>
      </c>
      <c r="BD81" s="226">
        <v>0.7</v>
      </c>
      <c r="BE81" s="226">
        <v>0.8</v>
      </c>
      <c r="BF81" s="226">
        <v>0.1</v>
      </c>
      <c r="BG81" s="226">
        <v>0.1</v>
      </c>
      <c r="BH81" s="226">
        <v>0.3</v>
      </c>
      <c r="BI81" s="226">
        <v>0.3</v>
      </c>
      <c r="BJ81" s="226">
        <v>0.3</v>
      </c>
      <c r="BK81" s="226">
        <v>0.3</v>
      </c>
      <c r="BL81" s="226">
        <v>0.3</v>
      </c>
      <c r="BM81" s="226">
        <v>0.3</v>
      </c>
      <c r="BN81" s="226">
        <v>0.7</v>
      </c>
      <c r="BO81" s="226">
        <v>0.7</v>
      </c>
      <c r="BP81" s="226">
        <v>0.8</v>
      </c>
      <c r="BQ81" s="226">
        <v>0.8</v>
      </c>
      <c r="BR81" s="226">
        <v>0.7</v>
      </c>
      <c r="BS81" s="226">
        <v>0.7</v>
      </c>
      <c r="BT81" s="226">
        <v>0.7</v>
      </c>
      <c r="BU81" s="226">
        <v>0.7</v>
      </c>
      <c r="BV81" s="226">
        <v>0.8</v>
      </c>
      <c r="BW81" s="226">
        <v>0.8</v>
      </c>
      <c r="BX81" s="226">
        <v>0.7</v>
      </c>
      <c r="BY81" s="226">
        <v>0.8</v>
      </c>
      <c r="BZ81" s="226">
        <v>0.8</v>
      </c>
      <c r="CA81" s="226">
        <v>0.8</v>
      </c>
      <c r="CB81" s="226">
        <v>0.8</v>
      </c>
      <c r="CC81" s="226">
        <v>0.8</v>
      </c>
      <c r="CD81" s="226">
        <v>0.8</v>
      </c>
      <c r="CE81" s="226">
        <v>0.8</v>
      </c>
      <c r="CF81" s="226">
        <v>0.8</v>
      </c>
      <c r="CG81" s="226">
        <v>0.8</v>
      </c>
      <c r="CH81" s="226">
        <v>0.8</v>
      </c>
      <c r="CI81" s="226">
        <v>0.8</v>
      </c>
      <c r="CJ81" s="226">
        <v>0.8</v>
      </c>
      <c r="CK81" s="226">
        <v>0.8</v>
      </c>
      <c r="CL81" s="226">
        <v>0.8</v>
      </c>
      <c r="CM81" s="226">
        <v>0.8</v>
      </c>
      <c r="CN81" s="226">
        <v>0.8</v>
      </c>
      <c r="CO81" s="226">
        <v>0.8</v>
      </c>
      <c r="CP81" s="226">
        <v>0.8</v>
      </c>
      <c r="CQ81" s="226">
        <v>0.8</v>
      </c>
      <c r="CR81" s="226">
        <v>0.8</v>
      </c>
      <c r="CS81" s="226">
        <v>0.8</v>
      </c>
      <c r="CT81" s="226">
        <v>0.8</v>
      </c>
      <c r="CU81" s="226">
        <v>0.8</v>
      </c>
      <c r="CV81" s="226">
        <v>0.8</v>
      </c>
      <c r="CW81" s="226">
        <v>0.8</v>
      </c>
      <c r="CX81" s="226">
        <v>0.8</v>
      </c>
      <c r="CY81" s="226">
        <v>0.8</v>
      </c>
      <c r="CZ81" s="226">
        <v>0.8</v>
      </c>
      <c r="DA81" s="226">
        <v>0.8</v>
      </c>
      <c r="DB81" s="226">
        <v>0.8</v>
      </c>
      <c r="DC81" s="226">
        <v>0.8</v>
      </c>
      <c r="DD81" s="226">
        <v>0.8</v>
      </c>
      <c r="DE81" s="226">
        <v>0.8</v>
      </c>
      <c r="DF81" s="226">
        <v>0.8</v>
      </c>
      <c r="DG81" s="226">
        <v>0.8</v>
      </c>
      <c r="DH81" s="226">
        <v>0.8</v>
      </c>
      <c r="DI81" s="226">
        <v>0.8</v>
      </c>
      <c r="DJ81" s="226">
        <v>0.8</v>
      </c>
      <c r="DK81" s="226">
        <v>0.8</v>
      </c>
      <c r="DL81" s="226">
        <v>0.1</v>
      </c>
      <c r="DM81" s="226">
        <v>0</v>
      </c>
      <c r="DN81" s="226">
        <v>0</v>
      </c>
      <c r="DO81" s="226">
        <v>0</v>
      </c>
      <c r="DP81" s="226">
        <v>0</v>
      </c>
      <c r="DQ81" s="226">
        <v>0</v>
      </c>
      <c r="DR81" s="226">
        <v>0</v>
      </c>
      <c r="DS81" s="226">
        <v>0</v>
      </c>
    </row>
    <row r="82" spans="1:123" x14ac:dyDescent="0.15">
      <c r="A82" s="156" t="s">
        <v>301</v>
      </c>
      <c r="B82">
        <v>0.8</v>
      </c>
      <c r="C82" s="226">
        <v>0.8</v>
      </c>
      <c r="D82" s="226">
        <v>0.8</v>
      </c>
      <c r="E82" s="226">
        <v>0.8</v>
      </c>
      <c r="F82" s="226">
        <v>0.8</v>
      </c>
      <c r="G82" s="226">
        <v>0.8</v>
      </c>
      <c r="H82" s="226">
        <v>0.8</v>
      </c>
      <c r="I82" s="226">
        <v>0.8</v>
      </c>
      <c r="J82" s="226">
        <v>0.8</v>
      </c>
      <c r="K82" s="226">
        <v>0.8</v>
      </c>
      <c r="L82" s="226">
        <v>0.8</v>
      </c>
      <c r="M82" s="226">
        <v>0.7</v>
      </c>
      <c r="N82" s="226">
        <v>0.7</v>
      </c>
      <c r="O82" s="226">
        <v>0.6</v>
      </c>
      <c r="P82" s="226">
        <v>0.6</v>
      </c>
      <c r="Q82" s="226">
        <v>0.7</v>
      </c>
      <c r="R82" s="226">
        <v>0.8</v>
      </c>
      <c r="S82" s="226">
        <v>0.8</v>
      </c>
      <c r="T82" s="226">
        <v>0.8</v>
      </c>
      <c r="U82" s="226">
        <v>0.8</v>
      </c>
      <c r="V82" s="226">
        <v>0.8</v>
      </c>
      <c r="W82" s="225">
        <v>0.8</v>
      </c>
      <c r="X82" s="225">
        <v>0.8</v>
      </c>
      <c r="Y82" s="225">
        <v>0.8</v>
      </c>
      <c r="Z82" s="225">
        <v>0.8</v>
      </c>
      <c r="AA82" s="226">
        <v>0.8</v>
      </c>
      <c r="AB82" s="226">
        <v>0.6</v>
      </c>
      <c r="AC82" s="226">
        <v>0.8</v>
      </c>
      <c r="AD82" s="226">
        <v>0.8</v>
      </c>
      <c r="AE82" s="226">
        <v>0.1</v>
      </c>
      <c r="AF82" s="226">
        <v>0.1</v>
      </c>
      <c r="AG82" s="226">
        <v>0.1</v>
      </c>
      <c r="AH82" s="226">
        <v>0.1</v>
      </c>
      <c r="AI82" s="226">
        <v>0.8</v>
      </c>
      <c r="AJ82" s="226">
        <v>0.7</v>
      </c>
      <c r="AK82" s="226">
        <v>0.1</v>
      </c>
      <c r="AL82" s="226">
        <v>0.3</v>
      </c>
      <c r="AM82" s="226">
        <v>0.1</v>
      </c>
      <c r="AN82" s="226">
        <v>0.1</v>
      </c>
      <c r="AO82" s="226">
        <v>0.1</v>
      </c>
      <c r="AP82" s="226">
        <v>0.1</v>
      </c>
      <c r="AQ82" s="226">
        <v>0.1</v>
      </c>
      <c r="AR82" s="226">
        <v>0.1</v>
      </c>
      <c r="AS82" s="226">
        <v>0.1</v>
      </c>
      <c r="AT82" s="226">
        <v>0.7</v>
      </c>
      <c r="AU82" s="226">
        <v>0.3</v>
      </c>
      <c r="AV82" s="226">
        <v>0.3</v>
      </c>
      <c r="AW82" s="226">
        <v>0.3</v>
      </c>
      <c r="AX82" s="226">
        <v>0.8</v>
      </c>
      <c r="AY82" s="226">
        <v>0.8</v>
      </c>
      <c r="AZ82" s="226">
        <v>0.8</v>
      </c>
      <c r="BA82" s="226">
        <v>0.6</v>
      </c>
      <c r="BB82" s="226">
        <v>0.6</v>
      </c>
      <c r="BC82" s="226">
        <v>0.8</v>
      </c>
      <c r="BD82" s="226">
        <v>0.7</v>
      </c>
      <c r="BE82" s="226">
        <v>0.8</v>
      </c>
      <c r="BF82" s="226">
        <v>0.1</v>
      </c>
      <c r="BG82" s="226">
        <v>0.1</v>
      </c>
      <c r="BH82" s="226">
        <v>0.3</v>
      </c>
      <c r="BI82" s="226">
        <v>0.3</v>
      </c>
      <c r="BJ82" s="226">
        <v>0.3</v>
      </c>
      <c r="BK82" s="226">
        <v>0.3</v>
      </c>
      <c r="BL82" s="226">
        <v>0.3</v>
      </c>
      <c r="BM82" s="226">
        <v>0.3</v>
      </c>
      <c r="BN82" s="226">
        <v>0.7</v>
      </c>
      <c r="BO82" s="226">
        <v>0.7</v>
      </c>
      <c r="BP82" s="226">
        <v>0.8</v>
      </c>
      <c r="BQ82" s="226">
        <v>0.8</v>
      </c>
      <c r="BR82" s="226">
        <v>0.7</v>
      </c>
      <c r="BS82" s="226">
        <v>0.7</v>
      </c>
      <c r="BT82" s="226">
        <v>0.7</v>
      </c>
      <c r="BU82" s="226">
        <v>0.7</v>
      </c>
      <c r="BV82" s="226">
        <v>0.8</v>
      </c>
      <c r="BW82" s="226">
        <v>0.8</v>
      </c>
      <c r="BX82" s="226">
        <v>0.7</v>
      </c>
      <c r="BY82" s="226">
        <v>0.8</v>
      </c>
      <c r="BZ82" s="226">
        <v>0.8</v>
      </c>
      <c r="CA82" s="226">
        <v>0.8</v>
      </c>
      <c r="CB82" s="226">
        <v>0.8</v>
      </c>
      <c r="CC82" s="226">
        <v>0.8</v>
      </c>
      <c r="CD82" s="226">
        <v>0.8</v>
      </c>
      <c r="CE82" s="226">
        <v>0.8</v>
      </c>
      <c r="CF82" s="226">
        <v>0.8</v>
      </c>
      <c r="CG82" s="226">
        <v>0.8</v>
      </c>
      <c r="CH82" s="226">
        <v>0.8</v>
      </c>
      <c r="CI82" s="226">
        <v>0.8</v>
      </c>
      <c r="CJ82" s="226">
        <v>0.8</v>
      </c>
      <c r="CK82" s="226">
        <v>0.8</v>
      </c>
      <c r="CL82" s="226">
        <v>0.8</v>
      </c>
      <c r="CM82" s="226">
        <v>0.8</v>
      </c>
      <c r="CN82" s="226">
        <v>0.8</v>
      </c>
      <c r="CO82" s="226">
        <v>0.8</v>
      </c>
      <c r="CP82" s="226">
        <v>0.8</v>
      </c>
      <c r="CQ82" s="226">
        <v>0.8</v>
      </c>
      <c r="CR82" s="226">
        <v>0.8</v>
      </c>
      <c r="CS82" s="226">
        <v>0.8</v>
      </c>
      <c r="CT82" s="226">
        <v>0.8</v>
      </c>
      <c r="CU82" s="226">
        <v>0.8</v>
      </c>
      <c r="CV82" s="226">
        <v>0.8</v>
      </c>
      <c r="CW82" s="226">
        <v>0.8</v>
      </c>
      <c r="CX82" s="226">
        <v>0.8</v>
      </c>
      <c r="CY82" s="226">
        <v>0.8</v>
      </c>
      <c r="CZ82" s="226">
        <v>0.8</v>
      </c>
      <c r="DA82" s="226">
        <v>0.8</v>
      </c>
      <c r="DB82" s="226">
        <v>0.8</v>
      </c>
      <c r="DC82" s="226">
        <v>0.8</v>
      </c>
      <c r="DD82" s="226">
        <v>0.8</v>
      </c>
      <c r="DE82" s="226">
        <v>0.8</v>
      </c>
      <c r="DF82" s="226">
        <v>0.8</v>
      </c>
      <c r="DG82" s="226">
        <v>0.8</v>
      </c>
      <c r="DH82" s="226">
        <v>0.8</v>
      </c>
      <c r="DI82" s="226">
        <v>0.8</v>
      </c>
      <c r="DJ82" s="226">
        <v>0.8</v>
      </c>
      <c r="DK82" s="226">
        <v>0.8</v>
      </c>
      <c r="DL82" s="226">
        <v>0.1</v>
      </c>
      <c r="DM82" s="226">
        <v>0</v>
      </c>
      <c r="DN82" s="226">
        <v>0</v>
      </c>
      <c r="DO82" s="226">
        <v>0</v>
      </c>
      <c r="DP82" s="226">
        <v>0</v>
      </c>
      <c r="DQ82" s="226">
        <v>0</v>
      </c>
      <c r="DR82" s="226">
        <v>0</v>
      </c>
      <c r="DS82" s="226">
        <v>0</v>
      </c>
    </row>
    <row r="83" spans="1:123" x14ac:dyDescent="0.15">
      <c r="A83" s="156" t="s">
        <v>302</v>
      </c>
      <c r="B83">
        <v>0.8</v>
      </c>
      <c r="C83" s="226">
        <v>0.8</v>
      </c>
      <c r="D83" s="226">
        <v>0.8</v>
      </c>
      <c r="E83" s="226">
        <v>0.8</v>
      </c>
      <c r="F83" s="226">
        <v>0.8</v>
      </c>
      <c r="G83" s="226">
        <v>0.8</v>
      </c>
      <c r="H83" s="226">
        <v>0.8</v>
      </c>
      <c r="I83" s="226">
        <v>0.8</v>
      </c>
      <c r="J83" s="226">
        <v>0.8</v>
      </c>
      <c r="K83" s="226">
        <v>0.8</v>
      </c>
      <c r="L83" s="226">
        <v>0.8</v>
      </c>
      <c r="M83" s="226">
        <v>0.7</v>
      </c>
      <c r="N83" s="226">
        <v>0.7</v>
      </c>
      <c r="O83" s="226">
        <v>0.6</v>
      </c>
      <c r="P83" s="226">
        <v>0.6</v>
      </c>
      <c r="Q83" s="226">
        <v>0.7</v>
      </c>
      <c r="R83" s="226">
        <v>0.8</v>
      </c>
      <c r="S83" s="226">
        <v>0.8</v>
      </c>
      <c r="T83" s="226">
        <v>0.8</v>
      </c>
      <c r="U83" s="226">
        <v>0.8</v>
      </c>
      <c r="V83" s="226">
        <v>0.8</v>
      </c>
      <c r="W83" s="225">
        <v>0.8</v>
      </c>
      <c r="X83" s="225">
        <v>0.8</v>
      </c>
      <c r="Y83" s="225">
        <v>0.8</v>
      </c>
      <c r="Z83" s="225">
        <v>0.8</v>
      </c>
      <c r="AA83" s="226">
        <v>0.8</v>
      </c>
      <c r="AB83" s="226">
        <v>0.6</v>
      </c>
      <c r="AC83" s="226">
        <v>0.8</v>
      </c>
      <c r="AD83" s="226">
        <v>0.8</v>
      </c>
      <c r="AE83" s="226">
        <v>0.1</v>
      </c>
      <c r="AF83" s="226">
        <v>0.1</v>
      </c>
      <c r="AG83" s="226">
        <v>0.1</v>
      </c>
      <c r="AH83" s="226">
        <v>0.1</v>
      </c>
      <c r="AI83" s="226">
        <v>0.8</v>
      </c>
      <c r="AJ83" s="226">
        <v>0.7</v>
      </c>
      <c r="AK83" s="226">
        <v>0.1</v>
      </c>
      <c r="AL83" s="226">
        <v>0.3</v>
      </c>
      <c r="AM83" s="226">
        <v>0.1</v>
      </c>
      <c r="AN83" s="226">
        <v>0.1</v>
      </c>
      <c r="AO83" s="226">
        <v>0.1</v>
      </c>
      <c r="AP83" s="226">
        <v>0.1</v>
      </c>
      <c r="AQ83" s="226">
        <v>0.1</v>
      </c>
      <c r="AR83" s="226">
        <v>0.1</v>
      </c>
      <c r="AS83" s="226">
        <v>0.1</v>
      </c>
      <c r="AT83" s="226">
        <v>0.7</v>
      </c>
      <c r="AU83" s="226">
        <v>0.3</v>
      </c>
      <c r="AV83" s="226">
        <v>0.3</v>
      </c>
      <c r="AW83" s="226">
        <v>0.3</v>
      </c>
      <c r="AX83" s="226">
        <v>0.8</v>
      </c>
      <c r="AY83" s="226">
        <v>0.8</v>
      </c>
      <c r="AZ83" s="226">
        <v>0.8</v>
      </c>
      <c r="BA83" s="226">
        <v>0.6</v>
      </c>
      <c r="BB83" s="226">
        <v>0.6</v>
      </c>
      <c r="BC83" s="226">
        <v>0.8</v>
      </c>
      <c r="BD83" s="226">
        <v>0.7</v>
      </c>
      <c r="BE83" s="226">
        <v>0.8</v>
      </c>
      <c r="BF83" s="226">
        <v>0.1</v>
      </c>
      <c r="BG83" s="226">
        <v>0.1</v>
      </c>
      <c r="BH83" s="226">
        <v>0.3</v>
      </c>
      <c r="BI83" s="226">
        <v>0.3</v>
      </c>
      <c r="BJ83" s="226">
        <v>0.3</v>
      </c>
      <c r="BK83" s="226">
        <v>0.3</v>
      </c>
      <c r="BL83" s="226">
        <v>0.3</v>
      </c>
      <c r="BM83" s="226">
        <v>0.3</v>
      </c>
      <c r="BN83" s="226">
        <v>0.7</v>
      </c>
      <c r="BO83" s="226">
        <v>0.7</v>
      </c>
      <c r="BP83" s="226">
        <v>0.8</v>
      </c>
      <c r="BQ83" s="226">
        <v>0.8</v>
      </c>
      <c r="BR83" s="226">
        <v>0.7</v>
      </c>
      <c r="BS83" s="226">
        <v>0.7</v>
      </c>
      <c r="BT83" s="226">
        <v>0.7</v>
      </c>
      <c r="BU83" s="226">
        <v>0.7</v>
      </c>
      <c r="BV83" s="226">
        <v>0.8</v>
      </c>
      <c r="BW83" s="226">
        <v>0.8</v>
      </c>
      <c r="BX83" s="226">
        <v>0.7</v>
      </c>
      <c r="BY83" s="226">
        <v>0.8</v>
      </c>
      <c r="BZ83" s="226">
        <v>0.8</v>
      </c>
      <c r="CA83" s="226">
        <v>0.8</v>
      </c>
      <c r="CB83" s="226">
        <v>0.8</v>
      </c>
      <c r="CC83" s="226">
        <v>0.8</v>
      </c>
      <c r="CD83" s="226">
        <v>0.8</v>
      </c>
      <c r="CE83" s="226">
        <v>0.8</v>
      </c>
      <c r="CF83" s="226">
        <v>0.8</v>
      </c>
      <c r="CG83" s="226">
        <v>0.8</v>
      </c>
      <c r="CH83" s="226">
        <v>0.8</v>
      </c>
      <c r="CI83" s="226">
        <v>0.8</v>
      </c>
      <c r="CJ83" s="226">
        <v>0.8</v>
      </c>
      <c r="CK83" s="226">
        <v>0.8</v>
      </c>
      <c r="CL83" s="226">
        <v>0.8</v>
      </c>
      <c r="CM83" s="226">
        <v>0.8</v>
      </c>
      <c r="CN83" s="226">
        <v>0.8</v>
      </c>
      <c r="CO83" s="226">
        <v>0.8</v>
      </c>
      <c r="CP83" s="226">
        <v>0.8</v>
      </c>
      <c r="CQ83" s="226">
        <v>0.8</v>
      </c>
      <c r="CR83" s="226">
        <v>0.8</v>
      </c>
      <c r="CS83" s="226">
        <v>0.8</v>
      </c>
      <c r="CT83" s="226">
        <v>0.8</v>
      </c>
      <c r="CU83" s="226">
        <v>0.8</v>
      </c>
      <c r="CV83" s="226">
        <v>0.8</v>
      </c>
      <c r="CW83" s="226">
        <v>0.8</v>
      </c>
      <c r="CX83" s="226">
        <v>0.8</v>
      </c>
      <c r="CY83" s="226">
        <v>0.8</v>
      </c>
      <c r="CZ83" s="226">
        <v>0.8</v>
      </c>
      <c r="DA83" s="226">
        <v>0.8</v>
      </c>
      <c r="DB83" s="226">
        <v>0.8</v>
      </c>
      <c r="DC83" s="226">
        <v>0.8</v>
      </c>
      <c r="DD83" s="226">
        <v>0.8</v>
      </c>
      <c r="DE83" s="226">
        <v>0.8</v>
      </c>
      <c r="DF83" s="226">
        <v>0.8</v>
      </c>
      <c r="DG83" s="226">
        <v>0.8</v>
      </c>
      <c r="DH83" s="226">
        <v>0.8</v>
      </c>
      <c r="DI83" s="226">
        <v>0.8</v>
      </c>
      <c r="DJ83" s="226">
        <v>0.8</v>
      </c>
      <c r="DK83" s="226">
        <v>0.8</v>
      </c>
      <c r="DL83" s="226">
        <v>0.1</v>
      </c>
      <c r="DM83" s="226">
        <v>0</v>
      </c>
      <c r="DN83" s="226">
        <v>0</v>
      </c>
      <c r="DO83" s="226">
        <v>0</v>
      </c>
      <c r="DP83" s="226">
        <v>0</v>
      </c>
      <c r="DQ83" s="226">
        <v>0</v>
      </c>
      <c r="DR83" s="226">
        <v>0</v>
      </c>
      <c r="DS83" s="226">
        <v>0</v>
      </c>
    </row>
    <row r="84" spans="1:123" x14ac:dyDescent="0.15">
      <c r="A84" s="156" t="s">
        <v>303</v>
      </c>
      <c r="B84">
        <v>0.8</v>
      </c>
      <c r="C84" s="226">
        <v>0.8</v>
      </c>
      <c r="D84" s="226">
        <v>0.8</v>
      </c>
      <c r="E84" s="226">
        <v>0.8</v>
      </c>
      <c r="F84" s="226">
        <v>0.8</v>
      </c>
      <c r="G84" s="226">
        <v>0.8</v>
      </c>
      <c r="H84" s="226">
        <v>0.8</v>
      </c>
      <c r="I84" s="226">
        <v>0.8</v>
      </c>
      <c r="J84" s="226">
        <v>0.8</v>
      </c>
      <c r="K84" s="226">
        <v>0.8</v>
      </c>
      <c r="L84" s="226">
        <v>0.8</v>
      </c>
      <c r="M84" s="226">
        <v>0.7</v>
      </c>
      <c r="N84" s="226">
        <v>0.7</v>
      </c>
      <c r="O84" s="226">
        <v>0.6</v>
      </c>
      <c r="P84" s="226">
        <v>0.6</v>
      </c>
      <c r="Q84" s="226">
        <v>0.7</v>
      </c>
      <c r="R84" s="226">
        <v>0.8</v>
      </c>
      <c r="S84" s="226">
        <v>0.8</v>
      </c>
      <c r="T84" s="226">
        <v>0.8</v>
      </c>
      <c r="U84" s="226">
        <v>0.8</v>
      </c>
      <c r="V84" s="226">
        <v>0.8</v>
      </c>
      <c r="W84" s="225">
        <v>0.8</v>
      </c>
      <c r="X84" s="225">
        <v>0.8</v>
      </c>
      <c r="Y84" s="225">
        <v>0.8</v>
      </c>
      <c r="Z84" s="225">
        <v>0.8</v>
      </c>
      <c r="AA84" s="226">
        <v>0.8</v>
      </c>
      <c r="AB84" s="226">
        <v>0.6</v>
      </c>
      <c r="AC84" s="226">
        <v>0.8</v>
      </c>
      <c r="AD84" s="226">
        <v>0.8</v>
      </c>
      <c r="AE84" s="226">
        <v>0.1</v>
      </c>
      <c r="AF84" s="226">
        <v>0.1</v>
      </c>
      <c r="AG84" s="226">
        <v>0.1</v>
      </c>
      <c r="AH84" s="226">
        <v>0.1</v>
      </c>
      <c r="AI84" s="226">
        <v>0.8</v>
      </c>
      <c r="AJ84" s="226">
        <v>0.7</v>
      </c>
      <c r="AK84" s="226">
        <v>0.1</v>
      </c>
      <c r="AL84" s="226">
        <v>0.3</v>
      </c>
      <c r="AM84" s="226">
        <v>0.1</v>
      </c>
      <c r="AN84" s="226">
        <v>0.1</v>
      </c>
      <c r="AO84" s="226">
        <v>0.1</v>
      </c>
      <c r="AP84" s="226">
        <v>0.1</v>
      </c>
      <c r="AQ84" s="226">
        <v>0.1</v>
      </c>
      <c r="AR84" s="226">
        <v>0.1</v>
      </c>
      <c r="AS84" s="226">
        <v>0.1</v>
      </c>
      <c r="AT84" s="226">
        <v>0.7</v>
      </c>
      <c r="AU84" s="226">
        <v>0.3</v>
      </c>
      <c r="AV84" s="226">
        <v>0.3</v>
      </c>
      <c r="AW84" s="226">
        <v>0.3</v>
      </c>
      <c r="AX84" s="226">
        <v>0.8</v>
      </c>
      <c r="AY84" s="226">
        <v>0.8</v>
      </c>
      <c r="AZ84" s="226">
        <v>0.8</v>
      </c>
      <c r="BA84" s="226">
        <v>0.6</v>
      </c>
      <c r="BB84" s="226">
        <v>0.6</v>
      </c>
      <c r="BC84" s="226">
        <v>0.8</v>
      </c>
      <c r="BD84" s="226">
        <v>0.7</v>
      </c>
      <c r="BE84" s="226">
        <v>0.8</v>
      </c>
      <c r="BF84" s="226">
        <v>0.1</v>
      </c>
      <c r="BG84" s="226">
        <v>0.1</v>
      </c>
      <c r="BH84" s="226">
        <v>0.3</v>
      </c>
      <c r="BI84" s="226">
        <v>0.3</v>
      </c>
      <c r="BJ84" s="226">
        <v>0.3</v>
      </c>
      <c r="BK84" s="226">
        <v>0.3</v>
      </c>
      <c r="BL84" s="226">
        <v>0.3</v>
      </c>
      <c r="BM84" s="226">
        <v>0.3</v>
      </c>
      <c r="BN84" s="226">
        <v>0.7</v>
      </c>
      <c r="BO84" s="226">
        <v>0.7</v>
      </c>
      <c r="BP84" s="226">
        <v>0.8</v>
      </c>
      <c r="BQ84" s="226">
        <v>0.8</v>
      </c>
      <c r="BR84" s="226">
        <v>0.7</v>
      </c>
      <c r="BS84" s="226">
        <v>0.7</v>
      </c>
      <c r="BT84" s="226">
        <v>0.7</v>
      </c>
      <c r="BU84" s="226">
        <v>0.7</v>
      </c>
      <c r="BV84" s="226">
        <v>0.8</v>
      </c>
      <c r="BW84" s="226">
        <v>0.8</v>
      </c>
      <c r="BX84" s="226">
        <v>0.7</v>
      </c>
      <c r="BY84" s="226">
        <v>0.8</v>
      </c>
      <c r="BZ84" s="226">
        <v>0.8</v>
      </c>
      <c r="CA84" s="226">
        <v>0.8</v>
      </c>
      <c r="CB84" s="226">
        <v>0.8</v>
      </c>
      <c r="CC84" s="226">
        <v>0.8</v>
      </c>
      <c r="CD84" s="226">
        <v>0.8</v>
      </c>
      <c r="CE84" s="226">
        <v>0.8</v>
      </c>
      <c r="CF84" s="226">
        <v>0.8</v>
      </c>
      <c r="CG84" s="226">
        <v>0.8</v>
      </c>
      <c r="CH84" s="226">
        <v>0.8</v>
      </c>
      <c r="CI84" s="226">
        <v>0.8</v>
      </c>
      <c r="CJ84" s="226">
        <v>0.8</v>
      </c>
      <c r="CK84" s="226">
        <v>0.8</v>
      </c>
      <c r="CL84" s="226">
        <v>0.8</v>
      </c>
      <c r="CM84" s="226">
        <v>0.8</v>
      </c>
      <c r="CN84" s="226">
        <v>0.8</v>
      </c>
      <c r="CO84" s="226">
        <v>0.8</v>
      </c>
      <c r="CP84" s="226">
        <v>0.8</v>
      </c>
      <c r="CQ84" s="226">
        <v>0.8</v>
      </c>
      <c r="CR84" s="226">
        <v>0.8</v>
      </c>
      <c r="CS84" s="226">
        <v>0.8</v>
      </c>
      <c r="CT84" s="226">
        <v>0.8</v>
      </c>
      <c r="CU84" s="226">
        <v>0.8</v>
      </c>
      <c r="CV84" s="226">
        <v>0.8</v>
      </c>
      <c r="CW84" s="226">
        <v>0.8</v>
      </c>
      <c r="CX84" s="226">
        <v>0.8</v>
      </c>
      <c r="CY84" s="226">
        <v>0.8</v>
      </c>
      <c r="CZ84" s="226">
        <v>0.8</v>
      </c>
      <c r="DA84" s="226">
        <v>0.8</v>
      </c>
      <c r="DB84" s="226">
        <v>0.8</v>
      </c>
      <c r="DC84" s="226">
        <v>0.8</v>
      </c>
      <c r="DD84" s="226">
        <v>0.8</v>
      </c>
      <c r="DE84" s="226">
        <v>0.8</v>
      </c>
      <c r="DF84" s="226">
        <v>0.8</v>
      </c>
      <c r="DG84" s="226">
        <v>0.8</v>
      </c>
      <c r="DH84" s="226">
        <v>0.8</v>
      </c>
      <c r="DI84" s="226">
        <v>0.8</v>
      </c>
      <c r="DJ84" s="226">
        <v>0.8</v>
      </c>
      <c r="DK84" s="226">
        <v>0.8</v>
      </c>
      <c r="DL84" s="226">
        <v>0.1</v>
      </c>
      <c r="DM84" s="226">
        <v>0</v>
      </c>
      <c r="DN84" s="226">
        <v>0</v>
      </c>
      <c r="DO84" s="226">
        <v>0</v>
      </c>
      <c r="DP84" s="226">
        <v>0</v>
      </c>
      <c r="DQ84" s="226">
        <v>0</v>
      </c>
      <c r="DR84" s="226">
        <v>0</v>
      </c>
      <c r="DS84" s="226">
        <v>0</v>
      </c>
    </row>
    <row r="85" spans="1:123" x14ac:dyDescent="0.15">
      <c r="A85" s="156" t="s">
        <v>304</v>
      </c>
      <c r="B85">
        <v>0.8</v>
      </c>
      <c r="C85" s="226">
        <v>0.8</v>
      </c>
      <c r="D85" s="226">
        <v>0.8</v>
      </c>
      <c r="E85" s="226">
        <v>0.8</v>
      </c>
      <c r="F85" s="226">
        <v>0.8</v>
      </c>
      <c r="G85" s="226">
        <v>0.8</v>
      </c>
      <c r="H85" s="226">
        <v>0.8</v>
      </c>
      <c r="I85" s="226">
        <v>0.8</v>
      </c>
      <c r="J85" s="226">
        <v>0.8</v>
      </c>
      <c r="K85" s="226">
        <v>0.8</v>
      </c>
      <c r="L85" s="226">
        <v>0.8</v>
      </c>
      <c r="M85" s="226">
        <v>0.7</v>
      </c>
      <c r="N85" s="226">
        <v>0.7</v>
      </c>
      <c r="O85" s="226">
        <v>0.6</v>
      </c>
      <c r="P85" s="226">
        <v>0.6</v>
      </c>
      <c r="Q85" s="226">
        <v>0.7</v>
      </c>
      <c r="R85" s="226">
        <v>0.8</v>
      </c>
      <c r="S85" s="226">
        <v>0.8</v>
      </c>
      <c r="T85" s="226">
        <v>0.8</v>
      </c>
      <c r="U85" s="226">
        <v>0.8</v>
      </c>
      <c r="V85" s="226">
        <v>0.8</v>
      </c>
      <c r="W85" s="225">
        <v>0.8</v>
      </c>
      <c r="X85" s="225">
        <v>0.8</v>
      </c>
      <c r="Y85" s="225">
        <v>0.8</v>
      </c>
      <c r="Z85" s="225">
        <v>0.8</v>
      </c>
      <c r="AA85" s="226">
        <v>0.8</v>
      </c>
      <c r="AB85" s="226">
        <v>0.6</v>
      </c>
      <c r="AC85" s="226">
        <v>0.8</v>
      </c>
      <c r="AD85" s="226">
        <v>0.8</v>
      </c>
      <c r="AE85" s="226">
        <v>0.1</v>
      </c>
      <c r="AF85" s="226">
        <v>0.1</v>
      </c>
      <c r="AG85" s="226">
        <v>0.1</v>
      </c>
      <c r="AH85" s="226">
        <v>0.1</v>
      </c>
      <c r="AI85" s="226">
        <v>0.8</v>
      </c>
      <c r="AJ85" s="226">
        <v>0.7</v>
      </c>
      <c r="AK85" s="226">
        <v>0.1</v>
      </c>
      <c r="AL85" s="226">
        <v>0.3</v>
      </c>
      <c r="AM85" s="226">
        <v>0.1</v>
      </c>
      <c r="AN85" s="226">
        <v>0.1</v>
      </c>
      <c r="AO85" s="226">
        <v>0.1</v>
      </c>
      <c r="AP85" s="226">
        <v>0.1</v>
      </c>
      <c r="AQ85" s="226">
        <v>0.1</v>
      </c>
      <c r="AR85" s="226">
        <v>0.1</v>
      </c>
      <c r="AS85" s="226">
        <v>0.1</v>
      </c>
      <c r="AT85" s="226">
        <v>0.7</v>
      </c>
      <c r="AU85" s="226">
        <v>0.3</v>
      </c>
      <c r="AV85" s="226">
        <v>0.3</v>
      </c>
      <c r="AW85" s="226">
        <v>0.3</v>
      </c>
      <c r="AX85" s="226">
        <v>0.8</v>
      </c>
      <c r="AY85" s="226">
        <v>0.8</v>
      </c>
      <c r="AZ85" s="226">
        <v>0.8</v>
      </c>
      <c r="BA85" s="226">
        <v>0.6</v>
      </c>
      <c r="BB85" s="226">
        <v>0.6</v>
      </c>
      <c r="BC85" s="226">
        <v>0.8</v>
      </c>
      <c r="BD85" s="226">
        <v>0.7</v>
      </c>
      <c r="BE85" s="226">
        <v>0.8</v>
      </c>
      <c r="BF85" s="226">
        <v>0.1</v>
      </c>
      <c r="BG85" s="226">
        <v>0.1</v>
      </c>
      <c r="BH85" s="226">
        <v>0.3</v>
      </c>
      <c r="BI85" s="226">
        <v>0.3</v>
      </c>
      <c r="BJ85" s="226">
        <v>0.3</v>
      </c>
      <c r="BK85" s="226">
        <v>0.3</v>
      </c>
      <c r="BL85" s="226">
        <v>0.3</v>
      </c>
      <c r="BM85" s="226">
        <v>0.3</v>
      </c>
      <c r="BN85" s="226">
        <v>0.7</v>
      </c>
      <c r="BO85" s="226">
        <v>0.7</v>
      </c>
      <c r="BP85" s="226">
        <v>0.8</v>
      </c>
      <c r="BQ85" s="226">
        <v>0.8</v>
      </c>
      <c r="BR85" s="226">
        <v>0.7</v>
      </c>
      <c r="BS85" s="226">
        <v>0.7</v>
      </c>
      <c r="BT85" s="226">
        <v>0.7</v>
      </c>
      <c r="BU85" s="226">
        <v>0.7</v>
      </c>
      <c r="BV85" s="226">
        <v>0.8</v>
      </c>
      <c r="BW85" s="226">
        <v>0.8</v>
      </c>
      <c r="BX85" s="226">
        <v>0.7</v>
      </c>
      <c r="BY85" s="226">
        <v>0.8</v>
      </c>
      <c r="BZ85" s="226">
        <v>0.8</v>
      </c>
      <c r="CA85" s="226">
        <v>0.8</v>
      </c>
      <c r="CB85" s="226">
        <v>0.8</v>
      </c>
      <c r="CC85" s="226">
        <v>0.8</v>
      </c>
      <c r="CD85" s="226">
        <v>0.8</v>
      </c>
      <c r="CE85" s="226">
        <v>0.8</v>
      </c>
      <c r="CF85" s="226">
        <v>0.8</v>
      </c>
      <c r="CG85" s="226">
        <v>0.8</v>
      </c>
      <c r="CH85" s="226">
        <v>0.8</v>
      </c>
      <c r="CI85" s="226">
        <v>0.8</v>
      </c>
      <c r="CJ85" s="226">
        <v>0.8</v>
      </c>
      <c r="CK85" s="226">
        <v>0.8</v>
      </c>
      <c r="CL85" s="226">
        <v>0.8</v>
      </c>
      <c r="CM85" s="226">
        <v>0.8</v>
      </c>
      <c r="CN85" s="226">
        <v>0.8</v>
      </c>
      <c r="CO85" s="226">
        <v>0.8</v>
      </c>
      <c r="CP85" s="226">
        <v>0.8</v>
      </c>
      <c r="CQ85" s="226">
        <v>0.8</v>
      </c>
      <c r="CR85" s="226">
        <v>0.8</v>
      </c>
      <c r="CS85" s="226">
        <v>0.8</v>
      </c>
      <c r="CT85" s="226">
        <v>0.8</v>
      </c>
      <c r="CU85" s="226">
        <v>0.8</v>
      </c>
      <c r="CV85" s="226">
        <v>0.8</v>
      </c>
      <c r="CW85" s="226">
        <v>0.8</v>
      </c>
      <c r="CX85" s="226">
        <v>0.8</v>
      </c>
      <c r="CY85" s="226">
        <v>0.8</v>
      </c>
      <c r="CZ85" s="226">
        <v>0.8</v>
      </c>
      <c r="DA85" s="226">
        <v>0.8</v>
      </c>
      <c r="DB85" s="226">
        <v>0.8</v>
      </c>
      <c r="DC85" s="226">
        <v>0.8</v>
      </c>
      <c r="DD85" s="226">
        <v>0.8</v>
      </c>
      <c r="DE85" s="226">
        <v>0.8</v>
      </c>
      <c r="DF85" s="226">
        <v>0.8</v>
      </c>
      <c r="DG85" s="226">
        <v>0.8</v>
      </c>
      <c r="DH85" s="226">
        <v>0.8</v>
      </c>
      <c r="DI85" s="226">
        <v>0.8</v>
      </c>
      <c r="DJ85" s="226">
        <v>0.8</v>
      </c>
      <c r="DK85" s="226">
        <v>0.8</v>
      </c>
      <c r="DL85" s="226">
        <v>0.1</v>
      </c>
      <c r="DM85" s="226">
        <v>0</v>
      </c>
      <c r="DN85" s="226">
        <v>0</v>
      </c>
      <c r="DO85" s="226">
        <v>0</v>
      </c>
      <c r="DP85" s="226">
        <v>0</v>
      </c>
      <c r="DQ85" s="226">
        <v>0</v>
      </c>
      <c r="DR85" s="226">
        <v>0</v>
      </c>
      <c r="DS85" s="226">
        <v>0</v>
      </c>
    </row>
    <row r="86" spans="1:123" x14ac:dyDescent="0.15">
      <c r="A86" s="156" t="s">
        <v>305</v>
      </c>
      <c r="B86">
        <v>0.8</v>
      </c>
      <c r="C86" s="226">
        <v>0.8</v>
      </c>
      <c r="D86" s="226">
        <v>0.8</v>
      </c>
      <c r="E86" s="226">
        <v>0.8</v>
      </c>
      <c r="F86" s="226">
        <v>0.8</v>
      </c>
      <c r="G86" s="226">
        <v>0.8</v>
      </c>
      <c r="H86" s="226">
        <v>0.8</v>
      </c>
      <c r="I86" s="226">
        <v>0.8</v>
      </c>
      <c r="J86" s="226">
        <v>0.8</v>
      </c>
      <c r="K86" s="226">
        <v>0.8</v>
      </c>
      <c r="L86" s="226">
        <v>0.8</v>
      </c>
      <c r="M86" s="226">
        <v>0.7</v>
      </c>
      <c r="N86" s="226">
        <v>0.7</v>
      </c>
      <c r="O86" s="226">
        <v>0.6</v>
      </c>
      <c r="P86" s="226">
        <v>0.6</v>
      </c>
      <c r="Q86" s="226">
        <v>0.7</v>
      </c>
      <c r="R86" s="226">
        <v>0.8</v>
      </c>
      <c r="S86" s="226">
        <v>0.8</v>
      </c>
      <c r="T86" s="226">
        <v>0.8</v>
      </c>
      <c r="U86" s="226">
        <v>0.8</v>
      </c>
      <c r="V86" s="226">
        <v>0.8</v>
      </c>
      <c r="W86" s="225">
        <v>0.8</v>
      </c>
      <c r="X86" s="225">
        <v>0.8</v>
      </c>
      <c r="Y86" s="225">
        <v>0.8</v>
      </c>
      <c r="Z86" s="225">
        <v>0.8</v>
      </c>
      <c r="AA86" s="226">
        <v>0.8</v>
      </c>
      <c r="AB86" s="226">
        <v>0.6</v>
      </c>
      <c r="AC86" s="226">
        <v>0.8</v>
      </c>
      <c r="AD86" s="226">
        <v>0.8</v>
      </c>
      <c r="AE86" s="226">
        <v>0.1</v>
      </c>
      <c r="AF86" s="226">
        <v>0.1</v>
      </c>
      <c r="AG86" s="226">
        <v>0.1</v>
      </c>
      <c r="AH86" s="226">
        <v>0.1</v>
      </c>
      <c r="AI86" s="226">
        <v>0.8</v>
      </c>
      <c r="AJ86" s="226">
        <v>0.7</v>
      </c>
      <c r="AK86" s="226">
        <v>0.1</v>
      </c>
      <c r="AL86" s="226">
        <v>0.3</v>
      </c>
      <c r="AM86" s="226">
        <v>0.1</v>
      </c>
      <c r="AN86" s="226">
        <v>0.1</v>
      </c>
      <c r="AO86" s="226">
        <v>0.1</v>
      </c>
      <c r="AP86" s="226">
        <v>0.1</v>
      </c>
      <c r="AQ86" s="226">
        <v>0.1</v>
      </c>
      <c r="AR86" s="226">
        <v>0.1</v>
      </c>
      <c r="AS86" s="226">
        <v>0.1</v>
      </c>
      <c r="AT86" s="226">
        <v>0.7</v>
      </c>
      <c r="AU86" s="226">
        <v>0.3</v>
      </c>
      <c r="AV86" s="226">
        <v>0.3</v>
      </c>
      <c r="AW86" s="226">
        <v>0.3</v>
      </c>
      <c r="AX86" s="226">
        <v>0.8</v>
      </c>
      <c r="AY86" s="226">
        <v>0.8</v>
      </c>
      <c r="AZ86" s="226">
        <v>0.8</v>
      </c>
      <c r="BA86" s="226">
        <v>0.6</v>
      </c>
      <c r="BB86" s="226">
        <v>0.6</v>
      </c>
      <c r="BC86" s="226">
        <v>0.8</v>
      </c>
      <c r="BD86" s="226">
        <v>0.7</v>
      </c>
      <c r="BE86" s="226">
        <v>0.8</v>
      </c>
      <c r="BF86" s="226">
        <v>0.1</v>
      </c>
      <c r="BG86" s="226">
        <v>0.1</v>
      </c>
      <c r="BH86" s="226">
        <v>0.3</v>
      </c>
      <c r="BI86" s="226">
        <v>0.3</v>
      </c>
      <c r="BJ86" s="226">
        <v>0.3</v>
      </c>
      <c r="BK86" s="226">
        <v>0.3</v>
      </c>
      <c r="BL86" s="226">
        <v>0.3</v>
      </c>
      <c r="BM86" s="226">
        <v>0.3</v>
      </c>
      <c r="BN86" s="226">
        <v>0.7</v>
      </c>
      <c r="BO86" s="226">
        <v>0.7</v>
      </c>
      <c r="BP86" s="226">
        <v>0.8</v>
      </c>
      <c r="BQ86" s="226">
        <v>0.8</v>
      </c>
      <c r="BR86" s="226">
        <v>0.7</v>
      </c>
      <c r="BS86" s="226">
        <v>0.7</v>
      </c>
      <c r="BT86" s="226">
        <v>0.7</v>
      </c>
      <c r="BU86" s="226">
        <v>0.7</v>
      </c>
      <c r="BV86" s="226">
        <v>0.8</v>
      </c>
      <c r="BW86" s="226">
        <v>0.8</v>
      </c>
      <c r="BX86" s="226">
        <v>0.7</v>
      </c>
      <c r="BY86" s="226">
        <v>0.8</v>
      </c>
      <c r="BZ86" s="226">
        <v>0.8</v>
      </c>
      <c r="CA86" s="226">
        <v>0.8</v>
      </c>
      <c r="CB86" s="226">
        <v>0.8</v>
      </c>
      <c r="CC86" s="226">
        <v>0.8</v>
      </c>
      <c r="CD86" s="226">
        <v>0.8</v>
      </c>
      <c r="CE86" s="226">
        <v>0.8</v>
      </c>
      <c r="CF86" s="226">
        <v>0.8</v>
      </c>
      <c r="CG86" s="226">
        <v>0.8</v>
      </c>
      <c r="CH86" s="226">
        <v>0.8</v>
      </c>
      <c r="CI86" s="226">
        <v>0.8</v>
      </c>
      <c r="CJ86" s="226">
        <v>0.8</v>
      </c>
      <c r="CK86" s="226">
        <v>0.8</v>
      </c>
      <c r="CL86" s="226">
        <v>0.8</v>
      </c>
      <c r="CM86" s="226">
        <v>0.8</v>
      </c>
      <c r="CN86" s="226">
        <v>0.8</v>
      </c>
      <c r="CO86" s="226">
        <v>0.8</v>
      </c>
      <c r="CP86" s="226">
        <v>0.8</v>
      </c>
      <c r="CQ86" s="226">
        <v>0.8</v>
      </c>
      <c r="CR86" s="226">
        <v>0.8</v>
      </c>
      <c r="CS86" s="226">
        <v>0.8</v>
      </c>
      <c r="CT86" s="226">
        <v>0.8</v>
      </c>
      <c r="CU86" s="226">
        <v>0.8</v>
      </c>
      <c r="CV86" s="226">
        <v>0.8</v>
      </c>
      <c r="CW86" s="226">
        <v>0.8</v>
      </c>
      <c r="CX86" s="226">
        <v>0.8</v>
      </c>
      <c r="CY86" s="226">
        <v>0.8</v>
      </c>
      <c r="CZ86" s="226">
        <v>0.8</v>
      </c>
      <c r="DA86" s="226">
        <v>0.8</v>
      </c>
      <c r="DB86" s="226">
        <v>0.8</v>
      </c>
      <c r="DC86" s="226">
        <v>0.8</v>
      </c>
      <c r="DD86" s="226">
        <v>0.8</v>
      </c>
      <c r="DE86" s="226">
        <v>0.8</v>
      </c>
      <c r="DF86" s="226">
        <v>0.8</v>
      </c>
      <c r="DG86" s="226">
        <v>0.8</v>
      </c>
      <c r="DH86" s="226">
        <v>0.8</v>
      </c>
      <c r="DI86" s="226">
        <v>0.8</v>
      </c>
      <c r="DJ86" s="226">
        <v>0.8</v>
      </c>
      <c r="DK86" s="226">
        <v>0.8</v>
      </c>
      <c r="DL86" s="226">
        <v>0.1</v>
      </c>
      <c r="DM86" s="226">
        <v>0</v>
      </c>
      <c r="DN86" s="226">
        <v>0</v>
      </c>
      <c r="DO86" s="226">
        <v>0</v>
      </c>
      <c r="DP86" s="226">
        <v>0</v>
      </c>
      <c r="DQ86" s="226">
        <v>0</v>
      </c>
      <c r="DR86" s="226">
        <v>0</v>
      </c>
      <c r="DS86" s="226">
        <v>0</v>
      </c>
    </row>
    <row r="87" spans="1:123" x14ac:dyDescent="0.15">
      <c r="A87" s="156" t="s">
        <v>306</v>
      </c>
      <c r="B87">
        <v>0.8</v>
      </c>
      <c r="C87" s="226">
        <v>0.8</v>
      </c>
      <c r="D87" s="226">
        <v>0.8</v>
      </c>
      <c r="E87" s="226">
        <v>0.8</v>
      </c>
      <c r="F87" s="226">
        <v>0.8</v>
      </c>
      <c r="G87" s="226">
        <v>0.8</v>
      </c>
      <c r="H87" s="226">
        <v>0.8</v>
      </c>
      <c r="I87" s="226">
        <v>0.8</v>
      </c>
      <c r="J87" s="226">
        <v>0.8</v>
      </c>
      <c r="K87" s="226">
        <v>0.8</v>
      </c>
      <c r="L87" s="226">
        <v>0.8</v>
      </c>
      <c r="M87" s="226">
        <v>0.7</v>
      </c>
      <c r="N87" s="226">
        <v>0.7</v>
      </c>
      <c r="O87" s="226">
        <v>0.6</v>
      </c>
      <c r="P87" s="226">
        <v>0.6</v>
      </c>
      <c r="Q87" s="226">
        <v>0.7</v>
      </c>
      <c r="R87" s="226">
        <v>0.8</v>
      </c>
      <c r="S87" s="226">
        <v>0.8</v>
      </c>
      <c r="T87" s="226">
        <v>0.8</v>
      </c>
      <c r="U87" s="226">
        <v>0.8</v>
      </c>
      <c r="V87" s="226">
        <v>0.8</v>
      </c>
      <c r="W87" s="225">
        <v>0.8</v>
      </c>
      <c r="X87" s="225">
        <v>0.8</v>
      </c>
      <c r="Y87" s="225">
        <v>0.8</v>
      </c>
      <c r="Z87" s="225">
        <v>0.8</v>
      </c>
      <c r="AA87" s="226">
        <v>0.8</v>
      </c>
      <c r="AB87" s="226">
        <v>0.6</v>
      </c>
      <c r="AC87" s="226">
        <v>0.8</v>
      </c>
      <c r="AD87" s="226">
        <v>0.8</v>
      </c>
      <c r="AE87" s="226">
        <v>0.1</v>
      </c>
      <c r="AF87" s="226">
        <v>0.1</v>
      </c>
      <c r="AG87" s="226">
        <v>0.1</v>
      </c>
      <c r="AH87" s="226">
        <v>0.1</v>
      </c>
      <c r="AI87" s="226">
        <v>0.8</v>
      </c>
      <c r="AJ87" s="226">
        <v>0.7</v>
      </c>
      <c r="AK87" s="226">
        <v>0.1</v>
      </c>
      <c r="AL87" s="226">
        <v>0.3</v>
      </c>
      <c r="AM87" s="226">
        <v>0.1</v>
      </c>
      <c r="AN87" s="226">
        <v>0.1</v>
      </c>
      <c r="AO87" s="226">
        <v>0.1</v>
      </c>
      <c r="AP87" s="226">
        <v>0.1</v>
      </c>
      <c r="AQ87" s="226">
        <v>0.1</v>
      </c>
      <c r="AR87" s="226">
        <v>0.1</v>
      </c>
      <c r="AS87" s="226">
        <v>0.1</v>
      </c>
      <c r="AT87" s="226">
        <v>0.7</v>
      </c>
      <c r="AU87" s="226">
        <v>0.3</v>
      </c>
      <c r="AV87" s="226">
        <v>0.3</v>
      </c>
      <c r="AW87" s="226">
        <v>0.3</v>
      </c>
      <c r="AX87" s="226">
        <v>0.8</v>
      </c>
      <c r="AY87" s="226">
        <v>0.8</v>
      </c>
      <c r="AZ87" s="226">
        <v>0.8</v>
      </c>
      <c r="BA87" s="226">
        <v>0.6</v>
      </c>
      <c r="BB87" s="226">
        <v>0.6</v>
      </c>
      <c r="BC87" s="226">
        <v>0.8</v>
      </c>
      <c r="BD87" s="226">
        <v>0.7</v>
      </c>
      <c r="BE87" s="226">
        <v>0.8</v>
      </c>
      <c r="BF87" s="226">
        <v>0.1</v>
      </c>
      <c r="BG87" s="226">
        <v>0.1</v>
      </c>
      <c r="BH87" s="226">
        <v>0.3</v>
      </c>
      <c r="BI87" s="226">
        <v>0.3</v>
      </c>
      <c r="BJ87" s="226">
        <v>0.3</v>
      </c>
      <c r="BK87" s="226">
        <v>0.3</v>
      </c>
      <c r="BL87" s="226">
        <v>0.3</v>
      </c>
      <c r="BM87" s="226">
        <v>0.3</v>
      </c>
      <c r="BN87" s="226">
        <v>0.7</v>
      </c>
      <c r="BO87" s="226">
        <v>0.7</v>
      </c>
      <c r="BP87" s="226">
        <v>0.8</v>
      </c>
      <c r="BQ87" s="226">
        <v>0.8</v>
      </c>
      <c r="BR87" s="226">
        <v>0.7</v>
      </c>
      <c r="BS87" s="226">
        <v>0.7</v>
      </c>
      <c r="BT87" s="226">
        <v>0.7</v>
      </c>
      <c r="BU87" s="226">
        <v>0.7</v>
      </c>
      <c r="BV87" s="226">
        <v>0.8</v>
      </c>
      <c r="BW87" s="226">
        <v>0.8</v>
      </c>
      <c r="BX87" s="226">
        <v>0.7</v>
      </c>
      <c r="BY87" s="226">
        <v>0.8</v>
      </c>
      <c r="BZ87" s="226">
        <v>0.8</v>
      </c>
      <c r="CA87" s="226">
        <v>0.8</v>
      </c>
      <c r="CB87" s="226">
        <v>0.8</v>
      </c>
      <c r="CC87" s="226">
        <v>0.8</v>
      </c>
      <c r="CD87" s="226">
        <v>0.8</v>
      </c>
      <c r="CE87" s="226">
        <v>0.8</v>
      </c>
      <c r="CF87" s="226">
        <v>0.8</v>
      </c>
      <c r="CG87" s="226">
        <v>0.8</v>
      </c>
      <c r="CH87" s="226">
        <v>0.8</v>
      </c>
      <c r="CI87" s="226">
        <v>0.8</v>
      </c>
      <c r="CJ87" s="226">
        <v>0.8</v>
      </c>
      <c r="CK87" s="226">
        <v>0.8</v>
      </c>
      <c r="CL87" s="226">
        <v>0.8</v>
      </c>
      <c r="CM87" s="226">
        <v>0.8</v>
      </c>
      <c r="CN87" s="226">
        <v>0.8</v>
      </c>
      <c r="CO87" s="226">
        <v>0.8</v>
      </c>
      <c r="CP87" s="226">
        <v>0.8</v>
      </c>
      <c r="CQ87" s="226">
        <v>0.8</v>
      </c>
      <c r="CR87" s="226">
        <v>0.8</v>
      </c>
      <c r="CS87" s="226">
        <v>0.8</v>
      </c>
      <c r="CT87" s="226">
        <v>0.8</v>
      </c>
      <c r="CU87" s="226">
        <v>0.8</v>
      </c>
      <c r="CV87" s="226">
        <v>0.8</v>
      </c>
      <c r="CW87" s="226">
        <v>0.8</v>
      </c>
      <c r="CX87" s="226">
        <v>0.8</v>
      </c>
      <c r="CY87" s="226">
        <v>0.8</v>
      </c>
      <c r="CZ87" s="226">
        <v>0.8</v>
      </c>
      <c r="DA87" s="226">
        <v>0.8</v>
      </c>
      <c r="DB87" s="226">
        <v>0.8</v>
      </c>
      <c r="DC87" s="226">
        <v>0.8</v>
      </c>
      <c r="DD87" s="226">
        <v>0.8</v>
      </c>
      <c r="DE87" s="226">
        <v>0.8</v>
      </c>
      <c r="DF87" s="226">
        <v>0.8</v>
      </c>
      <c r="DG87" s="226">
        <v>0.8</v>
      </c>
      <c r="DH87" s="226">
        <v>0.8</v>
      </c>
      <c r="DI87" s="226">
        <v>0.8</v>
      </c>
      <c r="DJ87" s="226">
        <v>0.8</v>
      </c>
      <c r="DK87" s="226">
        <v>0.8</v>
      </c>
      <c r="DL87" s="226">
        <v>0.1</v>
      </c>
      <c r="DM87" s="226">
        <v>0</v>
      </c>
      <c r="DN87" s="226">
        <v>0</v>
      </c>
      <c r="DO87" s="226">
        <v>0</v>
      </c>
      <c r="DP87" s="226">
        <v>0</v>
      </c>
      <c r="DQ87" s="226">
        <v>0</v>
      </c>
      <c r="DR87" s="226">
        <v>0</v>
      </c>
      <c r="DS87" s="226">
        <v>0</v>
      </c>
    </row>
    <row r="88" spans="1:123" x14ac:dyDescent="0.15">
      <c r="A88" s="156" t="s">
        <v>307</v>
      </c>
      <c r="B88">
        <v>0.8</v>
      </c>
      <c r="C88" s="226">
        <v>0.8</v>
      </c>
      <c r="D88" s="226">
        <v>0.8</v>
      </c>
      <c r="E88" s="226">
        <v>0.8</v>
      </c>
      <c r="F88" s="226">
        <v>0.8</v>
      </c>
      <c r="G88" s="226">
        <v>0.8</v>
      </c>
      <c r="H88" s="226">
        <v>0.8</v>
      </c>
      <c r="I88" s="226">
        <v>0.8</v>
      </c>
      <c r="J88" s="226">
        <v>0.8</v>
      </c>
      <c r="K88" s="226">
        <v>0.8</v>
      </c>
      <c r="L88" s="226">
        <v>0.8</v>
      </c>
      <c r="M88" s="226">
        <v>0.7</v>
      </c>
      <c r="N88" s="226">
        <v>0.7</v>
      </c>
      <c r="O88" s="226">
        <v>0.6</v>
      </c>
      <c r="P88" s="226">
        <v>0.6</v>
      </c>
      <c r="Q88" s="226">
        <v>0.7</v>
      </c>
      <c r="R88" s="226">
        <v>0.8</v>
      </c>
      <c r="S88" s="226">
        <v>0.8</v>
      </c>
      <c r="T88" s="226">
        <v>0.8</v>
      </c>
      <c r="U88" s="226">
        <v>0.8</v>
      </c>
      <c r="V88" s="226">
        <v>0.8</v>
      </c>
      <c r="W88" s="225">
        <v>0.8</v>
      </c>
      <c r="X88" s="225">
        <v>0.8</v>
      </c>
      <c r="Y88" s="225">
        <v>0.8</v>
      </c>
      <c r="Z88" s="225">
        <v>0.8</v>
      </c>
      <c r="AA88" s="226">
        <v>0.8</v>
      </c>
      <c r="AB88" s="226">
        <v>0.6</v>
      </c>
      <c r="AC88" s="226">
        <v>0.8</v>
      </c>
      <c r="AD88" s="226">
        <v>0.8</v>
      </c>
      <c r="AE88" s="226">
        <v>0.1</v>
      </c>
      <c r="AF88" s="226">
        <v>0.1</v>
      </c>
      <c r="AG88" s="226">
        <v>0.1</v>
      </c>
      <c r="AH88" s="226">
        <v>0.1</v>
      </c>
      <c r="AI88" s="226">
        <v>0.8</v>
      </c>
      <c r="AJ88" s="226">
        <v>0.7</v>
      </c>
      <c r="AK88" s="226">
        <v>0.1</v>
      </c>
      <c r="AL88" s="226">
        <v>0.3</v>
      </c>
      <c r="AM88" s="226">
        <v>0.1</v>
      </c>
      <c r="AN88" s="226">
        <v>0.1</v>
      </c>
      <c r="AO88" s="226">
        <v>0.1</v>
      </c>
      <c r="AP88" s="226">
        <v>0.1</v>
      </c>
      <c r="AQ88" s="226">
        <v>0.1</v>
      </c>
      <c r="AR88" s="226">
        <v>0.1</v>
      </c>
      <c r="AS88" s="226">
        <v>0.1</v>
      </c>
      <c r="AT88" s="226">
        <v>0.7</v>
      </c>
      <c r="AU88" s="226">
        <v>0.3</v>
      </c>
      <c r="AV88" s="226">
        <v>0.3</v>
      </c>
      <c r="AW88" s="226">
        <v>0.3</v>
      </c>
      <c r="AX88" s="226">
        <v>0.8</v>
      </c>
      <c r="AY88" s="226">
        <v>0.8</v>
      </c>
      <c r="AZ88" s="226">
        <v>0.8</v>
      </c>
      <c r="BA88" s="226">
        <v>0.6</v>
      </c>
      <c r="BB88" s="226">
        <v>0.6</v>
      </c>
      <c r="BC88" s="226">
        <v>0.8</v>
      </c>
      <c r="BD88" s="226">
        <v>0.7</v>
      </c>
      <c r="BE88" s="226">
        <v>0.8</v>
      </c>
      <c r="BF88" s="226">
        <v>0.1</v>
      </c>
      <c r="BG88" s="226">
        <v>0.1</v>
      </c>
      <c r="BH88" s="226">
        <v>0.3</v>
      </c>
      <c r="BI88" s="226">
        <v>0.3</v>
      </c>
      <c r="BJ88" s="226">
        <v>0.3</v>
      </c>
      <c r="BK88" s="226">
        <v>0.3</v>
      </c>
      <c r="BL88" s="226">
        <v>0.3</v>
      </c>
      <c r="BM88" s="226">
        <v>0.3</v>
      </c>
      <c r="BN88" s="226">
        <v>0.7</v>
      </c>
      <c r="BO88" s="226">
        <v>0.7</v>
      </c>
      <c r="BP88" s="226">
        <v>0.8</v>
      </c>
      <c r="BQ88" s="226">
        <v>0.8</v>
      </c>
      <c r="BR88" s="226">
        <v>0.7</v>
      </c>
      <c r="BS88" s="226">
        <v>0.7</v>
      </c>
      <c r="BT88" s="226">
        <v>0.7</v>
      </c>
      <c r="BU88" s="226">
        <v>0.7</v>
      </c>
      <c r="BV88" s="226">
        <v>0.8</v>
      </c>
      <c r="BW88" s="226">
        <v>0.8</v>
      </c>
      <c r="BX88" s="226">
        <v>0.7</v>
      </c>
      <c r="BY88" s="226">
        <v>0.8</v>
      </c>
      <c r="BZ88" s="226">
        <v>0.8</v>
      </c>
      <c r="CA88" s="226">
        <v>0.8</v>
      </c>
      <c r="CB88" s="226">
        <v>0.8</v>
      </c>
      <c r="CC88" s="226">
        <v>0.8</v>
      </c>
      <c r="CD88" s="226">
        <v>0.8</v>
      </c>
      <c r="CE88" s="226">
        <v>0.8</v>
      </c>
      <c r="CF88" s="226">
        <v>0.8</v>
      </c>
      <c r="CG88" s="226">
        <v>0.8</v>
      </c>
      <c r="CH88" s="226">
        <v>0.8</v>
      </c>
      <c r="CI88" s="226">
        <v>0.8</v>
      </c>
      <c r="CJ88" s="226">
        <v>0.8</v>
      </c>
      <c r="CK88" s="226">
        <v>0.8</v>
      </c>
      <c r="CL88" s="226">
        <v>0.8</v>
      </c>
      <c r="CM88" s="226">
        <v>0.8</v>
      </c>
      <c r="CN88" s="226">
        <v>0.8</v>
      </c>
      <c r="CO88" s="226">
        <v>0.8</v>
      </c>
      <c r="CP88" s="226">
        <v>0.8</v>
      </c>
      <c r="CQ88" s="226">
        <v>0.8</v>
      </c>
      <c r="CR88" s="226">
        <v>0.8</v>
      </c>
      <c r="CS88" s="226">
        <v>0.8</v>
      </c>
      <c r="CT88" s="226">
        <v>0.8</v>
      </c>
      <c r="CU88" s="226">
        <v>0.8</v>
      </c>
      <c r="CV88" s="226">
        <v>0.8</v>
      </c>
      <c r="CW88" s="226">
        <v>0.8</v>
      </c>
      <c r="CX88" s="226">
        <v>0.8</v>
      </c>
      <c r="CY88" s="226">
        <v>0.8</v>
      </c>
      <c r="CZ88" s="226">
        <v>0.8</v>
      </c>
      <c r="DA88" s="226">
        <v>0.8</v>
      </c>
      <c r="DB88" s="226">
        <v>0.8</v>
      </c>
      <c r="DC88" s="226">
        <v>0.8</v>
      </c>
      <c r="DD88" s="226">
        <v>0.8</v>
      </c>
      <c r="DE88" s="226">
        <v>0.8</v>
      </c>
      <c r="DF88" s="226">
        <v>0.8</v>
      </c>
      <c r="DG88" s="226">
        <v>0.8</v>
      </c>
      <c r="DH88" s="226">
        <v>0.8</v>
      </c>
      <c r="DI88" s="226">
        <v>0.8</v>
      </c>
      <c r="DJ88" s="226">
        <v>0.8</v>
      </c>
      <c r="DK88" s="226">
        <v>0.8</v>
      </c>
      <c r="DL88" s="226">
        <v>0.1</v>
      </c>
      <c r="DM88" s="226">
        <v>0</v>
      </c>
      <c r="DN88" s="226">
        <v>0</v>
      </c>
      <c r="DO88" s="226">
        <v>0</v>
      </c>
      <c r="DP88" s="226">
        <v>0</v>
      </c>
      <c r="DQ88" s="226">
        <v>0</v>
      </c>
      <c r="DR88" s="226">
        <v>0</v>
      </c>
      <c r="DS88" s="226">
        <v>0</v>
      </c>
    </row>
    <row r="89" spans="1:123" x14ac:dyDescent="0.15">
      <c r="A89" s="156" t="s">
        <v>308</v>
      </c>
      <c r="B89">
        <v>0.8</v>
      </c>
      <c r="C89" s="226">
        <v>0.8</v>
      </c>
      <c r="D89" s="226">
        <v>0.8</v>
      </c>
      <c r="E89" s="226">
        <v>0.8</v>
      </c>
      <c r="F89" s="226">
        <v>0.8</v>
      </c>
      <c r="G89" s="226">
        <v>0.8</v>
      </c>
      <c r="H89" s="226">
        <v>0.8</v>
      </c>
      <c r="I89" s="226">
        <v>0.8</v>
      </c>
      <c r="J89" s="226">
        <v>0.8</v>
      </c>
      <c r="K89" s="226">
        <v>0.8</v>
      </c>
      <c r="L89" s="226">
        <v>0.8</v>
      </c>
      <c r="M89" s="226">
        <v>0.7</v>
      </c>
      <c r="N89" s="226">
        <v>0.7</v>
      </c>
      <c r="O89" s="226">
        <v>0.6</v>
      </c>
      <c r="P89" s="226">
        <v>0.6</v>
      </c>
      <c r="Q89" s="226">
        <v>0.7</v>
      </c>
      <c r="R89" s="226">
        <v>0.8</v>
      </c>
      <c r="S89" s="226">
        <v>0.8</v>
      </c>
      <c r="T89" s="226">
        <v>0.8</v>
      </c>
      <c r="U89" s="226">
        <v>0.8</v>
      </c>
      <c r="V89" s="226">
        <v>0.8</v>
      </c>
      <c r="W89" s="225">
        <v>0.8</v>
      </c>
      <c r="X89" s="225">
        <v>0.8</v>
      </c>
      <c r="Y89" s="225">
        <v>0.8</v>
      </c>
      <c r="Z89" s="225">
        <v>0.8</v>
      </c>
      <c r="AA89" s="226">
        <v>0.8</v>
      </c>
      <c r="AB89" s="226">
        <v>0.6</v>
      </c>
      <c r="AC89" s="226">
        <v>0.8</v>
      </c>
      <c r="AD89" s="226">
        <v>0.8</v>
      </c>
      <c r="AE89" s="226">
        <v>0.1</v>
      </c>
      <c r="AF89" s="226">
        <v>0.1</v>
      </c>
      <c r="AG89" s="226">
        <v>0.1</v>
      </c>
      <c r="AH89" s="226">
        <v>0.1</v>
      </c>
      <c r="AI89" s="226">
        <v>0.8</v>
      </c>
      <c r="AJ89" s="226">
        <v>0.7</v>
      </c>
      <c r="AK89" s="226">
        <v>0.1</v>
      </c>
      <c r="AL89" s="226">
        <v>0.3</v>
      </c>
      <c r="AM89" s="226">
        <v>0.1</v>
      </c>
      <c r="AN89" s="226">
        <v>0.1</v>
      </c>
      <c r="AO89" s="226">
        <v>0.1</v>
      </c>
      <c r="AP89" s="226">
        <v>0.1</v>
      </c>
      <c r="AQ89" s="226">
        <v>0.1</v>
      </c>
      <c r="AR89" s="226">
        <v>0.1</v>
      </c>
      <c r="AS89" s="226">
        <v>0.1</v>
      </c>
      <c r="AT89" s="226">
        <v>0.7</v>
      </c>
      <c r="AU89" s="226">
        <v>0.3</v>
      </c>
      <c r="AV89" s="226">
        <v>0.3</v>
      </c>
      <c r="AW89" s="226">
        <v>0.3</v>
      </c>
      <c r="AX89" s="226">
        <v>0.8</v>
      </c>
      <c r="AY89" s="226">
        <v>0.8</v>
      </c>
      <c r="AZ89" s="226">
        <v>0.8</v>
      </c>
      <c r="BA89" s="226">
        <v>0.6</v>
      </c>
      <c r="BB89" s="226">
        <v>0.6</v>
      </c>
      <c r="BC89" s="226">
        <v>0.8</v>
      </c>
      <c r="BD89" s="226">
        <v>0.7</v>
      </c>
      <c r="BE89" s="226">
        <v>0.8</v>
      </c>
      <c r="BF89" s="226">
        <v>0.1</v>
      </c>
      <c r="BG89" s="226">
        <v>0.1</v>
      </c>
      <c r="BH89" s="226">
        <v>0.3</v>
      </c>
      <c r="BI89" s="226">
        <v>0.3</v>
      </c>
      <c r="BJ89" s="226">
        <v>0.3</v>
      </c>
      <c r="BK89" s="226">
        <v>0.3</v>
      </c>
      <c r="BL89" s="226">
        <v>0.3</v>
      </c>
      <c r="BM89" s="226">
        <v>0.3</v>
      </c>
      <c r="BN89" s="226">
        <v>0.7</v>
      </c>
      <c r="BO89" s="226">
        <v>0.7</v>
      </c>
      <c r="BP89" s="226">
        <v>0.8</v>
      </c>
      <c r="BQ89" s="226">
        <v>0.8</v>
      </c>
      <c r="BR89" s="226">
        <v>0.7</v>
      </c>
      <c r="BS89" s="226">
        <v>0.7</v>
      </c>
      <c r="BT89" s="226">
        <v>0.7</v>
      </c>
      <c r="BU89" s="226">
        <v>0.7</v>
      </c>
      <c r="BV89" s="226">
        <v>0.8</v>
      </c>
      <c r="BW89" s="226">
        <v>0.8</v>
      </c>
      <c r="BX89" s="226">
        <v>0.7</v>
      </c>
      <c r="BY89" s="226">
        <v>0.8</v>
      </c>
      <c r="BZ89" s="226">
        <v>0.8</v>
      </c>
      <c r="CA89" s="226">
        <v>0.8</v>
      </c>
      <c r="CB89" s="226">
        <v>0.8</v>
      </c>
      <c r="CC89" s="226">
        <v>0.8</v>
      </c>
      <c r="CD89" s="226">
        <v>0.8</v>
      </c>
      <c r="CE89" s="226">
        <v>0.8</v>
      </c>
      <c r="CF89" s="226">
        <v>0.8</v>
      </c>
      <c r="CG89" s="226">
        <v>0.8</v>
      </c>
      <c r="CH89" s="226">
        <v>0.8</v>
      </c>
      <c r="CI89" s="226">
        <v>0.8</v>
      </c>
      <c r="CJ89" s="226">
        <v>0.8</v>
      </c>
      <c r="CK89" s="226">
        <v>0.8</v>
      </c>
      <c r="CL89" s="226">
        <v>0.8</v>
      </c>
      <c r="CM89" s="226">
        <v>0.8</v>
      </c>
      <c r="CN89" s="226">
        <v>0.8</v>
      </c>
      <c r="CO89" s="226">
        <v>0.8</v>
      </c>
      <c r="CP89" s="226">
        <v>0.8</v>
      </c>
      <c r="CQ89" s="226">
        <v>0.8</v>
      </c>
      <c r="CR89" s="226">
        <v>0.8</v>
      </c>
      <c r="CS89" s="226">
        <v>0.8</v>
      </c>
      <c r="CT89" s="226">
        <v>0.8</v>
      </c>
      <c r="CU89" s="226">
        <v>0.8</v>
      </c>
      <c r="CV89" s="226">
        <v>0.8</v>
      </c>
      <c r="CW89" s="226">
        <v>0.8</v>
      </c>
      <c r="CX89" s="226">
        <v>0.8</v>
      </c>
      <c r="CY89" s="226">
        <v>0.8</v>
      </c>
      <c r="CZ89" s="226">
        <v>0.8</v>
      </c>
      <c r="DA89" s="226">
        <v>0.8</v>
      </c>
      <c r="DB89" s="226">
        <v>0.8</v>
      </c>
      <c r="DC89" s="226">
        <v>0.8</v>
      </c>
      <c r="DD89" s="226">
        <v>0.8</v>
      </c>
      <c r="DE89" s="226">
        <v>0.8</v>
      </c>
      <c r="DF89" s="226">
        <v>0.8</v>
      </c>
      <c r="DG89" s="226">
        <v>0.8</v>
      </c>
      <c r="DH89" s="226">
        <v>0.8</v>
      </c>
      <c r="DI89" s="226">
        <v>0.8</v>
      </c>
      <c r="DJ89" s="226">
        <v>0.8</v>
      </c>
      <c r="DK89" s="226">
        <v>0.8</v>
      </c>
      <c r="DL89" s="226">
        <v>0.1</v>
      </c>
      <c r="DM89" s="226">
        <v>0</v>
      </c>
      <c r="DN89" s="226">
        <v>0</v>
      </c>
      <c r="DO89" s="226">
        <v>0</v>
      </c>
      <c r="DP89" s="226">
        <v>0</v>
      </c>
      <c r="DQ89" s="226">
        <v>0</v>
      </c>
      <c r="DR89" s="226">
        <v>0</v>
      </c>
      <c r="DS89" s="226">
        <v>0</v>
      </c>
    </row>
    <row r="90" spans="1:123" x14ac:dyDescent="0.15">
      <c r="A90" s="156" t="s">
        <v>309</v>
      </c>
      <c r="B90">
        <v>0.8</v>
      </c>
      <c r="C90" s="226">
        <v>0.8</v>
      </c>
      <c r="D90" s="226">
        <v>0.8</v>
      </c>
      <c r="E90" s="226">
        <v>0.8</v>
      </c>
      <c r="F90" s="226">
        <v>0.8</v>
      </c>
      <c r="G90" s="226">
        <v>0.8</v>
      </c>
      <c r="H90" s="226">
        <v>0.8</v>
      </c>
      <c r="I90" s="226">
        <v>0.8</v>
      </c>
      <c r="J90" s="226">
        <v>0.8</v>
      </c>
      <c r="K90" s="226">
        <v>0.8</v>
      </c>
      <c r="L90" s="226">
        <v>0.8</v>
      </c>
      <c r="M90" s="226">
        <v>0.7</v>
      </c>
      <c r="N90" s="226">
        <v>0.7</v>
      </c>
      <c r="O90" s="226">
        <v>0.6</v>
      </c>
      <c r="P90" s="226">
        <v>0.6</v>
      </c>
      <c r="Q90" s="226">
        <v>0.7</v>
      </c>
      <c r="R90" s="226">
        <v>0.8</v>
      </c>
      <c r="S90" s="226">
        <v>0.8</v>
      </c>
      <c r="T90" s="226">
        <v>0.8</v>
      </c>
      <c r="U90" s="226">
        <v>0.8</v>
      </c>
      <c r="V90" s="226">
        <v>0.8</v>
      </c>
      <c r="W90" s="225">
        <v>0.8</v>
      </c>
      <c r="X90" s="225">
        <v>0.8</v>
      </c>
      <c r="Y90" s="225">
        <v>0.8</v>
      </c>
      <c r="Z90" s="225">
        <v>0.8</v>
      </c>
      <c r="AA90" s="226">
        <v>0.8</v>
      </c>
      <c r="AB90" s="226">
        <v>0.6</v>
      </c>
      <c r="AC90" s="226">
        <v>0.8</v>
      </c>
      <c r="AD90" s="226">
        <v>0.8</v>
      </c>
      <c r="AE90" s="226">
        <v>0.1</v>
      </c>
      <c r="AF90" s="226">
        <v>0.1</v>
      </c>
      <c r="AG90" s="226">
        <v>0.1</v>
      </c>
      <c r="AH90" s="226">
        <v>0.1</v>
      </c>
      <c r="AI90" s="226">
        <v>0.8</v>
      </c>
      <c r="AJ90" s="226">
        <v>0.7</v>
      </c>
      <c r="AK90" s="226">
        <v>0.1</v>
      </c>
      <c r="AL90" s="226">
        <v>0.3</v>
      </c>
      <c r="AM90" s="226">
        <v>0.1</v>
      </c>
      <c r="AN90" s="226">
        <v>0.1</v>
      </c>
      <c r="AO90" s="226">
        <v>0.1</v>
      </c>
      <c r="AP90" s="226">
        <v>0.1</v>
      </c>
      <c r="AQ90" s="226">
        <v>0.1</v>
      </c>
      <c r="AR90" s="226">
        <v>0.1</v>
      </c>
      <c r="AS90" s="226">
        <v>0.1</v>
      </c>
      <c r="AT90" s="226">
        <v>0.7</v>
      </c>
      <c r="AU90" s="226">
        <v>0.3</v>
      </c>
      <c r="AV90" s="226">
        <v>0.3</v>
      </c>
      <c r="AW90" s="226">
        <v>0.3</v>
      </c>
      <c r="AX90" s="226">
        <v>0.8</v>
      </c>
      <c r="AY90" s="226">
        <v>0.8</v>
      </c>
      <c r="AZ90" s="226">
        <v>0.8</v>
      </c>
      <c r="BA90" s="226">
        <v>0.6</v>
      </c>
      <c r="BB90" s="226">
        <v>0.6</v>
      </c>
      <c r="BC90" s="226">
        <v>0.8</v>
      </c>
      <c r="BD90" s="226">
        <v>0.7</v>
      </c>
      <c r="BE90" s="226">
        <v>0.8</v>
      </c>
      <c r="BF90" s="226">
        <v>0.1</v>
      </c>
      <c r="BG90" s="226">
        <v>0.1</v>
      </c>
      <c r="BH90" s="226">
        <v>0.3</v>
      </c>
      <c r="BI90" s="226">
        <v>0.3</v>
      </c>
      <c r="BJ90" s="226">
        <v>0.3</v>
      </c>
      <c r="BK90" s="226">
        <v>0.3</v>
      </c>
      <c r="BL90" s="226">
        <v>0.3</v>
      </c>
      <c r="BM90" s="226">
        <v>0.3</v>
      </c>
      <c r="BN90" s="226">
        <v>0.7</v>
      </c>
      <c r="BO90" s="226">
        <v>0.7</v>
      </c>
      <c r="BP90" s="226">
        <v>0.8</v>
      </c>
      <c r="BQ90" s="226">
        <v>0.8</v>
      </c>
      <c r="BR90" s="226">
        <v>0.7</v>
      </c>
      <c r="BS90" s="226">
        <v>0.7</v>
      </c>
      <c r="BT90" s="226">
        <v>0.7</v>
      </c>
      <c r="BU90" s="226">
        <v>0.7</v>
      </c>
      <c r="BV90" s="226">
        <v>0.8</v>
      </c>
      <c r="BW90" s="226">
        <v>0.8</v>
      </c>
      <c r="BX90" s="226">
        <v>0.7</v>
      </c>
      <c r="BY90" s="226">
        <v>0.8</v>
      </c>
      <c r="BZ90" s="226">
        <v>0.8</v>
      </c>
      <c r="CA90" s="226">
        <v>0.8</v>
      </c>
      <c r="CB90" s="226">
        <v>0.8</v>
      </c>
      <c r="CC90" s="226">
        <v>0.8</v>
      </c>
      <c r="CD90" s="226">
        <v>0.8</v>
      </c>
      <c r="CE90" s="226">
        <v>0.8</v>
      </c>
      <c r="CF90" s="226">
        <v>0.8</v>
      </c>
      <c r="CG90" s="226">
        <v>0.8</v>
      </c>
      <c r="CH90" s="226">
        <v>0.8</v>
      </c>
      <c r="CI90" s="226">
        <v>0.8</v>
      </c>
      <c r="CJ90" s="226">
        <v>0.8</v>
      </c>
      <c r="CK90" s="226">
        <v>0.8</v>
      </c>
      <c r="CL90" s="226">
        <v>0.8</v>
      </c>
      <c r="CM90" s="226">
        <v>0.8</v>
      </c>
      <c r="CN90" s="226">
        <v>0.8</v>
      </c>
      <c r="CO90" s="226">
        <v>0.8</v>
      </c>
      <c r="CP90" s="226">
        <v>0.8</v>
      </c>
      <c r="CQ90" s="226">
        <v>0.8</v>
      </c>
      <c r="CR90" s="226">
        <v>0.8</v>
      </c>
      <c r="CS90" s="226">
        <v>0.8</v>
      </c>
      <c r="CT90" s="226">
        <v>0.8</v>
      </c>
      <c r="CU90" s="226">
        <v>0.8</v>
      </c>
      <c r="CV90" s="226">
        <v>0.8</v>
      </c>
      <c r="CW90" s="226">
        <v>0.8</v>
      </c>
      <c r="CX90" s="226">
        <v>0.8</v>
      </c>
      <c r="CY90" s="226">
        <v>0.8</v>
      </c>
      <c r="CZ90" s="226">
        <v>0.8</v>
      </c>
      <c r="DA90" s="226">
        <v>0.8</v>
      </c>
      <c r="DB90" s="226">
        <v>0.8</v>
      </c>
      <c r="DC90" s="226">
        <v>0.8</v>
      </c>
      <c r="DD90" s="226">
        <v>0.8</v>
      </c>
      <c r="DE90" s="226">
        <v>0.8</v>
      </c>
      <c r="DF90" s="226">
        <v>0.8</v>
      </c>
      <c r="DG90" s="226">
        <v>0.8</v>
      </c>
      <c r="DH90" s="226">
        <v>0.8</v>
      </c>
      <c r="DI90" s="226">
        <v>0.8</v>
      </c>
      <c r="DJ90" s="226">
        <v>0.8</v>
      </c>
      <c r="DK90" s="226">
        <v>0.8</v>
      </c>
      <c r="DL90" s="226">
        <v>0.1</v>
      </c>
      <c r="DM90" s="226">
        <v>0</v>
      </c>
      <c r="DN90" s="226">
        <v>0</v>
      </c>
      <c r="DO90" s="226">
        <v>0</v>
      </c>
      <c r="DP90" s="226">
        <v>0</v>
      </c>
      <c r="DQ90" s="226">
        <v>0</v>
      </c>
      <c r="DR90" s="226">
        <v>0</v>
      </c>
      <c r="DS90" s="226">
        <v>0</v>
      </c>
    </row>
    <row r="91" spans="1:123" x14ac:dyDescent="0.15">
      <c r="A91" s="156" t="s">
        <v>310</v>
      </c>
      <c r="B91">
        <v>0.8</v>
      </c>
      <c r="C91" s="226">
        <v>0.8</v>
      </c>
      <c r="D91" s="226">
        <v>0.8</v>
      </c>
      <c r="E91" s="226">
        <v>0.8</v>
      </c>
      <c r="F91" s="226">
        <v>0.8</v>
      </c>
      <c r="G91" s="226">
        <v>0.8</v>
      </c>
      <c r="H91" s="226">
        <v>0.8</v>
      </c>
      <c r="I91" s="226">
        <v>0.8</v>
      </c>
      <c r="J91" s="226">
        <v>0.8</v>
      </c>
      <c r="K91" s="226">
        <v>0.8</v>
      </c>
      <c r="L91" s="226">
        <v>0.8</v>
      </c>
      <c r="M91" s="226">
        <v>0.7</v>
      </c>
      <c r="N91" s="226">
        <v>0.7</v>
      </c>
      <c r="O91" s="226">
        <v>0.6</v>
      </c>
      <c r="P91" s="226">
        <v>0.6</v>
      </c>
      <c r="Q91" s="226">
        <v>0.7</v>
      </c>
      <c r="R91" s="226">
        <v>0.8</v>
      </c>
      <c r="S91" s="226">
        <v>0.8</v>
      </c>
      <c r="T91" s="226">
        <v>0.8</v>
      </c>
      <c r="U91" s="226">
        <v>0.8</v>
      </c>
      <c r="V91" s="226">
        <v>0.8</v>
      </c>
      <c r="W91" s="225">
        <v>0.8</v>
      </c>
      <c r="X91" s="225">
        <v>0.8</v>
      </c>
      <c r="Y91" s="225">
        <v>0.8</v>
      </c>
      <c r="Z91" s="225">
        <v>0.8</v>
      </c>
      <c r="AA91" s="226">
        <v>0.8</v>
      </c>
      <c r="AB91" s="226">
        <v>0.6</v>
      </c>
      <c r="AC91" s="226">
        <v>0.8</v>
      </c>
      <c r="AD91" s="226">
        <v>0.8</v>
      </c>
      <c r="AE91" s="226">
        <v>0.1</v>
      </c>
      <c r="AF91" s="226">
        <v>0.1</v>
      </c>
      <c r="AG91" s="226">
        <v>0.1</v>
      </c>
      <c r="AH91" s="226">
        <v>0.1</v>
      </c>
      <c r="AI91" s="226">
        <v>0.8</v>
      </c>
      <c r="AJ91" s="226">
        <v>0.7</v>
      </c>
      <c r="AK91" s="226">
        <v>0.1</v>
      </c>
      <c r="AL91" s="226">
        <v>0.3</v>
      </c>
      <c r="AM91" s="226">
        <v>0.1</v>
      </c>
      <c r="AN91" s="226">
        <v>0.1</v>
      </c>
      <c r="AO91" s="226">
        <v>0.1</v>
      </c>
      <c r="AP91" s="226">
        <v>0.1</v>
      </c>
      <c r="AQ91" s="226">
        <v>0.1</v>
      </c>
      <c r="AR91" s="226">
        <v>0.1</v>
      </c>
      <c r="AS91" s="226">
        <v>0.1</v>
      </c>
      <c r="AT91" s="226">
        <v>0.7</v>
      </c>
      <c r="AU91" s="226">
        <v>0.3</v>
      </c>
      <c r="AV91" s="226">
        <v>0.3</v>
      </c>
      <c r="AW91" s="226">
        <v>0.3</v>
      </c>
      <c r="AX91" s="226">
        <v>0.8</v>
      </c>
      <c r="AY91" s="226">
        <v>0.8</v>
      </c>
      <c r="AZ91" s="226">
        <v>0.8</v>
      </c>
      <c r="BA91" s="226">
        <v>0.6</v>
      </c>
      <c r="BB91" s="226">
        <v>0.6</v>
      </c>
      <c r="BC91" s="226">
        <v>0.8</v>
      </c>
      <c r="BD91" s="226">
        <v>0.7</v>
      </c>
      <c r="BE91" s="226">
        <v>0.8</v>
      </c>
      <c r="BF91" s="226">
        <v>0.1</v>
      </c>
      <c r="BG91" s="226">
        <v>0.1</v>
      </c>
      <c r="BH91" s="226">
        <v>0.3</v>
      </c>
      <c r="BI91" s="226">
        <v>0.3</v>
      </c>
      <c r="BJ91" s="226">
        <v>0.3</v>
      </c>
      <c r="BK91" s="226">
        <v>0.3</v>
      </c>
      <c r="BL91" s="226">
        <v>0.3</v>
      </c>
      <c r="BM91" s="226">
        <v>0.3</v>
      </c>
      <c r="BN91" s="226">
        <v>0.7</v>
      </c>
      <c r="BO91" s="226">
        <v>0.7</v>
      </c>
      <c r="BP91" s="226">
        <v>0.8</v>
      </c>
      <c r="BQ91" s="226">
        <v>0.8</v>
      </c>
      <c r="BR91" s="226">
        <v>0.7</v>
      </c>
      <c r="BS91" s="226">
        <v>0.7</v>
      </c>
      <c r="BT91" s="226">
        <v>0.7</v>
      </c>
      <c r="BU91" s="226">
        <v>0.7</v>
      </c>
      <c r="BV91" s="226">
        <v>0.8</v>
      </c>
      <c r="BW91" s="226">
        <v>0.8</v>
      </c>
      <c r="BX91" s="226">
        <v>0.7</v>
      </c>
      <c r="BY91" s="226">
        <v>0.8</v>
      </c>
      <c r="BZ91" s="226">
        <v>0.8</v>
      </c>
      <c r="CA91" s="226">
        <v>0.8</v>
      </c>
      <c r="CB91" s="226">
        <v>0.8</v>
      </c>
      <c r="CC91" s="226">
        <v>0.8</v>
      </c>
      <c r="CD91" s="226">
        <v>0.8</v>
      </c>
      <c r="CE91" s="226">
        <v>0.8</v>
      </c>
      <c r="CF91" s="226">
        <v>0.8</v>
      </c>
      <c r="CG91" s="226">
        <v>0.8</v>
      </c>
      <c r="CH91" s="226">
        <v>0.8</v>
      </c>
      <c r="CI91" s="226">
        <v>0.8</v>
      </c>
      <c r="CJ91" s="226">
        <v>0.8</v>
      </c>
      <c r="CK91" s="226">
        <v>0.8</v>
      </c>
      <c r="CL91" s="226">
        <v>0.8</v>
      </c>
      <c r="CM91" s="226">
        <v>0.8</v>
      </c>
      <c r="CN91" s="226">
        <v>0.8</v>
      </c>
      <c r="CO91" s="226">
        <v>0.8</v>
      </c>
      <c r="CP91" s="226">
        <v>0.8</v>
      </c>
      <c r="CQ91" s="226">
        <v>0.8</v>
      </c>
      <c r="CR91" s="226">
        <v>0.8</v>
      </c>
      <c r="CS91" s="226">
        <v>0.8</v>
      </c>
      <c r="CT91" s="226">
        <v>0.8</v>
      </c>
      <c r="CU91" s="226">
        <v>0.8</v>
      </c>
      <c r="CV91" s="226">
        <v>0.8</v>
      </c>
      <c r="CW91" s="226">
        <v>0.8</v>
      </c>
      <c r="CX91" s="226">
        <v>0.8</v>
      </c>
      <c r="CY91" s="226">
        <v>0.8</v>
      </c>
      <c r="CZ91" s="226">
        <v>0.8</v>
      </c>
      <c r="DA91" s="226">
        <v>0.8</v>
      </c>
      <c r="DB91" s="226">
        <v>0.8</v>
      </c>
      <c r="DC91" s="226">
        <v>0.8</v>
      </c>
      <c r="DD91" s="226">
        <v>0.8</v>
      </c>
      <c r="DE91" s="226">
        <v>0.8</v>
      </c>
      <c r="DF91" s="226">
        <v>0.8</v>
      </c>
      <c r="DG91" s="226">
        <v>0.8</v>
      </c>
      <c r="DH91" s="226">
        <v>0.8</v>
      </c>
      <c r="DI91" s="226">
        <v>0.8</v>
      </c>
      <c r="DJ91" s="226">
        <v>0.8</v>
      </c>
      <c r="DK91" s="226">
        <v>0.8</v>
      </c>
      <c r="DL91" s="226">
        <v>0.1</v>
      </c>
      <c r="DM91" s="226">
        <v>0</v>
      </c>
      <c r="DN91" s="226">
        <v>0</v>
      </c>
      <c r="DO91" s="226">
        <v>0</v>
      </c>
      <c r="DP91" s="226">
        <v>0</v>
      </c>
      <c r="DQ91" s="226">
        <v>0</v>
      </c>
      <c r="DR91" s="226">
        <v>0</v>
      </c>
      <c r="DS91" s="226">
        <v>0</v>
      </c>
    </row>
    <row r="92" spans="1:123" x14ac:dyDescent="0.15">
      <c r="A92" s="156" t="s">
        <v>311</v>
      </c>
      <c r="B92">
        <v>0.8</v>
      </c>
      <c r="C92" s="226">
        <v>0.8</v>
      </c>
      <c r="D92" s="226">
        <v>0.8</v>
      </c>
      <c r="E92" s="226">
        <v>0.8</v>
      </c>
      <c r="F92" s="226">
        <v>0.8</v>
      </c>
      <c r="G92" s="226">
        <v>0.8</v>
      </c>
      <c r="H92" s="226">
        <v>0.8</v>
      </c>
      <c r="I92" s="226">
        <v>0.8</v>
      </c>
      <c r="J92" s="226">
        <v>0.8</v>
      </c>
      <c r="K92" s="226">
        <v>0.8</v>
      </c>
      <c r="L92" s="226">
        <v>0.8</v>
      </c>
      <c r="M92" s="226">
        <v>0.7</v>
      </c>
      <c r="N92" s="226">
        <v>0.7</v>
      </c>
      <c r="O92" s="226">
        <v>0.6</v>
      </c>
      <c r="P92" s="226">
        <v>0.6</v>
      </c>
      <c r="Q92" s="226">
        <v>0.7</v>
      </c>
      <c r="R92" s="226">
        <v>0.8</v>
      </c>
      <c r="S92" s="226">
        <v>0.8</v>
      </c>
      <c r="T92" s="226">
        <v>0.8</v>
      </c>
      <c r="U92" s="226">
        <v>0.8</v>
      </c>
      <c r="V92" s="226">
        <v>0.8</v>
      </c>
      <c r="W92" s="225">
        <v>0.8</v>
      </c>
      <c r="X92" s="225">
        <v>0.8</v>
      </c>
      <c r="Y92" s="225">
        <v>0.8</v>
      </c>
      <c r="Z92" s="225">
        <v>0.8</v>
      </c>
      <c r="AA92" s="226">
        <v>0.8</v>
      </c>
      <c r="AB92" s="226">
        <v>0.6</v>
      </c>
      <c r="AC92" s="226">
        <v>0.8</v>
      </c>
      <c r="AD92" s="226">
        <v>0.8</v>
      </c>
      <c r="AE92" s="226">
        <v>0.1</v>
      </c>
      <c r="AF92" s="226">
        <v>0.1</v>
      </c>
      <c r="AG92" s="226">
        <v>0.1</v>
      </c>
      <c r="AH92" s="226">
        <v>0.1</v>
      </c>
      <c r="AI92" s="226">
        <v>0.8</v>
      </c>
      <c r="AJ92" s="226">
        <v>0.7</v>
      </c>
      <c r="AK92" s="226">
        <v>0.1</v>
      </c>
      <c r="AL92" s="226">
        <v>0.3</v>
      </c>
      <c r="AM92" s="226">
        <v>0.1</v>
      </c>
      <c r="AN92" s="226">
        <v>0.1</v>
      </c>
      <c r="AO92" s="226">
        <v>0.1</v>
      </c>
      <c r="AP92" s="226">
        <v>0.1</v>
      </c>
      <c r="AQ92" s="226">
        <v>0.1</v>
      </c>
      <c r="AR92" s="226">
        <v>0.1</v>
      </c>
      <c r="AS92" s="226">
        <v>0.1</v>
      </c>
      <c r="AT92" s="226">
        <v>0.7</v>
      </c>
      <c r="AU92" s="226">
        <v>0.3</v>
      </c>
      <c r="AV92" s="226">
        <v>0.3</v>
      </c>
      <c r="AW92" s="226">
        <v>0.3</v>
      </c>
      <c r="AX92" s="226">
        <v>0.8</v>
      </c>
      <c r="AY92" s="226">
        <v>0.8</v>
      </c>
      <c r="AZ92" s="226">
        <v>0.8</v>
      </c>
      <c r="BA92" s="226">
        <v>0.6</v>
      </c>
      <c r="BB92" s="226">
        <v>0.6</v>
      </c>
      <c r="BC92" s="226">
        <v>0.8</v>
      </c>
      <c r="BD92" s="226">
        <v>0.7</v>
      </c>
      <c r="BE92" s="226">
        <v>0.8</v>
      </c>
      <c r="BF92" s="226">
        <v>0.1</v>
      </c>
      <c r="BG92" s="226">
        <v>0.1</v>
      </c>
      <c r="BH92" s="226">
        <v>0.3</v>
      </c>
      <c r="BI92" s="226">
        <v>0.3</v>
      </c>
      <c r="BJ92" s="226">
        <v>0.3</v>
      </c>
      <c r="BK92" s="226">
        <v>0.3</v>
      </c>
      <c r="BL92" s="226">
        <v>0.3</v>
      </c>
      <c r="BM92" s="226">
        <v>0.3</v>
      </c>
      <c r="BN92" s="226">
        <v>0.7</v>
      </c>
      <c r="BO92" s="226">
        <v>0.7</v>
      </c>
      <c r="BP92" s="226">
        <v>0.8</v>
      </c>
      <c r="BQ92" s="226">
        <v>0.8</v>
      </c>
      <c r="BR92" s="226">
        <v>0.7</v>
      </c>
      <c r="BS92" s="226">
        <v>0.7</v>
      </c>
      <c r="BT92" s="226">
        <v>0.7</v>
      </c>
      <c r="BU92" s="226">
        <v>0.7</v>
      </c>
      <c r="BV92" s="226">
        <v>0.8</v>
      </c>
      <c r="BW92" s="226">
        <v>0.8</v>
      </c>
      <c r="BX92" s="226">
        <v>0.7</v>
      </c>
      <c r="BY92" s="226">
        <v>0.8</v>
      </c>
      <c r="BZ92" s="226">
        <v>0.8</v>
      </c>
      <c r="CA92" s="226">
        <v>0.8</v>
      </c>
      <c r="CB92" s="226">
        <v>0.8</v>
      </c>
      <c r="CC92" s="226">
        <v>0.8</v>
      </c>
      <c r="CD92" s="226">
        <v>0.8</v>
      </c>
      <c r="CE92" s="226">
        <v>0.8</v>
      </c>
      <c r="CF92" s="226">
        <v>0.8</v>
      </c>
      <c r="CG92" s="226">
        <v>0.8</v>
      </c>
      <c r="CH92" s="226">
        <v>0.8</v>
      </c>
      <c r="CI92" s="226">
        <v>0.8</v>
      </c>
      <c r="CJ92" s="226">
        <v>0.8</v>
      </c>
      <c r="CK92" s="226">
        <v>0.8</v>
      </c>
      <c r="CL92" s="226">
        <v>0.8</v>
      </c>
      <c r="CM92" s="226">
        <v>0.8</v>
      </c>
      <c r="CN92" s="226">
        <v>0.8</v>
      </c>
      <c r="CO92" s="226">
        <v>0.8</v>
      </c>
      <c r="CP92" s="226">
        <v>0.8</v>
      </c>
      <c r="CQ92" s="226">
        <v>0.8</v>
      </c>
      <c r="CR92" s="226">
        <v>0.8</v>
      </c>
      <c r="CS92" s="226">
        <v>0.8</v>
      </c>
      <c r="CT92" s="226">
        <v>0.8</v>
      </c>
      <c r="CU92" s="226">
        <v>0.8</v>
      </c>
      <c r="CV92" s="226">
        <v>0.8</v>
      </c>
      <c r="CW92" s="226">
        <v>0.8</v>
      </c>
      <c r="CX92" s="226">
        <v>0.8</v>
      </c>
      <c r="CY92" s="226">
        <v>0.8</v>
      </c>
      <c r="CZ92" s="226">
        <v>0.8</v>
      </c>
      <c r="DA92" s="226">
        <v>0.8</v>
      </c>
      <c r="DB92" s="226">
        <v>0.8</v>
      </c>
      <c r="DC92" s="226">
        <v>0.8</v>
      </c>
      <c r="DD92" s="226">
        <v>0.8</v>
      </c>
      <c r="DE92" s="226">
        <v>0.8</v>
      </c>
      <c r="DF92" s="226">
        <v>0.8</v>
      </c>
      <c r="DG92" s="226">
        <v>0.8</v>
      </c>
      <c r="DH92" s="226">
        <v>0.8</v>
      </c>
      <c r="DI92" s="226">
        <v>0.8</v>
      </c>
      <c r="DJ92" s="226">
        <v>0.8</v>
      </c>
      <c r="DK92" s="226">
        <v>0.8</v>
      </c>
      <c r="DL92" s="226">
        <v>0.1</v>
      </c>
      <c r="DM92" s="226">
        <v>0</v>
      </c>
      <c r="DN92" s="226">
        <v>0</v>
      </c>
      <c r="DO92" s="226">
        <v>0</v>
      </c>
      <c r="DP92" s="226">
        <v>0</v>
      </c>
      <c r="DQ92" s="226">
        <v>0</v>
      </c>
      <c r="DR92" s="226">
        <v>0</v>
      </c>
      <c r="DS92" s="226">
        <v>0</v>
      </c>
    </row>
    <row r="93" spans="1:123" x14ac:dyDescent="0.15">
      <c r="A93" s="156" t="s">
        <v>312</v>
      </c>
      <c r="B93">
        <v>0.8</v>
      </c>
      <c r="C93" s="226">
        <v>0.8</v>
      </c>
      <c r="D93" s="226">
        <v>0.8</v>
      </c>
      <c r="E93" s="226">
        <v>0.8</v>
      </c>
      <c r="F93" s="226">
        <v>0.8</v>
      </c>
      <c r="G93" s="226">
        <v>0.8</v>
      </c>
      <c r="H93" s="226">
        <v>0.8</v>
      </c>
      <c r="I93" s="226">
        <v>0.8</v>
      </c>
      <c r="J93" s="226">
        <v>0.8</v>
      </c>
      <c r="K93" s="226">
        <v>0.8</v>
      </c>
      <c r="L93" s="226">
        <v>0.8</v>
      </c>
      <c r="M93" s="226">
        <v>0.7</v>
      </c>
      <c r="N93" s="226">
        <v>0.7</v>
      </c>
      <c r="O93" s="226">
        <v>0.6</v>
      </c>
      <c r="P93" s="226">
        <v>0.6</v>
      </c>
      <c r="Q93" s="226">
        <v>0.7</v>
      </c>
      <c r="R93" s="226">
        <v>0.8</v>
      </c>
      <c r="S93" s="226">
        <v>0.8</v>
      </c>
      <c r="T93" s="226">
        <v>0.8</v>
      </c>
      <c r="U93" s="226">
        <v>0.8</v>
      </c>
      <c r="V93" s="226">
        <v>0.8</v>
      </c>
      <c r="W93" s="225">
        <v>0.8</v>
      </c>
      <c r="X93" s="225">
        <v>0.8</v>
      </c>
      <c r="Y93" s="225">
        <v>0.8</v>
      </c>
      <c r="Z93" s="225">
        <v>0.8</v>
      </c>
      <c r="AA93" s="226">
        <v>0.8</v>
      </c>
      <c r="AB93" s="226">
        <v>0.6</v>
      </c>
      <c r="AC93" s="226">
        <v>0.8</v>
      </c>
      <c r="AD93" s="226">
        <v>0.8</v>
      </c>
      <c r="AE93" s="226">
        <v>0.1</v>
      </c>
      <c r="AF93" s="226">
        <v>0.1</v>
      </c>
      <c r="AG93" s="226">
        <v>0.1</v>
      </c>
      <c r="AH93" s="226">
        <v>0.1</v>
      </c>
      <c r="AI93" s="226">
        <v>0.8</v>
      </c>
      <c r="AJ93" s="226">
        <v>0.7</v>
      </c>
      <c r="AK93" s="226">
        <v>0.1</v>
      </c>
      <c r="AL93" s="226">
        <v>0.3</v>
      </c>
      <c r="AM93" s="226">
        <v>0.1</v>
      </c>
      <c r="AN93" s="226">
        <v>0.1</v>
      </c>
      <c r="AO93" s="226">
        <v>0.1</v>
      </c>
      <c r="AP93" s="226">
        <v>0.1</v>
      </c>
      <c r="AQ93" s="226">
        <v>0.1</v>
      </c>
      <c r="AR93" s="226">
        <v>0.1</v>
      </c>
      <c r="AS93" s="226">
        <v>0.1</v>
      </c>
      <c r="AT93" s="226">
        <v>0.7</v>
      </c>
      <c r="AU93" s="226">
        <v>0.3</v>
      </c>
      <c r="AV93" s="226">
        <v>0.3</v>
      </c>
      <c r="AW93" s="226">
        <v>0.3</v>
      </c>
      <c r="AX93" s="226">
        <v>0.8</v>
      </c>
      <c r="AY93" s="226">
        <v>0.8</v>
      </c>
      <c r="AZ93" s="226">
        <v>0.8</v>
      </c>
      <c r="BA93" s="226">
        <v>0.6</v>
      </c>
      <c r="BB93" s="226">
        <v>0.6</v>
      </c>
      <c r="BC93" s="226">
        <v>0.8</v>
      </c>
      <c r="BD93" s="226">
        <v>0.7</v>
      </c>
      <c r="BE93" s="226">
        <v>0.8</v>
      </c>
      <c r="BF93" s="226">
        <v>0.1</v>
      </c>
      <c r="BG93" s="226">
        <v>0.1</v>
      </c>
      <c r="BH93" s="226">
        <v>0.3</v>
      </c>
      <c r="BI93" s="226">
        <v>0.3</v>
      </c>
      <c r="BJ93" s="226">
        <v>0.3</v>
      </c>
      <c r="BK93" s="226">
        <v>0.3</v>
      </c>
      <c r="BL93" s="226">
        <v>0.3</v>
      </c>
      <c r="BM93" s="226">
        <v>0.3</v>
      </c>
      <c r="BN93" s="226">
        <v>0.7</v>
      </c>
      <c r="BO93" s="226">
        <v>0.7</v>
      </c>
      <c r="BP93" s="226">
        <v>0.8</v>
      </c>
      <c r="BQ93" s="226">
        <v>0.8</v>
      </c>
      <c r="BR93" s="226">
        <v>0.7</v>
      </c>
      <c r="BS93" s="226">
        <v>0.7</v>
      </c>
      <c r="BT93" s="226">
        <v>0.7</v>
      </c>
      <c r="BU93" s="226">
        <v>0.7</v>
      </c>
      <c r="BV93" s="226">
        <v>0.8</v>
      </c>
      <c r="BW93" s="226">
        <v>0.8</v>
      </c>
      <c r="BX93" s="226">
        <v>0.7</v>
      </c>
      <c r="BY93" s="226">
        <v>0.8</v>
      </c>
      <c r="BZ93" s="226">
        <v>0.8</v>
      </c>
      <c r="CA93" s="226">
        <v>0.8</v>
      </c>
      <c r="CB93" s="226">
        <v>0.8</v>
      </c>
      <c r="CC93" s="226">
        <v>0.8</v>
      </c>
      <c r="CD93" s="226">
        <v>0.8</v>
      </c>
      <c r="CE93" s="226">
        <v>0.8</v>
      </c>
      <c r="CF93" s="226">
        <v>0.8</v>
      </c>
      <c r="CG93" s="226">
        <v>0.8</v>
      </c>
      <c r="CH93" s="226">
        <v>0.8</v>
      </c>
      <c r="CI93" s="226">
        <v>0.8</v>
      </c>
      <c r="CJ93" s="226">
        <v>0.8</v>
      </c>
      <c r="CK93" s="226">
        <v>0.8</v>
      </c>
      <c r="CL93" s="226">
        <v>0.8</v>
      </c>
      <c r="CM93" s="226">
        <v>0.8</v>
      </c>
      <c r="CN93" s="226">
        <v>0.8</v>
      </c>
      <c r="CO93" s="226">
        <v>0.8</v>
      </c>
      <c r="CP93" s="226">
        <v>0.8</v>
      </c>
      <c r="CQ93" s="226">
        <v>0.8</v>
      </c>
      <c r="CR93" s="226">
        <v>0.8</v>
      </c>
      <c r="CS93" s="226">
        <v>0.8</v>
      </c>
      <c r="CT93" s="226">
        <v>0.8</v>
      </c>
      <c r="CU93" s="226">
        <v>0.8</v>
      </c>
      <c r="CV93" s="226">
        <v>0.8</v>
      </c>
      <c r="CW93" s="226">
        <v>0.8</v>
      </c>
      <c r="CX93" s="226">
        <v>0.8</v>
      </c>
      <c r="CY93" s="226">
        <v>0.8</v>
      </c>
      <c r="CZ93" s="226">
        <v>0.8</v>
      </c>
      <c r="DA93" s="226">
        <v>0.8</v>
      </c>
      <c r="DB93" s="226">
        <v>0.8</v>
      </c>
      <c r="DC93" s="226">
        <v>0.8</v>
      </c>
      <c r="DD93" s="226">
        <v>0.8</v>
      </c>
      <c r="DE93" s="226">
        <v>0.8</v>
      </c>
      <c r="DF93" s="226">
        <v>0.8</v>
      </c>
      <c r="DG93" s="226">
        <v>0.8</v>
      </c>
      <c r="DH93" s="226">
        <v>0.8</v>
      </c>
      <c r="DI93" s="226">
        <v>0.8</v>
      </c>
      <c r="DJ93" s="226">
        <v>0.8</v>
      </c>
      <c r="DK93" s="226">
        <v>0.8</v>
      </c>
      <c r="DL93" s="226">
        <v>0.1</v>
      </c>
      <c r="DM93" s="226">
        <v>0</v>
      </c>
      <c r="DN93" s="226">
        <v>0</v>
      </c>
      <c r="DO93" s="226">
        <v>0</v>
      </c>
      <c r="DP93" s="226">
        <v>0</v>
      </c>
      <c r="DQ93" s="226">
        <v>0</v>
      </c>
      <c r="DR93" s="226">
        <v>0</v>
      </c>
      <c r="DS93" s="226">
        <v>0</v>
      </c>
    </row>
    <row r="94" spans="1:123" x14ac:dyDescent="0.15">
      <c r="A94" s="156" t="s">
        <v>313</v>
      </c>
      <c r="B94">
        <v>0.8</v>
      </c>
      <c r="C94" s="226">
        <v>0.8</v>
      </c>
      <c r="D94" s="226">
        <v>0.8</v>
      </c>
      <c r="E94" s="226">
        <v>0.8</v>
      </c>
      <c r="F94" s="226">
        <v>0.8</v>
      </c>
      <c r="G94" s="226">
        <v>0.8</v>
      </c>
      <c r="H94" s="226">
        <v>0.8</v>
      </c>
      <c r="I94" s="226">
        <v>0.8</v>
      </c>
      <c r="J94" s="226">
        <v>0.8</v>
      </c>
      <c r="K94" s="226">
        <v>0.8</v>
      </c>
      <c r="L94" s="226">
        <v>0.8</v>
      </c>
      <c r="M94" s="226">
        <v>0.7</v>
      </c>
      <c r="N94" s="226">
        <v>0.7</v>
      </c>
      <c r="O94" s="226">
        <v>0.6</v>
      </c>
      <c r="P94" s="226">
        <v>0.6</v>
      </c>
      <c r="Q94" s="226">
        <v>0.7</v>
      </c>
      <c r="R94" s="226">
        <v>0.8</v>
      </c>
      <c r="S94" s="226">
        <v>0.8</v>
      </c>
      <c r="T94" s="226">
        <v>0.8</v>
      </c>
      <c r="U94" s="226">
        <v>0.8</v>
      </c>
      <c r="V94" s="226">
        <v>0.8</v>
      </c>
      <c r="W94" s="225">
        <v>0.8</v>
      </c>
      <c r="X94" s="225">
        <v>0.8</v>
      </c>
      <c r="Y94" s="225">
        <v>0.8</v>
      </c>
      <c r="Z94" s="225">
        <v>0.8</v>
      </c>
      <c r="AA94" s="226">
        <v>0.8</v>
      </c>
      <c r="AB94" s="226">
        <v>0.6</v>
      </c>
      <c r="AC94" s="226">
        <v>0.8</v>
      </c>
      <c r="AD94" s="226">
        <v>0.8</v>
      </c>
      <c r="AE94" s="226">
        <v>0.1</v>
      </c>
      <c r="AF94" s="226">
        <v>0.1</v>
      </c>
      <c r="AG94" s="226">
        <v>0.1</v>
      </c>
      <c r="AH94" s="226">
        <v>0.1</v>
      </c>
      <c r="AI94" s="226">
        <v>0.8</v>
      </c>
      <c r="AJ94" s="226">
        <v>0.7</v>
      </c>
      <c r="AK94" s="226">
        <v>0.1</v>
      </c>
      <c r="AL94" s="226">
        <v>0.3</v>
      </c>
      <c r="AM94" s="226">
        <v>0.1</v>
      </c>
      <c r="AN94" s="226">
        <v>0.1</v>
      </c>
      <c r="AO94" s="226">
        <v>0.1</v>
      </c>
      <c r="AP94" s="226">
        <v>0.1</v>
      </c>
      <c r="AQ94" s="226">
        <v>0.1</v>
      </c>
      <c r="AR94" s="226">
        <v>0.1</v>
      </c>
      <c r="AS94" s="226">
        <v>0.1</v>
      </c>
      <c r="AT94" s="226">
        <v>0.7</v>
      </c>
      <c r="AU94" s="226">
        <v>0.3</v>
      </c>
      <c r="AV94" s="226">
        <v>0.3</v>
      </c>
      <c r="AW94" s="226">
        <v>0.3</v>
      </c>
      <c r="AX94" s="226">
        <v>0.8</v>
      </c>
      <c r="AY94" s="226">
        <v>0.8</v>
      </c>
      <c r="AZ94" s="226">
        <v>0.8</v>
      </c>
      <c r="BA94" s="226">
        <v>0.6</v>
      </c>
      <c r="BB94" s="226">
        <v>0.6</v>
      </c>
      <c r="BC94" s="226">
        <v>0.8</v>
      </c>
      <c r="BD94" s="226">
        <v>0.7</v>
      </c>
      <c r="BE94" s="226">
        <v>0.8</v>
      </c>
      <c r="BF94" s="226">
        <v>0.1</v>
      </c>
      <c r="BG94" s="226">
        <v>0.1</v>
      </c>
      <c r="BH94" s="226">
        <v>0.3</v>
      </c>
      <c r="BI94" s="226">
        <v>0.3</v>
      </c>
      <c r="BJ94" s="226">
        <v>0.3</v>
      </c>
      <c r="BK94" s="226">
        <v>0.3</v>
      </c>
      <c r="BL94" s="226">
        <v>0.3</v>
      </c>
      <c r="BM94" s="226">
        <v>0.3</v>
      </c>
      <c r="BN94" s="226">
        <v>0.7</v>
      </c>
      <c r="BO94" s="226">
        <v>0.7</v>
      </c>
      <c r="BP94" s="226">
        <v>0.8</v>
      </c>
      <c r="BQ94" s="226">
        <v>0.8</v>
      </c>
      <c r="BR94" s="226">
        <v>0.7</v>
      </c>
      <c r="BS94" s="226">
        <v>0.7</v>
      </c>
      <c r="BT94" s="226">
        <v>0.7</v>
      </c>
      <c r="BU94" s="226">
        <v>0.7</v>
      </c>
      <c r="BV94" s="226">
        <v>0.8</v>
      </c>
      <c r="BW94" s="226">
        <v>0.8</v>
      </c>
      <c r="BX94" s="226">
        <v>0.7</v>
      </c>
      <c r="BY94" s="226">
        <v>0.8</v>
      </c>
      <c r="BZ94" s="226">
        <v>0.8</v>
      </c>
      <c r="CA94" s="226">
        <v>0.8</v>
      </c>
      <c r="CB94" s="226">
        <v>0.8</v>
      </c>
      <c r="CC94" s="226">
        <v>0.8</v>
      </c>
      <c r="CD94" s="226">
        <v>0.8</v>
      </c>
      <c r="CE94" s="226">
        <v>0.8</v>
      </c>
      <c r="CF94" s="226">
        <v>0.8</v>
      </c>
      <c r="CG94" s="226">
        <v>0.8</v>
      </c>
      <c r="CH94" s="226">
        <v>0.8</v>
      </c>
      <c r="CI94" s="226">
        <v>0.8</v>
      </c>
      <c r="CJ94" s="226">
        <v>0.8</v>
      </c>
      <c r="CK94" s="226">
        <v>0.8</v>
      </c>
      <c r="CL94" s="226">
        <v>0.8</v>
      </c>
      <c r="CM94" s="226">
        <v>0.8</v>
      </c>
      <c r="CN94" s="226">
        <v>0.8</v>
      </c>
      <c r="CO94" s="226">
        <v>0.8</v>
      </c>
      <c r="CP94" s="226">
        <v>0.8</v>
      </c>
      <c r="CQ94" s="226">
        <v>0.8</v>
      </c>
      <c r="CR94" s="226">
        <v>0.8</v>
      </c>
      <c r="CS94" s="226">
        <v>0.8</v>
      </c>
      <c r="CT94" s="226">
        <v>0.8</v>
      </c>
      <c r="CU94" s="226">
        <v>0.8</v>
      </c>
      <c r="CV94" s="226">
        <v>0.8</v>
      </c>
      <c r="CW94" s="226">
        <v>0.8</v>
      </c>
      <c r="CX94" s="226">
        <v>0.8</v>
      </c>
      <c r="CY94" s="226">
        <v>0.8</v>
      </c>
      <c r="CZ94" s="226">
        <v>0.8</v>
      </c>
      <c r="DA94" s="226">
        <v>0.8</v>
      </c>
      <c r="DB94" s="226">
        <v>0.8</v>
      </c>
      <c r="DC94" s="226">
        <v>0.8</v>
      </c>
      <c r="DD94" s="226">
        <v>0.8</v>
      </c>
      <c r="DE94" s="226">
        <v>0.8</v>
      </c>
      <c r="DF94" s="226">
        <v>0.8</v>
      </c>
      <c r="DG94" s="226">
        <v>0.8</v>
      </c>
      <c r="DH94" s="226">
        <v>0.8</v>
      </c>
      <c r="DI94" s="226">
        <v>0.8</v>
      </c>
      <c r="DJ94" s="226">
        <v>0.8</v>
      </c>
      <c r="DK94" s="226">
        <v>0.8</v>
      </c>
      <c r="DL94" s="226">
        <v>0.1</v>
      </c>
      <c r="DM94" s="226">
        <v>0</v>
      </c>
      <c r="DN94" s="226">
        <v>0</v>
      </c>
      <c r="DO94" s="226">
        <v>0</v>
      </c>
      <c r="DP94" s="226">
        <v>0</v>
      </c>
      <c r="DQ94" s="226">
        <v>0</v>
      </c>
      <c r="DR94" s="226">
        <v>0</v>
      </c>
      <c r="DS94" s="226">
        <v>0</v>
      </c>
    </row>
    <row r="95" spans="1:123" x14ac:dyDescent="0.15">
      <c r="A95" s="156" t="s">
        <v>314</v>
      </c>
      <c r="B95">
        <v>0.8</v>
      </c>
      <c r="C95" s="226">
        <v>0.8</v>
      </c>
      <c r="D95" s="226">
        <v>0.8</v>
      </c>
      <c r="E95" s="226">
        <v>0.8</v>
      </c>
      <c r="F95" s="226">
        <v>0.8</v>
      </c>
      <c r="G95" s="226">
        <v>0.8</v>
      </c>
      <c r="H95" s="226">
        <v>0.8</v>
      </c>
      <c r="I95" s="226">
        <v>0.8</v>
      </c>
      <c r="J95" s="226">
        <v>0.8</v>
      </c>
      <c r="K95" s="226">
        <v>0.8</v>
      </c>
      <c r="L95" s="226">
        <v>0.8</v>
      </c>
      <c r="M95" s="226">
        <v>0.7</v>
      </c>
      <c r="N95" s="226">
        <v>0.7</v>
      </c>
      <c r="O95" s="226">
        <v>0.6</v>
      </c>
      <c r="P95" s="226">
        <v>0.6</v>
      </c>
      <c r="Q95" s="226">
        <v>0.7</v>
      </c>
      <c r="R95" s="226">
        <v>0.8</v>
      </c>
      <c r="S95" s="226">
        <v>0.8</v>
      </c>
      <c r="T95" s="226">
        <v>0.8</v>
      </c>
      <c r="U95" s="226">
        <v>0.8</v>
      </c>
      <c r="V95" s="226">
        <v>0.8</v>
      </c>
      <c r="W95" s="225">
        <v>0.8</v>
      </c>
      <c r="X95" s="225">
        <v>0.8</v>
      </c>
      <c r="Y95" s="225">
        <v>0.8</v>
      </c>
      <c r="Z95" s="225">
        <v>0.8</v>
      </c>
      <c r="AA95" s="226">
        <v>0.8</v>
      </c>
      <c r="AB95" s="226">
        <v>0.6</v>
      </c>
      <c r="AC95" s="226">
        <v>0.8</v>
      </c>
      <c r="AD95" s="226">
        <v>0.8</v>
      </c>
      <c r="AE95" s="226">
        <v>0.1</v>
      </c>
      <c r="AF95" s="226">
        <v>0.1</v>
      </c>
      <c r="AG95" s="226">
        <v>0.1</v>
      </c>
      <c r="AH95" s="226">
        <v>0.1</v>
      </c>
      <c r="AI95" s="226">
        <v>0.8</v>
      </c>
      <c r="AJ95" s="226">
        <v>0.7</v>
      </c>
      <c r="AK95" s="226">
        <v>0.1</v>
      </c>
      <c r="AL95" s="226">
        <v>0.3</v>
      </c>
      <c r="AM95" s="226">
        <v>0.1</v>
      </c>
      <c r="AN95" s="226">
        <v>0.1</v>
      </c>
      <c r="AO95" s="226">
        <v>0.1</v>
      </c>
      <c r="AP95" s="226">
        <v>0.1</v>
      </c>
      <c r="AQ95" s="226">
        <v>0.1</v>
      </c>
      <c r="AR95" s="226">
        <v>0.1</v>
      </c>
      <c r="AS95" s="226">
        <v>0.1</v>
      </c>
      <c r="AT95" s="226">
        <v>0.7</v>
      </c>
      <c r="AU95" s="226">
        <v>0.3</v>
      </c>
      <c r="AV95" s="226">
        <v>0.3</v>
      </c>
      <c r="AW95" s="226">
        <v>0.3</v>
      </c>
      <c r="AX95" s="226">
        <v>0.8</v>
      </c>
      <c r="AY95" s="226">
        <v>0.8</v>
      </c>
      <c r="AZ95" s="226">
        <v>0.8</v>
      </c>
      <c r="BA95" s="226">
        <v>0.6</v>
      </c>
      <c r="BB95" s="226">
        <v>0.6</v>
      </c>
      <c r="BC95" s="226">
        <v>0.8</v>
      </c>
      <c r="BD95" s="226">
        <v>0.7</v>
      </c>
      <c r="BE95" s="226">
        <v>0.8</v>
      </c>
      <c r="BF95" s="226">
        <v>0.1</v>
      </c>
      <c r="BG95" s="226">
        <v>0.1</v>
      </c>
      <c r="BH95" s="226">
        <v>0.3</v>
      </c>
      <c r="BI95" s="226">
        <v>0.3</v>
      </c>
      <c r="BJ95" s="226">
        <v>0.3</v>
      </c>
      <c r="BK95" s="226">
        <v>0.3</v>
      </c>
      <c r="BL95" s="226">
        <v>0.3</v>
      </c>
      <c r="BM95" s="226">
        <v>0.3</v>
      </c>
      <c r="BN95" s="226">
        <v>0.7</v>
      </c>
      <c r="BO95" s="226">
        <v>0.7</v>
      </c>
      <c r="BP95" s="226">
        <v>0.8</v>
      </c>
      <c r="BQ95" s="226">
        <v>0.8</v>
      </c>
      <c r="BR95" s="226">
        <v>0.7</v>
      </c>
      <c r="BS95" s="226">
        <v>0.7</v>
      </c>
      <c r="BT95" s="226">
        <v>0.7</v>
      </c>
      <c r="BU95" s="226">
        <v>0.7</v>
      </c>
      <c r="BV95" s="226">
        <v>0.8</v>
      </c>
      <c r="BW95" s="226">
        <v>0.8</v>
      </c>
      <c r="BX95" s="226">
        <v>0.7</v>
      </c>
      <c r="BY95" s="226">
        <v>0.8</v>
      </c>
      <c r="BZ95" s="226">
        <v>0.8</v>
      </c>
      <c r="CA95" s="226">
        <v>0.8</v>
      </c>
      <c r="CB95" s="226">
        <v>0.8</v>
      </c>
      <c r="CC95" s="226">
        <v>0.8</v>
      </c>
      <c r="CD95" s="226">
        <v>0.8</v>
      </c>
      <c r="CE95" s="226">
        <v>0.8</v>
      </c>
      <c r="CF95" s="226">
        <v>0.8</v>
      </c>
      <c r="CG95" s="226">
        <v>0.8</v>
      </c>
      <c r="CH95" s="226">
        <v>0.8</v>
      </c>
      <c r="CI95" s="226">
        <v>0.8</v>
      </c>
      <c r="CJ95" s="226">
        <v>0.8</v>
      </c>
      <c r="CK95" s="226">
        <v>0.8</v>
      </c>
      <c r="CL95" s="226">
        <v>0.8</v>
      </c>
      <c r="CM95" s="226">
        <v>0.8</v>
      </c>
      <c r="CN95" s="226">
        <v>0.8</v>
      </c>
      <c r="CO95" s="226">
        <v>0.8</v>
      </c>
      <c r="CP95" s="226">
        <v>0.8</v>
      </c>
      <c r="CQ95" s="226">
        <v>0.8</v>
      </c>
      <c r="CR95" s="226">
        <v>0.8</v>
      </c>
      <c r="CS95" s="226">
        <v>0.8</v>
      </c>
      <c r="CT95" s="226">
        <v>0.8</v>
      </c>
      <c r="CU95" s="226">
        <v>0.8</v>
      </c>
      <c r="CV95" s="226">
        <v>0.8</v>
      </c>
      <c r="CW95" s="226">
        <v>0.8</v>
      </c>
      <c r="CX95" s="226">
        <v>0.8</v>
      </c>
      <c r="CY95" s="226">
        <v>0.8</v>
      </c>
      <c r="CZ95" s="226">
        <v>0.8</v>
      </c>
      <c r="DA95" s="226">
        <v>0.8</v>
      </c>
      <c r="DB95" s="226">
        <v>0.8</v>
      </c>
      <c r="DC95" s="226">
        <v>0.8</v>
      </c>
      <c r="DD95" s="226">
        <v>0.8</v>
      </c>
      <c r="DE95" s="226">
        <v>0.8</v>
      </c>
      <c r="DF95" s="226">
        <v>0.8</v>
      </c>
      <c r="DG95" s="226">
        <v>0.8</v>
      </c>
      <c r="DH95" s="226">
        <v>0.8</v>
      </c>
      <c r="DI95" s="226">
        <v>0.8</v>
      </c>
      <c r="DJ95" s="226">
        <v>0.8</v>
      </c>
      <c r="DK95" s="226">
        <v>0.8</v>
      </c>
      <c r="DL95" s="226">
        <v>0.1</v>
      </c>
      <c r="DM95" s="226">
        <v>0</v>
      </c>
      <c r="DN95" s="226">
        <v>0</v>
      </c>
      <c r="DO95" s="226">
        <v>0</v>
      </c>
      <c r="DP95" s="226">
        <v>0</v>
      </c>
      <c r="DQ95" s="226">
        <v>0</v>
      </c>
      <c r="DR95" s="226">
        <v>0</v>
      </c>
      <c r="DS95" s="226">
        <v>0</v>
      </c>
    </row>
    <row r="96" spans="1:123" x14ac:dyDescent="0.15">
      <c r="A96" s="156" t="s">
        <v>315</v>
      </c>
      <c r="B96">
        <v>0.8</v>
      </c>
      <c r="C96" s="226">
        <v>0.8</v>
      </c>
      <c r="D96" s="226">
        <v>0.8</v>
      </c>
      <c r="E96" s="226">
        <v>0.8</v>
      </c>
      <c r="F96" s="226">
        <v>0.8</v>
      </c>
      <c r="G96" s="226">
        <v>0.8</v>
      </c>
      <c r="H96" s="226">
        <v>0.8</v>
      </c>
      <c r="I96" s="226">
        <v>0.8</v>
      </c>
      <c r="J96" s="226">
        <v>0.8</v>
      </c>
      <c r="K96" s="226">
        <v>0.8</v>
      </c>
      <c r="L96" s="226">
        <v>0.8</v>
      </c>
      <c r="M96" s="226">
        <v>0.7</v>
      </c>
      <c r="N96" s="226">
        <v>0.7</v>
      </c>
      <c r="O96" s="226">
        <v>0.6</v>
      </c>
      <c r="P96" s="226">
        <v>0.6</v>
      </c>
      <c r="Q96" s="226">
        <v>0.7</v>
      </c>
      <c r="R96" s="226">
        <v>0.8</v>
      </c>
      <c r="S96" s="226">
        <v>0.8</v>
      </c>
      <c r="T96" s="226">
        <v>0.8</v>
      </c>
      <c r="U96" s="226">
        <v>0.8</v>
      </c>
      <c r="V96" s="226">
        <v>0.8</v>
      </c>
      <c r="W96" s="225">
        <v>0.8</v>
      </c>
      <c r="X96" s="225">
        <v>0.8</v>
      </c>
      <c r="Y96" s="225">
        <v>0.8</v>
      </c>
      <c r="Z96" s="225">
        <v>0.8</v>
      </c>
      <c r="AA96" s="226">
        <v>0.8</v>
      </c>
      <c r="AB96" s="226">
        <v>0.6</v>
      </c>
      <c r="AC96" s="226">
        <v>0.8</v>
      </c>
      <c r="AD96" s="226">
        <v>0.8</v>
      </c>
      <c r="AE96" s="226">
        <v>0.1</v>
      </c>
      <c r="AF96" s="226">
        <v>0.1</v>
      </c>
      <c r="AG96" s="226">
        <v>0.1</v>
      </c>
      <c r="AH96" s="226">
        <v>0.1</v>
      </c>
      <c r="AI96" s="226">
        <v>0.8</v>
      </c>
      <c r="AJ96" s="226">
        <v>0.7</v>
      </c>
      <c r="AK96" s="226">
        <v>0.1</v>
      </c>
      <c r="AL96" s="226">
        <v>0.3</v>
      </c>
      <c r="AM96" s="226">
        <v>0.1</v>
      </c>
      <c r="AN96" s="226">
        <v>0.1</v>
      </c>
      <c r="AO96" s="226">
        <v>0.1</v>
      </c>
      <c r="AP96" s="226">
        <v>0.1</v>
      </c>
      <c r="AQ96" s="226">
        <v>0.1</v>
      </c>
      <c r="AR96" s="226">
        <v>0.1</v>
      </c>
      <c r="AS96" s="226">
        <v>0.1</v>
      </c>
      <c r="AT96" s="226">
        <v>0.7</v>
      </c>
      <c r="AU96" s="226">
        <v>0.3</v>
      </c>
      <c r="AV96" s="226">
        <v>0.3</v>
      </c>
      <c r="AW96" s="226">
        <v>0.3</v>
      </c>
      <c r="AX96" s="226">
        <v>0.8</v>
      </c>
      <c r="AY96" s="226">
        <v>0.8</v>
      </c>
      <c r="AZ96" s="226">
        <v>0.8</v>
      </c>
      <c r="BA96" s="226">
        <v>0.6</v>
      </c>
      <c r="BB96" s="226">
        <v>0.6</v>
      </c>
      <c r="BC96" s="226">
        <v>0.8</v>
      </c>
      <c r="BD96" s="226">
        <v>0.7</v>
      </c>
      <c r="BE96" s="226">
        <v>0.8</v>
      </c>
      <c r="BF96" s="226">
        <v>0.1</v>
      </c>
      <c r="BG96" s="226">
        <v>0.1</v>
      </c>
      <c r="BH96" s="226">
        <v>0.3</v>
      </c>
      <c r="BI96" s="226">
        <v>0.3</v>
      </c>
      <c r="BJ96" s="226">
        <v>0.3</v>
      </c>
      <c r="BK96" s="226">
        <v>0.3</v>
      </c>
      <c r="BL96" s="226">
        <v>0.3</v>
      </c>
      <c r="BM96" s="226">
        <v>0.3</v>
      </c>
      <c r="BN96" s="226">
        <v>0.7</v>
      </c>
      <c r="BO96" s="226">
        <v>0.7</v>
      </c>
      <c r="BP96" s="226">
        <v>0.8</v>
      </c>
      <c r="BQ96" s="226">
        <v>0.8</v>
      </c>
      <c r="BR96" s="226">
        <v>0.7</v>
      </c>
      <c r="BS96" s="226">
        <v>0.7</v>
      </c>
      <c r="BT96" s="226">
        <v>0.7</v>
      </c>
      <c r="BU96" s="226">
        <v>0.7</v>
      </c>
      <c r="BV96" s="226">
        <v>0.8</v>
      </c>
      <c r="BW96" s="226">
        <v>0.8</v>
      </c>
      <c r="BX96" s="226">
        <v>0.7</v>
      </c>
      <c r="BY96" s="226">
        <v>0.8</v>
      </c>
      <c r="BZ96" s="226">
        <v>0.8</v>
      </c>
      <c r="CA96" s="226">
        <v>0.8</v>
      </c>
      <c r="CB96" s="226">
        <v>0.8</v>
      </c>
      <c r="CC96" s="226">
        <v>0.8</v>
      </c>
      <c r="CD96" s="226">
        <v>0.8</v>
      </c>
      <c r="CE96" s="226">
        <v>0.8</v>
      </c>
      <c r="CF96" s="226">
        <v>0.8</v>
      </c>
      <c r="CG96" s="226">
        <v>0.8</v>
      </c>
      <c r="CH96" s="226">
        <v>0.8</v>
      </c>
      <c r="CI96" s="226">
        <v>0.8</v>
      </c>
      <c r="CJ96" s="226">
        <v>0.8</v>
      </c>
      <c r="CK96" s="226">
        <v>0.8</v>
      </c>
      <c r="CL96" s="226">
        <v>0.8</v>
      </c>
      <c r="CM96" s="226">
        <v>0.8</v>
      </c>
      <c r="CN96" s="226">
        <v>0.8</v>
      </c>
      <c r="CO96" s="226">
        <v>0.8</v>
      </c>
      <c r="CP96" s="226">
        <v>0.8</v>
      </c>
      <c r="CQ96" s="226">
        <v>0.8</v>
      </c>
      <c r="CR96" s="226">
        <v>0.8</v>
      </c>
      <c r="CS96" s="226">
        <v>0.8</v>
      </c>
      <c r="CT96" s="226">
        <v>0.8</v>
      </c>
      <c r="CU96" s="226">
        <v>0.8</v>
      </c>
      <c r="CV96" s="226">
        <v>0.8</v>
      </c>
      <c r="CW96" s="226">
        <v>0.8</v>
      </c>
      <c r="CX96" s="226">
        <v>0.8</v>
      </c>
      <c r="CY96" s="226">
        <v>0.8</v>
      </c>
      <c r="CZ96" s="226">
        <v>0.8</v>
      </c>
      <c r="DA96" s="226">
        <v>0.8</v>
      </c>
      <c r="DB96" s="226">
        <v>0.8</v>
      </c>
      <c r="DC96" s="226">
        <v>0.8</v>
      </c>
      <c r="DD96" s="226">
        <v>0.8</v>
      </c>
      <c r="DE96" s="226">
        <v>0.8</v>
      </c>
      <c r="DF96" s="226">
        <v>0.8</v>
      </c>
      <c r="DG96" s="226">
        <v>0.8</v>
      </c>
      <c r="DH96" s="226">
        <v>0.8</v>
      </c>
      <c r="DI96" s="226">
        <v>0.8</v>
      </c>
      <c r="DJ96" s="226">
        <v>0.8</v>
      </c>
      <c r="DK96" s="226">
        <v>0.8</v>
      </c>
      <c r="DL96" s="226">
        <v>0.1</v>
      </c>
      <c r="DM96" s="226">
        <v>0</v>
      </c>
      <c r="DN96" s="226">
        <v>0</v>
      </c>
      <c r="DO96" s="226">
        <v>0</v>
      </c>
      <c r="DP96" s="226">
        <v>0</v>
      </c>
      <c r="DQ96" s="226">
        <v>0</v>
      </c>
      <c r="DR96" s="226">
        <v>0</v>
      </c>
      <c r="DS96" s="226">
        <v>0</v>
      </c>
    </row>
    <row r="97" spans="1:123" x14ac:dyDescent="0.15">
      <c r="A97" s="156" t="s">
        <v>316</v>
      </c>
      <c r="B97">
        <v>0.8</v>
      </c>
      <c r="C97" s="226">
        <v>0.8</v>
      </c>
      <c r="D97" s="226">
        <v>0.8</v>
      </c>
      <c r="E97" s="226">
        <v>0.8</v>
      </c>
      <c r="F97" s="226">
        <v>0.8</v>
      </c>
      <c r="G97" s="226">
        <v>0.8</v>
      </c>
      <c r="H97" s="226">
        <v>0.8</v>
      </c>
      <c r="I97" s="226">
        <v>0.8</v>
      </c>
      <c r="J97" s="226">
        <v>0.8</v>
      </c>
      <c r="K97" s="226">
        <v>0.8</v>
      </c>
      <c r="L97" s="226">
        <v>0.8</v>
      </c>
      <c r="M97" s="226">
        <v>0.7</v>
      </c>
      <c r="N97" s="226">
        <v>0.7</v>
      </c>
      <c r="O97" s="226">
        <v>0.6</v>
      </c>
      <c r="P97" s="226">
        <v>0.6</v>
      </c>
      <c r="Q97" s="226">
        <v>0.7</v>
      </c>
      <c r="R97" s="226">
        <v>0.8</v>
      </c>
      <c r="S97" s="226">
        <v>0.8</v>
      </c>
      <c r="T97" s="226">
        <v>0.8</v>
      </c>
      <c r="U97" s="226">
        <v>0.8</v>
      </c>
      <c r="V97" s="226">
        <v>0.8</v>
      </c>
      <c r="W97" s="225">
        <v>0.8</v>
      </c>
      <c r="X97" s="225">
        <v>0.8</v>
      </c>
      <c r="Y97" s="225">
        <v>0.8</v>
      </c>
      <c r="Z97" s="225">
        <v>0.8</v>
      </c>
      <c r="AA97" s="226">
        <v>0.8</v>
      </c>
      <c r="AB97" s="226">
        <v>0.6</v>
      </c>
      <c r="AC97" s="226">
        <v>0.8</v>
      </c>
      <c r="AD97" s="226">
        <v>0.8</v>
      </c>
      <c r="AE97" s="226">
        <v>0.1</v>
      </c>
      <c r="AF97" s="226">
        <v>0.1</v>
      </c>
      <c r="AG97" s="226">
        <v>0.1</v>
      </c>
      <c r="AH97" s="226">
        <v>0.1</v>
      </c>
      <c r="AI97" s="226">
        <v>0.8</v>
      </c>
      <c r="AJ97" s="226">
        <v>0.7</v>
      </c>
      <c r="AK97" s="226">
        <v>0.1</v>
      </c>
      <c r="AL97" s="226">
        <v>0.3</v>
      </c>
      <c r="AM97" s="226">
        <v>0.1</v>
      </c>
      <c r="AN97" s="226">
        <v>0.1</v>
      </c>
      <c r="AO97" s="226">
        <v>0.1</v>
      </c>
      <c r="AP97" s="226">
        <v>0.1</v>
      </c>
      <c r="AQ97" s="226">
        <v>0.1</v>
      </c>
      <c r="AR97" s="226">
        <v>0.1</v>
      </c>
      <c r="AS97" s="226">
        <v>0.1</v>
      </c>
      <c r="AT97" s="226">
        <v>0.7</v>
      </c>
      <c r="AU97" s="226">
        <v>0.3</v>
      </c>
      <c r="AV97" s="226">
        <v>0.3</v>
      </c>
      <c r="AW97" s="226">
        <v>0.3</v>
      </c>
      <c r="AX97" s="226">
        <v>0.8</v>
      </c>
      <c r="AY97" s="226">
        <v>0.8</v>
      </c>
      <c r="AZ97" s="226">
        <v>0.8</v>
      </c>
      <c r="BA97" s="226">
        <v>0.6</v>
      </c>
      <c r="BB97" s="226">
        <v>0.6</v>
      </c>
      <c r="BC97" s="226">
        <v>0.8</v>
      </c>
      <c r="BD97" s="226">
        <v>0.7</v>
      </c>
      <c r="BE97" s="226">
        <v>0.8</v>
      </c>
      <c r="BF97" s="226">
        <v>0.1</v>
      </c>
      <c r="BG97" s="226">
        <v>0.1</v>
      </c>
      <c r="BH97" s="226">
        <v>0.3</v>
      </c>
      <c r="BI97" s="226">
        <v>0.3</v>
      </c>
      <c r="BJ97" s="226">
        <v>0.3</v>
      </c>
      <c r="BK97" s="226">
        <v>0.3</v>
      </c>
      <c r="BL97" s="226">
        <v>0.3</v>
      </c>
      <c r="BM97" s="226">
        <v>0.3</v>
      </c>
      <c r="BN97" s="226">
        <v>0.7</v>
      </c>
      <c r="BO97" s="226">
        <v>0.7</v>
      </c>
      <c r="BP97" s="226">
        <v>0.8</v>
      </c>
      <c r="BQ97" s="226">
        <v>0.8</v>
      </c>
      <c r="BR97" s="226">
        <v>0.7</v>
      </c>
      <c r="BS97" s="226">
        <v>0.7</v>
      </c>
      <c r="BT97" s="226">
        <v>0.7</v>
      </c>
      <c r="BU97" s="226">
        <v>0.7</v>
      </c>
      <c r="BV97" s="226">
        <v>0.8</v>
      </c>
      <c r="BW97" s="226">
        <v>0.8</v>
      </c>
      <c r="BX97" s="226">
        <v>0.7</v>
      </c>
      <c r="BY97" s="226">
        <v>0.8</v>
      </c>
      <c r="BZ97" s="226">
        <v>0.8</v>
      </c>
      <c r="CA97" s="226">
        <v>0.8</v>
      </c>
      <c r="CB97" s="226">
        <v>0.8</v>
      </c>
      <c r="CC97" s="226">
        <v>0.8</v>
      </c>
      <c r="CD97" s="226">
        <v>0.8</v>
      </c>
      <c r="CE97" s="226">
        <v>0.8</v>
      </c>
      <c r="CF97" s="226">
        <v>0.8</v>
      </c>
      <c r="CG97" s="226">
        <v>0.8</v>
      </c>
      <c r="CH97" s="226">
        <v>0.8</v>
      </c>
      <c r="CI97" s="226">
        <v>0.8</v>
      </c>
      <c r="CJ97" s="226">
        <v>0.8</v>
      </c>
      <c r="CK97" s="226">
        <v>0.8</v>
      </c>
      <c r="CL97" s="226">
        <v>0.8</v>
      </c>
      <c r="CM97" s="226">
        <v>0.8</v>
      </c>
      <c r="CN97" s="226">
        <v>0.8</v>
      </c>
      <c r="CO97" s="226">
        <v>0.8</v>
      </c>
      <c r="CP97" s="226">
        <v>0.8</v>
      </c>
      <c r="CQ97" s="226">
        <v>0.8</v>
      </c>
      <c r="CR97" s="226">
        <v>0.8</v>
      </c>
      <c r="CS97" s="226">
        <v>0.8</v>
      </c>
      <c r="CT97" s="226">
        <v>0.8</v>
      </c>
      <c r="CU97" s="226">
        <v>0.8</v>
      </c>
      <c r="CV97" s="226">
        <v>0.8</v>
      </c>
      <c r="CW97" s="226">
        <v>0.8</v>
      </c>
      <c r="CX97" s="226">
        <v>0.8</v>
      </c>
      <c r="CY97" s="226">
        <v>0.8</v>
      </c>
      <c r="CZ97" s="226">
        <v>0.8</v>
      </c>
      <c r="DA97" s="226">
        <v>0.8</v>
      </c>
      <c r="DB97" s="226">
        <v>0.8</v>
      </c>
      <c r="DC97" s="226">
        <v>0.8</v>
      </c>
      <c r="DD97" s="226">
        <v>0.8</v>
      </c>
      <c r="DE97" s="226">
        <v>0.8</v>
      </c>
      <c r="DF97" s="226">
        <v>0.8</v>
      </c>
      <c r="DG97" s="226">
        <v>0.8</v>
      </c>
      <c r="DH97" s="226">
        <v>0.8</v>
      </c>
      <c r="DI97" s="226">
        <v>0.8</v>
      </c>
      <c r="DJ97" s="226">
        <v>0.8</v>
      </c>
      <c r="DK97" s="226">
        <v>0.8</v>
      </c>
      <c r="DL97" s="226">
        <v>0.1</v>
      </c>
      <c r="DM97" s="226">
        <v>0</v>
      </c>
      <c r="DN97" s="226">
        <v>0</v>
      </c>
      <c r="DO97" s="226">
        <v>0</v>
      </c>
      <c r="DP97" s="226">
        <v>0</v>
      </c>
      <c r="DQ97" s="226">
        <v>0</v>
      </c>
      <c r="DR97" s="226">
        <v>0</v>
      </c>
      <c r="DS97" s="226">
        <v>0</v>
      </c>
    </row>
    <row r="98" spans="1:123" x14ac:dyDescent="0.15">
      <c r="A98" s="156" t="s">
        <v>317</v>
      </c>
      <c r="B98">
        <v>0.8</v>
      </c>
      <c r="C98" s="226">
        <v>0.8</v>
      </c>
      <c r="D98" s="226">
        <v>0.8</v>
      </c>
      <c r="E98" s="226">
        <v>0.8</v>
      </c>
      <c r="F98" s="226">
        <v>0.8</v>
      </c>
      <c r="G98" s="226">
        <v>0.8</v>
      </c>
      <c r="H98" s="226">
        <v>0.8</v>
      </c>
      <c r="I98" s="226">
        <v>0.8</v>
      </c>
      <c r="J98" s="226">
        <v>0.8</v>
      </c>
      <c r="K98" s="226">
        <v>0.8</v>
      </c>
      <c r="L98" s="226">
        <v>0.8</v>
      </c>
      <c r="M98" s="226">
        <v>0.7</v>
      </c>
      <c r="N98" s="226">
        <v>0.7</v>
      </c>
      <c r="O98" s="226">
        <v>0.6</v>
      </c>
      <c r="P98" s="226">
        <v>0.6</v>
      </c>
      <c r="Q98" s="226">
        <v>0.7</v>
      </c>
      <c r="R98" s="226">
        <v>0.8</v>
      </c>
      <c r="S98" s="226">
        <v>0.8</v>
      </c>
      <c r="T98" s="226">
        <v>0.8</v>
      </c>
      <c r="U98" s="226">
        <v>0.8</v>
      </c>
      <c r="V98" s="226">
        <v>0.8</v>
      </c>
      <c r="W98" s="225">
        <v>0.8</v>
      </c>
      <c r="X98" s="225">
        <v>0.8</v>
      </c>
      <c r="Y98" s="225">
        <v>0.8</v>
      </c>
      <c r="Z98" s="225">
        <v>0.8</v>
      </c>
      <c r="AA98" s="226">
        <v>0.8</v>
      </c>
      <c r="AB98" s="226">
        <v>0.6</v>
      </c>
      <c r="AC98" s="226">
        <v>0.8</v>
      </c>
      <c r="AD98" s="226">
        <v>0.8</v>
      </c>
      <c r="AE98" s="226">
        <v>0.1</v>
      </c>
      <c r="AF98" s="226">
        <v>0.1</v>
      </c>
      <c r="AG98" s="226">
        <v>0.1</v>
      </c>
      <c r="AH98" s="226">
        <v>0.1</v>
      </c>
      <c r="AI98" s="226">
        <v>0.8</v>
      </c>
      <c r="AJ98" s="226">
        <v>0.7</v>
      </c>
      <c r="AK98" s="226">
        <v>0.1</v>
      </c>
      <c r="AL98" s="226">
        <v>0.3</v>
      </c>
      <c r="AM98" s="226">
        <v>0.1</v>
      </c>
      <c r="AN98" s="226">
        <v>0.1</v>
      </c>
      <c r="AO98" s="226">
        <v>0.1</v>
      </c>
      <c r="AP98" s="226">
        <v>0.1</v>
      </c>
      <c r="AQ98" s="226">
        <v>0.1</v>
      </c>
      <c r="AR98" s="226">
        <v>0.1</v>
      </c>
      <c r="AS98" s="226">
        <v>0.1</v>
      </c>
      <c r="AT98" s="226">
        <v>0.7</v>
      </c>
      <c r="AU98" s="226">
        <v>0.3</v>
      </c>
      <c r="AV98" s="226">
        <v>0.3</v>
      </c>
      <c r="AW98" s="226">
        <v>0.3</v>
      </c>
      <c r="AX98" s="226">
        <v>0.8</v>
      </c>
      <c r="AY98" s="226">
        <v>0.8</v>
      </c>
      <c r="AZ98" s="226">
        <v>0.8</v>
      </c>
      <c r="BA98" s="226">
        <v>0.6</v>
      </c>
      <c r="BB98" s="226">
        <v>0.6</v>
      </c>
      <c r="BC98" s="226">
        <v>0.8</v>
      </c>
      <c r="BD98" s="226">
        <v>0.7</v>
      </c>
      <c r="BE98" s="226">
        <v>0.8</v>
      </c>
      <c r="BF98" s="226">
        <v>0.1</v>
      </c>
      <c r="BG98" s="226">
        <v>0.1</v>
      </c>
      <c r="BH98" s="226">
        <v>0.3</v>
      </c>
      <c r="BI98" s="226">
        <v>0.3</v>
      </c>
      <c r="BJ98" s="226">
        <v>0.3</v>
      </c>
      <c r="BK98" s="226">
        <v>0.3</v>
      </c>
      <c r="BL98" s="226">
        <v>0.3</v>
      </c>
      <c r="BM98" s="226">
        <v>0.3</v>
      </c>
      <c r="BN98" s="226">
        <v>0.7</v>
      </c>
      <c r="BO98" s="226">
        <v>0.7</v>
      </c>
      <c r="BP98" s="226">
        <v>0.8</v>
      </c>
      <c r="BQ98" s="226">
        <v>0.8</v>
      </c>
      <c r="BR98" s="226">
        <v>0.7</v>
      </c>
      <c r="BS98" s="226">
        <v>0.7</v>
      </c>
      <c r="BT98" s="226">
        <v>0.7</v>
      </c>
      <c r="BU98" s="226">
        <v>0.7</v>
      </c>
      <c r="BV98" s="226">
        <v>0.8</v>
      </c>
      <c r="BW98" s="226">
        <v>0.8</v>
      </c>
      <c r="BX98" s="226">
        <v>0.7</v>
      </c>
      <c r="BY98" s="226">
        <v>0.8</v>
      </c>
      <c r="BZ98" s="226">
        <v>0.8</v>
      </c>
      <c r="CA98" s="226">
        <v>0.8</v>
      </c>
      <c r="CB98" s="226">
        <v>0.8</v>
      </c>
      <c r="CC98" s="226">
        <v>0.8</v>
      </c>
      <c r="CD98" s="226">
        <v>0.8</v>
      </c>
      <c r="CE98" s="226">
        <v>0.8</v>
      </c>
      <c r="CF98" s="226">
        <v>0.8</v>
      </c>
      <c r="CG98" s="226">
        <v>0.8</v>
      </c>
      <c r="CH98" s="226">
        <v>0.8</v>
      </c>
      <c r="CI98" s="226">
        <v>0.8</v>
      </c>
      <c r="CJ98" s="226">
        <v>0.8</v>
      </c>
      <c r="CK98" s="226">
        <v>0.8</v>
      </c>
      <c r="CL98" s="226">
        <v>0.8</v>
      </c>
      <c r="CM98" s="226">
        <v>0.8</v>
      </c>
      <c r="CN98" s="226">
        <v>0.8</v>
      </c>
      <c r="CO98" s="226">
        <v>0.8</v>
      </c>
      <c r="CP98" s="226">
        <v>0.8</v>
      </c>
      <c r="CQ98" s="226">
        <v>0.8</v>
      </c>
      <c r="CR98" s="226">
        <v>0.8</v>
      </c>
      <c r="CS98" s="226">
        <v>0.8</v>
      </c>
      <c r="CT98" s="226">
        <v>0.8</v>
      </c>
      <c r="CU98" s="226">
        <v>0.8</v>
      </c>
      <c r="CV98" s="226">
        <v>0.8</v>
      </c>
      <c r="CW98" s="226">
        <v>0.8</v>
      </c>
      <c r="CX98" s="226">
        <v>0.8</v>
      </c>
      <c r="CY98" s="226">
        <v>0.8</v>
      </c>
      <c r="CZ98" s="226">
        <v>0.8</v>
      </c>
      <c r="DA98" s="226">
        <v>0.8</v>
      </c>
      <c r="DB98" s="226">
        <v>0.8</v>
      </c>
      <c r="DC98" s="226">
        <v>0.8</v>
      </c>
      <c r="DD98" s="226">
        <v>0.8</v>
      </c>
      <c r="DE98" s="226">
        <v>0.8</v>
      </c>
      <c r="DF98" s="226">
        <v>0.8</v>
      </c>
      <c r="DG98" s="226">
        <v>0.8</v>
      </c>
      <c r="DH98" s="226">
        <v>0.8</v>
      </c>
      <c r="DI98" s="226">
        <v>0.8</v>
      </c>
      <c r="DJ98" s="226">
        <v>0.8</v>
      </c>
      <c r="DK98" s="226">
        <v>0.8</v>
      </c>
      <c r="DL98" s="226">
        <v>0.1</v>
      </c>
      <c r="DM98" s="226">
        <v>0</v>
      </c>
      <c r="DN98" s="226">
        <v>0</v>
      </c>
      <c r="DO98" s="226">
        <v>0</v>
      </c>
      <c r="DP98" s="226">
        <v>0</v>
      </c>
      <c r="DQ98" s="226">
        <v>0</v>
      </c>
      <c r="DR98" s="226">
        <v>0</v>
      </c>
      <c r="DS98" s="226">
        <v>0</v>
      </c>
    </row>
    <row r="99" spans="1:123" x14ac:dyDescent="0.15">
      <c r="A99" s="156" t="s">
        <v>318</v>
      </c>
      <c r="B99">
        <v>0.8</v>
      </c>
      <c r="C99" s="226">
        <v>0.8</v>
      </c>
      <c r="D99" s="226">
        <v>0.8</v>
      </c>
      <c r="E99" s="226">
        <v>0.8</v>
      </c>
      <c r="F99" s="226">
        <v>0.8</v>
      </c>
      <c r="G99" s="226">
        <v>0.8</v>
      </c>
      <c r="H99" s="226">
        <v>0.8</v>
      </c>
      <c r="I99" s="226">
        <v>0.8</v>
      </c>
      <c r="J99" s="226">
        <v>0.8</v>
      </c>
      <c r="K99" s="226">
        <v>0.8</v>
      </c>
      <c r="L99" s="226">
        <v>0.8</v>
      </c>
      <c r="M99" s="226">
        <v>0.7</v>
      </c>
      <c r="N99" s="226">
        <v>0.7</v>
      </c>
      <c r="O99" s="226">
        <v>0.6</v>
      </c>
      <c r="P99" s="226">
        <v>0.6</v>
      </c>
      <c r="Q99" s="226">
        <v>0.7</v>
      </c>
      <c r="R99" s="226">
        <v>0.8</v>
      </c>
      <c r="S99" s="226">
        <v>0.8</v>
      </c>
      <c r="T99" s="226">
        <v>0.8</v>
      </c>
      <c r="U99" s="226">
        <v>0.8</v>
      </c>
      <c r="V99" s="226">
        <v>0.8</v>
      </c>
      <c r="W99" s="225">
        <v>0.8</v>
      </c>
      <c r="X99" s="225">
        <v>0.8</v>
      </c>
      <c r="Y99" s="225">
        <v>0.8</v>
      </c>
      <c r="Z99" s="225">
        <v>0.8</v>
      </c>
      <c r="AA99" s="226">
        <v>0.8</v>
      </c>
      <c r="AB99" s="226">
        <v>0.6</v>
      </c>
      <c r="AC99" s="226">
        <v>0.8</v>
      </c>
      <c r="AD99" s="226">
        <v>0.8</v>
      </c>
      <c r="AE99" s="226">
        <v>0.1</v>
      </c>
      <c r="AF99" s="226">
        <v>0.1</v>
      </c>
      <c r="AG99" s="226">
        <v>0.1</v>
      </c>
      <c r="AH99" s="226">
        <v>0.1</v>
      </c>
      <c r="AI99" s="226">
        <v>0.8</v>
      </c>
      <c r="AJ99" s="226">
        <v>0.7</v>
      </c>
      <c r="AK99" s="226">
        <v>0.1</v>
      </c>
      <c r="AL99" s="226">
        <v>0.3</v>
      </c>
      <c r="AM99" s="226">
        <v>0.1</v>
      </c>
      <c r="AN99" s="226">
        <v>0.1</v>
      </c>
      <c r="AO99" s="226">
        <v>0.1</v>
      </c>
      <c r="AP99" s="226">
        <v>0.1</v>
      </c>
      <c r="AQ99" s="226">
        <v>0.1</v>
      </c>
      <c r="AR99" s="226">
        <v>0.1</v>
      </c>
      <c r="AS99" s="226">
        <v>0.1</v>
      </c>
      <c r="AT99" s="226">
        <v>0.7</v>
      </c>
      <c r="AU99" s="226">
        <v>0.3</v>
      </c>
      <c r="AV99" s="226">
        <v>0.3</v>
      </c>
      <c r="AW99" s="226">
        <v>0.3</v>
      </c>
      <c r="AX99" s="226">
        <v>0.8</v>
      </c>
      <c r="AY99" s="226">
        <v>0.8</v>
      </c>
      <c r="AZ99" s="226">
        <v>0.8</v>
      </c>
      <c r="BA99" s="226">
        <v>0.6</v>
      </c>
      <c r="BB99" s="226">
        <v>0.6</v>
      </c>
      <c r="BC99" s="226">
        <v>0.8</v>
      </c>
      <c r="BD99" s="226">
        <v>0.7</v>
      </c>
      <c r="BE99" s="226">
        <v>0.8</v>
      </c>
      <c r="BF99" s="226">
        <v>0.1</v>
      </c>
      <c r="BG99" s="226">
        <v>0.1</v>
      </c>
      <c r="BH99" s="226">
        <v>0.3</v>
      </c>
      <c r="BI99" s="226">
        <v>0.3</v>
      </c>
      <c r="BJ99" s="226">
        <v>0.3</v>
      </c>
      <c r="BK99" s="226">
        <v>0.3</v>
      </c>
      <c r="BL99" s="226">
        <v>0.3</v>
      </c>
      <c r="BM99" s="226">
        <v>0.3</v>
      </c>
      <c r="BN99" s="226">
        <v>0.7</v>
      </c>
      <c r="BO99" s="226">
        <v>0.7</v>
      </c>
      <c r="BP99" s="226">
        <v>0.8</v>
      </c>
      <c r="BQ99" s="226">
        <v>0.8</v>
      </c>
      <c r="BR99" s="226">
        <v>0.7</v>
      </c>
      <c r="BS99" s="226">
        <v>0.7</v>
      </c>
      <c r="BT99" s="226">
        <v>0.7</v>
      </c>
      <c r="BU99" s="226">
        <v>0.7</v>
      </c>
      <c r="BV99" s="226">
        <v>0.8</v>
      </c>
      <c r="BW99" s="226">
        <v>0.8</v>
      </c>
      <c r="BX99" s="226">
        <v>0.7</v>
      </c>
      <c r="BY99" s="226">
        <v>0.8</v>
      </c>
      <c r="BZ99" s="226">
        <v>0.8</v>
      </c>
      <c r="CA99" s="226">
        <v>0.8</v>
      </c>
      <c r="CB99" s="226">
        <v>0.8</v>
      </c>
      <c r="CC99" s="226">
        <v>0.8</v>
      </c>
      <c r="CD99" s="226">
        <v>0.8</v>
      </c>
      <c r="CE99" s="226">
        <v>0.8</v>
      </c>
      <c r="CF99" s="226">
        <v>0.8</v>
      </c>
      <c r="CG99" s="226">
        <v>0.8</v>
      </c>
      <c r="CH99" s="226">
        <v>0.8</v>
      </c>
      <c r="CI99" s="226">
        <v>0.8</v>
      </c>
      <c r="CJ99" s="226">
        <v>0.8</v>
      </c>
      <c r="CK99" s="226">
        <v>0.8</v>
      </c>
      <c r="CL99" s="226">
        <v>0.8</v>
      </c>
      <c r="CM99" s="226">
        <v>0.8</v>
      </c>
      <c r="CN99" s="226">
        <v>0.8</v>
      </c>
      <c r="CO99" s="226">
        <v>0.8</v>
      </c>
      <c r="CP99" s="226">
        <v>0.8</v>
      </c>
      <c r="CQ99" s="226">
        <v>0.8</v>
      </c>
      <c r="CR99" s="226">
        <v>0.8</v>
      </c>
      <c r="CS99" s="226">
        <v>0.8</v>
      </c>
      <c r="CT99" s="226">
        <v>0.8</v>
      </c>
      <c r="CU99" s="226">
        <v>0.8</v>
      </c>
      <c r="CV99" s="226">
        <v>0.8</v>
      </c>
      <c r="CW99" s="226">
        <v>0.8</v>
      </c>
      <c r="CX99" s="226">
        <v>0.8</v>
      </c>
      <c r="CY99" s="226">
        <v>0.8</v>
      </c>
      <c r="CZ99" s="226">
        <v>0.8</v>
      </c>
      <c r="DA99" s="226">
        <v>0.8</v>
      </c>
      <c r="DB99" s="226">
        <v>0.8</v>
      </c>
      <c r="DC99" s="226">
        <v>0.8</v>
      </c>
      <c r="DD99" s="226">
        <v>0.8</v>
      </c>
      <c r="DE99" s="226">
        <v>0.8</v>
      </c>
      <c r="DF99" s="226">
        <v>0.8</v>
      </c>
      <c r="DG99" s="226">
        <v>0.8</v>
      </c>
      <c r="DH99" s="226">
        <v>0.8</v>
      </c>
      <c r="DI99" s="226">
        <v>0.8</v>
      </c>
      <c r="DJ99" s="226">
        <v>0.8</v>
      </c>
      <c r="DK99" s="226">
        <v>0.8</v>
      </c>
      <c r="DL99" s="226">
        <v>0.1</v>
      </c>
      <c r="DM99" s="226">
        <v>0</v>
      </c>
      <c r="DN99" s="226">
        <v>0</v>
      </c>
      <c r="DO99" s="226">
        <v>0</v>
      </c>
      <c r="DP99" s="226">
        <v>0</v>
      </c>
      <c r="DQ99" s="226">
        <v>0</v>
      </c>
      <c r="DR99" s="226">
        <v>0</v>
      </c>
      <c r="DS99" s="226">
        <v>0</v>
      </c>
    </row>
    <row r="100" spans="1:123" x14ac:dyDescent="0.15">
      <c r="A100" s="156" t="s">
        <v>319</v>
      </c>
      <c r="B100">
        <v>0.8</v>
      </c>
      <c r="C100" s="226">
        <v>0.8</v>
      </c>
      <c r="D100" s="226">
        <v>0.8</v>
      </c>
      <c r="E100" s="226">
        <v>0.8</v>
      </c>
      <c r="F100" s="226">
        <v>0.8</v>
      </c>
      <c r="G100" s="226">
        <v>0.8</v>
      </c>
      <c r="H100" s="226">
        <v>0.8</v>
      </c>
      <c r="I100" s="226">
        <v>0.8</v>
      </c>
      <c r="J100" s="226">
        <v>0.8</v>
      </c>
      <c r="K100" s="226">
        <v>0.8</v>
      </c>
      <c r="L100" s="226">
        <v>0.8</v>
      </c>
      <c r="M100" s="226">
        <v>0.7</v>
      </c>
      <c r="N100" s="226">
        <v>0.7</v>
      </c>
      <c r="O100" s="226">
        <v>0.6</v>
      </c>
      <c r="P100" s="226">
        <v>0.6</v>
      </c>
      <c r="Q100" s="226">
        <v>0.7</v>
      </c>
      <c r="R100" s="226">
        <v>0.8</v>
      </c>
      <c r="S100" s="226">
        <v>0.8</v>
      </c>
      <c r="T100" s="226">
        <v>0.8</v>
      </c>
      <c r="U100" s="226">
        <v>0.8</v>
      </c>
      <c r="V100" s="226">
        <v>0.8</v>
      </c>
      <c r="W100" s="225">
        <v>0.8</v>
      </c>
      <c r="X100" s="225">
        <v>0.8</v>
      </c>
      <c r="Y100" s="225">
        <v>0.8</v>
      </c>
      <c r="Z100" s="225">
        <v>0.8</v>
      </c>
      <c r="AA100" s="226">
        <v>0.8</v>
      </c>
      <c r="AB100" s="226">
        <v>0.6</v>
      </c>
      <c r="AC100" s="226">
        <v>0.8</v>
      </c>
      <c r="AD100" s="226">
        <v>0.8</v>
      </c>
      <c r="AE100" s="226">
        <v>0.1</v>
      </c>
      <c r="AF100" s="226">
        <v>0.1</v>
      </c>
      <c r="AG100" s="226">
        <v>0.1</v>
      </c>
      <c r="AH100" s="226">
        <v>0.1</v>
      </c>
      <c r="AI100" s="226">
        <v>0.8</v>
      </c>
      <c r="AJ100" s="226">
        <v>0.7</v>
      </c>
      <c r="AK100" s="226">
        <v>0.1</v>
      </c>
      <c r="AL100" s="226">
        <v>0.3</v>
      </c>
      <c r="AM100" s="226">
        <v>0.1</v>
      </c>
      <c r="AN100" s="226">
        <v>0.1</v>
      </c>
      <c r="AO100" s="226">
        <v>0.1</v>
      </c>
      <c r="AP100" s="226">
        <v>0.1</v>
      </c>
      <c r="AQ100" s="226">
        <v>0.1</v>
      </c>
      <c r="AR100" s="226">
        <v>0.1</v>
      </c>
      <c r="AS100" s="226">
        <v>0.1</v>
      </c>
      <c r="AT100" s="226">
        <v>0.7</v>
      </c>
      <c r="AU100" s="226">
        <v>0.3</v>
      </c>
      <c r="AV100" s="226">
        <v>0.3</v>
      </c>
      <c r="AW100" s="226">
        <v>0.3</v>
      </c>
      <c r="AX100" s="226">
        <v>0.8</v>
      </c>
      <c r="AY100" s="226">
        <v>0.8</v>
      </c>
      <c r="AZ100" s="226">
        <v>0.8</v>
      </c>
      <c r="BA100" s="226">
        <v>0.6</v>
      </c>
      <c r="BB100" s="226">
        <v>0.6</v>
      </c>
      <c r="BC100" s="226">
        <v>0.8</v>
      </c>
      <c r="BD100" s="226">
        <v>0.7</v>
      </c>
      <c r="BE100" s="226">
        <v>0.8</v>
      </c>
      <c r="BF100" s="226">
        <v>0.1</v>
      </c>
      <c r="BG100" s="226">
        <v>0.1</v>
      </c>
      <c r="BH100" s="226">
        <v>0.3</v>
      </c>
      <c r="BI100" s="226">
        <v>0.3</v>
      </c>
      <c r="BJ100" s="226">
        <v>0.3</v>
      </c>
      <c r="BK100" s="226">
        <v>0.3</v>
      </c>
      <c r="BL100" s="226">
        <v>0.3</v>
      </c>
      <c r="BM100" s="226">
        <v>0.3</v>
      </c>
      <c r="BN100" s="226">
        <v>0.7</v>
      </c>
      <c r="BO100" s="226">
        <v>0.7</v>
      </c>
      <c r="BP100" s="226">
        <v>0.8</v>
      </c>
      <c r="BQ100" s="226">
        <v>0.8</v>
      </c>
      <c r="BR100" s="226">
        <v>0.7</v>
      </c>
      <c r="BS100" s="226">
        <v>0.7</v>
      </c>
      <c r="BT100" s="226">
        <v>0.7</v>
      </c>
      <c r="BU100" s="226">
        <v>0.7</v>
      </c>
      <c r="BV100" s="226">
        <v>0.8</v>
      </c>
      <c r="BW100" s="226">
        <v>0.8</v>
      </c>
      <c r="BX100" s="226">
        <v>0.7</v>
      </c>
      <c r="BY100" s="226">
        <v>0.8</v>
      </c>
      <c r="BZ100" s="226">
        <v>0.8</v>
      </c>
      <c r="CA100" s="226">
        <v>0.8</v>
      </c>
      <c r="CB100" s="226">
        <v>0.8</v>
      </c>
      <c r="CC100" s="226">
        <v>0.8</v>
      </c>
      <c r="CD100" s="226">
        <v>0.8</v>
      </c>
      <c r="CE100" s="226">
        <v>0.8</v>
      </c>
      <c r="CF100" s="226">
        <v>0.8</v>
      </c>
      <c r="CG100" s="226">
        <v>0.8</v>
      </c>
      <c r="CH100" s="226">
        <v>0.8</v>
      </c>
      <c r="CI100" s="226">
        <v>0.8</v>
      </c>
      <c r="CJ100" s="226">
        <v>0.8</v>
      </c>
      <c r="CK100" s="226">
        <v>0.8</v>
      </c>
      <c r="CL100" s="226">
        <v>0.8</v>
      </c>
      <c r="CM100" s="226">
        <v>0.8</v>
      </c>
      <c r="CN100" s="226">
        <v>0.8</v>
      </c>
      <c r="CO100" s="226">
        <v>0.8</v>
      </c>
      <c r="CP100" s="226">
        <v>0.8</v>
      </c>
      <c r="CQ100" s="226">
        <v>0.8</v>
      </c>
      <c r="CR100" s="226">
        <v>0.8</v>
      </c>
      <c r="CS100" s="226">
        <v>0.8</v>
      </c>
      <c r="CT100" s="226">
        <v>0.8</v>
      </c>
      <c r="CU100" s="226">
        <v>0.8</v>
      </c>
      <c r="CV100" s="226">
        <v>0.8</v>
      </c>
      <c r="CW100" s="226">
        <v>0.8</v>
      </c>
      <c r="CX100" s="226">
        <v>0.8</v>
      </c>
      <c r="CY100" s="226">
        <v>0.8</v>
      </c>
      <c r="CZ100" s="226">
        <v>0.8</v>
      </c>
      <c r="DA100" s="226">
        <v>0.8</v>
      </c>
      <c r="DB100" s="226">
        <v>0.8</v>
      </c>
      <c r="DC100" s="226">
        <v>0.8</v>
      </c>
      <c r="DD100" s="226">
        <v>0.8</v>
      </c>
      <c r="DE100" s="226">
        <v>0.8</v>
      </c>
      <c r="DF100" s="226">
        <v>0.8</v>
      </c>
      <c r="DG100" s="226">
        <v>0.8</v>
      </c>
      <c r="DH100" s="226">
        <v>0.8</v>
      </c>
      <c r="DI100" s="226">
        <v>0.8</v>
      </c>
      <c r="DJ100" s="226">
        <v>0.8</v>
      </c>
      <c r="DK100" s="226">
        <v>0.8</v>
      </c>
      <c r="DL100" s="226">
        <v>0.1</v>
      </c>
      <c r="DM100" s="226">
        <v>0</v>
      </c>
      <c r="DN100" s="226">
        <v>0</v>
      </c>
      <c r="DO100" s="226">
        <v>0</v>
      </c>
      <c r="DP100" s="226">
        <v>0</v>
      </c>
      <c r="DQ100" s="226">
        <v>0</v>
      </c>
      <c r="DR100" s="226">
        <v>0</v>
      </c>
      <c r="DS100" s="226">
        <v>0</v>
      </c>
    </row>
    <row r="101" spans="1:123" x14ac:dyDescent="0.15">
      <c r="A101" s="156" t="s">
        <v>320</v>
      </c>
      <c r="B101">
        <v>0.8</v>
      </c>
      <c r="C101" s="226">
        <v>0.8</v>
      </c>
      <c r="D101" s="226">
        <v>0.8</v>
      </c>
      <c r="E101" s="226">
        <v>0.8</v>
      </c>
      <c r="F101" s="226">
        <v>0.8</v>
      </c>
      <c r="G101" s="226">
        <v>0.8</v>
      </c>
      <c r="H101" s="226">
        <v>0.8</v>
      </c>
      <c r="I101" s="226">
        <v>0.8</v>
      </c>
      <c r="J101" s="226">
        <v>0.8</v>
      </c>
      <c r="K101" s="226">
        <v>0.8</v>
      </c>
      <c r="L101" s="226">
        <v>0.8</v>
      </c>
      <c r="M101" s="226">
        <v>0.7</v>
      </c>
      <c r="N101" s="226">
        <v>0.7</v>
      </c>
      <c r="O101" s="226">
        <v>0.6</v>
      </c>
      <c r="P101" s="226">
        <v>0.6</v>
      </c>
      <c r="Q101" s="226">
        <v>0.7</v>
      </c>
      <c r="R101" s="226">
        <v>0.8</v>
      </c>
      <c r="S101" s="226">
        <v>0.8</v>
      </c>
      <c r="T101" s="226">
        <v>0.8</v>
      </c>
      <c r="U101" s="226">
        <v>0.8</v>
      </c>
      <c r="V101" s="226">
        <v>0.8</v>
      </c>
      <c r="W101" s="225">
        <v>0.8</v>
      </c>
      <c r="X101" s="225">
        <v>0.8</v>
      </c>
      <c r="Y101" s="225">
        <v>0.8</v>
      </c>
      <c r="Z101" s="225">
        <v>0.8</v>
      </c>
      <c r="AA101" s="226">
        <v>0.8</v>
      </c>
      <c r="AB101" s="226">
        <v>0.6</v>
      </c>
      <c r="AC101" s="226">
        <v>0.8</v>
      </c>
      <c r="AD101" s="226">
        <v>0.8</v>
      </c>
      <c r="AE101" s="226">
        <v>0.1</v>
      </c>
      <c r="AF101" s="226">
        <v>0.1</v>
      </c>
      <c r="AG101" s="226">
        <v>0.1</v>
      </c>
      <c r="AH101" s="226">
        <v>0.1</v>
      </c>
      <c r="AI101" s="226">
        <v>0.8</v>
      </c>
      <c r="AJ101" s="226">
        <v>0.7</v>
      </c>
      <c r="AK101" s="226">
        <v>0.1</v>
      </c>
      <c r="AL101" s="226">
        <v>0.3</v>
      </c>
      <c r="AM101" s="226">
        <v>0.1</v>
      </c>
      <c r="AN101" s="226">
        <v>0.1</v>
      </c>
      <c r="AO101" s="226">
        <v>0.1</v>
      </c>
      <c r="AP101" s="226">
        <v>0.1</v>
      </c>
      <c r="AQ101" s="226">
        <v>0.1</v>
      </c>
      <c r="AR101" s="226">
        <v>0.1</v>
      </c>
      <c r="AS101" s="226">
        <v>0.1</v>
      </c>
      <c r="AT101" s="226">
        <v>0.7</v>
      </c>
      <c r="AU101" s="226">
        <v>0.3</v>
      </c>
      <c r="AV101" s="226">
        <v>0.3</v>
      </c>
      <c r="AW101" s="226">
        <v>0.3</v>
      </c>
      <c r="AX101" s="226">
        <v>0.8</v>
      </c>
      <c r="AY101" s="226">
        <v>0.8</v>
      </c>
      <c r="AZ101" s="226">
        <v>0.8</v>
      </c>
      <c r="BA101" s="226">
        <v>0.6</v>
      </c>
      <c r="BB101" s="226">
        <v>0.6</v>
      </c>
      <c r="BC101" s="226">
        <v>0.8</v>
      </c>
      <c r="BD101" s="226">
        <v>0.7</v>
      </c>
      <c r="BE101" s="226">
        <v>0.8</v>
      </c>
      <c r="BF101" s="226">
        <v>0.1</v>
      </c>
      <c r="BG101" s="226">
        <v>0.1</v>
      </c>
      <c r="BH101" s="226">
        <v>0.3</v>
      </c>
      <c r="BI101" s="226">
        <v>0.3</v>
      </c>
      <c r="BJ101" s="226">
        <v>0.3</v>
      </c>
      <c r="BK101" s="226">
        <v>0.3</v>
      </c>
      <c r="BL101" s="226">
        <v>0.3</v>
      </c>
      <c r="BM101" s="226">
        <v>0.3</v>
      </c>
      <c r="BN101" s="226">
        <v>0.7</v>
      </c>
      <c r="BO101" s="226">
        <v>0.7</v>
      </c>
      <c r="BP101" s="226">
        <v>0.8</v>
      </c>
      <c r="BQ101" s="226">
        <v>0.8</v>
      </c>
      <c r="BR101" s="226">
        <v>0.7</v>
      </c>
      <c r="BS101" s="226">
        <v>0.7</v>
      </c>
      <c r="BT101" s="226">
        <v>0.7</v>
      </c>
      <c r="BU101" s="226">
        <v>0.7</v>
      </c>
      <c r="BV101" s="226">
        <v>0.8</v>
      </c>
      <c r="BW101" s="226">
        <v>0.8</v>
      </c>
      <c r="BX101" s="226">
        <v>0.7</v>
      </c>
      <c r="BY101" s="226">
        <v>0.8</v>
      </c>
      <c r="BZ101" s="226">
        <v>0.8</v>
      </c>
      <c r="CA101" s="226">
        <v>0.8</v>
      </c>
      <c r="CB101" s="226">
        <v>0.8</v>
      </c>
      <c r="CC101" s="226">
        <v>0.8</v>
      </c>
      <c r="CD101" s="226">
        <v>0.8</v>
      </c>
      <c r="CE101" s="226">
        <v>0.8</v>
      </c>
      <c r="CF101" s="226">
        <v>0.8</v>
      </c>
      <c r="CG101" s="226">
        <v>0.8</v>
      </c>
      <c r="CH101" s="226">
        <v>0.8</v>
      </c>
      <c r="CI101" s="226">
        <v>0.8</v>
      </c>
      <c r="CJ101" s="226">
        <v>0.8</v>
      </c>
      <c r="CK101" s="226">
        <v>0.8</v>
      </c>
      <c r="CL101" s="226">
        <v>0.8</v>
      </c>
      <c r="CM101" s="226">
        <v>0.8</v>
      </c>
      <c r="CN101" s="226">
        <v>0.8</v>
      </c>
      <c r="CO101" s="226">
        <v>0.8</v>
      </c>
      <c r="CP101" s="226">
        <v>0.8</v>
      </c>
      <c r="CQ101" s="226">
        <v>0.8</v>
      </c>
      <c r="CR101" s="226">
        <v>0.8</v>
      </c>
      <c r="CS101" s="226">
        <v>0.8</v>
      </c>
      <c r="CT101" s="226">
        <v>0.8</v>
      </c>
      <c r="CU101" s="226">
        <v>0.8</v>
      </c>
      <c r="CV101" s="226">
        <v>0.8</v>
      </c>
      <c r="CW101" s="226">
        <v>0.8</v>
      </c>
      <c r="CX101" s="226">
        <v>0.8</v>
      </c>
      <c r="CY101" s="226">
        <v>0.8</v>
      </c>
      <c r="CZ101" s="226">
        <v>0.8</v>
      </c>
      <c r="DA101" s="226">
        <v>0.8</v>
      </c>
      <c r="DB101" s="226">
        <v>0.8</v>
      </c>
      <c r="DC101" s="226">
        <v>0.8</v>
      </c>
      <c r="DD101" s="226">
        <v>0.8</v>
      </c>
      <c r="DE101" s="226">
        <v>0.8</v>
      </c>
      <c r="DF101" s="226">
        <v>0.8</v>
      </c>
      <c r="DG101" s="226">
        <v>0.8</v>
      </c>
      <c r="DH101" s="226">
        <v>0.8</v>
      </c>
      <c r="DI101" s="226">
        <v>0.8</v>
      </c>
      <c r="DJ101" s="226">
        <v>0.8</v>
      </c>
      <c r="DK101" s="226">
        <v>0.8</v>
      </c>
      <c r="DL101" s="226">
        <v>0.1</v>
      </c>
      <c r="DM101" s="226">
        <v>0</v>
      </c>
      <c r="DN101" s="226">
        <v>0</v>
      </c>
      <c r="DO101" s="226">
        <v>0</v>
      </c>
      <c r="DP101" s="226">
        <v>0</v>
      </c>
      <c r="DQ101" s="226">
        <v>0</v>
      </c>
      <c r="DR101" s="226">
        <v>0</v>
      </c>
      <c r="DS101" s="226">
        <v>0</v>
      </c>
    </row>
    <row r="102" spans="1:123" x14ac:dyDescent="0.15">
      <c r="A102" s="156" t="s">
        <v>321</v>
      </c>
      <c r="B102">
        <v>0.8</v>
      </c>
      <c r="C102" s="226">
        <v>0.8</v>
      </c>
      <c r="D102" s="226">
        <v>0.8</v>
      </c>
      <c r="E102" s="226">
        <v>0.8</v>
      </c>
      <c r="F102" s="226">
        <v>0.8</v>
      </c>
      <c r="G102" s="226">
        <v>0.8</v>
      </c>
      <c r="H102" s="226">
        <v>0.8</v>
      </c>
      <c r="I102" s="226">
        <v>0.8</v>
      </c>
      <c r="J102" s="226">
        <v>0.8</v>
      </c>
      <c r="K102" s="226">
        <v>0.8</v>
      </c>
      <c r="L102" s="226">
        <v>0.8</v>
      </c>
      <c r="M102" s="226">
        <v>0.7</v>
      </c>
      <c r="N102" s="226">
        <v>0.7</v>
      </c>
      <c r="O102" s="226">
        <v>0.6</v>
      </c>
      <c r="P102" s="226">
        <v>0.6</v>
      </c>
      <c r="Q102" s="226">
        <v>0.7</v>
      </c>
      <c r="R102" s="226">
        <v>0.8</v>
      </c>
      <c r="S102" s="226">
        <v>0.8</v>
      </c>
      <c r="T102" s="226">
        <v>0.8</v>
      </c>
      <c r="U102" s="226">
        <v>0.8</v>
      </c>
      <c r="V102" s="226">
        <v>0.8</v>
      </c>
      <c r="W102" s="225">
        <v>0.8</v>
      </c>
      <c r="X102" s="225">
        <v>0.8</v>
      </c>
      <c r="Y102" s="225">
        <v>0.8</v>
      </c>
      <c r="Z102" s="225">
        <v>0.8</v>
      </c>
      <c r="AA102" s="226">
        <v>0.8</v>
      </c>
      <c r="AB102" s="226">
        <v>0.6</v>
      </c>
      <c r="AC102" s="226">
        <v>0.8</v>
      </c>
      <c r="AD102" s="226">
        <v>0.8</v>
      </c>
      <c r="AE102" s="226">
        <v>0.1</v>
      </c>
      <c r="AF102" s="226">
        <v>0.1</v>
      </c>
      <c r="AG102" s="226">
        <v>0.1</v>
      </c>
      <c r="AH102" s="226">
        <v>0.1</v>
      </c>
      <c r="AI102" s="226">
        <v>0.8</v>
      </c>
      <c r="AJ102" s="226">
        <v>0.7</v>
      </c>
      <c r="AK102" s="226">
        <v>0.1</v>
      </c>
      <c r="AL102" s="226">
        <v>0.3</v>
      </c>
      <c r="AM102" s="226">
        <v>0.1</v>
      </c>
      <c r="AN102" s="226">
        <v>0.1</v>
      </c>
      <c r="AO102" s="226">
        <v>0.1</v>
      </c>
      <c r="AP102" s="226">
        <v>0.1</v>
      </c>
      <c r="AQ102" s="226">
        <v>0.1</v>
      </c>
      <c r="AR102" s="226">
        <v>0.1</v>
      </c>
      <c r="AS102" s="226">
        <v>0.1</v>
      </c>
      <c r="AT102" s="226">
        <v>0.7</v>
      </c>
      <c r="AU102" s="226">
        <v>0.3</v>
      </c>
      <c r="AV102" s="226">
        <v>0.3</v>
      </c>
      <c r="AW102" s="226">
        <v>0.3</v>
      </c>
      <c r="AX102" s="226">
        <v>0.8</v>
      </c>
      <c r="AY102" s="226">
        <v>0.8</v>
      </c>
      <c r="AZ102" s="226">
        <v>0.8</v>
      </c>
      <c r="BA102" s="226">
        <v>0.6</v>
      </c>
      <c r="BB102" s="226">
        <v>0.6</v>
      </c>
      <c r="BC102" s="226">
        <v>0.8</v>
      </c>
      <c r="BD102" s="226">
        <v>0.7</v>
      </c>
      <c r="BE102" s="226">
        <v>0.8</v>
      </c>
      <c r="BF102" s="226">
        <v>0.1</v>
      </c>
      <c r="BG102" s="226">
        <v>0.1</v>
      </c>
      <c r="BH102" s="226">
        <v>0.3</v>
      </c>
      <c r="BI102" s="226">
        <v>0.3</v>
      </c>
      <c r="BJ102" s="226">
        <v>0.3</v>
      </c>
      <c r="BK102" s="226">
        <v>0.3</v>
      </c>
      <c r="BL102" s="226">
        <v>0.3</v>
      </c>
      <c r="BM102" s="226">
        <v>0.3</v>
      </c>
      <c r="BN102" s="226">
        <v>0.7</v>
      </c>
      <c r="BO102" s="226">
        <v>0.7</v>
      </c>
      <c r="BP102" s="226">
        <v>0.8</v>
      </c>
      <c r="BQ102" s="226">
        <v>0.8</v>
      </c>
      <c r="BR102" s="226">
        <v>0.7</v>
      </c>
      <c r="BS102" s="226">
        <v>0.7</v>
      </c>
      <c r="BT102" s="226">
        <v>0.7</v>
      </c>
      <c r="BU102" s="226">
        <v>0.7</v>
      </c>
      <c r="BV102" s="226">
        <v>0.8</v>
      </c>
      <c r="BW102" s="226">
        <v>0.8</v>
      </c>
      <c r="BX102" s="226">
        <v>0.7</v>
      </c>
      <c r="BY102" s="226">
        <v>0.8</v>
      </c>
      <c r="BZ102" s="226">
        <v>0.8</v>
      </c>
      <c r="CA102" s="226">
        <v>0.8</v>
      </c>
      <c r="CB102" s="226">
        <v>0.8</v>
      </c>
      <c r="CC102" s="226">
        <v>0.8</v>
      </c>
      <c r="CD102" s="226">
        <v>0.8</v>
      </c>
      <c r="CE102" s="226">
        <v>0.8</v>
      </c>
      <c r="CF102" s="226">
        <v>0.8</v>
      </c>
      <c r="CG102" s="226">
        <v>0.8</v>
      </c>
      <c r="CH102" s="226">
        <v>0.8</v>
      </c>
      <c r="CI102" s="226">
        <v>0.8</v>
      </c>
      <c r="CJ102" s="226">
        <v>0.8</v>
      </c>
      <c r="CK102" s="226">
        <v>0.8</v>
      </c>
      <c r="CL102" s="226">
        <v>0.8</v>
      </c>
      <c r="CM102" s="226">
        <v>0.8</v>
      </c>
      <c r="CN102" s="226">
        <v>0.8</v>
      </c>
      <c r="CO102" s="226">
        <v>0.8</v>
      </c>
      <c r="CP102" s="226">
        <v>0.8</v>
      </c>
      <c r="CQ102" s="226">
        <v>0.8</v>
      </c>
      <c r="CR102" s="226">
        <v>0.8</v>
      </c>
      <c r="CS102" s="226">
        <v>0.8</v>
      </c>
      <c r="CT102" s="226">
        <v>0.8</v>
      </c>
      <c r="CU102" s="226">
        <v>0.8</v>
      </c>
      <c r="CV102" s="226">
        <v>0.8</v>
      </c>
      <c r="CW102" s="226">
        <v>0.8</v>
      </c>
      <c r="CX102" s="226">
        <v>0.8</v>
      </c>
      <c r="CY102" s="226">
        <v>0.8</v>
      </c>
      <c r="CZ102" s="226">
        <v>0.8</v>
      </c>
      <c r="DA102" s="226">
        <v>0.8</v>
      </c>
      <c r="DB102" s="226">
        <v>0.8</v>
      </c>
      <c r="DC102" s="226">
        <v>0.8</v>
      </c>
      <c r="DD102" s="226">
        <v>0.8</v>
      </c>
      <c r="DE102" s="226">
        <v>0.8</v>
      </c>
      <c r="DF102" s="226">
        <v>0.8</v>
      </c>
      <c r="DG102" s="226">
        <v>0.8</v>
      </c>
      <c r="DH102" s="226">
        <v>0.8</v>
      </c>
      <c r="DI102" s="226">
        <v>0.8</v>
      </c>
      <c r="DJ102" s="226">
        <v>0.8</v>
      </c>
      <c r="DK102" s="226">
        <v>0.8</v>
      </c>
      <c r="DL102" s="226">
        <v>0.1</v>
      </c>
      <c r="DM102" s="226">
        <v>0</v>
      </c>
      <c r="DN102" s="226">
        <v>0</v>
      </c>
      <c r="DO102" s="226">
        <v>0</v>
      </c>
      <c r="DP102" s="226">
        <v>0</v>
      </c>
      <c r="DQ102" s="226">
        <v>0</v>
      </c>
      <c r="DR102" s="226">
        <v>0</v>
      </c>
      <c r="DS102" s="226">
        <v>0</v>
      </c>
    </row>
    <row r="103" spans="1:123" x14ac:dyDescent="0.15">
      <c r="A103" s="156" t="s">
        <v>322</v>
      </c>
      <c r="B103">
        <v>0.8</v>
      </c>
      <c r="C103" s="226">
        <v>0.8</v>
      </c>
      <c r="D103" s="226">
        <v>0.8</v>
      </c>
      <c r="E103" s="226">
        <v>0.8</v>
      </c>
      <c r="F103" s="226">
        <v>0.8</v>
      </c>
      <c r="G103" s="226">
        <v>0.8</v>
      </c>
      <c r="H103" s="226">
        <v>0.8</v>
      </c>
      <c r="I103" s="226">
        <v>0.8</v>
      </c>
      <c r="J103" s="226">
        <v>0.8</v>
      </c>
      <c r="K103" s="226">
        <v>0.8</v>
      </c>
      <c r="L103" s="226">
        <v>0.8</v>
      </c>
      <c r="M103" s="226">
        <v>0.7</v>
      </c>
      <c r="N103" s="226">
        <v>0.7</v>
      </c>
      <c r="O103" s="226">
        <v>0.6</v>
      </c>
      <c r="P103" s="226">
        <v>0.6</v>
      </c>
      <c r="Q103" s="226">
        <v>0.7</v>
      </c>
      <c r="R103" s="226">
        <v>0.8</v>
      </c>
      <c r="S103" s="226">
        <v>0.8</v>
      </c>
      <c r="T103" s="226">
        <v>0.8</v>
      </c>
      <c r="U103" s="226">
        <v>0.8</v>
      </c>
      <c r="V103" s="226">
        <v>0.8</v>
      </c>
      <c r="W103" s="225">
        <v>0.8</v>
      </c>
      <c r="X103" s="225">
        <v>0.8</v>
      </c>
      <c r="Y103" s="225">
        <v>0.8</v>
      </c>
      <c r="Z103" s="225">
        <v>0.8</v>
      </c>
      <c r="AA103" s="226">
        <v>0.8</v>
      </c>
      <c r="AB103" s="226">
        <v>0.6</v>
      </c>
      <c r="AC103" s="226">
        <v>0.8</v>
      </c>
      <c r="AD103" s="226">
        <v>0.8</v>
      </c>
      <c r="AE103" s="226">
        <v>0.1</v>
      </c>
      <c r="AF103" s="226">
        <v>0.1</v>
      </c>
      <c r="AG103" s="226">
        <v>0.1</v>
      </c>
      <c r="AH103" s="226">
        <v>0.1</v>
      </c>
      <c r="AI103" s="226">
        <v>0.8</v>
      </c>
      <c r="AJ103" s="226">
        <v>0.7</v>
      </c>
      <c r="AK103" s="226">
        <v>0.1</v>
      </c>
      <c r="AL103" s="226">
        <v>0.3</v>
      </c>
      <c r="AM103" s="226">
        <v>0.1</v>
      </c>
      <c r="AN103" s="226">
        <v>0.1</v>
      </c>
      <c r="AO103" s="226">
        <v>0.1</v>
      </c>
      <c r="AP103" s="226">
        <v>0.1</v>
      </c>
      <c r="AQ103" s="226">
        <v>0.1</v>
      </c>
      <c r="AR103" s="226">
        <v>0.1</v>
      </c>
      <c r="AS103" s="226">
        <v>0.1</v>
      </c>
      <c r="AT103" s="226">
        <v>0.7</v>
      </c>
      <c r="AU103" s="226">
        <v>0.3</v>
      </c>
      <c r="AV103" s="226">
        <v>0.3</v>
      </c>
      <c r="AW103" s="226">
        <v>0.3</v>
      </c>
      <c r="AX103" s="226">
        <v>0.8</v>
      </c>
      <c r="AY103" s="226">
        <v>0.8</v>
      </c>
      <c r="AZ103" s="226">
        <v>0.8</v>
      </c>
      <c r="BA103" s="226">
        <v>0.6</v>
      </c>
      <c r="BB103" s="226">
        <v>0.6</v>
      </c>
      <c r="BC103" s="226">
        <v>0.8</v>
      </c>
      <c r="BD103" s="226">
        <v>0.7</v>
      </c>
      <c r="BE103" s="226">
        <v>0.8</v>
      </c>
      <c r="BF103" s="226">
        <v>0.1</v>
      </c>
      <c r="BG103" s="226">
        <v>0.1</v>
      </c>
      <c r="BH103" s="226">
        <v>0.3</v>
      </c>
      <c r="BI103" s="226">
        <v>0.3</v>
      </c>
      <c r="BJ103" s="226">
        <v>0.3</v>
      </c>
      <c r="BK103" s="226">
        <v>0.3</v>
      </c>
      <c r="BL103" s="226">
        <v>0.3</v>
      </c>
      <c r="BM103" s="226">
        <v>0.3</v>
      </c>
      <c r="BN103" s="226">
        <v>0.7</v>
      </c>
      <c r="BO103" s="226">
        <v>0.7</v>
      </c>
      <c r="BP103" s="226">
        <v>0.8</v>
      </c>
      <c r="BQ103" s="226">
        <v>0.8</v>
      </c>
      <c r="BR103" s="226">
        <v>0.7</v>
      </c>
      <c r="BS103" s="226">
        <v>0.7</v>
      </c>
      <c r="BT103" s="226">
        <v>0.7</v>
      </c>
      <c r="BU103" s="226">
        <v>0.7</v>
      </c>
      <c r="BV103" s="226">
        <v>0.8</v>
      </c>
      <c r="BW103" s="226">
        <v>0.8</v>
      </c>
      <c r="BX103" s="226">
        <v>0.7</v>
      </c>
      <c r="BY103" s="226">
        <v>0.8</v>
      </c>
      <c r="BZ103" s="226">
        <v>0.8</v>
      </c>
      <c r="CA103" s="226">
        <v>0.8</v>
      </c>
      <c r="CB103" s="226">
        <v>0.8</v>
      </c>
      <c r="CC103" s="226">
        <v>0.8</v>
      </c>
      <c r="CD103" s="226">
        <v>0.8</v>
      </c>
      <c r="CE103" s="226">
        <v>0.8</v>
      </c>
      <c r="CF103" s="226">
        <v>0.8</v>
      </c>
      <c r="CG103" s="226">
        <v>0.8</v>
      </c>
      <c r="CH103" s="226">
        <v>0.8</v>
      </c>
      <c r="CI103" s="226">
        <v>0.8</v>
      </c>
      <c r="CJ103" s="226">
        <v>0.8</v>
      </c>
      <c r="CK103" s="226">
        <v>0.8</v>
      </c>
      <c r="CL103" s="226">
        <v>0.8</v>
      </c>
      <c r="CM103" s="226">
        <v>0.8</v>
      </c>
      <c r="CN103" s="226">
        <v>0.8</v>
      </c>
      <c r="CO103" s="226">
        <v>0.8</v>
      </c>
      <c r="CP103" s="226">
        <v>0.8</v>
      </c>
      <c r="CQ103" s="226">
        <v>0.8</v>
      </c>
      <c r="CR103" s="226">
        <v>0.8</v>
      </c>
      <c r="CS103" s="226">
        <v>0.8</v>
      </c>
      <c r="CT103" s="226">
        <v>0.8</v>
      </c>
      <c r="CU103" s="226">
        <v>0.8</v>
      </c>
      <c r="CV103" s="226">
        <v>0.8</v>
      </c>
      <c r="CW103" s="226">
        <v>0.8</v>
      </c>
      <c r="CX103" s="226">
        <v>0.8</v>
      </c>
      <c r="CY103" s="226">
        <v>0.8</v>
      </c>
      <c r="CZ103" s="226">
        <v>0.8</v>
      </c>
      <c r="DA103" s="226">
        <v>0.8</v>
      </c>
      <c r="DB103" s="226">
        <v>0.8</v>
      </c>
      <c r="DC103" s="226">
        <v>0.8</v>
      </c>
      <c r="DD103" s="226">
        <v>0.8</v>
      </c>
      <c r="DE103" s="226">
        <v>0.8</v>
      </c>
      <c r="DF103" s="226">
        <v>0.8</v>
      </c>
      <c r="DG103" s="226">
        <v>0.8</v>
      </c>
      <c r="DH103" s="226">
        <v>0.8</v>
      </c>
      <c r="DI103" s="226">
        <v>0.8</v>
      </c>
      <c r="DJ103" s="226">
        <v>0.8</v>
      </c>
      <c r="DK103" s="226">
        <v>0.8</v>
      </c>
      <c r="DL103" s="226">
        <v>0.1</v>
      </c>
      <c r="DM103" s="226">
        <v>0</v>
      </c>
      <c r="DN103" s="226">
        <v>0</v>
      </c>
      <c r="DO103" s="226">
        <v>0</v>
      </c>
      <c r="DP103" s="226">
        <v>0</v>
      </c>
      <c r="DQ103" s="226">
        <v>0</v>
      </c>
      <c r="DR103" s="226">
        <v>0</v>
      </c>
      <c r="DS103" s="226">
        <v>0</v>
      </c>
    </row>
    <row r="104" spans="1:123" x14ac:dyDescent="0.15">
      <c r="A104" s="156" t="s">
        <v>323</v>
      </c>
      <c r="B104">
        <v>0.8</v>
      </c>
      <c r="C104" s="226">
        <v>0.8</v>
      </c>
      <c r="D104" s="226">
        <v>0.8</v>
      </c>
      <c r="E104" s="226">
        <v>0.8</v>
      </c>
      <c r="F104" s="226">
        <v>0.8</v>
      </c>
      <c r="G104" s="226">
        <v>0.8</v>
      </c>
      <c r="H104" s="226">
        <v>0.8</v>
      </c>
      <c r="I104" s="226">
        <v>0.8</v>
      </c>
      <c r="J104" s="226">
        <v>0.8</v>
      </c>
      <c r="K104" s="226">
        <v>0.8</v>
      </c>
      <c r="L104" s="226">
        <v>0.8</v>
      </c>
      <c r="M104" s="226">
        <v>0.7</v>
      </c>
      <c r="N104" s="226">
        <v>0.7</v>
      </c>
      <c r="O104" s="226">
        <v>0.6</v>
      </c>
      <c r="P104" s="226">
        <v>0.6</v>
      </c>
      <c r="Q104" s="226">
        <v>0.7</v>
      </c>
      <c r="R104" s="226">
        <v>0.8</v>
      </c>
      <c r="S104" s="226">
        <v>0.8</v>
      </c>
      <c r="T104" s="226">
        <v>0.8</v>
      </c>
      <c r="U104" s="226">
        <v>0.8</v>
      </c>
      <c r="V104" s="226">
        <v>0.8</v>
      </c>
      <c r="W104" s="225">
        <v>0.8</v>
      </c>
      <c r="X104" s="225">
        <v>0.8</v>
      </c>
      <c r="Y104" s="225">
        <v>0.8</v>
      </c>
      <c r="Z104" s="225">
        <v>0.8</v>
      </c>
      <c r="AA104" s="226">
        <v>0.8</v>
      </c>
      <c r="AB104" s="226">
        <v>0.6</v>
      </c>
      <c r="AC104" s="226">
        <v>0.8</v>
      </c>
      <c r="AD104" s="226">
        <v>0.8</v>
      </c>
      <c r="AE104" s="226">
        <v>0.1</v>
      </c>
      <c r="AF104" s="226">
        <v>0.1</v>
      </c>
      <c r="AG104" s="226">
        <v>0.1</v>
      </c>
      <c r="AH104" s="226">
        <v>0.1</v>
      </c>
      <c r="AI104" s="226">
        <v>0.8</v>
      </c>
      <c r="AJ104" s="226">
        <v>0.7</v>
      </c>
      <c r="AK104" s="226">
        <v>0.1</v>
      </c>
      <c r="AL104" s="226">
        <v>0.3</v>
      </c>
      <c r="AM104" s="226">
        <v>0.1</v>
      </c>
      <c r="AN104" s="226">
        <v>0.1</v>
      </c>
      <c r="AO104" s="226">
        <v>0.1</v>
      </c>
      <c r="AP104" s="226">
        <v>0.1</v>
      </c>
      <c r="AQ104" s="226">
        <v>0.1</v>
      </c>
      <c r="AR104" s="226">
        <v>0.1</v>
      </c>
      <c r="AS104" s="226">
        <v>0.1</v>
      </c>
      <c r="AT104" s="226">
        <v>0.7</v>
      </c>
      <c r="AU104" s="226">
        <v>0.3</v>
      </c>
      <c r="AV104" s="226">
        <v>0.3</v>
      </c>
      <c r="AW104" s="226">
        <v>0.3</v>
      </c>
      <c r="AX104" s="226">
        <v>0.8</v>
      </c>
      <c r="AY104" s="226">
        <v>0.8</v>
      </c>
      <c r="AZ104" s="226">
        <v>0.8</v>
      </c>
      <c r="BA104" s="226">
        <v>0.6</v>
      </c>
      <c r="BB104" s="226">
        <v>0.6</v>
      </c>
      <c r="BC104" s="226">
        <v>0.8</v>
      </c>
      <c r="BD104" s="226">
        <v>0.7</v>
      </c>
      <c r="BE104" s="226">
        <v>0.8</v>
      </c>
      <c r="BF104" s="226">
        <v>0.1</v>
      </c>
      <c r="BG104" s="226">
        <v>0.1</v>
      </c>
      <c r="BH104" s="226">
        <v>0.3</v>
      </c>
      <c r="BI104" s="226">
        <v>0.3</v>
      </c>
      <c r="BJ104" s="226">
        <v>0.3</v>
      </c>
      <c r="BK104" s="226">
        <v>0.3</v>
      </c>
      <c r="BL104" s="226">
        <v>0.3</v>
      </c>
      <c r="BM104" s="226">
        <v>0.3</v>
      </c>
      <c r="BN104" s="226">
        <v>0.7</v>
      </c>
      <c r="BO104" s="226">
        <v>0.7</v>
      </c>
      <c r="BP104" s="226">
        <v>0.8</v>
      </c>
      <c r="BQ104" s="226">
        <v>0.8</v>
      </c>
      <c r="BR104" s="226">
        <v>0.7</v>
      </c>
      <c r="BS104" s="226">
        <v>0.7</v>
      </c>
      <c r="BT104" s="226">
        <v>0.7</v>
      </c>
      <c r="BU104" s="226">
        <v>0.7</v>
      </c>
      <c r="BV104" s="226">
        <v>0.8</v>
      </c>
      <c r="BW104" s="226">
        <v>0.8</v>
      </c>
      <c r="BX104" s="226">
        <v>0.7</v>
      </c>
      <c r="BY104" s="226">
        <v>0.8</v>
      </c>
      <c r="BZ104" s="226">
        <v>0.8</v>
      </c>
      <c r="CA104" s="226">
        <v>0.8</v>
      </c>
      <c r="CB104" s="226">
        <v>0.8</v>
      </c>
      <c r="CC104" s="226">
        <v>0.8</v>
      </c>
      <c r="CD104" s="226">
        <v>0.8</v>
      </c>
      <c r="CE104" s="226">
        <v>0.8</v>
      </c>
      <c r="CF104" s="226">
        <v>0.8</v>
      </c>
      <c r="CG104" s="226">
        <v>0.8</v>
      </c>
      <c r="CH104" s="226">
        <v>0.8</v>
      </c>
      <c r="CI104" s="226">
        <v>0.8</v>
      </c>
      <c r="CJ104" s="226">
        <v>0.8</v>
      </c>
      <c r="CK104" s="226">
        <v>0.8</v>
      </c>
      <c r="CL104" s="226">
        <v>0.8</v>
      </c>
      <c r="CM104" s="226">
        <v>0.8</v>
      </c>
      <c r="CN104" s="226">
        <v>0.8</v>
      </c>
      <c r="CO104" s="226">
        <v>0.8</v>
      </c>
      <c r="CP104" s="226">
        <v>0.8</v>
      </c>
      <c r="CQ104" s="226">
        <v>0.8</v>
      </c>
      <c r="CR104" s="226">
        <v>0.8</v>
      </c>
      <c r="CS104" s="226">
        <v>0.8</v>
      </c>
      <c r="CT104" s="226">
        <v>0.8</v>
      </c>
      <c r="CU104" s="226">
        <v>0.8</v>
      </c>
      <c r="CV104" s="226">
        <v>0.8</v>
      </c>
      <c r="CW104" s="226">
        <v>0.8</v>
      </c>
      <c r="CX104" s="226">
        <v>0.8</v>
      </c>
      <c r="CY104" s="226">
        <v>0.8</v>
      </c>
      <c r="CZ104" s="226">
        <v>0.8</v>
      </c>
      <c r="DA104" s="226">
        <v>0.8</v>
      </c>
      <c r="DB104" s="226">
        <v>0.8</v>
      </c>
      <c r="DC104" s="226">
        <v>0.8</v>
      </c>
      <c r="DD104" s="226">
        <v>0.8</v>
      </c>
      <c r="DE104" s="226">
        <v>0.8</v>
      </c>
      <c r="DF104" s="226">
        <v>0.8</v>
      </c>
      <c r="DG104" s="226">
        <v>0.8</v>
      </c>
      <c r="DH104" s="226">
        <v>0.8</v>
      </c>
      <c r="DI104" s="226">
        <v>0.8</v>
      </c>
      <c r="DJ104" s="226">
        <v>0.8</v>
      </c>
      <c r="DK104" s="226">
        <v>0.8</v>
      </c>
      <c r="DL104" s="226">
        <v>0.1</v>
      </c>
      <c r="DM104" s="226">
        <v>0</v>
      </c>
      <c r="DN104" s="226">
        <v>0</v>
      </c>
      <c r="DO104" s="226">
        <v>0</v>
      </c>
      <c r="DP104" s="226">
        <v>0</v>
      </c>
      <c r="DQ104" s="226">
        <v>0</v>
      </c>
      <c r="DR104" s="226">
        <v>0</v>
      </c>
      <c r="DS104" s="226">
        <v>0</v>
      </c>
    </row>
    <row r="105" spans="1:123" x14ac:dyDescent="0.15">
      <c r="A105" s="156" t="s">
        <v>324</v>
      </c>
      <c r="B105">
        <v>0.8</v>
      </c>
      <c r="C105" s="226">
        <v>0.8</v>
      </c>
      <c r="D105" s="226">
        <v>0.8</v>
      </c>
      <c r="E105" s="226">
        <v>0.8</v>
      </c>
      <c r="F105" s="226">
        <v>0.8</v>
      </c>
      <c r="G105" s="226">
        <v>0.8</v>
      </c>
      <c r="H105" s="226">
        <v>0.8</v>
      </c>
      <c r="I105" s="226">
        <v>0.8</v>
      </c>
      <c r="J105" s="226">
        <v>0.8</v>
      </c>
      <c r="K105" s="226">
        <v>0.8</v>
      </c>
      <c r="L105" s="226">
        <v>0.8</v>
      </c>
      <c r="M105" s="226">
        <v>0.7</v>
      </c>
      <c r="N105" s="226">
        <v>0.7</v>
      </c>
      <c r="O105" s="226">
        <v>0.6</v>
      </c>
      <c r="P105" s="226">
        <v>0.6</v>
      </c>
      <c r="Q105" s="226">
        <v>0.7</v>
      </c>
      <c r="R105" s="226">
        <v>0.8</v>
      </c>
      <c r="S105" s="226">
        <v>0.8</v>
      </c>
      <c r="T105" s="226">
        <v>0.8</v>
      </c>
      <c r="U105" s="226">
        <v>0.8</v>
      </c>
      <c r="V105" s="226">
        <v>0.8</v>
      </c>
      <c r="W105" s="225">
        <v>0.8</v>
      </c>
      <c r="X105" s="225">
        <v>0.8</v>
      </c>
      <c r="Y105" s="225">
        <v>0.8</v>
      </c>
      <c r="Z105" s="225">
        <v>0.8</v>
      </c>
      <c r="AA105" s="226">
        <v>0.8</v>
      </c>
      <c r="AB105" s="226">
        <v>0.6</v>
      </c>
      <c r="AC105" s="226">
        <v>0.8</v>
      </c>
      <c r="AD105" s="226">
        <v>0.8</v>
      </c>
      <c r="AE105" s="226">
        <v>0.1</v>
      </c>
      <c r="AF105" s="226">
        <v>0.1</v>
      </c>
      <c r="AG105" s="226">
        <v>0.1</v>
      </c>
      <c r="AH105" s="226">
        <v>0.1</v>
      </c>
      <c r="AI105" s="226">
        <v>0.8</v>
      </c>
      <c r="AJ105" s="226">
        <v>0.7</v>
      </c>
      <c r="AK105" s="226">
        <v>0.1</v>
      </c>
      <c r="AL105" s="226">
        <v>0.3</v>
      </c>
      <c r="AM105" s="226">
        <v>0.1</v>
      </c>
      <c r="AN105" s="226">
        <v>0.1</v>
      </c>
      <c r="AO105" s="226">
        <v>0.1</v>
      </c>
      <c r="AP105" s="226">
        <v>0.1</v>
      </c>
      <c r="AQ105" s="226">
        <v>0.1</v>
      </c>
      <c r="AR105" s="226">
        <v>0.1</v>
      </c>
      <c r="AS105" s="226">
        <v>0.1</v>
      </c>
      <c r="AT105" s="226">
        <v>0.7</v>
      </c>
      <c r="AU105" s="226">
        <v>0.3</v>
      </c>
      <c r="AV105" s="226">
        <v>0.3</v>
      </c>
      <c r="AW105" s="226">
        <v>0.3</v>
      </c>
      <c r="AX105" s="226">
        <v>0.8</v>
      </c>
      <c r="AY105" s="226">
        <v>0.8</v>
      </c>
      <c r="AZ105" s="226">
        <v>0.8</v>
      </c>
      <c r="BA105" s="226">
        <v>0.6</v>
      </c>
      <c r="BB105" s="226">
        <v>0.6</v>
      </c>
      <c r="BC105" s="226">
        <v>0.8</v>
      </c>
      <c r="BD105" s="226">
        <v>0.7</v>
      </c>
      <c r="BE105" s="226">
        <v>0.8</v>
      </c>
      <c r="BF105" s="226">
        <v>0.1</v>
      </c>
      <c r="BG105" s="226">
        <v>0.1</v>
      </c>
      <c r="BH105" s="226">
        <v>0.3</v>
      </c>
      <c r="BI105" s="226">
        <v>0.3</v>
      </c>
      <c r="BJ105" s="226">
        <v>0.3</v>
      </c>
      <c r="BK105" s="226">
        <v>0.3</v>
      </c>
      <c r="BL105" s="226">
        <v>0.3</v>
      </c>
      <c r="BM105" s="226">
        <v>0.3</v>
      </c>
      <c r="BN105" s="226">
        <v>0.7</v>
      </c>
      <c r="BO105" s="226">
        <v>0.7</v>
      </c>
      <c r="BP105" s="226">
        <v>0.8</v>
      </c>
      <c r="BQ105" s="226">
        <v>0.8</v>
      </c>
      <c r="BR105" s="226">
        <v>0.7</v>
      </c>
      <c r="BS105" s="226">
        <v>0.7</v>
      </c>
      <c r="BT105" s="226">
        <v>0.7</v>
      </c>
      <c r="BU105" s="226">
        <v>0.7</v>
      </c>
      <c r="BV105" s="226">
        <v>0.8</v>
      </c>
      <c r="BW105" s="226">
        <v>0.8</v>
      </c>
      <c r="BX105" s="226">
        <v>0.7</v>
      </c>
      <c r="BY105" s="226">
        <v>0.8</v>
      </c>
      <c r="BZ105" s="226">
        <v>0.8</v>
      </c>
      <c r="CA105" s="226">
        <v>0.8</v>
      </c>
      <c r="CB105" s="226">
        <v>0.8</v>
      </c>
      <c r="CC105" s="226">
        <v>0.8</v>
      </c>
      <c r="CD105" s="226">
        <v>0.8</v>
      </c>
      <c r="CE105" s="226">
        <v>0.8</v>
      </c>
      <c r="CF105" s="226">
        <v>0.8</v>
      </c>
      <c r="CG105" s="226">
        <v>0.8</v>
      </c>
      <c r="CH105" s="226">
        <v>0.8</v>
      </c>
      <c r="CI105" s="226">
        <v>0.8</v>
      </c>
      <c r="CJ105" s="226">
        <v>0.8</v>
      </c>
      <c r="CK105" s="226">
        <v>0.8</v>
      </c>
      <c r="CL105" s="226">
        <v>0.8</v>
      </c>
      <c r="CM105" s="226">
        <v>0.8</v>
      </c>
      <c r="CN105" s="226">
        <v>0.8</v>
      </c>
      <c r="CO105" s="226">
        <v>0.8</v>
      </c>
      <c r="CP105" s="226">
        <v>0.8</v>
      </c>
      <c r="CQ105" s="226">
        <v>0.8</v>
      </c>
      <c r="CR105" s="226">
        <v>0.8</v>
      </c>
      <c r="CS105" s="226">
        <v>0.8</v>
      </c>
      <c r="CT105" s="226">
        <v>0.8</v>
      </c>
      <c r="CU105" s="226">
        <v>0.8</v>
      </c>
      <c r="CV105" s="226">
        <v>0.8</v>
      </c>
      <c r="CW105" s="226">
        <v>0.8</v>
      </c>
      <c r="CX105" s="226">
        <v>0.8</v>
      </c>
      <c r="CY105" s="226">
        <v>0.8</v>
      </c>
      <c r="CZ105" s="226">
        <v>0.8</v>
      </c>
      <c r="DA105" s="226">
        <v>0.8</v>
      </c>
      <c r="DB105" s="226">
        <v>0.8</v>
      </c>
      <c r="DC105" s="226">
        <v>0.8</v>
      </c>
      <c r="DD105" s="226">
        <v>0.8</v>
      </c>
      <c r="DE105" s="226">
        <v>0.8</v>
      </c>
      <c r="DF105" s="226">
        <v>0.8</v>
      </c>
      <c r="DG105" s="226">
        <v>0.8</v>
      </c>
      <c r="DH105" s="226">
        <v>0.8</v>
      </c>
      <c r="DI105" s="226">
        <v>0.8</v>
      </c>
      <c r="DJ105" s="226">
        <v>0.8</v>
      </c>
      <c r="DK105" s="226">
        <v>0.8</v>
      </c>
      <c r="DL105" s="226">
        <v>0.1</v>
      </c>
      <c r="DM105" s="226">
        <v>0</v>
      </c>
      <c r="DN105" s="226">
        <v>0</v>
      </c>
      <c r="DO105" s="226">
        <v>0</v>
      </c>
      <c r="DP105" s="226">
        <v>0</v>
      </c>
      <c r="DQ105" s="226">
        <v>0</v>
      </c>
      <c r="DR105" s="226">
        <v>0</v>
      </c>
      <c r="DS105" s="226">
        <v>0</v>
      </c>
    </row>
    <row r="106" spans="1:123" x14ac:dyDescent="0.15">
      <c r="A106" s="156" t="s">
        <v>325</v>
      </c>
      <c r="B106">
        <v>0.8</v>
      </c>
      <c r="C106" s="226">
        <v>0.8</v>
      </c>
      <c r="D106" s="226">
        <v>0.8</v>
      </c>
      <c r="E106" s="226">
        <v>0.8</v>
      </c>
      <c r="F106" s="226">
        <v>0.8</v>
      </c>
      <c r="G106" s="226">
        <v>0.8</v>
      </c>
      <c r="H106" s="226">
        <v>0.8</v>
      </c>
      <c r="I106" s="226">
        <v>0.8</v>
      </c>
      <c r="J106" s="226">
        <v>0.8</v>
      </c>
      <c r="K106" s="226">
        <v>0.8</v>
      </c>
      <c r="L106" s="226">
        <v>0.8</v>
      </c>
      <c r="M106" s="226">
        <v>0.7</v>
      </c>
      <c r="N106" s="226">
        <v>0.7</v>
      </c>
      <c r="O106" s="226">
        <v>0.6</v>
      </c>
      <c r="P106" s="226">
        <v>0.6</v>
      </c>
      <c r="Q106" s="226">
        <v>0.7</v>
      </c>
      <c r="R106" s="226">
        <v>0.8</v>
      </c>
      <c r="S106" s="226">
        <v>0.8</v>
      </c>
      <c r="T106" s="226">
        <v>0.8</v>
      </c>
      <c r="U106" s="226">
        <v>0.8</v>
      </c>
      <c r="V106" s="226">
        <v>0.8</v>
      </c>
      <c r="W106" s="225">
        <v>0.8</v>
      </c>
      <c r="X106" s="225">
        <v>0.8</v>
      </c>
      <c r="Y106" s="225">
        <v>0.8</v>
      </c>
      <c r="Z106" s="225">
        <v>0.8</v>
      </c>
      <c r="AA106" s="226">
        <v>0.8</v>
      </c>
      <c r="AB106" s="226">
        <v>0.6</v>
      </c>
      <c r="AC106" s="226">
        <v>0.8</v>
      </c>
      <c r="AD106" s="226">
        <v>0.8</v>
      </c>
      <c r="AE106" s="226">
        <v>0.1</v>
      </c>
      <c r="AF106" s="226">
        <v>0.1</v>
      </c>
      <c r="AG106" s="226">
        <v>0.1</v>
      </c>
      <c r="AH106" s="226">
        <v>0.1</v>
      </c>
      <c r="AI106" s="226">
        <v>0.8</v>
      </c>
      <c r="AJ106" s="226">
        <v>0.7</v>
      </c>
      <c r="AK106" s="226">
        <v>0.1</v>
      </c>
      <c r="AL106" s="226">
        <v>0.3</v>
      </c>
      <c r="AM106" s="226">
        <v>0.1</v>
      </c>
      <c r="AN106" s="226">
        <v>0.1</v>
      </c>
      <c r="AO106" s="226">
        <v>0.1</v>
      </c>
      <c r="AP106" s="226">
        <v>0.1</v>
      </c>
      <c r="AQ106" s="226">
        <v>0.1</v>
      </c>
      <c r="AR106" s="226">
        <v>0.1</v>
      </c>
      <c r="AS106" s="226">
        <v>0.1</v>
      </c>
      <c r="AT106" s="226">
        <v>0.7</v>
      </c>
      <c r="AU106" s="226">
        <v>0.3</v>
      </c>
      <c r="AV106" s="226">
        <v>0.3</v>
      </c>
      <c r="AW106" s="226">
        <v>0.3</v>
      </c>
      <c r="AX106" s="226">
        <v>0.8</v>
      </c>
      <c r="AY106" s="226">
        <v>0.8</v>
      </c>
      <c r="AZ106" s="226">
        <v>0.8</v>
      </c>
      <c r="BA106" s="226">
        <v>0.6</v>
      </c>
      <c r="BB106" s="226">
        <v>0.6</v>
      </c>
      <c r="BC106" s="226">
        <v>0.8</v>
      </c>
      <c r="BD106" s="226">
        <v>0.7</v>
      </c>
      <c r="BE106" s="226">
        <v>0.8</v>
      </c>
      <c r="BF106" s="226">
        <v>0.1</v>
      </c>
      <c r="BG106" s="226">
        <v>0.1</v>
      </c>
      <c r="BH106" s="226">
        <v>0.3</v>
      </c>
      <c r="BI106" s="226">
        <v>0.3</v>
      </c>
      <c r="BJ106" s="226">
        <v>0.3</v>
      </c>
      <c r="BK106" s="226">
        <v>0.3</v>
      </c>
      <c r="BL106" s="226">
        <v>0.3</v>
      </c>
      <c r="BM106" s="226">
        <v>0.3</v>
      </c>
      <c r="BN106" s="226">
        <v>0.7</v>
      </c>
      <c r="BO106" s="226">
        <v>0.7</v>
      </c>
      <c r="BP106" s="226">
        <v>0.8</v>
      </c>
      <c r="BQ106" s="226">
        <v>0.8</v>
      </c>
      <c r="BR106" s="226">
        <v>0.7</v>
      </c>
      <c r="BS106" s="226">
        <v>0.7</v>
      </c>
      <c r="BT106" s="226">
        <v>0.7</v>
      </c>
      <c r="BU106" s="226">
        <v>0.7</v>
      </c>
      <c r="BV106" s="226">
        <v>0.8</v>
      </c>
      <c r="BW106" s="226">
        <v>0.8</v>
      </c>
      <c r="BX106" s="226">
        <v>0.7</v>
      </c>
      <c r="BY106" s="226">
        <v>0.8</v>
      </c>
      <c r="BZ106" s="226">
        <v>0.8</v>
      </c>
      <c r="CA106" s="226">
        <v>0.8</v>
      </c>
      <c r="CB106" s="226">
        <v>0.8</v>
      </c>
      <c r="CC106" s="226">
        <v>0.8</v>
      </c>
      <c r="CD106" s="226">
        <v>0.8</v>
      </c>
      <c r="CE106" s="226">
        <v>0.8</v>
      </c>
      <c r="CF106" s="226">
        <v>0.8</v>
      </c>
      <c r="CG106" s="226">
        <v>0.8</v>
      </c>
      <c r="CH106" s="226">
        <v>0.8</v>
      </c>
      <c r="CI106" s="226">
        <v>0.8</v>
      </c>
      <c r="CJ106" s="226">
        <v>0.8</v>
      </c>
      <c r="CK106" s="226">
        <v>0.8</v>
      </c>
      <c r="CL106" s="226">
        <v>0.8</v>
      </c>
      <c r="CM106" s="226">
        <v>0.8</v>
      </c>
      <c r="CN106" s="226">
        <v>0.8</v>
      </c>
      <c r="CO106" s="226">
        <v>0.8</v>
      </c>
      <c r="CP106" s="226">
        <v>0.8</v>
      </c>
      <c r="CQ106" s="226">
        <v>0.8</v>
      </c>
      <c r="CR106" s="226">
        <v>0.8</v>
      </c>
      <c r="CS106" s="226">
        <v>0.8</v>
      </c>
      <c r="CT106" s="226">
        <v>0.8</v>
      </c>
      <c r="CU106" s="226">
        <v>0.8</v>
      </c>
      <c r="CV106" s="226">
        <v>0.8</v>
      </c>
      <c r="CW106" s="226">
        <v>0.8</v>
      </c>
      <c r="CX106" s="226">
        <v>0.8</v>
      </c>
      <c r="CY106" s="226">
        <v>0.8</v>
      </c>
      <c r="CZ106" s="226">
        <v>0.8</v>
      </c>
      <c r="DA106" s="226">
        <v>0.8</v>
      </c>
      <c r="DB106" s="226">
        <v>0.8</v>
      </c>
      <c r="DC106" s="226">
        <v>0.8</v>
      </c>
      <c r="DD106" s="226">
        <v>0.8</v>
      </c>
      <c r="DE106" s="226">
        <v>0.8</v>
      </c>
      <c r="DF106" s="226">
        <v>0.8</v>
      </c>
      <c r="DG106" s="226">
        <v>0.8</v>
      </c>
      <c r="DH106" s="226">
        <v>0.8</v>
      </c>
      <c r="DI106" s="226">
        <v>0.8</v>
      </c>
      <c r="DJ106" s="226">
        <v>0.8</v>
      </c>
      <c r="DK106" s="226">
        <v>0.8</v>
      </c>
      <c r="DL106" s="226">
        <v>0.1</v>
      </c>
      <c r="DM106" s="226">
        <v>0</v>
      </c>
      <c r="DN106" s="226">
        <v>0</v>
      </c>
      <c r="DO106" s="226">
        <v>0</v>
      </c>
      <c r="DP106" s="226">
        <v>0</v>
      </c>
      <c r="DQ106" s="226">
        <v>0</v>
      </c>
      <c r="DR106" s="226">
        <v>0</v>
      </c>
      <c r="DS106" s="226">
        <v>0</v>
      </c>
    </row>
    <row r="107" spans="1:123" x14ac:dyDescent="0.15">
      <c r="A107" s="156" t="s">
        <v>326</v>
      </c>
      <c r="B107">
        <v>0.8</v>
      </c>
      <c r="C107" s="226">
        <v>0.8</v>
      </c>
      <c r="D107" s="226">
        <v>0.8</v>
      </c>
      <c r="E107" s="226">
        <v>0.8</v>
      </c>
      <c r="F107" s="226">
        <v>0.8</v>
      </c>
      <c r="G107" s="226">
        <v>0.8</v>
      </c>
      <c r="H107" s="226">
        <v>0.8</v>
      </c>
      <c r="I107" s="226">
        <v>0.8</v>
      </c>
      <c r="J107" s="226">
        <v>0.8</v>
      </c>
      <c r="K107" s="226">
        <v>0.8</v>
      </c>
      <c r="L107" s="226">
        <v>0.8</v>
      </c>
      <c r="M107" s="226">
        <v>0.7</v>
      </c>
      <c r="N107" s="226">
        <v>0.7</v>
      </c>
      <c r="O107" s="226">
        <v>0.6</v>
      </c>
      <c r="P107" s="226">
        <v>0.6</v>
      </c>
      <c r="Q107" s="226">
        <v>0.7</v>
      </c>
      <c r="R107" s="226">
        <v>0.8</v>
      </c>
      <c r="S107" s="226">
        <v>0.8</v>
      </c>
      <c r="T107" s="226">
        <v>0.8</v>
      </c>
      <c r="U107" s="226">
        <v>0.8</v>
      </c>
      <c r="V107" s="226">
        <v>0.8</v>
      </c>
      <c r="W107" s="225">
        <v>0.8</v>
      </c>
      <c r="X107" s="225">
        <v>0.8</v>
      </c>
      <c r="Y107" s="225">
        <v>0.8</v>
      </c>
      <c r="Z107" s="225">
        <v>0.8</v>
      </c>
      <c r="AA107" s="226">
        <v>0.8</v>
      </c>
      <c r="AB107" s="226">
        <v>0.6</v>
      </c>
      <c r="AC107" s="226">
        <v>0.8</v>
      </c>
      <c r="AD107" s="226">
        <v>0.8</v>
      </c>
      <c r="AE107" s="226">
        <v>0.1</v>
      </c>
      <c r="AF107" s="226">
        <v>0.1</v>
      </c>
      <c r="AG107" s="226">
        <v>0.1</v>
      </c>
      <c r="AH107" s="226">
        <v>0.1</v>
      </c>
      <c r="AI107" s="226">
        <v>0.8</v>
      </c>
      <c r="AJ107" s="226">
        <v>0.7</v>
      </c>
      <c r="AK107" s="226">
        <v>0.1</v>
      </c>
      <c r="AL107" s="226">
        <v>0.3</v>
      </c>
      <c r="AM107" s="226">
        <v>0.1</v>
      </c>
      <c r="AN107" s="226">
        <v>0.1</v>
      </c>
      <c r="AO107" s="226">
        <v>0.1</v>
      </c>
      <c r="AP107" s="226">
        <v>0.1</v>
      </c>
      <c r="AQ107" s="226">
        <v>0.1</v>
      </c>
      <c r="AR107" s="226">
        <v>0.1</v>
      </c>
      <c r="AS107" s="226">
        <v>0.1</v>
      </c>
      <c r="AT107" s="226">
        <v>0.7</v>
      </c>
      <c r="AU107" s="226">
        <v>0.3</v>
      </c>
      <c r="AV107" s="226">
        <v>0.3</v>
      </c>
      <c r="AW107" s="226">
        <v>0.3</v>
      </c>
      <c r="AX107" s="226">
        <v>0.8</v>
      </c>
      <c r="AY107" s="226">
        <v>0.8</v>
      </c>
      <c r="AZ107" s="226">
        <v>0.8</v>
      </c>
      <c r="BA107" s="226">
        <v>0.6</v>
      </c>
      <c r="BB107" s="226">
        <v>0.6</v>
      </c>
      <c r="BC107" s="226">
        <v>0.8</v>
      </c>
      <c r="BD107" s="226">
        <v>0.7</v>
      </c>
      <c r="BE107" s="226">
        <v>0.8</v>
      </c>
      <c r="BF107" s="226">
        <v>0.1</v>
      </c>
      <c r="BG107" s="226">
        <v>0.1</v>
      </c>
      <c r="BH107" s="226">
        <v>0.3</v>
      </c>
      <c r="BI107" s="226">
        <v>0.3</v>
      </c>
      <c r="BJ107" s="226">
        <v>0.3</v>
      </c>
      <c r="BK107" s="226">
        <v>0.3</v>
      </c>
      <c r="BL107" s="226">
        <v>0.3</v>
      </c>
      <c r="BM107" s="226">
        <v>0.3</v>
      </c>
      <c r="BN107" s="226">
        <v>0.7</v>
      </c>
      <c r="BO107" s="226">
        <v>0.7</v>
      </c>
      <c r="BP107" s="226">
        <v>0.8</v>
      </c>
      <c r="BQ107" s="226">
        <v>0.8</v>
      </c>
      <c r="BR107" s="226">
        <v>0.7</v>
      </c>
      <c r="BS107" s="226">
        <v>0.7</v>
      </c>
      <c r="BT107" s="226">
        <v>0.7</v>
      </c>
      <c r="BU107" s="226">
        <v>0.7</v>
      </c>
      <c r="BV107" s="226">
        <v>0.8</v>
      </c>
      <c r="BW107" s="226">
        <v>0.8</v>
      </c>
      <c r="BX107" s="226">
        <v>0.7</v>
      </c>
      <c r="BY107" s="226">
        <v>0.8</v>
      </c>
      <c r="BZ107" s="226">
        <v>0.8</v>
      </c>
      <c r="CA107" s="226">
        <v>0.8</v>
      </c>
      <c r="CB107" s="226">
        <v>0.8</v>
      </c>
      <c r="CC107" s="226">
        <v>0.8</v>
      </c>
      <c r="CD107" s="226">
        <v>0.8</v>
      </c>
      <c r="CE107" s="226">
        <v>0.8</v>
      </c>
      <c r="CF107" s="226">
        <v>0.8</v>
      </c>
      <c r="CG107" s="226">
        <v>0.8</v>
      </c>
      <c r="CH107" s="226">
        <v>0.8</v>
      </c>
      <c r="CI107" s="226">
        <v>0.8</v>
      </c>
      <c r="CJ107" s="226">
        <v>0.8</v>
      </c>
      <c r="CK107" s="226">
        <v>0.8</v>
      </c>
      <c r="CL107" s="226">
        <v>0.8</v>
      </c>
      <c r="CM107" s="226">
        <v>0.8</v>
      </c>
      <c r="CN107" s="226">
        <v>0.8</v>
      </c>
      <c r="CO107" s="226">
        <v>0.8</v>
      </c>
      <c r="CP107" s="226">
        <v>0.8</v>
      </c>
      <c r="CQ107" s="226">
        <v>0.8</v>
      </c>
      <c r="CR107" s="226">
        <v>0.8</v>
      </c>
      <c r="CS107" s="226">
        <v>0.8</v>
      </c>
      <c r="CT107" s="226">
        <v>0.8</v>
      </c>
      <c r="CU107" s="226">
        <v>0.8</v>
      </c>
      <c r="CV107" s="226">
        <v>0.8</v>
      </c>
      <c r="CW107" s="226">
        <v>0.8</v>
      </c>
      <c r="CX107" s="226">
        <v>0.8</v>
      </c>
      <c r="CY107" s="226">
        <v>0.8</v>
      </c>
      <c r="CZ107" s="226">
        <v>0.8</v>
      </c>
      <c r="DA107" s="226">
        <v>0.8</v>
      </c>
      <c r="DB107" s="226">
        <v>0.8</v>
      </c>
      <c r="DC107" s="226">
        <v>0.8</v>
      </c>
      <c r="DD107" s="226">
        <v>0.8</v>
      </c>
      <c r="DE107" s="226">
        <v>0.8</v>
      </c>
      <c r="DF107" s="226">
        <v>0.8</v>
      </c>
      <c r="DG107" s="226">
        <v>0.8</v>
      </c>
      <c r="DH107" s="226">
        <v>0.8</v>
      </c>
      <c r="DI107" s="226">
        <v>0.8</v>
      </c>
      <c r="DJ107" s="226">
        <v>0.8</v>
      </c>
      <c r="DK107" s="226">
        <v>0.8</v>
      </c>
      <c r="DL107" s="226">
        <v>0.1</v>
      </c>
      <c r="DM107" s="226">
        <v>0</v>
      </c>
      <c r="DN107" s="226">
        <v>0</v>
      </c>
      <c r="DO107" s="226">
        <v>0</v>
      </c>
      <c r="DP107" s="226">
        <v>0</v>
      </c>
      <c r="DQ107" s="226">
        <v>0</v>
      </c>
      <c r="DR107" s="226">
        <v>0</v>
      </c>
      <c r="DS107" s="226">
        <v>0</v>
      </c>
    </row>
    <row r="108" spans="1:123" x14ac:dyDescent="0.15">
      <c r="A108" s="156" t="s">
        <v>327</v>
      </c>
      <c r="B108">
        <v>0.8</v>
      </c>
      <c r="C108" s="226">
        <v>0.8</v>
      </c>
      <c r="D108" s="226">
        <v>0.8</v>
      </c>
      <c r="E108" s="226">
        <v>0.8</v>
      </c>
      <c r="F108" s="226">
        <v>0.8</v>
      </c>
      <c r="G108" s="226">
        <v>0.8</v>
      </c>
      <c r="H108" s="226">
        <v>0.8</v>
      </c>
      <c r="I108" s="226">
        <v>0.8</v>
      </c>
      <c r="J108" s="226">
        <v>0.8</v>
      </c>
      <c r="K108" s="226">
        <v>0.8</v>
      </c>
      <c r="L108" s="226">
        <v>0.8</v>
      </c>
      <c r="M108" s="226">
        <v>0.7</v>
      </c>
      <c r="N108" s="226">
        <v>0.7</v>
      </c>
      <c r="O108" s="226">
        <v>0.6</v>
      </c>
      <c r="P108" s="226">
        <v>0.6</v>
      </c>
      <c r="Q108" s="226">
        <v>0.7</v>
      </c>
      <c r="R108" s="226">
        <v>0.8</v>
      </c>
      <c r="S108" s="226">
        <v>0.8</v>
      </c>
      <c r="T108" s="226">
        <v>0.8</v>
      </c>
      <c r="U108" s="226">
        <v>0.8</v>
      </c>
      <c r="V108" s="226">
        <v>0.8</v>
      </c>
      <c r="W108" s="225">
        <v>0.8</v>
      </c>
      <c r="X108" s="225">
        <v>0.8</v>
      </c>
      <c r="Y108" s="225">
        <v>0.8</v>
      </c>
      <c r="Z108" s="225">
        <v>0.8</v>
      </c>
      <c r="AA108" s="226">
        <v>0.8</v>
      </c>
      <c r="AB108" s="226">
        <v>0.6</v>
      </c>
      <c r="AC108" s="226">
        <v>0.8</v>
      </c>
      <c r="AD108" s="226">
        <v>0.8</v>
      </c>
      <c r="AE108" s="226">
        <v>0.1</v>
      </c>
      <c r="AF108" s="226">
        <v>0.1</v>
      </c>
      <c r="AG108" s="226">
        <v>0.1</v>
      </c>
      <c r="AH108" s="226">
        <v>0.1</v>
      </c>
      <c r="AI108" s="226">
        <v>0.8</v>
      </c>
      <c r="AJ108" s="226">
        <v>0.7</v>
      </c>
      <c r="AK108" s="226">
        <v>0.1</v>
      </c>
      <c r="AL108" s="226">
        <v>0.3</v>
      </c>
      <c r="AM108" s="226">
        <v>0.1</v>
      </c>
      <c r="AN108" s="226">
        <v>0.1</v>
      </c>
      <c r="AO108" s="226">
        <v>0.1</v>
      </c>
      <c r="AP108" s="226">
        <v>0.1</v>
      </c>
      <c r="AQ108" s="226">
        <v>0.1</v>
      </c>
      <c r="AR108" s="226">
        <v>0.1</v>
      </c>
      <c r="AS108" s="226">
        <v>0.1</v>
      </c>
      <c r="AT108" s="226">
        <v>0.7</v>
      </c>
      <c r="AU108" s="226">
        <v>0.3</v>
      </c>
      <c r="AV108" s="226">
        <v>0.3</v>
      </c>
      <c r="AW108" s="226">
        <v>0.3</v>
      </c>
      <c r="AX108" s="226">
        <v>0.8</v>
      </c>
      <c r="AY108" s="226">
        <v>0.8</v>
      </c>
      <c r="AZ108" s="226">
        <v>0.8</v>
      </c>
      <c r="BA108" s="226">
        <v>0.6</v>
      </c>
      <c r="BB108" s="226">
        <v>0.6</v>
      </c>
      <c r="BC108" s="226">
        <v>0.8</v>
      </c>
      <c r="BD108" s="226">
        <v>0.7</v>
      </c>
      <c r="BE108" s="226">
        <v>0.8</v>
      </c>
      <c r="BF108" s="226">
        <v>0.1</v>
      </c>
      <c r="BG108" s="226">
        <v>0.1</v>
      </c>
      <c r="BH108" s="226">
        <v>0.3</v>
      </c>
      <c r="BI108" s="226">
        <v>0.3</v>
      </c>
      <c r="BJ108" s="226">
        <v>0.3</v>
      </c>
      <c r="BK108" s="226">
        <v>0.3</v>
      </c>
      <c r="BL108" s="226">
        <v>0.3</v>
      </c>
      <c r="BM108" s="226">
        <v>0.3</v>
      </c>
      <c r="BN108" s="226">
        <v>0.7</v>
      </c>
      <c r="BO108" s="226">
        <v>0.7</v>
      </c>
      <c r="BP108" s="226">
        <v>0.8</v>
      </c>
      <c r="BQ108" s="226">
        <v>0.8</v>
      </c>
      <c r="BR108" s="226">
        <v>0.7</v>
      </c>
      <c r="BS108" s="226">
        <v>0.7</v>
      </c>
      <c r="BT108" s="226">
        <v>0.7</v>
      </c>
      <c r="BU108" s="226">
        <v>0.7</v>
      </c>
      <c r="BV108" s="226">
        <v>0.8</v>
      </c>
      <c r="BW108" s="226">
        <v>0.8</v>
      </c>
      <c r="BX108" s="226">
        <v>0.7</v>
      </c>
      <c r="BY108" s="226">
        <v>0.8</v>
      </c>
      <c r="BZ108" s="226">
        <v>0.8</v>
      </c>
      <c r="CA108" s="226">
        <v>0.8</v>
      </c>
      <c r="CB108" s="226">
        <v>0.8</v>
      </c>
      <c r="CC108" s="226">
        <v>0.8</v>
      </c>
      <c r="CD108" s="226">
        <v>0.8</v>
      </c>
      <c r="CE108" s="226">
        <v>0.8</v>
      </c>
      <c r="CF108" s="226">
        <v>0.8</v>
      </c>
      <c r="CG108" s="226">
        <v>0.8</v>
      </c>
      <c r="CH108" s="226">
        <v>0.8</v>
      </c>
      <c r="CI108" s="226">
        <v>0.8</v>
      </c>
      <c r="CJ108" s="226">
        <v>0.8</v>
      </c>
      <c r="CK108" s="226">
        <v>0.8</v>
      </c>
      <c r="CL108" s="226">
        <v>0.8</v>
      </c>
      <c r="CM108" s="226">
        <v>0.8</v>
      </c>
      <c r="CN108" s="226">
        <v>0.8</v>
      </c>
      <c r="CO108" s="226">
        <v>0.8</v>
      </c>
      <c r="CP108" s="226">
        <v>0.8</v>
      </c>
      <c r="CQ108" s="226">
        <v>0.8</v>
      </c>
      <c r="CR108" s="226">
        <v>0.8</v>
      </c>
      <c r="CS108" s="226">
        <v>0.8</v>
      </c>
      <c r="CT108" s="226">
        <v>0.8</v>
      </c>
      <c r="CU108" s="226">
        <v>0.8</v>
      </c>
      <c r="CV108" s="226">
        <v>0.8</v>
      </c>
      <c r="CW108" s="226">
        <v>0.8</v>
      </c>
      <c r="CX108" s="226">
        <v>0.8</v>
      </c>
      <c r="CY108" s="226">
        <v>0.8</v>
      </c>
      <c r="CZ108" s="226">
        <v>0.8</v>
      </c>
      <c r="DA108" s="226">
        <v>0.8</v>
      </c>
      <c r="DB108" s="226">
        <v>0.8</v>
      </c>
      <c r="DC108" s="226">
        <v>0.8</v>
      </c>
      <c r="DD108" s="226">
        <v>0.8</v>
      </c>
      <c r="DE108" s="226">
        <v>0.8</v>
      </c>
      <c r="DF108" s="226">
        <v>0.8</v>
      </c>
      <c r="DG108" s="226">
        <v>0.8</v>
      </c>
      <c r="DH108" s="226">
        <v>0.8</v>
      </c>
      <c r="DI108" s="226">
        <v>0.8</v>
      </c>
      <c r="DJ108" s="226">
        <v>0.8</v>
      </c>
      <c r="DK108" s="226">
        <v>0.8</v>
      </c>
      <c r="DL108" s="226">
        <v>0.1</v>
      </c>
      <c r="DM108" s="226">
        <v>0</v>
      </c>
      <c r="DN108" s="226">
        <v>0</v>
      </c>
      <c r="DO108" s="226">
        <v>0</v>
      </c>
      <c r="DP108" s="226">
        <v>0</v>
      </c>
      <c r="DQ108" s="226">
        <v>0</v>
      </c>
      <c r="DR108" s="226">
        <v>0</v>
      </c>
      <c r="DS108" s="226">
        <v>0</v>
      </c>
    </row>
    <row r="109" spans="1:123" x14ac:dyDescent="0.15">
      <c r="A109" s="156" t="s">
        <v>328</v>
      </c>
      <c r="B109">
        <v>0.8</v>
      </c>
      <c r="C109" s="226">
        <v>0.8</v>
      </c>
      <c r="D109" s="226">
        <v>0.8</v>
      </c>
      <c r="E109" s="226">
        <v>0.8</v>
      </c>
      <c r="F109" s="226">
        <v>0.8</v>
      </c>
      <c r="G109" s="226">
        <v>0.8</v>
      </c>
      <c r="H109" s="226">
        <v>0.8</v>
      </c>
      <c r="I109" s="226">
        <v>0.8</v>
      </c>
      <c r="J109" s="226">
        <v>0.8</v>
      </c>
      <c r="K109" s="226">
        <v>0.8</v>
      </c>
      <c r="L109" s="226">
        <v>0.8</v>
      </c>
      <c r="M109" s="226">
        <v>0.7</v>
      </c>
      <c r="N109" s="226">
        <v>0.7</v>
      </c>
      <c r="O109" s="226">
        <v>0.6</v>
      </c>
      <c r="P109" s="226">
        <v>0.6</v>
      </c>
      <c r="Q109" s="226">
        <v>0.7</v>
      </c>
      <c r="R109" s="226">
        <v>0.8</v>
      </c>
      <c r="S109" s="226">
        <v>0.8</v>
      </c>
      <c r="T109" s="226">
        <v>0.8</v>
      </c>
      <c r="U109" s="226">
        <v>0.8</v>
      </c>
      <c r="V109" s="226">
        <v>0.8</v>
      </c>
      <c r="W109" s="225">
        <v>0.8</v>
      </c>
      <c r="X109" s="225">
        <v>0.8</v>
      </c>
      <c r="Y109" s="225">
        <v>0.8</v>
      </c>
      <c r="Z109" s="225">
        <v>0.8</v>
      </c>
      <c r="AA109" s="226">
        <v>0.8</v>
      </c>
      <c r="AB109" s="226">
        <v>0.6</v>
      </c>
      <c r="AC109" s="226">
        <v>0.8</v>
      </c>
      <c r="AD109" s="226">
        <v>0.8</v>
      </c>
      <c r="AE109" s="226">
        <v>0.1</v>
      </c>
      <c r="AF109" s="226">
        <v>0.1</v>
      </c>
      <c r="AG109" s="226">
        <v>0.1</v>
      </c>
      <c r="AH109" s="226">
        <v>0.1</v>
      </c>
      <c r="AI109" s="226">
        <v>0.8</v>
      </c>
      <c r="AJ109" s="226">
        <v>0.7</v>
      </c>
      <c r="AK109" s="226">
        <v>0.1</v>
      </c>
      <c r="AL109" s="226">
        <v>0.3</v>
      </c>
      <c r="AM109" s="226">
        <v>0.1</v>
      </c>
      <c r="AN109" s="226">
        <v>0.1</v>
      </c>
      <c r="AO109" s="226">
        <v>0.1</v>
      </c>
      <c r="AP109" s="226">
        <v>0.1</v>
      </c>
      <c r="AQ109" s="226">
        <v>0.1</v>
      </c>
      <c r="AR109" s="226">
        <v>0.1</v>
      </c>
      <c r="AS109" s="226">
        <v>0.1</v>
      </c>
      <c r="AT109" s="226">
        <v>0.7</v>
      </c>
      <c r="AU109" s="226">
        <v>0.3</v>
      </c>
      <c r="AV109" s="226">
        <v>0.3</v>
      </c>
      <c r="AW109" s="226">
        <v>0.3</v>
      </c>
      <c r="AX109" s="226">
        <v>0.8</v>
      </c>
      <c r="AY109" s="226">
        <v>0.8</v>
      </c>
      <c r="AZ109" s="226">
        <v>0.8</v>
      </c>
      <c r="BA109" s="226">
        <v>0.6</v>
      </c>
      <c r="BB109" s="226">
        <v>0.6</v>
      </c>
      <c r="BC109" s="226">
        <v>0.8</v>
      </c>
      <c r="BD109" s="226">
        <v>0.7</v>
      </c>
      <c r="BE109" s="226">
        <v>0.8</v>
      </c>
      <c r="BF109" s="226">
        <v>0.1</v>
      </c>
      <c r="BG109" s="226">
        <v>0.1</v>
      </c>
      <c r="BH109" s="226">
        <v>0.3</v>
      </c>
      <c r="BI109" s="226">
        <v>0.3</v>
      </c>
      <c r="BJ109" s="226">
        <v>0.3</v>
      </c>
      <c r="BK109" s="226">
        <v>0.3</v>
      </c>
      <c r="BL109" s="226">
        <v>0.3</v>
      </c>
      <c r="BM109" s="226">
        <v>0.3</v>
      </c>
      <c r="BN109" s="226">
        <v>0.7</v>
      </c>
      <c r="BO109" s="226">
        <v>0.7</v>
      </c>
      <c r="BP109" s="226">
        <v>0.8</v>
      </c>
      <c r="BQ109" s="226">
        <v>0.8</v>
      </c>
      <c r="BR109" s="226">
        <v>0.7</v>
      </c>
      <c r="BS109" s="226">
        <v>0.7</v>
      </c>
      <c r="BT109" s="226">
        <v>0.7</v>
      </c>
      <c r="BU109" s="226">
        <v>0.7</v>
      </c>
      <c r="BV109" s="226">
        <v>0.8</v>
      </c>
      <c r="BW109" s="226">
        <v>0.8</v>
      </c>
      <c r="BX109" s="226">
        <v>0.7</v>
      </c>
      <c r="BY109" s="226">
        <v>0.8</v>
      </c>
      <c r="BZ109" s="226">
        <v>0.8</v>
      </c>
      <c r="CA109" s="226">
        <v>0.8</v>
      </c>
      <c r="CB109" s="226">
        <v>0.8</v>
      </c>
      <c r="CC109" s="226">
        <v>0.8</v>
      </c>
      <c r="CD109" s="226">
        <v>0.8</v>
      </c>
      <c r="CE109" s="226">
        <v>0.8</v>
      </c>
      <c r="CF109" s="226">
        <v>0.8</v>
      </c>
      <c r="CG109" s="226">
        <v>0.8</v>
      </c>
      <c r="CH109" s="226">
        <v>0.8</v>
      </c>
      <c r="CI109" s="226">
        <v>0.8</v>
      </c>
      <c r="CJ109" s="226">
        <v>0.8</v>
      </c>
      <c r="CK109" s="226">
        <v>0.8</v>
      </c>
      <c r="CL109" s="226">
        <v>0.8</v>
      </c>
      <c r="CM109" s="226">
        <v>0.8</v>
      </c>
      <c r="CN109" s="226">
        <v>0.8</v>
      </c>
      <c r="CO109" s="226">
        <v>0.8</v>
      </c>
      <c r="CP109" s="226">
        <v>0.8</v>
      </c>
      <c r="CQ109" s="226">
        <v>0.8</v>
      </c>
      <c r="CR109" s="226">
        <v>0.8</v>
      </c>
      <c r="CS109" s="226">
        <v>0.8</v>
      </c>
      <c r="CT109" s="226">
        <v>0.8</v>
      </c>
      <c r="CU109" s="226">
        <v>0.8</v>
      </c>
      <c r="CV109" s="226">
        <v>0.8</v>
      </c>
      <c r="CW109" s="226">
        <v>0.8</v>
      </c>
      <c r="CX109" s="226">
        <v>0.8</v>
      </c>
      <c r="CY109" s="226">
        <v>0.8</v>
      </c>
      <c r="CZ109" s="226">
        <v>0.8</v>
      </c>
      <c r="DA109" s="226">
        <v>0.8</v>
      </c>
      <c r="DB109" s="226">
        <v>0.8</v>
      </c>
      <c r="DC109" s="226">
        <v>0.8</v>
      </c>
      <c r="DD109" s="226">
        <v>0.8</v>
      </c>
      <c r="DE109" s="226">
        <v>0.8</v>
      </c>
      <c r="DF109" s="226">
        <v>0.8</v>
      </c>
      <c r="DG109" s="226">
        <v>0.8</v>
      </c>
      <c r="DH109" s="226">
        <v>0.8</v>
      </c>
      <c r="DI109" s="226">
        <v>0.8</v>
      </c>
      <c r="DJ109" s="226">
        <v>0.8</v>
      </c>
      <c r="DK109" s="226">
        <v>0.8</v>
      </c>
      <c r="DL109" s="226">
        <v>0.1</v>
      </c>
      <c r="DM109" s="226">
        <v>0</v>
      </c>
      <c r="DN109" s="226">
        <v>0</v>
      </c>
      <c r="DO109" s="226">
        <v>0</v>
      </c>
      <c r="DP109" s="226">
        <v>0</v>
      </c>
      <c r="DQ109" s="226">
        <v>0</v>
      </c>
      <c r="DR109" s="226">
        <v>0</v>
      </c>
      <c r="DS109" s="226">
        <v>0</v>
      </c>
    </row>
    <row r="110" spans="1:123" x14ac:dyDescent="0.15">
      <c r="A110" s="156" t="s">
        <v>329</v>
      </c>
      <c r="B110">
        <v>0.8</v>
      </c>
      <c r="C110" s="226">
        <v>0.8</v>
      </c>
      <c r="D110" s="226">
        <v>0.8</v>
      </c>
      <c r="E110" s="226">
        <v>0.8</v>
      </c>
      <c r="F110" s="226">
        <v>0.8</v>
      </c>
      <c r="G110" s="226">
        <v>0.8</v>
      </c>
      <c r="H110" s="226">
        <v>0.8</v>
      </c>
      <c r="I110" s="226">
        <v>0.8</v>
      </c>
      <c r="J110" s="226">
        <v>0.8</v>
      </c>
      <c r="K110" s="226">
        <v>0.8</v>
      </c>
      <c r="L110" s="226">
        <v>0.8</v>
      </c>
      <c r="M110" s="226">
        <v>0.7</v>
      </c>
      <c r="N110" s="226">
        <v>0.7</v>
      </c>
      <c r="O110" s="226">
        <v>0.6</v>
      </c>
      <c r="P110" s="226">
        <v>0.6</v>
      </c>
      <c r="Q110" s="226">
        <v>0.7</v>
      </c>
      <c r="R110" s="226">
        <v>0.8</v>
      </c>
      <c r="S110" s="226">
        <v>0.8</v>
      </c>
      <c r="T110" s="226">
        <v>0.8</v>
      </c>
      <c r="U110" s="226">
        <v>0.8</v>
      </c>
      <c r="V110" s="226">
        <v>0.8</v>
      </c>
      <c r="W110" s="225">
        <v>0.8</v>
      </c>
      <c r="X110" s="225">
        <v>0.8</v>
      </c>
      <c r="Y110" s="225">
        <v>0.8</v>
      </c>
      <c r="Z110" s="225">
        <v>0.8</v>
      </c>
      <c r="AA110" s="226">
        <v>0.8</v>
      </c>
      <c r="AB110" s="226">
        <v>0.6</v>
      </c>
      <c r="AC110" s="226">
        <v>0.8</v>
      </c>
      <c r="AD110" s="226">
        <v>0.8</v>
      </c>
      <c r="AE110" s="226">
        <v>0.1</v>
      </c>
      <c r="AF110" s="226">
        <v>0.1</v>
      </c>
      <c r="AG110" s="226">
        <v>0.1</v>
      </c>
      <c r="AH110" s="226">
        <v>0.1</v>
      </c>
      <c r="AI110" s="226">
        <v>0.8</v>
      </c>
      <c r="AJ110" s="226">
        <v>0.7</v>
      </c>
      <c r="AK110" s="226">
        <v>0.1</v>
      </c>
      <c r="AL110" s="226">
        <v>0.3</v>
      </c>
      <c r="AM110" s="226">
        <v>0.1</v>
      </c>
      <c r="AN110" s="226">
        <v>0.1</v>
      </c>
      <c r="AO110" s="226">
        <v>0.1</v>
      </c>
      <c r="AP110" s="226">
        <v>0.1</v>
      </c>
      <c r="AQ110" s="226">
        <v>0.1</v>
      </c>
      <c r="AR110" s="226">
        <v>0.1</v>
      </c>
      <c r="AS110" s="226">
        <v>0.1</v>
      </c>
      <c r="AT110" s="226">
        <v>0.7</v>
      </c>
      <c r="AU110" s="226">
        <v>0.3</v>
      </c>
      <c r="AV110" s="226">
        <v>0.3</v>
      </c>
      <c r="AW110" s="226">
        <v>0.3</v>
      </c>
      <c r="AX110" s="226">
        <v>0.8</v>
      </c>
      <c r="AY110" s="226">
        <v>0.8</v>
      </c>
      <c r="AZ110" s="226">
        <v>0.8</v>
      </c>
      <c r="BA110" s="226">
        <v>0.6</v>
      </c>
      <c r="BB110" s="226">
        <v>0.6</v>
      </c>
      <c r="BC110" s="226">
        <v>0.8</v>
      </c>
      <c r="BD110" s="226">
        <v>0.7</v>
      </c>
      <c r="BE110" s="226">
        <v>0.8</v>
      </c>
      <c r="BF110" s="226">
        <v>0.1</v>
      </c>
      <c r="BG110" s="226">
        <v>0.1</v>
      </c>
      <c r="BH110" s="226">
        <v>0.3</v>
      </c>
      <c r="BI110" s="226">
        <v>0.3</v>
      </c>
      <c r="BJ110" s="226">
        <v>0.3</v>
      </c>
      <c r="BK110" s="226">
        <v>0.3</v>
      </c>
      <c r="BL110" s="226">
        <v>0.3</v>
      </c>
      <c r="BM110" s="226">
        <v>0.3</v>
      </c>
      <c r="BN110" s="226">
        <v>0.7</v>
      </c>
      <c r="BO110" s="226">
        <v>0.7</v>
      </c>
      <c r="BP110" s="226">
        <v>0.8</v>
      </c>
      <c r="BQ110" s="226">
        <v>0.8</v>
      </c>
      <c r="BR110" s="226">
        <v>0.7</v>
      </c>
      <c r="BS110" s="226">
        <v>0.7</v>
      </c>
      <c r="BT110" s="226">
        <v>0.7</v>
      </c>
      <c r="BU110" s="226">
        <v>0.7</v>
      </c>
      <c r="BV110" s="226">
        <v>0.8</v>
      </c>
      <c r="BW110" s="226">
        <v>0.8</v>
      </c>
      <c r="BX110" s="226">
        <v>0.7</v>
      </c>
      <c r="BY110" s="226">
        <v>0.8</v>
      </c>
      <c r="BZ110" s="226">
        <v>0.8</v>
      </c>
      <c r="CA110" s="226">
        <v>0.8</v>
      </c>
      <c r="CB110" s="226">
        <v>0.8</v>
      </c>
      <c r="CC110" s="226">
        <v>0.8</v>
      </c>
      <c r="CD110" s="226">
        <v>0.8</v>
      </c>
      <c r="CE110" s="226">
        <v>0.8</v>
      </c>
      <c r="CF110" s="226">
        <v>0.8</v>
      </c>
      <c r="CG110" s="226">
        <v>0.8</v>
      </c>
      <c r="CH110" s="226">
        <v>0.8</v>
      </c>
      <c r="CI110" s="226">
        <v>0.8</v>
      </c>
      <c r="CJ110" s="226">
        <v>0.8</v>
      </c>
      <c r="CK110" s="226">
        <v>0.8</v>
      </c>
      <c r="CL110" s="226">
        <v>0.8</v>
      </c>
      <c r="CM110" s="226">
        <v>0.8</v>
      </c>
      <c r="CN110" s="226">
        <v>0.8</v>
      </c>
      <c r="CO110" s="226">
        <v>0.8</v>
      </c>
      <c r="CP110" s="226">
        <v>0.8</v>
      </c>
      <c r="CQ110" s="226">
        <v>0.8</v>
      </c>
      <c r="CR110" s="226">
        <v>0.8</v>
      </c>
      <c r="CS110" s="226">
        <v>0.8</v>
      </c>
      <c r="CT110" s="226">
        <v>0.8</v>
      </c>
      <c r="CU110" s="226">
        <v>0.8</v>
      </c>
      <c r="CV110" s="226">
        <v>0.8</v>
      </c>
      <c r="CW110" s="226">
        <v>0.8</v>
      </c>
      <c r="CX110" s="226">
        <v>0.8</v>
      </c>
      <c r="CY110" s="226">
        <v>0.8</v>
      </c>
      <c r="CZ110" s="226">
        <v>0.8</v>
      </c>
      <c r="DA110" s="226">
        <v>0.8</v>
      </c>
      <c r="DB110" s="226">
        <v>0.8</v>
      </c>
      <c r="DC110" s="226">
        <v>0.8</v>
      </c>
      <c r="DD110" s="226">
        <v>0.8</v>
      </c>
      <c r="DE110" s="226">
        <v>0.8</v>
      </c>
      <c r="DF110" s="226">
        <v>0.8</v>
      </c>
      <c r="DG110" s="226">
        <v>0.8</v>
      </c>
      <c r="DH110" s="226">
        <v>0.8</v>
      </c>
      <c r="DI110" s="226">
        <v>0.8</v>
      </c>
      <c r="DJ110" s="226">
        <v>0.8</v>
      </c>
      <c r="DK110" s="226">
        <v>0.8</v>
      </c>
      <c r="DL110" s="226">
        <v>0.1</v>
      </c>
      <c r="DM110" s="226">
        <v>0</v>
      </c>
      <c r="DN110" s="226">
        <v>0</v>
      </c>
      <c r="DO110" s="226">
        <v>0</v>
      </c>
      <c r="DP110" s="226">
        <v>0</v>
      </c>
      <c r="DQ110" s="226">
        <v>0</v>
      </c>
      <c r="DR110" s="226">
        <v>0</v>
      </c>
      <c r="DS110" s="226">
        <v>0</v>
      </c>
    </row>
    <row r="111" spans="1:123" x14ac:dyDescent="0.15">
      <c r="A111" s="156" t="s">
        <v>330</v>
      </c>
      <c r="B111">
        <v>0.8</v>
      </c>
      <c r="C111" s="226">
        <v>0.8</v>
      </c>
      <c r="D111" s="226">
        <v>0.8</v>
      </c>
      <c r="E111" s="226">
        <v>0.8</v>
      </c>
      <c r="F111" s="226">
        <v>0.8</v>
      </c>
      <c r="G111" s="226">
        <v>0.8</v>
      </c>
      <c r="H111" s="226">
        <v>0.8</v>
      </c>
      <c r="I111" s="226">
        <v>0.8</v>
      </c>
      <c r="J111" s="226">
        <v>0.8</v>
      </c>
      <c r="K111" s="226">
        <v>0.8</v>
      </c>
      <c r="L111" s="226">
        <v>0.8</v>
      </c>
      <c r="M111" s="226">
        <v>0.7</v>
      </c>
      <c r="N111" s="226">
        <v>0.7</v>
      </c>
      <c r="O111" s="226">
        <v>0.6</v>
      </c>
      <c r="P111" s="226">
        <v>0.6</v>
      </c>
      <c r="Q111" s="226">
        <v>0.7</v>
      </c>
      <c r="R111" s="226">
        <v>0.8</v>
      </c>
      <c r="S111" s="226">
        <v>0.8</v>
      </c>
      <c r="T111" s="226">
        <v>0.8</v>
      </c>
      <c r="U111" s="226">
        <v>0.8</v>
      </c>
      <c r="V111" s="226">
        <v>0.8</v>
      </c>
      <c r="W111" s="225">
        <v>0.8</v>
      </c>
      <c r="X111" s="225">
        <v>0.8</v>
      </c>
      <c r="Y111" s="225">
        <v>0.8</v>
      </c>
      <c r="Z111" s="225">
        <v>0.8</v>
      </c>
      <c r="AA111" s="226">
        <v>0.8</v>
      </c>
      <c r="AB111" s="226">
        <v>0.6</v>
      </c>
      <c r="AC111" s="226">
        <v>0.8</v>
      </c>
      <c r="AD111" s="226">
        <v>0.8</v>
      </c>
      <c r="AE111" s="226">
        <v>0.1</v>
      </c>
      <c r="AF111" s="226">
        <v>0.1</v>
      </c>
      <c r="AG111" s="226">
        <v>0.1</v>
      </c>
      <c r="AH111" s="226">
        <v>0.1</v>
      </c>
      <c r="AI111" s="226">
        <v>0.8</v>
      </c>
      <c r="AJ111" s="226">
        <v>0.7</v>
      </c>
      <c r="AK111" s="226">
        <v>0.1</v>
      </c>
      <c r="AL111" s="226">
        <v>0.3</v>
      </c>
      <c r="AM111" s="226">
        <v>0.1</v>
      </c>
      <c r="AN111" s="226">
        <v>0.1</v>
      </c>
      <c r="AO111" s="226">
        <v>0.1</v>
      </c>
      <c r="AP111" s="226">
        <v>0.1</v>
      </c>
      <c r="AQ111" s="226">
        <v>0.1</v>
      </c>
      <c r="AR111" s="226">
        <v>0.1</v>
      </c>
      <c r="AS111" s="226">
        <v>0.1</v>
      </c>
      <c r="AT111" s="226">
        <v>0.7</v>
      </c>
      <c r="AU111" s="226">
        <v>0.3</v>
      </c>
      <c r="AV111" s="226">
        <v>0.3</v>
      </c>
      <c r="AW111" s="226">
        <v>0.3</v>
      </c>
      <c r="AX111" s="226">
        <v>0.8</v>
      </c>
      <c r="AY111" s="226">
        <v>0.8</v>
      </c>
      <c r="AZ111" s="226">
        <v>0.8</v>
      </c>
      <c r="BA111" s="226">
        <v>0.6</v>
      </c>
      <c r="BB111" s="226">
        <v>0.6</v>
      </c>
      <c r="BC111" s="226">
        <v>0.8</v>
      </c>
      <c r="BD111" s="226">
        <v>0.7</v>
      </c>
      <c r="BE111" s="226">
        <v>0.8</v>
      </c>
      <c r="BF111" s="226">
        <v>0.1</v>
      </c>
      <c r="BG111" s="226">
        <v>0.1</v>
      </c>
      <c r="BH111" s="226">
        <v>0.3</v>
      </c>
      <c r="BI111" s="226">
        <v>0.3</v>
      </c>
      <c r="BJ111" s="226">
        <v>0.3</v>
      </c>
      <c r="BK111" s="226">
        <v>0.3</v>
      </c>
      <c r="BL111" s="226">
        <v>0.3</v>
      </c>
      <c r="BM111" s="226">
        <v>0.3</v>
      </c>
      <c r="BN111" s="226">
        <v>0.7</v>
      </c>
      <c r="BO111" s="226">
        <v>0.7</v>
      </c>
      <c r="BP111" s="226">
        <v>0.8</v>
      </c>
      <c r="BQ111" s="226">
        <v>0.8</v>
      </c>
      <c r="BR111" s="226">
        <v>0.7</v>
      </c>
      <c r="BS111" s="226">
        <v>0.7</v>
      </c>
      <c r="BT111" s="226">
        <v>0.7</v>
      </c>
      <c r="BU111" s="226">
        <v>0.7</v>
      </c>
      <c r="BV111" s="226">
        <v>0.8</v>
      </c>
      <c r="BW111" s="226">
        <v>0.8</v>
      </c>
      <c r="BX111" s="226">
        <v>0.7</v>
      </c>
      <c r="BY111" s="226">
        <v>0.8</v>
      </c>
      <c r="BZ111" s="226">
        <v>0.8</v>
      </c>
      <c r="CA111" s="226">
        <v>0.8</v>
      </c>
      <c r="CB111" s="226">
        <v>0.8</v>
      </c>
      <c r="CC111" s="226">
        <v>0.8</v>
      </c>
      <c r="CD111" s="226">
        <v>0.8</v>
      </c>
      <c r="CE111" s="226">
        <v>0.8</v>
      </c>
      <c r="CF111" s="226">
        <v>0.8</v>
      </c>
      <c r="CG111" s="226">
        <v>0.8</v>
      </c>
      <c r="CH111" s="226">
        <v>0.8</v>
      </c>
      <c r="CI111" s="226">
        <v>0.8</v>
      </c>
      <c r="CJ111" s="226">
        <v>0.8</v>
      </c>
      <c r="CK111" s="226">
        <v>0.8</v>
      </c>
      <c r="CL111" s="226">
        <v>0.8</v>
      </c>
      <c r="CM111" s="226">
        <v>0.8</v>
      </c>
      <c r="CN111" s="226">
        <v>0.8</v>
      </c>
      <c r="CO111" s="226">
        <v>0.8</v>
      </c>
      <c r="CP111" s="226">
        <v>0.8</v>
      </c>
      <c r="CQ111" s="226">
        <v>0.8</v>
      </c>
      <c r="CR111" s="226">
        <v>0.8</v>
      </c>
      <c r="CS111" s="226">
        <v>0.8</v>
      </c>
      <c r="CT111" s="226">
        <v>0.8</v>
      </c>
      <c r="CU111" s="226">
        <v>0.8</v>
      </c>
      <c r="CV111" s="226">
        <v>0.8</v>
      </c>
      <c r="CW111" s="226">
        <v>0.8</v>
      </c>
      <c r="CX111" s="226">
        <v>0.8</v>
      </c>
      <c r="CY111" s="226">
        <v>0.8</v>
      </c>
      <c r="CZ111" s="226">
        <v>0.8</v>
      </c>
      <c r="DA111" s="226">
        <v>0.8</v>
      </c>
      <c r="DB111" s="226">
        <v>0.8</v>
      </c>
      <c r="DC111" s="226">
        <v>0.8</v>
      </c>
      <c r="DD111" s="226">
        <v>0.8</v>
      </c>
      <c r="DE111" s="226">
        <v>0.8</v>
      </c>
      <c r="DF111" s="226">
        <v>0.8</v>
      </c>
      <c r="DG111" s="226">
        <v>0.8</v>
      </c>
      <c r="DH111" s="226">
        <v>0.8</v>
      </c>
      <c r="DI111" s="226">
        <v>0.8</v>
      </c>
      <c r="DJ111" s="226">
        <v>0.8</v>
      </c>
      <c r="DK111" s="226">
        <v>0.8</v>
      </c>
      <c r="DL111" s="226">
        <v>0.1</v>
      </c>
      <c r="DM111" s="226">
        <v>0</v>
      </c>
      <c r="DN111" s="226">
        <v>0</v>
      </c>
      <c r="DO111" s="226">
        <v>0</v>
      </c>
      <c r="DP111" s="226">
        <v>0</v>
      </c>
      <c r="DQ111" s="226">
        <v>0</v>
      </c>
      <c r="DR111" s="226">
        <v>0</v>
      </c>
      <c r="DS111" s="226">
        <v>0</v>
      </c>
    </row>
    <row r="112" spans="1:123" x14ac:dyDescent="0.15">
      <c r="A112" s="156" t="s">
        <v>331</v>
      </c>
      <c r="B112">
        <v>0.8</v>
      </c>
      <c r="C112" s="226">
        <v>0.8</v>
      </c>
      <c r="D112" s="226">
        <v>0.8</v>
      </c>
      <c r="E112" s="226">
        <v>0.8</v>
      </c>
      <c r="F112" s="226">
        <v>0.8</v>
      </c>
      <c r="G112" s="226">
        <v>0.8</v>
      </c>
      <c r="H112" s="226">
        <v>0.8</v>
      </c>
      <c r="I112" s="226">
        <v>0.8</v>
      </c>
      <c r="J112" s="226">
        <v>0.8</v>
      </c>
      <c r="K112" s="226">
        <v>0.8</v>
      </c>
      <c r="L112" s="226">
        <v>0.8</v>
      </c>
      <c r="M112" s="226">
        <v>0.7</v>
      </c>
      <c r="N112" s="226">
        <v>0.7</v>
      </c>
      <c r="O112" s="226">
        <v>0.6</v>
      </c>
      <c r="P112" s="226">
        <v>0.6</v>
      </c>
      <c r="Q112" s="226">
        <v>0.7</v>
      </c>
      <c r="R112" s="226">
        <v>0.8</v>
      </c>
      <c r="S112" s="226">
        <v>0.8</v>
      </c>
      <c r="T112" s="226">
        <v>0.8</v>
      </c>
      <c r="U112" s="226">
        <v>0.8</v>
      </c>
      <c r="V112" s="226">
        <v>0.8</v>
      </c>
      <c r="W112" s="225">
        <v>0.8</v>
      </c>
      <c r="X112" s="225">
        <v>0.8</v>
      </c>
      <c r="Y112" s="225">
        <v>0.8</v>
      </c>
      <c r="Z112" s="225">
        <v>0.8</v>
      </c>
      <c r="AA112" s="226">
        <v>0.8</v>
      </c>
      <c r="AB112" s="226">
        <v>0.6</v>
      </c>
      <c r="AC112" s="226">
        <v>0.8</v>
      </c>
      <c r="AD112" s="226">
        <v>0.8</v>
      </c>
      <c r="AE112" s="226">
        <v>0.1</v>
      </c>
      <c r="AF112" s="226">
        <v>0.1</v>
      </c>
      <c r="AG112" s="226">
        <v>0.1</v>
      </c>
      <c r="AH112" s="226">
        <v>0.1</v>
      </c>
      <c r="AI112" s="226">
        <v>0.8</v>
      </c>
      <c r="AJ112" s="226">
        <v>0.7</v>
      </c>
      <c r="AK112" s="226">
        <v>0.1</v>
      </c>
      <c r="AL112" s="226">
        <v>0.3</v>
      </c>
      <c r="AM112" s="226">
        <v>0.1</v>
      </c>
      <c r="AN112" s="226">
        <v>0.1</v>
      </c>
      <c r="AO112" s="226">
        <v>0.1</v>
      </c>
      <c r="AP112" s="226">
        <v>0.1</v>
      </c>
      <c r="AQ112" s="226">
        <v>0.1</v>
      </c>
      <c r="AR112" s="226">
        <v>0.1</v>
      </c>
      <c r="AS112" s="226">
        <v>0.1</v>
      </c>
      <c r="AT112" s="226">
        <v>0.7</v>
      </c>
      <c r="AU112" s="226">
        <v>0.3</v>
      </c>
      <c r="AV112" s="226">
        <v>0.3</v>
      </c>
      <c r="AW112" s="226">
        <v>0.3</v>
      </c>
      <c r="AX112" s="226">
        <v>0.8</v>
      </c>
      <c r="AY112" s="226">
        <v>0.8</v>
      </c>
      <c r="AZ112" s="226">
        <v>0.8</v>
      </c>
      <c r="BA112" s="226">
        <v>0.6</v>
      </c>
      <c r="BB112" s="226">
        <v>0.6</v>
      </c>
      <c r="BC112" s="226">
        <v>0.8</v>
      </c>
      <c r="BD112" s="226">
        <v>0.7</v>
      </c>
      <c r="BE112" s="226">
        <v>0.8</v>
      </c>
      <c r="BF112" s="226">
        <v>0.1</v>
      </c>
      <c r="BG112" s="226">
        <v>0.1</v>
      </c>
      <c r="BH112" s="226">
        <v>0.3</v>
      </c>
      <c r="BI112" s="226">
        <v>0.3</v>
      </c>
      <c r="BJ112" s="226">
        <v>0.3</v>
      </c>
      <c r="BK112" s="226">
        <v>0.3</v>
      </c>
      <c r="BL112" s="226">
        <v>0.3</v>
      </c>
      <c r="BM112" s="226">
        <v>0.3</v>
      </c>
      <c r="BN112" s="226">
        <v>0.7</v>
      </c>
      <c r="BO112" s="226">
        <v>0.7</v>
      </c>
      <c r="BP112" s="226">
        <v>0.8</v>
      </c>
      <c r="BQ112" s="226">
        <v>0.8</v>
      </c>
      <c r="BR112" s="226">
        <v>0.7</v>
      </c>
      <c r="BS112" s="226">
        <v>0.7</v>
      </c>
      <c r="BT112" s="226">
        <v>0.7</v>
      </c>
      <c r="BU112" s="226">
        <v>0.7</v>
      </c>
      <c r="BV112" s="226">
        <v>0.8</v>
      </c>
      <c r="BW112" s="226">
        <v>0.8</v>
      </c>
      <c r="BX112" s="226">
        <v>0.7</v>
      </c>
      <c r="BY112" s="226">
        <v>0.8</v>
      </c>
      <c r="BZ112" s="226">
        <v>0.8</v>
      </c>
      <c r="CA112" s="226">
        <v>0.8</v>
      </c>
      <c r="CB112" s="226">
        <v>0.8</v>
      </c>
      <c r="CC112" s="226">
        <v>0.8</v>
      </c>
      <c r="CD112" s="226">
        <v>0.8</v>
      </c>
      <c r="CE112" s="226">
        <v>0.8</v>
      </c>
      <c r="CF112" s="226">
        <v>0.8</v>
      </c>
      <c r="CG112" s="226">
        <v>0.8</v>
      </c>
      <c r="CH112" s="226">
        <v>0.8</v>
      </c>
      <c r="CI112" s="226">
        <v>0.8</v>
      </c>
      <c r="CJ112" s="226">
        <v>0.8</v>
      </c>
      <c r="CK112" s="226">
        <v>0.8</v>
      </c>
      <c r="CL112" s="226">
        <v>0.8</v>
      </c>
      <c r="CM112" s="226">
        <v>0.8</v>
      </c>
      <c r="CN112" s="226">
        <v>0.8</v>
      </c>
      <c r="CO112" s="226">
        <v>0.8</v>
      </c>
      <c r="CP112" s="226">
        <v>0.8</v>
      </c>
      <c r="CQ112" s="226">
        <v>0.8</v>
      </c>
      <c r="CR112" s="226">
        <v>0.8</v>
      </c>
      <c r="CS112" s="226">
        <v>0.8</v>
      </c>
      <c r="CT112" s="226">
        <v>0.8</v>
      </c>
      <c r="CU112" s="226">
        <v>0.8</v>
      </c>
      <c r="CV112" s="226">
        <v>0.8</v>
      </c>
      <c r="CW112" s="226">
        <v>0.8</v>
      </c>
      <c r="CX112" s="226">
        <v>0.8</v>
      </c>
      <c r="CY112" s="226">
        <v>0.8</v>
      </c>
      <c r="CZ112" s="226">
        <v>0.8</v>
      </c>
      <c r="DA112" s="226">
        <v>0.8</v>
      </c>
      <c r="DB112" s="226">
        <v>0.8</v>
      </c>
      <c r="DC112" s="226">
        <v>0.8</v>
      </c>
      <c r="DD112" s="226">
        <v>0.8</v>
      </c>
      <c r="DE112" s="226">
        <v>0.8</v>
      </c>
      <c r="DF112" s="226">
        <v>0.8</v>
      </c>
      <c r="DG112" s="226">
        <v>0.8</v>
      </c>
      <c r="DH112" s="226">
        <v>0.8</v>
      </c>
      <c r="DI112" s="226">
        <v>0.8</v>
      </c>
      <c r="DJ112" s="226">
        <v>0.8</v>
      </c>
      <c r="DK112" s="226">
        <v>0.8</v>
      </c>
      <c r="DL112" s="226">
        <v>0.1</v>
      </c>
      <c r="DM112" s="226">
        <v>0</v>
      </c>
      <c r="DN112" s="226">
        <v>0</v>
      </c>
      <c r="DO112" s="226">
        <v>0</v>
      </c>
      <c r="DP112" s="226">
        <v>0</v>
      </c>
      <c r="DQ112" s="226">
        <v>0</v>
      </c>
      <c r="DR112" s="226">
        <v>0</v>
      </c>
      <c r="DS112" s="226">
        <v>0</v>
      </c>
    </row>
    <row r="113" spans="1:123" x14ac:dyDescent="0.15">
      <c r="A113" s="156" t="s">
        <v>332</v>
      </c>
      <c r="B113">
        <v>0.8</v>
      </c>
      <c r="C113" s="226">
        <v>0.8</v>
      </c>
      <c r="D113" s="226">
        <v>0.8</v>
      </c>
      <c r="E113" s="226">
        <v>0.8</v>
      </c>
      <c r="F113" s="226">
        <v>0.8</v>
      </c>
      <c r="G113" s="226">
        <v>0.8</v>
      </c>
      <c r="H113" s="226">
        <v>0.8</v>
      </c>
      <c r="I113" s="226">
        <v>0.8</v>
      </c>
      <c r="J113" s="226">
        <v>0.8</v>
      </c>
      <c r="K113" s="226">
        <v>0.8</v>
      </c>
      <c r="L113" s="226">
        <v>0.8</v>
      </c>
      <c r="M113" s="226">
        <v>0.7</v>
      </c>
      <c r="N113" s="226">
        <v>0.7</v>
      </c>
      <c r="O113" s="226">
        <v>0.6</v>
      </c>
      <c r="P113" s="226">
        <v>0.6</v>
      </c>
      <c r="Q113" s="226">
        <v>0.7</v>
      </c>
      <c r="R113" s="226">
        <v>0.8</v>
      </c>
      <c r="S113" s="226">
        <v>0.8</v>
      </c>
      <c r="T113" s="226">
        <v>0.8</v>
      </c>
      <c r="U113" s="226">
        <v>0.8</v>
      </c>
      <c r="V113" s="226">
        <v>0.8</v>
      </c>
      <c r="W113" s="225">
        <v>0.8</v>
      </c>
      <c r="X113" s="225">
        <v>0.8</v>
      </c>
      <c r="Y113" s="225">
        <v>0.8</v>
      </c>
      <c r="Z113" s="225">
        <v>0.8</v>
      </c>
      <c r="AA113" s="226">
        <v>0.8</v>
      </c>
      <c r="AB113" s="226">
        <v>0.6</v>
      </c>
      <c r="AC113" s="226">
        <v>0.8</v>
      </c>
      <c r="AD113" s="226">
        <v>0.8</v>
      </c>
      <c r="AE113" s="226">
        <v>0.1</v>
      </c>
      <c r="AF113" s="226">
        <v>0.1</v>
      </c>
      <c r="AG113" s="226">
        <v>0.1</v>
      </c>
      <c r="AH113" s="226">
        <v>0.1</v>
      </c>
      <c r="AI113" s="226">
        <v>0.8</v>
      </c>
      <c r="AJ113" s="226">
        <v>0.7</v>
      </c>
      <c r="AK113" s="226">
        <v>0.1</v>
      </c>
      <c r="AL113" s="226">
        <v>0.3</v>
      </c>
      <c r="AM113" s="226">
        <v>0.1</v>
      </c>
      <c r="AN113" s="226">
        <v>0.1</v>
      </c>
      <c r="AO113" s="226">
        <v>0.1</v>
      </c>
      <c r="AP113" s="226">
        <v>0.1</v>
      </c>
      <c r="AQ113" s="226">
        <v>0.1</v>
      </c>
      <c r="AR113" s="226">
        <v>0.1</v>
      </c>
      <c r="AS113" s="226">
        <v>0.1</v>
      </c>
      <c r="AT113" s="226">
        <v>0.7</v>
      </c>
      <c r="AU113" s="226">
        <v>0.3</v>
      </c>
      <c r="AV113" s="226">
        <v>0.3</v>
      </c>
      <c r="AW113" s="226">
        <v>0.3</v>
      </c>
      <c r="AX113" s="226">
        <v>0.8</v>
      </c>
      <c r="AY113" s="226">
        <v>0.8</v>
      </c>
      <c r="AZ113" s="226">
        <v>0.8</v>
      </c>
      <c r="BA113" s="226">
        <v>0.6</v>
      </c>
      <c r="BB113" s="226">
        <v>0.6</v>
      </c>
      <c r="BC113" s="226">
        <v>0.8</v>
      </c>
      <c r="BD113" s="226">
        <v>0.7</v>
      </c>
      <c r="BE113" s="226">
        <v>0.8</v>
      </c>
      <c r="BF113" s="226">
        <v>0.1</v>
      </c>
      <c r="BG113" s="226">
        <v>0.1</v>
      </c>
      <c r="BH113" s="226">
        <v>0.3</v>
      </c>
      <c r="BI113" s="226">
        <v>0.3</v>
      </c>
      <c r="BJ113" s="226">
        <v>0.3</v>
      </c>
      <c r="BK113" s="226">
        <v>0.3</v>
      </c>
      <c r="BL113" s="226">
        <v>0.3</v>
      </c>
      <c r="BM113" s="226">
        <v>0.3</v>
      </c>
      <c r="BN113" s="226">
        <v>0.7</v>
      </c>
      <c r="BO113" s="226">
        <v>0.7</v>
      </c>
      <c r="BP113" s="226">
        <v>0.8</v>
      </c>
      <c r="BQ113" s="226">
        <v>0.8</v>
      </c>
      <c r="BR113" s="226">
        <v>0.7</v>
      </c>
      <c r="BS113" s="226">
        <v>0.7</v>
      </c>
      <c r="BT113" s="226">
        <v>0.7</v>
      </c>
      <c r="BU113" s="226">
        <v>0.7</v>
      </c>
      <c r="BV113" s="226">
        <v>0.8</v>
      </c>
      <c r="BW113" s="226">
        <v>0.8</v>
      </c>
      <c r="BX113" s="226">
        <v>0.7</v>
      </c>
      <c r="BY113" s="226">
        <v>0.8</v>
      </c>
      <c r="BZ113" s="226">
        <v>0.8</v>
      </c>
      <c r="CA113" s="226">
        <v>0.8</v>
      </c>
      <c r="CB113" s="226">
        <v>0.8</v>
      </c>
      <c r="CC113" s="226">
        <v>0.8</v>
      </c>
      <c r="CD113" s="226">
        <v>0.8</v>
      </c>
      <c r="CE113" s="226">
        <v>0.8</v>
      </c>
      <c r="CF113" s="226">
        <v>0.8</v>
      </c>
      <c r="CG113" s="226">
        <v>0.8</v>
      </c>
      <c r="CH113" s="226">
        <v>0.8</v>
      </c>
      <c r="CI113" s="226">
        <v>0.8</v>
      </c>
      <c r="CJ113" s="226">
        <v>0.8</v>
      </c>
      <c r="CK113" s="226">
        <v>0.8</v>
      </c>
      <c r="CL113" s="226">
        <v>0.8</v>
      </c>
      <c r="CM113" s="226">
        <v>0.8</v>
      </c>
      <c r="CN113" s="226">
        <v>0.8</v>
      </c>
      <c r="CO113" s="226">
        <v>0.8</v>
      </c>
      <c r="CP113" s="226">
        <v>0.8</v>
      </c>
      <c r="CQ113" s="226">
        <v>0.8</v>
      </c>
      <c r="CR113" s="226">
        <v>0.8</v>
      </c>
      <c r="CS113" s="226">
        <v>0.8</v>
      </c>
      <c r="CT113" s="226">
        <v>0.8</v>
      </c>
      <c r="CU113" s="226">
        <v>0.8</v>
      </c>
      <c r="CV113" s="226">
        <v>0.8</v>
      </c>
      <c r="CW113" s="226">
        <v>0.8</v>
      </c>
      <c r="CX113" s="226">
        <v>0.8</v>
      </c>
      <c r="CY113" s="226">
        <v>0.8</v>
      </c>
      <c r="CZ113" s="226">
        <v>0.8</v>
      </c>
      <c r="DA113" s="226">
        <v>0.8</v>
      </c>
      <c r="DB113" s="226">
        <v>0.8</v>
      </c>
      <c r="DC113" s="226">
        <v>0.8</v>
      </c>
      <c r="DD113" s="226">
        <v>0.8</v>
      </c>
      <c r="DE113" s="226">
        <v>0.8</v>
      </c>
      <c r="DF113" s="226">
        <v>0.8</v>
      </c>
      <c r="DG113" s="226">
        <v>0.8</v>
      </c>
      <c r="DH113" s="226">
        <v>0.8</v>
      </c>
      <c r="DI113" s="226">
        <v>0.8</v>
      </c>
      <c r="DJ113" s="226">
        <v>0.8</v>
      </c>
      <c r="DK113" s="226">
        <v>0.8</v>
      </c>
      <c r="DL113" s="226">
        <v>0.1</v>
      </c>
      <c r="DM113" s="226">
        <v>0</v>
      </c>
      <c r="DN113" s="226">
        <v>0</v>
      </c>
      <c r="DO113" s="226">
        <v>0</v>
      </c>
      <c r="DP113" s="226">
        <v>0</v>
      </c>
      <c r="DQ113" s="226">
        <v>0</v>
      </c>
      <c r="DR113" s="226">
        <v>0</v>
      </c>
      <c r="DS113" s="226">
        <v>0</v>
      </c>
    </row>
    <row r="114" spans="1:123" x14ac:dyDescent="0.15">
      <c r="A114" s="156" t="s">
        <v>333</v>
      </c>
      <c r="B114">
        <v>0.8</v>
      </c>
      <c r="C114" s="226">
        <v>0.8</v>
      </c>
      <c r="D114" s="226">
        <v>0.8</v>
      </c>
      <c r="E114" s="226">
        <v>0.8</v>
      </c>
      <c r="F114" s="226">
        <v>0.8</v>
      </c>
      <c r="G114" s="226">
        <v>0.8</v>
      </c>
      <c r="H114" s="226">
        <v>0.8</v>
      </c>
      <c r="I114" s="226">
        <v>0.8</v>
      </c>
      <c r="J114" s="226">
        <v>0.8</v>
      </c>
      <c r="K114" s="226">
        <v>0.8</v>
      </c>
      <c r="L114" s="226">
        <v>0.8</v>
      </c>
      <c r="M114" s="226">
        <v>0.7</v>
      </c>
      <c r="N114" s="226">
        <v>0.7</v>
      </c>
      <c r="O114" s="226">
        <v>0.6</v>
      </c>
      <c r="P114" s="226">
        <v>0.6</v>
      </c>
      <c r="Q114" s="226">
        <v>0.7</v>
      </c>
      <c r="R114" s="226">
        <v>0.8</v>
      </c>
      <c r="S114" s="226">
        <v>0.8</v>
      </c>
      <c r="T114" s="226">
        <v>0.8</v>
      </c>
      <c r="U114" s="226">
        <v>0.8</v>
      </c>
      <c r="V114" s="226">
        <v>0.8</v>
      </c>
      <c r="W114" s="225">
        <v>0.8</v>
      </c>
      <c r="X114" s="225">
        <v>0.8</v>
      </c>
      <c r="Y114" s="225">
        <v>0.8</v>
      </c>
      <c r="Z114" s="225">
        <v>0.8</v>
      </c>
      <c r="AA114" s="226">
        <v>0.8</v>
      </c>
      <c r="AB114" s="226">
        <v>0.6</v>
      </c>
      <c r="AC114" s="226">
        <v>0.8</v>
      </c>
      <c r="AD114" s="226">
        <v>0.8</v>
      </c>
      <c r="AE114" s="226">
        <v>0.1</v>
      </c>
      <c r="AF114" s="226">
        <v>0.1</v>
      </c>
      <c r="AG114" s="226">
        <v>0.1</v>
      </c>
      <c r="AH114" s="226">
        <v>0.1</v>
      </c>
      <c r="AI114" s="226">
        <v>0.8</v>
      </c>
      <c r="AJ114" s="226">
        <v>0.7</v>
      </c>
      <c r="AK114" s="226">
        <v>0.1</v>
      </c>
      <c r="AL114" s="226">
        <v>0.3</v>
      </c>
      <c r="AM114" s="226">
        <v>0.1</v>
      </c>
      <c r="AN114" s="226">
        <v>0.1</v>
      </c>
      <c r="AO114" s="226">
        <v>0.1</v>
      </c>
      <c r="AP114" s="226">
        <v>0.1</v>
      </c>
      <c r="AQ114" s="226">
        <v>0.1</v>
      </c>
      <c r="AR114" s="226">
        <v>0.1</v>
      </c>
      <c r="AS114" s="226">
        <v>0.1</v>
      </c>
      <c r="AT114" s="226">
        <v>0.7</v>
      </c>
      <c r="AU114" s="226">
        <v>0.3</v>
      </c>
      <c r="AV114" s="226">
        <v>0.3</v>
      </c>
      <c r="AW114" s="226">
        <v>0.3</v>
      </c>
      <c r="AX114" s="226">
        <v>0.8</v>
      </c>
      <c r="AY114" s="226">
        <v>0.8</v>
      </c>
      <c r="AZ114" s="226">
        <v>0.8</v>
      </c>
      <c r="BA114" s="226">
        <v>0.6</v>
      </c>
      <c r="BB114" s="226">
        <v>0.6</v>
      </c>
      <c r="BC114" s="226">
        <v>0.8</v>
      </c>
      <c r="BD114" s="226">
        <v>0.7</v>
      </c>
      <c r="BE114" s="226">
        <v>0.8</v>
      </c>
      <c r="BF114" s="226">
        <v>0.1</v>
      </c>
      <c r="BG114" s="226">
        <v>0.1</v>
      </c>
      <c r="BH114" s="226">
        <v>0.3</v>
      </c>
      <c r="BI114" s="226">
        <v>0.3</v>
      </c>
      <c r="BJ114" s="226">
        <v>0.3</v>
      </c>
      <c r="BK114" s="226">
        <v>0.3</v>
      </c>
      <c r="BL114" s="226">
        <v>0.3</v>
      </c>
      <c r="BM114" s="226">
        <v>0.3</v>
      </c>
      <c r="BN114" s="226">
        <v>0.7</v>
      </c>
      <c r="BO114" s="226">
        <v>0.7</v>
      </c>
      <c r="BP114" s="226">
        <v>0.8</v>
      </c>
      <c r="BQ114" s="226">
        <v>0.8</v>
      </c>
      <c r="BR114" s="226">
        <v>0.7</v>
      </c>
      <c r="BS114" s="226">
        <v>0.7</v>
      </c>
      <c r="BT114" s="226">
        <v>0.7</v>
      </c>
      <c r="BU114" s="226">
        <v>0.7</v>
      </c>
      <c r="BV114" s="226">
        <v>0.8</v>
      </c>
      <c r="BW114" s="226">
        <v>0.8</v>
      </c>
      <c r="BX114" s="226">
        <v>0.7</v>
      </c>
      <c r="BY114" s="226">
        <v>0.8</v>
      </c>
      <c r="BZ114" s="226">
        <v>0.8</v>
      </c>
      <c r="CA114" s="226">
        <v>0.8</v>
      </c>
      <c r="CB114" s="226">
        <v>0.8</v>
      </c>
      <c r="CC114" s="226">
        <v>0.8</v>
      </c>
      <c r="CD114" s="226">
        <v>0.8</v>
      </c>
      <c r="CE114" s="226">
        <v>0.8</v>
      </c>
      <c r="CF114" s="226">
        <v>0.8</v>
      </c>
      <c r="CG114" s="226">
        <v>0.8</v>
      </c>
      <c r="CH114" s="226">
        <v>0.8</v>
      </c>
      <c r="CI114" s="226">
        <v>0.8</v>
      </c>
      <c r="CJ114" s="226">
        <v>0.8</v>
      </c>
      <c r="CK114" s="226">
        <v>0.8</v>
      </c>
      <c r="CL114" s="226">
        <v>0.8</v>
      </c>
      <c r="CM114" s="226">
        <v>0.8</v>
      </c>
      <c r="CN114" s="226">
        <v>0.8</v>
      </c>
      <c r="CO114" s="226">
        <v>0.8</v>
      </c>
      <c r="CP114" s="226">
        <v>0.8</v>
      </c>
      <c r="CQ114" s="226">
        <v>0.8</v>
      </c>
      <c r="CR114" s="226">
        <v>0.8</v>
      </c>
      <c r="CS114" s="226">
        <v>0.8</v>
      </c>
      <c r="CT114" s="226">
        <v>0.8</v>
      </c>
      <c r="CU114" s="226">
        <v>0.8</v>
      </c>
      <c r="CV114" s="226">
        <v>0.8</v>
      </c>
      <c r="CW114" s="226">
        <v>0.8</v>
      </c>
      <c r="CX114" s="226">
        <v>0.8</v>
      </c>
      <c r="CY114" s="226">
        <v>0.8</v>
      </c>
      <c r="CZ114" s="226">
        <v>0.8</v>
      </c>
      <c r="DA114" s="226">
        <v>0.8</v>
      </c>
      <c r="DB114" s="226">
        <v>0.8</v>
      </c>
      <c r="DC114" s="226">
        <v>0.8</v>
      </c>
      <c r="DD114" s="226">
        <v>0.8</v>
      </c>
      <c r="DE114" s="226">
        <v>0.8</v>
      </c>
      <c r="DF114" s="226">
        <v>0.8</v>
      </c>
      <c r="DG114" s="226">
        <v>0.8</v>
      </c>
      <c r="DH114" s="226">
        <v>0.8</v>
      </c>
      <c r="DI114" s="226">
        <v>0.8</v>
      </c>
      <c r="DJ114" s="226">
        <v>0.8</v>
      </c>
      <c r="DK114" s="226">
        <v>0.8</v>
      </c>
      <c r="DL114" s="226">
        <v>0.1</v>
      </c>
      <c r="DM114" s="226">
        <v>0</v>
      </c>
      <c r="DN114" s="226">
        <v>0</v>
      </c>
      <c r="DO114" s="226">
        <v>0</v>
      </c>
      <c r="DP114" s="226">
        <v>0</v>
      </c>
      <c r="DQ114" s="226">
        <v>0</v>
      </c>
      <c r="DR114" s="226">
        <v>0</v>
      </c>
      <c r="DS114" s="226">
        <v>0</v>
      </c>
    </row>
    <row r="115" spans="1:123" x14ac:dyDescent="0.15">
      <c r="A115" s="156" t="s">
        <v>334</v>
      </c>
      <c r="B115">
        <v>0.8</v>
      </c>
      <c r="C115" s="226">
        <v>0.8</v>
      </c>
      <c r="D115" s="226">
        <v>0.8</v>
      </c>
      <c r="E115" s="226">
        <v>0.8</v>
      </c>
      <c r="F115" s="226">
        <v>0.8</v>
      </c>
      <c r="G115" s="226">
        <v>0.8</v>
      </c>
      <c r="H115" s="226">
        <v>0.8</v>
      </c>
      <c r="I115" s="226">
        <v>0.8</v>
      </c>
      <c r="J115" s="226">
        <v>0.8</v>
      </c>
      <c r="K115" s="226">
        <v>0.8</v>
      </c>
      <c r="L115" s="226">
        <v>0.8</v>
      </c>
      <c r="M115" s="226">
        <v>0.7</v>
      </c>
      <c r="N115" s="226">
        <v>0.7</v>
      </c>
      <c r="O115" s="226">
        <v>0.6</v>
      </c>
      <c r="P115" s="226">
        <v>0.6</v>
      </c>
      <c r="Q115" s="226">
        <v>0.7</v>
      </c>
      <c r="R115" s="226">
        <v>0.8</v>
      </c>
      <c r="S115" s="226">
        <v>0.8</v>
      </c>
      <c r="T115" s="226">
        <v>0.8</v>
      </c>
      <c r="U115" s="226">
        <v>0.8</v>
      </c>
      <c r="V115" s="226">
        <v>0.8</v>
      </c>
      <c r="W115" s="225">
        <v>0.8</v>
      </c>
      <c r="X115" s="225">
        <v>0.8</v>
      </c>
      <c r="Y115" s="225">
        <v>0.8</v>
      </c>
      <c r="Z115" s="225">
        <v>0.8</v>
      </c>
      <c r="AA115" s="226">
        <v>0.8</v>
      </c>
      <c r="AB115" s="226">
        <v>0.6</v>
      </c>
      <c r="AC115" s="226">
        <v>0.8</v>
      </c>
      <c r="AD115" s="226">
        <v>0.8</v>
      </c>
      <c r="AE115" s="226">
        <v>0.1</v>
      </c>
      <c r="AF115" s="226">
        <v>0.1</v>
      </c>
      <c r="AG115" s="226">
        <v>0.1</v>
      </c>
      <c r="AH115" s="226">
        <v>0.1</v>
      </c>
      <c r="AI115" s="226">
        <v>0.8</v>
      </c>
      <c r="AJ115" s="226">
        <v>0.7</v>
      </c>
      <c r="AK115" s="226">
        <v>0.1</v>
      </c>
      <c r="AL115" s="226">
        <v>0.3</v>
      </c>
      <c r="AM115" s="226">
        <v>0.1</v>
      </c>
      <c r="AN115" s="226">
        <v>0.1</v>
      </c>
      <c r="AO115" s="226">
        <v>0.1</v>
      </c>
      <c r="AP115" s="226">
        <v>0.1</v>
      </c>
      <c r="AQ115" s="226">
        <v>0.1</v>
      </c>
      <c r="AR115" s="226">
        <v>0.1</v>
      </c>
      <c r="AS115" s="226">
        <v>0.1</v>
      </c>
      <c r="AT115" s="226">
        <v>0.7</v>
      </c>
      <c r="AU115" s="226">
        <v>0.3</v>
      </c>
      <c r="AV115" s="226">
        <v>0.3</v>
      </c>
      <c r="AW115" s="226">
        <v>0.3</v>
      </c>
      <c r="AX115" s="226">
        <v>0.8</v>
      </c>
      <c r="AY115" s="226">
        <v>0.8</v>
      </c>
      <c r="AZ115" s="226">
        <v>0.8</v>
      </c>
      <c r="BA115" s="226">
        <v>0.6</v>
      </c>
      <c r="BB115" s="226">
        <v>0.6</v>
      </c>
      <c r="BC115" s="226">
        <v>0.8</v>
      </c>
      <c r="BD115" s="226">
        <v>0.7</v>
      </c>
      <c r="BE115" s="226">
        <v>0.8</v>
      </c>
      <c r="BF115" s="226">
        <v>0.1</v>
      </c>
      <c r="BG115" s="226">
        <v>0.1</v>
      </c>
      <c r="BH115" s="226">
        <v>0.3</v>
      </c>
      <c r="BI115" s="226">
        <v>0.3</v>
      </c>
      <c r="BJ115" s="226">
        <v>0.3</v>
      </c>
      <c r="BK115" s="226">
        <v>0.3</v>
      </c>
      <c r="BL115" s="226">
        <v>0.3</v>
      </c>
      <c r="BM115" s="226">
        <v>0.3</v>
      </c>
      <c r="BN115" s="226">
        <v>0.7</v>
      </c>
      <c r="BO115" s="226">
        <v>0.7</v>
      </c>
      <c r="BP115" s="226">
        <v>0.8</v>
      </c>
      <c r="BQ115" s="226">
        <v>0.8</v>
      </c>
      <c r="BR115" s="226">
        <v>0.7</v>
      </c>
      <c r="BS115" s="226">
        <v>0.7</v>
      </c>
      <c r="BT115" s="226">
        <v>0.7</v>
      </c>
      <c r="BU115" s="226">
        <v>0.7</v>
      </c>
      <c r="BV115" s="226">
        <v>0.8</v>
      </c>
      <c r="BW115" s="226">
        <v>0.8</v>
      </c>
      <c r="BX115" s="226">
        <v>0.7</v>
      </c>
      <c r="BY115" s="226">
        <v>0.8</v>
      </c>
      <c r="BZ115" s="226">
        <v>0.8</v>
      </c>
      <c r="CA115" s="226">
        <v>0.8</v>
      </c>
      <c r="CB115" s="226">
        <v>0.8</v>
      </c>
      <c r="CC115" s="226">
        <v>0.8</v>
      </c>
      <c r="CD115" s="226">
        <v>0.8</v>
      </c>
      <c r="CE115" s="226">
        <v>0.8</v>
      </c>
      <c r="CF115" s="226">
        <v>0.8</v>
      </c>
      <c r="CG115" s="226">
        <v>0.8</v>
      </c>
      <c r="CH115" s="226">
        <v>0.8</v>
      </c>
      <c r="CI115" s="226">
        <v>0.8</v>
      </c>
      <c r="CJ115" s="226">
        <v>0.8</v>
      </c>
      <c r="CK115" s="226">
        <v>0.8</v>
      </c>
      <c r="CL115" s="226">
        <v>0.8</v>
      </c>
      <c r="CM115" s="226">
        <v>0.8</v>
      </c>
      <c r="CN115" s="226">
        <v>0.8</v>
      </c>
      <c r="CO115" s="226">
        <v>0.8</v>
      </c>
      <c r="CP115" s="226">
        <v>0.8</v>
      </c>
      <c r="CQ115" s="226">
        <v>0.8</v>
      </c>
      <c r="CR115" s="226">
        <v>0.8</v>
      </c>
      <c r="CS115" s="226">
        <v>0.8</v>
      </c>
      <c r="CT115" s="226">
        <v>0.8</v>
      </c>
      <c r="CU115" s="226">
        <v>0.8</v>
      </c>
      <c r="CV115" s="226">
        <v>0.8</v>
      </c>
      <c r="CW115" s="226">
        <v>0.8</v>
      </c>
      <c r="CX115" s="226">
        <v>0.8</v>
      </c>
      <c r="CY115" s="226">
        <v>0.8</v>
      </c>
      <c r="CZ115" s="226">
        <v>0.8</v>
      </c>
      <c r="DA115" s="226">
        <v>0.8</v>
      </c>
      <c r="DB115" s="226">
        <v>0.8</v>
      </c>
      <c r="DC115" s="226">
        <v>0.8</v>
      </c>
      <c r="DD115" s="226">
        <v>0.8</v>
      </c>
      <c r="DE115" s="226">
        <v>0.8</v>
      </c>
      <c r="DF115" s="226">
        <v>0.8</v>
      </c>
      <c r="DG115" s="226">
        <v>0.8</v>
      </c>
      <c r="DH115" s="226">
        <v>0.8</v>
      </c>
      <c r="DI115" s="226">
        <v>0.8</v>
      </c>
      <c r="DJ115" s="226">
        <v>0.8</v>
      </c>
      <c r="DK115" s="226">
        <v>0.8</v>
      </c>
      <c r="DL115" s="226">
        <v>0.1</v>
      </c>
      <c r="DM115" s="226">
        <v>0</v>
      </c>
      <c r="DN115" s="226">
        <v>0</v>
      </c>
      <c r="DO115" s="226">
        <v>0</v>
      </c>
      <c r="DP115" s="226">
        <v>0</v>
      </c>
      <c r="DQ115" s="226">
        <v>0</v>
      </c>
      <c r="DR115" s="226">
        <v>0</v>
      </c>
      <c r="DS115" s="226">
        <v>0</v>
      </c>
    </row>
    <row r="116" spans="1:123" x14ac:dyDescent="0.15">
      <c r="A116" s="156" t="s">
        <v>335</v>
      </c>
      <c r="B116">
        <v>0.8</v>
      </c>
      <c r="C116" s="226">
        <v>0.8</v>
      </c>
      <c r="D116" s="226">
        <v>0.8</v>
      </c>
      <c r="E116" s="226">
        <v>0.8</v>
      </c>
      <c r="F116" s="226">
        <v>0.8</v>
      </c>
      <c r="G116" s="226">
        <v>0.8</v>
      </c>
      <c r="H116" s="226">
        <v>0.8</v>
      </c>
      <c r="I116" s="226">
        <v>0.8</v>
      </c>
      <c r="J116" s="226">
        <v>0.8</v>
      </c>
      <c r="K116" s="226">
        <v>0.8</v>
      </c>
      <c r="L116" s="226">
        <v>0.8</v>
      </c>
      <c r="M116" s="226">
        <v>0.7</v>
      </c>
      <c r="N116" s="226">
        <v>0.7</v>
      </c>
      <c r="O116" s="226">
        <v>0.6</v>
      </c>
      <c r="P116" s="226">
        <v>0.6</v>
      </c>
      <c r="Q116" s="226">
        <v>0.7</v>
      </c>
      <c r="R116" s="226">
        <v>0.8</v>
      </c>
      <c r="S116" s="226">
        <v>0.8</v>
      </c>
      <c r="T116" s="226">
        <v>0.8</v>
      </c>
      <c r="U116" s="226">
        <v>0.8</v>
      </c>
      <c r="V116" s="226">
        <v>0.8</v>
      </c>
      <c r="W116" s="225">
        <v>0.8</v>
      </c>
      <c r="X116" s="225">
        <v>0.8</v>
      </c>
      <c r="Y116" s="225">
        <v>0.8</v>
      </c>
      <c r="Z116" s="225">
        <v>0.8</v>
      </c>
      <c r="AA116" s="226">
        <v>0.8</v>
      </c>
      <c r="AB116" s="226">
        <v>0.6</v>
      </c>
      <c r="AC116" s="226">
        <v>0.8</v>
      </c>
      <c r="AD116" s="226">
        <v>0.8</v>
      </c>
      <c r="AE116" s="226">
        <v>0.1</v>
      </c>
      <c r="AF116" s="226">
        <v>0.1</v>
      </c>
      <c r="AG116" s="226">
        <v>0.1</v>
      </c>
      <c r="AH116" s="226">
        <v>0.1</v>
      </c>
      <c r="AI116" s="226">
        <v>0.8</v>
      </c>
      <c r="AJ116" s="226">
        <v>0.7</v>
      </c>
      <c r="AK116" s="226">
        <v>0.1</v>
      </c>
      <c r="AL116" s="226">
        <v>0.3</v>
      </c>
      <c r="AM116" s="226">
        <v>0.1</v>
      </c>
      <c r="AN116" s="226">
        <v>0.1</v>
      </c>
      <c r="AO116" s="226">
        <v>0.1</v>
      </c>
      <c r="AP116" s="226">
        <v>0.1</v>
      </c>
      <c r="AQ116" s="226">
        <v>0.1</v>
      </c>
      <c r="AR116" s="226">
        <v>0.1</v>
      </c>
      <c r="AS116" s="226">
        <v>0.1</v>
      </c>
      <c r="AT116" s="226">
        <v>0.7</v>
      </c>
      <c r="AU116" s="226">
        <v>0.3</v>
      </c>
      <c r="AV116" s="226">
        <v>0.3</v>
      </c>
      <c r="AW116" s="226">
        <v>0.3</v>
      </c>
      <c r="AX116" s="226">
        <v>0.8</v>
      </c>
      <c r="AY116" s="226">
        <v>0.8</v>
      </c>
      <c r="AZ116" s="226">
        <v>0.8</v>
      </c>
      <c r="BA116" s="226">
        <v>0.6</v>
      </c>
      <c r="BB116" s="226">
        <v>0.6</v>
      </c>
      <c r="BC116" s="226">
        <v>0.8</v>
      </c>
      <c r="BD116" s="226">
        <v>0.7</v>
      </c>
      <c r="BE116" s="226">
        <v>0.8</v>
      </c>
      <c r="BF116" s="226">
        <v>0.1</v>
      </c>
      <c r="BG116" s="226">
        <v>0.1</v>
      </c>
      <c r="BH116" s="226">
        <v>0.3</v>
      </c>
      <c r="BI116" s="226">
        <v>0.3</v>
      </c>
      <c r="BJ116" s="226">
        <v>0.3</v>
      </c>
      <c r="BK116" s="226">
        <v>0.3</v>
      </c>
      <c r="BL116" s="226">
        <v>0.3</v>
      </c>
      <c r="BM116" s="226">
        <v>0.3</v>
      </c>
      <c r="BN116" s="226">
        <v>0.7</v>
      </c>
      <c r="BO116" s="226">
        <v>0.7</v>
      </c>
      <c r="BP116" s="226">
        <v>0.8</v>
      </c>
      <c r="BQ116" s="226">
        <v>0.8</v>
      </c>
      <c r="BR116" s="226">
        <v>0.7</v>
      </c>
      <c r="BS116" s="226">
        <v>0.7</v>
      </c>
      <c r="BT116" s="226">
        <v>0.7</v>
      </c>
      <c r="BU116" s="226">
        <v>0.7</v>
      </c>
      <c r="BV116" s="226">
        <v>0.8</v>
      </c>
      <c r="BW116" s="226">
        <v>0.8</v>
      </c>
      <c r="BX116" s="226">
        <v>0.7</v>
      </c>
      <c r="BY116" s="226">
        <v>0.8</v>
      </c>
      <c r="BZ116" s="226">
        <v>0.8</v>
      </c>
      <c r="CA116" s="226">
        <v>0.8</v>
      </c>
      <c r="CB116" s="226">
        <v>0.8</v>
      </c>
      <c r="CC116" s="226">
        <v>0.8</v>
      </c>
      <c r="CD116" s="226">
        <v>0.8</v>
      </c>
      <c r="CE116" s="226">
        <v>0.8</v>
      </c>
      <c r="CF116" s="226">
        <v>0.8</v>
      </c>
      <c r="CG116" s="226">
        <v>0.8</v>
      </c>
      <c r="CH116" s="226">
        <v>0.8</v>
      </c>
      <c r="CI116" s="226">
        <v>0.8</v>
      </c>
      <c r="CJ116" s="226">
        <v>0.8</v>
      </c>
      <c r="CK116" s="226">
        <v>0.8</v>
      </c>
      <c r="CL116" s="226">
        <v>0.8</v>
      </c>
      <c r="CM116" s="226">
        <v>0.8</v>
      </c>
      <c r="CN116" s="226">
        <v>0.8</v>
      </c>
      <c r="CO116" s="226">
        <v>0.8</v>
      </c>
      <c r="CP116" s="226">
        <v>0.8</v>
      </c>
      <c r="CQ116" s="226">
        <v>0.8</v>
      </c>
      <c r="CR116" s="226">
        <v>0.8</v>
      </c>
      <c r="CS116" s="226">
        <v>0.8</v>
      </c>
      <c r="CT116" s="226">
        <v>0.8</v>
      </c>
      <c r="CU116" s="226">
        <v>0.8</v>
      </c>
      <c r="CV116" s="226">
        <v>0.8</v>
      </c>
      <c r="CW116" s="226">
        <v>0.8</v>
      </c>
      <c r="CX116" s="226">
        <v>0.8</v>
      </c>
      <c r="CY116" s="226">
        <v>0.8</v>
      </c>
      <c r="CZ116" s="226">
        <v>0.8</v>
      </c>
      <c r="DA116" s="226">
        <v>0.8</v>
      </c>
      <c r="DB116" s="226">
        <v>0.8</v>
      </c>
      <c r="DC116" s="226">
        <v>0.8</v>
      </c>
      <c r="DD116" s="226">
        <v>0.8</v>
      </c>
      <c r="DE116" s="226">
        <v>0.8</v>
      </c>
      <c r="DF116" s="226">
        <v>0.8</v>
      </c>
      <c r="DG116" s="226">
        <v>0.8</v>
      </c>
      <c r="DH116" s="226">
        <v>0.8</v>
      </c>
      <c r="DI116" s="226">
        <v>0.8</v>
      </c>
      <c r="DJ116" s="226">
        <v>0.8</v>
      </c>
      <c r="DK116" s="226">
        <v>0.8</v>
      </c>
      <c r="DL116" s="226">
        <v>0.1</v>
      </c>
      <c r="DM116" s="226">
        <v>0</v>
      </c>
      <c r="DN116" s="226">
        <v>0</v>
      </c>
      <c r="DO116" s="226">
        <v>0</v>
      </c>
      <c r="DP116" s="226">
        <v>0</v>
      </c>
      <c r="DQ116" s="226">
        <v>0</v>
      </c>
      <c r="DR116" s="226">
        <v>0</v>
      </c>
      <c r="DS116" s="226">
        <v>0</v>
      </c>
    </row>
    <row r="117" spans="1:123" x14ac:dyDescent="0.15">
      <c r="A117" s="156" t="s">
        <v>336</v>
      </c>
      <c r="B117">
        <v>0.8</v>
      </c>
      <c r="C117" s="226">
        <v>0.8</v>
      </c>
      <c r="D117" s="226">
        <v>0.8</v>
      </c>
      <c r="E117" s="226">
        <v>0.8</v>
      </c>
      <c r="F117" s="226">
        <v>0.8</v>
      </c>
      <c r="G117" s="226">
        <v>0.8</v>
      </c>
      <c r="H117" s="226">
        <v>0.8</v>
      </c>
      <c r="I117" s="226">
        <v>0.8</v>
      </c>
      <c r="J117" s="226">
        <v>0.8</v>
      </c>
      <c r="K117" s="226">
        <v>0.8</v>
      </c>
      <c r="L117" s="226">
        <v>0.8</v>
      </c>
      <c r="M117" s="226">
        <v>0.7</v>
      </c>
      <c r="N117" s="226">
        <v>0.7</v>
      </c>
      <c r="O117" s="226">
        <v>0.6</v>
      </c>
      <c r="P117" s="226">
        <v>0.6</v>
      </c>
      <c r="Q117" s="226">
        <v>0.7</v>
      </c>
      <c r="R117" s="226">
        <v>0.8</v>
      </c>
      <c r="S117" s="226">
        <v>0.8</v>
      </c>
      <c r="T117" s="226">
        <v>0.8</v>
      </c>
      <c r="U117" s="226">
        <v>0.8</v>
      </c>
      <c r="V117" s="226">
        <v>0.8</v>
      </c>
      <c r="W117" s="225">
        <v>0.8</v>
      </c>
      <c r="X117" s="225">
        <v>0.8</v>
      </c>
      <c r="Y117" s="225">
        <v>0.8</v>
      </c>
      <c r="Z117" s="225">
        <v>0.8</v>
      </c>
      <c r="AA117" s="226">
        <v>0.8</v>
      </c>
      <c r="AB117" s="226">
        <v>0.6</v>
      </c>
      <c r="AC117" s="226">
        <v>0.8</v>
      </c>
      <c r="AD117" s="226">
        <v>0.8</v>
      </c>
      <c r="AE117" s="226">
        <v>0.1</v>
      </c>
      <c r="AF117" s="226">
        <v>0.1</v>
      </c>
      <c r="AG117" s="226">
        <v>0.1</v>
      </c>
      <c r="AH117" s="226">
        <v>0.1</v>
      </c>
      <c r="AI117" s="226">
        <v>0.8</v>
      </c>
      <c r="AJ117" s="226">
        <v>0.7</v>
      </c>
      <c r="AK117" s="226">
        <v>0.1</v>
      </c>
      <c r="AL117" s="226">
        <v>0.3</v>
      </c>
      <c r="AM117" s="226">
        <v>0.1</v>
      </c>
      <c r="AN117" s="226">
        <v>0.1</v>
      </c>
      <c r="AO117" s="226">
        <v>0.1</v>
      </c>
      <c r="AP117" s="226">
        <v>0.1</v>
      </c>
      <c r="AQ117" s="226">
        <v>0.1</v>
      </c>
      <c r="AR117" s="226">
        <v>0.1</v>
      </c>
      <c r="AS117" s="226">
        <v>0.1</v>
      </c>
      <c r="AT117" s="226">
        <v>0.7</v>
      </c>
      <c r="AU117" s="226">
        <v>0.3</v>
      </c>
      <c r="AV117" s="226">
        <v>0.3</v>
      </c>
      <c r="AW117" s="226">
        <v>0.3</v>
      </c>
      <c r="AX117" s="226">
        <v>0.8</v>
      </c>
      <c r="AY117" s="226">
        <v>0.8</v>
      </c>
      <c r="AZ117" s="226">
        <v>0.8</v>
      </c>
      <c r="BA117" s="226">
        <v>0.6</v>
      </c>
      <c r="BB117" s="226">
        <v>0.6</v>
      </c>
      <c r="BC117" s="226">
        <v>0.8</v>
      </c>
      <c r="BD117" s="226">
        <v>0.7</v>
      </c>
      <c r="BE117" s="226">
        <v>0.8</v>
      </c>
      <c r="BF117" s="226">
        <v>0.1</v>
      </c>
      <c r="BG117" s="226">
        <v>0.1</v>
      </c>
      <c r="BH117" s="226">
        <v>0.3</v>
      </c>
      <c r="BI117" s="226">
        <v>0.3</v>
      </c>
      <c r="BJ117" s="226">
        <v>0.3</v>
      </c>
      <c r="BK117" s="226">
        <v>0.3</v>
      </c>
      <c r="BL117" s="226">
        <v>0.3</v>
      </c>
      <c r="BM117" s="226">
        <v>0.3</v>
      </c>
      <c r="BN117" s="226">
        <v>0.7</v>
      </c>
      <c r="BO117" s="226">
        <v>0.7</v>
      </c>
      <c r="BP117" s="226">
        <v>0.8</v>
      </c>
      <c r="BQ117" s="226">
        <v>0.8</v>
      </c>
      <c r="BR117" s="226">
        <v>0.7</v>
      </c>
      <c r="BS117" s="226">
        <v>0.7</v>
      </c>
      <c r="BT117" s="226">
        <v>0.7</v>
      </c>
      <c r="BU117" s="226">
        <v>0.7</v>
      </c>
      <c r="BV117" s="226">
        <v>0.8</v>
      </c>
      <c r="BW117" s="226">
        <v>0.8</v>
      </c>
      <c r="BX117" s="226">
        <v>0.7</v>
      </c>
      <c r="BY117" s="226">
        <v>0.8</v>
      </c>
      <c r="BZ117" s="226">
        <v>0.8</v>
      </c>
      <c r="CA117" s="226">
        <v>0.8</v>
      </c>
      <c r="CB117" s="226">
        <v>0.8</v>
      </c>
      <c r="CC117" s="226">
        <v>0.8</v>
      </c>
      <c r="CD117" s="226">
        <v>0.8</v>
      </c>
      <c r="CE117" s="226">
        <v>0.8</v>
      </c>
      <c r="CF117" s="226">
        <v>0.8</v>
      </c>
      <c r="CG117" s="226">
        <v>0.8</v>
      </c>
      <c r="CH117" s="226">
        <v>0.8</v>
      </c>
      <c r="CI117" s="226">
        <v>0.8</v>
      </c>
      <c r="CJ117" s="226">
        <v>0.8</v>
      </c>
      <c r="CK117" s="226">
        <v>0.8</v>
      </c>
      <c r="CL117" s="226">
        <v>0.8</v>
      </c>
      <c r="CM117" s="226">
        <v>0.8</v>
      </c>
      <c r="CN117" s="226">
        <v>0.8</v>
      </c>
      <c r="CO117" s="226">
        <v>0.8</v>
      </c>
      <c r="CP117" s="226">
        <v>0.8</v>
      </c>
      <c r="CQ117" s="226">
        <v>0.8</v>
      </c>
      <c r="CR117" s="226">
        <v>0.8</v>
      </c>
      <c r="CS117" s="226">
        <v>0.8</v>
      </c>
      <c r="CT117" s="226">
        <v>0.8</v>
      </c>
      <c r="CU117" s="226">
        <v>0.8</v>
      </c>
      <c r="CV117" s="226">
        <v>0.8</v>
      </c>
      <c r="CW117" s="226">
        <v>0.8</v>
      </c>
      <c r="CX117" s="226">
        <v>0.8</v>
      </c>
      <c r="CY117" s="226">
        <v>0.8</v>
      </c>
      <c r="CZ117" s="226">
        <v>0.8</v>
      </c>
      <c r="DA117" s="226">
        <v>0.8</v>
      </c>
      <c r="DB117" s="226">
        <v>0.8</v>
      </c>
      <c r="DC117" s="226">
        <v>0.8</v>
      </c>
      <c r="DD117" s="226">
        <v>0.8</v>
      </c>
      <c r="DE117" s="226">
        <v>0.8</v>
      </c>
      <c r="DF117" s="226">
        <v>0.8</v>
      </c>
      <c r="DG117" s="226">
        <v>0.8</v>
      </c>
      <c r="DH117" s="226">
        <v>0.8</v>
      </c>
      <c r="DI117" s="226">
        <v>0.8</v>
      </c>
      <c r="DJ117" s="226">
        <v>0.8</v>
      </c>
      <c r="DK117" s="226">
        <v>0.8</v>
      </c>
      <c r="DL117" s="226">
        <v>0.1</v>
      </c>
      <c r="DM117" s="226">
        <v>0</v>
      </c>
      <c r="DN117" s="226">
        <v>0</v>
      </c>
      <c r="DO117" s="226">
        <v>0</v>
      </c>
      <c r="DP117" s="226">
        <v>0</v>
      </c>
      <c r="DQ117" s="226">
        <v>0</v>
      </c>
      <c r="DR117" s="226">
        <v>0</v>
      </c>
      <c r="DS117" s="226">
        <v>0</v>
      </c>
    </row>
    <row r="118" spans="1:123" x14ac:dyDescent="0.15">
      <c r="A118" s="156" t="s">
        <v>337</v>
      </c>
      <c r="B118">
        <v>0.8</v>
      </c>
      <c r="C118" s="226">
        <v>0.8</v>
      </c>
      <c r="D118" s="226">
        <v>0.8</v>
      </c>
      <c r="E118" s="226">
        <v>0.8</v>
      </c>
      <c r="F118" s="226">
        <v>0.8</v>
      </c>
      <c r="G118" s="226">
        <v>0.8</v>
      </c>
      <c r="H118" s="226">
        <v>0.8</v>
      </c>
      <c r="I118" s="226">
        <v>0.8</v>
      </c>
      <c r="J118" s="226">
        <v>0.8</v>
      </c>
      <c r="K118" s="226">
        <v>0.8</v>
      </c>
      <c r="L118" s="226">
        <v>0.8</v>
      </c>
      <c r="M118" s="226">
        <v>0.7</v>
      </c>
      <c r="N118" s="226">
        <v>0.7</v>
      </c>
      <c r="O118" s="226">
        <v>0.6</v>
      </c>
      <c r="P118" s="226">
        <v>0.6</v>
      </c>
      <c r="Q118" s="226">
        <v>0.7</v>
      </c>
      <c r="R118" s="226">
        <v>0.8</v>
      </c>
      <c r="S118" s="226">
        <v>0.8</v>
      </c>
      <c r="T118" s="226">
        <v>0.8</v>
      </c>
      <c r="U118" s="226">
        <v>0.8</v>
      </c>
      <c r="V118" s="226">
        <v>0.8</v>
      </c>
      <c r="W118" s="225">
        <v>0.8</v>
      </c>
      <c r="X118" s="225">
        <v>0.8</v>
      </c>
      <c r="Y118" s="225">
        <v>0.8</v>
      </c>
      <c r="Z118" s="225">
        <v>0.8</v>
      </c>
      <c r="AA118" s="226">
        <v>0.8</v>
      </c>
      <c r="AB118" s="226">
        <v>0.6</v>
      </c>
      <c r="AC118" s="226">
        <v>0.8</v>
      </c>
      <c r="AD118" s="226">
        <v>0.8</v>
      </c>
      <c r="AE118" s="226">
        <v>0.1</v>
      </c>
      <c r="AF118" s="226">
        <v>0.1</v>
      </c>
      <c r="AG118" s="226">
        <v>0.1</v>
      </c>
      <c r="AH118" s="226">
        <v>0.1</v>
      </c>
      <c r="AI118" s="226">
        <v>0.8</v>
      </c>
      <c r="AJ118" s="226">
        <v>0.7</v>
      </c>
      <c r="AK118" s="226">
        <v>0.1</v>
      </c>
      <c r="AL118" s="226">
        <v>0.3</v>
      </c>
      <c r="AM118" s="226">
        <v>0.1</v>
      </c>
      <c r="AN118" s="226">
        <v>0.1</v>
      </c>
      <c r="AO118" s="226">
        <v>0.1</v>
      </c>
      <c r="AP118" s="226">
        <v>0.1</v>
      </c>
      <c r="AQ118" s="226">
        <v>0.1</v>
      </c>
      <c r="AR118" s="226">
        <v>0.1</v>
      </c>
      <c r="AS118" s="226">
        <v>0.1</v>
      </c>
      <c r="AT118" s="226">
        <v>0.7</v>
      </c>
      <c r="AU118" s="226">
        <v>0.3</v>
      </c>
      <c r="AV118" s="226">
        <v>0.3</v>
      </c>
      <c r="AW118" s="226">
        <v>0.3</v>
      </c>
      <c r="AX118" s="226">
        <v>0.8</v>
      </c>
      <c r="AY118" s="226">
        <v>0.8</v>
      </c>
      <c r="AZ118" s="226">
        <v>0.8</v>
      </c>
      <c r="BA118" s="226">
        <v>0.6</v>
      </c>
      <c r="BB118" s="226">
        <v>0.6</v>
      </c>
      <c r="BC118" s="226">
        <v>0.8</v>
      </c>
      <c r="BD118" s="226">
        <v>0.7</v>
      </c>
      <c r="BE118" s="226">
        <v>0.8</v>
      </c>
      <c r="BF118" s="226">
        <v>0.1</v>
      </c>
      <c r="BG118" s="226">
        <v>0.1</v>
      </c>
      <c r="BH118" s="226">
        <v>0.3</v>
      </c>
      <c r="BI118" s="226">
        <v>0.3</v>
      </c>
      <c r="BJ118" s="226">
        <v>0.3</v>
      </c>
      <c r="BK118" s="226">
        <v>0.3</v>
      </c>
      <c r="BL118" s="226">
        <v>0.3</v>
      </c>
      <c r="BM118" s="226">
        <v>0.3</v>
      </c>
      <c r="BN118" s="226">
        <v>0.7</v>
      </c>
      <c r="BO118" s="226">
        <v>0.7</v>
      </c>
      <c r="BP118" s="226">
        <v>0.8</v>
      </c>
      <c r="BQ118" s="226">
        <v>0.8</v>
      </c>
      <c r="BR118" s="226">
        <v>0.7</v>
      </c>
      <c r="BS118" s="226">
        <v>0.7</v>
      </c>
      <c r="BT118" s="226">
        <v>0.7</v>
      </c>
      <c r="BU118" s="226">
        <v>0.7</v>
      </c>
      <c r="BV118" s="226">
        <v>0.8</v>
      </c>
      <c r="BW118" s="226">
        <v>0.8</v>
      </c>
      <c r="BX118" s="226">
        <v>0.7</v>
      </c>
      <c r="BY118" s="226">
        <v>0.8</v>
      </c>
      <c r="BZ118" s="226">
        <v>0.8</v>
      </c>
      <c r="CA118" s="226">
        <v>0.8</v>
      </c>
      <c r="CB118" s="226">
        <v>0.8</v>
      </c>
      <c r="CC118" s="226">
        <v>0.8</v>
      </c>
      <c r="CD118" s="226">
        <v>0.8</v>
      </c>
      <c r="CE118" s="226">
        <v>0.8</v>
      </c>
      <c r="CF118" s="226">
        <v>0.8</v>
      </c>
      <c r="CG118" s="226">
        <v>0.8</v>
      </c>
      <c r="CH118" s="226">
        <v>0.8</v>
      </c>
      <c r="CI118" s="226">
        <v>0.8</v>
      </c>
      <c r="CJ118" s="226">
        <v>0.8</v>
      </c>
      <c r="CK118" s="226">
        <v>0.8</v>
      </c>
      <c r="CL118" s="226">
        <v>0.8</v>
      </c>
      <c r="CM118" s="226">
        <v>0.8</v>
      </c>
      <c r="CN118" s="226">
        <v>0.8</v>
      </c>
      <c r="CO118" s="226">
        <v>0.8</v>
      </c>
      <c r="CP118" s="226">
        <v>0.8</v>
      </c>
      <c r="CQ118" s="226">
        <v>0.8</v>
      </c>
      <c r="CR118" s="226">
        <v>0.8</v>
      </c>
      <c r="CS118" s="226">
        <v>0.8</v>
      </c>
      <c r="CT118" s="226">
        <v>0.8</v>
      </c>
      <c r="CU118" s="226">
        <v>0.8</v>
      </c>
      <c r="CV118" s="226">
        <v>0.8</v>
      </c>
      <c r="CW118" s="226">
        <v>0.8</v>
      </c>
      <c r="CX118" s="226">
        <v>0.8</v>
      </c>
      <c r="CY118" s="226">
        <v>0.8</v>
      </c>
      <c r="CZ118" s="226">
        <v>0.8</v>
      </c>
      <c r="DA118" s="226">
        <v>0.8</v>
      </c>
      <c r="DB118" s="226">
        <v>0.8</v>
      </c>
      <c r="DC118" s="226">
        <v>0.8</v>
      </c>
      <c r="DD118" s="226">
        <v>0.8</v>
      </c>
      <c r="DE118" s="226">
        <v>0.8</v>
      </c>
      <c r="DF118" s="226">
        <v>0.8</v>
      </c>
      <c r="DG118" s="226">
        <v>0.8</v>
      </c>
      <c r="DH118" s="226">
        <v>0.8</v>
      </c>
      <c r="DI118" s="226">
        <v>0.8</v>
      </c>
      <c r="DJ118" s="226">
        <v>0.8</v>
      </c>
      <c r="DK118" s="226">
        <v>0.8</v>
      </c>
      <c r="DL118" s="226">
        <v>0.1</v>
      </c>
      <c r="DM118" s="226">
        <v>0</v>
      </c>
      <c r="DN118" s="226">
        <v>0</v>
      </c>
      <c r="DO118" s="226">
        <v>0</v>
      </c>
      <c r="DP118" s="226">
        <v>0</v>
      </c>
      <c r="DQ118" s="226">
        <v>0</v>
      </c>
      <c r="DR118" s="226">
        <v>0</v>
      </c>
      <c r="DS118" s="226">
        <v>0</v>
      </c>
    </row>
    <row r="119" spans="1:123" x14ac:dyDescent="0.15">
      <c r="A119" s="156" t="s">
        <v>338</v>
      </c>
      <c r="B119">
        <v>0.8</v>
      </c>
      <c r="C119" s="226">
        <v>0.8</v>
      </c>
      <c r="D119" s="226">
        <v>0.8</v>
      </c>
      <c r="E119" s="226">
        <v>0.8</v>
      </c>
      <c r="F119" s="226">
        <v>0.8</v>
      </c>
      <c r="G119" s="226">
        <v>0.8</v>
      </c>
      <c r="H119" s="226">
        <v>0.8</v>
      </c>
      <c r="I119" s="226">
        <v>0.8</v>
      </c>
      <c r="J119" s="226">
        <v>0.8</v>
      </c>
      <c r="K119" s="226">
        <v>0.8</v>
      </c>
      <c r="L119" s="226">
        <v>0.8</v>
      </c>
      <c r="M119" s="226">
        <v>0.7</v>
      </c>
      <c r="N119" s="226">
        <v>0.7</v>
      </c>
      <c r="O119" s="226">
        <v>0.6</v>
      </c>
      <c r="P119" s="226">
        <v>0.6</v>
      </c>
      <c r="Q119" s="226">
        <v>0.7</v>
      </c>
      <c r="R119" s="226">
        <v>0.8</v>
      </c>
      <c r="S119" s="226">
        <v>0.8</v>
      </c>
      <c r="T119" s="226">
        <v>0.8</v>
      </c>
      <c r="U119" s="226">
        <v>0.8</v>
      </c>
      <c r="V119" s="226">
        <v>0.8</v>
      </c>
      <c r="W119" s="225">
        <v>0.8</v>
      </c>
      <c r="X119" s="225">
        <v>0.8</v>
      </c>
      <c r="Y119" s="225">
        <v>0.8</v>
      </c>
      <c r="Z119" s="225">
        <v>0.8</v>
      </c>
      <c r="AA119" s="226">
        <v>0.8</v>
      </c>
      <c r="AB119" s="226">
        <v>0.6</v>
      </c>
      <c r="AC119" s="226">
        <v>0.8</v>
      </c>
      <c r="AD119" s="226">
        <v>0.8</v>
      </c>
      <c r="AE119" s="226">
        <v>0.1</v>
      </c>
      <c r="AF119" s="226">
        <v>0.1</v>
      </c>
      <c r="AG119" s="226">
        <v>0.1</v>
      </c>
      <c r="AH119" s="226">
        <v>0.1</v>
      </c>
      <c r="AI119" s="226">
        <v>0.8</v>
      </c>
      <c r="AJ119" s="226">
        <v>0.7</v>
      </c>
      <c r="AK119" s="226">
        <v>0.1</v>
      </c>
      <c r="AL119" s="226">
        <v>0.3</v>
      </c>
      <c r="AM119" s="226">
        <v>0.1</v>
      </c>
      <c r="AN119" s="226">
        <v>0.1</v>
      </c>
      <c r="AO119" s="226">
        <v>0.1</v>
      </c>
      <c r="AP119" s="226">
        <v>0.1</v>
      </c>
      <c r="AQ119" s="226">
        <v>0.1</v>
      </c>
      <c r="AR119" s="226">
        <v>0.1</v>
      </c>
      <c r="AS119" s="226">
        <v>0.1</v>
      </c>
      <c r="AT119" s="226">
        <v>0.7</v>
      </c>
      <c r="AU119" s="226">
        <v>0.3</v>
      </c>
      <c r="AV119" s="226">
        <v>0.3</v>
      </c>
      <c r="AW119" s="226">
        <v>0.3</v>
      </c>
      <c r="AX119" s="226">
        <v>0.8</v>
      </c>
      <c r="AY119" s="226">
        <v>0.8</v>
      </c>
      <c r="AZ119" s="226">
        <v>0.8</v>
      </c>
      <c r="BA119" s="226">
        <v>0.6</v>
      </c>
      <c r="BB119" s="226">
        <v>0.6</v>
      </c>
      <c r="BC119" s="226">
        <v>0.8</v>
      </c>
      <c r="BD119" s="226">
        <v>0.7</v>
      </c>
      <c r="BE119" s="226">
        <v>0.8</v>
      </c>
      <c r="BF119" s="226">
        <v>0.1</v>
      </c>
      <c r="BG119" s="226">
        <v>0.1</v>
      </c>
      <c r="BH119" s="226">
        <v>0.3</v>
      </c>
      <c r="BI119" s="226">
        <v>0.3</v>
      </c>
      <c r="BJ119" s="226">
        <v>0.3</v>
      </c>
      <c r="BK119" s="226">
        <v>0.3</v>
      </c>
      <c r="BL119" s="226">
        <v>0.3</v>
      </c>
      <c r="BM119" s="226">
        <v>0.3</v>
      </c>
      <c r="BN119" s="226">
        <v>0.7</v>
      </c>
      <c r="BO119" s="226">
        <v>0.7</v>
      </c>
      <c r="BP119" s="226">
        <v>0.8</v>
      </c>
      <c r="BQ119" s="226">
        <v>0.8</v>
      </c>
      <c r="BR119" s="226">
        <v>0.7</v>
      </c>
      <c r="BS119" s="226">
        <v>0.7</v>
      </c>
      <c r="BT119" s="226">
        <v>0.7</v>
      </c>
      <c r="BU119" s="226">
        <v>0.7</v>
      </c>
      <c r="BV119" s="226">
        <v>0.8</v>
      </c>
      <c r="BW119" s="226">
        <v>0.8</v>
      </c>
      <c r="BX119" s="226">
        <v>0.7</v>
      </c>
      <c r="BY119" s="226">
        <v>0.8</v>
      </c>
      <c r="BZ119" s="226">
        <v>0.8</v>
      </c>
      <c r="CA119" s="226">
        <v>0.8</v>
      </c>
      <c r="CB119" s="226">
        <v>0.8</v>
      </c>
      <c r="CC119" s="226">
        <v>0.8</v>
      </c>
      <c r="CD119" s="226">
        <v>0.8</v>
      </c>
      <c r="CE119" s="226">
        <v>0.8</v>
      </c>
      <c r="CF119" s="226">
        <v>0.8</v>
      </c>
      <c r="CG119" s="226">
        <v>0.8</v>
      </c>
      <c r="CH119" s="226">
        <v>0.8</v>
      </c>
      <c r="CI119" s="226">
        <v>0.8</v>
      </c>
      <c r="CJ119" s="226">
        <v>0.8</v>
      </c>
      <c r="CK119" s="226">
        <v>0.8</v>
      </c>
      <c r="CL119" s="226">
        <v>0.8</v>
      </c>
      <c r="CM119" s="226">
        <v>0.8</v>
      </c>
      <c r="CN119" s="226">
        <v>0.8</v>
      </c>
      <c r="CO119" s="226">
        <v>0.8</v>
      </c>
      <c r="CP119" s="226">
        <v>0.8</v>
      </c>
      <c r="CQ119" s="226">
        <v>0.8</v>
      </c>
      <c r="CR119" s="226">
        <v>0.8</v>
      </c>
      <c r="CS119" s="226">
        <v>0.8</v>
      </c>
      <c r="CT119" s="226">
        <v>0.8</v>
      </c>
      <c r="CU119" s="226">
        <v>0.8</v>
      </c>
      <c r="CV119" s="226">
        <v>0.8</v>
      </c>
      <c r="CW119" s="226">
        <v>0.8</v>
      </c>
      <c r="CX119" s="226">
        <v>0.8</v>
      </c>
      <c r="CY119" s="226">
        <v>0.8</v>
      </c>
      <c r="CZ119" s="226">
        <v>0.8</v>
      </c>
      <c r="DA119" s="226">
        <v>0.8</v>
      </c>
      <c r="DB119" s="226">
        <v>0.8</v>
      </c>
      <c r="DC119" s="226">
        <v>0.8</v>
      </c>
      <c r="DD119" s="226">
        <v>0.8</v>
      </c>
      <c r="DE119" s="226">
        <v>0.8</v>
      </c>
      <c r="DF119" s="226">
        <v>0.8</v>
      </c>
      <c r="DG119" s="226">
        <v>0.8</v>
      </c>
      <c r="DH119" s="226">
        <v>0.8</v>
      </c>
      <c r="DI119" s="226">
        <v>0.8</v>
      </c>
      <c r="DJ119" s="226">
        <v>0.8</v>
      </c>
      <c r="DK119" s="226">
        <v>0.8</v>
      </c>
      <c r="DL119" s="226">
        <v>0.1</v>
      </c>
      <c r="DM119" s="226">
        <v>0</v>
      </c>
      <c r="DN119" s="226">
        <v>0</v>
      </c>
      <c r="DO119" s="226">
        <v>0</v>
      </c>
      <c r="DP119" s="226">
        <v>0</v>
      </c>
      <c r="DQ119" s="226">
        <v>0</v>
      </c>
      <c r="DR119" s="226">
        <v>0</v>
      </c>
      <c r="DS119" s="226">
        <v>0</v>
      </c>
    </row>
    <row r="120" spans="1:123" x14ac:dyDescent="0.15">
      <c r="A120" s="156" t="s">
        <v>339</v>
      </c>
      <c r="B120">
        <v>0.8</v>
      </c>
      <c r="C120" s="226">
        <v>0.8</v>
      </c>
      <c r="D120" s="226">
        <v>0.8</v>
      </c>
      <c r="E120" s="226">
        <v>0.8</v>
      </c>
      <c r="F120" s="226">
        <v>0.8</v>
      </c>
      <c r="G120" s="226">
        <v>0.8</v>
      </c>
      <c r="H120" s="226">
        <v>0.8</v>
      </c>
      <c r="I120" s="226">
        <v>0.8</v>
      </c>
      <c r="J120" s="226">
        <v>0.8</v>
      </c>
      <c r="K120" s="226">
        <v>0.8</v>
      </c>
      <c r="L120" s="226">
        <v>0.8</v>
      </c>
      <c r="M120" s="226">
        <v>0.7</v>
      </c>
      <c r="N120" s="226">
        <v>0.7</v>
      </c>
      <c r="O120" s="226">
        <v>0.6</v>
      </c>
      <c r="P120" s="226">
        <v>0.6</v>
      </c>
      <c r="Q120" s="226">
        <v>0.7</v>
      </c>
      <c r="R120" s="226">
        <v>0.8</v>
      </c>
      <c r="S120" s="226">
        <v>0.8</v>
      </c>
      <c r="T120" s="226">
        <v>0.8</v>
      </c>
      <c r="U120" s="226">
        <v>0.8</v>
      </c>
      <c r="V120" s="226">
        <v>0.8</v>
      </c>
      <c r="W120" s="225">
        <v>0.8</v>
      </c>
      <c r="X120" s="225">
        <v>0.8</v>
      </c>
      <c r="Y120" s="225">
        <v>0.8</v>
      </c>
      <c r="Z120" s="225">
        <v>0.8</v>
      </c>
      <c r="AA120" s="226">
        <v>0.8</v>
      </c>
      <c r="AB120" s="226">
        <v>0.6</v>
      </c>
      <c r="AC120" s="226">
        <v>0.8</v>
      </c>
      <c r="AD120" s="226">
        <v>0.8</v>
      </c>
      <c r="AE120" s="226">
        <v>0.1</v>
      </c>
      <c r="AF120" s="226">
        <v>0.1</v>
      </c>
      <c r="AG120" s="226">
        <v>0.1</v>
      </c>
      <c r="AH120" s="226">
        <v>0.1</v>
      </c>
      <c r="AI120" s="226">
        <v>0.8</v>
      </c>
      <c r="AJ120" s="226">
        <v>0.7</v>
      </c>
      <c r="AK120" s="226">
        <v>0.1</v>
      </c>
      <c r="AL120" s="226">
        <v>0.3</v>
      </c>
      <c r="AM120" s="226">
        <v>0.1</v>
      </c>
      <c r="AN120" s="226">
        <v>0.1</v>
      </c>
      <c r="AO120" s="226">
        <v>0.1</v>
      </c>
      <c r="AP120" s="226">
        <v>0.1</v>
      </c>
      <c r="AQ120" s="226">
        <v>0.1</v>
      </c>
      <c r="AR120" s="226">
        <v>0.1</v>
      </c>
      <c r="AS120" s="226">
        <v>0.1</v>
      </c>
      <c r="AT120" s="226">
        <v>0.7</v>
      </c>
      <c r="AU120" s="226">
        <v>0.3</v>
      </c>
      <c r="AV120" s="226">
        <v>0.3</v>
      </c>
      <c r="AW120" s="226">
        <v>0.3</v>
      </c>
      <c r="AX120" s="226">
        <v>0.8</v>
      </c>
      <c r="AY120" s="226">
        <v>0.8</v>
      </c>
      <c r="AZ120" s="226">
        <v>0.8</v>
      </c>
      <c r="BA120" s="226">
        <v>0.6</v>
      </c>
      <c r="BB120" s="226">
        <v>0.6</v>
      </c>
      <c r="BC120" s="226">
        <v>0.8</v>
      </c>
      <c r="BD120" s="226">
        <v>0.7</v>
      </c>
      <c r="BE120" s="226">
        <v>0.8</v>
      </c>
      <c r="BF120" s="226">
        <v>0.1</v>
      </c>
      <c r="BG120" s="226">
        <v>0.1</v>
      </c>
      <c r="BH120" s="226">
        <v>0.3</v>
      </c>
      <c r="BI120" s="226">
        <v>0.3</v>
      </c>
      <c r="BJ120" s="226">
        <v>0.3</v>
      </c>
      <c r="BK120" s="226">
        <v>0.3</v>
      </c>
      <c r="BL120" s="226">
        <v>0.3</v>
      </c>
      <c r="BM120" s="226">
        <v>0.3</v>
      </c>
      <c r="BN120" s="226">
        <v>0.7</v>
      </c>
      <c r="BO120" s="226">
        <v>0.7</v>
      </c>
      <c r="BP120" s="226">
        <v>0.8</v>
      </c>
      <c r="BQ120" s="226">
        <v>0.8</v>
      </c>
      <c r="BR120" s="226">
        <v>0.7</v>
      </c>
      <c r="BS120" s="226">
        <v>0.7</v>
      </c>
      <c r="BT120" s="226">
        <v>0.7</v>
      </c>
      <c r="BU120" s="226">
        <v>0.7</v>
      </c>
      <c r="BV120" s="226">
        <v>0.8</v>
      </c>
      <c r="BW120" s="226">
        <v>0.8</v>
      </c>
      <c r="BX120" s="226">
        <v>0.7</v>
      </c>
      <c r="BY120" s="226">
        <v>0.8</v>
      </c>
      <c r="BZ120" s="226">
        <v>0.8</v>
      </c>
      <c r="CA120" s="226">
        <v>0.8</v>
      </c>
      <c r="CB120" s="226">
        <v>0.8</v>
      </c>
      <c r="CC120" s="226">
        <v>0.8</v>
      </c>
      <c r="CD120" s="226">
        <v>0.8</v>
      </c>
      <c r="CE120" s="226">
        <v>0.8</v>
      </c>
      <c r="CF120" s="226">
        <v>0.8</v>
      </c>
      <c r="CG120" s="226">
        <v>0.8</v>
      </c>
      <c r="CH120" s="226">
        <v>0.8</v>
      </c>
      <c r="CI120" s="226">
        <v>0.8</v>
      </c>
      <c r="CJ120" s="226">
        <v>0.8</v>
      </c>
      <c r="CK120" s="226">
        <v>0.8</v>
      </c>
      <c r="CL120" s="226">
        <v>0.8</v>
      </c>
      <c r="CM120" s="226">
        <v>0.8</v>
      </c>
      <c r="CN120" s="226">
        <v>0.8</v>
      </c>
      <c r="CO120" s="226">
        <v>0.8</v>
      </c>
      <c r="CP120" s="226">
        <v>0.8</v>
      </c>
      <c r="CQ120" s="226">
        <v>0.8</v>
      </c>
      <c r="CR120" s="226">
        <v>0.8</v>
      </c>
      <c r="CS120" s="226">
        <v>0.8</v>
      </c>
      <c r="CT120" s="226">
        <v>0.8</v>
      </c>
      <c r="CU120" s="226">
        <v>0.8</v>
      </c>
      <c r="CV120" s="226">
        <v>0.8</v>
      </c>
      <c r="CW120" s="226">
        <v>0.8</v>
      </c>
      <c r="CX120" s="226">
        <v>0.8</v>
      </c>
      <c r="CY120" s="226">
        <v>0.8</v>
      </c>
      <c r="CZ120" s="226">
        <v>0.8</v>
      </c>
      <c r="DA120" s="226">
        <v>0.8</v>
      </c>
      <c r="DB120" s="226">
        <v>0.8</v>
      </c>
      <c r="DC120" s="226">
        <v>0.8</v>
      </c>
      <c r="DD120" s="226">
        <v>0.8</v>
      </c>
      <c r="DE120" s="226">
        <v>0.8</v>
      </c>
      <c r="DF120" s="226">
        <v>0.8</v>
      </c>
      <c r="DG120" s="226">
        <v>0.8</v>
      </c>
      <c r="DH120" s="226">
        <v>0.8</v>
      </c>
      <c r="DI120" s="226">
        <v>0.8</v>
      </c>
      <c r="DJ120" s="226">
        <v>0.8</v>
      </c>
      <c r="DK120" s="226">
        <v>0.8</v>
      </c>
      <c r="DL120" s="226">
        <v>0.1</v>
      </c>
      <c r="DM120" s="226">
        <v>0</v>
      </c>
      <c r="DN120" s="226">
        <v>0</v>
      </c>
      <c r="DO120" s="226">
        <v>0</v>
      </c>
      <c r="DP120" s="226">
        <v>0</v>
      </c>
      <c r="DQ120" s="226">
        <v>0</v>
      </c>
      <c r="DR120" s="226">
        <v>0</v>
      </c>
      <c r="DS120" s="226">
        <v>0</v>
      </c>
    </row>
    <row r="121" spans="1:123" x14ac:dyDescent="0.15">
      <c r="A121" s="156" t="s">
        <v>340</v>
      </c>
      <c r="B121">
        <v>0.8</v>
      </c>
      <c r="C121" s="226">
        <v>0.8</v>
      </c>
      <c r="D121" s="226">
        <v>0.8</v>
      </c>
      <c r="E121" s="226">
        <v>0.8</v>
      </c>
      <c r="F121" s="226">
        <v>0.8</v>
      </c>
      <c r="G121" s="226">
        <v>0.8</v>
      </c>
      <c r="H121" s="226">
        <v>0.8</v>
      </c>
      <c r="I121" s="226">
        <v>0.8</v>
      </c>
      <c r="J121" s="226">
        <v>0.8</v>
      </c>
      <c r="K121" s="226">
        <v>0.8</v>
      </c>
      <c r="L121" s="226">
        <v>0.8</v>
      </c>
      <c r="M121" s="226">
        <v>0.7</v>
      </c>
      <c r="N121" s="226">
        <v>0.7</v>
      </c>
      <c r="O121" s="226">
        <v>0.6</v>
      </c>
      <c r="P121" s="226">
        <v>0.6</v>
      </c>
      <c r="Q121" s="226">
        <v>0.7</v>
      </c>
      <c r="R121" s="226">
        <v>0.8</v>
      </c>
      <c r="S121" s="226">
        <v>0.8</v>
      </c>
      <c r="T121" s="226">
        <v>0.8</v>
      </c>
      <c r="U121" s="226">
        <v>0.8</v>
      </c>
      <c r="V121" s="226">
        <v>0.8</v>
      </c>
      <c r="W121" s="225">
        <v>0.8</v>
      </c>
      <c r="X121" s="225">
        <v>0.8</v>
      </c>
      <c r="Y121" s="225">
        <v>0.8</v>
      </c>
      <c r="Z121" s="225">
        <v>0.8</v>
      </c>
      <c r="AA121" s="226">
        <v>0.8</v>
      </c>
      <c r="AB121" s="226">
        <v>0.6</v>
      </c>
      <c r="AC121" s="226">
        <v>0.8</v>
      </c>
      <c r="AD121" s="226">
        <v>0.8</v>
      </c>
      <c r="AE121" s="226">
        <v>0.1</v>
      </c>
      <c r="AF121" s="226">
        <v>0.1</v>
      </c>
      <c r="AG121" s="226">
        <v>0.1</v>
      </c>
      <c r="AH121" s="226">
        <v>0.1</v>
      </c>
      <c r="AI121" s="226">
        <v>0.8</v>
      </c>
      <c r="AJ121" s="226">
        <v>0.7</v>
      </c>
      <c r="AK121" s="226">
        <v>0.1</v>
      </c>
      <c r="AL121" s="226">
        <v>0.3</v>
      </c>
      <c r="AM121" s="226">
        <v>0.1</v>
      </c>
      <c r="AN121" s="226">
        <v>0.1</v>
      </c>
      <c r="AO121" s="226">
        <v>0.1</v>
      </c>
      <c r="AP121" s="226">
        <v>0.1</v>
      </c>
      <c r="AQ121" s="226">
        <v>0.1</v>
      </c>
      <c r="AR121" s="226">
        <v>0.1</v>
      </c>
      <c r="AS121" s="226">
        <v>0.1</v>
      </c>
      <c r="AT121" s="226">
        <v>0.7</v>
      </c>
      <c r="AU121" s="226">
        <v>0.3</v>
      </c>
      <c r="AV121" s="226">
        <v>0.3</v>
      </c>
      <c r="AW121" s="226">
        <v>0.3</v>
      </c>
      <c r="AX121" s="226">
        <v>0.8</v>
      </c>
      <c r="AY121" s="226">
        <v>0.8</v>
      </c>
      <c r="AZ121" s="226">
        <v>0.8</v>
      </c>
      <c r="BA121" s="226">
        <v>0.6</v>
      </c>
      <c r="BB121" s="226">
        <v>0.6</v>
      </c>
      <c r="BC121" s="226">
        <v>0.8</v>
      </c>
      <c r="BD121" s="226">
        <v>0.7</v>
      </c>
      <c r="BE121" s="226">
        <v>0.8</v>
      </c>
      <c r="BF121" s="226">
        <v>0.1</v>
      </c>
      <c r="BG121" s="226">
        <v>0.1</v>
      </c>
      <c r="BH121" s="226">
        <v>0.3</v>
      </c>
      <c r="BI121" s="226">
        <v>0.3</v>
      </c>
      <c r="BJ121" s="226">
        <v>0.3</v>
      </c>
      <c r="BK121" s="226">
        <v>0.3</v>
      </c>
      <c r="BL121" s="226">
        <v>0.3</v>
      </c>
      <c r="BM121" s="226">
        <v>0.3</v>
      </c>
      <c r="BN121" s="226">
        <v>0.7</v>
      </c>
      <c r="BO121" s="226">
        <v>0.7</v>
      </c>
      <c r="BP121" s="226">
        <v>0.8</v>
      </c>
      <c r="BQ121" s="226">
        <v>0.8</v>
      </c>
      <c r="BR121" s="226">
        <v>0.7</v>
      </c>
      <c r="BS121" s="226">
        <v>0.7</v>
      </c>
      <c r="BT121" s="226">
        <v>0.7</v>
      </c>
      <c r="BU121" s="226">
        <v>0.7</v>
      </c>
      <c r="BV121" s="226">
        <v>0.8</v>
      </c>
      <c r="BW121" s="226">
        <v>0.8</v>
      </c>
      <c r="BX121" s="226">
        <v>0.7</v>
      </c>
      <c r="BY121" s="226">
        <v>0.8</v>
      </c>
      <c r="BZ121" s="226">
        <v>0.8</v>
      </c>
      <c r="CA121" s="226">
        <v>0.8</v>
      </c>
      <c r="CB121" s="226">
        <v>0.8</v>
      </c>
      <c r="CC121" s="226">
        <v>0.8</v>
      </c>
      <c r="CD121" s="226">
        <v>0.8</v>
      </c>
      <c r="CE121" s="226">
        <v>0.8</v>
      </c>
      <c r="CF121" s="226">
        <v>0.8</v>
      </c>
      <c r="CG121" s="226">
        <v>0.8</v>
      </c>
      <c r="CH121" s="226">
        <v>0.8</v>
      </c>
      <c r="CI121" s="226">
        <v>0.8</v>
      </c>
      <c r="CJ121" s="226">
        <v>0.8</v>
      </c>
      <c r="CK121" s="226">
        <v>0.8</v>
      </c>
      <c r="CL121" s="226">
        <v>0.8</v>
      </c>
      <c r="CM121" s="226">
        <v>0.8</v>
      </c>
      <c r="CN121" s="226">
        <v>0.8</v>
      </c>
      <c r="CO121" s="226">
        <v>0.8</v>
      </c>
      <c r="CP121" s="226">
        <v>0.8</v>
      </c>
      <c r="CQ121" s="226">
        <v>0.8</v>
      </c>
      <c r="CR121" s="226">
        <v>0.8</v>
      </c>
      <c r="CS121" s="226">
        <v>0.8</v>
      </c>
      <c r="CT121" s="226">
        <v>0.8</v>
      </c>
      <c r="CU121" s="226">
        <v>0.8</v>
      </c>
      <c r="CV121" s="226">
        <v>0.8</v>
      </c>
      <c r="CW121" s="226">
        <v>0.8</v>
      </c>
      <c r="CX121" s="226">
        <v>0.8</v>
      </c>
      <c r="CY121" s="226">
        <v>0.8</v>
      </c>
      <c r="CZ121" s="226">
        <v>0.8</v>
      </c>
      <c r="DA121" s="226">
        <v>0.8</v>
      </c>
      <c r="DB121" s="226">
        <v>0.8</v>
      </c>
      <c r="DC121" s="226">
        <v>0.8</v>
      </c>
      <c r="DD121" s="226">
        <v>0.8</v>
      </c>
      <c r="DE121" s="226">
        <v>0.8</v>
      </c>
      <c r="DF121" s="226">
        <v>0.8</v>
      </c>
      <c r="DG121" s="226">
        <v>0.8</v>
      </c>
      <c r="DH121" s="226">
        <v>0.8</v>
      </c>
      <c r="DI121" s="226">
        <v>0.8</v>
      </c>
      <c r="DJ121" s="226">
        <v>0.8</v>
      </c>
      <c r="DK121" s="226">
        <v>0.8</v>
      </c>
      <c r="DL121" s="226">
        <v>0.1</v>
      </c>
      <c r="DM121" s="226">
        <v>0</v>
      </c>
      <c r="DN121" s="226">
        <v>0</v>
      </c>
      <c r="DO121" s="226">
        <v>0</v>
      </c>
      <c r="DP121" s="226">
        <v>0</v>
      </c>
      <c r="DQ121" s="226">
        <v>0</v>
      </c>
      <c r="DR121" s="226">
        <v>0</v>
      </c>
      <c r="DS121" s="226">
        <v>0</v>
      </c>
    </row>
    <row r="122" spans="1:123" x14ac:dyDescent="0.15">
      <c r="A122" s="156" t="s">
        <v>341</v>
      </c>
      <c r="B122">
        <v>0.8</v>
      </c>
      <c r="C122" s="226">
        <v>0.8</v>
      </c>
      <c r="D122" s="226">
        <v>0.8</v>
      </c>
      <c r="E122" s="226">
        <v>0.8</v>
      </c>
      <c r="F122" s="226">
        <v>0.8</v>
      </c>
      <c r="G122" s="226">
        <v>0.8</v>
      </c>
      <c r="H122" s="226">
        <v>0.8</v>
      </c>
      <c r="I122" s="226">
        <v>0.8</v>
      </c>
      <c r="J122" s="226">
        <v>0.8</v>
      </c>
      <c r="K122" s="226">
        <v>0.8</v>
      </c>
      <c r="L122" s="226">
        <v>0.8</v>
      </c>
      <c r="M122" s="226">
        <v>0.7</v>
      </c>
      <c r="N122" s="226">
        <v>0.7</v>
      </c>
      <c r="O122" s="226">
        <v>0.6</v>
      </c>
      <c r="P122" s="226">
        <v>0.6</v>
      </c>
      <c r="Q122" s="226">
        <v>0.7</v>
      </c>
      <c r="R122" s="226">
        <v>0.8</v>
      </c>
      <c r="S122" s="226">
        <v>0.8</v>
      </c>
      <c r="T122" s="226">
        <v>0.8</v>
      </c>
      <c r="U122" s="226">
        <v>0.8</v>
      </c>
      <c r="V122" s="226">
        <v>0.8</v>
      </c>
      <c r="W122" s="225">
        <v>0.8</v>
      </c>
      <c r="X122" s="225">
        <v>0.8</v>
      </c>
      <c r="Y122" s="225">
        <v>0.8</v>
      </c>
      <c r="Z122" s="225">
        <v>0.8</v>
      </c>
      <c r="AA122" s="226">
        <v>0.8</v>
      </c>
      <c r="AB122" s="226">
        <v>0.6</v>
      </c>
      <c r="AC122" s="226">
        <v>0.8</v>
      </c>
      <c r="AD122" s="226">
        <v>0.8</v>
      </c>
      <c r="AE122" s="226">
        <v>0.1</v>
      </c>
      <c r="AF122" s="226">
        <v>0.1</v>
      </c>
      <c r="AG122" s="226">
        <v>0.1</v>
      </c>
      <c r="AH122" s="226">
        <v>0.1</v>
      </c>
      <c r="AI122" s="226">
        <v>0.8</v>
      </c>
      <c r="AJ122" s="226">
        <v>0.7</v>
      </c>
      <c r="AK122" s="226">
        <v>0.1</v>
      </c>
      <c r="AL122" s="226">
        <v>0.3</v>
      </c>
      <c r="AM122" s="226">
        <v>0.1</v>
      </c>
      <c r="AN122" s="226">
        <v>0.1</v>
      </c>
      <c r="AO122" s="226">
        <v>0.1</v>
      </c>
      <c r="AP122" s="226">
        <v>0.1</v>
      </c>
      <c r="AQ122" s="226">
        <v>0.1</v>
      </c>
      <c r="AR122" s="226">
        <v>0.1</v>
      </c>
      <c r="AS122" s="226">
        <v>0.1</v>
      </c>
      <c r="AT122" s="226">
        <v>0.7</v>
      </c>
      <c r="AU122" s="226">
        <v>0.3</v>
      </c>
      <c r="AV122" s="226">
        <v>0.3</v>
      </c>
      <c r="AW122" s="226">
        <v>0.3</v>
      </c>
      <c r="AX122" s="226">
        <v>0.8</v>
      </c>
      <c r="AY122" s="226">
        <v>0.8</v>
      </c>
      <c r="AZ122" s="226">
        <v>0.8</v>
      </c>
      <c r="BA122" s="226">
        <v>0.6</v>
      </c>
      <c r="BB122" s="226">
        <v>0.6</v>
      </c>
      <c r="BC122" s="226">
        <v>0.8</v>
      </c>
      <c r="BD122" s="226">
        <v>0.7</v>
      </c>
      <c r="BE122" s="226">
        <v>0.8</v>
      </c>
      <c r="BF122" s="226">
        <v>0.1</v>
      </c>
      <c r="BG122" s="226">
        <v>0.1</v>
      </c>
      <c r="BH122" s="226">
        <v>0.3</v>
      </c>
      <c r="BI122" s="226">
        <v>0.3</v>
      </c>
      <c r="BJ122" s="226">
        <v>0.3</v>
      </c>
      <c r="BK122" s="226">
        <v>0.3</v>
      </c>
      <c r="BL122" s="226">
        <v>0.3</v>
      </c>
      <c r="BM122" s="226">
        <v>0.3</v>
      </c>
      <c r="BN122" s="226">
        <v>0.7</v>
      </c>
      <c r="BO122" s="226">
        <v>0.7</v>
      </c>
      <c r="BP122" s="226">
        <v>0.8</v>
      </c>
      <c r="BQ122" s="226">
        <v>0.8</v>
      </c>
      <c r="BR122" s="226">
        <v>0.7</v>
      </c>
      <c r="BS122" s="226">
        <v>0.7</v>
      </c>
      <c r="BT122" s="226">
        <v>0.7</v>
      </c>
      <c r="BU122" s="226">
        <v>0.7</v>
      </c>
      <c r="BV122" s="226">
        <v>0.8</v>
      </c>
      <c r="BW122" s="226">
        <v>0.8</v>
      </c>
      <c r="BX122" s="226">
        <v>0.7</v>
      </c>
      <c r="BY122" s="226">
        <v>0.8</v>
      </c>
      <c r="BZ122" s="226">
        <v>0.8</v>
      </c>
      <c r="CA122" s="226">
        <v>0.8</v>
      </c>
      <c r="CB122" s="226">
        <v>0.8</v>
      </c>
      <c r="CC122" s="226">
        <v>0.8</v>
      </c>
      <c r="CD122" s="226">
        <v>0.8</v>
      </c>
      <c r="CE122" s="226">
        <v>0.8</v>
      </c>
      <c r="CF122" s="226">
        <v>0.8</v>
      </c>
      <c r="CG122" s="226">
        <v>0.8</v>
      </c>
      <c r="CH122" s="226">
        <v>0.8</v>
      </c>
      <c r="CI122" s="226">
        <v>0.8</v>
      </c>
      <c r="CJ122" s="226">
        <v>0.8</v>
      </c>
      <c r="CK122" s="226">
        <v>0.8</v>
      </c>
      <c r="CL122" s="226">
        <v>0.8</v>
      </c>
      <c r="CM122" s="226">
        <v>0.8</v>
      </c>
      <c r="CN122" s="226">
        <v>0.8</v>
      </c>
      <c r="CO122" s="226">
        <v>0.8</v>
      </c>
      <c r="CP122" s="226">
        <v>0.8</v>
      </c>
      <c r="CQ122" s="226">
        <v>0.8</v>
      </c>
      <c r="CR122" s="226">
        <v>0.8</v>
      </c>
      <c r="CS122" s="226">
        <v>0.8</v>
      </c>
      <c r="CT122" s="226">
        <v>0.8</v>
      </c>
      <c r="CU122" s="226">
        <v>0.8</v>
      </c>
      <c r="CV122" s="226">
        <v>0.8</v>
      </c>
      <c r="CW122" s="226">
        <v>0.8</v>
      </c>
      <c r="CX122" s="226">
        <v>0.8</v>
      </c>
      <c r="CY122" s="226">
        <v>0.8</v>
      </c>
      <c r="CZ122" s="226">
        <v>0.8</v>
      </c>
      <c r="DA122" s="226">
        <v>0.8</v>
      </c>
      <c r="DB122" s="226">
        <v>0.8</v>
      </c>
      <c r="DC122" s="226">
        <v>0.8</v>
      </c>
      <c r="DD122" s="226">
        <v>0.8</v>
      </c>
      <c r="DE122" s="226">
        <v>0.8</v>
      </c>
      <c r="DF122" s="226">
        <v>0.8</v>
      </c>
      <c r="DG122" s="226">
        <v>0.8</v>
      </c>
      <c r="DH122" s="226">
        <v>0.8</v>
      </c>
      <c r="DI122" s="226">
        <v>0.8</v>
      </c>
      <c r="DJ122" s="226">
        <v>0.8</v>
      </c>
      <c r="DK122" s="226">
        <v>0.8</v>
      </c>
      <c r="DL122" s="226">
        <v>0.1</v>
      </c>
      <c r="DM122" s="226">
        <v>0</v>
      </c>
      <c r="DN122" s="226">
        <v>0</v>
      </c>
      <c r="DO122" s="226">
        <v>0</v>
      </c>
      <c r="DP122" s="226">
        <v>0</v>
      </c>
      <c r="DQ122" s="226">
        <v>0</v>
      </c>
      <c r="DR122" s="226">
        <v>0</v>
      </c>
      <c r="DS122" s="226">
        <v>0</v>
      </c>
    </row>
    <row r="123" spans="1:123" x14ac:dyDescent="0.15">
      <c r="A123" s="156" t="s">
        <v>342</v>
      </c>
      <c r="B123">
        <v>0.8</v>
      </c>
      <c r="C123" s="226">
        <v>0.8</v>
      </c>
      <c r="D123" s="226">
        <v>0.8</v>
      </c>
      <c r="E123" s="226">
        <v>0.8</v>
      </c>
      <c r="F123" s="226">
        <v>0.8</v>
      </c>
      <c r="G123" s="226">
        <v>0.8</v>
      </c>
      <c r="H123" s="226">
        <v>0.8</v>
      </c>
      <c r="I123" s="226">
        <v>0.8</v>
      </c>
      <c r="J123" s="226">
        <v>0.8</v>
      </c>
      <c r="K123" s="226">
        <v>0.8</v>
      </c>
      <c r="L123" s="226">
        <v>0.8</v>
      </c>
      <c r="M123" s="226">
        <v>0.7</v>
      </c>
      <c r="N123" s="226">
        <v>0.7</v>
      </c>
      <c r="O123" s="226">
        <v>0.6</v>
      </c>
      <c r="P123" s="226">
        <v>0.6</v>
      </c>
      <c r="Q123" s="226">
        <v>0.7</v>
      </c>
      <c r="R123" s="226">
        <v>0.8</v>
      </c>
      <c r="S123" s="226">
        <v>0.8</v>
      </c>
      <c r="T123" s="226">
        <v>0.8</v>
      </c>
      <c r="U123" s="226">
        <v>0.8</v>
      </c>
      <c r="V123" s="226">
        <v>0.8</v>
      </c>
      <c r="W123" s="225">
        <v>0.8</v>
      </c>
      <c r="X123" s="225">
        <v>0.8</v>
      </c>
      <c r="Y123" s="225">
        <v>0.8</v>
      </c>
      <c r="Z123" s="225">
        <v>0.8</v>
      </c>
      <c r="AA123" s="226">
        <v>0.8</v>
      </c>
      <c r="AB123" s="226">
        <v>0.6</v>
      </c>
      <c r="AC123" s="226">
        <v>0.8</v>
      </c>
      <c r="AD123" s="226">
        <v>0.8</v>
      </c>
      <c r="AE123" s="226">
        <v>0.1</v>
      </c>
      <c r="AF123" s="226">
        <v>0.1</v>
      </c>
      <c r="AG123" s="226">
        <v>0.1</v>
      </c>
      <c r="AH123" s="226">
        <v>0.1</v>
      </c>
      <c r="AI123" s="226">
        <v>0.8</v>
      </c>
      <c r="AJ123" s="226">
        <v>0.7</v>
      </c>
      <c r="AK123" s="226">
        <v>0.1</v>
      </c>
      <c r="AL123" s="226">
        <v>0.3</v>
      </c>
      <c r="AM123" s="226">
        <v>0.1</v>
      </c>
      <c r="AN123" s="226">
        <v>0.1</v>
      </c>
      <c r="AO123" s="226">
        <v>0.1</v>
      </c>
      <c r="AP123" s="226">
        <v>0.1</v>
      </c>
      <c r="AQ123" s="226">
        <v>0.1</v>
      </c>
      <c r="AR123" s="226">
        <v>0.1</v>
      </c>
      <c r="AS123" s="226">
        <v>0.1</v>
      </c>
      <c r="AT123" s="226">
        <v>0.7</v>
      </c>
      <c r="AU123" s="226">
        <v>0.3</v>
      </c>
      <c r="AV123" s="226">
        <v>0.3</v>
      </c>
      <c r="AW123" s="226">
        <v>0.3</v>
      </c>
      <c r="AX123" s="226">
        <v>0.8</v>
      </c>
      <c r="AY123" s="226">
        <v>0.8</v>
      </c>
      <c r="AZ123" s="226">
        <v>0.8</v>
      </c>
      <c r="BA123" s="226">
        <v>0.6</v>
      </c>
      <c r="BB123" s="226">
        <v>0.6</v>
      </c>
      <c r="BC123" s="226">
        <v>0.8</v>
      </c>
      <c r="BD123" s="226">
        <v>0.7</v>
      </c>
      <c r="BE123" s="226">
        <v>0.8</v>
      </c>
      <c r="BF123" s="226">
        <v>0.1</v>
      </c>
      <c r="BG123" s="226">
        <v>0.1</v>
      </c>
      <c r="BH123" s="226">
        <v>0.3</v>
      </c>
      <c r="BI123" s="226">
        <v>0.3</v>
      </c>
      <c r="BJ123" s="226">
        <v>0.3</v>
      </c>
      <c r="BK123" s="226">
        <v>0.3</v>
      </c>
      <c r="BL123" s="226">
        <v>0.3</v>
      </c>
      <c r="BM123" s="226">
        <v>0.3</v>
      </c>
      <c r="BN123" s="226">
        <v>0.7</v>
      </c>
      <c r="BO123" s="226">
        <v>0.7</v>
      </c>
      <c r="BP123" s="226">
        <v>0.8</v>
      </c>
      <c r="BQ123" s="226">
        <v>0.8</v>
      </c>
      <c r="BR123" s="226">
        <v>0.7</v>
      </c>
      <c r="BS123" s="226">
        <v>0.7</v>
      </c>
      <c r="BT123" s="226">
        <v>0.7</v>
      </c>
      <c r="BU123" s="226">
        <v>0.7</v>
      </c>
      <c r="BV123" s="226">
        <v>0.8</v>
      </c>
      <c r="BW123" s="226">
        <v>0.8</v>
      </c>
      <c r="BX123" s="226">
        <v>0.7</v>
      </c>
      <c r="BY123" s="226">
        <v>0.8</v>
      </c>
      <c r="BZ123" s="226">
        <v>0.8</v>
      </c>
      <c r="CA123" s="226">
        <v>0.8</v>
      </c>
      <c r="CB123" s="226">
        <v>0.8</v>
      </c>
      <c r="CC123" s="226">
        <v>0.8</v>
      </c>
      <c r="CD123" s="226">
        <v>0.8</v>
      </c>
      <c r="CE123" s="226">
        <v>0.8</v>
      </c>
      <c r="CF123" s="226">
        <v>0.8</v>
      </c>
      <c r="CG123" s="226">
        <v>0.8</v>
      </c>
      <c r="CH123" s="226">
        <v>0.8</v>
      </c>
      <c r="CI123" s="226">
        <v>0.8</v>
      </c>
      <c r="CJ123" s="226">
        <v>0.8</v>
      </c>
      <c r="CK123" s="226">
        <v>0.8</v>
      </c>
      <c r="CL123" s="226">
        <v>0.8</v>
      </c>
      <c r="CM123" s="226">
        <v>0.8</v>
      </c>
      <c r="CN123" s="226">
        <v>0.8</v>
      </c>
      <c r="CO123" s="226">
        <v>0.8</v>
      </c>
      <c r="CP123" s="226">
        <v>0.8</v>
      </c>
      <c r="CQ123" s="226">
        <v>0.8</v>
      </c>
      <c r="CR123" s="226">
        <v>0.8</v>
      </c>
      <c r="CS123" s="226">
        <v>0.8</v>
      </c>
      <c r="CT123" s="226">
        <v>0.8</v>
      </c>
      <c r="CU123" s="226">
        <v>0.8</v>
      </c>
      <c r="CV123" s="226">
        <v>0.8</v>
      </c>
      <c r="CW123" s="226">
        <v>0.8</v>
      </c>
      <c r="CX123" s="226">
        <v>0.8</v>
      </c>
      <c r="CY123" s="226">
        <v>0.8</v>
      </c>
      <c r="CZ123" s="226">
        <v>0.8</v>
      </c>
      <c r="DA123" s="226">
        <v>0.8</v>
      </c>
      <c r="DB123" s="226">
        <v>0.8</v>
      </c>
      <c r="DC123" s="226">
        <v>0.8</v>
      </c>
      <c r="DD123" s="226">
        <v>0.8</v>
      </c>
      <c r="DE123" s="226">
        <v>0.8</v>
      </c>
      <c r="DF123" s="226">
        <v>0.8</v>
      </c>
      <c r="DG123" s="226">
        <v>0.8</v>
      </c>
      <c r="DH123" s="226">
        <v>0.8</v>
      </c>
      <c r="DI123" s="226">
        <v>0.8</v>
      </c>
      <c r="DJ123" s="226">
        <v>0.8</v>
      </c>
      <c r="DK123" s="226">
        <v>0.8</v>
      </c>
      <c r="DL123" s="226">
        <v>0.1</v>
      </c>
      <c r="DM123" s="226">
        <v>0</v>
      </c>
      <c r="DN123" s="226">
        <v>0</v>
      </c>
      <c r="DO123" s="226">
        <v>0</v>
      </c>
      <c r="DP123" s="226">
        <v>0</v>
      </c>
      <c r="DQ123" s="226">
        <v>0</v>
      </c>
      <c r="DR123" s="226">
        <v>0</v>
      </c>
      <c r="DS123" s="226">
        <v>0</v>
      </c>
    </row>
    <row r="124" spans="1:123" x14ac:dyDescent="0.15">
      <c r="A124" s="452" t="s">
        <v>181</v>
      </c>
      <c r="B124">
        <v>0.8</v>
      </c>
      <c r="C124" s="226">
        <v>0.8</v>
      </c>
      <c r="D124" s="226">
        <v>0.8</v>
      </c>
      <c r="E124" s="226">
        <v>0.8</v>
      </c>
      <c r="F124" s="226">
        <v>0.8</v>
      </c>
      <c r="G124" s="226">
        <v>0.8</v>
      </c>
      <c r="H124" s="226">
        <v>0.8</v>
      </c>
      <c r="I124" s="226">
        <v>0.8</v>
      </c>
      <c r="J124" s="226">
        <v>0.8</v>
      </c>
      <c r="K124" s="226">
        <v>0.8</v>
      </c>
      <c r="L124" s="226">
        <v>0.8</v>
      </c>
      <c r="M124" s="226">
        <v>0.7</v>
      </c>
      <c r="N124" s="226">
        <v>0.7</v>
      </c>
      <c r="O124" s="226">
        <v>0.6</v>
      </c>
      <c r="P124" s="226">
        <v>0.6</v>
      </c>
      <c r="Q124" s="226">
        <v>0.7</v>
      </c>
      <c r="R124" s="226">
        <v>0.8</v>
      </c>
      <c r="S124" s="226">
        <v>0.8</v>
      </c>
      <c r="T124" s="226">
        <v>0.8</v>
      </c>
      <c r="U124" s="226">
        <v>0.8</v>
      </c>
      <c r="V124" s="226">
        <v>0.8</v>
      </c>
      <c r="W124" s="225">
        <v>0.8</v>
      </c>
      <c r="X124" s="225">
        <v>0.8</v>
      </c>
      <c r="Y124" s="225">
        <v>0.8</v>
      </c>
      <c r="Z124" s="225">
        <v>0.8</v>
      </c>
      <c r="AA124" s="226">
        <v>0.8</v>
      </c>
      <c r="AB124" s="226">
        <v>0.6</v>
      </c>
      <c r="AC124" s="226">
        <v>0.8</v>
      </c>
      <c r="AD124" s="226">
        <v>0.8</v>
      </c>
      <c r="AE124" s="226">
        <v>0.1</v>
      </c>
      <c r="AF124" s="226">
        <v>0.1</v>
      </c>
      <c r="AG124" s="226">
        <v>0.1</v>
      </c>
      <c r="AH124" s="226">
        <v>0.1</v>
      </c>
      <c r="AI124" s="226">
        <v>0.8</v>
      </c>
      <c r="AJ124" s="226">
        <v>0.7</v>
      </c>
      <c r="AK124" s="226">
        <v>0.1</v>
      </c>
      <c r="AL124" s="226">
        <v>0.3</v>
      </c>
      <c r="AM124" s="226">
        <v>0.1</v>
      </c>
      <c r="AN124" s="226">
        <v>0.1</v>
      </c>
      <c r="AO124" s="226">
        <v>0.1</v>
      </c>
      <c r="AP124" s="226">
        <v>0.1</v>
      </c>
      <c r="AQ124" s="226">
        <v>0.1</v>
      </c>
      <c r="AR124" s="226">
        <v>0.1</v>
      </c>
      <c r="AS124" s="226">
        <v>0.1</v>
      </c>
      <c r="AT124" s="226">
        <v>0.7</v>
      </c>
      <c r="AU124" s="226">
        <v>0.3</v>
      </c>
      <c r="AV124" s="226">
        <v>0.3</v>
      </c>
      <c r="AW124" s="226">
        <v>0.3</v>
      </c>
      <c r="AX124" s="226">
        <v>0.8</v>
      </c>
      <c r="AY124" s="226">
        <v>0.8</v>
      </c>
      <c r="AZ124" s="226">
        <v>0.8</v>
      </c>
      <c r="BA124" s="226">
        <v>0.6</v>
      </c>
      <c r="BB124" s="226">
        <v>0.6</v>
      </c>
      <c r="BC124" s="226">
        <v>0.8</v>
      </c>
      <c r="BD124" s="226">
        <v>0.7</v>
      </c>
      <c r="BE124" s="226">
        <v>0.8</v>
      </c>
      <c r="BF124" s="226">
        <v>0.1</v>
      </c>
      <c r="BG124" s="226">
        <v>0.1</v>
      </c>
      <c r="BH124" s="226">
        <v>0.3</v>
      </c>
      <c r="BI124" s="226">
        <v>0.3</v>
      </c>
      <c r="BJ124" s="226">
        <v>0.3</v>
      </c>
      <c r="BK124" s="226">
        <v>0.3</v>
      </c>
      <c r="BL124" s="226">
        <v>0.3</v>
      </c>
      <c r="BM124" s="226">
        <v>0.3</v>
      </c>
      <c r="BN124" s="226">
        <v>0.7</v>
      </c>
      <c r="BO124" s="226">
        <v>0.7</v>
      </c>
      <c r="BP124" s="226">
        <v>0.8</v>
      </c>
      <c r="BQ124" s="226">
        <v>0.8</v>
      </c>
      <c r="BR124" s="226">
        <v>0.7</v>
      </c>
      <c r="BS124" s="226">
        <v>0.7</v>
      </c>
      <c r="BT124" s="226">
        <v>0.7</v>
      </c>
      <c r="BU124" s="226">
        <v>0.7</v>
      </c>
      <c r="BV124" s="226">
        <v>0.8</v>
      </c>
      <c r="BW124" s="226">
        <v>0.8</v>
      </c>
      <c r="BX124" s="226">
        <v>0.7</v>
      </c>
      <c r="BY124" s="226">
        <v>0.8</v>
      </c>
      <c r="BZ124" s="226">
        <v>0.8</v>
      </c>
      <c r="CA124" s="226">
        <v>0.8</v>
      </c>
      <c r="CB124" s="226">
        <v>0.8</v>
      </c>
      <c r="CC124" s="226">
        <v>0.8</v>
      </c>
      <c r="CD124" s="226">
        <v>0.8</v>
      </c>
      <c r="CE124" s="226">
        <v>0.8</v>
      </c>
      <c r="CF124" s="226">
        <v>0.8</v>
      </c>
      <c r="CG124" s="226">
        <v>0.8</v>
      </c>
      <c r="CH124" s="226">
        <v>0.8</v>
      </c>
      <c r="CI124" s="226">
        <v>0.8</v>
      </c>
      <c r="CJ124" s="226">
        <v>0.8</v>
      </c>
      <c r="CK124" s="226">
        <v>0.8</v>
      </c>
      <c r="CL124" s="226">
        <v>0.8</v>
      </c>
      <c r="CM124" s="226">
        <v>0.8</v>
      </c>
      <c r="CN124" s="226">
        <v>0.8</v>
      </c>
      <c r="CO124" s="226">
        <v>0.8</v>
      </c>
      <c r="CP124" s="226">
        <v>0.8</v>
      </c>
      <c r="CQ124" s="226">
        <v>0.8</v>
      </c>
      <c r="CR124" s="226">
        <v>0.8</v>
      </c>
      <c r="CS124" s="226">
        <v>0.8</v>
      </c>
      <c r="CT124" s="226">
        <v>0.8</v>
      </c>
      <c r="CU124" s="226">
        <v>0.8</v>
      </c>
      <c r="CV124" s="226">
        <v>0.8</v>
      </c>
      <c r="CW124" s="226">
        <v>0.8</v>
      </c>
      <c r="CX124" s="226">
        <v>0.8</v>
      </c>
      <c r="CY124" s="226">
        <v>0.8</v>
      </c>
      <c r="CZ124" s="226">
        <v>0.8</v>
      </c>
      <c r="DA124" s="226">
        <v>0.8</v>
      </c>
      <c r="DB124" s="226">
        <v>0.8</v>
      </c>
      <c r="DC124" s="226">
        <v>0.8</v>
      </c>
      <c r="DD124" s="226">
        <v>0.8</v>
      </c>
      <c r="DE124" s="226">
        <v>0.8</v>
      </c>
      <c r="DF124" s="226">
        <v>0.8</v>
      </c>
      <c r="DG124" s="226">
        <v>0.8</v>
      </c>
      <c r="DH124" s="226">
        <v>0.8</v>
      </c>
      <c r="DI124" s="226">
        <v>0.8</v>
      </c>
      <c r="DJ124" s="226">
        <v>0.8</v>
      </c>
      <c r="DK124" s="226">
        <v>0.8</v>
      </c>
      <c r="DL124" s="226">
        <v>0.1</v>
      </c>
      <c r="DM124" s="226">
        <v>0</v>
      </c>
      <c r="DN124" s="226">
        <v>0</v>
      </c>
      <c r="DO124" s="226">
        <v>0</v>
      </c>
      <c r="DP124" s="226">
        <v>0</v>
      </c>
      <c r="DQ124" s="226">
        <v>0</v>
      </c>
      <c r="DR124" s="226">
        <v>0</v>
      </c>
      <c r="DS124" s="226">
        <v>0</v>
      </c>
    </row>
    <row r="125" spans="1:123" x14ac:dyDescent="0.15">
      <c r="A125"/>
    </row>
    <row r="126" spans="1:123" x14ac:dyDescent="0.15">
      <c r="A126"/>
    </row>
    <row r="127" spans="1:123" x14ac:dyDescent="0.15">
      <c r="A127"/>
    </row>
    <row r="128" spans="1:123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  <row r="135" spans="1:1" x14ac:dyDescent="0.15">
      <c r="A135"/>
    </row>
    <row r="136" spans="1:1" x14ac:dyDescent="0.15">
      <c r="A136"/>
    </row>
    <row r="137" spans="1:1" x14ac:dyDescent="0.15">
      <c r="A137"/>
    </row>
    <row r="138" spans="1:1" x14ac:dyDescent="0.15">
      <c r="A138"/>
    </row>
    <row r="139" spans="1:1" x14ac:dyDescent="0.15">
      <c r="A139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EG131"/>
  <sheetViews>
    <sheetView workbookViewId="0">
      <selection activeCell="A2" sqref="A2:A128"/>
    </sheetView>
  </sheetViews>
  <sheetFormatPr baseColWidth="10" defaultRowHeight="14" customHeight="1" x14ac:dyDescent="0.15"/>
  <cols>
    <col min="1" max="1" width="39.83203125" style="226" bestFit="1" customWidth="1"/>
    <col min="2" max="16384" width="10.83203125" style="226"/>
  </cols>
  <sheetData>
    <row r="1" spans="1:137" ht="13" x14ac:dyDescent="0.15">
      <c r="A1" s="208" t="s">
        <v>140</v>
      </c>
      <c r="B1" s="226" t="s">
        <v>225</v>
      </c>
      <c r="C1" s="226" t="s">
        <v>226</v>
      </c>
      <c r="D1" s="226" t="s">
        <v>227</v>
      </c>
      <c r="E1" s="226" t="s">
        <v>228</v>
      </c>
      <c r="F1" s="226" t="s">
        <v>229</v>
      </c>
      <c r="G1" s="226" t="s">
        <v>230</v>
      </c>
      <c r="H1" s="226" t="s">
        <v>231</v>
      </c>
      <c r="I1" s="226" t="s">
        <v>232</v>
      </c>
      <c r="J1" s="226" t="s">
        <v>233</v>
      </c>
      <c r="K1" s="226" t="s">
        <v>234</v>
      </c>
      <c r="L1" s="226" t="s">
        <v>235</v>
      </c>
      <c r="M1" s="226" t="s">
        <v>236</v>
      </c>
      <c r="N1" s="226" t="s">
        <v>237</v>
      </c>
      <c r="O1" s="226" t="s">
        <v>238</v>
      </c>
      <c r="P1" s="226" t="s">
        <v>239</v>
      </c>
      <c r="Q1" s="226" t="s">
        <v>240</v>
      </c>
      <c r="R1" s="226" t="s">
        <v>241</v>
      </c>
      <c r="S1" s="226" t="s">
        <v>242</v>
      </c>
      <c r="T1" s="226" t="s">
        <v>243</v>
      </c>
      <c r="U1" s="226" t="s">
        <v>244</v>
      </c>
      <c r="V1" s="226" t="s">
        <v>245</v>
      </c>
      <c r="W1" s="3" t="s">
        <v>246</v>
      </c>
      <c r="X1" s="3" t="s">
        <v>247</v>
      </c>
      <c r="Y1" s="225" t="s">
        <v>248</v>
      </c>
      <c r="Z1" s="225" t="s">
        <v>249</v>
      </c>
      <c r="AA1" s="226" t="s">
        <v>250</v>
      </c>
      <c r="AB1" s="226" t="s">
        <v>251</v>
      </c>
      <c r="AC1" s="226" t="s">
        <v>252</v>
      </c>
      <c r="AD1" s="226" t="s">
        <v>253</v>
      </c>
      <c r="AE1" s="226" t="s">
        <v>254</v>
      </c>
      <c r="AF1" s="226" t="s">
        <v>177</v>
      </c>
      <c r="AG1" s="226" t="s">
        <v>255</v>
      </c>
      <c r="AH1" s="226" t="s">
        <v>256</v>
      </c>
      <c r="AI1" s="226" t="s">
        <v>257</v>
      </c>
      <c r="AJ1" s="226" t="s">
        <v>178</v>
      </c>
      <c r="AK1" s="226" t="s">
        <v>258</v>
      </c>
      <c r="AL1" s="226" t="s">
        <v>179</v>
      </c>
      <c r="AM1" s="226" t="s">
        <v>259</v>
      </c>
      <c r="AN1" s="226" t="s">
        <v>260</v>
      </c>
      <c r="AO1" s="226" t="s">
        <v>261</v>
      </c>
      <c r="AP1" s="226" t="s">
        <v>262</v>
      </c>
      <c r="AQ1" s="226" t="s">
        <v>263</v>
      </c>
      <c r="AR1" s="226" t="s">
        <v>264</v>
      </c>
      <c r="AS1" s="226" t="s">
        <v>265</v>
      </c>
      <c r="AT1" s="226" t="s">
        <v>266</v>
      </c>
      <c r="AU1" s="226" t="s">
        <v>267</v>
      </c>
      <c r="AV1" s="226" t="s">
        <v>268</v>
      </c>
      <c r="AW1" s="226" t="s">
        <v>269</v>
      </c>
      <c r="AX1" s="226" t="s">
        <v>270</v>
      </c>
      <c r="AY1" s="226" t="s">
        <v>271</v>
      </c>
      <c r="AZ1" s="226" t="s">
        <v>272</v>
      </c>
      <c r="BA1" s="226" t="s">
        <v>273</v>
      </c>
      <c r="BB1" s="226" t="s">
        <v>274</v>
      </c>
      <c r="BC1" s="226" t="s">
        <v>275</v>
      </c>
      <c r="BD1" s="226" t="s">
        <v>276</v>
      </c>
      <c r="BE1" s="226" t="s">
        <v>277</v>
      </c>
      <c r="BF1" s="226" t="s">
        <v>278</v>
      </c>
      <c r="BG1" s="226" t="s">
        <v>279</v>
      </c>
      <c r="BH1" s="226" t="s">
        <v>280</v>
      </c>
      <c r="BI1" s="226" t="s">
        <v>281</v>
      </c>
      <c r="BJ1" s="226" t="s">
        <v>282</v>
      </c>
      <c r="BK1" s="226" t="s">
        <v>283</v>
      </c>
      <c r="BL1" s="226" t="s">
        <v>284</v>
      </c>
      <c r="BM1" s="226" t="s">
        <v>285</v>
      </c>
      <c r="BN1" s="226" t="s">
        <v>286</v>
      </c>
      <c r="BO1" s="226" t="s">
        <v>287</v>
      </c>
      <c r="BP1" s="226" t="s">
        <v>288</v>
      </c>
      <c r="BQ1" s="226" t="s">
        <v>289</v>
      </c>
      <c r="BR1" s="226" t="s">
        <v>290</v>
      </c>
      <c r="BS1" s="226" t="s">
        <v>291</v>
      </c>
      <c r="BT1" s="226" t="s">
        <v>180</v>
      </c>
      <c r="BU1" s="226" t="s">
        <v>292</v>
      </c>
      <c r="BV1" s="226" t="s">
        <v>293</v>
      </c>
      <c r="BW1" s="226" t="s">
        <v>294</v>
      </c>
      <c r="BX1" s="226" t="s">
        <v>295</v>
      </c>
      <c r="BY1" s="226" t="s">
        <v>296</v>
      </c>
      <c r="BZ1" s="226" t="s">
        <v>297</v>
      </c>
      <c r="CA1" s="226" t="s">
        <v>298</v>
      </c>
      <c r="CB1" s="226" t="s">
        <v>299</v>
      </c>
      <c r="CC1" s="226" t="s">
        <v>300</v>
      </c>
      <c r="CD1" s="226" t="s">
        <v>301</v>
      </c>
      <c r="CE1" s="226" t="s">
        <v>302</v>
      </c>
      <c r="CF1" s="226" t="s">
        <v>303</v>
      </c>
      <c r="CG1" s="226" t="s">
        <v>304</v>
      </c>
      <c r="CH1" s="226" t="s">
        <v>305</v>
      </c>
      <c r="CI1" s="226" t="s">
        <v>306</v>
      </c>
      <c r="CJ1" s="226" t="s">
        <v>307</v>
      </c>
      <c r="CK1" s="226" t="s">
        <v>308</v>
      </c>
      <c r="CL1" s="226" t="s">
        <v>309</v>
      </c>
      <c r="CM1" s="226" t="s">
        <v>310</v>
      </c>
      <c r="CN1" s="226" t="s">
        <v>311</v>
      </c>
      <c r="CO1" s="226" t="s">
        <v>312</v>
      </c>
      <c r="CP1" s="226" t="s">
        <v>313</v>
      </c>
      <c r="CQ1" s="226" t="s">
        <v>314</v>
      </c>
      <c r="CR1" s="226" t="s">
        <v>315</v>
      </c>
      <c r="CS1" s="226" t="s">
        <v>316</v>
      </c>
      <c r="CT1" s="226" t="s">
        <v>317</v>
      </c>
      <c r="CU1" s="226" t="s">
        <v>318</v>
      </c>
      <c r="CV1" s="226" t="s">
        <v>319</v>
      </c>
      <c r="CW1" s="226" t="s">
        <v>320</v>
      </c>
      <c r="CX1" s="226" t="s">
        <v>321</v>
      </c>
      <c r="CY1" s="226" t="s">
        <v>322</v>
      </c>
      <c r="CZ1" s="226" t="s">
        <v>323</v>
      </c>
      <c r="DA1" s="226" t="s">
        <v>324</v>
      </c>
      <c r="DB1" s="226" t="s">
        <v>325</v>
      </c>
      <c r="DC1" s="226" t="s">
        <v>326</v>
      </c>
      <c r="DD1" s="226" t="s">
        <v>327</v>
      </c>
      <c r="DE1" s="226" t="s">
        <v>328</v>
      </c>
      <c r="DF1" s="226" t="s">
        <v>329</v>
      </c>
      <c r="DG1" s="226" t="s">
        <v>330</v>
      </c>
      <c r="DH1" s="226" t="s">
        <v>331</v>
      </c>
      <c r="DI1" s="226" t="s">
        <v>332</v>
      </c>
      <c r="DJ1" s="226" t="s">
        <v>333</v>
      </c>
      <c r="DK1" s="226" t="s">
        <v>334</v>
      </c>
      <c r="DL1" s="226" t="s">
        <v>335</v>
      </c>
      <c r="DM1" s="226" t="s">
        <v>336</v>
      </c>
      <c r="DN1" s="226" t="s">
        <v>337</v>
      </c>
      <c r="DO1" s="226" t="s">
        <v>338</v>
      </c>
      <c r="DP1" s="226" t="s">
        <v>339</v>
      </c>
      <c r="DQ1" s="226" t="s">
        <v>340</v>
      </c>
      <c r="DR1" s="226" t="s">
        <v>341</v>
      </c>
      <c r="DS1" s="226" t="s">
        <v>342</v>
      </c>
      <c r="DT1"/>
      <c r="DU1"/>
      <c r="DV1"/>
      <c r="DW1"/>
      <c r="DX1"/>
      <c r="DY1"/>
      <c r="DZ1"/>
      <c r="EA1"/>
      <c r="EB1"/>
      <c r="EC1"/>
      <c r="ED1"/>
      <c r="EE1"/>
      <c r="EF1"/>
      <c r="EG1"/>
    </row>
    <row r="2" spans="1:137" ht="13" x14ac:dyDescent="0.15">
      <c r="A2" s="156" t="s">
        <v>225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1</v>
      </c>
      <c r="CZ2">
        <v>1</v>
      </c>
      <c r="DA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N2">
        <v>1</v>
      </c>
      <c r="DO2">
        <v>1</v>
      </c>
      <c r="DP2">
        <v>1</v>
      </c>
      <c r="DQ2">
        <v>1</v>
      </c>
      <c r="DR2">
        <v>1</v>
      </c>
      <c r="DS2">
        <v>1</v>
      </c>
      <c r="DT2"/>
      <c r="DU2"/>
      <c r="DV2"/>
      <c r="DW2"/>
      <c r="DX2"/>
      <c r="DY2"/>
      <c r="DZ2"/>
      <c r="EA2"/>
      <c r="EB2"/>
      <c r="EC2"/>
      <c r="ED2"/>
      <c r="EE2"/>
      <c r="EF2"/>
      <c r="EG2"/>
    </row>
    <row r="3" spans="1:137" ht="13" x14ac:dyDescent="0.15">
      <c r="A3" s="156" t="s">
        <v>226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1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N3">
        <v>1</v>
      </c>
      <c r="DO3">
        <v>1</v>
      </c>
      <c r="DP3">
        <v>1</v>
      </c>
      <c r="DQ3">
        <v>1</v>
      </c>
      <c r="DR3">
        <v>1</v>
      </c>
      <c r="DS3">
        <v>1</v>
      </c>
      <c r="DT3"/>
      <c r="DU3"/>
      <c r="DV3"/>
      <c r="DW3"/>
      <c r="DX3"/>
      <c r="DY3"/>
      <c r="DZ3"/>
      <c r="EA3"/>
      <c r="EB3"/>
      <c r="EC3"/>
      <c r="ED3"/>
      <c r="EE3"/>
      <c r="EF3"/>
      <c r="EG3"/>
    </row>
    <row r="4" spans="1:137" ht="13" x14ac:dyDescent="0.15">
      <c r="A4" s="156" t="s">
        <v>227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1</v>
      </c>
      <c r="DM4">
        <v>1</v>
      </c>
      <c r="DN4">
        <v>1</v>
      </c>
      <c r="DO4">
        <v>1</v>
      </c>
      <c r="DP4">
        <v>1</v>
      </c>
      <c r="DQ4">
        <v>1</v>
      </c>
      <c r="DR4">
        <v>1</v>
      </c>
      <c r="DS4">
        <v>1</v>
      </c>
      <c r="DT4"/>
      <c r="DU4"/>
      <c r="DV4"/>
      <c r="DW4"/>
      <c r="DX4"/>
      <c r="DY4"/>
      <c r="DZ4"/>
      <c r="EA4"/>
      <c r="EB4"/>
      <c r="EC4"/>
      <c r="ED4"/>
      <c r="EE4"/>
      <c r="EF4"/>
      <c r="EG4"/>
    </row>
    <row r="5" spans="1:137" ht="13" x14ac:dyDescent="0.15">
      <c r="A5" s="156" t="s">
        <v>228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/>
      <c r="DU5"/>
      <c r="DV5"/>
      <c r="DW5"/>
      <c r="DX5"/>
      <c r="DY5"/>
      <c r="DZ5"/>
      <c r="EA5"/>
      <c r="EB5"/>
      <c r="EC5"/>
      <c r="ED5"/>
      <c r="EE5"/>
      <c r="EF5"/>
      <c r="EG5"/>
    </row>
    <row r="6" spans="1:137" ht="13" x14ac:dyDescent="0.15">
      <c r="A6" s="156" t="s">
        <v>229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  <c r="DI6">
        <v>1</v>
      </c>
      <c r="DJ6">
        <v>1</v>
      </c>
      <c r="DK6">
        <v>1</v>
      </c>
      <c r="DL6">
        <v>1</v>
      </c>
      <c r="DM6">
        <v>1</v>
      </c>
      <c r="DN6">
        <v>1</v>
      </c>
      <c r="DO6">
        <v>1</v>
      </c>
      <c r="DP6">
        <v>1</v>
      </c>
      <c r="DQ6">
        <v>1</v>
      </c>
      <c r="DR6">
        <v>1</v>
      </c>
      <c r="DS6">
        <v>1</v>
      </c>
      <c r="DT6"/>
      <c r="DU6"/>
      <c r="DV6"/>
      <c r="DW6"/>
      <c r="DX6"/>
      <c r="DY6"/>
      <c r="DZ6"/>
      <c r="EA6"/>
      <c r="EB6"/>
      <c r="EC6"/>
      <c r="ED6"/>
      <c r="EE6"/>
      <c r="EF6"/>
      <c r="EG6"/>
    </row>
    <row r="7" spans="1:137" ht="13" x14ac:dyDescent="0.15">
      <c r="A7" s="156" t="s">
        <v>230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N7">
        <v>1</v>
      </c>
      <c r="DO7">
        <v>1</v>
      </c>
      <c r="DP7">
        <v>1</v>
      </c>
      <c r="DQ7">
        <v>1</v>
      </c>
      <c r="DR7">
        <v>1</v>
      </c>
      <c r="DS7">
        <v>1</v>
      </c>
      <c r="DT7"/>
      <c r="DU7"/>
      <c r="DV7"/>
      <c r="DW7"/>
      <c r="DX7"/>
      <c r="DY7"/>
      <c r="DZ7"/>
      <c r="EA7"/>
      <c r="EB7"/>
      <c r="EC7"/>
      <c r="ED7"/>
      <c r="EE7"/>
      <c r="EF7"/>
      <c r="EG7"/>
    </row>
    <row r="8" spans="1:137" ht="13" x14ac:dyDescent="0.15">
      <c r="A8" s="156" t="s">
        <v>231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CY8">
        <v>1</v>
      </c>
      <c r="CZ8">
        <v>1</v>
      </c>
      <c r="DA8">
        <v>1</v>
      </c>
      <c r="DB8">
        <v>1</v>
      </c>
      <c r="DC8">
        <v>1</v>
      </c>
      <c r="DD8">
        <v>1</v>
      </c>
      <c r="DE8">
        <v>1</v>
      </c>
      <c r="DF8">
        <v>1</v>
      </c>
      <c r="DG8">
        <v>1</v>
      </c>
      <c r="DH8">
        <v>1</v>
      </c>
      <c r="DI8">
        <v>1</v>
      </c>
      <c r="DJ8">
        <v>1</v>
      </c>
      <c r="DK8">
        <v>1</v>
      </c>
      <c r="DL8">
        <v>1</v>
      </c>
      <c r="DM8">
        <v>1</v>
      </c>
      <c r="DN8">
        <v>1</v>
      </c>
      <c r="DO8">
        <v>1</v>
      </c>
      <c r="DP8">
        <v>1</v>
      </c>
      <c r="DQ8">
        <v>1</v>
      </c>
      <c r="DR8">
        <v>1</v>
      </c>
      <c r="DS8">
        <v>1</v>
      </c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13" x14ac:dyDescent="0.15">
      <c r="A9" s="156" t="s">
        <v>232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/>
      <c r="DU9"/>
      <c r="DV9"/>
      <c r="DW9"/>
      <c r="DX9"/>
      <c r="DY9"/>
      <c r="DZ9"/>
      <c r="EA9"/>
      <c r="EB9"/>
      <c r="EC9"/>
      <c r="ED9"/>
      <c r="EE9"/>
      <c r="EF9"/>
      <c r="EG9"/>
    </row>
    <row r="10" spans="1:137" ht="13" x14ac:dyDescent="0.15">
      <c r="A10" s="156" t="s">
        <v>233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N10">
        <v>1</v>
      </c>
      <c r="DO10">
        <v>1</v>
      </c>
      <c r="DP10">
        <v>1</v>
      </c>
      <c r="DQ10">
        <v>1</v>
      </c>
      <c r="DR10">
        <v>1</v>
      </c>
      <c r="DS10">
        <v>1</v>
      </c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</row>
    <row r="11" spans="1:137" ht="13" x14ac:dyDescent="0.15">
      <c r="A11" s="156" t="s">
        <v>234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N11">
        <v>1</v>
      </c>
      <c r="DO11">
        <v>1</v>
      </c>
      <c r="DP11">
        <v>1</v>
      </c>
      <c r="DQ11">
        <v>1</v>
      </c>
      <c r="DR11">
        <v>1</v>
      </c>
      <c r="DS11">
        <v>1</v>
      </c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</row>
    <row r="12" spans="1:137" ht="13" x14ac:dyDescent="0.15">
      <c r="A12" s="156" t="s">
        <v>235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</row>
    <row r="13" spans="1:137" ht="13" x14ac:dyDescent="0.15">
      <c r="A13" s="156" t="s">
        <v>236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</row>
    <row r="14" spans="1:137" ht="13" x14ac:dyDescent="0.15">
      <c r="A14" s="156" t="s">
        <v>237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  <c r="DI14">
        <v>1</v>
      </c>
      <c r="DJ14">
        <v>1</v>
      </c>
      <c r="DK14">
        <v>1</v>
      </c>
      <c r="DL14">
        <v>1</v>
      </c>
      <c r="DM14">
        <v>1</v>
      </c>
      <c r="DN14">
        <v>1</v>
      </c>
      <c r="DO14">
        <v>1</v>
      </c>
      <c r="DP14">
        <v>1</v>
      </c>
      <c r="DQ14">
        <v>1</v>
      </c>
      <c r="DR14">
        <v>1</v>
      </c>
      <c r="DS14">
        <v>1</v>
      </c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</row>
    <row r="15" spans="1:137" ht="13" x14ac:dyDescent="0.15">
      <c r="A15" s="156" t="s">
        <v>238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  <c r="DI15">
        <v>1</v>
      </c>
      <c r="DJ15">
        <v>1</v>
      </c>
      <c r="DK15">
        <v>1</v>
      </c>
      <c r="DL15">
        <v>1</v>
      </c>
      <c r="DM15">
        <v>1</v>
      </c>
      <c r="DN15">
        <v>1</v>
      </c>
      <c r="DO15">
        <v>1</v>
      </c>
      <c r="DP15">
        <v>1</v>
      </c>
      <c r="DQ15">
        <v>1</v>
      </c>
      <c r="DR15">
        <v>1</v>
      </c>
      <c r="DS15">
        <v>1</v>
      </c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</row>
    <row r="16" spans="1:137" ht="13" x14ac:dyDescent="0.15">
      <c r="A16" s="156" t="s">
        <v>239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  <c r="DI16">
        <v>1</v>
      </c>
      <c r="DJ16">
        <v>1</v>
      </c>
      <c r="DK16">
        <v>1</v>
      </c>
      <c r="DL16">
        <v>1</v>
      </c>
      <c r="DM16">
        <v>1</v>
      </c>
      <c r="DN16">
        <v>1</v>
      </c>
      <c r="DO16">
        <v>1</v>
      </c>
      <c r="DP16">
        <v>1</v>
      </c>
      <c r="DQ16">
        <v>1</v>
      </c>
      <c r="DR16">
        <v>1</v>
      </c>
      <c r="DS16">
        <v>1</v>
      </c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</row>
    <row r="17" spans="1:137" ht="13" x14ac:dyDescent="0.15">
      <c r="A17" s="156" t="s">
        <v>240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  <c r="DI17">
        <v>1</v>
      </c>
      <c r="DJ17">
        <v>1</v>
      </c>
      <c r="DK17">
        <v>1</v>
      </c>
      <c r="DL17">
        <v>1</v>
      </c>
      <c r="DM17">
        <v>1</v>
      </c>
      <c r="DN17">
        <v>1</v>
      </c>
      <c r="DO17">
        <v>1</v>
      </c>
      <c r="DP17">
        <v>1</v>
      </c>
      <c r="DQ17">
        <v>1</v>
      </c>
      <c r="DR17">
        <v>1</v>
      </c>
      <c r="DS17">
        <v>1</v>
      </c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</row>
    <row r="18" spans="1:137" ht="13" x14ac:dyDescent="0.15">
      <c r="A18" s="156" t="s">
        <v>241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R18">
        <v>1</v>
      </c>
      <c r="DS18">
        <v>1</v>
      </c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</row>
    <row r="19" spans="1:137" ht="13" x14ac:dyDescent="0.15">
      <c r="A19" s="156" t="s">
        <v>242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  <c r="DI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</row>
    <row r="20" spans="1:137" ht="13" x14ac:dyDescent="0.15">
      <c r="A20" s="156" t="s">
        <v>243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1</v>
      </c>
      <c r="DL20">
        <v>1</v>
      </c>
      <c r="DM20">
        <v>1</v>
      </c>
      <c r="DN20">
        <v>1</v>
      </c>
      <c r="DO20">
        <v>1</v>
      </c>
      <c r="DP20">
        <v>1</v>
      </c>
      <c r="DQ20">
        <v>1</v>
      </c>
      <c r="DR20">
        <v>1</v>
      </c>
      <c r="DS20">
        <v>1</v>
      </c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</row>
    <row r="21" spans="1:137" ht="13" x14ac:dyDescent="0.15">
      <c r="A21" s="156" t="s">
        <v>244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  <c r="DI21">
        <v>1</v>
      </c>
      <c r="DJ21">
        <v>1</v>
      </c>
      <c r="DK21">
        <v>1</v>
      </c>
      <c r="DL21">
        <v>1</v>
      </c>
      <c r="DM21">
        <v>1</v>
      </c>
      <c r="DN21">
        <v>1</v>
      </c>
      <c r="DO21">
        <v>1</v>
      </c>
      <c r="DP21">
        <v>1</v>
      </c>
      <c r="DQ21">
        <v>1</v>
      </c>
      <c r="DR21">
        <v>1</v>
      </c>
      <c r="DS21">
        <v>1</v>
      </c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</row>
    <row r="22" spans="1:137" ht="13" x14ac:dyDescent="0.15">
      <c r="A22" s="156" t="s">
        <v>245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  <c r="DI22">
        <v>1</v>
      </c>
      <c r="DJ22">
        <v>1</v>
      </c>
      <c r="DK22">
        <v>1</v>
      </c>
      <c r="DL22">
        <v>1</v>
      </c>
      <c r="DM22">
        <v>1</v>
      </c>
      <c r="DN22">
        <v>1</v>
      </c>
      <c r="DO22">
        <v>1</v>
      </c>
      <c r="DP22">
        <v>1</v>
      </c>
      <c r="DQ22">
        <v>1</v>
      </c>
      <c r="DR22">
        <v>1</v>
      </c>
      <c r="DS22">
        <v>1</v>
      </c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</row>
    <row r="23" spans="1:137" ht="13" x14ac:dyDescent="0.15">
      <c r="A23" s="156" t="s">
        <v>246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1</v>
      </c>
      <c r="DF23">
        <v>1</v>
      </c>
      <c r="DG23">
        <v>1</v>
      </c>
      <c r="DH23">
        <v>1</v>
      </c>
      <c r="DI23">
        <v>1</v>
      </c>
      <c r="DJ23">
        <v>1</v>
      </c>
      <c r="DK23">
        <v>1</v>
      </c>
      <c r="DL23">
        <v>1</v>
      </c>
      <c r="DM23">
        <v>1</v>
      </c>
      <c r="DN23">
        <v>1</v>
      </c>
      <c r="DO23">
        <v>1</v>
      </c>
      <c r="DP23">
        <v>1</v>
      </c>
      <c r="DQ23">
        <v>1</v>
      </c>
      <c r="DR23">
        <v>1</v>
      </c>
      <c r="DS23">
        <v>1</v>
      </c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</row>
    <row r="24" spans="1:137" ht="13" x14ac:dyDescent="0.15">
      <c r="A24" s="156" t="s">
        <v>247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1</v>
      </c>
      <c r="DH24">
        <v>1</v>
      </c>
      <c r="DI24">
        <v>1</v>
      </c>
      <c r="DJ24">
        <v>1</v>
      </c>
      <c r="DK24">
        <v>1</v>
      </c>
      <c r="DL24">
        <v>1</v>
      </c>
      <c r="DM24">
        <v>1</v>
      </c>
      <c r="DN24">
        <v>1</v>
      </c>
      <c r="DO24">
        <v>1</v>
      </c>
      <c r="DP24">
        <v>1</v>
      </c>
      <c r="DQ24">
        <v>1</v>
      </c>
      <c r="DR24">
        <v>1</v>
      </c>
      <c r="DS24">
        <v>1</v>
      </c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</row>
    <row r="25" spans="1:137" ht="13" x14ac:dyDescent="0.15">
      <c r="A25" s="156" t="s">
        <v>248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N25">
        <v>1</v>
      </c>
      <c r="DO25">
        <v>1</v>
      </c>
      <c r="DP25">
        <v>1</v>
      </c>
      <c r="DQ25">
        <v>1</v>
      </c>
      <c r="DR25">
        <v>1</v>
      </c>
      <c r="DS25">
        <v>1</v>
      </c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</row>
    <row r="26" spans="1:137" ht="13" x14ac:dyDescent="0.15">
      <c r="A26" s="156" t="s">
        <v>249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  <c r="DI26">
        <v>1</v>
      </c>
      <c r="DJ26">
        <v>1</v>
      </c>
      <c r="DK26">
        <v>1</v>
      </c>
      <c r="DL26">
        <v>1</v>
      </c>
      <c r="DM26">
        <v>1</v>
      </c>
      <c r="DN26">
        <v>1</v>
      </c>
      <c r="DO26">
        <v>1</v>
      </c>
      <c r="DP26">
        <v>1</v>
      </c>
      <c r="DQ26">
        <v>1</v>
      </c>
      <c r="DR26">
        <v>1</v>
      </c>
      <c r="DS26">
        <v>1</v>
      </c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</row>
    <row r="27" spans="1:137" ht="13" x14ac:dyDescent="0.15">
      <c r="A27" s="156" t="s">
        <v>250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1</v>
      </c>
      <c r="DL27">
        <v>1</v>
      </c>
      <c r="DM27">
        <v>1</v>
      </c>
      <c r="DN27">
        <v>1</v>
      </c>
      <c r="DO27">
        <v>1</v>
      </c>
      <c r="DP27">
        <v>1</v>
      </c>
      <c r="DQ27">
        <v>1</v>
      </c>
      <c r="DR27">
        <v>1</v>
      </c>
      <c r="DS27">
        <v>1</v>
      </c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</row>
    <row r="28" spans="1:137" ht="13" x14ac:dyDescent="0.15">
      <c r="A28" s="156" t="s">
        <v>251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J28">
        <v>1</v>
      </c>
      <c r="CK28">
        <v>1</v>
      </c>
      <c r="CL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CY28">
        <v>1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1</v>
      </c>
      <c r="DJ28">
        <v>1</v>
      </c>
      <c r="DK28">
        <v>1</v>
      </c>
      <c r="DL28">
        <v>1</v>
      </c>
      <c r="DM28">
        <v>1</v>
      </c>
      <c r="DN28">
        <v>1</v>
      </c>
      <c r="DO28">
        <v>1</v>
      </c>
      <c r="DP28">
        <v>1</v>
      </c>
      <c r="DQ28">
        <v>1</v>
      </c>
      <c r="DR28">
        <v>1</v>
      </c>
      <c r="DS28">
        <v>1</v>
      </c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</row>
    <row r="29" spans="1:137" ht="13" x14ac:dyDescent="0.15">
      <c r="A29" s="156" t="s">
        <v>252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1</v>
      </c>
      <c r="DL29">
        <v>1</v>
      </c>
      <c r="DM29">
        <v>1</v>
      </c>
      <c r="DN29">
        <v>1</v>
      </c>
      <c r="DO29">
        <v>1</v>
      </c>
      <c r="DP29">
        <v>1</v>
      </c>
      <c r="DQ29">
        <v>1</v>
      </c>
      <c r="DR29">
        <v>1</v>
      </c>
      <c r="DS29">
        <v>1</v>
      </c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</row>
    <row r="30" spans="1:137" ht="13" x14ac:dyDescent="0.15">
      <c r="A30" s="156" t="s">
        <v>253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N30">
        <v>1</v>
      </c>
      <c r="DO30">
        <v>1</v>
      </c>
      <c r="DP30">
        <v>1</v>
      </c>
      <c r="DQ30">
        <v>1</v>
      </c>
      <c r="DR30">
        <v>1</v>
      </c>
      <c r="DS30">
        <v>1</v>
      </c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</row>
    <row r="31" spans="1:137" ht="13" x14ac:dyDescent="0.15">
      <c r="A31" s="156" t="s">
        <v>254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N31">
        <v>1</v>
      </c>
      <c r="DO31">
        <v>1</v>
      </c>
      <c r="DP31">
        <v>1</v>
      </c>
      <c r="DQ31">
        <v>1</v>
      </c>
      <c r="DR31">
        <v>1</v>
      </c>
      <c r="DS31">
        <v>1</v>
      </c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</row>
    <row r="32" spans="1:137" ht="13" x14ac:dyDescent="0.15">
      <c r="A32" s="156" t="s">
        <v>177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1</v>
      </c>
      <c r="DL32">
        <v>1</v>
      </c>
      <c r="DM32">
        <v>1</v>
      </c>
      <c r="DN32">
        <v>1</v>
      </c>
      <c r="DO32">
        <v>1</v>
      </c>
      <c r="DP32">
        <v>1</v>
      </c>
      <c r="DQ32">
        <v>1</v>
      </c>
      <c r="DR32">
        <v>1</v>
      </c>
      <c r="DS32">
        <v>1</v>
      </c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</row>
    <row r="33" spans="1:137" ht="13" x14ac:dyDescent="0.15">
      <c r="A33" s="156" t="s">
        <v>255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  <c r="DI33">
        <v>1</v>
      </c>
      <c r="DJ33">
        <v>1</v>
      </c>
      <c r="DK33">
        <v>1</v>
      </c>
      <c r="DL33">
        <v>1</v>
      </c>
      <c r="DM33">
        <v>1</v>
      </c>
      <c r="DN33">
        <v>1</v>
      </c>
      <c r="DO33">
        <v>1</v>
      </c>
      <c r="DP33">
        <v>1</v>
      </c>
      <c r="DQ33">
        <v>1</v>
      </c>
      <c r="DR33">
        <v>1</v>
      </c>
      <c r="DS33">
        <v>1</v>
      </c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</row>
    <row r="34" spans="1:137" ht="13" x14ac:dyDescent="0.15">
      <c r="A34" s="156" t="s">
        <v>256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N34">
        <v>1</v>
      </c>
      <c r="DO34">
        <v>1</v>
      </c>
      <c r="DP34">
        <v>1</v>
      </c>
      <c r="DQ34">
        <v>1</v>
      </c>
      <c r="DR34">
        <v>1</v>
      </c>
      <c r="DS34">
        <v>1</v>
      </c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</row>
    <row r="35" spans="1:137" ht="13" x14ac:dyDescent="0.15">
      <c r="A35" s="156" t="s">
        <v>257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N35">
        <v>1</v>
      </c>
      <c r="DO35">
        <v>1</v>
      </c>
      <c r="DP35">
        <v>1</v>
      </c>
      <c r="DQ35">
        <v>1</v>
      </c>
      <c r="DR35">
        <v>1</v>
      </c>
      <c r="DS35">
        <v>1</v>
      </c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</row>
    <row r="36" spans="1:137" ht="13" x14ac:dyDescent="0.15">
      <c r="A36" s="156" t="s">
        <v>178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N36">
        <v>1</v>
      </c>
      <c r="DO36">
        <v>1</v>
      </c>
      <c r="DP36">
        <v>1</v>
      </c>
      <c r="DQ36">
        <v>1</v>
      </c>
      <c r="DR36">
        <v>1</v>
      </c>
      <c r="DS36">
        <v>1</v>
      </c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</row>
    <row r="37" spans="1:137" ht="13" x14ac:dyDescent="0.15">
      <c r="A37" s="156" t="s">
        <v>258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</row>
    <row r="38" spans="1:137" ht="13" x14ac:dyDescent="0.15">
      <c r="A38" s="156" t="s">
        <v>179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1</v>
      </c>
      <c r="DQ38">
        <v>1</v>
      </c>
      <c r="DR38">
        <v>1</v>
      </c>
      <c r="DS38">
        <v>1</v>
      </c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</row>
    <row r="39" spans="1:137" ht="13" x14ac:dyDescent="0.15">
      <c r="A39" s="156" t="s">
        <v>259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1</v>
      </c>
      <c r="DR39">
        <v>1</v>
      </c>
      <c r="DS39">
        <v>1</v>
      </c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</row>
    <row r="40" spans="1:137" ht="13" x14ac:dyDescent="0.15">
      <c r="A40" s="156" t="s">
        <v>260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</row>
    <row r="41" spans="1:137" ht="13" x14ac:dyDescent="0.15">
      <c r="A41" s="156" t="s">
        <v>261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CY41">
        <v>1</v>
      </c>
      <c r="CZ41">
        <v>1</v>
      </c>
      <c r="DA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N41">
        <v>1</v>
      </c>
      <c r="DO41">
        <v>1</v>
      </c>
      <c r="DP41">
        <v>1</v>
      </c>
      <c r="DQ41">
        <v>1</v>
      </c>
      <c r="DR41">
        <v>1</v>
      </c>
      <c r="DS41">
        <v>1</v>
      </c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</row>
    <row r="42" spans="1:137" ht="13" x14ac:dyDescent="0.15">
      <c r="A42" s="156" t="s">
        <v>262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N42">
        <v>1</v>
      </c>
      <c r="DO42">
        <v>1</v>
      </c>
      <c r="DP42">
        <v>1</v>
      </c>
      <c r="DQ42">
        <v>1</v>
      </c>
      <c r="DR42">
        <v>1</v>
      </c>
      <c r="DS42">
        <v>1</v>
      </c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</row>
    <row r="43" spans="1:137" ht="13" x14ac:dyDescent="0.15">
      <c r="A43" s="156" t="s">
        <v>263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J43">
        <v>1</v>
      </c>
      <c r="CK43">
        <v>1</v>
      </c>
      <c r="CL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CY43">
        <v>1</v>
      </c>
      <c r="CZ43">
        <v>1</v>
      </c>
      <c r="DA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N43">
        <v>1</v>
      </c>
      <c r="DO43">
        <v>1</v>
      </c>
      <c r="DP43">
        <v>1</v>
      </c>
      <c r="DQ43">
        <v>1</v>
      </c>
      <c r="DR43">
        <v>1</v>
      </c>
      <c r="DS43">
        <v>1</v>
      </c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</row>
    <row r="44" spans="1:137" ht="13" x14ac:dyDescent="0.15">
      <c r="A44" s="156" t="s">
        <v>264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N44">
        <v>1</v>
      </c>
      <c r="DO44">
        <v>1</v>
      </c>
      <c r="DP44">
        <v>1</v>
      </c>
      <c r="DQ44">
        <v>1</v>
      </c>
      <c r="DR44">
        <v>1</v>
      </c>
      <c r="DS44">
        <v>1</v>
      </c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</row>
    <row r="45" spans="1:137" ht="13" x14ac:dyDescent="0.15">
      <c r="A45" s="156" t="s">
        <v>265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N45">
        <v>1</v>
      </c>
      <c r="DO45">
        <v>1</v>
      </c>
      <c r="DP45">
        <v>1</v>
      </c>
      <c r="DQ45">
        <v>1</v>
      </c>
      <c r="DR45">
        <v>1</v>
      </c>
      <c r="DS45">
        <v>1</v>
      </c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</row>
    <row r="46" spans="1:137" ht="13" x14ac:dyDescent="0.15">
      <c r="A46" s="156" t="s">
        <v>266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</row>
    <row r="47" spans="1:137" ht="13" x14ac:dyDescent="0.15">
      <c r="A47" s="156" t="s">
        <v>267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1</v>
      </c>
      <c r="DO47">
        <v>1</v>
      </c>
      <c r="DP47">
        <v>1</v>
      </c>
      <c r="DQ47">
        <v>1</v>
      </c>
      <c r="DR47">
        <v>1</v>
      </c>
      <c r="DS47">
        <v>1</v>
      </c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</row>
    <row r="48" spans="1:137" ht="13" x14ac:dyDescent="0.15">
      <c r="A48" s="156" t="s">
        <v>268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N48">
        <v>1</v>
      </c>
      <c r="DO48">
        <v>1</v>
      </c>
      <c r="DP48">
        <v>1</v>
      </c>
      <c r="DQ48">
        <v>1</v>
      </c>
      <c r="DR48">
        <v>1</v>
      </c>
      <c r="DS48">
        <v>1</v>
      </c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</row>
    <row r="49" spans="1:137" ht="13" x14ac:dyDescent="0.15">
      <c r="A49" s="156" t="s">
        <v>269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N49">
        <v>1</v>
      </c>
      <c r="DO49">
        <v>1</v>
      </c>
      <c r="DP49">
        <v>1</v>
      </c>
      <c r="DQ49">
        <v>1</v>
      </c>
      <c r="DR49">
        <v>1</v>
      </c>
      <c r="DS49">
        <v>1</v>
      </c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</row>
    <row r="50" spans="1:137" ht="13" x14ac:dyDescent="0.15">
      <c r="A50" s="156" t="s">
        <v>270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N50">
        <v>1</v>
      </c>
      <c r="DO50">
        <v>1</v>
      </c>
      <c r="DP50">
        <v>1</v>
      </c>
      <c r="DQ50">
        <v>1</v>
      </c>
      <c r="DR50">
        <v>1</v>
      </c>
      <c r="DS50">
        <v>1</v>
      </c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</row>
    <row r="51" spans="1:137" ht="13" x14ac:dyDescent="0.15">
      <c r="A51" s="156" t="s">
        <v>271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CY51">
        <v>1</v>
      </c>
      <c r="CZ51">
        <v>1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N51">
        <v>1</v>
      </c>
      <c r="DO51">
        <v>1</v>
      </c>
      <c r="DP51">
        <v>1</v>
      </c>
      <c r="DQ51">
        <v>1</v>
      </c>
      <c r="DR51">
        <v>1</v>
      </c>
      <c r="DS51">
        <v>1</v>
      </c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</row>
    <row r="52" spans="1:137" ht="13" x14ac:dyDescent="0.15">
      <c r="A52" s="156" t="s">
        <v>272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N52">
        <v>1</v>
      </c>
      <c r="DO52">
        <v>1</v>
      </c>
      <c r="DP52">
        <v>1</v>
      </c>
      <c r="DQ52">
        <v>1</v>
      </c>
      <c r="DR52">
        <v>1</v>
      </c>
      <c r="DS52">
        <v>1</v>
      </c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</row>
    <row r="53" spans="1:137" ht="13" x14ac:dyDescent="0.15">
      <c r="A53" s="156" t="s">
        <v>273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N53">
        <v>1</v>
      </c>
      <c r="DO53">
        <v>1</v>
      </c>
      <c r="DP53">
        <v>1</v>
      </c>
      <c r="DQ53">
        <v>1</v>
      </c>
      <c r="DR53">
        <v>1</v>
      </c>
      <c r="DS53">
        <v>1</v>
      </c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</row>
    <row r="54" spans="1:137" ht="13" x14ac:dyDescent="0.15">
      <c r="A54" s="156" t="s">
        <v>274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N54">
        <v>1</v>
      </c>
      <c r="DO54">
        <v>1</v>
      </c>
      <c r="DP54">
        <v>1</v>
      </c>
      <c r="DQ54">
        <v>1</v>
      </c>
      <c r="DR54">
        <v>1</v>
      </c>
      <c r="DS54">
        <v>1</v>
      </c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</row>
    <row r="55" spans="1:137" ht="13" x14ac:dyDescent="0.15">
      <c r="A55" s="156" t="s">
        <v>275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</row>
    <row r="56" spans="1:137" ht="13" x14ac:dyDescent="0.15">
      <c r="A56" s="156" t="s">
        <v>276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N56">
        <v>1</v>
      </c>
      <c r="DO56">
        <v>1</v>
      </c>
      <c r="DP56">
        <v>1</v>
      </c>
      <c r="DQ56">
        <v>1</v>
      </c>
      <c r="DR56">
        <v>1</v>
      </c>
      <c r="DS56">
        <v>1</v>
      </c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</row>
    <row r="57" spans="1:137" ht="13" x14ac:dyDescent="0.15">
      <c r="A57" s="156" t="s">
        <v>277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N57">
        <v>1</v>
      </c>
      <c r="DO57">
        <v>1</v>
      </c>
      <c r="DP57">
        <v>1</v>
      </c>
      <c r="DQ57">
        <v>1</v>
      </c>
      <c r="DR57">
        <v>1</v>
      </c>
      <c r="DS57">
        <v>1</v>
      </c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</row>
    <row r="58" spans="1:137" ht="13" x14ac:dyDescent="0.15">
      <c r="A58" s="156" t="s">
        <v>278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N58">
        <v>1</v>
      </c>
      <c r="DO58">
        <v>1</v>
      </c>
      <c r="DP58">
        <v>1</v>
      </c>
      <c r="DQ58">
        <v>1</v>
      </c>
      <c r="DR58">
        <v>1</v>
      </c>
      <c r="DS58">
        <v>1</v>
      </c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</row>
    <row r="59" spans="1:137" ht="13" x14ac:dyDescent="0.15">
      <c r="A59" s="156" t="s">
        <v>279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N59">
        <v>1</v>
      </c>
      <c r="DO59">
        <v>1</v>
      </c>
      <c r="DP59">
        <v>1</v>
      </c>
      <c r="DQ59">
        <v>1</v>
      </c>
      <c r="DR59">
        <v>1</v>
      </c>
      <c r="DS59">
        <v>1</v>
      </c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</row>
    <row r="60" spans="1:137" ht="13" x14ac:dyDescent="0.15">
      <c r="A60" s="156" t="s">
        <v>280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N60">
        <v>1</v>
      </c>
      <c r="DO60">
        <v>1</v>
      </c>
      <c r="DP60">
        <v>1</v>
      </c>
      <c r="DQ60">
        <v>1</v>
      </c>
      <c r="DR60">
        <v>1</v>
      </c>
      <c r="DS60">
        <v>1</v>
      </c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</row>
    <row r="61" spans="1:137" ht="13" x14ac:dyDescent="0.15">
      <c r="A61" s="156" t="s">
        <v>281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N61">
        <v>1</v>
      </c>
      <c r="DO61">
        <v>1</v>
      </c>
      <c r="DP61">
        <v>1</v>
      </c>
      <c r="DQ61">
        <v>1</v>
      </c>
      <c r="DR61">
        <v>1</v>
      </c>
      <c r="DS61">
        <v>1</v>
      </c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</row>
    <row r="62" spans="1:137" ht="13" x14ac:dyDescent="0.15">
      <c r="A62" s="156" t="s">
        <v>282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N62">
        <v>1</v>
      </c>
      <c r="DO62">
        <v>1</v>
      </c>
      <c r="DP62">
        <v>1</v>
      </c>
      <c r="DQ62">
        <v>1</v>
      </c>
      <c r="DR62">
        <v>1</v>
      </c>
      <c r="DS62">
        <v>1</v>
      </c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</row>
    <row r="63" spans="1:137" ht="13" x14ac:dyDescent="0.15">
      <c r="A63" s="156" t="s">
        <v>283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J63">
        <v>1</v>
      </c>
      <c r="CK63">
        <v>1</v>
      </c>
      <c r="CL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1</v>
      </c>
      <c r="DA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N63">
        <v>1</v>
      </c>
      <c r="DO63">
        <v>1</v>
      </c>
      <c r="DP63">
        <v>1</v>
      </c>
      <c r="DQ63">
        <v>1</v>
      </c>
      <c r="DR63">
        <v>1</v>
      </c>
      <c r="DS63">
        <v>1</v>
      </c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</row>
    <row r="64" spans="1:137" ht="13" x14ac:dyDescent="0.15">
      <c r="A64" s="156" t="s">
        <v>284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  <c r="CJ64">
        <v>1</v>
      </c>
      <c r="CK64">
        <v>1</v>
      </c>
      <c r="CL64">
        <v>1</v>
      </c>
      <c r="CM64">
        <v>1</v>
      </c>
      <c r="CN64">
        <v>1</v>
      </c>
      <c r="CO64">
        <v>1</v>
      </c>
      <c r="CP64">
        <v>1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CY64">
        <v>1</v>
      </c>
      <c r="CZ64">
        <v>1</v>
      </c>
      <c r="DA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N64">
        <v>1</v>
      </c>
      <c r="DO64">
        <v>1</v>
      </c>
      <c r="DP64">
        <v>1</v>
      </c>
      <c r="DQ64">
        <v>1</v>
      </c>
      <c r="DR64">
        <v>1</v>
      </c>
      <c r="DS64">
        <v>1</v>
      </c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</row>
    <row r="65" spans="1:137" ht="13" x14ac:dyDescent="0.15">
      <c r="A65" s="156" t="s">
        <v>285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  <c r="CJ65">
        <v>1</v>
      </c>
      <c r="CK65">
        <v>1</v>
      </c>
      <c r="CL65">
        <v>1</v>
      </c>
      <c r="CM65">
        <v>1</v>
      </c>
      <c r="CN65">
        <v>1</v>
      </c>
      <c r="CO65">
        <v>1</v>
      </c>
      <c r="CP65">
        <v>1</v>
      </c>
      <c r="CQ65">
        <v>1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CY65">
        <v>1</v>
      </c>
      <c r="CZ65">
        <v>1</v>
      </c>
      <c r="DA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N65">
        <v>1</v>
      </c>
      <c r="DO65">
        <v>1</v>
      </c>
      <c r="DP65">
        <v>1</v>
      </c>
      <c r="DQ65">
        <v>1</v>
      </c>
      <c r="DR65">
        <v>1</v>
      </c>
      <c r="DS65">
        <v>1</v>
      </c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</row>
    <row r="66" spans="1:137" ht="13" x14ac:dyDescent="0.15">
      <c r="A66" s="156" t="s">
        <v>286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CY66">
        <v>1</v>
      </c>
      <c r="CZ66">
        <v>1</v>
      </c>
      <c r="DA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N66">
        <v>1</v>
      </c>
      <c r="DO66">
        <v>1</v>
      </c>
      <c r="DP66">
        <v>1</v>
      </c>
      <c r="DQ66">
        <v>1</v>
      </c>
      <c r="DR66">
        <v>1</v>
      </c>
      <c r="DS66">
        <v>1</v>
      </c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</row>
    <row r="67" spans="1:137" ht="13" x14ac:dyDescent="0.15">
      <c r="A67" s="156" t="s">
        <v>287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1</v>
      </c>
      <c r="DA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N67">
        <v>1</v>
      </c>
      <c r="DO67">
        <v>1</v>
      </c>
      <c r="DP67">
        <v>1</v>
      </c>
      <c r="DQ67">
        <v>1</v>
      </c>
      <c r="DR67">
        <v>1</v>
      </c>
      <c r="DS67">
        <v>1</v>
      </c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</row>
    <row r="68" spans="1:137" ht="13" x14ac:dyDescent="0.15">
      <c r="A68" s="156" t="s">
        <v>288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  <c r="CY68">
        <v>1</v>
      </c>
      <c r="CZ68">
        <v>1</v>
      </c>
      <c r="DA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N68">
        <v>1</v>
      </c>
      <c r="DO68">
        <v>1</v>
      </c>
      <c r="DP68">
        <v>1</v>
      </c>
      <c r="DQ68">
        <v>1</v>
      </c>
      <c r="DR68">
        <v>1</v>
      </c>
      <c r="DS68">
        <v>1</v>
      </c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</row>
    <row r="69" spans="1:137" ht="13" x14ac:dyDescent="0.15">
      <c r="A69" s="156" t="s">
        <v>289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  <c r="CY69">
        <v>1</v>
      </c>
      <c r="CZ69">
        <v>1</v>
      </c>
      <c r="DA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N69">
        <v>1</v>
      </c>
      <c r="DO69">
        <v>1</v>
      </c>
      <c r="DP69">
        <v>1</v>
      </c>
      <c r="DQ69">
        <v>1</v>
      </c>
      <c r="DR69">
        <v>1</v>
      </c>
      <c r="DS69">
        <v>1</v>
      </c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</row>
    <row r="70" spans="1:137" ht="13" x14ac:dyDescent="0.15">
      <c r="A70" s="156" t="s">
        <v>290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J70">
        <v>1</v>
      </c>
      <c r="CK70">
        <v>1</v>
      </c>
      <c r="CL70">
        <v>1</v>
      </c>
      <c r="CM70">
        <v>1</v>
      </c>
      <c r="CN70">
        <v>1</v>
      </c>
      <c r="CO70">
        <v>1</v>
      </c>
      <c r="CP70">
        <v>1</v>
      </c>
      <c r="CQ70">
        <v>1</v>
      </c>
      <c r="CR70">
        <v>1</v>
      </c>
      <c r="CS70">
        <v>1</v>
      </c>
      <c r="CT70">
        <v>1</v>
      </c>
      <c r="CU70">
        <v>1</v>
      </c>
      <c r="CV70">
        <v>1</v>
      </c>
      <c r="CW70">
        <v>1</v>
      </c>
      <c r="CX70">
        <v>1</v>
      </c>
      <c r="CY70">
        <v>1</v>
      </c>
      <c r="CZ70">
        <v>1</v>
      </c>
      <c r="DA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N70">
        <v>1</v>
      </c>
      <c r="DO70">
        <v>1</v>
      </c>
      <c r="DP70">
        <v>1</v>
      </c>
      <c r="DQ70">
        <v>1</v>
      </c>
      <c r="DR70">
        <v>1</v>
      </c>
      <c r="DS70">
        <v>1</v>
      </c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</row>
    <row r="71" spans="1:137" ht="13" x14ac:dyDescent="0.15">
      <c r="A71" s="156" t="s">
        <v>291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>
        <v>1</v>
      </c>
      <c r="CV71">
        <v>1</v>
      </c>
      <c r="CW71">
        <v>1</v>
      </c>
      <c r="CX71">
        <v>1</v>
      </c>
      <c r="CY71">
        <v>1</v>
      </c>
      <c r="CZ71">
        <v>1</v>
      </c>
      <c r="DA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N71">
        <v>1</v>
      </c>
      <c r="DO71">
        <v>1</v>
      </c>
      <c r="DP71">
        <v>1</v>
      </c>
      <c r="DQ71">
        <v>1</v>
      </c>
      <c r="DR71">
        <v>1</v>
      </c>
      <c r="DS71">
        <v>1</v>
      </c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</row>
    <row r="72" spans="1:137" ht="13" x14ac:dyDescent="0.15">
      <c r="A72" s="156" t="s">
        <v>180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  <c r="CJ72">
        <v>1</v>
      </c>
      <c r="CK72">
        <v>1</v>
      </c>
      <c r="CL72">
        <v>1</v>
      </c>
      <c r="CM72">
        <v>1</v>
      </c>
      <c r="CN72">
        <v>1</v>
      </c>
      <c r="CO72">
        <v>1</v>
      </c>
      <c r="CP72">
        <v>1</v>
      </c>
      <c r="CQ72">
        <v>1</v>
      </c>
      <c r="CR72">
        <v>1</v>
      </c>
      <c r="CS72">
        <v>1</v>
      </c>
      <c r="CT72">
        <v>1</v>
      </c>
      <c r="CU72">
        <v>1</v>
      </c>
      <c r="CV72">
        <v>1</v>
      </c>
      <c r="CW72">
        <v>1</v>
      </c>
      <c r="CX72">
        <v>1</v>
      </c>
      <c r="CY72">
        <v>1</v>
      </c>
      <c r="CZ72">
        <v>1</v>
      </c>
      <c r="DA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N72">
        <v>1</v>
      </c>
      <c r="DO72">
        <v>1</v>
      </c>
      <c r="DP72">
        <v>1</v>
      </c>
      <c r="DQ72">
        <v>1</v>
      </c>
      <c r="DR72">
        <v>1</v>
      </c>
      <c r="DS72">
        <v>1</v>
      </c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</row>
    <row r="73" spans="1:137" ht="13" x14ac:dyDescent="0.15">
      <c r="A73" s="156" t="s">
        <v>292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J73">
        <v>1</v>
      </c>
      <c r="CK73">
        <v>1</v>
      </c>
      <c r="CL73">
        <v>1</v>
      </c>
      <c r="CM73">
        <v>1</v>
      </c>
      <c r="CN73">
        <v>1</v>
      </c>
      <c r="CO73">
        <v>1</v>
      </c>
      <c r="CP73">
        <v>1</v>
      </c>
      <c r="CQ73">
        <v>1</v>
      </c>
      <c r="CR73">
        <v>1</v>
      </c>
      <c r="CS73">
        <v>1</v>
      </c>
      <c r="CT73">
        <v>1</v>
      </c>
      <c r="CU73">
        <v>1</v>
      </c>
      <c r="CV73">
        <v>1</v>
      </c>
      <c r="CW73">
        <v>1</v>
      </c>
      <c r="CX73">
        <v>1</v>
      </c>
      <c r="CY73">
        <v>1</v>
      </c>
      <c r="CZ73">
        <v>1</v>
      </c>
      <c r="DA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N73">
        <v>1</v>
      </c>
      <c r="DO73">
        <v>1</v>
      </c>
      <c r="DP73">
        <v>1</v>
      </c>
      <c r="DQ73">
        <v>1</v>
      </c>
      <c r="DR73">
        <v>1</v>
      </c>
      <c r="DS73">
        <v>1</v>
      </c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</row>
    <row r="74" spans="1:137" ht="13" x14ac:dyDescent="0.15">
      <c r="A74" s="156" t="s">
        <v>293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J74">
        <v>1</v>
      </c>
      <c r="CK74">
        <v>1</v>
      </c>
      <c r="CL74">
        <v>1</v>
      </c>
      <c r="CM74">
        <v>1</v>
      </c>
      <c r="CN74">
        <v>1</v>
      </c>
      <c r="CO74">
        <v>1</v>
      </c>
      <c r="CP74">
        <v>1</v>
      </c>
      <c r="CQ74">
        <v>1</v>
      </c>
      <c r="CR74">
        <v>1</v>
      </c>
      <c r="CS74">
        <v>1</v>
      </c>
      <c r="CT74">
        <v>1</v>
      </c>
      <c r="CU74">
        <v>1</v>
      </c>
      <c r="CV74">
        <v>1</v>
      </c>
      <c r="CW74">
        <v>1</v>
      </c>
      <c r="CX74">
        <v>1</v>
      </c>
      <c r="CY74">
        <v>1</v>
      </c>
      <c r="CZ74">
        <v>1</v>
      </c>
      <c r="DA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N74">
        <v>1</v>
      </c>
      <c r="DO74">
        <v>1</v>
      </c>
      <c r="DP74">
        <v>1</v>
      </c>
      <c r="DQ74">
        <v>1</v>
      </c>
      <c r="DR74">
        <v>1</v>
      </c>
      <c r="DS74">
        <v>1</v>
      </c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</row>
    <row r="75" spans="1:137" ht="13" x14ac:dyDescent="0.15">
      <c r="A75" s="156" t="s">
        <v>294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  <c r="CJ75">
        <v>1</v>
      </c>
      <c r="CK75">
        <v>1</v>
      </c>
      <c r="CL75">
        <v>1</v>
      </c>
      <c r="CM75">
        <v>1</v>
      </c>
      <c r="CN75">
        <v>1</v>
      </c>
      <c r="CO75">
        <v>1</v>
      </c>
      <c r="CP75">
        <v>1</v>
      </c>
      <c r="CQ75">
        <v>1</v>
      </c>
      <c r="CR75">
        <v>1</v>
      </c>
      <c r="CS75">
        <v>1</v>
      </c>
      <c r="CT75">
        <v>1</v>
      </c>
      <c r="CU75">
        <v>1</v>
      </c>
      <c r="CV75">
        <v>1</v>
      </c>
      <c r="CW75">
        <v>1</v>
      </c>
      <c r="CX75">
        <v>1</v>
      </c>
      <c r="CY75">
        <v>1</v>
      </c>
      <c r="CZ75">
        <v>1</v>
      </c>
      <c r="DA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N75">
        <v>1</v>
      </c>
      <c r="DO75">
        <v>1</v>
      </c>
      <c r="DP75">
        <v>1</v>
      </c>
      <c r="DQ75">
        <v>1</v>
      </c>
      <c r="DR75">
        <v>1</v>
      </c>
      <c r="DS75">
        <v>1</v>
      </c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</row>
    <row r="76" spans="1:137" ht="13" x14ac:dyDescent="0.15">
      <c r="A76" s="156" t="s">
        <v>295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  <c r="CJ76">
        <v>1</v>
      </c>
      <c r="CK76">
        <v>1</v>
      </c>
      <c r="CL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1</v>
      </c>
      <c r="CT76">
        <v>1</v>
      </c>
      <c r="CU76">
        <v>1</v>
      </c>
      <c r="CV76">
        <v>1</v>
      </c>
      <c r="CW76">
        <v>1</v>
      </c>
      <c r="CX76">
        <v>1</v>
      </c>
      <c r="CY76">
        <v>1</v>
      </c>
      <c r="CZ76">
        <v>1</v>
      </c>
      <c r="DA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N76">
        <v>1</v>
      </c>
      <c r="DO76">
        <v>1</v>
      </c>
      <c r="DP76">
        <v>1</v>
      </c>
      <c r="DQ76">
        <v>1</v>
      </c>
      <c r="DR76">
        <v>1</v>
      </c>
      <c r="DS76">
        <v>1</v>
      </c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</row>
    <row r="77" spans="1:137" ht="13" x14ac:dyDescent="0.15">
      <c r="A77" s="156" t="s">
        <v>296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J77">
        <v>1</v>
      </c>
      <c r="CK77">
        <v>1</v>
      </c>
      <c r="CL77">
        <v>1</v>
      </c>
      <c r="CM77">
        <v>1</v>
      </c>
      <c r="CN77">
        <v>1</v>
      </c>
      <c r="CO77">
        <v>1</v>
      </c>
      <c r="CP77">
        <v>1</v>
      </c>
      <c r="CQ77">
        <v>1</v>
      </c>
      <c r="CR77">
        <v>1</v>
      </c>
      <c r="CS77">
        <v>1</v>
      </c>
      <c r="CT77">
        <v>1</v>
      </c>
      <c r="CU77">
        <v>1</v>
      </c>
      <c r="CV77">
        <v>1</v>
      </c>
      <c r="CW77">
        <v>1</v>
      </c>
      <c r="CX77">
        <v>1</v>
      </c>
      <c r="CY77">
        <v>1</v>
      </c>
      <c r="CZ77">
        <v>1</v>
      </c>
      <c r="DA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N77">
        <v>1</v>
      </c>
      <c r="DO77">
        <v>1</v>
      </c>
      <c r="DP77">
        <v>1</v>
      </c>
      <c r="DQ77">
        <v>1</v>
      </c>
      <c r="DR77">
        <v>1</v>
      </c>
      <c r="DS77">
        <v>1</v>
      </c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</row>
    <row r="78" spans="1:137" ht="13" x14ac:dyDescent="0.15">
      <c r="A78" s="156" t="s">
        <v>297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J78">
        <v>1</v>
      </c>
      <c r="CK78">
        <v>1</v>
      </c>
      <c r="CL78">
        <v>1</v>
      </c>
      <c r="CM78">
        <v>1</v>
      </c>
      <c r="CN78">
        <v>1</v>
      </c>
      <c r="CO78">
        <v>1</v>
      </c>
      <c r="CP78">
        <v>1</v>
      </c>
      <c r="CQ78">
        <v>1</v>
      </c>
      <c r="CR78">
        <v>1</v>
      </c>
      <c r="CS78">
        <v>1</v>
      </c>
      <c r="CT78">
        <v>1</v>
      </c>
      <c r="CU78">
        <v>1</v>
      </c>
      <c r="CV78">
        <v>1</v>
      </c>
      <c r="CW78">
        <v>1</v>
      </c>
      <c r="CX78">
        <v>1</v>
      </c>
      <c r="CY78">
        <v>1</v>
      </c>
      <c r="CZ78">
        <v>1</v>
      </c>
      <c r="DA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1</v>
      </c>
      <c r="DN78">
        <v>1</v>
      </c>
      <c r="DO78">
        <v>1</v>
      </c>
      <c r="DP78">
        <v>1</v>
      </c>
      <c r="DQ78">
        <v>1</v>
      </c>
      <c r="DR78">
        <v>1</v>
      </c>
      <c r="DS78">
        <v>1</v>
      </c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</row>
    <row r="79" spans="1:137" ht="13" x14ac:dyDescent="0.15">
      <c r="A79" s="156" t="s">
        <v>298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J79">
        <v>1</v>
      </c>
      <c r="CK79">
        <v>1</v>
      </c>
      <c r="CL79">
        <v>1</v>
      </c>
      <c r="CM79">
        <v>1</v>
      </c>
      <c r="CN79">
        <v>1</v>
      </c>
      <c r="CO79">
        <v>1</v>
      </c>
      <c r="CP79">
        <v>1</v>
      </c>
      <c r="CQ79">
        <v>1</v>
      </c>
      <c r="CR79">
        <v>1</v>
      </c>
      <c r="CS79">
        <v>1</v>
      </c>
      <c r="CT79">
        <v>1</v>
      </c>
      <c r="CU79">
        <v>1</v>
      </c>
      <c r="CV79">
        <v>1</v>
      </c>
      <c r="CW79">
        <v>1</v>
      </c>
      <c r="CX79">
        <v>1</v>
      </c>
      <c r="CY79">
        <v>1</v>
      </c>
      <c r="CZ79">
        <v>1</v>
      </c>
      <c r="DA79">
        <v>1</v>
      </c>
      <c r="DB79">
        <v>1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1</v>
      </c>
      <c r="DL79">
        <v>1</v>
      </c>
      <c r="DM79">
        <v>1</v>
      </c>
      <c r="DN79">
        <v>1</v>
      </c>
      <c r="DO79">
        <v>1</v>
      </c>
      <c r="DP79">
        <v>1</v>
      </c>
      <c r="DQ79">
        <v>1</v>
      </c>
      <c r="DR79">
        <v>1</v>
      </c>
      <c r="DS79">
        <v>1</v>
      </c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</row>
    <row r="80" spans="1:137" ht="13" x14ac:dyDescent="0.15">
      <c r="A80" s="156" t="s">
        <v>299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  <c r="CY80">
        <v>1</v>
      </c>
      <c r="CZ80">
        <v>1</v>
      </c>
      <c r="DA80">
        <v>1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1</v>
      </c>
      <c r="DM80">
        <v>1</v>
      </c>
      <c r="DN80">
        <v>1</v>
      </c>
      <c r="DO80">
        <v>1</v>
      </c>
      <c r="DP80">
        <v>1</v>
      </c>
      <c r="DQ80">
        <v>1</v>
      </c>
      <c r="DR80">
        <v>1</v>
      </c>
      <c r="DS80">
        <v>1</v>
      </c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</row>
    <row r="81" spans="1:137" ht="13" x14ac:dyDescent="0.15">
      <c r="A81" s="156" t="s">
        <v>300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J81">
        <v>1</v>
      </c>
      <c r="CK81">
        <v>1</v>
      </c>
      <c r="CL81">
        <v>1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1</v>
      </c>
      <c r="CS81">
        <v>1</v>
      </c>
      <c r="CT81">
        <v>1</v>
      </c>
      <c r="CU81">
        <v>1</v>
      </c>
      <c r="CV81">
        <v>1</v>
      </c>
      <c r="CW81">
        <v>1</v>
      </c>
      <c r="CX81">
        <v>1</v>
      </c>
      <c r="CY81">
        <v>1</v>
      </c>
      <c r="CZ81">
        <v>1</v>
      </c>
      <c r="DA81">
        <v>1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1</v>
      </c>
      <c r="DM81">
        <v>1</v>
      </c>
      <c r="DN81">
        <v>1</v>
      </c>
      <c r="DO81">
        <v>1</v>
      </c>
      <c r="DP81">
        <v>1</v>
      </c>
      <c r="DQ81">
        <v>1</v>
      </c>
      <c r="DR81">
        <v>1</v>
      </c>
      <c r="DS81">
        <v>1</v>
      </c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</row>
    <row r="82" spans="1:137" ht="13" x14ac:dyDescent="0.15">
      <c r="A82" s="156" t="s">
        <v>301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J82">
        <v>1</v>
      </c>
      <c r="CK82">
        <v>1</v>
      </c>
      <c r="CL82">
        <v>1</v>
      </c>
      <c r="CM82">
        <v>1</v>
      </c>
      <c r="CN82">
        <v>1</v>
      </c>
      <c r="CO82">
        <v>1</v>
      </c>
      <c r="CP82">
        <v>1</v>
      </c>
      <c r="CQ82">
        <v>1</v>
      </c>
      <c r="CR82">
        <v>1</v>
      </c>
      <c r="CS82">
        <v>1</v>
      </c>
      <c r="CT82">
        <v>1</v>
      </c>
      <c r="CU82">
        <v>1</v>
      </c>
      <c r="CV82">
        <v>1</v>
      </c>
      <c r="CW82">
        <v>1</v>
      </c>
      <c r="CX82">
        <v>1</v>
      </c>
      <c r="CY82">
        <v>1</v>
      </c>
      <c r="CZ82">
        <v>1</v>
      </c>
      <c r="DA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1</v>
      </c>
      <c r="DM82">
        <v>1</v>
      </c>
      <c r="DN82">
        <v>1</v>
      </c>
      <c r="DO82">
        <v>1</v>
      </c>
      <c r="DP82">
        <v>1</v>
      </c>
      <c r="DQ82">
        <v>1</v>
      </c>
      <c r="DR82">
        <v>1</v>
      </c>
      <c r="DS82">
        <v>1</v>
      </c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</row>
    <row r="83" spans="1:137" ht="13" x14ac:dyDescent="0.15">
      <c r="A83" s="156" t="s">
        <v>302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CY83">
        <v>1</v>
      </c>
      <c r="CZ83">
        <v>1</v>
      </c>
      <c r="DA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1</v>
      </c>
      <c r="DK83">
        <v>1</v>
      </c>
      <c r="DL83">
        <v>1</v>
      </c>
      <c r="DM83">
        <v>1</v>
      </c>
      <c r="DN83">
        <v>1</v>
      </c>
      <c r="DO83">
        <v>1</v>
      </c>
      <c r="DP83">
        <v>1</v>
      </c>
      <c r="DQ83">
        <v>1</v>
      </c>
      <c r="DR83">
        <v>1</v>
      </c>
      <c r="DS83">
        <v>1</v>
      </c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</row>
    <row r="84" spans="1:137" ht="13" x14ac:dyDescent="0.15">
      <c r="A84" s="156" t="s">
        <v>303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J84">
        <v>1</v>
      </c>
      <c r="CK84">
        <v>1</v>
      </c>
      <c r="CL84">
        <v>1</v>
      </c>
      <c r="CM84">
        <v>1</v>
      </c>
      <c r="CN84">
        <v>1</v>
      </c>
      <c r="CO84">
        <v>1</v>
      </c>
      <c r="CP84">
        <v>1</v>
      </c>
      <c r="CQ84">
        <v>1</v>
      </c>
      <c r="CR84">
        <v>1</v>
      </c>
      <c r="CS84">
        <v>1</v>
      </c>
      <c r="CT84">
        <v>1</v>
      </c>
      <c r="CU84">
        <v>1</v>
      </c>
      <c r="CV84">
        <v>1</v>
      </c>
      <c r="CW84">
        <v>1</v>
      </c>
      <c r="CX84">
        <v>1</v>
      </c>
      <c r="CY84">
        <v>1</v>
      </c>
      <c r="CZ84">
        <v>1</v>
      </c>
      <c r="DA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1</v>
      </c>
      <c r="DK84">
        <v>1</v>
      </c>
      <c r="DL84">
        <v>1</v>
      </c>
      <c r="DM84">
        <v>1</v>
      </c>
      <c r="DN84">
        <v>1</v>
      </c>
      <c r="DO84">
        <v>1</v>
      </c>
      <c r="DP84">
        <v>1</v>
      </c>
      <c r="DQ84">
        <v>1</v>
      </c>
      <c r="DR84">
        <v>1</v>
      </c>
      <c r="DS84">
        <v>1</v>
      </c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</row>
    <row r="85" spans="1:137" ht="13" x14ac:dyDescent="0.15">
      <c r="A85" s="156" t="s">
        <v>304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J85">
        <v>1</v>
      </c>
      <c r="CK85">
        <v>1</v>
      </c>
      <c r="CL85">
        <v>1</v>
      </c>
      <c r="CM85">
        <v>1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CY85">
        <v>1</v>
      </c>
      <c r="CZ85">
        <v>1</v>
      </c>
      <c r="DA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1</v>
      </c>
      <c r="DK85">
        <v>1</v>
      </c>
      <c r="DL85">
        <v>1</v>
      </c>
      <c r="DM85">
        <v>1</v>
      </c>
      <c r="DN85">
        <v>1</v>
      </c>
      <c r="DO85">
        <v>1</v>
      </c>
      <c r="DP85">
        <v>1</v>
      </c>
      <c r="DQ85">
        <v>1</v>
      </c>
      <c r="DR85">
        <v>1</v>
      </c>
      <c r="DS85">
        <v>1</v>
      </c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</row>
    <row r="86" spans="1:137" ht="13" x14ac:dyDescent="0.15">
      <c r="A86" s="156" t="s">
        <v>305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1</v>
      </c>
      <c r="AR86">
        <v>1</v>
      </c>
      <c r="AS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J86">
        <v>1</v>
      </c>
      <c r="CK86">
        <v>1</v>
      </c>
      <c r="CL86">
        <v>1</v>
      </c>
      <c r="CM86">
        <v>1</v>
      </c>
      <c r="CN86">
        <v>1</v>
      </c>
      <c r="CO86">
        <v>1</v>
      </c>
      <c r="CP86">
        <v>1</v>
      </c>
      <c r="CQ86">
        <v>1</v>
      </c>
      <c r="CR86">
        <v>1</v>
      </c>
      <c r="CS86">
        <v>1</v>
      </c>
      <c r="CT86">
        <v>1</v>
      </c>
      <c r="CU86">
        <v>1</v>
      </c>
      <c r="CV86">
        <v>1</v>
      </c>
      <c r="CW86">
        <v>1</v>
      </c>
      <c r="CX86">
        <v>1</v>
      </c>
      <c r="CY86">
        <v>1</v>
      </c>
      <c r="CZ86">
        <v>1</v>
      </c>
      <c r="DA86">
        <v>1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1</v>
      </c>
      <c r="DK86">
        <v>1</v>
      </c>
      <c r="DL86">
        <v>1</v>
      </c>
      <c r="DM86">
        <v>1</v>
      </c>
      <c r="DN86">
        <v>1</v>
      </c>
      <c r="DO86">
        <v>1</v>
      </c>
      <c r="DP86">
        <v>1</v>
      </c>
      <c r="DQ86">
        <v>1</v>
      </c>
      <c r="DR86">
        <v>1</v>
      </c>
      <c r="DS86">
        <v>1</v>
      </c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</row>
    <row r="87" spans="1:137" ht="13" x14ac:dyDescent="0.15">
      <c r="A87" s="156" t="s">
        <v>306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1</v>
      </c>
      <c r="CL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1</v>
      </c>
      <c r="CS87">
        <v>1</v>
      </c>
      <c r="CT87">
        <v>1</v>
      </c>
      <c r="CU87">
        <v>1</v>
      </c>
      <c r="CV87">
        <v>1</v>
      </c>
      <c r="CW87">
        <v>1</v>
      </c>
      <c r="CX87">
        <v>1</v>
      </c>
      <c r="CY87">
        <v>1</v>
      </c>
      <c r="CZ87">
        <v>1</v>
      </c>
      <c r="DA87">
        <v>1</v>
      </c>
      <c r="DB87">
        <v>1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1</v>
      </c>
      <c r="DK87">
        <v>1</v>
      </c>
      <c r="DL87">
        <v>1</v>
      </c>
      <c r="DM87">
        <v>1</v>
      </c>
      <c r="DN87">
        <v>1</v>
      </c>
      <c r="DO87">
        <v>1</v>
      </c>
      <c r="DP87">
        <v>1</v>
      </c>
      <c r="DQ87">
        <v>1</v>
      </c>
      <c r="DR87">
        <v>1</v>
      </c>
      <c r="DS87">
        <v>1</v>
      </c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</row>
    <row r="88" spans="1:137" ht="13" x14ac:dyDescent="0.15">
      <c r="A88" s="156" t="s">
        <v>307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1</v>
      </c>
      <c r="CM88">
        <v>1</v>
      </c>
      <c r="CN88">
        <v>1</v>
      </c>
      <c r="CO88">
        <v>1</v>
      </c>
      <c r="CP88">
        <v>1</v>
      </c>
      <c r="CQ88">
        <v>1</v>
      </c>
      <c r="CR88">
        <v>1</v>
      </c>
      <c r="CS88">
        <v>1</v>
      </c>
      <c r="CT88">
        <v>1</v>
      </c>
      <c r="CU88">
        <v>1</v>
      </c>
      <c r="CV88">
        <v>1</v>
      </c>
      <c r="CW88">
        <v>1</v>
      </c>
      <c r="CX88">
        <v>1</v>
      </c>
      <c r="CY88">
        <v>1</v>
      </c>
      <c r="CZ88">
        <v>1</v>
      </c>
      <c r="DA88">
        <v>1</v>
      </c>
      <c r="DB88">
        <v>1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1</v>
      </c>
      <c r="DL88">
        <v>1</v>
      </c>
      <c r="DM88">
        <v>1</v>
      </c>
      <c r="DN88">
        <v>1</v>
      </c>
      <c r="DO88">
        <v>1</v>
      </c>
      <c r="DP88">
        <v>1</v>
      </c>
      <c r="DQ88">
        <v>1</v>
      </c>
      <c r="DR88">
        <v>1</v>
      </c>
      <c r="DS88">
        <v>1</v>
      </c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</row>
    <row r="89" spans="1:137" ht="13" x14ac:dyDescent="0.15">
      <c r="A89" s="156" t="s">
        <v>308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  <c r="BE89">
        <v>1</v>
      </c>
      <c r="BF89">
        <v>1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1</v>
      </c>
      <c r="BR89">
        <v>1</v>
      </c>
      <c r="BS89">
        <v>1</v>
      </c>
      <c r="BT89">
        <v>1</v>
      </c>
      <c r="BU89">
        <v>1</v>
      </c>
      <c r="BV89">
        <v>1</v>
      </c>
      <c r="BW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1</v>
      </c>
      <c r="CU89">
        <v>1</v>
      </c>
      <c r="CV89">
        <v>1</v>
      </c>
      <c r="CW89">
        <v>1</v>
      </c>
      <c r="CX89">
        <v>1</v>
      </c>
      <c r="CY89">
        <v>1</v>
      </c>
      <c r="CZ89">
        <v>1</v>
      </c>
      <c r="DA89">
        <v>1</v>
      </c>
      <c r="DB89">
        <v>1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1</v>
      </c>
      <c r="DN89">
        <v>1</v>
      </c>
      <c r="DO89">
        <v>1</v>
      </c>
      <c r="DP89">
        <v>1</v>
      </c>
      <c r="DQ89">
        <v>1</v>
      </c>
      <c r="DR89">
        <v>1</v>
      </c>
      <c r="DS89">
        <v>1</v>
      </c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</row>
    <row r="90" spans="1:137" ht="13" x14ac:dyDescent="0.15">
      <c r="A90" s="156" t="s">
        <v>309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Q90">
        <v>1</v>
      </c>
      <c r="AR90">
        <v>1</v>
      </c>
      <c r="AS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1</v>
      </c>
      <c r="BS90">
        <v>1</v>
      </c>
      <c r="BT90">
        <v>1</v>
      </c>
      <c r="BU90">
        <v>1</v>
      </c>
      <c r="BV90">
        <v>1</v>
      </c>
      <c r="BW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1</v>
      </c>
      <c r="CT90">
        <v>1</v>
      </c>
      <c r="CU90">
        <v>1</v>
      </c>
      <c r="CV90">
        <v>1</v>
      </c>
      <c r="CW90">
        <v>1</v>
      </c>
      <c r="CX90">
        <v>1</v>
      </c>
      <c r="CY90">
        <v>1</v>
      </c>
      <c r="CZ90">
        <v>1</v>
      </c>
      <c r="DA90">
        <v>1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1</v>
      </c>
      <c r="DN90">
        <v>1</v>
      </c>
      <c r="DO90">
        <v>1</v>
      </c>
      <c r="DP90">
        <v>1</v>
      </c>
      <c r="DQ90">
        <v>1</v>
      </c>
      <c r="DR90">
        <v>1</v>
      </c>
      <c r="DS90">
        <v>1</v>
      </c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</row>
    <row r="91" spans="1:137" ht="13" x14ac:dyDescent="0.15">
      <c r="A91" s="156" t="s">
        <v>310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F91">
        <v>1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1</v>
      </c>
      <c r="BR91">
        <v>1</v>
      </c>
      <c r="BS91">
        <v>1</v>
      </c>
      <c r="BT91">
        <v>1</v>
      </c>
      <c r="BU91">
        <v>1</v>
      </c>
      <c r="BV91">
        <v>1</v>
      </c>
      <c r="BW91">
        <v>1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J91">
        <v>1</v>
      </c>
      <c r="CK91">
        <v>1</v>
      </c>
      <c r="CL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1</v>
      </c>
      <c r="CT91">
        <v>1</v>
      </c>
      <c r="CU91">
        <v>1</v>
      </c>
      <c r="CV91">
        <v>1</v>
      </c>
      <c r="CW91">
        <v>1</v>
      </c>
      <c r="CX91">
        <v>1</v>
      </c>
      <c r="CY91">
        <v>1</v>
      </c>
      <c r="CZ91">
        <v>1</v>
      </c>
      <c r="DA91">
        <v>1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1</v>
      </c>
      <c r="DK91">
        <v>1</v>
      </c>
      <c r="DL91">
        <v>1</v>
      </c>
      <c r="DM91">
        <v>1</v>
      </c>
      <c r="DN91">
        <v>1</v>
      </c>
      <c r="DO91">
        <v>1</v>
      </c>
      <c r="DP91">
        <v>1</v>
      </c>
      <c r="DQ91">
        <v>1</v>
      </c>
      <c r="DR91">
        <v>1</v>
      </c>
      <c r="DS91">
        <v>1</v>
      </c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</row>
    <row r="92" spans="1:137" ht="13" x14ac:dyDescent="0.15">
      <c r="A92" s="156" t="s">
        <v>311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F92">
        <v>1</v>
      </c>
      <c r="BG92">
        <v>1</v>
      </c>
      <c r="BH92">
        <v>1</v>
      </c>
      <c r="BI92">
        <v>1</v>
      </c>
      <c r="BJ92">
        <v>1</v>
      </c>
      <c r="BK92">
        <v>1</v>
      </c>
      <c r="BL92">
        <v>1</v>
      </c>
      <c r="BM92">
        <v>1</v>
      </c>
      <c r="BN92">
        <v>1</v>
      </c>
      <c r="BO92">
        <v>1</v>
      </c>
      <c r="BP92">
        <v>1</v>
      </c>
      <c r="BQ92">
        <v>1</v>
      </c>
      <c r="BR92">
        <v>1</v>
      </c>
      <c r="BS92">
        <v>1</v>
      </c>
      <c r="BT92">
        <v>1</v>
      </c>
      <c r="BU92">
        <v>1</v>
      </c>
      <c r="BV92">
        <v>1</v>
      </c>
      <c r="BW92">
        <v>1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J92">
        <v>1</v>
      </c>
      <c r="CK92">
        <v>1</v>
      </c>
      <c r="CL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1</v>
      </c>
      <c r="CT92">
        <v>1</v>
      </c>
      <c r="CU92">
        <v>1</v>
      </c>
      <c r="CV92">
        <v>1</v>
      </c>
      <c r="CW92">
        <v>1</v>
      </c>
      <c r="CX92">
        <v>1</v>
      </c>
      <c r="CY92">
        <v>1</v>
      </c>
      <c r="CZ92">
        <v>1</v>
      </c>
      <c r="DA92">
        <v>1</v>
      </c>
      <c r="DB92">
        <v>1</v>
      </c>
      <c r="DC92">
        <v>1</v>
      </c>
      <c r="DD92">
        <v>1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1</v>
      </c>
      <c r="DM92">
        <v>1</v>
      </c>
      <c r="DN92">
        <v>1</v>
      </c>
      <c r="DO92">
        <v>1</v>
      </c>
      <c r="DP92">
        <v>1</v>
      </c>
      <c r="DQ92">
        <v>1</v>
      </c>
      <c r="DR92">
        <v>1</v>
      </c>
      <c r="DS92">
        <v>1</v>
      </c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</row>
    <row r="93" spans="1:137" ht="13" x14ac:dyDescent="0.15">
      <c r="A93" s="156" t="s">
        <v>312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CY93">
        <v>1</v>
      </c>
      <c r="CZ93">
        <v>1</v>
      </c>
      <c r="DA93">
        <v>1</v>
      </c>
      <c r="DB93">
        <v>1</v>
      </c>
      <c r="DC93">
        <v>1</v>
      </c>
      <c r="DD93">
        <v>1</v>
      </c>
      <c r="DE93">
        <v>1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1</v>
      </c>
      <c r="DL93">
        <v>1</v>
      </c>
      <c r="DM93">
        <v>1</v>
      </c>
      <c r="DN93">
        <v>1</v>
      </c>
      <c r="DO93">
        <v>1</v>
      </c>
      <c r="DP93">
        <v>1</v>
      </c>
      <c r="DQ93">
        <v>1</v>
      </c>
      <c r="DR93">
        <v>1</v>
      </c>
      <c r="DS93">
        <v>1</v>
      </c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</row>
    <row r="94" spans="1:137" ht="13" x14ac:dyDescent="0.15">
      <c r="A94" s="156" t="s">
        <v>313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F94">
        <v>1</v>
      </c>
      <c r="BG94">
        <v>1</v>
      </c>
      <c r="BH94">
        <v>1</v>
      </c>
      <c r="BI94">
        <v>1</v>
      </c>
      <c r="BJ94">
        <v>1</v>
      </c>
      <c r="BK94">
        <v>1</v>
      </c>
      <c r="BL94">
        <v>1</v>
      </c>
      <c r="BM94">
        <v>1</v>
      </c>
      <c r="BN94">
        <v>1</v>
      </c>
      <c r="BO94">
        <v>1</v>
      </c>
      <c r="BP94">
        <v>1</v>
      </c>
      <c r="BQ94">
        <v>1</v>
      </c>
      <c r="BR94">
        <v>1</v>
      </c>
      <c r="BS94">
        <v>1</v>
      </c>
      <c r="BT94">
        <v>1</v>
      </c>
      <c r="BU94">
        <v>1</v>
      </c>
      <c r="BV94">
        <v>1</v>
      </c>
      <c r="BW94">
        <v>1</v>
      </c>
      <c r="BX94">
        <v>1</v>
      </c>
      <c r="BY94">
        <v>1</v>
      </c>
      <c r="BZ94">
        <v>1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J94">
        <v>1</v>
      </c>
      <c r="CK94">
        <v>1</v>
      </c>
      <c r="CL94">
        <v>1</v>
      </c>
      <c r="CM94">
        <v>1</v>
      </c>
      <c r="CN94">
        <v>1</v>
      </c>
      <c r="CO94">
        <v>1</v>
      </c>
      <c r="CP94">
        <v>1</v>
      </c>
      <c r="CQ94">
        <v>1</v>
      </c>
      <c r="CR94">
        <v>1</v>
      </c>
      <c r="CS94">
        <v>1</v>
      </c>
      <c r="CT94">
        <v>1</v>
      </c>
      <c r="CU94">
        <v>1</v>
      </c>
      <c r="CV94">
        <v>1</v>
      </c>
      <c r="CW94">
        <v>1</v>
      </c>
      <c r="CX94">
        <v>1</v>
      </c>
      <c r="CY94">
        <v>1</v>
      </c>
      <c r="CZ94">
        <v>1</v>
      </c>
      <c r="DA94">
        <v>1</v>
      </c>
      <c r="DB94">
        <v>1</v>
      </c>
      <c r="DC94">
        <v>1</v>
      </c>
      <c r="DD94">
        <v>1</v>
      </c>
      <c r="DE94">
        <v>1</v>
      </c>
      <c r="DF94">
        <v>1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1</v>
      </c>
      <c r="DM94">
        <v>1</v>
      </c>
      <c r="DN94">
        <v>1</v>
      </c>
      <c r="DO94">
        <v>1</v>
      </c>
      <c r="DP94">
        <v>1</v>
      </c>
      <c r="DQ94">
        <v>1</v>
      </c>
      <c r="DR94">
        <v>1</v>
      </c>
      <c r="DS94">
        <v>1</v>
      </c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</row>
    <row r="95" spans="1:137" ht="13" x14ac:dyDescent="0.15">
      <c r="A95" s="156" t="s">
        <v>314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1</v>
      </c>
      <c r="AQ95">
        <v>1</v>
      </c>
      <c r="AR95">
        <v>1</v>
      </c>
      <c r="AS95">
        <v>1</v>
      </c>
      <c r="AT95">
        <v>1</v>
      </c>
      <c r="AU95">
        <v>1</v>
      </c>
      <c r="AV95">
        <v>1</v>
      </c>
      <c r="AW95">
        <v>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F95">
        <v>1</v>
      </c>
      <c r="BG95">
        <v>1</v>
      </c>
      <c r="BH95">
        <v>1</v>
      </c>
      <c r="BI95">
        <v>1</v>
      </c>
      <c r="BJ95">
        <v>1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1</v>
      </c>
      <c r="BS95">
        <v>1</v>
      </c>
      <c r="BT95">
        <v>1</v>
      </c>
      <c r="BU95">
        <v>1</v>
      </c>
      <c r="BV95">
        <v>1</v>
      </c>
      <c r="BW95">
        <v>1</v>
      </c>
      <c r="BX95">
        <v>1</v>
      </c>
      <c r="BY95">
        <v>1</v>
      </c>
      <c r="BZ95">
        <v>1</v>
      </c>
      <c r="CA95">
        <v>1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J95">
        <v>1</v>
      </c>
      <c r="CK95">
        <v>1</v>
      </c>
      <c r="CL95">
        <v>1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1</v>
      </c>
      <c r="CU95">
        <v>1</v>
      </c>
      <c r="CV95">
        <v>1</v>
      </c>
      <c r="CW95">
        <v>1</v>
      </c>
      <c r="CX95">
        <v>1</v>
      </c>
      <c r="CY95">
        <v>1</v>
      </c>
      <c r="CZ95">
        <v>1</v>
      </c>
      <c r="DA95">
        <v>1</v>
      </c>
      <c r="DB95">
        <v>1</v>
      </c>
      <c r="DC95">
        <v>1</v>
      </c>
      <c r="DD95">
        <v>1</v>
      </c>
      <c r="DE95">
        <v>1</v>
      </c>
      <c r="DF95">
        <v>1</v>
      </c>
      <c r="DG95">
        <v>1</v>
      </c>
      <c r="DH95">
        <v>1</v>
      </c>
      <c r="DI95">
        <v>1</v>
      </c>
      <c r="DJ95">
        <v>1</v>
      </c>
      <c r="DK95">
        <v>1</v>
      </c>
      <c r="DL95">
        <v>1</v>
      </c>
      <c r="DM95">
        <v>1</v>
      </c>
      <c r="DN95">
        <v>1</v>
      </c>
      <c r="DO95">
        <v>1</v>
      </c>
      <c r="DP95">
        <v>1</v>
      </c>
      <c r="DQ95">
        <v>1</v>
      </c>
      <c r="DR95">
        <v>1</v>
      </c>
      <c r="DS95">
        <v>1</v>
      </c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</row>
    <row r="96" spans="1:137" ht="13" x14ac:dyDescent="0.15">
      <c r="A96" s="156" t="s">
        <v>315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  <c r="DB96">
        <v>1</v>
      </c>
      <c r="DC96">
        <v>1</v>
      </c>
      <c r="DD96">
        <v>1</v>
      </c>
      <c r="DE96">
        <v>1</v>
      </c>
      <c r="DF96">
        <v>1</v>
      </c>
      <c r="DG96">
        <v>1</v>
      </c>
      <c r="DH96">
        <v>1</v>
      </c>
      <c r="DI96">
        <v>1</v>
      </c>
      <c r="DJ96">
        <v>1</v>
      </c>
      <c r="DK96">
        <v>1</v>
      </c>
      <c r="DL96">
        <v>1</v>
      </c>
      <c r="DM96">
        <v>1</v>
      </c>
      <c r="DN96">
        <v>1</v>
      </c>
      <c r="DO96">
        <v>1</v>
      </c>
      <c r="DP96">
        <v>1</v>
      </c>
      <c r="DQ96">
        <v>1</v>
      </c>
      <c r="DR96">
        <v>1</v>
      </c>
      <c r="DS96">
        <v>1</v>
      </c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</row>
    <row r="97" spans="1:137" ht="13" x14ac:dyDescent="0.15">
      <c r="A97" s="156" t="s">
        <v>316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  <c r="CN97">
        <v>1</v>
      </c>
      <c r="CO97">
        <v>1</v>
      </c>
      <c r="CP97">
        <v>1</v>
      </c>
      <c r="CQ97">
        <v>1</v>
      </c>
      <c r="CR97">
        <v>1</v>
      </c>
      <c r="CS97">
        <v>1</v>
      </c>
      <c r="CT97">
        <v>1</v>
      </c>
      <c r="CU97">
        <v>1</v>
      </c>
      <c r="CV97">
        <v>1</v>
      </c>
      <c r="CW97">
        <v>1</v>
      </c>
      <c r="CX97">
        <v>1</v>
      </c>
      <c r="CY97">
        <v>1</v>
      </c>
      <c r="CZ97">
        <v>1</v>
      </c>
      <c r="DA97">
        <v>1</v>
      </c>
      <c r="DB97">
        <v>1</v>
      </c>
      <c r="DC97">
        <v>1</v>
      </c>
      <c r="DD97">
        <v>1</v>
      </c>
      <c r="DE97">
        <v>1</v>
      </c>
      <c r="DF97">
        <v>1</v>
      </c>
      <c r="DG97">
        <v>1</v>
      </c>
      <c r="DH97">
        <v>1</v>
      </c>
      <c r="DI97">
        <v>1</v>
      </c>
      <c r="DJ97">
        <v>1</v>
      </c>
      <c r="DK97">
        <v>1</v>
      </c>
      <c r="DL97">
        <v>1</v>
      </c>
      <c r="DM97">
        <v>1</v>
      </c>
      <c r="DN97">
        <v>1</v>
      </c>
      <c r="DO97">
        <v>1</v>
      </c>
      <c r="DP97">
        <v>1</v>
      </c>
      <c r="DQ97">
        <v>1</v>
      </c>
      <c r="DR97">
        <v>1</v>
      </c>
      <c r="DS97">
        <v>1</v>
      </c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</row>
    <row r="98" spans="1:137" ht="13" x14ac:dyDescent="0.15">
      <c r="A98" s="156" t="s">
        <v>317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CY98">
        <v>1</v>
      </c>
      <c r="CZ98">
        <v>1</v>
      </c>
      <c r="DA98">
        <v>1</v>
      </c>
      <c r="DB98">
        <v>1</v>
      </c>
      <c r="DC98">
        <v>1</v>
      </c>
      <c r="DD98">
        <v>1</v>
      </c>
      <c r="DE98">
        <v>1</v>
      </c>
      <c r="DF98">
        <v>1</v>
      </c>
      <c r="DG98">
        <v>1</v>
      </c>
      <c r="DH98">
        <v>1</v>
      </c>
      <c r="DI98">
        <v>1</v>
      </c>
      <c r="DJ98">
        <v>1</v>
      </c>
      <c r="DK98">
        <v>1</v>
      </c>
      <c r="DL98">
        <v>1</v>
      </c>
      <c r="DM98">
        <v>1</v>
      </c>
      <c r="DN98">
        <v>1</v>
      </c>
      <c r="DO98">
        <v>1</v>
      </c>
      <c r="DP98">
        <v>1</v>
      </c>
      <c r="DQ98">
        <v>1</v>
      </c>
      <c r="DR98">
        <v>1</v>
      </c>
      <c r="DS98">
        <v>1</v>
      </c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</row>
    <row r="99" spans="1:137" ht="13" x14ac:dyDescent="0.15">
      <c r="A99" s="156" t="s">
        <v>318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1</v>
      </c>
      <c r="BJ99">
        <v>1</v>
      </c>
      <c r="BK99">
        <v>1</v>
      </c>
      <c r="BL99">
        <v>1</v>
      </c>
      <c r="BM99">
        <v>1</v>
      </c>
      <c r="BN99">
        <v>1</v>
      </c>
      <c r="BO99">
        <v>1</v>
      </c>
      <c r="BP99">
        <v>1</v>
      </c>
      <c r="BQ99">
        <v>1</v>
      </c>
      <c r="BR99">
        <v>1</v>
      </c>
      <c r="BS99">
        <v>1</v>
      </c>
      <c r="BT99">
        <v>1</v>
      </c>
      <c r="BU99">
        <v>1</v>
      </c>
      <c r="BV99">
        <v>1</v>
      </c>
      <c r="BW99">
        <v>1</v>
      </c>
      <c r="BX99">
        <v>1</v>
      </c>
      <c r="BY99">
        <v>1</v>
      </c>
      <c r="BZ99">
        <v>1</v>
      </c>
      <c r="CA99">
        <v>1</v>
      </c>
      <c r="CB99">
        <v>1</v>
      </c>
      <c r="CC99">
        <v>1</v>
      </c>
      <c r="CD99">
        <v>1</v>
      </c>
      <c r="CE99">
        <v>1</v>
      </c>
      <c r="CF99">
        <v>1</v>
      </c>
      <c r="CG99">
        <v>1</v>
      </c>
      <c r="CH99">
        <v>1</v>
      </c>
      <c r="CI99">
        <v>1</v>
      </c>
      <c r="CJ99">
        <v>1</v>
      </c>
      <c r="CK99">
        <v>1</v>
      </c>
      <c r="CL99">
        <v>1</v>
      </c>
      <c r="CM99">
        <v>1</v>
      </c>
      <c r="CN99">
        <v>1</v>
      </c>
      <c r="CO99">
        <v>1</v>
      </c>
      <c r="CP99">
        <v>1</v>
      </c>
      <c r="CQ99">
        <v>1</v>
      </c>
      <c r="CR99">
        <v>1</v>
      </c>
      <c r="CS99">
        <v>1</v>
      </c>
      <c r="CT99">
        <v>1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1</v>
      </c>
      <c r="DA99">
        <v>1</v>
      </c>
      <c r="DB99">
        <v>1</v>
      </c>
      <c r="DC99">
        <v>1</v>
      </c>
      <c r="DD99">
        <v>1</v>
      </c>
      <c r="DE99">
        <v>1</v>
      </c>
      <c r="DF99">
        <v>1</v>
      </c>
      <c r="DG99">
        <v>1</v>
      </c>
      <c r="DH99">
        <v>1</v>
      </c>
      <c r="DI99">
        <v>1</v>
      </c>
      <c r="DJ99">
        <v>1</v>
      </c>
      <c r="DK99">
        <v>1</v>
      </c>
      <c r="DL99">
        <v>1</v>
      </c>
      <c r="DM99">
        <v>1</v>
      </c>
      <c r="DN99">
        <v>1</v>
      </c>
      <c r="DO99">
        <v>1</v>
      </c>
      <c r="DP99">
        <v>1</v>
      </c>
      <c r="DQ99">
        <v>1</v>
      </c>
      <c r="DR99">
        <v>1</v>
      </c>
      <c r="DS99">
        <v>1</v>
      </c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</row>
    <row r="100" spans="1:137" ht="13" x14ac:dyDescent="0.15">
      <c r="A100" s="156" t="s">
        <v>319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1</v>
      </c>
      <c r="BQ100">
        <v>1</v>
      </c>
      <c r="BR100">
        <v>1</v>
      </c>
      <c r="BS100">
        <v>1</v>
      </c>
      <c r="BT100">
        <v>1</v>
      </c>
      <c r="BU100">
        <v>1</v>
      </c>
      <c r="BV100">
        <v>1</v>
      </c>
      <c r="BW100">
        <v>1</v>
      </c>
      <c r="BX100">
        <v>1</v>
      </c>
      <c r="BY100">
        <v>1</v>
      </c>
      <c r="BZ100">
        <v>1</v>
      </c>
      <c r="CA100">
        <v>1</v>
      </c>
      <c r="CB100">
        <v>1</v>
      </c>
      <c r="CC100">
        <v>1</v>
      </c>
      <c r="CD100">
        <v>1</v>
      </c>
      <c r="CE100">
        <v>1</v>
      </c>
      <c r="CF100">
        <v>1</v>
      </c>
      <c r="CG100">
        <v>1</v>
      </c>
      <c r="CH100">
        <v>1</v>
      </c>
      <c r="CI100">
        <v>1</v>
      </c>
      <c r="CJ100">
        <v>1</v>
      </c>
      <c r="CK100">
        <v>1</v>
      </c>
      <c r="CL100">
        <v>1</v>
      </c>
      <c r="CM100">
        <v>1</v>
      </c>
      <c r="CN100">
        <v>1</v>
      </c>
      <c r="CO100">
        <v>1</v>
      </c>
      <c r="CP100">
        <v>1</v>
      </c>
      <c r="CQ100">
        <v>1</v>
      </c>
      <c r="CR100">
        <v>1</v>
      </c>
      <c r="CS100">
        <v>1</v>
      </c>
      <c r="CT100">
        <v>1</v>
      </c>
      <c r="CU100">
        <v>1</v>
      </c>
      <c r="CV100">
        <v>1</v>
      </c>
      <c r="CW100">
        <v>1</v>
      </c>
      <c r="CX100">
        <v>1</v>
      </c>
      <c r="CY100">
        <v>1</v>
      </c>
      <c r="CZ100">
        <v>1</v>
      </c>
      <c r="DA100">
        <v>1</v>
      </c>
      <c r="DB100">
        <v>1</v>
      </c>
      <c r="DC100">
        <v>1</v>
      </c>
      <c r="DD100">
        <v>1</v>
      </c>
      <c r="DE100">
        <v>1</v>
      </c>
      <c r="DF100">
        <v>1</v>
      </c>
      <c r="DG100">
        <v>1</v>
      </c>
      <c r="DH100">
        <v>1</v>
      </c>
      <c r="DI100">
        <v>1</v>
      </c>
      <c r="DJ100">
        <v>1</v>
      </c>
      <c r="DK100">
        <v>1</v>
      </c>
      <c r="DL100">
        <v>1</v>
      </c>
      <c r="DM100">
        <v>1</v>
      </c>
      <c r="DN100">
        <v>1</v>
      </c>
      <c r="DO100">
        <v>1</v>
      </c>
      <c r="DP100">
        <v>1</v>
      </c>
      <c r="DQ100">
        <v>1</v>
      </c>
      <c r="DR100">
        <v>1</v>
      </c>
      <c r="DS100">
        <v>1</v>
      </c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</row>
    <row r="101" spans="1:137" ht="13" x14ac:dyDescent="0.15">
      <c r="A101" s="156" t="s">
        <v>320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  <c r="DB101">
        <v>1</v>
      </c>
      <c r="DC101">
        <v>1</v>
      </c>
      <c r="DD101">
        <v>1</v>
      </c>
      <c r="DE101">
        <v>1</v>
      </c>
      <c r="DF101">
        <v>1</v>
      </c>
      <c r="DG101">
        <v>1</v>
      </c>
      <c r="DH101">
        <v>1</v>
      </c>
      <c r="DI101">
        <v>1</v>
      </c>
      <c r="DJ101">
        <v>1</v>
      </c>
      <c r="DK101">
        <v>1</v>
      </c>
      <c r="DL101">
        <v>1</v>
      </c>
      <c r="DM101">
        <v>1</v>
      </c>
      <c r="DN101">
        <v>1</v>
      </c>
      <c r="DO101">
        <v>1</v>
      </c>
      <c r="DP101">
        <v>1</v>
      </c>
      <c r="DQ101">
        <v>1</v>
      </c>
      <c r="DR101">
        <v>1</v>
      </c>
      <c r="DS101">
        <v>1</v>
      </c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</row>
    <row r="102" spans="1:137" ht="13" x14ac:dyDescent="0.15">
      <c r="A102" s="156" t="s">
        <v>321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  <c r="AO102">
        <v>1</v>
      </c>
      <c r="AP102">
        <v>1</v>
      </c>
      <c r="AQ102">
        <v>1</v>
      </c>
      <c r="AR102">
        <v>1</v>
      </c>
      <c r="AS102">
        <v>1</v>
      </c>
      <c r="AT102">
        <v>1</v>
      </c>
      <c r="AU102">
        <v>1</v>
      </c>
      <c r="AV102">
        <v>1</v>
      </c>
      <c r="AW102">
        <v>1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1</v>
      </c>
      <c r="BE102">
        <v>1</v>
      </c>
      <c r="BF102">
        <v>1</v>
      </c>
      <c r="BG102">
        <v>1</v>
      </c>
      <c r="BH102">
        <v>1</v>
      </c>
      <c r="BI102">
        <v>1</v>
      </c>
      <c r="BJ102">
        <v>1</v>
      </c>
      <c r="BK102">
        <v>1</v>
      </c>
      <c r="BL102">
        <v>1</v>
      </c>
      <c r="BM102">
        <v>1</v>
      </c>
      <c r="BN102">
        <v>1</v>
      </c>
      <c r="BO102">
        <v>1</v>
      </c>
      <c r="BP102">
        <v>1</v>
      </c>
      <c r="BQ102">
        <v>1</v>
      </c>
      <c r="BR102">
        <v>1</v>
      </c>
      <c r="BS102">
        <v>1</v>
      </c>
      <c r="BT102">
        <v>1</v>
      </c>
      <c r="BU102">
        <v>1</v>
      </c>
      <c r="BV102">
        <v>1</v>
      </c>
      <c r="BW102">
        <v>1</v>
      </c>
      <c r="BX102">
        <v>1</v>
      </c>
      <c r="BY102">
        <v>1</v>
      </c>
      <c r="BZ102">
        <v>1</v>
      </c>
      <c r="CA102">
        <v>1</v>
      </c>
      <c r="CB102">
        <v>1</v>
      </c>
      <c r="CC102">
        <v>1</v>
      </c>
      <c r="CD102">
        <v>1</v>
      </c>
      <c r="CE102">
        <v>1</v>
      </c>
      <c r="CF102">
        <v>1</v>
      </c>
      <c r="CG102">
        <v>1</v>
      </c>
      <c r="CH102">
        <v>1</v>
      </c>
      <c r="CI102">
        <v>1</v>
      </c>
      <c r="CJ102">
        <v>1</v>
      </c>
      <c r="CK102">
        <v>1</v>
      </c>
      <c r="CL102">
        <v>1</v>
      </c>
      <c r="CM102">
        <v>1</v>
      </c>
      <c r="CN102">
        <v>1</v>
      </c>
      <c r="CO102">
        <v>1</v>
      </c>
      <c r="CP102">
        <v>1</v>
      </c>
      <c r="CQ102">
        <v>1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  <c r="CY102">
        <v>1</v>
      </c>
      <c r="CZ102">
        <v>1</v>
      </c>
      <c r="DA102">
        <v>1</v>
      </c>
      <c r="DB102">
        <v>1</v>
      </c>
      <c r="DC102">
        <v>1</v>
      </c>
      <c r="DD102">
        <v>1</v>
      </c>
      <c r="DE102">
        <v>1</v>
      </c>
      <c r="DF102">
        <v>1</v>
      </c>
      <c r="DG102">
        <v>1</v>
      </c>
      <c r="DH102">
        <v>1</v>
      </c>
      <c r="DI102">
        <v>1</v>
      </c>
      <c r="DJ102">
        <v>1</v>
      </c>
      <c r="DK102">
        <v>1</v>
      </c>
      <c r="DL102">
        <v>1</v>
      </c>
      <c r="DM102">
        <v>1</v>
      </c>
      <c r="DN102">
        <v>1</v>
      </c>
      <c r="DO102">
        <v>1</v>
      </c>
      <c r="DP102">
        <v>1</v>
      </c>
      <c r="DQ102">
        <v>1</v>
      </c>
      <c r="DR102">
        <v>1</v>
      </c>
      <c r="DS102">
        <v>1</v>
      </c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</row>
    <row r="103" spans="1:137" ht="13" x14ac:dyDescent="0.15">
      <c r="A103" s="156" t="s">
        <v>322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Q103">
        <v>1</v>
      </c>
      <c r="AR103">
        <v>1</v>
      </c>
      <c r="AS103">
        <v>1</v>
      </c>
      <c r="AT103">
        <v>1</v>
      </c>
      <c r="AU103">
        <v>1</v>
      </c>
      <c r="AV103">
        <v>1</v>
      </c>
      <c r="AW103">
        <v>1</v>
      </c>
      <c r="AX103">
        <v>1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1</v>
      </c>
      <c r="BQ103">
        <v>1</v>
      </c>
      <c r="BR103">
        <v>1</v>
      </c>
      <c r="BS103">
        <v>1</v>
      </c>
      <c r="BT103">
        <v>1</v>
      </c>
      <c r="BU103">
        <v>1</v>
      </c>
      <c r="BV103">
        <v>1</v>
      </c>
      <c r="BW103">
        <v>1</v>
      </c>
      <c r="BX103">
        <v>1</v>
      </c>
      <c r="BY103">
        <v>1</v>
      </c>
      <c r="BZ103">
        <v>1</v>
      </c>
      <c r="CA103">
        <v>1</v>
      </c>
      <c r="CB103">
        <v>1</v>
      </c>
      <c r="CC103">
        <v>1</v>
      </c>
      <c r="CD103">
        <v>1</v>
      </c>
      <c r="CE103">
        <v>1</v>
      </c>
      <c r="CF103">
        <v>1</v>
      </c>
      <c r="CG103">
        <v>1</v>
      </c>
      <c r="CH103">
        <v>1</v>
      </c>
      <c r="CI103">
        <v>1</v>
      </c>
      <c r="CJ103">
        <v>1</v>
      </c>
      <c r="CK103">
        <v>1</v>
      </c>
      <c r="CL103">
        <v>1</v>
      </c>
      <c r="CM103">
        <v>1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1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1</v>
      </c>
      <c r="DA103">
        <v>1</v>
      </c>
      <c r="DB103">
        <v>1</v>
      </c>
      <c r="DC103">
        <v>1</v>
      </c>
      <c r="DD103">
        <v>1</v>
      </c>
      <c r="DE103">
        <v>1</v>
      </c>
      <c r="DF103">
        <v>1</v>
      </c>
      <c r="DG103">
        <v>1</v>
      </c>
      <c r="DH103">
        <v>1</v>
      </c>
      <c r="DI103">
        <v>1</v>
      </c>
      <c r="DJ103">
        <v>1</v>
      </c>
      <c r="DK103">
        <v>1</v>
      </c>
      <c r="DL103">
        <v>1</v>
      </c>
      <c r="DM103">
        <v>1</v>
      </c>
      <c r="DN103">
        <v>1</v>
      </c>
      <c r="DO103">
        <v>1</v>
      </c>
      <c r="DP103">
        <v>1</v>
      </c>
      <c r="DQ103">
        <v>1</v>
      </c>
      <c r="DR103">
        <v>1</v>
      </c>
      <c r="DS103">
        <v>1</v>
      </c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</row>
    <row r="104" spans="1:137" ht="13" x14ac:dyDescent="0.15">
      <c r="A104" s="156" t="s">
        <v>323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1</v>
      </c>
      <c r="AU104">
        <v>1</v>
      </c>
      <c r="AV104">
        <v>1</v>
      </c>
      <c r="AW104">
        <v>1</v>
      </c>
      <c r="AX104">
        <v>1</v>
      </c>
      <c r="AY104">
        <v>1</v>
      </c>
      <c r="AZ104">
        <v>1</v>
      </c>
      <c r="BA104">
        <v>1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  <c r="BJ104">
        <v>1</v>
      </c>
      <c r="BK104">
        <v>1</v>
      </c>
      <c r="BL104">
        <v>1</v>
      </c>
      <c r="BM104">
        <v>1</v>
      </c>
      <c r="BN104">
        <v>1</v>
      </c>
      <c r="BO104">
        <v>1</v>
      </c>
      <c r="BP104">
        <v>1</v>
      </c>
      <c r="BQ104">
        <v>1</v>
      </c>
      <c r="BR104">
        <v>1</v>
      </c>
      <c r="BS104">
        <v>1</v>
      </c>
      <c r="BT104">
        <v>1</v>
      </c>
      <c r="BU104">
        <v>1</v>
      </c>
      <c r="BV104">
        <v>1</v>
      </c>
      <c r="BW104">
        <v>1</v>
      </c>
      <c r="BX104">
        <v>1</v>
      </c>
      <c r="BY104">
        <v>1</v>
      </c>
      <c r="BZ104">
        <v>1</v>
      </c>
      <c r="CA104">
        <v>1</v>
      </c>
      <c r="CB104">
        <v>1</v>
      </c>
      <c r="CC104">
        <v>1</v>
      </c>
      <c r="CD104">
        <v>1</v>
      </c>
      <c r="CE104">
        <v>1</v>
      </c>
      <c r="CF104">
        <v>1</v>
      </c>
      <c r="CG104">
        <v>1</v>
      </c>
      <c r="CH104">
        <v>1</v>
      </c>
      <c r="CI104">
        <v>1</v>
      </c>
      <c r="CJ104">
        <v>1</v>
      </c>
      <c r="CK104">
        <v>1</v>
      </c>
      <c r="CL104">
        <v>1</v>
      </c>
      <c r="CM104">
        <v>1</v>
      </c>
      <c r="CN104">
        <v>1</v>
      </c>
      <c r="CO104">
        <v>1</v>
      </c>
      <c r="CP104">
        <v>1</v>
      </c>
      <c r="CQ104">
        <v>1</v>
      </c>
      <c r="CR104">
        <v>1</v>
      </c>
      <c r="CS104">
        <v>1</v>
      </c>
      <c r="CT104">
        <v>1</v>
      </c>
      <c r="CU104">
        <v>1</v>
      </c>
      <c r="CV104">
        <v>1</v>
      </c>
      <c r="CW104">
        <v>1</v>
      </c>
      <c r="CX104">
        <v>1</v>
      </c>
      <c r="CY104">
        <v>1</v>
      </c>
      <c r="CZ104">
        <v>1</v>
      </c>
      <c r="DA104">
        <v>1</v>
      </c>
      <c r="DB104">
        <v>1</v>
      </c>
      <c r="DC104">
        <v>1</v>
      </c>
      <c r="DD104">
        <v>1</v>
      </c>
      <c r="DE104">
        <v>1</v>
      </c>
      <c r="DF104">
        <v>1</v>
      </c>
      <c r="DG104">
        <v>1</v>
      </c>
      <c r="DH104">
        <v>1</v>
      </c>
      <c r="DI104">
        <v>1</v>
      </c>
      <c r="DJ104">
        <v>1</v>
      </c>
      <c r="DK104">
        <v>1</v>
      </c>
      <c r="DL104">
        <v>1</v>
      </c>
      <c r="DM104">
        <v>1</v>
      </c>
      <c r="DN104">
        <v>1</v>
      </c>
      <c r="DO104">
        <v>1</v>
      </c>
      <c r="DP104">
        <v>1</v>
      </c>
      <c r="DQ104">
        <v>1</v>
      </c>
      <c r="DR104">
        <v>1</v>
      </c>
      <c r="DS104">
        <v>1</v>
      </c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</row>
    <row r="105" spans="1:137" ht="13" x14ac:dyDescent="0.15">
      <c r="A105" s="156" t="s">
        <v>324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J105">
        <v>1</v>
      </c>
      <c r="CK105">
        <v>1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CY105">
        <v>1</v>
      </c>
      <c r="CZ105">
        <v>1</v>
      </c>
      <c r="DA105">
        <v>1</v>
      </c>
      <c r="DB105">
        <v>1</v>
      </c>
      <c r="DC105">
        <v>1</v>
      </c>
      <c r="DD105">
        <v>1</v>
      </c>
      <c r="DE105">
        <v>1</v>
      </c>
      <c r="DF105">
        <v>1</v>
      </c>
      <c r="DG105">
        <v>1</v>
      </c>
      <c r="DH105">
        <v>1</v>
      </c>
      <c r="DI105">
        <v>1</v>
      </c>
      <c r="DJ105">
        <v>1</v>
      </c>
      <c r="DK105">
        <v>1</v>
      </c>
      <c r="DL105">
        <v>1</v>
      </c>
      <c r="DM105">
        <v>1</v>
      </c>
      <c r="DN105">
        <v>1</v>
      </c>
      <c r="DO105">
        <v>1</v>
      </c>
      <c r="DP105">
        <v>1</v>
      </c>
      <c r="DQ105">
        <v>1</v>
      </c>
      <c r="DR105">
        <v>1</v>
      </c>
      <c r="DS105">
        <v>1</v>
      </c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</row>
    <row r="106" spans="1:137" ht="13" x14ac:dyDescent="0.15">
      <c r="A106" s="156" t="s">
        <v>325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Q106">
        <v>1</v>
      </c>
      <c r="AR106">
        <v>1</v>
      </c>
      <c r="AS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1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1</v>
      </c>
      <c r="BJ106">
        <v>1</v>
      </c>
      <c r="BK106">
        <v>1</v>
      </c>
      <c r="BL106">
        <v>1</v>
      </c>
      <c r="BM106">
        <v>1</v>
      </c>
      <c r="BN106">
        <v>1</v>
      </c>
      <c r="BO106">
        <v>1</v>
      </c>
      <c r="BP106">
        <v>1</v>
      </c>
      <c r="BQ106">
        <v>1</v>
      </c>
      <c r="BR106">
        <v>1</v>
      </c>
      <c r="BS106">
        <v>1</v>
      </c>
      <c r="BT106">
        <v>1</v>
      </c>
      <c r="BU106">
        <v>1</v>
      </c>
      <c r="BV106">
        <v>1</v>
      </c>
      <c r="BW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J106">
        <v>1</v>
      </c>
      <c r="CK106">
        <v>1</v>
      </c>
      <c r="CL106">
        <v>1</v>
      </c>
      <c r="CM106">
        <v>1</v>
      </c>
      <c r="CN106">
        <v>1</v>
      </c>
      <c r="CO106">
        <v>1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1</v>
      </c>
      <c r="CX106">
        <v>1</v>
      </c>
      <c r="CY106">
        <v>1</v>
      </c>
      <c r="CZ106">
        <v>1</v>
      </c>
      <c r="DA106">
        <v>1</v>
      </c>
      <c r="DB106">
        <v>1</v>
      </c>
      <c r="DC106">
        <v>1</v>
      </c>
      <c r="DD106">
        <v>1</v>
      </c>
      <c r="DE106">
        <v>1</v>
      </c>
      <c r="DF106">
        <v>1</v>
      </c>
      <c r="DG106">
        <v>1</v>
      </c>
      <c r="DH106">
        <v>1</v>
      </c>
      <c r="DI106">
        <v>1</v>
      </c>
      <c r="DJ106">
        <v>1</v>
      </c>
      <c r="DK106">
        <v>1</v>
      </c>
      <c r="DL106">
        <v>1</v>
      </c>
      <c r="DM106">
        <v>1</v>
      </c>
      <c r="DN106">
        <v>1</v>
      </c>
      <c r="DO106">
        <v>1</v>
      </c>
      <c r="DP106">
        <v>1</v>
      </c>
      <c r="DQ106">
        <v>1</v>
      </c>
      <c r="DR106">
        <v>1</v>
      </c>
      <c r="DS106">
        <v>1</v>
      </c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</row>
    <row r="107" spans="1:137" ht="13" x14ac:dyDescent="0.15">
      <c r="A107" s="156" t="s">
        <v>326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J107">
        <v>1</v>
      </c>
      <c r="CK107">
        <v>1</v>
      </c>
      <c r="CL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  <c r="DB107">
        <v>1</v>
      </c>
      <c r="DC107">
        <v>1</v>
      </c>
      <c r="DD107">
        <v>1</v>
      </c>
      <c r="DE107">
        <v>1</v>
      </c>
      <c r="DF107">
        <v>1</v>
      </c>
      <c r="DG107">
        <v>1</v>
      </c>
      <c r="DH107">
        <v>1</v>
      </c>
      <c r="DI107">
        <v>1</v>
      </c>
      <c r="DJ107">
        <v>1</v>
      </c>
      <c r="DK107">
        <v>1</v>
      </c>
      <c r="DL107">
        <v>1</v>
      </c>
      <c r="DM107">
        <v>1</v>
      </c>
      <c r="DN107">
        <v>1</v>
      </c>
      <c r="DO107">
        <v>1</v>
      </c>
      <c r="DP107">
        <v>1</v>
      </c>
      <c r="DQ107">
        <v>1</v>
      </c>
      <c r="DR107">
        <v>1</v>
      </c>
      <c r="DS107">
        <v>1</v>
      </c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</row>
    <row r="108" spans="1:137" ht="13" x14ac:dyDescent="0.15">
      <c r="A108" s="156" t="s">
        <v>327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  <c r="DB108">
        <v>1</v>
      </c>
      <c r="DC108">
        <v>1</v>
      </c>
      <c r="DD108">
        <v>1</v>
      </c>
      <c r="DE108">
        <v>1</v>
      </c>
      <c r="DF108">
        <v>1</v>
      </c>
      <c r="DG108">
        <v>1</v>
      </c>
      <c r="DH108">
        <v>1</v>
      </c>
      <c r="DI108">
        <v>1</v>
      </c>
      <c r="DJ108">
        <v>1</v>
      </c>
      <c r="DK108">
        <v>1</v>
      </c>
      <c r="DL108">
        <v>1</v>
      </c>
      <c r="DM108">
        <v>1</v>
      </c>
      <c r="DN108">
        <v>1</v>
      </c>
      <c r="DO108">
        <v>1</v>
      </c>
      <c r="DP108">
        <v>1</v>
      </c>
      <c r="DQ108">
        <v>1</v>
      </c>
      <c r="DR108">
        <v>1</v>
      </c>
      <c r="DS108">
        <v>1</v>
      </c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</row>
    <row r="109" spans="1:137" ht="13" x14ac:dyDescent="0.15">
      <c r="A109" s="156" t="s">
        <v>328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Q109">
        <v>1</v>
      </c>
      <c r="AR109">
        <v>1</v>
      </c>
      <c r="AS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1</v>
      </c>
      <c r="BG109">
        <v>1</v>
      </c>
      <c r="BH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U109">
        <v>1</v>
      </c>
      <c r="BV109">
        <v>1</v>
      </c>
      <c r="BW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1</v>
      </c>
      <c r="CD109">
        <v>1</v>
      </c>
      <c r="CE109">
        <v>1</v>
      </c>
      <c r="CF109">
        <v>1</v>
      </c>
      <c r="CG109">
        <v>1</v>
      </c>
      <c r="CH109">
        <v>1</v>
      </c>
      <c r="CI109">
        <v>1</v>
      </c>
      <c r="CJ109">
        <v>1</v>
      </c>
      <c r="CK109">
        <v>1</v>
      </c>
      <c r="CL109">
        <v>1</v>
      </c>
      <c r="CM109">
        <v>1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  <c r="CY109">
        <v>1</v>
      </c>
      <c r="CZ109">
        <v>1</v>
      </c>
      <c r="DA109">
        <v>1</v>
      </c>
      <c r="DB109">
        <v>1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1</v>
      </c>
      <c r="DJ109">
        <v>1</v>
      </c>
      <c r="DK109">
        <v>1</v>
      </c>
      <c r="DL109">
        <v>1</v>
      </c>
      <c r="DM109">
        <v>1</v>
      </c>
      <c r="DN109">
        <v>1</v>
      </c>
      <c r="DO109">
        <v>1</v>
      </c>
      <c r="DP109">
        <v>1</v>
      </c>
      <c r="DQ109">
        <v>1</v>
      </c>
      <c r="DR109">
        <v>1</v>
      </c>
      <c r="DS109">
        <v>1</v>
      </c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</row>
    <row r="110" spans="1:137" ht="13" x14ac:dyDescent="0.15">
      <c r="A110" s="156" t="s">
        <v>329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  <c r="AO110">
        <v>1</v>
      </c>
      <c r="AP110">
        <v>1</v>
      </c>
      <c r="AQ110">
        <v>1</v>
      </c>
      <c r="AR110">
        <v>1</v>
      </c>
      <c r="AS110">
        <v>1</v>
      </c>
      <c r="AT110">
        <v>1</v>
      </c>
      <c r="AU110">
        <v>1</v>
      </c>
      <c r="AV110">
        <v>1</v>
      </c>
      <c r="AW110">
        <v>1</v>
      </c>
      <c r="AX110">
        <v>1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  <c r="BE110">
        <v>1</v>
      </c>
      <c r="BF110">
        <v>1</v>
      </c>
      <c r="BG110">
        <v>1</v>
      </c>
      <c r="BH110">
        <v>1</v>
      </c>
      <c r="BI110">
        <v>1</v>
      </c>
      <c r="BJ110">
        <v>1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1</v>
      </c>
      <c r="BQ110">
        <v>1</v>
      </c>
      <c r="BR110">
        <v>1</v>
      </c>
      <c r="BS110">
        <v>1</v>
      </c>
      <c r="BT110">
        <v>1</v>
      </c>
      <c r="BU110">
        <v>1</v>
      </c>
      <c r="BV110">
        <v>1</v>
      </c>
      <c r="BW110">
        <v>1</v>
      </c>
      <c r="BX110">
        <v>1</v>
      </c>
      <c r="BY110">
        <v>1</v>
      </c>
      <c r="BZ110">
        <v>1</v>
      </c>
      <c r="CA110">
        <v>1</v>
      </c>
      <c r="CB110">
        <v>1</v>
      </c>
      <c r="CC110">
        <v>1</v>
      </c>
      <c r="CD110">
        <v>1</v>
      </c>
      <c r="CE110">
        <v>1</v>
      </c>
      <c r="CF110">
        <v>1</v>
      </c>
      <c r="CG110">
        <v>1</v>
      </c>
      <c r="CH110">
        <v>1</v>
      </c>
      <c r="CI110">
        <v>1</v>
      </c>
      <c r="CJ110">
        <v>1</v>
      </c>
      <c r="CK110">
        <v>1</v>
      </c>
      <c r="CL110">
        <v>1</v>
      </c>
      <c r="CM110">
        <v>1</v>
      </c>
      <c r="CN110">
        <v>1</v>
      </c>
      <c r="CO110">
        <v>1</v>
      </c>
      <c r="CP110">
        <v>1</v>
      </c>
      <c r="CQ110">
        <v>1</v>
      </c>
      <c r="CR110">
        <v>1</v>
      </c>
      <c r="CS110">
        <v>1</v>
      </c>
      <c r="CT110">
        <v>1</v>
      </c>
      <c r="CU110">
        <v>1</v>
      </c>
      <c r="CV110">
        <v>1</v>
      </c>
      <c r="CW110">
        <v>1</v>
      </c>
      <c r="CX110">
        <v>1</v>
      </c>
      <c r="CY110">
        <v>1</v>
      </c>
      <c r="CZ110">
        <v>1</v>
      </c>
      <c r="DA110">
        <v>1</v>
      </c>
      <c r="DB110">
        <v>1</v>
      </c>
      <c r="DC110">
        <v>1</v>
      </c>
      <c r="DD110">
        <v>1</v>
      </c>
      <c r="DE110">
        <v>1</v>
      </c>
      <c r="DF110">
        <v>1</v>
      </c>
      <c r="DG110">
        <v>1</v>
      </c>
      <c r="DH110">
        <v>1</v>
      </c>
      <c r="DI110">
        <v>1</v>
      </c>
      <c r="DJ110">
        <v>1</v>
      </c>
      <c r="DK110">
        <v>1</v>
      </c>
      <c r="DL110">
        <v>1</v>
      </c>
      <c r="DM110">
        <v>1</v>
      </c>
      <c r="DN110">
        <v>1</v>
      </c>
      <c r="DO110">
        <v>1</v>
      </c>
      <c r="DP110">
        <v>1</v>
      </c>
      <c r="DQ110">
        <v>1</v>
      </c>
      <c r="DR110">
        <v>1</v>
      </c>
      <c r="DS110">
        <v>1</v>
      </c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</row>
    <row r="111" spans="1:137" ht="13" x14ac:dyDescent="0.15">
      <c r="A111" s="156" t="s">
        <v>330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Q111">
        <v>1</v>
      </c>
      <c r="AR111">
        <v>1</v>
      </c>
      <c r="AS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1</v>
      </c>
      <c r="BA111">
        <v>1</v>
      </c>
      <c r="BB111">
        <v>1</v>
      </c>
      <c r="BC111">
        <v>1</v>
      </c>
      <c r="BD111">
        <v>1</v>
      </c>
      <c r="BE111">
        <v>1</v>
      </c>
      <c r="BF111">
        <v>1</v>
      </c>
      <c r="BG111">
        <v>1</v>
      </c>
      <c r="BH111">
        <v>1</v>
      </c>
      <c r="BI111">
        <v>1</v>
      </c>
      <c r="BJ111">
        <v>1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1</v>
      </c>
      <c r="CJ111">
        <v>1</v>
      </c>
      <c r="CK111">
        <v>1</v>
      </c>
      <c r="CL111">
        <v>1</v>
      </c>
      <c r="CM111">
        <v>1</v>
      </c>
      <c r="CN111">
        <v>1</v>
      </c>
      <c r="CO111">
        <v>1</v>
      </c>
      <c r="CP111">
        <v>1</v>
      </c>
      <c r="CQ111">
        <v>1</v>
      </c>
      <c r="CR111">
        <v>1</v>
      </c>
      <c r="CS111">
        <v>1</v>
      </c>
      <c r="CT111">
        <v>1</v>
      </c>
      <c r="CU111">
        <v>1</v>
      </c>
      <c r="CV111">
        <v>1</v>
      </c>
      <c r="CW111">
        <v>1</v>
      </c>
      <c r="CX111">
        <v>1</v>
      </c>
      <c r="CY111">
        <v>1</v>
      </c>
      <c r="CZ111">
        <v>1</v>
      </c>
      <c r="DA111">
        <v>1</v>
      </c>
      <c r="DB111">
        <v>1</v>
      </c>
      <c r="DC111">
        <v>1</v>
      </c>
      <c r="DD111">
        <v>1</v>
      </c>
      <c r="DE111">
        <v>1</v>
      </c>
      <c r="DF111">
        <v>1</v>
      </c>
      <c r="DG111">
        <v>1</v>
      </c>
      <c r="DH111">
        <v>1</v>
      </c>
      <c r="DI111">
        <v>1</v>
      </c>
      <c r="DJ111">
        <v>1</v>
      </c>
      <c r="DK111">
        <v>1</v>
      </c>
      <c r="DL111">
        <v>1</v>
      </c>
      <c r="DM111">
        <v>1</v>
      </c>
      <c r="DN111">
        <v>1</v>
      </c>
      <c r="DO111">
        <v>1</v>
      </c>
      <c r="DP111">
        <v>1</v>
      </c>
      <c r="DQ111">
        <v>1</v>
      </c>
      <c r="DR111">
        <v>1</v>
      </c>
      <c r="DS111">
        <v>1</v>
      </c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</row>
    <row r="112" spans="1:137" ht="13" x14ac:dyDescent="0.15">
      <c r="A112" s="156" t="s">
        <v>331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U112">
        <v>1</v>
      </c>
      <c r="BV112">
        <v>1</v>
      </c>
      <c r="BW112">
        <v>1</v>
      </c>
      <c r="BX112">
        <v>1</v>
      </c>
      <c r="BY112">
        <v>1</v>
      </c>
      <c r="BZ112">
        <v>1</v>
      </c>
      <c r="CA112">
        <v>1</v>
      </c>
      <c r="CB112">
        <v>1</v>
      </c>
      <c r="CC112">
        <v>1</v>
      </c>
      <c r="CD112">
        <v>1</v>
      </c>
      <c r="CE112">
        <v>1</v>
      </c>
      <c r="CF112">
        <v>1</v>
      </c>
      <c r="CG112">
        <v>1</v>
      </c>
      <c r="CH112">
        <v>1</v>
      </c>
      <c r="CI112">
        <v>1</v>
      </c>
      <c r="CJ112">
        <v>1</v>
      </c>
      <c r="CK112">
        <v>1</v>
      </c>
      <c r="CL112">
        <v>1</v>
      </c>
      <c r="CM112">
        <v>1</v>
      </c>
      <c r="CN112">
        <v>1</v>
      </c>
      <c r="CO112">
        <v>1</v>
      </c>
      <c r="CP112">
        <v>1</v>
      </c>
      <c r="CQ112">
        <v>1</v>
      </c>
      <c r="CR112">
        <v>1</v>
      </c>
      <c r="CS112">
        <v>1</v>
      </c>
      <c r="CT112">
        <v>1</v>
      </c>
      <c r="CU112">
        <v>1</v>
      </c>
      <c r="CV112">
        <v>1</v>
      </c>
      <c r="CW112">
        <v>1</v>
      </c>
      <c r="CX112">
        <v>1</v>
      </c>
      <c r="CY112">
        <v>1</v>
      </c>
      <c r="CZ112">
        <v>1</v>
      </c>
      <c r="DA112">
        <v>1</v>
      </c>
      <c r="DB112">
        <v>1</v>
      </c>
      <c r="DC112">
        <v>1</v>
      </c>
      <c r="DD112">
        <v>1</v>
      </c>
      <c r="DE112">
        <v>1</v>
      </c>
      <c r="DF112">
        <v>1</v>
      </c>
      <c r="DG112">
        <v>1</v>
      </c>
      <c r="DH112">
        <v>1</v>
      </c>
      <c r="DI112">
        <v>1</v>
      </c>
      <c r="DJ112">
        <v>1</v>
      </c>
      <c r="DK112">
        <v>1</v>
      </c>
      <c r="DL112">
        <v>1</v>
      </c>
      <c r="DM112">
        <v>1</v>
      </c>
      <c r="DN112">
        <v>1</v>
      </c>
      <c r="DO112">
        <v>1</v>
      </c>
      <c r="DP112">
        <v>1</v>
      </c>
      <c r="DQ112">
        <v>1</v>
      </c>
      <c r="DR112">
        <v>1</v>
      </c>
      <c r="DS112">
        <v>1</v>
      </c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</row>
    <row r="113" spans="1:137" ht="13" x14ac:dyDescent="0.15">
      <c r="A113" s="156" t="s">
        <v>332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CY113">
        <v>1</v>
      </c>
      <c r="CZ113">
        <v>1</v>
      </c>
      <c r="DA113">
        <v>1</v>
      </c>
      <c r="DB113">
        <v>1</v>
      </c>
      <c r="DC113">
        <v>1</v>
      </c>
      <c r="DD113">
        <v>1</v>
      </c>
      <c r="DE113">
        <v>1</v>
      </c>
      <c r="DF113">
        <v>1</v>
      </c>
      <c r="DG113">
        <v>1</v>
      </c>
      <c r="DH113">
        <v>1</v>
      </c>
      <c r="DI113">
        <v>1</v>
      </c>
      <c r="DJ113">
        <v>1</v>
      </c>
      <c r="DK113">
        <v>1</v>
      </c>
      <c r="DL113">
        <v>1</v>
      </c>
      <c r="DM113">
        <v>1</v>
      </c>
      <c r="DN113">
        <v>1</v>
      </c>
      <c r="DO113">
        <v>1</v>
      </c>
      <c r="DP113">
        <v>1</v>
      </c>
      <c r="DQ113">
        <v>1</v>
      </c>
      <c r="DR113">
        <v>1</v>
      </c>
      <c r="DS113">
        <v>1</v>
      </c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</row>
    <row r="114" spans="1:137" ht="13" x14ac:dyDescent="0.15">
      <c r="A114" s="156" t="s">
        <v>333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  <c r="DB114">
        <v>1</v>
      </c>
      <c r="DC114">
        <v>1</v>
      </c>
      <c r="DD114">
        <v>1</v>
      </c>
      <c r="DE114">
        <v>1</v>
      </c>
      <c r="DF114">
        <v>1</v>
      </c>
      <c r="DG114">
        <v>1</v>
      </c>
      <c r="DH114">
        <v>1</v>
      </c>
      <c r="DI114">
        <v>1</v>
      </c>
      <c r="DJ114">
        <v>1</v>
      </c>
      <c r="DK114">
        <v>1</v>
      </c>
      <c r="DL114">
        <v>1</v>
      </c>
      <c r="DM114">
        <v>1</v>
      </c>
      <c r="DN114">
        <v>1</v>
      </c>
      <c r="DO114">
        <v>1</v>
      </c>
      <c r="DP114">
        <v>1</v>
      </c>
      <c r="DQ114">
        <v>1</v>
      </c>
      <c r="DR114">
        <v>1</v>
      </c>
      <c r="DS114">
        <v>1</v>
      </c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</row>
    <row r="115" spans="1:137" ht="13" x14ac:dyDescent="0.15">
      <c r="A115" s="156" t="s">
        <v>334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CY115">
        <v>1</v>
      </c>
      <c r="CZ115">
        <v>1</v>
      </c>
      <c r="DA115">
        <v>1</v>
      </c>
      <c r="DB115">
        <v>1</v>
      </c>
      <c r="DC115">
        <v>1</v>
      </c>
      <c r="DD115">
        <v>1</v>
      </c>
      <c r="DE115">
        <v>1</v>
      </c>
      <c r="DF115">
        <v>1</v>
      </c>
      <c r="DG115">
        <v>1</v>
      </c>
      <c r="DH115">
        <v>1</v>
      </c>
      <c r="DI115">
        <v>1</v>
      </c>
      <c r="DJ115">
        <v>1</v>
      </c>
      <c r="DK115">
        <v>1</v>
      </c>
      <c r="DL115">
        <v>1</v>
      </c>
      <c r="DM115">
        <v>1</v>
      </c>
      <c r="DN115">
        <v>1</v>
      </c>
      <c r="DO115">
        <v>1</v>
      </c>
      <c r="DP115">
        <v>1</v>
      </c>
      <c r="DQ115">
        <v>1</v>
      </c>
      <c r="DR115">
        <v>1</v>
      </c>
      <c r="DS115">
        <v>1</v>
      </c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</row>
    <row r="116" spans="1:137" ht="13" x14ac:dyDescent="0.15">
      <c r="A116" s="156" t="s">
        <v>335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Q116">
        <v>1</v>
      </c>
      <c r="AR116">
        <v>1</v>
      </c>
      <c r="AS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F116">
        <v>1</v>
      </c>
      <c r="BG116">
        <v>1</v>
      </c>
      <c r="BH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1</v>
      </c>
      <c r="CD116">
        <v>1</v>
      </c>
      <c r="CE116">
        <v>1</v>
      </c>
      <c r="CF116">
        <v>1</v>
      </c>
      <c r="CG116">
        <v>1</v>
      </c>
      <c r="CH116">
        <v>1</v>
      </c>
      <c r="CI116">
        <v>1</v>
      </c>
      <c r="CJ116">
        <v>1</v>
      </c>
      <c r="CK116">
        <v>1</v>
      </c>
      <c r="CL116">
        <v>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1</v>
      </c>
      <c r="CU116">
        <v>1</v>
      </c>
      <c r="CV116">
        <v>1</v>
      </c>
      <c r="CW116">
        <v>1</v>
      </c>
      <c r="CX116">
        <v>1</v>
      </c>
      <c r="CY116">
        <v>1</v>
      </c>
      <c r="CZ116">
        <v>1</v>
      </c>
      <c r="DA116">
        <v>1</v>
      </c>
      <c r="DB116">
        <v>1</v>
      </c>
      <c r="DC116">
        <v>1</v>
      </c>
      <c r="DD116">
        <v>1</v>
      </c>
      <c r="DE116">
        <v>1</v>
      </c>
      <c r="DF116">
        <v>1</v>
      </c>
      <c r="DG116">
        <v>1</v>
      </c>
      <c r="DH116">
        <v>1</v>
      </c>
      <c r="DI116">
        <v>1</v>
      </c>
      <c r="DJ116">
        <v>1</v>
      </c>
      <c r="DK116">
        <v>1</v>
      </c>
      <c r="DL116">
        <v>1</v>
      </c>
      <c r="DM116">
        <v>1</v>
      </c>
      <c r="DN116">
        <v>1</v>
      </c>
      <c r="DO116">
        <v>1</v>
      </c>
      <c r="DP116">
        <v>1</v>
      </c>
      <c r="DQ116">
        <v>1</v>
      </c>
      <c r="DR116">
        <v>1</v>
      </c>
      <c r="DS116">
        <v>1</v>
      </c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</row>
    <row r="117" spans="1:137" ht="13" x14ac:dyDescent="0.15">
      <c r="A117" s="156" t="s">
        <v>336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</row>
    <row r="118" spans="1:137" ht="13" x14ac:dyDescent="0.15">
      <c r="A118" s="156" t="s">
        <v>337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  <c r="DB118">
        <v>1</v>
      </c>
      <c r="DC118">
        <v>1</v>
      </c>
      <c r="DD118">
        <v>1</v>
      </c>
      <c r="DE118">
        <v>1</v>
      </c>
      <c r="DF118">
        <v>1</v>
      </c>
      <c r="DG118">
        <v>1</v>
      </c>
      <c r="DH118">
        <v>1</v>
      </c>
      <c r="DI118">
        <v>1</v>
      </c>
      <c r="DJ118">
        <v>1</v>
      </c>
      <c r="DK118">
        <v>1</v>
      </c>
      <c r="DL118">
        <v>1</v>
      </c>
      <c r="DM118">
        <v>1</v>
      </c>
      <c r="DN118">
        <v>1</v>
      </c>
      <c r="DO118">
        <v>1</v>
      </c>
      <c r="DP118">
        <v>1</v>
      </c>
      <c r="DQ118">
        <v>1</v>
      </c>
      <c r="DR118">
        <v>1</v>
      </c>
      <c r="DS118">
        <v>1</v>
      </c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</row>
    <row r="119" spans="1:137" ht="13" x14ac:dyDescent="0.15">
      <c r="A119" s="156" t="s">
        <v>338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  <c r="DB119">
        <v>1</v>
      </c>
      <c r="DC119">
        <v>1</v>
      </c>
      <c r="DD119">
        <v>1</v>
      </c>
      <c r="DE119">
        <v>1</v>
      </c>
      <c r="DF119">
        <v>1</v>
      </c>
      <c r="DG119">
        <v>1</v>
      </c>
      <c r="DH119">
        <v>1</v>
      </c>
      <c r="DI119">
        <v>1</v>
      </c>
      <c r="DJ119">
        <v>1</v>
      </c>
      <c r="DK119">
        <v>1</v>
      </c>
      <c r="DL119">
        <v>1</v>
      </c>
      <c r="DM119">
        <v>1</v>
      </c>
      <c r="DN119">
        <v>1</v>
      </c>
      <c r="DO119">
        <v>1</v>
      </c>
      <c r="DP119">
        <v>1</v>
      </c>
      <c r="DQ119">
        <v>1</v>
      </c>
      <c r="DR119">
        <v>1</v>
      </c>
      <c r="DS119">
        <v>1</v>
      </c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</row>
    <row r="120" spans="1:137" ht="13" x14ac:dyDescent="0.15">
      <c r="A120" s="156" t="s">
        <v>339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  <c r="DB120">
        <v>1</v>
      </c>
      <c r="DC120">
        <v>1</v>
      </c>
      <c r="DD120">
        <v>1</v>
      </c>
      <c r="DE120">
        <v>1</v>
      </c>
      <c r="DF120">
        <v>1</v>
      </c>
      <c r="DG120">
        <v>1</v>
      </c>
      <c r="DH120">
        <v>1</v>
      </c>
      <c r="DI120">
        <v>1</v>
      </c>
      <c r="DJ120">
        <v>1</v>
      </c>
      <c r="DK120">
        <v>1</v>
      </c>
      <c r="DL120">
        <v>1</v>
      </c>
      <c r="DM120">
        <v>1</v>
      </c>
      <c r="DN120">
        <v>1</v>
      </c>
      <c r="DO120">
        <v>1</v>
      </c>
      <c r="DP120">
        <v>1</v>
      </c>
      <c r="DQ120">
        <v>1</v>
      </c>
      <c r="DR120">
        <v>1</v>
      </c>
      <c r="DS120">
        <v>1</v>
      </c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</row>
    <row r="121" spans="1:137" ht="13" x14ac:dyDescent="0.15">
      <c r="A121" s="156" t="s">
        <v>340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CY121">
        <v>1</v>
      </c>
      <c r="CZ121">
        <v>1</v>
      </c>
      <c r="DA121">
        <v>1</v>
      </c>
      <c r="DB121">
        <v>1</v>
      </c>
      <c r="DC121">
        <v>1</v>
      </c>
      <c r="DD121">
        <v>1</v>
      </c>
      <c r="DE121">
        <v>1</v>
      </c>
      <c r="DF121">
        <v>1</v>
      </c>
      <c r="DG121">
        <v>1</v>
      </c>
      <c r="DH121">
        <v>1</v>
      </c>
      <c r="DI121">
        <v>1</v>
      </c>
      <c r="DJ121">
        <v>1</v>
      </c>
      <c r="DK121">
        <v>1</v>
      </c>
      <c r="DL121">
        <v>1</v>
      </c>
      <c r="DM121">
        <v>1</v>
      </c>
      <c r="DN121">
        <v>1</v>
      </c>
      <c r="DO121">
        <v>1</v>
      </c>
      <c r="DP121">
        <v>1</v>
      </c>
      <c r="DQ121">
        <v>1</v>
      </c>
      <c r="DR121">
        <v>1</v>
      </c>
      <c r="DS121">
        <v>1</v>
      </c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</row>
    <row r="122" spans="1:137" ht="13" x14ac:dyDescent="0.15">
      <c r="A122" s="156" t="s">
        <v>341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  <c r="DB122">
        <v>1</v>
      </c>
      <c r="DC122">
        <v>1</v>
      </c>
      <c r="DD122">
        <v>1</v>
      </c>
      <c r="DE122">
        <v>1</v>
      </c>
      <c r="DF122">
        <v>1</v>
      </c>
      <c r="DG122">
        <v>1</v>
      </c>
      <c r="DH122">
        <v>1</v>
      </c>
      <c r="DI122">
        <v>1</v>
      </c>
      <c r="DJ122">
        <v>1</v>
      </c>
      <c r="DK122">
        <v>1</v>
      </c>
      <c r="DL122">
        <v>1</v>
      </c>
      <c r="DM122">
        <v>1</v>
      </c>
      <c r="DN122">
        <v>1</v>
      </c>
      <c r="DO122">
        <v>1</v>
      </c>
      <c r="DP122">
        <v>1</v>
      </c>
      <c r="DQ122">
        <v>1</v>
      </c>
      <c r="DR122">
        <v>1</v>
      </c>
      <c r="DS122">
        <v>1</v>
      </c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</row>
    <row r="123" spans="1:137" ht="13" x14ac:dyDescent="0.15">
      <c r="A123" s="156" t="s">
        <v>342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  <c r="DB123">
        <v>1</v>
      </c>
      <c r="DC123">
        <v>1</v>
      </c>
      <c r="DD123">
        <v>1</v>
      </c>
      <c r="DE123">
        <v>1</v>
      </c>
      <c r="DF123">
        <v>1</v>
      </c>
      <c r="DG123">
        <v>1</v>
      </c>
      <c r="DH123">
        <v>1</v>
      </c>
      <c r="DI123">
        <v>1</v>
      </c>
      <c r="DJ123">
        <v>1</v>
      </c>
      <c r="DK123">
        <v>1</v>
      </c>
      <c r="DL123">
        <v>1</v>
      </c>
      <c r="DM123">
        <v>1</v>
      </c>
      <c r="DN123">
        <v>1</v>
      </c>
      <c r="DO123">
        <v>1</v>
      </c>
      <c r="DP123">
        <v>1</v>
      </c>
      <c r="DQ123">
        <v>1</v>
      </c>
      <c r="DR123">
        <v>1</v>
      </c>
      <c r="DS123">
        <v>1</v>
      </c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</row>
    <row r="124" spans="1:137" ht="13" x14ac:dyDescent="0.15">
      <c r="A124" s="452" t="s">
        <v>181</v>
      </c>
    </row>
    <row r="125" spans="1:137" ht="13" x14ac:dyDescent="0.15">
      <c r="A125"/>
    </row>
    <row r="126" spans="1:137" ht="13" x14ac:dyDescent="0.15">
      <c r="A126"/>
    </row>
    <row r="127" spans="1:137" ht="13" x14ac:dyDescent="0.15">
      <c r="A127"/>
    </row>
    <row r="128" spans="1:137" ht="13" x14ac:dyDescent="0.15">
      <c r="A128"/>
    </row>
    <row r="129" ht="13" x14ac:dyDescent="0.15"/>
    <row r="130" ht="13" x14ac:dyDescent="0.15"/>
    <row r="13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P130"/>
  <sheetViews>
    <sheetView workbookViewId="0">
      <selection activeCell="B4" sqref="B4"/>
    </sheetView>
  </sheetViews>
  <sheetFormatPr baseColWidth="10" defaultRowHeight="14" customHeight="1" x14ac:dyDescent="0.15"/>
  <cols>
    <col min="1" max="1" width="12.6640625" customWidth="1"/>
    <col min="2" max="2" width="22.1640625" bestFit="1" customWidth="1"/>
    <col min="3" max="3" width="16" bestFit="1" customWidth="1"/>
    <col min="4" max="4" width="16.33203125" bestFit="1" customWidth="1"/>
  </cols>
  <sheetData>
    <row r="1" spans="1:16" ht="28" x14ac:dyDescent="0.15">
      <c r="A1" s="139" t="s">
        <v>84</v>
      </c>
      <c r="B1" s="142" t="s">
        <v>0</v>
      </c>
      <c r="C1" t="s">
        <v>343</v>
      </c>
      <c r="D1" t="s">
        <v>344</v>
      </c>
      <c r="E1" t="s">
        <v>345</v>
      </c>
      <c r="F1" t="s">
        <v>346</v>
      </c>
      <c r="G1" t="s">
        <v>347</v>
      </c>
      <c r="H1" t="s">
        <v>348</v>
      </c>
      <c r="I1" t="s">
        <v>349</v>
      </c>
      <c r="J1" t="s">
        <v>350</v>
      </c>
      <c r="K1" t="s">
        <v>351</v>
      </c>
      <c r="L1" t="s">
        <v>352</v>
      </c>
      <c r="M1" t="s">
        <v>353</v>
      </c>
      <c r="N1" t="s">
        <v>354</v>
      </c>
      <c r="O1" t="s">
        <v>355</v>
      </c>
      <c r="P1" t="s">
        <v>356</v>
      </c>
    </row>
    <row r="2" spans="1:16" ht="13" x14ac:dyDescent="0.15">
      <c r="A2">
        <v>1</v>
      </c>
      <c r="B2" t="s">
        <v>225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3" x14ac:dyDescent="0.15">
      <c r="A3">
        <v>2</v>
      </c>
      <c r="B3" t="s">
        <v>226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3" x14ac:dyDescent="0.15">
      <c r="A4">
        <v>3</v>
      </c>
      <c r="B4" t="s">
        <v>227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0.1</v>
      </c>
      <c r="K4">
        <v>0</v>
      </c>
      <c r="L4">
        <v>0</v>
      </c>
      <c r="M4">
        <v>0</v>
      </c>
      <c r="N4">
        <v>0</v>
      </c>
      <c r="O4">
        <v>0.1</v>
      </c>
      <c r="P4">
        <v>0</v>
      </c>
    </row>
    <row r="5" spans="1:16" ht="13" x14ac:dyDescent="0.15">
      <c r="A5">
        <v>4</v>
      </c>
      <c r="B5" t="s">
        <v>228</v>
      </c>
      <c r="C5">
        <v>0</v>
      </c>
      <c r="D5">
        <v>0</v>
      </c>
      <c r="E5">
        <v>0</v>
      </c>
      <c r="F5">
        <v>0</v>
      </c>
      <c r="G5">
        <v>0.3</v>
      </c>
      <c r="H5">
        <v>0.1</v>
      </c>
      <c r="I5">
        <v>0.3</v>
      </c>
      <c r="J5">
        <v>0</v>
      </c>
      <c r="K5">
        <v>0</v>
      </c>
      <c r="L5">
        <v>0.1</v>
      </c>
      <c r="M5">
        <v>0.1</v>
      </c>
      <c r="N5">
        <v>0.1</v>
      </c>
      <c r="O5">
        <v>0</v>
      </c>
      <c r="P5">
        <v>0</v>
      </c>
    </row>
    <row r="6" spans="1:16" ht="13" x14ac:dyDescent="0.15">
      <c r="A6">
        <v>5</v>
      </c>
      <c r="B6" t="s">
        <v>229</v>
      </c>
      <c r="C6">
        <v>0</v>
      </c>
      <c r="D6">
        <v>0</v>
      </c>
      <c r="E6">
        <v>0</v>
      </c>
      <c r="F6">
        <v>0</v>
      </c>
      <c r="G6">
        <v>0.3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3" x14ac:dyDescent="0.15">
      <c r="A7">
        <v>6</v>
      </c>
      <c r="B7" t="s">
        <v>230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ht="13" x14ac:dyDescent="0.15">
      <c r="A8">
        <v>7</v>
      </c>
      <c r="B8" t="s">
        <v>231</v>
      </c>
      <c r="C8">
        <v>0</v>
      </c>
      <c r="D8">
        <v>0</v>
      </c>
      <c r="E8">
        <v>0</v>
      </c>
      <c r="F8">
        <v>0</v>
      </c>
      <c r="G8">
        <v>0</v>
      </c>
      <c r="H8">
        <v>0.1</v>
      </c>
      <c r="I8">
        <v>0.3</v>
      </c>
      <c r="J8">
        <v>0</v>
      </c>
      <c r="K8">
        <v>0</v>
      </c>
      <c r="L8">
        <v>0.1</v>
      </c>
      <c r="M8">
        <v>0.1</v>
      </c>
      <c r="N8">
        <v>0.1</v>
      </c>
      <c r="O8">
        <v>0</v>
      </c>
      <c r="P8">
        <v>0</v>
      </c>
    </row>
    <row r="9" spans="1:16" ht="13" x14ac:dyDescent="0.15">
      <c r="A9">
        <v>8</v>
      </c>
      <c r="B9" t="s">
        <v>232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ht="13" x14ac:dyDescent="0.15">
      <c r="A10">
        <v>9</v>
      </c>
      <c r="B10" t="s">
        <v>233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ht="13" x14ac:dyDescent="0.15">
      <c r="A11">
        <v>10</v>
      </c>
      <c r="B11" t="s">
        <v>234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ht="13" x14ac:dyDescent="0.15">
      <c r="A12">
        <v>11</v>
      </c>
      <c r="B12" t="s">
        <v>235</v>
      </c>
      <c r="C12">
        <v>0</v>
      </c>
      <c r="D12">
        <v>0</v>
      </c>
      <c r="E12">
        <v>0</v>
      </c>
      <c r="F12">
        <v>0</v>
      </c>
      <c r="G12">
        <v>0.3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ht="13" x14ac:dyDescent="0.15">
      <c r="A13">
        <v>12</v>
      </c>
      <c r="B13" t="s">
        <v>236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ht="13" x14ac:dyDescent="0.15">
      <c r="A14">
        <v>13</v>
      </c>
      <c r="B14" t="s">
        <v>237</v>
      </c>
      <c r="C14">
        <v>0</v>
      </c>
      <c r="D14">
        <v>0</v>
      </c>
      <c r="E14">
        <v>0</v>
      </c>
      <c r="F14">
        <v>0</v>
      </c>
      <c r="G14">
        <v>0.3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ht="13" x14ac:dyDescent="0.15">
      <c r="A15">
        <v>14</v>
      </c>
      <c r="B15" t="s">
        <v>238</v>
      </c>
      <c r="C15">
        <v>0</v>
      </c>
      <c r="D15">
        <v>0</v>
      </c>
      <c r="E15">
        <v>0</v>
      </c>
      <c r="F15">
        <v>0</v>
      </c>
      <c r="G15">
        <v>0.3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ht="13" x14ac:dyDescent="0.15">
      <c r="A16">
        <v>15</v>
      </c>
      <c r="B16" t="s">
        <v>239</v>
      </c>
      <c r="C16">
        <v>0</v>
      </c>
      <c r="D16">
        <v>0</v>
      </c>
      <c r="E16">
        <v>0</v>
      </c>
      <c r="F16">
        <v>0</v>
      </c>
      <c r="G16">
        <v>0.3</v>
      </c>
      <c r="H16">
        <v>0.1</v>
      </c>
      <c r="I16">
        <v>0.3</v>
      </c>
      <c r="J16">
        <v>0.1</v>
      </c>
      <c r="K16">
        <v>0</v>
      </c>
      <c r="L16">
        <v>0.1</v>
      </c>
      <c r="M16">
        <v>0.1</v>
      </c>
      <c r="N16">
        <v>0.1</v>
      </c>
      <c r="O16">
        <v>0.1</v>
      </c>
      <c r="P16">
        <v>0</v>
      </c>
    </row>
    <row r="17" spans="1:16" ht="13" x14ac:dyDescent="0.15">
      <c r="A17">
        <v>16</v>
      </c>
      <c r="B17" t="s">
        <v>240</v>
      </c>
      <c r="C17">
        <v>0</v>
      </c>
      <c r="D17">
        <v>0</v>
      </c>
      <c r="E17">
        <v>0</v>
      </c>
      <c r="F17">
        <v>0</v>
      </c>
      <c r="G17">
        <v>0.3</v>
      </c>
      <c r="H17">
        <v>0.1</v>
      </c>
      <c r="I17">
        <v>0.3</v>
      </c>
      <c r="J17">
        <v>0.1</v>
      </c>
      <c r="K17">
        <v>0.1</v>
      </c>
      <c r="L17">
        <v>0.1</v>
      </c>
      <c r="M17">
        <v>0.1</v>
      </c>
      <c r="N17">
        <v>0.1</v>
      </c>
      <c r="O17">
        <v>0.1</v>
      </c>
      <c r="P17">
        <v>0</v>
      </c>
    </row>
    <row r="18" spans="1:16" ht="13" x14ac:dyDescent="0.15">
      <c r="A18">
        <v>17</v>
      </c>
      <c r="B18" t="s">
        <v>241</v>
      </c>
      <c r="C18">
        <v>0</v>
      </c>
      <c r="D18">
        <v>0</v>
      </c>
      <c r="E18">
        <v>0</v>
      </c>
      <c r="F18">
        <v>0</v>
      </c>
      <c r="G18">
        <v>0</v>
      </c>
      <c r="H18">
        <v>0.5</v>
      </c>
      <c r="I18">
        <v>0</v>
      </c>
      <c r="J18">
        <v>0.5</v>
      </c>
      <c r="K18">
        <v>0.5</v>
      </c>
      <c r="L18">
        <v>0.5</v>
      </c>
      <c r="M18">
        <v>0.5</v>
      </c>
      <c r="N18">
        <v>0.5</v>
      </c>
      <c r="O18">
        <v>0.5</v>
      </c>
      <c r="P18">
        <v>0</v>
      </c>
    </row>
    <row r="19" spans="1:16" ht="13" x14ac:dyDescent="0.15">
      <c r="A19">
        <v>18</v>
      </c>
      <c r="B19" t="s">
        <v>242</v>
      </c>
      <c r="C19">
        <v>0</v>
      </c>
      <c r="D19">
        <v>0</v>
      </c>
      <c r="E19">
        <v>0</v>
      </c>
      <c r="F19">
        <v>0</v>
      </c>
      <c r="G19">
        <v>0</v>
      </c>
      <c r="H19">
        <v>0.5</v>
      </c>
      <c r="I19">
        <v>0</v>
      </c>
      <c r="J19">
        <v>0.5</v>
      </c>
      <c r="K19">
        <v>0.5</v>
      </c>
      <c r="L19">
        <v>0.5</v>
      </c>
      <c r="M19">
        <v>0.5</v>
      </c>
      <c r="N19">
        <v>0.5</v>
      </c>
      <c r="O19">
        <v>0.5</v>
      </c>
      <c r="P19">
        <v>0</v>
      </c>
    </row>
    <row r="20" spans="1:16" ht="13" x14ac:dyDescent="0.15">
      <c r="A20">
        <v>19</v>
      </c>
      <c r="B20" t="s">
        <v>243</v>
      </c>
      <c r="C20">
        <v>0</v>
      </c>
      <c r="D20">
        <v>0</v>
      </c>
      <c r="E20">
        <v>0</v>
      </c>
      <c r="F20">
        <v>0</v>
      </c>
      <c r="G20">
        <v>0</v>
      </c>
      <c r="H20">
        <v>0.5</v>
      </c>
      <c r="I20">
        <v>0</v>
      </c>
      <c r="J20">
        <v>0.5</v>
      </c>
      <c r="K20">
        <v>0.5</v>
      </c>
      <c r="L20">
        <v>0.5</v>
      </c>
      <c r="M20">
        <v>0.5</v>
      </c>
      <c r="N20">
        <v>0.5</v>
      </c>
      <c r="O20">
        <v>0.5</v>
      </c>
      <c r="P20">
        <v>0</v>
      </c>
    </row>
    <row r="21" spans="1:16" ht="13" x14ac:dyDescent="0.15">
      <c r="A21">
        <v>20</v>
      </c>
      <c r="B21" t="s">
        <v>244</v>
      </c>
      <c r="C21">
        <v>0</v>
      </c>
      <c r="D21">
        <v>0</v>
      </c>
      <c r="E21">
        <v>0</v>
      </c>
      <c r="F21">
        <v>0</v>
      </c>
      <c r="G21">
        <v>0</v>
      </c>
      <c r="H21">
        <v>0.5</v>
      </c>
      <c r="I21">
        <v>0</v>
      </c>
      <c r="J21">
        <v>0.5</v>
      </c>
      <c r="K21">
        <v>0.5</v>
      </c>
      <c r="L21">
        <v>0.5</v>
      </c>
      <c r="M21">
        <v>0.5</v>
      </c>
      <c r="N21">
        <v>0.5</v>
      </c>
      <c r="O21">
        <v>0.5</v>
      </c>
      <c r="P21">
        <v>0</v>
      </c>
    </row>
    <row r="22" spans="1:16" ht="13" x14ac:dyDescent="0.15">
      <c r="A22">
        <v>21</v>
      </c>
      <c r="B22" t="s">
        <v>245</v>
      </c>
      <c r="C22">
        <v>0</v>
      </c>
      <c r="D22">
        <v>0</v>
      </c>
      <c r="E22">
        <v>0</v>
      </c>
      <c r="F22">
        <v>0</v>
      </c>
      <c r="G22">
        <v>0</v>
      </c>
      <c r="H22">
        <v>0.5</v>
      </c>
      <c r="I22">
        <v>0</v>
      </c>
      <c r="J22">
        <v>0.5</v>
      </c>
      <c r="K22">
        <v>0.5</v>
      </c>
      <c r="L22">
        <v>0.5</v>
      </c>
      <c r="M22">
        <v>0.5</v>
      </c>
      <c r="N22">
        <v>0.5</v>
      </c>
      <c r="O22">
        <v>0.5</v>
      </c>
      <c r="P22">
        <v>0</v>
      </c>
    </row>
    <row r="23" spans="1:16" ht="13" x14ac:dyDescent="0.15">
      <c r="A23">
        <v>22</v>
      </c>
      <c r="B23" t="s">
        <v>246</v>
      </c>
      <c r="C23">
        <v>0</v>
      </c>
      <c r="D23">
        <v>0</v>
      </c>
      <c r="E23">
        <v>0</v>
      </c>
      <c r="F23">
        <v>0</v>
      </c>
      <c r="G23">
        <v>0</v>
      </c>
      <c r="H23">
        <v>0.5</v>
      </c>
      <c r="I23">
        <v>0</v>
      </c>
      <c r="J23">
        <v>0.5</v>
      </c>
      <c r="K23">
        <v>0.5</v>
      </c>
      <c r="L23">
        <v>0.5</v>
      </c>
      <c r="M23">
        <v>0.5</v>
      </c>
      <c r="N23">
        <v>0.5</v>
      </c>
      <c r="O23">
        <v>0.5</v>
      </c>
      <c r="P23">
        <v>0</v>
      </c>
    </row>
    <row r="24" spans="1:16" ht="13" x14ac:dyDescent="0.15">
      <c r="A24">
        <v>23</v>
      </c>
      <c r="B24" t="s">
        <v>247</v>
      </c>
      <c r="C24">
        <v>0</v>
      </c>
      <c r="D24">
        <v>0</v>
      </c>
      <c r="E24">
        <v>0</v>
      </c>
      <c r="F24">
        <v>0</v>
      </c>
      <c r="G24">
        <v>0</v>
      </c>
      <c r="H24">
        <v>0.5</v>
      </c>
      <c r="I24">
        <v>0</v>
      </c>
      <c r="J24">
        <v>0.5</v>
      </c>
      <c r="K24">
        <v>0.5</v>
      </c>
      <c r="L24">
        <v>0.5</v>
      </c>
      <c r="M24">
        <v>0.5</v>
      </c>
      <c r="N24">
        <v>0.5</v>
      </c>
      <c r="O24">
        <v>0.5</v>
      </c>
      <c r="P24">
        <v>0</v>
      </c>
    </row>
    <row r="25" spans="1:16" ht="13" x14ac:dyDescent="0.15">
      <c r="A25">
        <v>24</v>
      </c>
      <c r="B25" t="s">
        <v>248</v>
      </c>
      <c r="C25">
        <v>0</v>
      </c>
      <c r="D25">
        <v>0</v>
      </c>
      <c r="E25">
        <v>0</v>
      </c>
      <c r="F25">
        <v>0</v>
      </c>
      <c r="G25">
        <v>0</v>
      </c>
      <c r="H25">
        <v>0.5</v>
      </c>
      <c r="I25">
        <v>0</v>
      </c>
      <c r="J25">
        <v>0.5</v>
      </c>
      <c r="K25">
        <v>0.5</v>
      </c>
      <c r="L25">
        <v>0.5</v>
      </c>
      <c r="M25">
        <v>0.5</v>
      </c>
      <c r="N25">
        <v>0.5</v>
      </c>
      <c r="O25">
        <v>0.5</v>
      </c>
      <c r="P25">
        <v>0</v>
      </c>
    </row>
    <row r="26" spans="1:16" ht="13" x14ac:dyDescent="0.15">
      <c r="A26">
        <v>25</v>
      </c>
      <c r="B26" t="s">
        <v>249</v>
      </c>
      <c r="C26">
        <v>0</v>
      </c>
      <c r="D26">
        <v>0</v>
      </c>
      <c r="E26">
        <v>0</v>
      </c>
      <c r="F26">
        <v>0</v>
      </c>
      <c r="G26">
        <v>0</v>
      </c>
      <c r="H26">
        <v>0.5</v>
      </c>
      <c r="I26">
        <v>0</v>
      </c>
      <c r="J26">
        <v>0.5</v>
      </c>
      <c r="K26">
        <v>0.5</v>
      </c>
      <c r="L26">
        <v>0.5</v>
      </c>
      <c r="M26">
        <v>0.5</v>
      </c>
      <c r="N26">
        <v>0.5</v>
      </c>
      <c r="O26">
        <v>0.5</v>
      </c>
      <c r="P26">
        <v>0</v>
      </c>
    </row>
    <row r="27" spans="1:16" ht="13" x14ac:dyDescent="0.15">
      <c r="A27">
        <v>26</v>
      </c>
      <c r="B27" t="s">
        <v>250</v>
      </c>
      <c r="C27">
        <v>0</v>
      </c>
      <c r="D27">
        <v>0</v>
      </c>
      <c r="E27">
        <v>0</v>
      </c>
      <c r="F27">
        <v>0</v>
      </c>
      <c r="G27">
        <v>0</v>
      </c>
      <c r="H27">
        <v>0.5</v>
      </c>
      <c r="I27">
        <v>0</v>
      </c>
      <c r="J27">
        <v>0.5</v>
      </c>
      <c r="K27">
        <v>0.5</v>
      </c>
      <c r="L27">
        <v>0.5</v>
      </c>
      <c r="M27">
        <v>0.5</v>
      </c>
      <c r="N27">
        <v>0.5</v>
      </c>
      <c r="O27">
        <v>0.5</v>
      </c>
      <c r="P27">
        <v>0</v>
      </c>
    </row>
    <row r="28" spans="1:16" ht="13" x14ac:dyDescent="0.15">
      <c r="A28">
        <v>27</v>
      </c>
      <c r="B28" t="s">
        <v>251</v>
      </c>
      <c r="C28">
        <v>0.7</v>
      </c>
      <c r="D28">
        <v>0</v>
      </c>
      <c r="E28">
        <v>0</v>
      </c>
      <c r="F28">
        <v>0</v>
      </c>
      <c r="G28">
        <v>0</v>
      </c>
      <c r="H28">
        <v>0.4</v>
      </c>
      <c r="I28">
        <v>0</v>
      </c>
      <c r="J28">
        <v>0.4</v>
      </c>
      <c r="K28">
        <v>0</v>
      </c>
      <c r="L28">
        <v>0.4</v>
      </c>
      <c r="M28">
        <v>0.4</v>
      </c>
      <c r="N28">
        <v>0</v>
      </c>
      <c r="O28">
        <v>0.4</v>
      </c>
      <c r="P28">
        <v>0</v>
      </c>
    </row>
    <row r="29" spans="1:16" ht="13" x14ac:dyDescent="0.15">
      <c r="A29">
        <v>28</v>
      </c>
      <c r="B29" t="s">
        <v>252</v>
      </c>
      <c r="C29">
        <v>0.7</v>
      </c>
      <c r="D29">
        <v>0</v>
      </c>
      <c r="E29">
        <v>0</v>
      </c>
      <c r="F29">
        <v>0</v>
      </c>
      <c r="G29">
        <v>0.3</v>
      </c>
      <c r="H29">
        <v>0.4</v>
      </c>
      <c r="I29">
        <v>0</v>
      </c>
      <c r="J29">
        <v>0</v>
      </c>
      <c r="K29">
        <v>0</v>
      </c>
      <c r="L29">
        <v>0</v>
      </c>
      <c r="M29">
        <v>0.4</v>
      </c>
      <c r="N29">
        <v>0</v>
      </c>
      <c r="O29">
        <v>0.4</v>
      </c>
      <c r="P29">
        <v>0</v>
      </c>
    </row>
    <row r="30" spans="1:16" ht="13" x14ac:dyDescent="0.15">
      <c r="A30">
        <v>29</v>
      </c>
      <c r="B30" t="s">
        <v>253</v>
      </c>
      <c r="C30">
        <v>0.7</v>
      </c>
      <c r="D30">
        <v>0</v>
      </c>
      <c r="E30">
        <v>0</v>
      </c>
      <c r="F30">
        <v>0</v>
      </c>
      <c r="G30">
        <v>0.3</v>
      </c>
      <c r="H30">
        <v>0.4</v>
      </c>
      <c r="I30">
        <v>0.5</v>
      </c>
      <c r="J30">
        <v>0.4</v>
      </c>
      <c r="K30">
        <v>0</v>
      </c>
      <c r="L30">
        <v>0.4</v>
      </c>
      <c r="M30">
        <v>0.4</v>
      </c>
      <c r="N30">
        <v>0.4</v>
      </c>
      <c r="O30">
        <v>0.4</v>
      </c>
      <c r="P30">
        <v>0</v>
      </c>
    </row>
    <row r="31" spans="1:16" ht="13" x14ac:dyDescent="0.15">
      <c r="A31">
        <v>30</v>
      </c>
      <c r="B31" t="s">
        <v>254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ht="13" x14ac:dyDescent="0.15">
      <c r="A32">
        <v>31</v>
      </c>
      <c r="B32" t="s">
        <v>177</v>
      </c>
      <c r="C32">
        <v>0</v>
      </c>
      <c r="D32">
        <v>0</v>
      </c>
      <c r="E32">
        <v>0</v>
      </c>
      <c r="F32">
        <v>0</v>
      </c>
      <c r="G32">
        <v>0.3</v>
      </c>
      <c r="H32">
        <v>0.1</v>
      </c>
      <c r="I32">
        <v>0.3</v>
      </c>
      <c r="J32">
        <v>0.1</v>
      </c>
      <c r="K32">
        <v>0.1</v>
      </c>
      <c r="L32">
        <v>0.1</v>
      </c>
      <c r="M32">
        <v>0.1</v>
      </c>
      <c r="N32">
        <v>0.1</v>
      </c>
      <c r="O32">
        <v>0.1</v>
      </c>
      <c r="P32">
        <v>0</v>
      </c>
    </row>
    <row r="33" spans="1:16" ht="13" x14ac:dyDescent="0.15">
      <c r="A33">
        <v>32</v>
      </c>
      <c r="B33" t="s">
        <v>255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ht="13" x14ac:dyDescent="0.15">
      <c r="A34">
        <v>33</v>
      </c>
      <c r="B34" t="s">
        <v>256</v>
      </c>
      <c r="C34">
        <v>0.7</v>
      </c>
      <c r="D34">
        <v>0</v>
      </c>
      <c r="E34">
        <v>0</v>
      </c>
      <c r="F34">
        <v>0</v>
      </c>
      <c r="G34">
        <v>0.3</v>
      </c>
      <c r="H34">
        <v>0.1</v>
      </c>
      <c r="I34">
        <v>0.3</v>
      </c>
      <c r="J34">
        <v>0.1</v>
      </c>
      <c r="K34">
        <v>0.1</v>
      </c>
      <c r="L34">
        <v>0.1</v>
      </c>
      <c r="M34">
        <v>0.1</v>
      </c>
      <c r="N34">
        <v>0.1</v>
      </c>
      <c r="O34">
        <v>0.1</v>
      </c>
      <c r="P34">
        <v>0</v>
      </c>
    </row>
    <row r="35" spans="1:16" ht="13" x14ac:dyDescent="0.15">
      <c r="A35">
        <v>34</v>
      </c>
      <c r="B35" t="s">
        <v>257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ht="13" x14ac:dyDescent="0.15">
      <c r="A36">
        <v>35</v>
      </c>
      <c r="B36" t="s">
        <v>178</v>
      </c>
      <c r="C36">
        <v>0</v>
      </c>
      <c r="D36">
        <v>0</v>
      </c>
      <c r="E36">
        <v>0.1</v>
      </c>
      <c r="F36">
        <v>0</v>
      </c>
      <c r="G36">
        <v>0.3</v>
      </c>
      <c r="H36">
        <v>0.1</v>
      </c>
      <c r="I36">
        <v>0</v>
      </c>
      <c r="J36">
        <v>0</v>
      </c>
      <c r="K36">
        <v>0.1</v>
      </c>
      <c r="L36">
        <v>0.1</v>
      </c>
      <c r="M36">
        <v>0.1</v>
      </c>
      <c r="N36">
        <v>0.1</v>
      </c>
      <c r="O36">
        <v>0</v>
      </c>
      <c r="P36">
        <v>0</v>
      </c>
    </row>
    <row r="37" spans="1:16" ht="13" x14ac:dyDescent="0.15">
      <c r="A37">
        <v>36</v>
      </c>
      <c r="B37" t="s">
        <v>258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ht="13" x14ac:dyDescent="0.15">
      <c r="A38">
        <v>37</v>
      </c>
      <c r="B38" t="s">
        <v>179</v>
      </c>
      <c r="C38">
        <v>0.7</v>
      </c>
      <c r="D38">
        <v>0</v>
      </c>
      <c r="E38">
        <v>0</v>
      </c>
      <c r="F38">
        <v>0</v>
      </c>
      <c r="G38">
        <v>0.3</v>
      </c>
      <c r="H38">
        <v>0.1</v>
      </c>
      <c r="I38">
        <v>0.3</v>
      </c>
      <c r="J38">
        <v>0.1</v>
      </c>
      <c r="K38">
        <v>0.1</v>
      </c>
      <c r="L38">
        <v>0.1</v>
      </c>
      <c r="M38">
        <v>0.1</v>
      </c>
      <c r="N38">
        <v>0.1</v>
      </c>
      <c r="O38">
        <v>0.1</v>
      </c>
      <c r="P38">
        <v>0</v>
      </c>
    </row>
    <row r="39" spans="1:16" ht="13" x14ac:dyDescent="0.15">
      <c r="A39">
        <v>38</v>
      </c>
      <c r="B39" t="s">
        <v>259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ht="13" x14ac:dyDescent="0.15">
      <c r="A40">
        <v>39</v>
      </c>
      <c r="B40" t="s">
        <v>260</v>
      </c>
      <c r="C40">
        <v>0.1</v>
      </c>
      <c r="D40">
        <v>0</v>
      </c>
      <c r="E40">
        <v>0</v>
      </c>
      <c r="F40">
        <v>0</v>
      </c>
      <c r="G40">
        <v>0.3</v>
      </c>
      <c r="H40">
        <v>0.3</v>
      </c>
      <c r="I40">
        <v>0.4</v>
      </c>
      <c r="J40">
        <v>0.3</v>
      </c>
      <c r="K40">
        <v>0.3</v>
      </c>
      <c r="L40">
        <v>0.3</v>
      </c>
      <c r="M40">
        <v>0.3</v>
      </c>
      <c r="N40">
        <v>0.3</v>
      </c>
      <c r="O40">
        <v>0.3</v>
      </c>
      <c r="P40">
        <v>0</v>
      </c>
    </row>
    <row r="41" spans="1:16" ht="13" x14ac:dyDescent="0.15">
      <c r="A41">
        <v>40</v>
      </c>
      <c r="B41" t="s">
        <v>261</v>
      </c>
      <c r="C41">
        <v>0</v>
      </c>
      <c r="D41">
        <v>0</v>
      </c>
      <c r="E41">
        <v>0</v>
      </c>
      <c r="F41">
        <v>0</v>
      </c>
      <c r="G41">
        <v>0.3</v>
      </c>
      <c r="H41">
        <v>0.1</v>
      </c>
      <c r="I41">
        <v>0.3</v>
      </c>
      <c r="J41">
        <v>0</v>
      </c>
      <c r="K41">
        <v>0</v>
      </c>
      <c r="L41">
        <v>0.1</v>
      </c>
      <c r="M41">
        <v>0.1</v>
      </c>
      <c r="N41">
        <v>0</v>
      </c>
      <c r="O41">
        <v>0</v>
      </c>
      <c r="P41">
        <v>0</v>
      </c>
    </row>
    <row r="42" spans="1:16" ht="13" x14ac:dyDescent="0.15">
      <c r="A42">
        <v>41</v>
      </c>
      <c r="B42" t="s">
        <v>262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ht="13" x14ac:dyDescent="0.15">
      <c r="A43">
        <v>42</v>
      </c>
      <c r="B43" t="s">
        <v>263</v>
      </c>
      <c r="C43">
        <v>0</v>
      </c>
      <c r="D43">
        <v>0</v>
      </c>
      <c r="E43">
        <v>0</v>
      </c>
      <c r="F43">
        <v>0</v>
      </c>
      <c r="G43">
        <v>0</v>
      </c>
      <c r="H43">
        <v>0.1</v>
      </c>
      <c r="I43">
        <v>0.3</v>
      </c>
      <c r="J43">
        <v>0.1</v>
      </c>
      <c r="K43">
        <v>0.1</v>
      </c>
      <c r="L43">
        <v>0.1</v>
      </c>
      <c r="M43">
        <v>0.1</v>
      </c>
      <c r="N43">
        <v>0.1</v>
      </c>
      <c r="O43">
        <v>0.1</v>
      </c>
      <c r="P43">
        <v>0</v>
      </c>
    </row>
    <row r="44" spans="1:16" ht="13" x14ac:dyDescent="0.15">
      <c r="A44">
        <v>43</v>
      </c>
      <c r="B44" t="s">
        <v>264</v>
      </c>
      <c r="C44">
        <v>0</v>
      </c>
      <c r="D44">
        <v>0</v>
      </c>
      <c r="E44">
        <v>0</v>
      </c>
      <c r="F44">
        <v>0</v>
      </c>
      <c r="G44">
        <v>0</v>
      </c>
      <c r="H44">
        <v>0.3</v>
      </c>
      <c r="I44">
        <v>0.4</v>
      </c>
      <c r="J44">
        <v>0.3</v>
      </c>
      <c r="K44">
        <v>0</v>
      </c>
      <c r="L44">
        <v>0.3</v>
      </c>
      <c r="M44">
        <v>0.3</v>
      </c>
      <c r="N44">
        <v>0.3</v>
      </c>
      <c r="O44">
        <v>0</v>
      </c>
      <c r="P44">
        <v>0</v>
      </c>
    </row>
    <row r="45" spans="1:16" ht="13" x14ac:dyDescent="0.15">
      <c r="A45">
        <v>44</v>
      </c>
      <c r="B45" t="s">
        <v>265</v>
      </c>
      <c r="C45">
        <v>0</v>
      </c>
      <c r="D45">
        <v>0</v>
      </c>
      <c r="E45">
        <v>0</v>
      </c>
      <c r="F45">
        <v>0</v>
      </c>
      <c r="G45">
        <v>0.3</v>
      </c>
      <c r="H45">
        <v>0.3</v>
      </c>
      <c r="I45">
        <v>0.4</v>
      </c>
      <c r="J45">
        <v>0.3</v>
      </c>
      <c r="K45">
        <v>0</v>
      </c>
      <c r="L45">
        <v>0.3</v>
      </c>
      <c r="M45">
        <v>0.3</v>
      </c>
      <c r="N45">
        <v>0.3</v>
      </c>
      <c r="O45">
        <v>0</v>
      </c>
      <c r="P45">
        <v>0</v>
      </c>
    </row>
    <row r="46" spans="1:16" ht="13" x14ac:dyDescent="0.15">
      <c r="A46">
        <v>45</v>
      </c>
      <c r="B46" t="s">
        <v>266</v>
      </c>
      <c r="C46">
        <v>0</v>
      </c>
      <c r="D46">
        <v>0</v>
      </c>
      <c r="E46">
        <v>0</v>
      </c>
      <c r="F46">
        <v>0</v>
      </c>
      <c r="G46">
        <v>0</v>
      </c>
      <c r="H46">
        <v>0.1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ht="13" x14ac:dyDescent="0.15">
      <c r="A47">
        <v>46</v>
      </c>
      <c r="B47" t="s">
        <v>267</v>
      </c>
      <c r="C47">
        <v>0</v>
      </c>
      <c r="D47">
        <v>0</v>
      </c>
      <c r="E47">
        <v>0</v>
      </c>
      <c r="F47">
        <v>0</v>
      </c>
      <c r="G47">
        <v>0</v>
      </c>
      <c r="H47">
        <v>0.1</v>
      </c>
      <c r="I47">
        <v>0.3</v>
      </c>
      <c r="J47">
        <v>0.1</v>
      </c>
      <c r="K47">
        <v>0.1</v>
      </c>
      <c r="L47">
        <v>0.1</v>
      </c>
      <c r="M47">
        <v>0.1</v>
      </c>
      <c r="N47">
        <v>0.1</v>
      </c>
      <c r="O47">
        <v>0.1</v>
      </c>
      <c r="P47">
        <v>0</v>
      </c>
    </row>
    <row r="48" spans="1:16" ht="13" x14ac:dyDescent="0.15">
      <c r="A48">
        <v>47</v>
      </c>
      <c r="B48" t="s">
        <v>268</v>
      </c>
      <c r="C48">
        <v>0</v>
      </c>
      <c r="D48">
        <v>0</v>
      </c>
      <c r="E48">
        <v>0</v>
      </c>
      <c r="F48">
        <v>0</v>
      </c>
      <c r="G48">
        <v>0.3</v>
      </c>
      <c r="H48">
        <v>0.1</v>
      </c>
      <c r="I48">
        <v>0.3</v>
      </c>
      <c r="J48">
        <v>0</v>
      </c>
      <c r="K48">
        <v>0</v>
      </c>
      <c r="L48">
        <v>0.1</v>
      </c>
      <c r="M48">
        <v>0.1</v>
      </c>
      <c r="N48">
        <v>0.1</v>
      </c>
      <c r="O48">
        <v>0</v>
      </c>
      <c r="P48">
        <v>0</v>
      </c>
    </row>
    <row r="49" spans="1:16" ht="13" x14ac:dyDescent="0.15">
      <c r="A49">
        <v>48</v>
      </c>
      <c r="B49" t="s">
        <v>269</v>
      </c>
      <c r="C49">
        <v>0</v>
      </c>
      <c r="D49">
        <v>0</v>
      </c>
      <c r="E49">
        <v>0</v>
      </c>
      <c r="F49">
        <v>0</v>
      </c>
      <c r="G49">
        <v>0.3</v>
      </c>
      <c r="H49">
        <v>0.3</v>
      </c>
      <c r="I49">
        <v>0.4</v>
      </c>
      <c r="J49">
        <v>0.3</v>
      </c>
      <c r="K49">
        <v>0.3</v>
      </c>
      <c r="L49">
        <v>0.3</v>
      </c>
      <c r="M49">
        <v>0.3</v>
      </c>
      <c r="N49">
        <v>0.3</v>
      </c>
      <c r="O49">
        <v>0.3</v>
      </c>
      <c r="P49">
        <v>0</v>
      </c>
    </row>
    <row r="50" spans="1:16" ht="13" x14ac:dyDescent="0.15">
      <c r="A50">
        <v>49</v>
      </c>
      <c r="B50" t="s">
        <v>270</v>
      </c>
      <c r="C50">
        <v>0.7</v>
      </c>
      <c r="D50">
        <v>0</v>
      </c>
      <c r="E50">
        <v>0</v>
      </c>
      <c r="F50">
        <v>0</v>
      </c>
      <c r="G50">
        <v>0</v>
      </c>
      <c r="H50">
        <v>0.5</v>
      </c>
      <c r="I50">
        <v>0.7</v>
      </c>
      <c r="J50">
        <v>0.5</v>
      </c>
      <c r="K50">
        <v>0.5</v>
      </c>
      <c r="L50">
        <v>0.5</v>
      </c>
      <c r="M50">
        <v>0.5</v>
      </c>
      <c r="N50">
        <v>0.5</v>
      </c>
      <c r="O50">
        <v>0.5</v>
      </c>
      <c r="P50">
        <v>0</v>
      </c>
    </row>
    <row r="51" spans="1:16" ht="13" x14ac:dyDescent="0.15">
      <c r="A51">
        <v>50</v>
      </c>
      <c r="B51" t="s">
        <v>271</v>
      </c>
      <c r="C51">
        <v>0.7</v>
      </c>
      <c r="D51">
        <v>0</v>
      </c>
      <c r="E51">
        <v>0</v>
      </c>
      <c r="F51">
        <v>0</v>
      </c>
      <c r="G51">
        <v>0</v>
      </c>
      <c r="H51">
        <v>0.5</v>
      </c>
      <c r="I51">
        <v>0.7</v>
      </c>
      <c r="J51">
        <v>0.5</v>
      </c>
      <c r="K51">
        <v>0.5</v>
      </c>
      <c r="L51">
        <v>0.5</v>
      </c>
      <c r="M51">
        <v>0.5</v>
      </c>
      <c r="N51">
        <v>0.5</v>
      </c>
      <c r="O51">
        <v>0.5</v>
      </c>
      <c r="P51">
        <v>0</v>
      </c>
    </row>
    <row r="52" spans="1:16" ht="13" x14ac:dyDescent="0.15">
      <c r="A52">
        <v>51</v>
      </c>
      <c r="B52" t="s">
        <v>272</v>
      </c>
      <c r="C52">
        <v>0.7</v>
      </c>
      <c r="D52">
        <v>0</v>
      </c>
      <c r="E52">
        <v>0</v>
      </c>
      <c r="F52">
        <v>0</v>
      </c>
      <c r="G52">
        <v>0.3</v>
      </c>
      <c r="H52">
        <v>0.5</v>
      </c>
      <c r="I52">
        <v>0.7</v>
      </c>
      <c r="J52">
        <v>0.5</v>
      </c>
      <c r="K52">
        <v>0.5</v>
      </c>
      <c r="L52">
        <v>0.5</v>
      </c>
      <c r="M52">
        <v>0.5</v>
      </c>
      <c r="N52">
        <v>0.5</v>
      </c>
      <c r="O52">
        <v>0.5</v>
      </c>
      <c r="P52">
        <v>0</v>
      </c>
    </row>
    <row r="53" spans="1:16" ht="13" x14ac:dyDescent="0.15">
      <c r="A53">
        <v>52</v>
      </c>
      <c r="B53" t="s">
        <v>273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ht="13" x14ac:dyDescent="0.15">
      <c r="A54">
        <v>53</v>
      </c>
      <c r="B54" t="s">
        <v>274</v>
      </c>
      <c r="C54">
        <v>0.7</v>
      </c>
      <c r="D54">
        <v>0</v>
      </c>
      <c r="E54">
        <v>0</v>
      </c>
      <c r="F54">
        <v>0</v>
      </c>
      <c r="G54">
        <v>0.3</v>
      </c>
      <c r="H54">
        <v>0.1</v>
      </c>
      <c r="I54">
        <v>0.3</v>
      </c>
      <c r="J54">
        <v>0.1</v>
      </c>
      <c r="K54">
        <v>0.1</v>
      </c>
      <c r="L54">
        <v>0.1</v>
      </c>
      <c r="M54">
        <v>0.1</v>
      </c>
      <c r="N54">
        <v>0.1</v>
      </c>
      <c r="O54">
        <v>0.1</v>
      </c>
      <c r="P54">
        <v>0</v>
      </c>
    </row>
    <row r="55" spans="1:16" ht="13" x14ac:dyDescent="0.15">
      <c r="A55">
        <v>54</v>
      </c>
      <c r="B55" t="s">
        <v>275</v>
      </c>
      <c r="C55">
        <v>0</v>
      </c>
      <c r="D55">
        <v>0</v>
      </c>
      <c r="E55">
        <v>0</v>
      </c>
      <c r="F55">
        <v>0</v>
      </c>
      <c r="G55">
        <v>0</v>
      </c>
      <c r="H55">
        <v>0.7</v>
      </c>
      <c r="I55">
        <v>0.7</v>
      </c>
      <c r="J55">
        <v>0.7</v>
      </c>
      <c r="K55">
        <v>0.7</v>
      </c>
      <c r="L55">
        <v>0.7</v>
      </c>
      <c r="M55">
        <v>0.7</v>
      </c>
      <c r="N55">
        <v>0.7</v>
      </c>
      <c r="O55">
        <v>0.7</v>
      </c>
      <c r="P55">
        <v>0</v>
      </c>
    </row>
    <row r="56" spans="1:16" ht="13" x14ac:dyDescent="0.15">
      <c r="A56">
        <v>55</v>
      </c>
      <c r="B56" t="s">
        <v>276</v>
      </c>
      <c r="C56">
        <v>0</v>
      </c>
      <c r="D56">
        <v>0</v>
      </c>
      <c r="E56">
        <v>0</v>
      </c>
      <c r="F56">
        <v>0</v>
      </c>
      <c r="G56">
        <v>0</v>
      </c>
      <c r="H56">
        <v>0.5</v>
      </c>
      <c r="I56">
        <v>0.7</v>
      </c>
      <c r="J56">
        <v>0.5</v>
      </c>
      <c r="K56">
        <v>0</v>
      </c>
      <c r="L56">
        <v>0.5</v>
      </c>
      <c r="M56">
        <v>0.5</v>
      </c>
      <c r="N56">
        <v>0.5</v>
      </c>
      <c r="O56">
        <v>0.5</v>
      </c>
      <c r="P56">
        <v>0</v>
      </c>
    </row>
    <row r="57" spans="1:16" ht="13" x14ac:dyDescent="0.15">
      <c r="A57">
        <v>56</v>
      </c>
      <c r="B57" t="s">
        <v>277</v>
      </c>
      <c r="C57">
        <v>0</v>
      </c>
      <c r="D57">
        <v>0</v>
      </c>
      <c r="E57">
        <v>0</v>
      </c>
      <c r="F57">
        <v>0</v>
      </c>
      <c r="G57">
        <v>0</v>
      </c>
      <c r="H57">
        <v>0.7</v>
      </c>
      <c r="I57">
        <v>0.7</v>
      </c>
      <c r="J57">
        <v>0.7</v>
      </c>
      <c r="K57">
        <v>0.7</v>
      </c>
      <c r="L57">
        <v>0.7</v>
      </c>
      <c r="M57">
        <v>0.7</v>
      </c>
      <c r="N57">
        <v>0.7</v>
      </c>
      <c r="O57">
        <v>0.7</v>
      </c>
      <c r="P57">
        <v>0</v>
      </c>
    </row>
    <row r="58" spans="1:16" ht="13" x14ac:dyDescent="0.15">
      <c r="A58">
        <v>57</v>
      </c>
      <c r="B58" t="s">
        <v>278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ht="13" x14ac:dyDescent="0.15">
      <c r="A59">
        <v>58</v>
      </c>
      <c r="B59" t="s">
        <v>279</v>
      </c>
      <c r="C59">
        <v>0.8</v>
      </c>
      <c r="D59">
        <v>0</v>
      </c>
      <c r="E59">
        <v>0</v>
      </c>
      <c r="F59">
        <v>0</v>
      </c>
      <c r="G59">
        <v>0.3</v>
      </c>
      <c r="H59">
        <v>0.1</v>
      </c>
      <c r="I59">
        <v>0.3</v>
      </c>
      <c r="J59">
        <v>0.1</v>
      </c>
      <c r="K59">
        <v>0.1</v>
      </c>
      <c r="L59">
        <v>0.1</v>
      </c>
      <c r="M59">
        <v>0.1</v>
      </c>
      <c r="N59">
        <v>0.1</v>
      </c>
      <c r="O59">
        <v>0.1</v>
      </c>
      <c r="P59">
        <v>0</v>
      </c>
    </row>
    <row r="60" spans="1:16" ht="13" x14ac:dyDescent="0.15">
      <c r="A60">
        <v>59</v>
      </c>
      <c r="B60" t="s">
        <v>280</v>
      </c>
      <c r="C60">
        <v>0.8</v>
      </c>
      <c r="D60">
        <v>0</v>
      </c>
      <c r="E60">
        <v>0</v>
      </c>
      <c r="F60">
        <v>0</v>
      </c>
      <c r="G60">
        <v>0</v>
      </c>
      <c r="H60">
        <v>0.3</v>
      </c>
      <c r="I60">
        <v>0.4</v>
      </c>
      <c r="J60">
        <v>0.3</v>
      </c>
      <c r="K60">
        <v>0.3</v>
      </c>
      <c r="L60">
        <v>0.3</v>
      </c>
      <c r="M60">
        <v>0.3</v>
      </c>
      <c r="N60">
        <v>0.3</v>
      </c>
      <c r="O60">
        <v>0.3</v>
      </c>
      <c r="P60">
        <v>0</v>
      </c>
    </row>
    <row r="61" spans="1:16" ht="13" x14ac:dyDescent="0.15">
      <c r="A61">
        <v>60</v>
      </c>
      <c r="B61" t="s">
        <v>281</v>
      </c>
      <c r="C61">
        <v>0.8</v>
      </c>
      <c r="D61">
        <v>0</v>
      </c>
      <c r="E61">
        <v>0</v>
      </c>
      <c r="F61">
        <v>0</v>
      </c>
      <c r="G61">
        <v>0</v>
      </c>
      <c r="H61">
        <v>0.3</v>
      </c>
      <c r="I61">
        <v>0.4</v>
      </c>
      <c r="J61">
        <v>0.3</v>
      </c>
      <c r="K61">
        <v>0</v>
      </c>
      <c r="L61">
        <v>0.3</v>
      </c>
      <c r="M61">
        <v>0.3</v>
      </c>
      <c r="N61">
        <v>0.3</v>
      </c>
      <c r="O61">
        <v>0.3</v>
      </c>
      <c r="P61">
        <v>0</v>
      </c>
    </row>
    <row r="62" spans="1:16" ht="13" x14ac:dyDescent="0.15">
      <c r="A62">
        <v>61</v>
      </c>
      <c r="B62" t="s">
        <v>282</v>
      </c>
      <c r="C62">
        <v>0.8</v>
      </c>
      <c r="D62">
        <v>0</v>
      </c>
      <c r="E62">
        <v>0</v>
      </c>
      <c r="F62">
        <v>0</v>
      </c>
      <c r="G62">
        <v>0</v>
      </c>
      <c r="H62">
        <v>0.1</v>
      </c>
      <c r="I62">
        <v>0.3</v>
      </c>
      <c r="J62">
        <v>0.1</v>
      </c>
      <c r="K62">
        <v>0.1</v>
      </c>
      <c r="L62">
        <v>0.1</v>
      </c>
      <c r="M62">
        <v>0.1</v>
      </c>
      <c r="N62">
        <v>0.1</v>
      </c>
      <c r="O62">
        <v>0.1</v>
      </c>
      <c r="P62">
        <v>0</v>
      </c>
    </row>
    <row r="63" spans="1:16" ht="13" x14ac:dyDescent="0.15">
      <c r="A63">
        <v>62</v>
      </c>
      <c r="B63" t="s">
        <v>283</v>
      </c>
      <c r="C63">
        <v>0.8</v>
      </c>
      <c r="D63">
        <v>0</v>
      </c>
      <c r="E63">
        <v>0</v>
      </c>
      <c r="F63">
        <v>0</v>
      </c>
      <c r="G63">
        <v>0</v>
      </c>
      <c r="H63">
        <v>0.3</v>
      </c>
      <c r="I63">
        <v>0.4</v>
      </c>
      <c r="J63">
        <v>0.3</v>
      </c>
      <c r="K63">
        <v>0.3</v>
      </c>
      <c r="L63">
        <v>0.3</v>
      </c>
      <c r="M63">
        <v>0.3</v>
      </c>
      <c r="N63">
        <v>0.3</v>
      </c>
      <c r="O63">
        <v>0.3</v>
      </c>
      <c r="P63">
        <v>0</v>
      </c>
    </row>
    <row r="64" spans="1:16" ht="13" x14ac:dyDescent="0.15">
      <c r="A64">
        <v>63</v>
      </c>
      <c r="B64" t="s">
        <v>284</v>
      </c>
      <c r="C64">
        <v>0.8</v>
      </c>
      <c r="D64">
        <v>0</v>
      </c>
      <c r="E64">
        <v>0</v>
      </c>
      <c r="F64">
        <v>0</v>
      </c>
      <c r="G64">
        <v>0</v>
      </c>
      <c r="H64">
        <v>0.3</v>
      </c>
      <c r="I64">
        <v>0.4</v>
      </c>
      <c r="J64">
        <v>0.3</v>
      </c>
      <c r="K64">
        <v>0.3</v>
      </c>
      <c r="L64">
        <v>0.3</v>
      </c>
      <c r="M64">
        <v>0.3</v>
      </c>
      <c r="N64">
        <v>0.3</v>
      </c>
      <c r="O64">
        <v>0.3</v>
      </c>
      <c r="P64">
        <v>0</v>
      </c>
    </row>
    <row r="65" spans="1:16" ht="13" x14ac:dyDescent="0.15">
      <c r="A65">
        <v>64</v>
      </c>
      <c r="B65" t="s">
        <v>285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ht="13" x14ac:dyDescent="0.15">
      <c r="A66">
        <v>65</v>
      </c>
      <c r="B66" t="s">
        <v>286</v>
      </c>
      <c r="C66">
        <v>0.8</v>
      </c>
      <c r="D66">
        <v>0</v>
      </c>
      <c r="E66">
        <v>0</v>
      </c>
      <c r="F66">
        <v>0</v>
      </c>
      <c r="G66">
        <v>0</v>
      </c>
      <c r="H66">
        <v>0.1</v>
      </c>
      <c r="I66">
        <v>0.3</v>
      </c>
      <c r="J66">
        <v>0.1</v>
      </c>
      <c r="K66">
        <v>0.1</v>
      </c>
      <c r="L66">
        <v>0.1</v>
      </c>
      <c r="M66">
        <v>0.1</v>
      </c>
      <c r="N66">
        <v>0.1</v>
      </c>
      <c r="O66">
        <v>0.1</v>
      </c>
      <c r="P66">
        <v>0</v>
      </c>
    </row>
    <row r="67" spans="1:16" ht="13" x14ac:dyDescent="0.15">
      <c r="A67">
        <v>66</v>
      </c>
      <c r="B67" t="s">
        <v>287</v>
      </c>
      <c r="C67">
        <v>0.8</v>
      </c>
      <c r="D67">
        <v>0</v>
      </c>
      <c r="E67">
        <v>0</v>
      </c>
      <c r="F67">
        <v>0</v>
      </c>
      <c r="G67">
        <v>0.3</v>
      </c>
      <c r="H67">
        <v>0.3</v>
      </c>
      <c r="I67">
        <v>0.4</v>
      </c>
      <c r="J67">
        <v>0.3</v>
      </c>
      <c r="K67">
        <v>0.3</v>
      </c>
      <c r="L67">
        <v>0.3</v>
      </c>
      <c r="M67">
        <v>0.3</v>
      </c>
      <c r="N67">
        <v>0.3</v>
      </c>
      <c r="O67">
        <v>0.3</v>
      </c>
      <c r="P67">
        <v>0</v>
      </c>
    </row>
    <row r="68" spans="1:16" ht="13" x14ac:dyDescent="0.15">
      <c r="A68">
        <v>67</v>
      </c>
      <c r="B68" t="s">
        <v>288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ht="13" x14ac:dyDescent="0.15">
      <c r="A69">
        <v>68</v>
      </c>
      <c r="B69" t="s">
        <v>289</v>
      </c>
      <c r="C69">
        <v>0</v>
      </c>
      <c r="D69">
        <v>0</v>
      </c>
      <c r="E69">
        <v>0</v>
      </c>
      <c r="F69">
        <v>0</v>
      </c>
      <c r="G69">
        <v>0</v>
      </c>
      <c r="H69">
        <v>0.1</v>
      </c>
      <c r="I69">
        <v>0.3</v>
      </c>
      <c r="J69">
        <v>0</v>
      </c>
      <c r="K69">
        <v>0.1</v>
      </c>
      <c r="L69">
        <v>0.1</v>
      </c>
      <c r="M69">
        <v>0.1</v>
      </c>
      <c r="N69">
        <v>0.1</v>
      </c>
      <c r="O69">
        <v>0</v>
      </c>
      <c r="P69">
        <v>0</v>
      </c>
    </row>
    <row r="70" spans="1:16" ht="13" x14ac:dyDescent="0.15">
      <c r="A70">
        <v>69</v>
      </c>
      <c r="B70" t="s">
        <v>290</v>
      </c>
      <c r="C70">
        <v>0</v>
      </c>
      <c r="D70">
        <v>0</v>
      </c>
      <c r="E70">
        <v>0</v>
      </c>
      <c r="F70">
        <v>0</v>
      </c>
      <c r="G70">
        <v>0.3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ht="13" x14ac:dyDescent="0.15">
      <c r="A71">
        <v>70</v>
      </c>
      <c r="B71" t="s">
        <v>291</v>
      </c>
      <c r="C71">
        <v>0.8</v>
      </c>
      <c r="D71">
        <v>0</v>
      </c>
      <c r="E71">
        <v>0</v>
      </c>
      <c r="F71">
        <v>0</v>
      </c>
      <c r="G71">
        <v>0.3</v>
      </c>
      <c r="H71">
        <v>0.5</v>
      </c>
      <c r="I71">
        <v>0.7</v>
      </c>
      <c r="J71">
        <v>0.5</v>
      </c>
      <c r="K71">
        <v>0.5</v>
      </c>
      <c r="L71">
        <v>0.5</v>
      </c>
      <c r="M71">
        <v>0.5</v>
      </c>
      <c r="N71">
        <v>0.5</v>
      </c>
      <c r="O71">
        <v>0.5</v>
      </c>
      <c r="P71">
        <v>0</v>
      </c>
    </row>
    <row r="72" spans="1:16" ht="13" x14ac:dyDescent="0.15">
      <c r="A72">
        <v>71</v>
      </c>
      <c r="B72" t="s">
        <v>180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ht="13" x14ac:dyDescent="0.15">
      <c r="A73">
        <v>72</v>
      </c>
      <c r="B73" t="s">
        <v>292</v>
      </c>
      <c r="C73">
        <v>0</v>
      </c>
      <c r="D73">
        <v>0</v>
      </c>
      <c r="E73">
        <v>0</v>
      </c>
      <c r="F73">
        <v>0</v>
      </c>
      <c r="G73">
        <v>0.3</v>
      </c>
      <c r="H73">
        <v>0.7</v>
      </c>
      <c r="I73">
        <v>0.7</v>
      </c>
      <c r="J73">
        <v>0.7</v>
      </c>
      <c r="K73">
        <v>0.7</v>
      </c>
      <c r="L73">
        <v>0.7</v>
      </c>
      <c r="M73">
        <v>0.7</v>
      </c>
      <c r="N73">
        <v>0.7</v>
      </c>
      <c r="O73">
        <v>0.7</v>
      </c>
      <c r="P73">
        <v>0</v>
      </c>
    </row>
    <row r="74" spans="1:16" ht="13" x14ac:dyDescent="0.15">
      <c r="A74">
        <v>73</v>
      </c>
      <c r="B74" t="s">
        <v>293</v>
      </c>
      <c r="C74">
        <v>0</v>
      </c>
      <c r="D74">
        <v>0</v>
      </c>
      <c r="E74">
        <v>0</v>
      </c>
      <c r="F74">
        <v>0</v>
      </c>
      <c r="G74">
        <v>0</v>
      </c>
      <c r="H74">
        <v>0.4</v>
      </c>
      <c r="I74">
        <v>0.5</v>
      </c>
      <c r="J74">
        <v>0.4</v>
      </c>
      <c r="K74">
        <v>0.4</v>
      </c>
      <c r="L74">
        <v>0.4</v>
      </c>
      <c r="M74">
        <v>0.4</v>
      </c>
      <c r="N74">
        <v>0.4</v>
      </c>
      <c r="O74">
        <v>0.4</v>
      </c>
      <c r="P74">
        <v>0</v>
      </c>
    </row>
    <row r="75" spans="1:16" ht="13" x14ac:dyDescent="0.15">
      <c r="A75">
        <v>74</v>
      </c>
      <c r="B75" t="s">
        <v>294</v>
      </c>
      <c r="C75">
        <v>0</v>
      </c>
      <c r="D75">
        <v>0</v>
      </c>
      <c r="E75">
        <v>0</v>
      </c>
      <c r="F75">
        <v>0</v>
      </c>
      <c r="G75">
        <v>0</v>
      </c>
      <c r="H75">
        <v>0.4</v>
      </c>
      <c r="I75">
        <v>0.5</v>
      </c>
      <c r="J75">
        <v>0</v>
      </c>
      <c r="K75">
        <v>0</v>
      </c>
      <c r="L75">
        <v>0.4</v>
      </c>
      <c r="M75">
        <v>0.4</v>
      </c>
      <c r="N75">
        <v>0.4</v>
      </c>
      <c r="O75">
        <v>0.4</v>
      </c>
      <c r="P75">
        <v>0</v>
      </c>
    </row>
    <row r="76" spans="1:16" ht="13" x14ac:dyDescent="0.15">
      <c r="A76">
        <v>75</v>
      </c>
      <c r="B76" t="s">
        <v>295</v>
      </c>
      <c r="C76">
        <v>0</v>
      </c>
      <c r="D76">
        <v>0</v>
      </c>
      <c r="E76">
        <v>0</v>
      </c>
      <c r="F76">
        <v>0.1</v>
      </c>
      <c r="G76">
        <v>0</v>
      </c>
      <c r="H76">
        <v>0.3</v>
      </c>
      <c r="I76">
        <v>0.4</v>
      </c>
      <c r="J76">
        <v>0.3</v>
      </c>
      <c r="K76">
        <v>0</v>
      </c>
      <c r="L76">
        <v>0.3</v>
      </c>
      <c r="M76">
        <v>0.3</v>
      </c>
      <c r="N76">
        <v>0.3</v>
      </c>
      <c r="O76">
        <v>0.3</v>
      </c>
      <c r="P76">
        <v>0</v>
      </c>
    </row>
    <row r="77" spans="1:16" ht="13" x14ac:dyDescent="0.15">
      <c r="A77">
        <v>76</v>
      </c>
      <c r="B77" t="s">
        <v>296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ht="13" x14ac:dyDescent="0.15">
      <c r="A78">
        <v>77</v>
      </c>
      <c r="B78" t="s">
        <v>297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ht="13" x14ac:dyDescent="0.15">
      <c r="A79">
        <v>78</v>
      </c>
      <c r="B79" t="s">
        <v>298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0.5</v>
      </c>
      <c r="O79">
        <v>0</v>
      </c>
      <c r="P79">
        <v>0</v>
      </c>
    </row>
    <row r="80" spans="1:16" ht="13" x14ac:dyDescent="0.15">
      <c r="A80">
        <v>79</v>
      </c>
      <c r="B80" t="s">
        <v>299</v>
      </c>
      <c r="C80">
        <v>0</v>
      </c>
      <c r="D80">
        <v>0</v>
      </c>
      <c r="E80">
        <v>0</v>
      </c>
      <c r="F80">
        <v>0</v>
      </c>
      <c r="G80">
        <v>0.3</v>
      </c>
      <c r="H80">
        <v>0.5</v>
      </c>
      <c r="I80">
        <v>0.7</v>
      </c>
      <c r="J80">
        <v>0</v>
      </c>
      <c r="K80">
        <v>0.5</v>
      </c>
      <c r="L80">
        <v>0.5</v>
      </c>
      <c r="M80">
        <v>0.5</v>
      </c>
      <c r="N80">
        <v>0.5</v>
      </c>
      <c r="O80">
        <v>0</v>
      </c>
      <c r="P80">
        <v>0</v>
      </c>
    </row>
    <row r="81" spans="1:16" ht="13" x14ac:dyDescent="0.15">
      <c r="A81">
        <v>80</v>
      </c>
      <c r="B81" t="s">
        <v>300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0.5</v>
      </c>
      <c r="M81">
        <v>0</v>
      </c>
      <c r="N81">
        <v>0.5</v>
      </c>
      <c r="O81">
        <v>0</v>
      </c>
      <c r="P81">
        <v>0</v>
      </c>
    </row>
    <row r="82" spans="1:16" ht="13" x14ac:dyDescent="0.15">
      <c r="A82">
        <v>81</v>
      </c>
      <c r="B82" t="s">
        <v>301</v>
      </c>
      <c r="C82">
        <v>0</v>
      </c>
      <c r="D82">
        <v>0</v>
      </c>
      <c r="E82">
        <v>0</v>
      </c>
      <c r="F82">
        <v>0</v>
      </c>
      <c r="G82">
        <v>0.3</v>
      </c>
      <c r="H82">
        <v>0.5</v>
      </c>
      <c r="I82">
        <v>0.7</v>
      </c>
      <c r="J82">
        <v>0</v>
      </c>
      <c r="K82">
        <v>0.5</v>
      </c>
      <c r="L82">
        <v>0.5</v>
      </c>
      <c r="M82">
        <v>0.5</v>
      </c>
      <c r="N82">
        <v>0.5</v>
      </c>
      <c r="O82">
        <v>0</v>
      </c>
      <c r="P82">
        <v>0</v>
      </c>
    </row>
    <row r="83" spans="1:16" ht="13" x14ac:dyDescent="0.15">
      <c r="A83">
        <v>82</v>
      </c>
      <c r="B83" t="s">
        <v>302</v>
      </c>
      <c r="C83">
        <v>0</v>
      </c>
      <c r="D83">
        <v>0</v>
      </c>
      <c r="E83">
        <v>0</v>
      </c>
      <c r="F83">
        <v>0</v>
      </c>
      <c r="G83">
        <v>0</v>
      </c>
      <c r="H83">
        <v>0.5</v>
      </c>
      <c r="I83">
        <v>0</v>
      </c>
      <c r="J83">
        <v>0.5</v>
      </c>
      <c r="K83">
        <v>0</v>
      </c>
      <c r="L83">
        <v>0</v>
      </c>
      <c r="M83">
        <v>0.5</v>
      </c>
      <c r="N83">
        <v>0.5</v>
      </c>
      <c r="O83">
        <v>0</v>
      </c>
      <c r="P83">
        <v>0</v>
      </c>
    </row>
    <row r="84" spans="1:16" ht="13" x14ac:dyDescent="0.15">
      <c r="A84">
        <v>83</v>
      </c>
      <c r="B84" t="s">
        <v>303</v>
      </c>
      <c r="C84">
        <v>0</v>
      </c>
      <c r="D84">
        <v>0</v>
      </c>
      <c r="E84">
        <v>0</v>
      </c>
      <c r="F84">
        <v>0</v>
      </c>
      <c r="G84">
        <v>0.3</v>
      </c>
      <c r="H84">
        <v>0.5</v>
      </c>
      <c r="I84">
        <v>0.7</v>
      </c>
      <c r="J84">
        <v>0</v>
      </c>
      <c r="K84">
        <v>0.5</v>
      </c>
      <c r="L84">
        <v>0.5</v>
      </c>
      <c r="M84">
        <v>0.5</v>
      </c>
      <c r="N84">
        <v>0.5</v>
      </c>
      <c r="O84">
        <v>0</v>
      </c>
      <c r="P84">
        <v>0</v>
      </c>
    </row>
    <row r="85" spans="1:16" ht="13" x14ac:dyDescent="0.15">
      <c r="A85">
        <v>84</v>
      </c>
      <c r="B85" t="s">
        <v>304</v>
      </c>
      <c r="C85">
        <v>0</v>
      </c>
      <c r="D85">
        <v>0.1</v>
      </c>
      <c r="E85">
        <v>0</v>
      </c>
      <c r="F85">
        <v>0</v>
      </c>
      <c r="G85">
        <v>0.3</v>
      </c>
      <c r="H85">
        <v>0.3</v>
      </c>
      <c r="I85">
        <v>0.4</v>
      </c>
      <c r="J85">
        <v>0.3</v>
      </c>
      <c r="K85">
        <v>0.3</v>
      </c>
      <c r="L85">
        <v>0.3</v>
      </c>
      <c r="M85">
        <v>0.3</v>
      </c>
      <c r="N85">
        <v>0.3</v>
      </c>
      <c r="O85">
        <v>0.3</v>
      </c>
      <c r="P85">
        <v>0</v>
      </c>
    </row>
    <row r="86" spans="1:16" ht="13" x14ac:dyDescent="0.15">
      <c r="A86">
        <v>85</v>
      </c>
      <c r="B86" t="s">
        <v>305</v>
      </c>
      <c r="C86">
        <v>0</v>
      </c>
      <c r="D86">
        <v>0.1</v>
      </c>
      <c r="E86">
        <v>0</v>
      </c>
      <c r="F86">
        <v>0</v>
      </c>
      <c r="G86">
        <v>0.3</v>
      </c>
      <c r="H86">
        <v>0.3</v>
      </c>
      <c r="I86">
        <v>0</v>
      </c>
      <c r="J86">
        <v>0</v>
      </c>
      <c r="K86">
        <v>0.3</v>
      </c>
      <c r="L86">
        <v>0.3</v>
      </c>
      <c r="M86">
        <v>0</v>
      </c>
      <c r="N86">
        <v>0</v>
      </c>
      <c r="O86">
        <v>0.3</v>
      </c>
      <c r="P86">
        <v>0</v>
      </c>
    </row>
    <row r="87" spans="1:16" ht="13" x14ac:dyDescent="0.15">
      <c r="A87">
        <v>86</v>
      </c>
      <c r="B87" t="s">
        <v>306</v>
      </c>
      <c r="C87">
        <v>0</v>
      </c>
      <c r="D87">
        <v>0</v>
      </c>
      <c r="E87">
        <v>0</v>
      </c>
      <c r="F87">
        <v>0</v>
      </c>
      <c r="G87">
        <v>0.3</v>
      </c>
      <c r="H87">
        <v>0.5</v>
      </c>
      <c r="I87">
        <v>0.7</v>
      </c>
      <c r="J87">
        <v>0.5</v>
      </c>
      <c r="K87">
        <v>0.5</v>
      </c>
      <c r="L87">
        <v>0.5</v>
      </c>
      <c r="M87">
        <v>0.5</v>
      </c>
      <c r="N87">
        <v>0.5</v>
      </c>
      <c r="O87">
        <v>0.5</v>
      </c>
      <c r="P87">
        <v>0</v>
      </c>
    </row>
    <row r="88" spans="1:16" ht="13" x14ac:dyDescent="0.15">
      <c r="A88">
        <v>87</v>
      </c>
      <c r="B88" t="s">
        <v>307</v>
      </c>
      <c r="C88">
        <v>0</v>
      </c>
      <c r="D88">
        <v>0</v>
      </c>
      <c r="E88">
        <v>0</v>
      </c>
      <c r="F88">
        <v>0</v>
      </c>
      <c r="G88">
        <v>0.3</v>
      </c>
      <c r="H88">
        <v>0.5</v>
      </c>
      <c r="I88">
        <v>0.7</v>
      </c>
      <c r="J88">
        <v>0</v>
      </c>
      <c r="K88">
        <v>0</v>
      </c>
      <c r="L88">
        <v>0.5</v>
      </c>
      <c r="M88">
        <v>0.5</v>
      </c>
      <c r="N88">
        <v>0.5</v>
      </c>
      <c r="O88">
        <v>0</v>
      </c>
      <c r="P88">
        <v>0.1</v>
      </c>
    </row>
    <row r="89" spans="1:16" ht="13" x14ac:dyDescent="0.15">
      <c r="A89">
        <v>88</v>
      </c>
      <c r="B89" t="s">
        <v>308</v>
      </c>
      <c r="C89">
        <v>0</v>
      </c>
      <c r="D89">
        <v>0</v>
      </c>
      <c r="E89">
        <v>0</v>
      </c>
      <c r="F89">
        <v>0</v>
      </c>
      <c r="G89">
        <v>0</v>
      </c>
      <c r="H89">
        <v>0.5</v>
      </c>
      <c r="I89">
        <v>0.7</v>
      </c>
      <c r="J89">
        <v>0</v>
      </c>
      <c r="K89">
        <v>0</v>
      </c>
      <c r="L89">
        <v>0.5</v>
      </c>
      <c r="M89">
        <v>0.5</v>
      </c>
      <c r="N89">
        <v>0.5</v>
      </c>
      <c r="O89">
        <v>0</v>
      </c>
      <c r="P89">
        <v>0</v>
      </c>
    </row>
    <row r="90" spans="1:16" ht="13" x14ac:dyDescent="0.15">
      <c r="A90">
        <v>89</v>
      </c>
      <c r="B90" t="s">
        <v>309</v>
      </c>
      <c r="C90">
        <v>0.8</v>
      </c>
      <c r="D90">
        <v>0</v>
      </c>
      <c r="E90">
        <v>0</v>
      </c>
      <c r="F90">
        <v>0</v>
      </c>
      <c r="G90">
        <v>0</v>
      </c>
      <c r="H90">
        <v>0.5</v>
      </c>
      <c r="I90">
        <v>0.7</v>
      </c>
      <c r="J90">
        <v>0.5</v>
      </c>
      <c r="K90">
        <v>0.5</v>
      </c>
      <c r="L90">
        <v>0.5</v>
      </c>
      <c r="M90">
        <v>0.5</v>
      </c>
      <c r="N90">
        <v>0.5</v>
      </c>
      <c r="O90">
        <v>0.5</v>
      </c>
      <c r="P90">
        <v>0</v>
      </c>
    </row>
    <row r="91" spans="1:16" ht="13" x14ac:dyDescent="0.15">
      <c r="A91">
        <v>90</v>
      </c>
      <c r="B91" t="s">
        <v>310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ht="13" x14ac:dyDescent="0.15">
      <c r="A92">
        <v>91</v>
      </c>
      <c r="B92" t="s">
        <v>311</v>
      </c>
      <c r="C92">
        <v>0</v>
      </c>
      <c r="D92">
        <v>0</v>
      </c>
      <c r="E92">
        <v>0</v>
      </c>
      <c r="F92">
        <v>0</v>
      </c>
      <c r="G92">
        <v>0.3</v>
      </c>
      <c r="H92">
        <v>0.5</v>
      </c>
      <c r="I92">
        <v>0.7</v>
      </c>
      <c r="J92">
        <v>0</v>
      </c>
      <c r="K92">
        <v>0.5</v>
      </c>
      <c r="L92">
        <v>0.5</v>
      </c>
      <c r="M92">
        <v>0.5</v>
      </c>
      <c r="N92">
        <v>0.5</v>
      </c>
      <c r="O92">
        <v>0.5</v>
      </c>
      <c r="P92">
        <v>0</v>
      </c>
    </row>
    <row r="93" spans="1:16" ht="13" x14ac:dyDescent="0.15">
      <c r="A93">
        <v>92</v>
      </c>
      <c r="B93" t="s">
        <v>312</v>
      </c>
      <c r="C93">
        <v>0</v>
      </c>
      <c r="D93">
        <v>0</v>
      </c>
      <c r="E93">
        <v>0</v>
      </c>
      <c r="F93">
        <v>0</v>
      </c>
      <c r="G93">
        <v>0.3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ht="13" x14ac:dyDescent="0.15">
      <c r="A94">
        <v>93</v>
      </c>
      <c r="B94" t="s">
        <v>313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ht="13" x14ac:dyDescent="0.15">
      <c r="A95">
        <v>94</v>
      </c>
      <c r="B95" t="s">
        <v>314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ht="13" x14ac:dyDescent="0.15">
      <c r="A96">
        <v>95</v>
      </c>
      <c r="B96" t="s">
        <v>315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ht="13" x14ac:dyDescent="0.15">
      <c r="A97">
        <v>96</v>
      </c>
      <c r="B97" t="s">
        <v>316</v>
      </c>
      <c r="C97">
        <v>0</v>
      </c>
      <c r="D97">
        <v>0</v>
      </c>
      <c r="E97">
        <v>0</v>
      </c>
      <c r="F97">
        <v>0</v>
      </c>
      <c r="G97">
        <v>0</v>
      </c>
      <c r="H97">
        <v>0.5</v>
      </c>
      <c r="I97">
        <v>0.7</v>
      </c>
      <c r="J97">
        <v>0.5</v>
      </c>
      <c r="K97">
        <v>0.5</v>
      </c>
      <c r="L97">
        <v>0.5</v>
      </c>
      <c r="M97">
        <v>0.5</v>
      </c>
      <c r="N97">
        <v>0.5</v>
      </c>
      <c r="O97">
        <v>0.5</v>
      </c>
      <c r="P97">
        <v>0</v>
      </c>
    </row>
    <row r="98" spans="1:16" ht="13" x14ac:dyDescent="0.15">
      <c r="A98">
        <v>97</v>
      </c>
      <c r="B98" t="s">
        <v>317</v>
      </c>
      <c r="C98">
        <v>0</v>
      </c>
      <c r="D98">
        <v>0</v>
      </c>
      <c r="E98">
        <v>0</v>
      </c>
      <c r="F98">
        <v>0</v>
      </c>
      <c r="G98">
        <v>0</v>
      </c>
      <c r="H98">
        <v>0.5</v>
      </c>
      <c r="I98">
        <v>0</v>
      </c>
      <c r="J98">
        <v>0.5</v>
      </c>
      <c r="K98">
        <v>0.5</v>
      </c>
      <c r="L98">
        <v>0.5</v>
      </c>
      <c r="M98">
        <v>0.5</v>
      </c>
      <c r="N98">
        <v>0.5</v>
      </c>
      <c r="O98">
        <v>0.5</v>
      </c>
      <c r="P98">
        <v>0</v>
      </c>
    </row>
    <row r="99" spans="1:16" ht="13" x14ac:dyDescent="0.15">
      <c r="A99">
        <v>98</v>
      </c>
      <c r="B99" t="s">
        <v>318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ht="13" x14ac:dyDescent="0.15">
      <c r="A100">
        <v>99</v>
      </c>
      <c r="B100" t="s">
        <v>319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0.5</v>
      </c>
      <c r="I100">
        <v>0.7</v>
      </c>
      <c r="J100">
        <v>0.5</v>
      </c>
      <c r="K100">
        <v>0.5</v>
      </c>
      <c r="L100">
        <v>0.5</v>
      </c>
      <c r="M100">
        <v>0.5</v>
      </c>
      <c r="N100">
        <v>0.5</v>
      </c>
      <c r="O100">
        <v>0.5</v>
      </c>
      <c r="P100">
        <v>0</v>
      </c>
    </row>
    <row r="101" spans="1:16" ht="13" x14ac:dyDescent="0.15">
      <c r="A101">
        <v>100</v>
      </c>
      <c r="B101" t="s">
        <v>320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0.5</v>
      </c>
      <c r="I101">
        <v>0</v>
      </c>
      <c r="J101">
        <v>0.5</v>
      </c>
      <c r="K101">
        <v>0</v>
      </c>
      <c r="L101">
        <v>0.5</v>
      </c>
      <c r="M101">
        <v>0</v>
      </c>
      <c r="N101">
        <v>0.5</v>
      </c>
      <c r="O101">
        <v>0.5</v>
      </c>
      <c r="P101">
        <v>0</v>
      </c>
    </row>
    <row r="102" spans="1:16" ht="13" x14ac:dyDescent="0.15">
      <c r="A102">
        <v>101</v>
      </c>
      <c r="B102" t="s">
        <v>321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0.5</v>
      </c>
      <c r="I102">
        <v>0</v>
      </c>
      <c r="J102">
        <v>0.5</v>
      </c>
      <c r="K102">
        <v>0.5</v>
      </c>
      <c r="L102">
        <v>0.5</v>
      </c>
      <c r="M102">
        <v>0.5</v>
      </c>
      <c r="N102">
        <v>0.5</v>
      </c>
      <c r="O102">
        <v>0.5</v>
      </c>
      <c r="P102">
        <v>0</v>
      </c>
    </row>
    <row r="103" spans="1:16" ht="13" x14ac:dyDescent="0.15">
      <c r="A103">
        <v>102</v>
      </c>
      <c r="B103" t="s">
        <v>322</v>
      </c>
      <c r="C103">
        <v>0</v>
      </c>
      <c r="D103">
        <v>0</v>
      </c>
      <c r="E103">
        <v>0</v>
      </c>
      <c r="F103">
        <v>0</v>
      </c>
      <c r="G103">
        <v>0.3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ht="13" x14ac:dyDescent="0.15">
      <c r="A104">
        <v>103</v>
      </c>
      <c r="B104" t="s">
        <v>323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ht="13" x14ac:dyDescent="0.15">
      <c r="A105">
        <v>104</v>
      </c>
      <c r="B105" t="s">
        <v>324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ht="13" x14ac:dyDescent="0.15">
      <c r="A106">
        <v>105</v>
      </c>
      <c r="B106" t="s">
        <v>325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0.5</v>
      </c>
      <c r="I106">
        <v>0.7</v>
      </c>
      <c r="J106">
        <v>0</v>
      </c>
      <c r="K106">
        <v>0.5</v>
      </c>
      <c r="L106">
        <v>0.5</v>
      </c>
      <c r="M106">
        <v>0.5</v>
      </c>
      <c r="N106">
        <v>0.5</v>
      </c>
      <c r="O106">
        <v>0.5</v>
      </c>
      <c r="P106">
        <v>0</v>
      </c>
    </row>
    <row r="107" spans="1:16" ht="13" x14ac:dyDescent="0.15">
      <c r="A107">
        <v>106</v>
      </c>
      <c r="B107" t="s">
        <v>326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ht="13" x14ac:dyDescent="0.15">
      <c r="A108">
        <v>107</v>
      </c>
      <c r="B108" t="s">
        <v>327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ht="13" x14ac:dyDescent="0.15">
      <c r="A109">
        <v>108</v>
      </c>
      <c r="B109" t="s">
        <v>328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ht="13" x14ac:dyDescent="0.15">
      <c r="A110">
        <v>109</v>
      </c>
      <c r="B110" t="s">
        <v>329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ht="13" x14ac:dyDescent="0.15">
      <c r="A111">
        <v>110</v>
      </c>
      <c r="B111" t="s">
        <v>330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ht="13" x14ac:dyDescent="0.15">
      <c r="A112">
        <v>111</v>
      </c>
      <c r="B112" t="s">
        <v>331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ht="13" x14ac:dyDescent="0.15">
      <c r="A113">
        <v>112</v>
      </c>
      <c r="B113" t="s">
        <v>332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ht="13" x14ac:dyDescent="0.15">
      <c r="A114">
        <v>113</v>
      </c>
      <c r="B114" t="s">
        <v>333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ht="13" x14ac:dyDescent="0.15">
      <c r="A115">
        <v>114</v>
      </c>
      <c r="B115" t="s">
        <v>334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ht="13" x14ac:dyDescent="0.15">
      <c r="A116">
        <v>115</v>
      </c>
      <c r="B116" t="s">
        <v>335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ht="13" x14ac:dyDescent="0.15">
      <c r="A117">
        <v>116</v>
      </c>
      <c r="B117" t="s">
        <v>336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ht="13" x14ac:dyDescent="0.15">
      <c r="A118">
        <v>117</v>
      </c>
      <c r="B118" t="s">
        <v>337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ht="13" x14ac:dyDescent="0.15">
      <c r="A119">
        <v>118</v>
      </c>
      <c r="B119" t="s">
        <v>338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ht="13" x14ac:dyDescent="0.15">
      <c r="A120">
        <v>119</v>
      </c>
      <c r="B120" t="s">
        <v>339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ht="13" x14ac:dyDescent="0.15">
      <c r="A121">
        <v>120</v>
      </c>
      <c r="B121" t="s">
        <v>340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1:16" ht="13" x14ac:dyDescent="0.15">
      <c r="A122">
        <v>121</v>
      </c>
      <c r="B122" t="s">
        <v>341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ht="13" x14ac:dyDescent="0.15">
      <c r="A123">
        <v>122</v>
      </c>
      <c r="B123" t="s">
        <v>342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ht="13" x14ac:dyDescent="0.15"/>
    <row r="125" spans="1:16" ht="13" x14ac:dyDescent="0.15"/>
    <row r="126" spans="1:16" ht="13" x14ac:dyDescent="0.15"/>
    <row r="127" spans="1:16" ht="13" x14ac:dyDescent="0.15"/>
    <row r="128" spans="1:16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P130"/>
  <sheetViews>
    <sheetView workbookViewId="0">
      <selection activeCell="B4" sqref="B4"/>
    </sheetView>
  </sheetViews>
  <sheetFormatPr baseColWidth="10" defaultRowHeight="14" customHeight="1" x14ac:dyDescent="0.15"/>
  <cols>
    <col min="1" max="1" width="12.6640625" customWidth="1"/>
    <col min="2" max="2" width="46.5" bestFit="1" customWidth="1"/>
    <col min="3" max="3" width="16" bestFit="1" customWidth="1"/>
    <col min="4" max="4" width="16.33203125" bestFit="1" customWidth="1"/>
  </cols>
  <sheetData>
    <row r="1" spans="1:16" ht="28" x14ac:dyDescent="0.15">
      <c r="A1" s="139" t="s">
        <v>83</v>
      </c>
      <c r="B1" s="142" t="s">
        <v>0</v>
      </c>
      <c r="C1" t="s">
        <v>343</v>
      </c>
      <c r="D1" t="s">
        <v>344</v>
      </c>
      <c r="E1" t="s">
        <v>345</v>
      </c>
      <c r="F1" t="s">
        <v>346</v>
      </c>
      <c r="G1" t="s">
        <v>347</v>
      </c>
      <c r="H1" t="s">
        <v>348</v>
      </c>
      <c r="I1" t="s">
        <v>349</v>
      </c>
      <c r="J1" t="s">
        <v>350</v>
      </c>
      <c r="K1" t="s">
        <v>351</v>
      </c>
      <c r="L1" t="s">
        <v>352</v>
      </c>
      <c r="M1" t="s">
        <v>353</v>
      </c>
      <c r="N1" t="s">
        <v>354</v>
      </c>
      <c r="O1" t="s">
        <v>355</v>
      </c>
      <c r="P1" t="s">
        <v>356</v>
      </c>
    </row>
    <row r="2" spans="1:16" ht="13" x14ac:dyDescent="0.15">
      <c r="A2">
        <v>1</v>
      </c>
      <c r="B2" t="s">
        <v>225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3" x14ac:dyDescent="0.15">
      <c r="A3">
        <v>2</v>
      </c>
      <c r="B3" t="s">
        <v>226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3" x14ac:dyDescent="0.15">
      <c r="A4">
        <v>3</v>
      </c>
      <c r="B4" t="s">
        <v>227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0.1</v>
      </c>
      <c r="K4">
        <v>0</v>
      </c>
      <c r="L4">
        <v>0</v>
      </c>
      <c r="M4">
        <v>0</v>
      </c>
      <c r="N4">
        <v>0</v>
      </c>
      <c r="O4">
        <v>0.1</v>
      </c>
      <c r="P4">
        <v>0</v>
      </c>
    </row>
    <row r="5" spans="1:16" ht="13" x14ac:dyDescent="0.15">
      <c r="A5">
        <v>4</v>
      </c>
      <c r="B5" t="s">
        <v>228</v>
      </c>
      <c r="C5">
        <v>0</v>
      </c>
      <c r="D5">
        <v>0</v>
      </c>
      <c r="E5">
        <v>0</v>
      </c>
      <c r="F5">
        <v>0</v>
      </c>
      <c r="G5">
        <v>0.3</v>
      </c>
      <c r="H5">
        <v>0.1</v>
      </c>
      <c r="I5">
        <v>0.3</v>
      </c>
      <c r="J5">
        <v>0</v>
      </c>
      <c r="K5">
        <v>0</v>
      </c>
      <c r="L5">
        <v>0.1</v>
      </c>
      <c r="M5">
        <v>0.1</v>
      </c>
      <c r="N5">
        <v>0.1</v>
      </c>
      <c r="O5">
        <v>0</v>
      </c>
      <c r="P5">
        <v>0</v>
      </c>
    </row>
    <row r="6" spans="1:16" ht="13" x14ac:dyDescent="0.15">
      <c r="A6">
        <v>5</v>
      </c>
      <c r="B6" t="s">
        <v>229</v>
      </c>
      <c r="C6">
        <v>0</v>
      </c>
      <c r="D6">
        <v>0</v>
      </c>
      <c r="E6">
        <v>0</v>
      </c>
      <c r="F6">
        <v>0</v>
      </c>
      <c r="G6">
        <v>0.3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3" x14ac:dyDescent="0.15">
      <c r="A7">
        <v>6</v>
      </c>
      <c r="B7" t="s">
        <v>230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ht="13" x14ac:dyDescent="0.15">
      <c r="A8">
        <v>7</v>
      </c>
      <c r="B8" t="s">
        <v>231</v>
      </c>
      <c r="C8">
        <v>0</v>
      </c>
      <c r="D8">
        <v>0</v>
      </c>
      <c r="E8">
        <v>0</v>
      </c>
      <c r="F8">
        <v>0</v>
      </c>
      <c r="G8">
        <v>0</v>
      </c>
      <c r="H8">
        <v>0.1</v>
      </c>
      <c r="I8">
        <v>0.3</v>
      </c>
      <c r="J8">
        <v>0</v>
      </c>
      <c r="K8">
        <v>0</v>
      </c>
      <c r="L8">
        <v>0.1</v>
      </c>
      <c r="M8">
        <v>0.1</v>
      </c>
      <c r="N8">
        <v>0.1</v>
      </c>
      <c r="O8">
        <v>0</v>
      </c>
      <c r="P8">
        <v>0</v>
      </c>
    </row>
    <row r="9" spans="1:16" ht="13" x14ac:dyDescent="0.15">
      <c r="A9">
        <v>8</v>
      </c>
      <c r="B9" t="s">
        <v>232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ht="13" x14ac:dyDescent="0.15">
      <c r="A10">
        <v>9</v>
      </c>
      <c r="B10" t="s">
        <v>233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ht="13" x14ac:dyDescent="0.15">
      <c r="A11">
        <v>10</v>
      </c>
      <c r="B11" t="s">
        <v>234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ht="13" x14ac:dyDescent="0.15">
      <c r="A12">
        <v>11</v>
      </c>
      <c r="B12" t="s">
        <v>235</v>
      </c>
      <c r="C12">
        <v>0</v>
      </c>
      <c r="D12">
        <v>0</v>
      </c>
      <c r="E12">
        <v>0</v>
      </c>
      <c r="F12">
        <v>0</v>
      </c>
      <c r="G12">
        <v>0.3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ht="13" x14ac:dyDescent="0.15">
      <c r="A13">
        <v>12</v>
      </c>
      <c r="B13" t="s">
        <v>236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ht="13" x14ac:dyDescent="0.15">
      <c r="A14">
        <v>13</v>
      </c>
      <c r="B14" t="s">
        <v>237</v>
      </c>
      <c r="C14">
        <v>0</v>
      </c>
      <c r="D14">
        <v>0</v>
      </c>
      <c r="E14">
        <v>0</v>
      </c>
      <c r="F14">
        <v>0</v>
      </c>
      <c r="G14">
        <v>0.3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ht="13" x14ac:dyDescent="0.15">
      <c r="A15">
        <v>14</v>
      </c>
      <c r="B15" t="s">
        <v>238</v>
      </c>
      <c r="C15">
        <v>0</v>
      </c>
      <c r="D15">
        <v>0</v>
      </c>
      <c r="E15">
        <v>0</v>
      </c>
      <c r="F15">
        <v>0</v>
      </c>
      <c r="G15">
        <v>0.3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ht="13" x14ac:dyDescent="0.15">
      <c r="A16">
        <v>15</v>
      </c>
      <c r="B16" t="s">
        <v>239</v>
      </c>
      <c r="C16">
        <v>0</v>
      </c>
      <c r="D16">
        <v>0</v>
      </c>
      <c r="E16">
        <v>0</v>
      </c>
      <c r="F16">
        <v>0</v>
      </c>
      <c r="G16">
        <v>0.3</v>
      </c>
      <c r="H16">
        <v>0.1</v>
      </c>
      <c r="I16">
        <v>0.3</v>
      </c>
      <c r="J16">
        <v>0.1</v>
      </c>
      <c r="K16">
        <v>0</v>
      </c>
      <c r="L16">
        <v>0.1</v>
      </c>
      <c r="M16">
        <v>0.1</v>
      </c>
      <c r="N16">
        <v>0.1</v>
      </c>
      <c r="O16">
        <v>0.1</v>
      </c>
      <c r="P16">
        <v>0</v>
      </c>
    </row>
    <row r="17" spans="1:16" ht="13" x14ac:dyDescent="0.15">
      <c r="A17">
        <v>16</v>
      </c>
      <c r="B17" t="s">
        <v>240</v>
      </c>
      <c r="C17">
        <v>0</v>
      </c>
      <c r="D17">
        <v>0</v>
      </c>
      <c r="E17">
        <v>0</v>
      </c>
      <c r="F17">
        <v>0</v>
      </c>
      <c r="G17">
        <v>0.3</v>
      </c>
      <c r="H17">
        <v>0.1</v>
      </c>
      <c r="I17">
        <v>0.3</v>
      </c>
      <c r="J17">
        <v>0.1</v>
      </c>
      <c r="K17">
        <v>0.1</v>
      </c>
      <c r="L17">
        <v>0.1</v>
      </c>
      <c r="M17">
        <v>0.1</v>
      </c>
      <c r="N17">
        <v>0.1</v>
      </c>
      <c r="O17">
        <v>0.1</v>
      </c>
      <c r="P17">
        <v>0</v>
      </c>
    </row>
    <row r="18" spans="1:16" ht="13" x14ac:dyDescent="0.15">
      <c r="A18">
        <v>17</v>
      </c>
      <c r="B18" t="s">
        <v>241</v>
      </c>
      <c r="C18">
        <v>0</v>
      </c>
      <c r="D18">
        <v>0</v>
      </c>
      <c r="E18">
        <v>0</v>
      </c>
      <c r="F18">
        <v>0</v>
      </c>
      <c r="G18">
        <v>0</v>
      </c>
      <c r="H18">
        <v>0.5</v>
      </c>
      <c r="I18">
        <v>0</v>
      </c>
      <c r="J18">
        <v>0.5</v>
      </c>
      <c r="K18">
        <v>0.5</v>
      </c>
      <c r="L18">
        <v>0.5</v>
      </c>
      <c r="M18">
        <v>0.5</v>
      </c>
      <c r="N18">
        <v>0.5</v>
      </c>
      <c r="O18">
        <v>0.5</v>
      </c>
      <c r="P18">
        <v>0</v>
      </c>
    </row>
    <row r="19" spans="1:16" ht="13" x14ac:dyDescent="0.15">
      <c r="A19">
        <v>18</v>
      </c>
      <c r="B19" t="s">
        <v>242</v>
      </c>
      <c r="C19">
        <v>0</v>
      </c>
      <c r="D19">
        <v>0</v>
      </c>
      <c r="E19">
        <v>0</v>
      </c>
      <c r="F19">
        <v>0</v>
      </c>
      <c r="G19">
        <v>0</v>
      </c>
      <c r="H19">
        <v>0.5</v>
      </c>
      <c r="I19">
        <v>0</v>
      </c>
      <c r="J19">
        <v>0.5</v>
      </c>
      <c r="K19">
        <v>0.5</v>
      </c>
      <c r="L19">
        <v>0.5</v>
      </c>
      <c r="M19">
        <v>0.5</v>
      </c>
      <c r="N19">
        <v>0.5</v>
      </c>
      <c r="O19">
        <v>0.5</v>
      </c>
      <c r="P19">
        <v>0</v>
      </c>
    </row>
    <row r="20" spans="1:16" ht="13" x14ac:dyDescent="0.15">
      <c r="A20">
        <v>19</v>
      </c>
      <c r="B20" t="s">
        <v>243</v>
      </c>
      <c r="C20">
        <v>0</v>
      </c>
      <c r="D20">
        <v>0</v>
      </c>
      <c r="E20">
        <v>0</v>
      </c>
      <c r="F20">
        <v>0</v>
      </c>
      <c r="G20">
        <v>0</v>
      </c>
      <c r="H20">
        <v>0.5</v>
      </c>
      <c r="I20">
        <v>0</v>
      </c>
      <c r="J20">
        <v>0.5</v>
      </c>
      <c r="K20">
        <v>0.5</v>
      </c>
      <c r="L20">
        <v>0.5</v>
      </c>
      <c r="M20">
        <v>0.5</v>
      </c>
      <c r="N20">
        <v>0.5</v>
      </c>
      <c r="O20">
        <v>0.5</v>
      </c>
      <c r="P20">
        <v>0</v>
      </c>
    </row>
    <row r="21" spans="1:16" ht="13" x14ac:dyDescent="0.15">
      <c r="A21">
        <v>20</v>
      </c>
      <c r="B21" t="s">
        <v>244</v>
      </c>
      <c r="C21">
        <v>0</v>
      </c>
      <c r="D21">
        <v>0</v>
      </c>
      <c r="E21">
        <v>0</v>
      </c>
      <c r="F21">
        <v>0</v>
      </c>
      <c r="G21">
        <v>0</v>
      </c>
      <c r="H21">
        <v>0.5</v>
      </c>
      <c r="I21">
        <v>0</v>
      </c>
      <c r="J21">
        <v>0.5</v>
      </c>
      <c r="K21">
        <v>0.5</v>
      </c>
      <c r="L21">
        <v>0.5</v>
      </c>
      <c r="M21">
        <v>0.5</v>
      </c>
      <c r="N21">
        <v>0.5</v>
      </c>
      <c r="O21">
        <v>0.5</v>
      </c>
      <c r="P21">
        <v>0</v>
      </c>
    </row>
    <row r="22" spans="1:16" ht="13" x14ac:dyDescent="0.15">
      <c r="A22">
        <v>21</v>
      </c>
      <c r="B22" t="s">
        <v>245</v>
      </c>
      <c r="C22">
        <v>0</v>
      </c>
      <c r="D22">
        <v>0</v>
      </c>
      <c r="E22">
        <v>0</v>
      </c>
      <c r="F22">
        <v>0</v>
      </c>
      <c r="G22">
        <v>0</v>
      </c>
      <c r="H22">
        <v>0.5</v>
      </c>
      <c r="I22">
        <v>0</v>
      </c>
      <c r="J22">
        <v>0.5</v>
      </c>
      <c r="K22">
        <v>0.5</v>
      </c>
      <c r="L22">
        <v>0.5</v>
      </c>
      <c r="M22">
        <v>0.5</v>
      </c>
      <c r="N22">
        <v>0.5</v>
      </c>
      <c r="O22">
        <v>0.5</v>
      </c>
      <c r="P22">
        <v>0</v>
      </c>
    </row>
    <row r="23" spans="1:16" ht="13" x14ac:dyDescent="0.15">
      <c r="A23">
        <v>22</v>
      </c>
      <c r="B23" t="s">
        <v>246</v>
      </c>
      <c r="C23">
        <v>0</v>
      </c>
      <c r="D23">
        <v>0</v>
      </c>
      <c r="E23">
        <v>0</v>
      </c>
      <c r="F23">
        <v>0</v>
      </c>
      <c r="G23">
        <v>0</v>
      </c>
      <c r="H23">
        <v>0.5</v>
      </c>
      <c r="I23">
        <v>0</v>
      </c>
      <c r="J23">
        <v>0.5</v>
      </c>
      <c r="K23">
        <v>0.5</v>
      </c>
      <c r="L23">
        <v>0.5</v>
      </c>
      <c r="M23">
        <v>0.5</v>
      </c>
      <c r="N23">
        <v>0.5</v>
      </c>
      <c r="O23">
        <v>0.5</v>
      </c>
      <c r="P23">
        <v>0</v>
      </c>
    </row>
    <row r="24" spans="1:16" ht="13" x14ac:dyDescent="0.15">
      <c r="A24">
        <v>23</v>
      </c>
      <c r="B24" t="s">
        <v>247</v>
      </c>
      <c r="C24">
        <v>0</v>
      </c>
      <c r="D24">
        <v>0</v>
      </c>
      <c r="E24">
        <v>0</v>
      </c>
      <c r="F24">
        <v>0</v>
      </c>
      <c r="G24">
        <v>0</v>
      </c>
      <c r="H24">
        <v>0.5</v>
      </c>
      <c r="I24">
        <v>0</v>
      </c>
      <c r="J24">
        <v>0.5</v>
      </c>
      <c r="K24">
        <v>0.5</v>
      </c>
      <c r="L24">
        <v>0.5</v>
      </c>
      <c r="M24">
        <v>0.5</v>
      </c>
      <c r="N24">
        <v>0.5</v>
      </c>
      <c r="O24">
        <v>0.5</v>
      </c>
      <c r="P24">
        <v>0</v>
      </c>
    </row>
    <row r="25" spans="1:16" ht="13" x14ac:dyDescent="0.15">
      <c r="A25">
        <v>24</v>
      </c>
      <c r="B25" t="s">
        <v>248</v>
      </c>
      <c r="C25">
        <v>0</v>
      </c>
      <c r="D25">
        <v>0</v>
      </c>
      <c r="E25">
        <v>0</v>
      </c>
      <c r="F25">
        <v>0</v>
      </c>
      <c r="G25">
        <v>0</v>
      </c>
      <c r="H25">
        <v>0.5</v>
      </c>
      <c r="I25">
        <v>0</v>
      </c>
      <c r="J25">
        <v>0.5</v>
      </c>
      <c r="K25">
        <v>0.5</v>
      </c>
      <c r="L25">
        <v>0.5</v>
      </c>
      <c r="M25">
        <v>0.5</v>
      </c>
      <c r="N25">
        <v>0.5</v>
      </c>
      <c r="O25">
        <v>0.5</v>
      </c>
      <c r="P25">
        <v>0</v>
      </c>
    </row>
    <row r="26" spans="1:16" ht="13" x14ac:dyDescent="0.15">
      <c r="A26">
        <v>25</v>
      </c>
      <c r="B26" t="s">
        <v>249</v>
      </c>
      <c r="C26">
        <v>0</v>
      </c>
      <c r="D26">
        <v>0</v>
      </c>
      <c r="E26">
        <v>0</v>
      </c>
      <c r="F26">
        <v>0</v>
      </c>
      <c r="G26">
        <v>0</v>
      </c>
      <c r="H26">
        <v>0.5</v>
      </c>
      <c r="I26">
        <v>0</v>
      </c>
      <c r="J26">
        <v>0.5</v>
      </c>
      <c r="K26">
        <v>0.5</v>
      </c>
      <c r="L26">
        <v>0.5</v>
      </c>
      <c r="M26">
        <v>0.5</v>
      </c>
      <c r="N26">
        <v>0.5</v>
      </c>
      <c r="O26">
        <v>0.5</v>
      </c>
      <c r="P26">
        <v>0</v>
      </c>
    </row>
    <row r="27" spans="1:16" ht="13" x14ac:dyDescent="0.15">
      <c r="A27">
        <v>26</v>
      </c>
      <c r="B27" t="s">
        <v>250</v>
      </c>
      <c r="C27">
        <v>0</v>
      </c>
      <c r="D27">
        <v>0</v>
      </c>
      <c r="E27">
        <v>0</v>
      </c>
      <c r="F27">
        <v>0</v>
      </c>
      <c r="G27">
        <v>0</v>
      </c>
      <c r="H27">
        <v>0.5</v>
      </c>
      <c r="I27">
        <v>0</v>
      </c>
      <c r="J27">
        <v>0.5</v>
      </c>
      <c r="K27">
        <v>0.5</v>
      </c>
      <c r="L27">
        <v>0.5</v>
      </c>
      <c r="M27">
        <v>0.5</v>
      </c>
      <c r="N27">
        <v>0.5</v>
      </c>
      <c r="O27">
        <v>0.5</v>
      </c>
      <c r="P27">
        <v>0</v>
      </c>
    </row>
    <row r="28" spans="1:16" ht="13" x14ac:dyDescent="0.15">
      <c r="A28">
        <v>27</v>
      </c>
      <c r="B28" t="s">
        <v>251</v>
      </c>
      <c r="C28">
        <v>0.7</v>
      </c>
      <c r="D28">
        <v>0</v>
      </c>
      <c r="E28">
        <v>0</v>
      </c>
      <c r="F28">
        <v>0</v>
      </c>
      <c r="G28">
        <v>0</v>
      </c>
      <c r="H28">
        <v>0.4</v>
      </c>
      <c r="I28">
        <v>0</v>
      </c>
      <c r="J28">
        <v>0.4</v>
      </c>
      <c r="K28">
        <v>0</v>
      </c>
      <c r="L28">
        <v>0.4</v>
      </c>
      <c r="M28">
        <v>0.4</v>
      </c>
      <c r="N28">
        <v>0</v>
      </c>
      <c r="O28">
        <v>0.4</v>
      </c>
      <c r="P28">
        <v>0</v>
      </c>
    </row>
    <row r="29" spans="1:16" ht="13" x14ac:dyDescent="0.15">
      <c r="A29">
        <v>28</v>
      </c>
      <c r="B29" t="s">
        <v>252</v>
      </c>
      <c r="C29">
        <v>0.7</v>
      </c>
      <c r="D29">
        <v>0</v>
      </c>
      <c r="E29">
        <v>0</v>
      </c>
      <c r="F29">
        <v>0</v>
      </c>
      <c r="G29">
        <v>0.3</v>
      </c>
      <c r="H29">
        <v>0.4</v>
      </c>
      <c r="I29">
        <v>0</v>
      </c>
      <c r="J29">
        <v>0</v>
      </c>
      <c r="K29">
        <v>0</v>
      </c>
      <c r="L29">
        <v>0</v>
      </c>
      <c r="M29">
        <v>0.4</v>
      </c>
      <c r="N29">
        <v>0</v>
      </c>
      <c r="O29">
        <v>0.4</v>
      </c>
      <c r="P29">
        <v>0</v>
      </c>
    </row>
    <row r="30" spans="1:16" ht="13" x14ac:dyDescent="0.15">
      <c r="A30">
        <v>29</v>
      </c>
      <c r="B30" t="s">
        <v>253</v>
      </c>
      <c r="C30">
        <v>0.7</v>
      </c>
      <c r="D30">
        <v>0</v>
      </c>
      <c r="E30">
        <v>0</v>
      </c>
      <c r="F30">
        <v>0</v>
      </c>
      <c r="G30">
        <v>0.3</v>
      </c>
      <c r="H30">
        <v>0.4</v>
      </c>
      <c r="I30">
        <v>0.5</v>
      </c>
      <c r="J30">
        <v>0.4</v>
      </c>
      <c r="K30">
        <v>0</v>
      </c>
      <c r="L30">
        <v>0.4</v>
      </c>
      <c r="M30">
        <v>0.4</v>
      </c>
      <c r="N30">
        <v>0.4</v>
      </c>
      <c r="O30">
        <v>0.4</v>
      </c>
      <c r="P30">
        <v>0</v>
      </c>
    </row>
    <row r="31" spans="1:16" ht="13" x14ac:dyDescent="0.15">
      <c r="A31">
        <v>30</v>
      </c>
      <c r="B31" t="s">
        <v>254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ht="13" x14ac:dyDescent="0.15">
      <c r="A32">
        <v>31</v>
      </c>
      <c r="B32" t="s">
        <v>177</v>
      </c>
      <c r="C32">
        <v>0</v>
      </c>
      <c r="D32">
        <v>0</v>
      </c>
      <c r="E32">
        <v>0</v>
      </c>
      <c r="F32">
        <v>0</v>
      </c>
      <c r="G32">
        <v>0.3</v>
      </c>
      <c r="H32">
        <v>0.1</v>
      </c>
      <c r="I32">
        <v>0.3</v>
      </c>
      <c r="J32">
        <v>0.1</v>
      </c>
      <c r="K32">
        <v>0.1</v>
      </c>
      <c r="L32">
        <v>0.1</v>
      </c>
      <c r="M32">
        <v>0.1</v>
      </c>
      <c r="N32">
        <v>0.1</v>
      </c>
      <c r="O32">
        <v>0.1</v>
      </c>
      <c r="P32">
        <v>0</v>
      </c>
    </row>
    <row r="33" spans="1:16" ht="13" x14ac:dyDescent="0.15">
      <c r="A33">
        <v>32</v>
      </c>
      <c r="B33" t="s">
        <v>255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ht="13" x14ac:dyDescent="0.15">
      <c r="A34">
        <v>33</v>
      </c>
      <c r="B34" t="s">
        <v>256</v>
      </c>
      <c r="C34">
        <v>0.7</v>
      </c>
      <c r="D34">
        <v>0</v>
      </c>
      <c r="E34">
        <v>0</v>
      </c>
      <c r="F34">
        <v>0</v>
      </c>
      <c r="G34">
        <v>0.3</v>
      </c>
      <c r="H34">
        <v>0.1</v>
      </c>
      <c r="I34">
        <v>0.3</v>
      </c>
      <c r="J34">
        <v>0.1</v>
      </c>
      <c r="K34">
        <v>0.1</v>
      </c>
      <c r="L34">
        <v>0.1</v>
      </c>
      <c r="M34">
        <v>0.1</v>
      </c>
      <c r="N34">
        <v>0.1</v>
      </c>
      <c r="O34">
        <v>0.1</v>
      </c>
      <c r="P34">
        <v>0</v>
      </c>
    </row>
    <row r="35" spans="1:16" ht="13" x14ac:dyDescent="0.15">
      <c r="A35">
        <v>34</v>
      </c>
      <c r="B35" t="s">
        <v>257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 ht="13" x14ac:dyDescent="0.15">
      <c r="A36">
        <v>35</v>
      </c>
      <c r="B36" t="s">
        <v>178</v>
      </c>
      <c r="C36">
        <v>0</v>
      </c>
      <c r="D36">
        <v>0</v>
      </c>
      <c r="E36">
        <v>0.1</v>
      </c>
      <c r="F36">
        <v>0</v>
      </c>
      <c r="G36">
        <v>0.3</v>
      </c>
      <c r="H36">
        <v>0.1</v>
      </c>
      <c r="I36">
        <v>0</v>
      </c>
      <c r="J36">
        <v>0</v>
      </c>
      <c r="K36">
        <v>0.1</v>
      </c>
      <c r="L36">
        <v>0.1</v>
      </c>
      <c r="M36">
        <v>0.1</v>
      </c>
      <c r="N36">
        <v>0.1</v>
      </c>
      <c r="O36">
        <v>0</v>
      </c>
      <c r="P36">
        <v>0</v>
      </c>
    </row>
    <row r="37" spans="1:16" ht="13" x14ac:dyDescent="0.15">
      <c r="A37">
        <v>36</v>
      </c>
      <c r="B37" t="s">
        <v>258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 ht="13" x14ac:dyDescent="0.15">
      <c r="A38">
        <v>37</v>
      </c>
      <c r="B38" t="s">
        <v>179</v>
      </c>
      <c r="C38">
        <v>0.7</v>
      </c>
      <c r="D38">
        <v>0</v>
      </c>
      <c r="E38">
        <v>0</v>
      </c>
      <c r="F38">
        <v>0</v>
      </c>
      <c r="G38">
        <v>0.3</v>
      </c>
      <c r="H38">
        <v>0.1</v>
      </c>
      <c r="I38">
        <v>0.3</v>
      </c>
      <c r="J38">
        <v>0.1</v>
      </c>
      <c r="K38">
        <v>0.1</v>
      </c>
      <c r="L38">
        <v>0.1</v>
      </c>
      <c r="M38">
        <v>0.1</v>
      </c>
      <c r="N38">
        <v>0.1</v>
      </c>
      <c r="O38">
        <v>0.1</v>
      </c>
      <c r="P38">
        <v>0</v>
      </c>
    </row>
    <row r="39" spans="1:16" ht="13" x14ac:dyDescent="0.15">
      <c r="A39">
        <v>38</v>
      </c>
      <c r="B39" t="s">
        <v>259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ht="13" x14ac:dyDescent="0.15">
      <c r="A40">
        <v>39</v>
      </c>
      <c r="B40" t="s">
        <v>260</v>
      </c>
      <c r="C40">
        <v>0.1</v>
      </c>
      <c r="D40">
        <v>0</v>
      </c>
      <c r="E40">
        <v>0</v>
      </c>
      <c r="F40">
        <v>0</v>
      </c>
      <c r="G40">
        <v>0.3</v>
      </c>
      <c r="H40">
        <v>0.3</v>
      </c>
      <c r="I40">
        <v>0.4</v>
      </c>
      <c r="J40">
        <v>0.3</v>
      </c>
      <c r="K40">
        <v>0.3</v>
      </c>
      <c r="L40">
        <v>0.3</v>
      </c>
      <c r="M40">
        <v>0.3</v>
      </c>
      <c r="N40">
        <v>0.3</v>
      </c>
      <c r="O40">
        <v>0.3</v>
      </c>
      <c r="P40">
        <v>0</v>
      </c>
    </row>
    <row r="41" spans="1:16" ht="13" x14ac:dyDescent="0.15">
      <c r="A41">
        <v>40</v>
      </c>
      <c r="B41" t="s">
        <v>261</v>
      </c>
      <c r="C41">
        <v>0</v>
      </c>
      <c r="D41">
        <v>0</v>
      </c>
      <c r="E41">
        <v>0</v>
      </c>
      <c r="F41">
        <v>0</v>
      </c>
      <c r="G41">
        <v>0.3</v>
      </c>
      <c r="H41">
        <v>0.1</v>
      </c>
      <c r="I41">
        <v>0.3</v>
      </c>
      <c r="J41">
        <v>0</v>
      </c>
      <c r="K41">
        <v>0</v>
      </c>
      <c r="L41">
        <v>0.1</v>
      </c>
      <c r="M41">
        <v>0.1</v>
      </c>
      <c r="N41">
        <v>0</v>
      </c>
      <c r="O41">
        <v>0</v>
      </c>
      <c r="P41">
        <v>0</v>
      </c>
    </row>
    <row r="42" spans="1:16" ht="13" x14ac:dyDescent="0.15">
      <c r="A42">
        <v>41</v>
      </c>
      <c r="B42" t="s">
        <v>262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ht="13" x14ac:dyDescent="0.15">
      <c r="A43">
        <v>42</v>
      </c>
      <c r="B43" t="s">
        <v>263</v>
      </c>
      <c r="C43">
        <v>0</v>
      </c>
      <c r="D43">
        <v>0</v>
      </c>
      <c r="E43">
        <v>0</v>
      </c>
      <c r="F43">
        <v>0</v>
      </c>
      <c r="G43">
        <v>0</v>
      </c>
      <c r="H43">
        <v>0.1</v>
      </c>
      <c r="I43">
        <v>0.3</v>
      </c>
      <c r="J43">
        <v>0.1</v>
      </c>
      <c r="K43">
        <v>0.1</v>
      </c>
      <c r="L43">
        <v>0.1</v>
      </c>
      <c r="M43">
        <v>0.1</v>
      </c>
      <c r="N43">
        <v>0.1</v>
      </c>
      <c r="O43">
        <v>0.1</v>
      </c>
      <c r="P43">
        <v>0</v>
      </c>
    </row>
    <row r="44" spans="1:16" ht="13" x14ac:dyDescent="0.15">
      <c r="A44">
        <v>43</v>
      </c>
      <c r="B44" t="s">
        <v>264</v>
      </c>
      <c r="C44">
        <v>0</v>
      </c>
      <c r="D44">
        <v>0</v>
      </c>
      <c r="E44">
        <v>0</v>
      </c>
      <c r="F44">
        <v>0</v>
      </c>
      <c r="G44">
        <v>0</v>
      </c>
      <c r="H44">
        <v>0.3</v>
      </c>
      <c r="I44">
        <v>0.4</v>
      </c>
      <c r="J44">
        <v>0.3</v>
      </c>
      <c r="K44">
        <v>0</v>
      </c>
      <c r="L44">
        <v>0.3</v>
      </c>
      <c r="M44">
        <v>0.3</v>
      </c>
      <c r="N44">
        <v>0.3</v>
      </c>
      <c r="O44">
        <v>0</v>
      </c>
      <c r="P44">
        <v>0</v>
      </c>
    </row>
    <row r="45" spans="1:16" ht="13" x14ac:dyDescent="0.15">
      <c r="A45">
        <v>44</v>
      </c>
      <c r="B45" t="s">
        <v>265</v>
      </c>
      <c r="C45">
        <v>0</v>
      </c>
      <c r="D45">
        <v>0</v>
      </c>
      <c r="E45">
        <v>0</v>
      </c>
      <c r="F45">
        <v>0</v>
      </c>
      <c r="G45">
        <v>0.3</v>
      </c>
      <c r="H45">
        <v>0.3</v>
      </c>
      <c r="I45">
        <v>0.4</v>
      </c>
      <c r="J45">
        <v>0.3</v>
      </c>
      <c r="K45">
        <v>0</v>
      </c>
      <c r="L45">
        <v>0.3</v>
      </c>
      <c r="M45">
        <v>0.3</v>
      </c>
      <c r="N45">
        <v>0.3</v>
      </c>
      <c r="O45">
        <v>0</v>
      </c>
      <c r="P45">
        <v>0</v>
      </c>
    </row>
    <row r="46" spans="1:16" ht="13" x14ac:dyDescent="0.15">
      <c r="A46">
        <v>45</v>
      </c>
      <c r="B46" t="s">
        <v>266</v>
      </c>
      <c r="C46">
        <v>0</v>
      </c>
      <c r="D46">
        <v>0</v>
      </c>
      <c r="E46">
        <v>0</v>
      </c>
      <c r="F46">
        <v>0</v>
      </c>
      <c r="G46">
        <v>0</v>
      </c>
      <c r="H46">
        <v>0.1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ht="13" x14ac:dyDescent="0.15">
      <c r="A47">
        <v>46</v>
      </c>
      <c r="B47" t="s">
        <v>267</v>
      </c>
      <c r="C47">
        <v>0</v>
      </c>
      <c r="D47">
        <v>0</v>
      </c>
      <c r="E47">
        <v>0</v>
      </c>
      <c r="F47">
        <v>0</v>
      </c>
      <c r="G47">
        <v>0</v>
      </c>
      <c r="H47">
        <v>0.1</v>
      </c>
      <c r="I47">
        <v>0.3</v>
      </c>
      <c r="J47">
        <v>0.1</v>
      </c>
      <c r="K47">
        <v>0.1</v>
      </c>
      <c r="L47">
        <v>0.1</v>
      </c>
      <c r="M47">
        <v>0.1</v>
      </c>
      <c r="N47">
        <v>0.1</v>
      </c>
      <c r="O47">
        <v>0.1</v>
      </c>
      <c r="P47">
        <v>0</v>
      </c>
    </row>
    <row r="48" spans="1:16" ht="13" x14ac:dyDescent="0.15">
      <c r="A48">
        <v>47</v>
      </c>
      <c r="B48" t="s">
        <v>268</v>
      </c>
      <c r="C48">
        <v>0</v>
      </c>
      <c r="D48">
        <v>0</v>
      </c>
      <c r="E48">
        <v>0</v>
      </c>
      <c r="F48">
        <v>0</v>
      </c>
      <c r="G48">
        <v>0.3</v>
      </c>
      <c r="H48">
        <v>0.1</v>
      </c>
      <c r="I48">
        <v>0.3</v>
      </c>
      <c r="J48">
        <v>0</v>
      </c>
      <c r="K48">
        <v>0</v>
      </c>
      <c r="L48">
        <v>0.1</v>
      </c>
      <c r="M48">
        <v>0.1</v>
      </c>
      <c r="N48">
        <v>0.1</v>
      </c>
      <c r="O48">
        <v>0</v>
      </c>
      <c r="P48">
        <v>0</v>
      </c>
    </row>
    <row r="49" spans="1:16" ht="13" x14ac:dyDescent="0.15">
      <c r="A49">
        <v>48</v>
      </c>
      <c r="B49" t="s">
        <v>269</v>
      </c>
      <c r="C49">
        <v>0</v>
      </c>
      <c r="D49">
        <v>0</v>
      </c>
      <c r="E49">
        <v>0</v>
      </c>
      <c r="F49">
        <v>0</v>
      </c>
      <c r="G49">
        <v>0.3</v>
      </c>
      <c r="H49">
        <v>0.3</v>
      </c>
      <c r="I49">
        <v>0.4</v>
      </c>
      <c r="J49">
        <v>0.3</v>
      </c>
      <c r="K49">
        <v>0.3</v>
      </c>
      <c r="L49">
        <v>0.3</v>
      </c>
      <c r="M49">
        <v>0.3</v>
      </c>
      <c r="N49">
        <v>0.3</v>
      </c>
      <c r="O49">
        <v>0.3</v>
      </c>
      <c r="P49">
        <v>0</v>
      </c>
    </row>
    <row r="50" spans="1:16" ht="13" x14ac:dyDescent="0.15">
      <c r="A50">
        <v>49</v>
      </c>
      <c r="B50" t="s">
        <v>270</v>
      </c>
      <c r="C50">
        <v>0.7</v>
      </c>
      <c r="D50">
        <v>0</v>
      </c>
      <c r="E50">
        <v>0</v>
      </c>
      <c r="F50">
        <v>0</v>
      </c>
      <c r="G50">
        <v>0</v>
      </c>
      <c r="H50">
        <v>0.5</v>
      </c>
      <c r="I50">
        <v>0.7</v>
      </c>
      <c r="J50">
        <v>0.5</v>
      </c>
      <c r="K50">
        <v>0.5</v>
      </c>
      <c r="L50">
        <v>0.5</v>
      </c>
      <c r="M50">
        <v>0.5</v>
      </c>
      <c r="N50">
        <v>0.5</v>
      </c>
      <c r="O50">
        <v>0.5</v>
      </c>
      <c r="P50">
        <v>0</v>
      </c>
    </row>
    <row r="51" spans="1:16" ht="13" x14ac:dyDescent="0.15">
      <c r="A51">
        <v>50</v>
      </c>
      <c r="B51" t="s">
        <v>271</v>
      </c>
      <c r="C51">
        <v>0.7</v>
      </c>
      <c r="D51">
        <v>0</v>
      </c>
      <c r="E51">
        <v>0</v>
      </c>
      <c r="F51">
        <v>0</v>
      </c>
      <c r="G51">
        <v>0</v>
      </c>
      <c r="H51">
        <v>0.5</v>
      </c>
      <c r="I51">
        <v>0.7</v>
      </c>
      <c r="J51">
        <v>0.5</v>
      </c>
      <c r="K51">
        <v>0.5</v>
      </c>
      <c r="L51">
        <v>0.5</v>
      </c>
      <c r="M51">
        <v>0.5</v>
      </c>
      <c r="N51">
        <v>0.5</v>
      </c>
      <c r="O51">
        <v>0.5</v>
      </c>
      <c r="P51">
        <v>0</v>
      </c>
    </row>
    <row r="52" spans="1:16" ht="13" x14ac:dyDescent="0.15">
      <c r="A52">
        <v>51</v>
      </c>
      <c r="B52" t="s">
        <v>272</v>
      </c>
      <c r="C52">
        <v>0.7</v>
      </c>
      <c r="D52">
        <v>0</v>
      </c>
      <c r="E52">
        <v>0</v>
      </c>
      <c r="F52">
        <v>0</v>
      </c>
      <c r="G52">
        <v>0.3</v>
      </c>
      <c r="H52">
        <v>0.5</v>
      </c>
      <c r="I52">
        <v>0.7</v>
      </c>
      <c r="J52">
        <v>0.5</v>
      </c>
      <c r="K52">
        <v>0.5</v>
      </c>
      <c r="L52">
        <v>0.5</v>
      </c>
      <c r="M52">
        <v>0.5</v>
      </c>
      <c r="N52">
        <v>0.5</v>
      </c>
      <c r="O52">
        <v>0.5</v>
      </c>
      <c r="P52">
        <v>0</v>
      </c>
    </row>
    <row r="53" spans="1:16" ht="13" x14ac:dyDescent="0.15">
      <c r="A53">
        <v>52</v>
      </c>
      <c r="B53" t="s">
        <v>273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ht="13" x14ac:dyDescent="0.15">
      <c r="A54">
        <v>53</v>
      </c>
      <c r="B54" t="s">
        <v>274</v>
      </c>
      <c r="C54">
        <v>0.7</v>
      </c>
      <c r="D54">
        <v>0</v>
      </c>
      <c r="E54">
        <v>0</v>
      </c>
      <c r="F54">
        <v>0</v>
      </c>
      <c r="G54">
        <v>0.3</v>
      </c>
      <c r="H54">
        <v>0.1</v>
      </c>
      <c r="I54">
        <v>0.3</v>
      </c>
      <c r="J54">
        <v>0.1</v>
      </c>
      <c r="K54">
        <v>0.1</v>
      </c>
      <c r="L54">
        <v>0.1</v>
      </c>
      <c r="M54">
        <v>0.1</v>
      </c>
      <c r="N54">
        <v>0.1</v>
      </c>
      <c r="O54">
        <v>0.1</v>
      </c>
      <c r="P54">
        <v>0</v>
      </c>
    </row>
    <row r="55" spans="1:16" ht="13" x14ac:dyDescent="0.15">
      <c r="A55">
        <v>54</v>
      </c>
      <c r="B55" t="s">
        <v>275</v>
      </c>
      <c r="C55">
        <v>0</v>
      </c>
      <c r="D55">
        <v>0</v>
      </c>
      <c r="E55">
        <v>0</v>
      </c>
      <c r="F55">
        <v>0</v>
      </c>
      <c r="G55">
        <v>0</v>
      </c>
      <c r="H55">
        <v>0.7</v>
      </c>
      <c r="I55">
        <v>0.7</v>
      </c>
      <c r="J55">
        <v>0.7</v>
      </c>
      <c r="K55">
        <v>0.7</v>
      </c>
      <c r="L55">
        <v>0.7</v>
      </c>
      <c r="M55">
        <v>0.7</v>
      </c>
      <c r="N55">
        <v>0.7</v>
      </c>
      <c r="O55">
        <v>0.7</v>
      </c>
      <c r="P55">
        <v>0</v>
      </c>
    </row>
    <row r="56" spans="1:16" ht="13" x14ac:dyDescent="0.15">
      <c r="A56">
        <v>55</v>
      </c>
      <c r="B56" t="s">
        <v>276</v>
      </c>
      <c r="C56">
        <v>0</v>
      </c>
      <c r="D56">
        <v>0</v>
      </c>
      <c r="E56">
        <v>0</v>
      </c>
      <c r="F56">
        <v>0</v>
      </c>
      <c r="G56">
        <v>0</v>
      </c>
      <c r="H56">
        <v>0.5</v>
      </c>
      <c r="I56">
        <v>0.7</v>
      </c>
      <c r="J56">
        <v>0.5</v>
      </c>
      <c r="K56">
        <v>0</v>
      </c>
      <c r="L56">
        <v>0.5</v>
      </c>
      <c r="M56">
        <v>0.5</v>
      </c>
      <c r="N56">
        <v>0.5</v>
      </c>
      <c r="O56">
        <v>0.5</v>
      </c>
      <c r="P56">
        <v>0</v>
      </c>
    </row>
    <row r="57" spans="1:16" ht="13" x14ac:dyDescent="0.15">
      <c r="A57">
        <v>56</v>
      </c>
      <c r="B57" t="s">
        <v>277</v>
      </c>
      <c r="C57">
        <v>0</v>
      </c>
      <c r="D57">
        <v>0</v>
      </c>
      <c r="E57">
        <v>0</v>
      </c>
      <c r="F57">
        <v>0</v>
      </c>
      <c r="G57">
        <v>0</v>
      </c>
      <c r="H57">
        <v>0.7</v>
      </c>
      <c r="I57">
        <v>0.7</v>
      </c>
      <c r="J57">
        <v>0.7</v>
      </c>
      <c r="K57">
        <v>0.7</v>
      </c>
      <c r="L57">
        <v>0.7</v>
      </c>
      <c r="M57">
        <v>0.7</v>
      </c>
      <c r="N57">
        <v>0.7</v>
      </c>
      <c r="O57">
        <v>0.7</v>
      </c>
      <c r="P57">
        <v>0</v>
      </c>
    </row>
    <row r="58" spans="1:16" ht="13" x14ac:dyDescent="0.15">
      <c r="A58">
        <v>57</v>
      </c>
      <c r="B58" t="s">
        <v>278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ht="13" x14ac:dyDescent="0.15">
      <c r="A59">
        <v>58</v>
      </c>
      <c r="B59" t="s">
        <v>279</v>
      </c>
      <c r="C59">
        <v>0.8</v>
      </c>
      <c r="D59">
        <v>0</v>
      </c>
      <c r="E59">
        <v>0</v>
      </c>
      <c r="F59">
        <v>0</v>
      </c>
      <c r="G59">
        <v>0.3</v>
      </c>
      <c r="H59">
        <v>0.1</v>
      </c>
      <c r="I59">
        <v>0.3</v>
      </c>
      <c r="J59">
        <v>0.1</v>
      </c>
      <c r="K59">
        <v>0.1</v>
      </c>
      <c r="L59">
        <v>0.1</v>
      </c>
      <c r="M59">
        <v>0.1</v>
      </c>
      <c r="N59">
        <v>0.1</v>
      </c>
      <c r="O59">
        <v>0.1</v>
      </c>
      <c r="P59">
        <v>0</v>
      </c>
    </row>
    <row r="60" spans="1:16" ht="13" x14ac:dyDescent="0.15">
      <c r="A60">
        <v>59</v>
      </c>
      <c r="B60" t="s">
        <v>280</v>
      </c>
      <c r="C60">
        <v>0.8</v>
      </c>
      <c r="D60">
        <v>0</v>
      </c>
      <c r="E60">
        <v>0</v>
      </c>
      <c r="F60">
        <v>0</v>
      </c>
      <c r="G60">
        <v>0</v>
      </c>
      <c r="H60">
        <v>0.3</v>
      </c>
      <c r="I60">
        <v>0.4</v>
      </c>
      <c r="J60">
        <v>0.3</v>
      </c>
      <c r="K60">
        <v>0.3</v>
      </c>
      <c r="L60">
        <v>0.3</v>
      </c>
      <c r="M60">
        <v>0.3</v>
      </c>
      <c r="N60">
        <v>0.3</v>
      </c>
      <c r="O60">
        <v>0.3</v>
      </c>
      <c r="P60">
        <v>0</v>
      </c>
    </row>
    <row r="61" spans="1:16" ht="13" x14ac:dyDescent="0.15">
      <c r="A61">
        <v>60</v>
      </c>
      <c r="B61" t="s">
        <v>281</v>
      </c>
      <c r="C61">
        <v>0.8</v>
      </c>
      <c r="D61">
        <v>0</v>
      </c>
      <c r="E61">
        <v>0</v>
      </c>
      <c r="F61">
        <v>0</v>
      </c>
      <c r="G61">
        <v>0</v>
      </c>
      <c r="H61">
        <v>0.3</v>
      </c>
      <c r="I61">
        <v>0.4</v>
      </c>
      <c r="J61">
        <v>0.3</v>
      </c>
      <c r="K61">
        <v>0</v>
      </c>
      <c r="L61">
        <v>0.3</v>
      </c>
      <c r="M61">
        <v>0.3</v>
      </c>
      <c r="N61">
        <v>0.3</v>
      </c>
      <c r="O61">
        <v>0.3</v>
      </c>
      <c r="P61">
        <v>0</v>
      </c>
    </row>
    <row r="62" spans="1:16" ht="13" x14ac:dyDescent="0.15">
      <c r="A62">
        <v>61</v>
      </c>
      <c r="B62" t="s">
        <v>282</v>
      </c>
      <c r="C62">
        <v>0.8</v>
      </c>
      <c r="D62">
        <v>0</v>
      </c>
      <c r="E62">
        <v>0</v>
      </c>
      <c r="F62">
        <v>0</v>
      </c>
      <c r="G62">
        <v>0</v>
      </c>
      <c r="H62">
        <v>0.1</v>
      </c>
      <c r="I62">
        <v>0.3</v>
      </c>
      <c r="J62">
        <v>0.1</v>
      </c>
      <c r="K62">
        <v>0.1</v>
      </c>
      <c r="L62">
        <v>0.1</v>
      </c>
      <c r="M62">
        <v>0.1</v>
      </c>
      <c r="N62">
        <v>0.1</v>
      </c>
      <c r="O62">
        <v>0.1</v>
      </c>
      <c r="P62">
        <v>0</v>
      </c>
    </row>
    <row r="63" spans="1:16" ht="13" x14ac:dyDescent="0.15">
      <c r="A63">
        <v>62</v>
      </c>
      <c r="B63" t="s">
        <v>283</v>
      </c>
      <c r="C63">
        <v>0.8</v>
      </c>
      <c r="D63">
        <v>0</v>
      </c>
      <c r="E63">
        <v>0</v>
      </c>
      <c r="F63">
        <v>0</v>
      </c>
      <c r="G63">
        <v>0</v>
      </c>
      <c r="H63">
        <v>0.3</v>
      </c>
      <c r="I63">
        <v>0.4</v>
      </c>
      <c r="J63">
        <v>0.3</v>
      </c>
      <c r="K63">
        <v>0.3</v>
      </c>
      <c r="L63">
        <v>0.3</v>
      </c>
      <c r="M63">
        <v>0.3</v>
      </c>
      <c r="N63">
        <v>0.3</v>
      </c>
      <c r="O63">
        <v>0.3</v>
      </c>
      <c r="P63">
        <v>0</v>
      </c>
    </row>
    <row r="64" spans="1:16" ht="13" x14ac:dyDescent="0.15">
      <c r="A64">
        <v>63</v>
      </c>
      <c r="B64" t="s">
        <v>284</v>
      </c>
      <c r="C64">
        <v>0.8</v>
      </c>
      <c r="D64">
        <v>0</v>
      </c>
      <c r="E64">
        <v>0</v>
      </c>
      <c r="F64">
        <v>0</v>
      </c>
      <c r="G64">
        <v>0</v>
      </c>
      <c r="H64">
        <v>0.3</v>
      </c>
      <c r="I64">
        <v>0.4</v>
      </c>
      <c r="J64">
        <v>0.3</v>
      </c>
      <c r="K64">
        <v>0.3</v>
      </c>
      <c r="L64">
        <v>0.3</v>
      </c>
      <c r="M64">
        <v>0.3</v>
      </c>
      <c r="N64">
        <v>0.3</v>
      </c>
      <c r="O64">
        <v>0.3</v>
      </c>
      <c r="P64">
        <v>0</v>
      </c>
    </row>
    <row r="65" spans="1:16" ht="13" x14ac:dyDescent="0.15">
      <c r="A65">
        <v>64</v>
      </c>
      <c r="B65" t="s">
        <v>285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ht="13" x14ac:dyDescent="0.15">
      <c r="A66">
        <v>65</v>
      </c>
      <c r="B66" t="s">
        <v>286</v>
      </c>
      <c r="C66">
        <v>0.8</v>
      </c>
      <c r="D66">
        <v>0</v>
      </c>
      <c r="E66">
        <v>0</v>
      </c>
      <c r="F66">
        <v>0</v>
      </c>
      <c r="G66">
        <v>0</v>
      </c>
      <c r="H66">
        <v>0.1</v>
      </c>
      <c r="I66">
        <v>0.3</v>
      </c>
      <c r="J66">
        <v>0.1</v>
      </c>
      <c r="K66">
        <v>0.1</v>
      </c>
      <c r="L66">
        <v>0.1</v>
      </c>
      <c r="M66">
        <v>0.1</v>
      </c>
      <c r="N66">
        <v>0.1</v>
      </c>
      <c r="O66">
        <v>0.1</v>
      </c>
      <c r="P66">
        <v>0</v>
      </c>
    </row>
    <row r="67" spans="1:16" ht="13" x14ac:dyDescent="0.15">
      <c r="A67">
        <v>66</v>
      </c>
      <c r="B67" t="s">
        <v>287</v>
      </c>
      <c r="C67">
        <v>0.8</v>
      </c>
      <c r="D67">
        <v>0</v>
      </c>
      <c r="E67">
        <v>0</v>
      </c>
      <c r="F67">
        <v>0</v>
      </c>
      <c r="G67">
        <v>0.3</v>
      </c>
      <c r="H67">
        <v>0.3</v>
      </c>
      <c r="I67">
        <v>0.4</v>
      </c>
      <c r="J67">
        <v>0.3</v>
      </c>
      <c r="K67">
        <v>0.3</v>
      </c>
      <c r="L67">
        <v>0.3</v>
      </c>
      <c r="M67">
        <v>0.3</v>
      </c>
      <c r="N67">
        <v>0.3</v>
      </c>
      <c r="O67">
        <v>0.3</v>
      </c>
      <c r="P67">
        <v>0</v>
      </c>
    </row>
    <row r="68" spans="1:16" ht="13" x14ac:dyDescent="0.15">
      <c r="A68">
        <v>67</v>
      </c>
      <c r="B68" t="s">
        <v>288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ht="13" x14ac:dyDescent="0.15">
      <c r="A69">
        <v>68</v>
      </c>
      <c r="B69" t="s">
        <v>289</v>
      </c>
      <c r="C69">
        <v>0</v>
      </c>
      <c r="D69">
        <v>0</v>
      </c>
      <c r="E69">
        <v>0</v>
      </c>
      <c r="F69">
        <v>0</v>
      </c>
      <c r="G69">
        <v>0</v>
      </c>
      <c r="H69">
        <v>0.1</v>
      </c>
      <c r="I69">
        <v>0.3</v>
      </c>
      <c r="J69">
        <v>0</v>
      </c>
      <c r="K69">
        <v>0.1</v>
      </c>
      <c r="L69">
        <v>0.1</v>
      </c>
      <c r="M69">
        <v>0.1</v>
      </c>
      <c r="N69">
        <v>0.1</v>
      </c>
      <c r="O69">
        <v>0</v>
      </c>
      <c r="P69">
        <v>0</v>
      </c>
    </row>
    <row r="70" spans="1:16" ht="13" x14ac:dyDescent="0.15">
      <c r="A70">
        <v>69</v>
      </c>
      <c r="B70" t="s">
        <v>290</v>
      </c>
      <c r="C70">
        <v>0</v>
      </c>
      <c r="D70">
        <v>0</v>
      </c>
      <c r="E70">
        <v>0</v>
      </c>
      <c r="F70">
        <v>0</v>
      </c>
      <c r="G70">
        <v>0.3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ht="13" x14ac:dyDescent="0.15">
      <c r="A71">
        <v>70</v>
      </c>
      <c r="B71" t="s">
        <v>291</v>
      </c>
      <c r="C71">
        <v>0.8</v>
      </c>
      <c r="D71">
        <v>0</v>
      </c>
      <c r="E71">
        <v>0</v>
      </c>
      <c r="F71">
        <v>0</v>
      </c>
      <c r="G71">
        <v>0.3</v>
      </c>
      <c r="H71">
        <v>0.5</v>
      </c>
      <c r="I71">
        <v>0.7</v>
      </c>
      <c r="J71">
        <v>0.5</v>
      </c>
      <c r="K71">
        <v>0.5</v>
      </c>
      <c r="L71">
        <v>0.5</v>
      </c>
      <c r="M71">
        <v>0.5</v>
      </c>
      <c r="N71">
        <v>0.5</v>
      </c>
      <c r="O71">
        <v>0.5</v>
      </c>
      <c r="P71">
        <v>0</v>
      </c>
    </row>
    <row r="72" spans="1:16" ht="13" x14ac:dyDescent="0.15">
      <c r="A72">
        <v>71</v>
      </c>
      <c r="B72" t="s">
        <v>180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</row>
    <row r="73" spans="1:16" ht="13" x14ac:dyDescent="0.15">
      <c r="A73">
        <v>72</v>
      </c>
      <c r="B73" t="s">
        <v>292</v>
      </c>
      <c r="C73">
        <v>0</v>
      </c>
      <c r="D73">
        <v>0</v>
      </c>
      <c r="E73">
        <v>0</v>
      </c>
      <c r="F73">
        <v>0</v>
      </c>
      <c r="G73">
        <v>0.3</v>
      </c>
      <c r="H73">
        <v>0.7</v>
      </c>
      <c r="I73">
        <v>0.7</v>
      </c>
      <c r="J73">
        <v>0.7</v>
      </c>
      <c r="K73">
        <v>0.7</v>
      </c>
      <c r="L73">
        <v>0.7</v>
      </c>
      <c r="M73">
        <v>0.7</v>
      </c>
      <c r="N73">
        <v>0.7</v>
      </c>
      <c r="O73">
        <v>0.7</v>
      </c>
      <c r="P73">
        <v>0</v>
      </c>
    </row>
    <row r="74" spans="1:16" ht="13" x14ac:dyDescent="0.15">
      <c r="A74">
        <v>73</v>
      </c>
      <c r="B74" t="s">
        <v>293</v>
      </c>
      <c r="C74">
        <v>0</v>
      </c>
      <c r="D74">
        <v>0</v>
      </c>
      <c r="E74">
        <v>0</v>
      </c>
      <c r="F74">
        <v>0</v>
      </c>
      <c r="G74">
        <v>0</v>
      </c>
      <c r="H74">
        <v>0.4</v>
      </c>
      <c r="I74">
        <v>0.5</v>
      </c>
      <c r="J74">
        <v>0.4</v>
      </c>
      <c r="K74">
        <v>0.4</v>
      </c>
      <c r="L74">
        <v>0.4</v>
      </c>
      <c r="M74">
        <v>0.4</v>
      </c>
      <c r="N74">
        <v>0.4</v>
      </c>
      <c r="O74">
        <v>0.4</v>
      </c>
      <c r="P74">
        <v>0</v>
      </c>
    </row>
    <row r="75" spans="1:16" ht="13" x14ac:dyDescent="0.15">
      <c r="A75">
        <v>74</v>
      </c>
      <c r="B75" t="s">
        <v>294</v>
      </c>
      <c r="C75">
        <v>0</v>
      </c>
      <c r="D75">
        <v>0</v>
      </c>
      <c r="E75">
        <v>0</v>
      </c>
      <c r="F75">
        <v>0</v>
      </c>
      <c r="G75">
        <v>0</v>
      </c>
      <c r="H75">
        <v>0.4</v>
      </c>
      <c r="I75">
        <v>0.5</v>
      </c>
      <c r="J75">
        <v>0</v>
      </c>
      <c r="K75">
        <v>0</v>
      </c>
      <c r="L75">
        <v>0.4</v>
      </c>
      <c r="M75">
        <v>0.4</v>
      </c>
      <c r="N75">
        <v>0.4</v>
      </c>
      <c r="O75">
        <v>0.4</v>
      </c>
      <c r="P75">
        <v>0</v>
      </c>
    </row>
    <row r="76" spans="1:16" ht="13" x14ac:dyDescent="0.15">
      <c r="A76">
        <v>75</v>
      </c>
      <c r="B76" t="s">
        <v>295</v>
      </c>
      <c r="C76">
        <v>0</v>
      </c>
      <c r="D76">
        <v>0</v>
      </c>
      <c r="E76">
        <v>0</v>
      </c>
      <c r="F76">
        <v>0.1</v>
      </c>
      <c r="G76">
        <v>0</v>
      </c>
      <c r="H76">
        <v>0.3</v>
      </c>
      <c r="I76">
        <v>0.4</v>
      </c>
      <c r="J76">
        <v>0.3</v>
      </c>
      <c r="K76">
        <v>0</v>
      </c>
      <c r="L76">
        <v>0.3</v>
      </c>
      <c r="M76">
        <v>0.3</v>
      </c>
      <c r="N76">
        <v>0.3</v>
      </c>
      <c r="O76">
        <v>0.3</v>
      </c>
      <c r="P76">
        <v>0</v>
      </c>
    </row>
    <row r="77" spans="1:16" ht="13" x14ac:dyDescent="0.15">
      <c r="A77">
        <v>76</v>
      </c>
      <c r="B77" t="s">
        <v>296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ht="13" x14ac:dyDescent="0.15">
      <c r="A78">
        <v>77</v>
      </c>
      <c r="B78" t="s">
        <v>297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ht="13" x14ac:dyDescent="0.15">
      <c r="A79">
        <v>78</v>
      </c>
      <c r="B79" t="s">
        <v>298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0.5</v>
      </c>
      <c r="O79">
        <v>0</v>
      </c>
      <c r="P79">
        <v>0</v>
      </c>
    </row>
    <row r="80" spans="1:16" ht="13" x14ac:dyDescent="0.15">
      <c r="A80">
        <v>79</v>
      </c>
      <c r="B80" t="s">
        <v>299</v>
      </c>
      <c r="C80">
        <v>0</v>
      </c>
      <c r="D80">
        <v>0</v>
      </c>
      <c r="E80">
        <v>0</v>
      </c>
      <c r="F80">
        <v>0</v>
      </c>
      <c r="G80">
        <v>0.3</v>
      </c>
      <c r="H80">
        <v>0.5</v>
      </c>
      <c r="I80">
        <v>0.7</v>
      </c>
      <c r="J80">
        <v>0</v>
      </c>
      <c r="K80">
        <v>0.5</v>
      </c>
      <c r="L80">
        <v>0.5</v>
      </c>
      <c r="M80">
        <v>0.5</v>
      </c>
      <c r="N80">
        <v>0.5</v>
      </c>
      <c r="O80">
        <v>0</v>
      </c>
      <c r="P80">
        <v>0</v>
      </c>
    </row>
    <row r="81" spans="1:16" ht="13" x14ac:dyDescent="0.15">
      <c r="A81">
        <v>80</v>
      </c>
      <c r="B81" t="s">
        <v>300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0.5</v>
      </c>
      <c r="M81">
        <v>0</v>
      </c>
      <c r="N81">
        <v>0.5</v>
      </c>
      <c r="O81">
        <v>0</v>
      </c>
      <c r="P81">
        <v>0</v>
      </c>
    </row>
    <row r="82" spans="1:16" ht="13" x14ac:dyDescent="0.15">
      <c r="A82">
        <v>81</v>
      </c>
      <c r="B82" t="s">
        <v>301</v>
      </c>
      <c r="C82">
        <v>0</v>
      </c>
      <c r="D82">
        <v>0</v>
      </c>
      <c r="E82">
        <v>0</v>
      </c>
      <c r="F82">
        <v>0</v>
      </c>
      <c r="G82">
        <v>0.3</v>
      </c>
      <c r="H82">
        <v>0.5</v>
      </c>
      <c r="I82">
        <v>0.7</v>
      </c>
      <c r="J82">
        <v>0</v>
      </c>
      <c r="K82">
        <v>0.5</v>
      </c>
      <c r="L82">
        <v>0.5</v>
      </c>
      <c r="M82">
        <v>0.5</v>
      </c>
      <c r="N82">
        <v>0.5</v>
      </c>
      <c r="O82">
        <v>0</v>
      </c>
      <c r="P82">
        <v>0</v>
      </c>
    </row>
    <row r="83" spans="1:16" ht="13" x14ac:dyDescent="0.15">
      <c r="A83">
        <v>82</v>
      </c>
      <c r="B83" t="s">
        <v>302</v>
      </c>
      <c r="C83">
        <v>0</v>
      </c>
      <c r="D83">
        <v>0</v>
      </c>
      <c r="E83">
        <v>0</v>
      </c>
      <c r="F83">
        <v>0</v>
      </c>
      <c r="G83">
        <v>0</v>
      </c>
      <c r="H83">
        <v>0.5</v>
      </c>
      <c r="I83">
        <v>0</v>
      </c>
      <c r="J83">
        <v>0.5</v>
      </c>
      <c r="K83">
        <v>0</v>
      </c>
      <c r="L83">
        <v>0</v>
      </c>
      <c r="M83">
        <v>0.5</v>
      </c>
      <c r="N83">
        <v>0.5</v>
      </c>
      <c r="O83">
        <v>0</v>
      </c>
      <c r="P83">
        <v>0</v>
      </c>
    </row>
    <row r="84" spans="1:16" ht="13" x14ac:dyDescent="0.15">
      <c r="A84">
        <v>83</v>
      </c>
      <c r="B84" t="s">
        <v>303</v>
      </c>
      <c r="C84">
        <v>0</v>
      </c>
      <c r="D84">
        <v>0</v>
      </c>
      <c r="E84">
        <v>0</v>
      </c>
      <c r="F84">
        <v>0</v>
      </c>
      <c r="G84">
        <v>0.3</v>
      </c>
      <c r="H84">
        <v>0.5</v>
      </c>
      <c r="I84">
        <v>0.7</v>
      </c>
      <c r="J84">
        <v>0</v>
      </c>
      <c r="K84">
        <v>0.5</v>
      </c>
      <c r="L84">
        <v>0.5</v>
      </c>
      <c r="M84">
        <v>0.5</v>
      </c>
      <c r="N84">
        <v>0.5</v>
      </c>
      <c r="O84">
        <v>0</v>
      </c>
      <c r="P84">
        <v>0</v>
      </c>
    </row>
    <row r="85" spans="1:16" ht="13" x14ac:dyDescent="0.15">
      <c r="A85">
        <v>84</v>
      </c>
      <c r="B85" t="s">
        <v>304</v>
      </c>
      <c r="C85">
        <v>0</v>
      </c>
      <c r="D85">
        <v>0.1</v>
      </c>
      <c r="E85">
        <v>0</v>
      </c>
      <c r="F85">
        <v>0</v>
      </c>
      <c r="G85">
        <v>0.3</v>
      </c>
      <c r="H85">
        <v>0.3</v>
      </c>
      <c r="I85">
        <v>0.4</v>
      </c>
      <c r="J85">
        <v>0.3</v>
      </c>
      <c r="K85">
        <v>0.3</v>
      </c>
      <c r="L85">
        <v>0.3</v>
      </c>
      <c r="M85">
        <v>0.3</v>
      </c>
      <c r="N85">
        <v>0.3</v>
      </c>
      <c r="O85">
        <v>0.3</v>
      </c>
      <c r="P85">
        <v>0</v>
      </c>
    </row>
    <row r="86" spans="1:16" ht="13" x14ac:dyDescent="0.15">
      <c r="A86">
        <v>85</v>
      </c>
      <c r="B86" t="s">
        <v>305</v>
      </c>
      <c r="C86">
        <v>0</v>
      </c>
      <c r="D86">
        <v>0.1</v>
      </c>
      <c r="E86">
        <v>0</v>
      </c>
      <c r="F86">
        <v>0</v>
      </c>
      <c r="G86">
        <v>0.3</v>
      </c>
      <c r="H86">
        <v>0.3</v>
      </c>
      <c r="I86">
        <v>0</v>
      </c>
      <c r="J86">
        <v>0</v>
      </c>
      <c r="K86">
        <v>0.3</v>
      </c>
      <c r="L86">
        <v>0.3</v>
      </c>
      <c r="M86">
        <v>0</v>
      </c>
      <c r="N86">
        <v>0</v>
      </c>
      <c r="O86">
        <v>0.3</v>
      </c>
      <c r="P86">
        <v>0</v>
      </c>
    </row>
    <row r="87" spans="1:16" ht="13" x14ac:dyDescent="0.15">
      <c r="A87">
        <v>86</v>
      </c>
      <c r="B87" t="s">
        <v>306</v>
      </c>
      <c r="C87">
        <v>0</v>
      </c>
      <c r="D87">
        <v>0</v>
      </c>
      <c r="E87">
        <v>0</v>
      </c>
      <c r="F87">
        <v>0</v>
      </c>
      <c r="G87">
        <v>0.3</v>
      </c>
      <c r="H87">
        <v>0.5</v>
      </c>
      <c r="I87">
        <v>0.7</v>
      </c>
      <c r="J87">
        <v>0.5</v>
      </c>
      <c r="K87">
        <v>0.5</v>
      </c>
      <c r="L87">
        <v>0.5</v>
      </c>
      <c r="M87">
        <v>0.5</v>
      </c>
      <c r="N87">
        <v>0.5</v>
      </c>
      <c r="O87">
        <v>0.5</v>
      </c>
      <c r="P87">
        <v>0</v>
      </c>
    </row>
    <row r="88" spans="1:16" ht="13" x14ac:dyDescent="0.15">
      <c r="A88">
        <v>87</v>
      </c>
      <c r="B88" t="s">
        <v>307</v>
      </c>
      <c r="C88">
        <v>0</v>
      </c>
      <c r="D88">
        <v>0</v>
      </c>
      <c r="E88">
        <v>0</v>
      </c>
      <c r="F88">
        <v>0</v>
      </c>
      <c r="G88">
        <v>0.3</v>
      </c>
      <c r="H88">
        <v>0.5</v>
      </c>
      <c r="I88">
        <v>0.7</v>
      </c>
      <c r="J88">
        <v>0</v>
      </c>
      <c r="K88">
        <v>0</v>
      </c>
      <c r="L88">
        <v>0.5</v>
      </c>
      <c r="M88">
        <v>0.5</v>
      </c>
      <c r="N88">
        <v>0.5</v>
      </c>
      <c r="O88">
        <v>0</v>
      </c>
      <c r="P88">
        <v>0.1</v>
      </c>
    </row>
    <row r="89" spans="1:16" ht="13" x14ac:dyDescent="0.15">
      <c r="A89">
        <v>88</v>
      </c>
      <c r="B89" t="s">
        <v>308</v>
      </c>
      <c r="C89">
        <v>0</v>
      </c>
      <c r="D89">
        <v>0</v>
      </c>
      <c r="E89">
        <v>0</v>
      </c>
      <c r="F89">
        <v>0</v>
      </c>
      <c r="G89">
        <v>0</v>
      </c>
      <c r="H89">
        <v>0.5</v>
      </c>
      <c r="I89">
        <v>0.7</v>
      </c>
      <c r="J89">
        <v>0</v>
      </c>
      <c r="K89">
        <v>0</v>
      </c>
      <c r="L89">
        <v>0.5</v>
      </c>
      <c r="M89">
        <v>0.5</v>
      </c>
      <c r="N89">
        <v>0.5</v>
      </c>
      <c r="O89">
        <v>0</v>
      </c>
      <c r="P89">
        <v>0</v>
      </c>
    </row>
    <row r="90" spans="1:16" ht="13" x14ac:dyDescent="0.15">
      <c r="A90">
        <v>89</v>
      </c>
      <c r="B90" t="s">
        <v>309</v>
      </c>
      <c r="C90">
        <v>0.8</v>
      </c>
      <c r="D90">
        <v>0</v>
      </c>
      <c r="E90">
        <v>0</v>
      </c>
      <c r="F90">
        <v>0</v>
      </c>
      <c r="G90">
        <v>0</v>
      </c>
      <c r="H90">
        <v>0.5</v>
      </c>
      <c r="I90">
        <v>0.7</v>
      </c>
      <c r="J90">
        <v>0.5</v>
      </c>
      <c r="K90">
        <v>0.5</v>
      </c>
      <c r="L90">
        <v>0.5</v>
      </c>
      <c r="M90">
        <v>0.5</v>
      </c>
      <c r="N90">
        <v>0.5</v>
      </c>
      <c r="O90">
        <v>0.5</v>
      </c>
      <c r="P90">
        <v>0</v>
      </c>
    </row>
    <row r="91" spans="1:16" ht="13" x14ac:dyDescent="0.15">
      <c r="A91">
        <v>90</v>
      </c>
      <c r="B91" t="s">
        <v>310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 ht="13" x14ac:dyDescent="0.15">
      <c r="A92">
        <v>91</v>
      </c>
      <c r="B92" t="s">
        <v>311</v>
      </c>
      <c r="C92">
        <v>0</v>
      </c>
      <c r="D92">
        <v>0</v>
      </c>
      <c r="E92">
        <v>0</v>
      </c>
      <c r="F92">
        <v>0</v>
      </c>
      <c r="G92">
        <v>0.3</v>
      </c>
      <c r="H92">
        <v>0.5</v>
      </c>
      <c r="I92">
        <v>0.7</v>
      </c>
      <c r="J92">
        <v>0</v>
      </c>
      <c r="K92">
        <v>0.5</v>
      </c>
      <c r="L92">
        <v>0.5</v>
      </c>
      <c r="M92">
        <v>0.5</v>
      </c>
      <c r="N92">
        <v>0.5</v>
      </c>
      <c r="O92">
        <v>0.5</v>
      </c>
      <c r="P92">
        <v>0</v>
      </c>
    </row>
    <row r="93" spans="1:16" ht="13" x14ac:dyDescent="0.15">
      <c r="A93">
        <v>92</v>
      </c>
      <c r="B93" t="s">
        <v>312</v>
      </c>
      <c r="C93">
        <v>0</v>
      </c>
      <c r="D93">
        <v>0</v>
      </c>
      <c r="E93">
        <v>0</v>
      </c>
      <c r="F93">
        <v>0</v>
      </c>
      <c r="G93">
        <v>0.3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1:16" ht="13" x14ac:dyDescent="0.15">
      <c r="A94">
        <v>93</v>
      </c>
      <c r="B94" t="s">
        <v>313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ht="13" x14ac:dyDescent="0.15">
      <c r="A95">
        <v>94</v>
      </c>
      <c r="B95" t="s">
        <v>314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ht="13" x14ac:dyDescent="0.15">
      <c r="A96">
        <v>95</v>
      </c>
      <c r="B96" t="s">
        <v>315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ht="13" x14ac:dyDescent="0.15">
      <c r="A97">
        <v>96</v>
      </c>
      <c r="B97" t="s">
        <v>316</v>
      </c>
      <c r="C97">
        <v>0</v>
      </c>
      <c r="D97">
        <v>0</v>
      </c>
      <c r="E97">
        <v>0</v>
      </c>
      <c r="F97">
        <v>0</v>
      </c>
      <c r="G97">
        <v>0</v>
      </c>
      <c r="H97">
        <v>0.5</v>
      </c>
      <c r="I97">
        <v>0.7</v>
      </c>
      <c r="J97">
        <v>0.5</v>
      </c>
      <c r="K97">
        <v>0.5</v>
      </c>
      <c r="L97">
        <v>0.5</v>
      </c>
      <c r="M97">
        <v>0.5</v>
      </c>
      <c r="N97">
        <v>0.5</v>
      </c>
      <c r="O97">
        <v>0.5</v>
      </c>
      <c r="P97">
        <v>0</v>
      </c>
    </row>
    <row r="98" spans="1:16" ht="13" x14ac:dyDescent="0.15">
      <c r="A98">
        <v>97</v>
      </c>
      <c r="B98" t="s">
        <v>317</v>
      </c>
      <c r="C98">
        <v>0</v>
      </c>
      <c r="D98">
        <v>0</v>
      </c>
      <c r="E98">
        <v>0</v>
      </c>
      <c r="F98">
        <v>0</v>
      </c>
      <c r="G98">
        <v>0</v>
      </c>
      <c r="H98">
        <v>0.5</v>
      </c>
      <c r="I98">
        <v>0</v>
      </c>
      <c r="J98">
        <v>0.5</v>
      </c>
      <c r="K98">
        <v>0.5</v>
      </c>
      <c r="L98">
        <v>0.5</v>
      </c>
      <c r="M98">
        <v>0.5</v>
      </c>
      <c r="N98">
        <v>0.5</v>
      </c>
      <c r="O98">
        <v>0.5</v>
      </c>
      <c r="P98">
        <v>0</v>
      </c>
    </row>
    <row r="99" spans="1:16" ht="13" x14ac:dyDescent="0.15">
      <c r="A99">
        <v>98</v>
      </c>
      <c r="B99" t="s">
        <v>318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ht="13" x14ac:dyDescent="0.15">
      <c r="A100">
        <v>99</v>
      </c>
      <c r="B100" t="s">
        <v>319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0.5</v>
      </c>
      <c r="I100">
        <v>0.7</v>
      </c>
      <c r="J100">
        <v>0.5</v>
      </c>
      <c r="K100">
        <v>0.5</v>
      </c>
      <c r="L100">
        <v>0.5</v>
      </c>
      <c r="M100">
        <v>0.5</v>
      </c>
      <c r="N100">
        <v>0.5</v>
      </c>
      <c r="O100">
        <v>0.5</v>
      </c>
      <c r="P100">
        <v>0</v>
      </c>
    </row>
    <row r="101" spans="1:16" ht="13" x14ac:dyDescent="0.15">
      <c r="A101">
        <v>100</v>
      </c>
      <c r="B101" t="s">
        <v>320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0.5</v>
      </c>
      <c r="I101">
        <v>0</v>
      </c>
      <c r="J101">
        <v>0.5</v>
      </c>
      <c r="K101">
        <v>0</v>
      </c>
      <c r="L101">
        <v>0.5</v>
      </c>
      <c r="M101">
        <v>0</v>
      </c>
      <c r="N101">
        <v>0.5</v>
      </c>
      <c r="O101">
        <v>0.5</v>
      </c>
      <c r="P101">
        <v>0</v>
      </c>
    </row>
    <row r="102" spans="1:16" ht="13" x14ac:dyDescent="0.15">
      <c r="A102">
        <v>101</v>
      </c>
      <c r="B102" t="s">
        <v>321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0.5</v>
      </c>
      <c r="I102">
        <v>0</v>
      </c>
      <c r="J102">
        <v>0.5</v>
      </c>
      <c r="K102">
        <v>0.5</v>
      </c>
      <c r="L102">
        <v>0.5</v>
      </c>
      <c r="M102">
        <v>0.5</v>
      </c>
      <c r="N102">
        <v>0.5</v>
      </c>
      <c r="O102">
        <v>0.5</v>
      </c>
      <c r="P102">
        <v>0</v>
      </c>
    </row>
    <row r="103" spans="1:16" ht="13" x14ac:dyDescent="0.15">
      <c r="A103">
        <v>102</v>
      </c>
      <c r="B103" t="s">
        <v>322</v>
      </c>
      <c r="C103">
        <v>0</v>
      </c>
      <c r="D103">
        <v>0</v>
      </c>
      <c r="E103">
        <v>0</v>
      </c>
      <c r="F103">
        <v>0</v>
      </c>
      <c r="G103">
        <v>0.3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ht="13" x14ac:dyDescent="0.15">
      <c r="A104">
        <v>103</v>
      </c>
      <c r="B104" t="s">
        <v>323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ht="13" x14ac:dyDescent="0.15">
      <c r="A105">
        <v>104</v>
      </c>
      <c r="B105" t="s">
        <v>324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ht="13" x14ac:dyDescent="0.15">
      <c r="A106">
        <v>105</v>
      </c>
      <c r="B106" t="s">
        <v>325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0.5</v>
      </c>
      <c r="I106">
        <v>0.7</v>
      </c>
      <c r="J106">
        <v>0</v>
      </c>
      <c r="K106">
        <v>0.5</v>
      </c>
      <c r="L106">
        <v>0.5</v>
      </c>
      <c r="M106">
        <v>0.5</v>
      </c>
      <c r="N106">
        <v>0.5</v>
      </c>
      <c r="O106">
        <v>0.5</v>
      </c>
      <c r="P106">
        <v>0</v>
      </c>
    </row>
    <row r="107" spans="1:16" ht="13" x14ac:dyDescent="0.15">
      <c r="A107">
        <v>106</v>
      </c>
      <c r="B107" t="s">
        <v>326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ht="13" x14ac:dyDescent="0.15">
      <c r="A108">
        <v>107</v>
      </c>
      <c r="B108" t="s">
        <v>327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ht="13" x14ac:dyDescent="0.15">
      <c r="A109">
        <v>108</v>
      </c>
      <c r="B109" t="s">
        <v>328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ht="13" x14ac:dyDescent="0.15">
      <c r="A110">
        <v>109</v>
      </c>
      <c r="B110" t="s">
        <v>329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ht="13" x14ac:dyDescent="0.15">
      <c r="A111">
        <v>110</v>
      </c>
      <c r="B111" t="s">
        <v>330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ht="13" x14ac:dyDescent="0.15">
      <c r="A112">
        <v>111</v>
      </c>
      <c r="B112" t="s">
        <v>331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ht="13" x14ac:dyDescent="0.15">
      <c r="A113">
        <v>112</v>
      </c>
      <c r="B113" t="s">
        <v>332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ht="13" x14ac:dyDescent="0.15">
      <c r="A114">
        <v>113</v>
      </c>
      <c r="B114" t="s">
        <v>333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ht="13" x14ac:dyDescent="0.15">
      <c r="A115">
        <v>114</v>
      </c>
      <c r="B115" t="s">
        <v>334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ht="13" x14ac:dyDescent="0.15">
      <c r="A116">
        <v>115</v>
      </c>
      <c r="B116" t="s">
        <v>335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ht="13" x14ac:dyDescent="0.15">
      <c r="A117">
        <v>116</v>
      </c>
      <c r="B117" t="s">
        <v>336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ht="13" x14ac:dyDescent="0.15">
      <c r="A118">
        <v>117</v>
      </c>
      <c r="B118" t="s">
        <v>337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ht="13" x14ac:dyDescent="0.15">
      <c r="A119">
        <v>118</v>
      </c>
      <c r="B119" t="s">
        <v>338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ht="13" x14ac:dyDescent="0.15">
      <c r="A120">
        <v>119</v>
      </c>
      <c r="B120" t="s">
        <v>339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ht="13" x14ac:dyDescent="0.15">
      <c r="A121">
        <v>120</v>
      </c>
      <c r="B121" t="s">
        <v>340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</row>
    <row r="122" spans="1:16" ht="13" x14ac:dyDescent="0.15">
      <c r="A122">
        <v>121</v>
      </c>
      <c r="B122" t="s">
        <v>341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ht="13" x14ac:dyDescent="0.15">
      <c r="A123">
        <v>122</v>
      </c>
      <c r="B123" t="s">
        <v>342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ht="13" x14ac:dyDescent="0.15"/>
    <row r="125" spans="1:16" ht="13" x14ac:dyDescent="0.15"/>
    <row r="126" spans="1:16" ht="13" x14ac:dyDescent="0.15"/>
    <row r="127" spans="1:16" ht="13" x14ac:dyDescent="0.15"/>
    <row r="128" spans="1:16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139" sqref="B139"/>
    </sheetView>
  </sheetViews>
  <sheetFormatPr baseColWidth="10" defaultColWidth="8.83203125" defaultRowHeight="15" customHeight="1" x14ac:dyDescent="0.15"/>
  <cols>
    <col min="1" max="1" width="8.83203125" style="61"/>
    <col min="2" max="2" width="41.83203125" style="61" bestFit="1" customWidth="1"/>
    <col min="3" max="3" width="9.33203125" style="61" bestFit="1" customWidth="1"/>
    <col min="4" max="4" width="13" style="61" bestFit="1" customWidth="1"/>
    <col min="5" max="6" width="9.33203125" style="61" bestFit="1" customWidth="1"/>
    <col min="7" max="7" width="9.33203125" style="62" bestFit="1" customWidth="1"/>
    <col min="8" max="8" width="9.33203125" style="61" bestFit="1" customWidth="1"/>
    <col min="9" max="9" width="11" style="61" customWidth="1"/>
    <col min="10" max="10" width="8.83203125" style="61"/>
    <col min="15" max="16384" width="8.83203125" style="61"/>
  </cols>
  <sheetData>
    <row r="1" spans="1:10" ht="15" customHeight="1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57">
        <v>1</v>
      </c>
      <c r="B2" s="157" t="s">
        <v>225</v>
      </c>
      <c r="C2" s="5">
        <v>4.83587646484375</v>
      </c>
      <c r="D2" s="6">
        <v>1.3941110228188336E-4</v>
      </c>
      <c r="E2" s="6">
        <v>2.5420909747481346E-2</v>
      </c>
      <c r="F2" s="6">
        <v>11.156929969787598</v>
      </c>
      <c r="G2" s="4">
        <v>0</v>
      </c>
      <c r="H2" s="4">
        <v>2.2784860339015722E-3</v>
      </c>
      <c r="I2">
        <v>0</v>
      </c>
      <c r="J2"/>
    </row>
    <row r="3" spans="1:10" ht="15" customHeight="1" x14ac:dyDescent="0.15">
      <c r="A3" s="158">
        <v>2</v>
      </c>
      <c r="B3" s="158" t="s">
        <v>226</v>
      </c>
      <c r="C3" s="5">
        <v>4.7091274261474609</v>
      </c>
      <c r="D3" s="6">
        <v>4.0686521679162979E-2</v>
      </c>
      <c r="E3" s="6">
        <v>4.6900000423192978E-2</v>
      </c>
      <c r="F3" s="6">
        <v>6.6094231605529785</v>
      </c>
      <c r="G3" s="4">
        <v>0</v>
      </c>
      <c r="H3" s="4">
        <v>7.0959292352199554E-3</v>
      </c>
      <c r="I3">
        <v>0</v>
      </c>
      <c r="J3"/>
    </row>
    <row r="4" spans="1:10" ht="15" customHeight="1" x14ac:dyDescent="0.15">
      <c r="A4" s="159">
        <v>3</v>
      </c>
      <c r="B4" s="159" t="s">
        <v>227</v>
      </c>
      <c r="C4" s="5">
        <v>4.8102154731750488</v>
      </c>
      <c r="D4" s="6">
        <v>1.3931599678471684E-3</v>
      </c>
      <c r="E4" s="6">
        <v>2.5420909747481346E-2</v>
      </c>
      <c r="F4" s="6">
        <v>11.156929969787598</v>
      </c>
      <c r="G4" s="4">
        <v>3.4518733620643616E-2</v>
      </c>
      <c r="H4" s="4">
        <v>2.2784860339015722E-3</v>
      </c>
      <c r="I4">
        <v>1.2224945749039762E-6</v>
      </c>
      <c r="J4"/>
    </row>
    <row r="5" spans="1:10" ht="15" customHeight="1" x14ac:dyDescent="0.15">
      <c r="A5" s="160">
        <v>4</v>
      </c>
      <c r="B5" s="160" t="s">
        <v>228</v>
      </c>
      <c r="C5" s="5">
        <v>4.648810863494873</v>
      </c>
      <c r="D5" s="6">
        <v>1.5624189749360085E-2</v>
      </c>
      <c r="E5" s="6">
        <v>5.000000074505806E-2</v>
      </c>
      <c r="F5" s="6">
        <v>30</v>
      </c>
      <c r="G5" s="4">
        <v>5.2183922380208969E-2</v>
      </c>
      <c r="H5" s="4">
        <v>1.6666667070239782E-3</v>
      </c>
      <c r="I5">
        <v>3.5515830631993595E-7</v>
      </c>
      <c r="J5"/>
    </row>
    <row r="6" spans="1:10" ht="15" customHeight="1" x14ac:dyDescent="0.15">
      <c r="A6" s="161">
        <v>5</v>
      </c>
      <c r="B6" s="161" t="s">
        <v>229</v>
      </c>
      <c r="C6" s="5">
        <v>3.521125316619873</v>
      </c>
      <c r="D6" s="6">
        <v>5.1689330488443375E-2</v>
      </c>
      <c r="E6" s="6">
        <v>6.3364997506141663E-2</v>
      </c>
      <c r="F6" s="6">
        <v>8.8728504180908203</v>
      </c>
      <c r="G6" s="4">
        <v>4.084467887878418E-2</v>
      </c>
      <c r="H6" s="4">
        <v>7.141447626054287E-3</v>
      </c>
      <c r="I6">
        <v>8.5663380389178201E-8</v>
      </c>
      <c r="J6"/>
    </row>
    <row r="7" spans="1:10" ht="15" customHeight="1" x14ac:dyDescent="0.15">
      <c r="A7" s="162">
        <v>6</v>
      </c>
      <c r="B7" s="162" t="s">
        <v>230</v>
      </c>
      <c r="C7" s="5">
        <v>3.9443399906158447</v>
      </c>
      <c r="D7" s="6">
        <v>0.16633839905261993</v>
      </c>
      <c r="E7" s="6">
        <v>3.7701871246099472E-2</v>
      </c>
      <c r="F7" s="6">
        <v>7.5772051811218262</v>
      </c>
      <c r="G7" s="4">
        <v>6.8603143095970154E-2</v>
      </c>
      <c r="H7" s="4">
        <v>4.9756960943341255E-3</v>
      </c>
      <c r="I7">
        <v>0</v>
      </c>
      <c r="J7"/>
    </row>
    <row r="8" spans="1:10" ht="15" customHeight="1" x14ac:dyDescent="0.15">
      <c r="A8" s="163">
        <v>7</v>
      </c>
      <c r="B8" s="163" t="s">
        <v>231</v>
      </c>
      <c r="C8" s="5">
        <v>3.7320511341094971</v>
      </c>
      <c r="D8" s="6">
        <v>0.32651528716087341</v>
      </c>
      <c r="E8" s="6">
        <v>2.6675999164581299E-2</v>
      </c>
      <c r="F8" s="6">
        <v>6.5168561935424805</v>
      </c>
      <c r="G8" s="4">
        <v>0.10692381113767624</v>
      </c>
      <c r="H8" s="4">
        <v>4.0933848358690739E-3</v>
      </c>
      <c r="I8">
        <v>8.6798987467773259E-5</v>
      </c>
      <c r="J8"/>
    </row>
    <row r="9" spans="1:10" ht="15" customHeight="1" x14ac:dyDescent="0.15">
      <c r="A9" s="164">
        <v>8</v>
      </c>
      <c r="B9" s="164" t="s">
        <v>232</v>
      </c>
      <c r="C9" s="5">
        <v>3.6661732196807861</v>
      </c>
      <c r="D9" s="6">
        <v>7.771786767989397E-3</v>
      </c>
      <c r="E9" s="6">
        <v>4.0015000849962234E-2</v>
      </c>
      <c r="F9" s="6">
        <v>8.787933349609375</v>
      </c>
      <c r="G9" s="4">
        <v>6.463739275932312E-2</v>
      </c>
      <c r="H9" s="4">
        <v>4.5534027740359306E-3</v>
      </c>
      <c r="I9">
        <v>0</v>
      </c>
      <c r="J9"/>
    </row>
    <row r="10" spans="1:10" ht="15" customHeight="1" x14ac:dyDescent="0.15">
      <c r="A10" s="165">
        <v>9</v>
      </c>
      <c r="B10" s="165" t="s">
        <v>233</v>
      </c>
      <c r="C10" s="5">
        <v>3.5017673969268799</v>
      </c>
      <c r="D10" s="6">
        <v>3.3149020746350288E-3</v>
      </c>
      <c r="E10" s="6">
        <v>3.2777998596429825E-2</v>
      </c>
      <c r="F10" s="6">
        <v>8</v>
      </c>
      <c r="G10" s="4">
        <v>7.8908607363700867E-2</v>
      </c>
      <c r="H10" s="4">
        <v>4.0972498245537281E-3</v>
      </c>
      <c r="I10">
        <v>0</v>
      </c>
      <c r="J10"/>
    </row>
    <row r="11" spans="1:10" ht="15" customHeight="1" x14ac:dyDescent="0.15">
      <c r="A11" s="166">
        <v>10</v>
      </c>
      <c r="B11" s="166" t="s">
        <v>234</v>
      </c>
      <c r="C11" s="5">
        <v>4.1282343864440918</v>
      </c>
      <c r="D11" s="6">
        <v>2.4056590627878904E-3</v>
      </c>
      <c r="E11" s="6">
        <v>5.1141001284122467E-2</v>
      </c>
      <c r="F11" s="6">
        <v>7.781984806060791</v>
      </c>
      <c r="G11" s="4">
        <v>5.0575166940689087E-2</v>
      </c>
      <c r="H11" s="4">
        <v>6.571717094630003E-3</v>
      </c>
      <c r="I11">
        <v>0</v>
      </c>
      <c r="J11"/>
    </row>
    <row r="12" spans="1:10" ht="15" customHeight="1" x14ac:dyDescent="0.15">
      <c r="A12" s="167">
        <v>11</v>
      </c>
      <c r="B12" s="167" t="s">
        <v>235</v>
      </c>
      <c r="C12" s="5">
        <v>3.8299374580383301</v>
      </c>
      <c r="D12" s="6">
        <v>3.2187560573220253E-3</v>
      </c>
      <c r="E12" s="6">
        <v>0.11686299741268158</v>
      </c>
      <c r="F12" s="6">
        <v>73</v>
      </c>
      <c r="G12" s="4">
        <v>2.2228797897696495E-2</v>
      </c>
      <c r="H12" s="4">
        <v>1.6008629463613033E-3</v>
      </c>
      <c r="I12">
        <v>3.6238201772675893E-8</v>
      </c>
      <c r="J12"/>
    </row>
    <row r="13" spans="1:10" ht="15" customHeight="1" x14ac:dyDescent="0.15">
      <c r="A13" s="168">
        <v>12</v>
      </c>
      <c r="B13" s="168" t="s">
        <v>236</v>
      </c>
      <c r="C13" s="5">
        <v>4.5851426124572754</v>
      </c>
      <c r="D13" s="6">
        <v>3.3673021243885159E-4</v>
      </c>
      <c r="E13" s="6">
        <v>0.39886501431465149</v>
      </c>
      <c r="F13" s="6">
        <v>84.094230651855469</v>
      </c>
      <c r="G13" s="4">
        <v>6.4845620654523373E-3</v>
      </c>
      <c r="H13" s="4">
        <v>4.7430722042918205E-3</v>
      </c>
      <c r="I13">
        <v>0</v>
      </c>
      <c r="J13"/>
    </row>
    <row r="14" spans="1:10" ht="15" customHeight="1" x14ac:dyDescent="0.15">
      <c r="A14" s="169">
        <v>13</v>
      </c>
      <c r="B14" s="169" t="s">
        <v>237</v>
      </c>
      <c r="C14" s="5">
        <v>4.5860733985900879</v>
      </c>
      <c r="D14" s="6">
        <v>1.0322130285203457E-2</v>
      </c>
      <c r="E14" s="6">
        <v>9.6588000655174255E-2</v>
      </c>
      <c r="F14" s="6">
        <v>39.030330657958984</v>
      </c>
      <c r="G14" s="4">
        <v>2.6912694796919823E-2</v>
      </c>
      <c r="H14" s="4">
        <v>2.4746907874941826E-3</v>
      </c>
      <c r="I14">
        <v>1.3394640063779661E-7</v>
      </c>
      <c r="J14"/>
    </row>
    <row r="15" spans="1:10" ht="15" customHeight="1" x14ac:dyDescent="0.15">
      <c r="A15" s="170">
        <v>14</v>
      </c>
      <c r="B15" s="170" t="s">
        <v>238</v>
      </c>
      <c r="C15" s="5">
        <v>4.8229126930236816</v>
      </c>
      <c r="D15" s="6">
        <v>1.636498054722324E-4</v>
      </c>
      <c r="E15" s="6">
        <v>0.49401149153709412</v>
      </c>
      <c r="F15" s="6">
        <v>56.344329833984375</v>
      </c>
      <c r="G15" s="4">
        <v>3.5438686609268188E-2</v>
      </c>
      <c r="H15" s="4">
        <v>8.7677231058478355E-3</v>
      </c>
      <c r="I15">
        <v>2.4417620352323866E-6</v>
      </c>
      <c r="J15"/>
    </row>
    <row r="16" spans="1:10" ht="15" customHeight="1" x14ac:dyDescent="0.15">
      <c r="A16" s="171">
        <v>15</v>
      </c>
      <c r="B16" s="171" t="s">
        <v>239</v>
      </c>
      <c r="C16" s="5">
        <v>4.833956241607666</v>
      </c>
      <c r="D16" s="6">
        <v>1.0271050035953522E-2</v>
      </c>
      <c r="E16" s="6">
        <v>0.10979360342025757</v>
      </c>
      <c r="F16" s="6">
        <v>24.074150085449219</v>
      </c>
      <c r="G16" s="4">
        <v>5.1147330552339554E-2</v>
      </c>
      <c r="H16" s="4">
        <v>4.5606428757309914E-3</v>
      </c>
      <c r="I16">
        <v>3.111291880486533E-5</v>
      </c>
      <c r="J16"/>
    </row>
    <row r="17" spans="1:10" ht="15" customHeight="1" x14ac:dyDescent="0.15">
      <c r="A17" s="172">
        <v>16</v>
      </c>
      <c r="B17" s="172" t="s">
        <v>240</v>
      </c>
      <c r="C17" s="5">
        <v>4.6503801345825195</v>
      </c>
      <c r="D17" s="6">
        <v>3.3892691135406494E-3</v>
      </c>
      <c r="E17" s="6">
        <v>8.2653000950813293E-2</v>
      </c>
      <c r="F17" s="6">
        <v>17.439079284667969</v>
      </c>
      <c r="G17" s="4">
        <v>0.2188582569360733</v>
      </c>
      <c r="H17" s="4">
        <v>4.739527590572834E-3</v>
      </c>
      <c r="I17">
        <v>5.2543251513270661E-5</v>
      </c>
      <c r="J17"/>
    </row>
    <row r="18" spans="1:10" ht="15" customHeight="1" x14ac:dyDescent="0.15">
      <c r="A18" s="173">
        <v>17</v>
      </c>
      <c r="B18" s="173" t="s">
        <v>241</v>
      </c>
      <c r="C18" s="5">
        <v>4.5367679595947266</v>
      </c>
      <c r="D18" s="6">
        <v>1.3020759797655046E-4</v>
      </c>
      <c r="E18" s="6">
        <v>0.10000000149011612</v>
      </c>
      <c r="F18" s="6">
        <v>73</v>
      </c>
      <c r="G18" s="4">
        <v>0.13017842173576355</v>
      </c>
      <c r="H18" s="4">
        <v>1.3698630500584841E-3</v>
      </c>
      <c r="I18">
        <v>3.2884747724892804E-7</v>
      </c>
      <c r="J18"/>
    </row>
    <row r="19" spans="1:10" ht="15" customHeight="1" x14ac:dyDescent="0.15">
      <c r="A19" s="174">
        <v>18</v>
      </c>
      <c r="B19" s="174" t="s">
        <v>242</v>
      </c>
      <c r="C19" s="5">
        <v>4.4849486351013184</v>
      </c>
      <c r="D19" s="6">
        <v>7.452692836523056E-3</v>
      </c>
      <c r="E19" s="6">
        <v>0.16948769986629486</v>
      </c>
      <c r="F19" s="6">
        <v>72</v>
      </c>
      <c r="G19" s="4">
        <v>6.7353688180446625E-2</v>
      </c>
      <c r="H19" s="4">
        <v>2.353995805606246E-3</v>
      </c>
      <c r="I19">
        <v>6.8813842517556623E-6</v>
      </c>
      <c r="J19"/>
    </row>
    <row r="20" spans="1:10" ht="15" customHeight="1" x14ac:dyDescent="0.15">
      <c r="A20" s="175">
        <v>19</v>
      </c>
      <c r="B20" s="175" t="s">
        <v>243</v>
      </c>
      <c r="C20" s="5">
        <v>4.4292287826538086</v>
      </c>
      <c r="D20" s="6">
        <v>9.0052309678867459E-4</v>
      </c>
      <c r="E20" s="6">
        <v>7.6881043612957001E-2</v>
      </c>
      <c r="F20" s="6">
        <v>110</v>
      </c>
      <c r="G20" s="4">
        <v>0.1547686904668808</v>
      </c>
      <c r="H20" s="4">
        <v>6.989185931161046E-4</v>
      </c>
      <c r="I20">
        <v>1.2665874464801163E-6</v>
      </c>
      <c r="J20"/>
    </row>
    <row r="21" spans="1:10" ht="15" customHeight="1" x14ac:dyDescent="0.15">
      <c r="A21" s="176">
        <v>20</v>
      </c>
      <c r="B21" s="176" t="s">
        <v>244</v>
      </c>
      <c r="C21" s="5">
        <v>3.5761523246765137</v>
      </c>
      <c r="D21" s="6">
        <v>7.4606890848372132E-5</v>
      </c>
      <c r="E21" s="6">
        <v>0.16948769986629486</v>
      </c>
      <c r="F21" s="6">
        <v>110</v>
      </c>
      <c r="G21" s="4">
        <v>9.5665886998176575E-2</v>
      </c>
      <c r="H21" s="4">
        <v>1.540797296911478E-3</v>
      </c>
      <c r="I21">
        <v>4.2689401880124933E-7</v>
      </c>
      <c r="J21"/>
    </row>
    <row r="22" spans="1:10" ht="15" customHeight="1" x14ac:dyDescent="0.15">
      <c r="A22" s="177">
        <v>21</v>
      </c>
      <c r="B22" s="177" t="s">
        <v>245</v>
      </c>
      <c r="C22" s="5">
        <v>4.4118852615356445</v>
      </c>
      <c r="D22" s="6">
        <v>3.8335109129548073E-3</v>
      </c>
      <c r="E22" s="6">
        <v>3.9999999105930328E-2</v>
      </c>
      <c r="F22" s="6">
        <v>73</v>
      </c>
      <c r="G22" s="4">
        <v>0.32253339886665344</v>
      </c>
      <c r="H22" s="4">
        <v>5.4794520838186145E-4</v>
      </c>
      <c r="I22">
        <v>9.2351410785340704E-6</v>
      </c>
      <c r="J22"/>
    </row>
    <row r="23" spans="1:10" ht="15" customHeight="1" x14ac:dyDescent="0.15">
      <c r="A23" s="178">
        <v>22</v>
      </c>
      <c r="B23" s="178" t="s">
        <v>246</v>
      </c>
      <c r="C23" s="5">
        <v>4.626011848449707</v>
      </c>
      <c r="D23" s="6">
        <v>1.412261975929141E-3</v>
      </c>
      <c r="E23" s="6">
        <v>5.4999999701976776E-2</v>
      </c>
      <c r="F23" s="6">
        <v>73</v>
      </c>
      <c r="G23" s="4">
        <v>0.20582021772861481</v>
      </c>
      <c r="H23" s="4">
        <v>7.5342465424910188E-4</v>
      </c>
      <c r="I23">
        <v>1.1691151939885458E-6</v>
      </c>
      <c r="J23"/>
    </row>
    <row r="24" spans="1:10" ht="15" customHeight="1" x14ac:dyDescent="0.15">
      <c r="A24" s="179">
        <v>23</v>
      </c>
      <c r="B24" s="179" t="s">
        <v>247</v>
      </c>
      <c r="C24" s="5">
        <v>4.2831869125366211</v>
      </c>
      <c r="D24" s="6">
        <v>1.3020759797655046E-4</v>
      </c>
      <c r="E24" s="6">
        <v>0.11999999731779099</v>
      </c>
      <c r="F24" s="6">
        <v>144</v>
      </c>
      <c r="G24" s="4">
        <v>0.10848201811313629</v>
      </c>
      <c r="H24" s="4">
        <v>8.333332953043282E-4</v>
      </c>
      <c r="I24">
        <v>3.2884747724892804E-7</v>
      </c>
      <c r="J24"/>
    </row>
    <row r="25" spans="1:10" ht="15" customHeight="1" x14ac:dyDescent="0.15">
      <c r="A25" s="180">
        <v>24</v>
      </c>
      <c r="B25" s="180" t="s">
        <v>248</v>
      </c>
      <c r="C25" s="5">
        <v>4.4805636405944824</v>
      </c>
      <c r="D25" s="6">
        <v>2.5815461413003504E-4</v>
      </c>
      <c r="E25" s="6">
        <v>0.15872709453105927</v>
      </c>
      <c r="F25" s="6">
        <v>73</v>
      </c>
      <c r="G25" s="4">
        <v>7.8228607773780823E-2</v>
      </c>
      <c r="H25" s="4">
        <v>2.1743436809629202E-3</v>
      </c>
      <c r="I25">
        <v>4.9687554337651818E-7</v>
      </c>
      <c r="J25"/>
    </row>
    <row r="26" spans="1:10" ht="15" customHeight="1" x14ac:dyDescent="0.15">
      <c r="A26" s="181">
        <v>25</v>
      </c>
      <c r="B26" s="181" t="s">
        <v>249</v>
      </c>
      <c r="C26" s="5">
        <v>4.4699621200561523</v>
      </c>
      <c r="D26" s="6">
        <v>4.1351310210302472E-4</v>
      </c>
      <c r="E26" s="6">
        <v>0.16578219830989838</v>
      </c>
      <c r="F26" s="6">
        <v>73</v>
      </c>
      <c r="G26" s="4">
        <v>7.5115375220775604E-2</v>
      </c>
      <c r="H26" s="4">
        <v>2.2709891200065613E-3</v>
      </c>
      <c r="I26">
        <v>8.1069663337984821E-7</v>
      </c>
      <c r="J26"/>
    </row>
    <row r="27" spans="1:10" ht="15" customHeight="1" x14ac:dyDescent="0.15">
      <c r="A27" s="182">
        <v>26</v>
      </c>
      <c r="B27" s="182" t="s">
        <v>250</v>
      </c>
      <c r="C27" s="5">
        <v>4.6069650650024414</v>
      </c>
      <c r="D27" s="6">
        <v>1.3020759797655046E-4</v>
      </c>
      <c r="E27" s="6">
        <v>6.7566342651844025E-2</v>
      </c>
      <c r="F27" s="6">
        <v>75</v>
      </c>
      <c r="G27" s="4">
        <v>0.19266755878925323</v>
      </c>
      <c r="H27" s="4">
        <v>9.0088456636294723E-4</v>
      </c>
      <c r="I27">
        <v>3.2884747724892804E-7</v>
      </c>
      <c r="J27"/>
    </row>
    <row r="28" spans="1:10" ht="15" customHeight="1" x14ac:dyDescent="0.15">
      <c r="A28" s="183">
        <v>27</v>
      </c>
      <c r="B28" s="183" t="s">
        <v>251</v>
      </c>
      <c r="C28" s="5">
        <v>4.8067455291748047</v>
      </c>
      <c r="D28" s="6">
        <v>1.7676500603556633E-2</v>
      </c>
      <c r="E28" s="6">
        <v>0.10000000149011612</v>
      </c>
      <c r="F28" s="6">
        <v>3</v>
      </c>
      <c r="G28" s="4">
        <v>0.91969031095504761</v>
      </c>
      <c r="H28" s="4">
        <v>3.3333335071802139E-2</v>
      </c>
      <c r="I28">
        <v>1.5320323873311281E-3</v>
      </c>
      <c r="J28"/>
    </row>
    <row r="29" spans="1:10" ht="15" customHeight="1" x14ac:dyDescent="0.15">
      <c r="A29" s="184">
        <v>28</v>
      </c>
      <c r="B29" s="184" t="s">
        <v>252</v>
      </c>
      <c r="C29" s="5">
        <v>4.9936537742614746</v>
      </c>
      <c r="D29" s="6">
        <v>3.4645810723304749E-2</v>
      </c>
      <c r="E29" s="6">
        <v>0.10000000149011612</v>
      </c>
      <c r="F29" s="6">
        <v>6</v>
      </c>
      <c r="G29" s="4">
        <v>0.13205084204673767</v>
      </c>
      <c r="H29" s="4">
        <v>1.666666753590107E-2</v>
      </c>
      <c r="I29">
        <v>4.5750083518214524E-4</v>
      </c>
      <c r="J29"/>
    </row>
    <row r="30" spans="1:10" ht="15" customHeight="1" x14ac:dyDescent="0.15">
      <c r="A30" s="185">
        <v>29</v>
      </c>
      <c r="B30" s="185" t="s">
        <v>253</v>
      </c>
      <c r="C30" s="5">
        <v>4.3006386756896973</v>
      </c>
      <c r="D30" s="6">
        <v>9.0241678059101105E-2</v>
      </c>
      <c r="E30" s="6">
        <v>0.10000000149011612</v>
      </c>
      <c r="F30" s="6">
        <v>3</v>
      </c>
      <c r="G30" s="4">
        <v>0.89379531145095825</v>
      </c>
      <c r="H30" s="4">
        <v>3.3333335071802139E-2</v>
      </c>
      <c r="I30">
        <v>4.3667429126799107E-3</v>
      </c>
      <c r="J30"/>
    </row>
    <row r="31" spans="1:10" ht="15" customHeight="1" x14ac:dyDescent="0.15">
      <c r="A31" s="186">
        <v>30</v>
      </c>
      <c r="B31" s="186" t="s">
        <v>254</v>
      </c>
      <c r="C31" s="5">
        <v>3.661837100982666</v>
      </c>
      <c r="D31" s="6">
        <v>1.071815013885498</v>
      </c>
      <c r="E31" s="6">
        <v>2.0999999046325684</v>
      </c>
      <c r="F31" s="6">
        <v>11.465510368347168</v>
      </c>
      <c r="G31" s="4">
        <v>0.92505240440368652</v>
      </c>
      <c r="H31" s="4">
        <v>0.18315799534320831</v>
      </c>
      <c r="I31">
        <v>0</v>
      </c>
      <c r="J31"/>
    </row>
    <row r="32" spans="1:10" ht="15" customHeight="1" x14ac:dyDescent="0.15">
      <c r="A32" s="187">
        <v>31</v>
      </c>
      <c r="B32" s="187" t="s">
        <v>177</v>
      </c>
      <c r="C32" s="5">
        <v>3.7345700263977051</v>
      </c>
      <c r="D32" s="6">
        <v>7.4773111343383789</v>
      </c>
      <c r="E32" s="6">
        <v>0.42500001192092896</v>
      </c>
      <c r="F32" s="6">
        <v>3.7799999713897705</v>
      </c>
      <c r="G32" s="4">
        <v>0.94973403215408325</v>
      </c>
      <c r="H32" s="4">
        <v>0.11243386566638947</v>
      </c>
      <c r="I32">
        <v>0.41680461168289185</v>
      </c>
      <c r="J32"/>
    </row>
    <row r="33" spans="1:10" ht="15" customHeight="1" x14ac:dyDescent="0.15">
      <c r="A33" s="188">
        <v>32</v>
      </c>
      <c r="B33" s="188" t="s">
        <v>255</v>
      </c>
      <c r="C33" s="5">
        <v>3.758404016494751</v>
      </c>
      <c r="D33" s="6">
        <v>0.14724859595298767</v>
      </c>
      <c r="E33" s="6">
        <v>2.0262880325317383</v>
      </c>
      <c r="F33" s="6">
        <v>8.414301872253418</v>
      </c>
      <c r="G33" s="4">
        <v>0.92914527654647827</v>
      </c>
      <c r="H33" s="4">
        <v>0.24081476032733917</v>
      </c>
      <c r="I33">
        <v>0</v>
      </c>
      <c r="J33"/>
    </row>
    <row r="34" spans="1:10" ht="15" customHeight="1" x14ac:dyDescent="0.15">
      <c r="A34" s="189">
        <v>33</v>
      </c>
      <c r="B34" s="189" t="s">
        <v>256</v>
      </c>
      <c r="C34" s="5">
        <v>4.0621156692504883</v>
      </c>
      <c r="D34" s="6">
        <v>1.568835973739624</v>
      </c>
      <c r="E34" s="6">
        <v>0.41999998688697815</v>
      </c>
      <c r="F34" s="6">
        <v>2.190000057220459</v>
      </c>
      <c r="G34" s="4">
        <v>0.47323966026306152</v>
      </c>
      <c r="H34" s="4">
        <v>0.19178080558776855</v>
      </c>
      <c r="I34">
        <v>0.24364198744297028</v>
      </c>
      <c r="J34"/>
    </row>
    <row r="35" spans="1:10" ht="15" customHeight="1" x14ac:dyDescent="0.15">
      <c r="A35" s="190">
        <v>34</v>
      </c>
      <c r="B35" s="190" t="s">
        <v>257</v>
      </c>
      <c r="C35" s="5">
        <v>3.5219640731811523</v>
      </c>
      <c r="D35" s="6">
        <v>0.57195752859115601</v>
      </c>
      <c r="E35" s="6">
        <v>1.5</v>
      </c>
      <c r="F35" s="6">
        <v>8.7515287399291992</v>
      </c>
      <c r="G35" s="4">
        <v>0.82972383499145508</v>
      </c>
      <c r="H35" s="4">
        <v>0.17139862477779388</v>
      </c>
      <c r="I35">
        <v>0</v>
      </c>
      <c r="J35"/>
    </row>
    <row r="36" spans="1:10" ht="15" customHeight="1" x14ac:dyDescent="0.15">
      <c r="A36" s="191">
        <v>35</v>
      </c>
      <c r="B36" s="191" t="s">
        <v>178</v>
      </c>
      <c r="C36" s="5">
        <v>3.5239260196685791</v>
      </c>
      <c r="D36" s="6">
        <v>1.1882810592651367</v>
      </c>
      <c r="E36" s="6">
        <v>0.31999999284744263</v>
      </c>
      <c r="F36" s="6">
        <v>3.5199999809265137</v>
      </c>
      <c r="G36" s="4">
        <v>0.50735878944396973</v>
      </c>
      <c r="H36" s="4">
        <v>9.0909086167812347E-2</v>
      </c>
      <c r="I36">
        <v>5.5553089827299118E-2</v>
      </c>
      <c r="J36"/>
    </row>
    <row r="37" spans="1:10" ht="15" customHeight="1" x14ac:dyDescent="0.15">
      <c r="A37" s="192">
        <v>36</v>
      </c>
      <c r="B37" s="192" t="s">
        <v>258</v>
      </c>
      <c r="C37" s="5">
        <v>4.1648602485656738</v>
      </c>
      <c r="D37" s="6">
        <v>9.368441253900528E-2</v>
      </c>
      <c r="E37" s="6">
        <v>1.5</v>
      </c>
      <c r="F37" s="6">
        <v>8.0083332061767578</v>
      </c>
      <c r="G37" s="4">
        <v>0.713340163230896</v>
      </c>
      <c r="H37" s="4">
        <v>0.18730489909648895</v>
      </c>
      <c r="I37">
        <v>0</v>
      </c>
      <c r="J37"/>
    </row>
    <row r="38" spans="1:10" ht="15" customHeight="1" x14ac:dyDescent="0.15">
      <c r="A38" s="193">
        <v>37</v>
      </c>
      <c r="B38" s="193" t="s">
        <v>179</v>
      </c>
      <c r="C38" s="5">
        <v>4.3386955261230469</v>
      </c>
      <c r="D38" s="6">
        <v>7.7322731018066406</v>
      </c>
      <c r="E38" s="6">
        <v>0.25999999046325684</v>
      </c>
      <c r="F38" s="6">
        <v>1.440000057220459</v>
      </c>
      <c r="G38" s="4">
        <v>0.22917339205741882</v>
      </c>
      <c r="H38" s="4">
        <v>0.18055553734302521</v>
      </c>
      <c r="I38">
        <v>9.6393562853336334E-2</v>
      </c>
      <c r="J38"/>
    </row>
    <row r="39" spans="1:10" ht="15" customHeight="1" x14ac:dyDescent="0.15">
      <c r="A39" s="194">
        <v>38</v>
      </c>
      <c r="B39" s="194" t="s">
        <v>259</v>
      </c>
      <c r="C39" s="5">
        <v>3.9589240550994873</v>
      </c>
      <c r="D39" s="6">
        <v>5.172796081751585E-3</v>
      </c>
      <c r="E39" s="6">
        <v>0.69999998807907104</v>
      </c>
      <c r="F39" s="6">
        <v>7.0174560546875</v>
      </c>
      <c r="G39" s="4">
        <v>0.6359439492225647</v>
      </c>
      <c r="H39" s="4">
        <v>9.9751248955726624E-2</v>
      </c>
      <c r="I39">
        <v>0</v>
      </c>
      <c r="J39"/>
    </row>
    <row r="40" spans="1:10" ht="15" customHeight="1" x14ac:dyDescent="0.15">
      <c r="A40" s="195">
        <v>39</v>
      </c>
      <c r="B40" s="195" t="s">
        <v>260</v>
      </c>
      <c r="C40" s="5">
        <v>4.4530472755432129</v>
      </c>
      <c r="D40" s="6">
        <v>1.8682630062103271</v>
      </c>
      <c r="E40" s="6">
        <v>0.18999999761581421</v>
      </c>
      <c r="F40" s="6">
        <v>1.1000000238418579</v>
      </c>
      <c r="G40" s="4">
        <v>0.45458078384399414</v>
      </c>
      <c r="H40" s="4">
        <v>0.17272727191448212</v>
      </c>
      <c r="I40">
        <v>0.12046808749437332</v>
      </c>
      <c r="J40"/>
    </row>
    <row r="41" spans="1:10" ht="15" customHeight="1" x14ac:dyDescent="0.15">
      <c r="A41" s="241">
        <v>40</v>
      </c>
      <c r="B41" s="241" t="s">
        <v>261</v>
      </c>
      <c r="C41" s="5">
        <v>3.6669363975524902</v>
      </c>
      <c r="D41" s="6">
        <v>6.1567559838294983E-2</v>
      </c>
      <c r="E41" s="6">
        <v>0.20000000298023224</v>
      </c>
      <c r="F41" s="6">
        <v>2</v>
      </c>
      <c r="G41" s="4">
        <v>0.37042072415351868</v>
      </c>
      <c r="H41" s="4">
        <v>0.10000000149011612</v>
      </c>
      <c r="I41">
        <v>4.1567505104467273E-4</v>
      </c>
      <c r="J41"/>
    </row>
    <row r="42" spans="1:10" ht="15" customHeight="1" x14ac:dyDescent="0.15">
      <c r="A42" s="242">
        <v>41</v>
      </c>
      <c r="B42" s="242" t="s">
        <v>262</v>
      </c>
      <c r="C42" s="5">
        <v>3.7366352081298828</v>
      </c>
      <c r="D42" s="6">
        <v>0.10590939968824387</v>
      </c>
      <c r="E42" s="6">
        <v>1.1000000238418579</v>
      </c>
      <c r="F42" s="6">
        <v>5.8392939567565918</v>
      </c>
      <c r="G42" s="4">
        <v>0.67623639106750488</v>
      </c>
      <c r="H42" s="4">
        <v>0.1883789449930191</v>
      </c>
      <c r="I42">
        <v>0</v>
      </c>
      <c r="J42"/>
    </row>
    <row r="43" spans="1:10" ht="15" customHeight="1" x14ac:dyDescent="0.15">
      <c r="A43" s="243">
        <v>42</v>
      </c>
      <c r="B43" s="243" t="s">
        <v>263</v>
      </c>
      <c r="C43" s="5">
        <v>3.8289079666137695</v>
      </c>
      <c r="D43" s="6">
        <v>0.81165981292724609</v>
      </c>
      <c r="E43" s="6">
        <v>0.18000000715255737</v>
      </c>
      <c r="F43" s="6">
        <v>1.690000057220459</v>
      </c>
      <c r="G43" s="4">
        <v>0.3907943069934845</v>
      </c>
      <c r="H43" s="4">
        <v>0.10650887340307236</v>
      </c>
      <c r="I43">
        <v>9.9601587280631065E-3</v>
      </c>
      <c r="J43"/>
    </row>
    <row r="44" spans="1:10" ht="15" customHeight="1" x14ac:dyDescent="0.15">
      <c r="A44" s="244">
        <v>43</v>
      </c>
      <c r="B44" s="244" t="s">
        <v>264</v>
      </c>
      <c r="C44" s="5">
        <v>3.3916645050048828</v>
      </c>
      <c r="D44" s="6">
        <v>8.0481842160224915E-2</v>
      </c>
      <c r="E44" s="6">
        <v>0.20000000298023224</v>
      </c>
      <c r="F44" s="6">
        <v>2</v>
      </c>
      <c r="G44" s="4">
        <v>0.81332534551620483</v>
      </c>
      <c r="H44" s="4">
        <v>0.10000000149011612</v>
      </c>
      <c r="I44">
        <v>1.1513834819197655E-2</v>
      </c>
      <c r="J44"/>
    </row>
    <row r="45" spans="1:10" ht="15" customHeight="1" x14ac:dyDescent="0.15">
      <c r="A45" s="245">
        <v>44</v>
      </c>
      <c r="B45" s="245" t="s">
        <v>265</v>
      </c>
      <c r="C45" s="5">
        <v>3.4086394309997559</v>
      </c>
      <c r="D45" s="6">
        <v>0.38691151142120361</v>
      </c>
      <c r="E45" s="6">
        <v>0.20000000298023224</v>
      </c>
      <c r="F45" s="6">
        <v>2</v>
      </c>
      <c r="G45" s="4">
        <v>0.44588813185691833</v>
      </c>
      <c r="H45" s="4">
        <v>0.10000000149011612</v>
      </c>
      <c r="I45">
        <v>2.9196621850132942E-2</v>
      </c>
      <c r="J45"/>
    </row>
    <row r="46" spans="1:10" ht="15" customHeight="1" x14ac:dyDescent="0.15">
      <c r="A46" s="246">
        <v>45</v>
      </c>
      <c r="B46" s="246" t="s">
        <v>266</v>
      </c>
      <c r="C46" s="5">
        <v>3.51064133644104</v>
      </c>
      <c r="D46" s="6">
        <v>1.1953880079090595E-2</v>
      </c>
      <c r="E46" s="6">
        <v>0.20000000298023224</v>
      </c>
      <c r="F46" s="6">
        <v>2</v>
      </c>
      <c r="G46" s="4">
        <v>0.1251988559961319</v>
      </c>
      <c r="H46" s="4">
        <v>0.10000000149011612</v>
      </c>
      <c r="I46">
        <v>8.4931207311456092E-6</v>
      </c>
      <c r="J46"/>
    </row>
    <row r="47" spans="1:10" ht="15" customHeight="1" x14ac:dyDescent="0.15">
      <c r="A47" s="247">
        <v>46</v>
      </c>
      <c r="B47" s="247" t="s">
        <v>267</v>
      </c>
      <c r="C47" s="5">
        <v>3.3718442916870117</v>
      </c>
      <c r="D47" s="6">
        <v>0.37583181262016296</v>
      </c>
      <c r="E47" s="6">
        <v>0.20000000298023224</v>
      </c>
      <c r="F47" s="6">
        <v>2</v>
      </c>
      <c r="G47" s="4">
        <v>0.60927844047546387</v>
      </c>
      <c r="H47" s="4">
        <v>0.10000000149011612</v>
      </c>
      <c r="I47">
        <v>4.0403209626674652E-2</v>
      </c>
      <c r="J47"/>
    </row>
    <row r="48" spans="1:10" ht="15" customHeight="1" x14ac:dyDescent="0.15">
      <c r="A48" s="248">
        <v>47</v>
      </c>
      <c r="B48" s="248" t="s">
        <v>268</v>
      </c>
      <c r="C48" s="5">
        <v>3.5340747833251953</v>
      </c>
      <c r="D48" s="6">
        <v>0.39773690700531006</v>
      </c>
      <c r="E48" s="6">
        <v>0.20000000298023224</v>
      </c>
      <c r="F48" s="6">
        <v>2</v>
      </c>
      <c r="G48" s="4">
        <v>0.64756333827972412</v>
      </c>
      <c r="H48" s="4">
        <v>0.10000000149011612</v>
      </c>
      <c r="I48">
        <v>1.5059317462146282E-2</v>
      </c>
      <c r="J48"/>
    </row>
    <row r="49" spans="1:10" ht="15" customHeight="1" x14ac:dyDescent="0.15">
      <c r="A49" s="249">
        <v>48</v>
      </c>
      <c r="B49" s="249" t="s">
        <v>269</v>
      </c>
      <c r="C49" s="5">
        <v>3.4780220985412598</v>
      </c>
      <c r="D49" s="6">
        <v>0.22733460366725922</v>
      </c>
      <c r="E49" s="6">
        <v>0.20000000298023224</v>
      </c>
      <c r="F49" s="6">
        <v>2</v>
      </c>
      <c r="G49" s="4">
        <v>0.51627379655838013</v>
      </c>
      <c r="H49" s="4">
        <v>0.10000000149011612</v>
      </c>
      <c r="I49">
        <v>2.0314542576670647E-2</v>
      </c>
      <c r="J49"/>
    </row>
    <row r="50" spans="1:10" ht="15" customHeight="1" x14ac:dyDescent="0.15">
      <c r="A50" s="250">
        <v>49</v>
      </c>
      <c r="B50" s="250" t="s">
        <v>270</v>
      </c>
      <c r="C50" s="5">
        <v>3.6362760066986084</v>
      </c>
      <c r="D50" s="6">
        <v>5.1976699382066727E-2</v>
      </c>
      <c r="E50" s="6">
        <v>0.20000000298023224</v>
      </c>
      <c r="F50" s="6">
        <v>2</v>
      </c>
      <c r="G50" s="4">
        <v>0.42300236225128174</v>
      </c>
      <c r="H50" s="4">
        <v>0.10000000149011612</v>
      </c>
      <c r="I50">
        <v>2.8627563733607531E-3</v>
      </c>
      <c r="J50"/>
    </row>
    <row r="51" spans="1:10" ht="15" customHeight="1" x14ac:dyDescent="0.15">
      <c r="A51" s="251">
        <v>50</v>
      </c>
      <c r="B51" s="251" t="s">
        <v>271</v>
      </c>
      <c r="C51" s="5">
        <v>4.7438273429870605</v>
      </c>
      <c r="D51" s="6">
        <v>6.7431837320327759E-2</v>
      </c>
      <c r="E51" s="6">
        <v>0.20000000298023224</v>
      </c>
      <c r="F51" s="6">
        <v>2</v>
      </c>
      <c r="G51" s="4">
        <v>0.53785210847854614</v>
      </c>
      <c r="H51" s="4">
        <v>0.10000000149011612</v>
      </c>
      <c r="I51">
        <v>5.2969809621572495E-3</v>
      </c>
      <c r="J51"/>
    </row>
    <row r="52" spans="1:10" ht="15" customHeight="1" x14ac:dyDescent="0.15">
      <c r="A52" s="252">
        <v>51</v>
      </c>
      <c r="B52" s="252" t="s">
        <v>272</v>
      </c>
      <c r="C52" s="5">
        <v>4.3491134643554688</v>
      </c>
      <c r="D52" s="6">
        <v>9.0405426919460297E-2</v>
      </c>
      <c r="E52" s="6">
        <v>0.20000000298023224</v>
      </c>
      <c r="F52" s="6">
        <v>2</v>
      </c>
      <c r="G52" s="4">
        <v>0.52246016263961792</v>
      </c>
      <c r="H52" s="4">
        <v>0.10000000149011612</v>
      </c>
      <c r="I52">
        <v>6.8233255296945572E-3</v>
      </c>
      <c r="J52"/>
    </row>
    <row r="53" spans="1:10" ht="15" customHeight="1" x14ac:dyDescent="0.15">
      <c r="A53" s="253">
        <v>52</v>
      </c>
      <c r="B53" s="253" t="s">
        <v>273</v>
      </c>
      <c r="C53" s="5">
        <v>3.5456345081329346</v>
      </c>
      <c r="D53" s="6">
        <v>2.5953959673643112E-2</v>
      </c>
      <c r="E53" s="6">
        <v>1.6499999761581421</v>
      </c>
      <c r="F53" s="6">
        <v>4.2503700256347656</v>
      </c>
      <c r="G53" s="4">
        <v>0.66551601886749268</v>
      </c>
      <c r="H53" s="4">
        <v>0.38820147514343262</v>
      </c>
      <c r="I53">
        <v>0</v>
      </c>
      <c r="J53"/>
    </row>
    <row r="54" spans="1:10" ht="15" customHeight="1" x14ac:dyDescent="0.15">
      <c r="A54" s="254">
        <v>53</v>
      </c>
      <c r="B54" s="254" t="s">
        <v>274</v>
      </c>
      <c r="C54" s="5">
        <v>4.1451458930969238</v>
      </c>
      <c r="D54" s="6">
        <v>1.2716759443283081</v>
      </c>
      <c r="E54" s="6">
        <v>0.18999999761581421</v>
      </c>
      <c r="F54" s="6">
        <v>1.0299999713897705</v>
      </c>
      <c r="G54" s="4">
        <v>0.66752982139587402</v>
      </c>
      <c r="H54" s="4">
        <v>0.18446601927280426</v>
      </c>
      <c r="I54">
        <v>6.8610429763793945E-2</v>
      </c>
      <c r="J54"/>
    </row>
    <row r="55" spans="1:10" ht="15" customHeight="1" x14ac:dyDescent="0.15">
      <c r="A55" s="255">
        <v>54</v>
      </c>
      <c r="B55" s="255" t="s">
        <v>275</v>
      </c>
      <c r="C55" s="5">
        <v>3.5635333061218262</v>
      </c>
      <c r="D55" s="4">
        <v>1.4009321928024292</v>
      </c>
      <c r="E55" s="6">
        <v>0.40000000596046448</v>
      </c>
      <c r="F55" s="6">
        <v>2</v>
      </c>
      <c r="G55" s="6">
        <v>0.80000001192092896</v>
      </c>
      <c r="H55" s="4">
        <v>0.20000000298023224</v>
      </c>
      <c r="I55">
        <v>3.4573735320009291E-5</v>
      </c>
      <c r="J55"/>
    </row>
    <row r="56" spans="1:10" ht="15" customHeight="1" x14ac:dyDescent="0.15">
      <c r="A56" s="256">
        <v>55</v>
      </c>
      <c r="B56" s="256" t="s">
        <v>276</v>
      </c>
      <c r="C56" s="5">
        <v>4.0894765853881836</v>
      </c>
      <c r="D56" s="6">
        <v>0.9770771861076355</v>
      </c>
      <c r="E56" s="6">
        <v>0.15000000596046448</v>
      </c>
      <c r="F56" s="6">
        <v>2</v>
      </c>
      <c r="G56" s="4">
        <v>0.2905137836933136</v>
      </c>
      <c r="H56" s="4">
        <v>7.5000002980232239E-2</v>
      </c>
      <c r="I56">
        <v>3.7400420755147934E-2</v>
      </c>
      <c r="J56"/>
    </row>
    <row r="57" spans="1:10" ht="15" customHeight="1" x14ac:dyDescent="0.15">
      <c r="A57" s="257">
        <v>56</v>
      </c>
      <c r="B57" s="257" t="s">
        <v>277</v>
      </c>
      <c r="C57" s="5">
        <v>4.2933282852172852</v>
      </c>
      <c r="D57" s="4">
        <v>2.7208786457777023E-2</v>
      </c>
      <c r="E57" s="6">
        <v>0.20000000298023224</v>
      </c>
      <c r="F57" s="6">
        <v>2</v>
      </c>
      <c r="G57" s="6">
        <v>0.80000007152557373</v>
      </c>
      <c r="H57" s="4">
        <v>0.10000000149011612</v>
      </c>
      <c r="I57">
        <v>1.310414751060307E-3</v>
      </c>
      <c r="J57"/>
    </row>
    <row r="58" spans="1:10" ht="15" customHeight="1" x14ac:dyDescent="0.15">
      <c r="A58" s="258">
        <v>57</v>
      </c>
      <c r="B58" s="258" t="s">
        <v>278</v>
      </c>
      <c r="C58" s="5">
        <v>3.5249998569488525</v>
      </c>
      <c r="D58" s="6">
        <v>2.3994099348783493E-2</v>
      </c>
      <c r="E58" s="6">
        <v>1.1000000238418579</v>
      </c>
      <c r="F58" s="6">
        <v>6.3804931640625</v>
      </c>
      <c r="G58" s="4">
        <v>2.5858635082840919E-2</v>
      </c>
      <c r="H58" s="4">
        <v>0.17240047454833984</v>
      </c>
      <c r="I58">
        <v>0</v>
      </c>
      <c r="J58"/>
    </row>
    <row r="59" spans="1:10" ht="15" customHeight="1" x14ac:dyDescent="0.15">
      <c r="A59" s="259">
        <v>58</v>
      </c>
      <c r="B59" s="259" t="s">
        <v>279</v>
      </c>
      <c r="C59" s="5">
        <v>3.5691564083099365</v>
      </c>
      <c r="D59" s="6">
        <v>0.84740018844604492</v>
      </c>
      <c r="E59" s="6">
        <v>9.0000003576278687E-2</v>
      </c>
      <c r="F59" s="6">
        <v>1.9900000095367432</v>
      </c>
      <c r="G59" s="4">
        <v>0.43434789776802063</v>
      </c>
      <c r="H59" s="4">
        <v>4.522613063454628E-2</v>
      </c>
      <c r="I59">
        <v>1.33071169257164E-2</v>
      </c>
      <c r="J59"/>
    </row>
    <row r="60" spans="1:10" ht="15" customHeight="1" x14ac:dyDescent="0.15">
      <c r="A60" s="260">
        <v>59</v>
      </c>
      <c r="B60" s="260" t="s">
        <v>280</v>
      </c>
      <c r="C60" s="5">
        <v>3.5295212268829346</v>
      </c>
      <c r="D60" s="4">
        <v>0.45655450224876404</v>
      </c>
      <c r="E60" s="6">
        <v>0.10000000149011612</v>
      </c>
      <c r="F60" s="6">
        <v>2</v>
      </c>
      <c r="G60" s="6">
        <v>0.80000001192092896</v>
      </c>
      <c r="H60" s="4">
        <v>5.000000074505806E-2</v>
      </c>
      <c r="I60">
        <v>3.0377930030226707E-2</v>
      </c>
      <c r="J60"/>
    </row>
    <row r="61" spans="1:10" ht="15" customHeight="1" x14ac:dyDescent="0.15">
      <c r="A61" s="261">
        <v>60</v>
      </c>
      <c r="B61" s="261" t="s">
        <v>281</v>
      </c>
      <c r="C61" s="5">
        <v>3.5286104679107666</v>
      </c>
      <c r="D61" s="6">
        <v>0.4844605028629303</v>
      </c>
      <c r="E61" s="6">
        <v>0.10000000149011612</v>
      </c>
      <c r="F61" s="6">
        <v>2</v>
      </c>
      <c r="G61" s="4">
        <v>0.60688096284866333</v>
      </c>
      <c r="H61" s="4">
        <v>5.000000074505806E-2</v>
      </c>
      <c r="I61">
        <v>2.1559230983257294E-2</v>
      </c>
      <c r="J61"/>
    </row>
    <row r="62" spans="1:10" ht="15" customHeight="1" x14ac:dyDescent="0.15">
      <c r="A62" s="262">
        <v>61</v>
      </c>
      <c r="B62" s="262" t="s">
        <v>282</v>
      </c>
      <c r="C62" s="5">
        <v>3.9559102058410645</v>
      </c>
      <c r="D62" s="6">
        <v>0.15925070643424988</v>
      </c>
      <c r="E62" s="6">
        <v>0.10000000149011612</v>
      </c>
      <c r="F62" s="6">
        <v>2</v>
      </c>
      <c r="G62" s="4">
        <v>0.80725479125976562</v>
      </c>
      <c r="H62" s="4">
        <v>5.000000074505806E-2</v>
      </c>
      <c r="I62">
        <v>1.0277867317199707E-2</v>
      </c>
      <c r="J62"/>
    </row>
    <row r="63" spans="1:10" ht="15" customHeight="1" x14ac:dyDescent="0.15">
      <c r="A63" s="263">
        <v>62</v>
      </c>
      <c r="B63" s="263" t="s">
        <v>283</v>
      </c>
      <c r="C63" s="5">
        <v>3.9436495304107666</v>
      </c>
      <c r="D63" s="6">
        <v>7.5684912502765656E-2</v>
      </c>
      <c r="E63" s="6">
        <v>0.10000000149011612</v>
      </c>
      <c r="F63" s="6">
        <v>2</v>
      </c>
      <c r="G63" s="4">
        <v>0.67702531814575195</v>
      </c>
      <c r="H63" s="4">
        <v>5.000000074505806E-2</v>
      </c>
      <c r="I63">
        <v>3.9006543811410666E-3</v>
      </c>
      <c r="J63"/>
    </row>
    <row r="64" spans="1:10" ht="15" customHeight="1" x14ac:dyDescent="0.15">
      <c r="A64" s="264">
        <v>63</v>
      </c>
      <c r="B64" s="264" t="s">
        <v>284</v>
      </c>
      <c r="C64" s="5">
        <v>3.907498836517334</v>
      </c>
      <c r="D64" s="6">
        <v>0.18532520532608032</v>
      </c>
      <c r="E64" s="6">
        <v>0.10000000149011612</v>
      </c>
      <c r="F64" s="6">
        <v>2</v>
      </c>
      <c r="G64" s="4">
        <v>0.37686097621917725</v>
      </c>
      <c r="H64" s="4">
        <v>5.000000074505806E-2</v>
      </c>
      <c r="I64">
        <v>3.9885346777737141E-3</v>
      </c>
      <c r="J64"/>
    </row>
    <row r="65" spans="1:10" ht="15" customHeight="1" x14ac:dyDescent="0.15">
      <c r="A65" s="265">
        <v>64</v>
      </c>
      <c r="B65" s="265" t="s">
        <v>285</v>
      </c>
      <c r="C65" s="5">
        <v>3.7371933460235596</v>
      </c>
      <c r="D65" s="6">
        <v>1.3081959332339466E-4</v>
      </c>
      <c r="E65" s="6">
        <v>1</v>
      </c>
      <c r="F65" s="6">
        <v>4.1439700126647949</v>
      </c>
      <c r="G65" s="4">
        <v>0.64810889959335327</v>
      </c>
      <c r="H65" s="4">
        <v>0.24131448566913605</v>
      </c>
      <c r="I65">
        <v>0</v>
      </c>
      <c r="J65"/>
    </row>
    <row r="66" spans="1:10" ht="15" customHeight="1" x14ac:dyDescent="0.15">
      <c r="A66" s="266">
        <v>65</v>
      </c>
      <c r="B66" s="266" t="s">
        <v>286</v>
      </c>
      <c r="C66" s="5">
        <v>3.9064290523529053</v>
      </c>
      <c r="D66" s="6">
        <v>5.4406989365816116E-2</v>
      </c>
      <c r="E66" s="6">
        <v>0.12999999523162842</v>
      </c>
      <c r="F66" s="6">
        <v>0.43999999761581421</v>
      </c>
      <c r="G66" s="4">
        <v>0.95059162378311157</v>
      </c>
      <c r="H66" s="4">
        <v>0.29545453190803528</v>
      </c>
      <c r="I66">
        <v>4.8097465187311172E-3</v>
      </c>
      <c r="J66"/>
    </row>
    <row r="67" spans="1:10" ht="15" customHeight="1" x14ac:dyDescent="0.15">
      <c r="A67" s="267">
        <v>66</v>
      </c>
      <c r="B67" s="267" t="s">
        <v>287</v>
      </c>
      <c r="C67" s="5">
        <v>3.8171403408050537</v>
      </c>
      <c r="D67" s="4">
        <v>0.11065561324357986</v>
      </c>
      <c r="E67" s="6">
        <v>0.10000000149011612</v>
      </c>
      <c r="F67" s="6">
        <v>2</v>
      </c>
      <c r="G67" s="6">
        <v>0.80000007152557373</v>
      </c>
      <c r="H67" s="4">
        <v>5.000000074505806E-2</v>
      </c>
      <c r="I67">
        <v>1.4835918555036187E-3</v>
      </c>
      <c r="J67"/>
    </row>
    <row r="68" spans="1:10" ht="15" customHeight="1" x14ac:dyDescent="0.15">
      <c r="A68" s="268">
        <v>67</v>
      </c>
      <c r="B68" s="268" t="s">
        <v>288</v>
      </c>
      <c r="C68" s="5">
        <v>3.5224997997283936</v>
      </c>
      <c r="D68" s="6">
        <v>5.0984430126845837E-3</v>
      </c>
      <c r="E68" s="6">
        <v>1.8999999761581421</v>
      </c>
      <c r="F68" s="6">
        <v>12.077500343322754</v>
      </c>
      <c r="G68" s="4">
        <v>0.84134602546691895</v>
      </c>
      <c r="H68" s="4">
        <v>0.15731732547283173</v>
      </c>
      <c r="I68">
        <v>0</v>
      </c>
      <c r="J68"/>
    </row>
    <row r="69" spans="1:10" ht="15" customHeight="1" x14ac:dyDescent="0.15">
      <c r="A69" s="269">
        <v>68</v>
      </c>
      <c r="B69" s="269" t="s">
        <v>289</v>
      </c>
      <c r="C69" s="5">
        <v>3.5262682437896729</v>
      </c>
      <c r="D69" s="6">
        <v>1.4485879801213741E-2</v>
      </c>
      <c r="E69" s="6">
        <v>0.34999999403953552</v>
      </c>
      <c r="F69" s="6">
        <v>5.6500000953674316</v>
      </c>
      <c r="G69" s="4">
        <v>0.87261641025543213</v>
      </c>
      <c r="H69" s="4">
        <v>6.1946898698806763E-2</v>
      </c>
      <c r="I69">
        <v>3.5273460671305656E-3</v>
      </c>
      <c r="J69"/>
    </row>
    <row r="70" spans="1:10" ht="15" customHeight="1" x14ac:dyDescent="0.15">
      <c r="A70" s="270">
        <v>69</v>
      </c>
      <c r="B70" s="270" t="s">
        <v>290</v>
      </c>
      <c r="C70" s="5">
        <v>4.2459397315979004</v>
      </c>
      <c r="D70" s="6">
        <v>1.0285920463502407E-2</v>
      </c>
      <c r="E70" s="6">
        <v>0.40000000596046448</v>
      </c>
      <c r="F70" s="6">
        <v>2</v>
      </c>
      <c r="G70" s="4">
        <v>3.6567516624927521E-2</v>
      </c>
      <c r="H70" s="4">
        <v>0.20000000298023224</v>
      </c>
      <c r="I70">
        <v>4.9734000640455633E-5</v>
      </c>
      <c r="J70"/>
    </row>
    <row r="71" spans="1:10" ht="15" customHeight="1" x14ac:dyDescent="0.15">
      <c r="A71" s="271">
        <v>70</v>
      </c>
      <c r="B71" s="271" t="s">
        <v>291</v>
      </c>
      <c r="C71" s="5">
        <v>4.0469517707824707</v>
      </c>
      <c r="D71" s="6">
        <v>6.6829942166805267E-2</v>
      </c>
      <c r="E71" s="6">
        <v>0.40000000596046448</v>
      </c>
      <c r="F71" s="6">
        <v>2</v>
      </c>
      <c r="G71" s="4">
        <v>0.68425542116165161</v>
      </c>
      <c r="H71" s="4">
        <v>0.20000000298023224</v>
      </c>
      <c r="I71">
        <v>3.3540560398250818E-3</v>
      </c>
      <c r="J71"/>
    </row>
    <row r="72" spans="1:10" ht="15" customHeight="1" x14ac:dyDescent="0.15">
      <c r="A72" s="272">
        <v>71</v>
      </c>
      <c r="B72" s="272" t="s">
        <v>180</v>
      </c>
      <c r="C72" s="5">
        <v>3.8816952705383301</v>
      </c>
      <c r="D72" s="4">
        <v>1.1632590293884277</v>
      </c>
      <c r="E72" s="6">
        <v>0.40000000596046448</v>
      </c>
      <c r="F72" s="6">
        <v>2</v>
      </c>
      <c r="G72" s="6">
        <v>0.80000007152557373</v>
      </c>
      <c r="H72" s="4">
        <v>0.20000000298023224</v>
      </c>
      <c r="I72">
        <v>0</v>
      </c>
      <c r="J72"/>
    </row>
    <row r="73" spans="1:10" ht="15" customHeight="1" x14ac:dyDescent="0.15">
      <c r="A73" s="273">
        <v>72</v>
      </c>
      <c r="B73" s="273" t="s">
        <v>292</v>
      </c>
      <c r="C73" s="5">
        <v>3.5490591526031494</v>
      </c>
      <c r="D73" s="4">
        <v>1.4074630737304688</v>
      </c>
      <c r="E73" s="6">
        <v>0.40000000596046448</v>
      </c>
      <c r="F73" s="6">
        <v>2</v>
      </c>
      <c r="G73" s="6">
        <v>0.80000007152557373</v>
      </c>
      <c r="H73" s="4">
        <v>0.20000000298023224</v>
      </c>
      <c r="I73">
        <v>1.311925589106977E-3</v>
      </c>
      <c r="J73"/>
    </row>
    <row r="74" spans="1:10" ht="15" customHeight="1" x14ac:dyDescent="0.15">
      <c r="A74" s="274">
        <v>73</v>
      </c>
      <c r="B74" s="274" t="s">
        <v>293</v>
      </c>
      <c r="C74" s="5">
        <v>3.7982499599456787</v>
      </c>
      <c r="D74" s="4">
        <v>0.85560387372970581</v>
      </c>
      <c r="E74" s="6">
        <v>0.80000001192092896</v>
      </c>
      <c r="F74" s="6">
        <v>3.6500000953674316</v>
      </c>
      <c r="G74" s="6">
        <v>0.80000001192092896</v>
      </c>
      <c r="H74" s="4">
        <v>0.21917808055877686</v>
      </c>
      <c r="I74">
        <v>4.8668080125935376E-4</v>
      </c>
      <c r="J74"/>
    </row>
    <row r="75" spans="1:10" ht="15" customHeight="1" x14ac:dyDescent="0.15">
      <c r="A75" s="275">
        <v>74</v>
      </c>
      <c r="B75" s="275" t="s">
        <v>294</v>
      </c>
      <c r="C75" s="5">
        <v>3.6791563034057617</v>
      </c>
      <c r="D75" s="4">
        <v>1.8852518796920776</v>
      </c>
      <c r="E75" s="6">
        <v>3.2000000476837158</v>
      </c>
      <c r="F75" s="6">
        <v>10.670000076293945</v>
      </c>
      <c r="G75" s="6">
        <v>0.80000001192092896</v>
      </c>
      <c r="H75" s="4">
        <v>0.29990628361701965</v>
      </c>
      <c r="I75">
        <v>3.8939103251323104E-4</v>
      </c>
      <c r="J75"/>
    </row>
    <row r="76" spans="1:10" ht="15" customHeight="1" x14ac:dyDescent="0.15">
      <c r="A76" s="276">
        <v>75</v>
      </c>
      <c r="B76" s="276" t="s">
        <v>295</v>
      </c>
      <c r="C76" s="5">
        <v>3.8270812034606934</v>
      </c>
      <c r="D76" s="6">
        <v>1.1080420017242432</v>
      </c>
      <c r="E76" s="6">
        <v>1.8158609867095947</v>
      </c>
      <c r="F76" s="6">
        <v>11.826899528503418</v>
      </c>
      <c r="G76" s="4">
        <v>0.42562887072563171</v>
      </c>
      <c r="H76" s="4">
        <v>0.15353651344776154</v>
      </c>
      <c r="I76">
        <v>0.32045936584472656</v>
      </c>
      <c r="J76"/>
    </row>
    <row r="77" spans="1:10" ht="15" customHeight="1" x14ac:dyDescent="0.15">
      <c r="A77" s="277">
        <v>76</v>
      </c>
      <c r="B77" s="277" t="s">
        <v>296</v>
      </c>
      <c r="C77" s="5">
        <v>3.5124998092651367</v>
      </c>
      <c r="D77" s="6">
        <v>1.7132680863142014E-2</v>
      </c>
      <c r="E77" s="6">
        <v>1.641523003578186</v>
      </c>
      <c r="F77" s="6">
        <v>14.386469841003418</v>
      </c>
      <c r="G77" s="4">
        <v>0.38357040286064148</v>
      </c>
      <c r="H77" s="4">
        <v>0.11410186439752579</v>
      </c>
      <c r="I77">
        <v>0</v>
      </c>
      <c r="J77"/>
    </row>
    <row r="78" spans="1:10" ht="15" customHeight="1" x14ac:dyDescent="0.15">
      <c r="A78" s="278">
        <v>77</v>
      </c>
      <c r="B78" s="278" t="s">
        <v>297</v>
      </c>
      <c r="C78" s="5">
        <v>3.5224997997283936</v>
      </c>
      <c r="D78" s="4">
        <v>7.4142470955848694E-2</v>
      </c>
      <c r="E78" s="6">
        <v>0.80000001192092896</v>
      </c>
      <c r="F78" s="6">
        <v>3.6500000953674316</v>
      </c>
      <c r="G78" s="6">
        <v>0.80000007152557373</v>
      </c>
      <c r="H78" s="4">
        <v>0.21917808055877686</v>
      </c>
      <c r="I78">
        <v>0</v>
      </c>
      <c r="J78"/>
    </row>
    <row r="79" spans="1:10" ht="15" customHeight="1" x14ac:dyDescent="0.15">
      <c r="A79" s="279">
        <v>78</v>
      </c>
      <c r="B79" s="279" t="s">
        <v>298</v>
      </c>
      <c r="C79" s="5">
        <v>3.5224997997283936</v>
      </c>
      <c r="D79" s="4">
        <v>1.1158484220504761</v>
      </c>
      <c r="E79" s="6">
        <v>0.80000001192092896</v>
      </c>
      <c r="F79" s="6">
        <v>3.6500000953674316</v>
      </c>
      <c r="G79" s="6">
        <v>0.80000007152557373</v>
      </c>
      <c r="H79" s="4">
        <v>0.21917808055877686</v>
      </c>
      <c r="I79">
        <v>1.5164479671980757E-9</v>
      </c>
      <c r="J79"/>
    </row>
    <row r="80" spans="1:10" ht="15" customHeight="1" x14ac:dyDescent="0.15">
      <c r="A80" s="280">
        <v>79</v>
      </c>
      <c r="B80" s="280" t="s">
        <v>299</v>
      </c>
      <c r="C80" s="5">
        <v>3.5224997997283936</v>
      </c>
      <c r="D80" s="4">
        <v>9.4566679000854492</v>
      </c>
      <c r="E80" s="6">
        <v>0.80000001192092896</v>
      </c>
      <c r="F80" s="6">
        <v>3.6500000953674316</v>
      </c>
      <c r="G80" s="6">
        <v>0.80000001192092896</v>
      </c>
      <c r="H80" s="4">
        <v>0.21917808055877686</v>
      </c>
      <c r="I80">
        <v>3.2547840964980423E-4</v>
      </c>
      <c r="J80"/>
    </row>
    <row r="81" spans="1:10" ht="15" customHeight="1" x14ac:dyDescent="0.15">
      <c r="A81" s="281">
        <v>80</v>
      </c>
      <c r="B81" s="281" t="s">
        <v>300</v>
      </c>
      <c r="C81" s="5">
        <v>3.5224997997283936</v>
      </c>
      <c r="D81" s="4">
        <v>3.4001548290252686</v>
      </c>
      <c r="E81" s="6">
        <v>0.80000001192092896</v>
      </c>
      <c r="F81" s="6">
        <v>3.6500000953674316</v>
      </c>
      <c r="G81" s="6">
        <v>0.80000007152557373</v>
      </c>
      <c r="H81" s="4">
        <v>0.21917808055877686</v>
      </c>
      <c r="I81">
        <v>6.7081595034323982E-7</v>
      </c>
      <c r="J81"/>
    </row>
    <row r="82" spans="1:10" ht="15" customHeight="1" x14ac:dyDescent="0.15">
      <c r="A82" s="282">
        <v>81</v>
      </c>
      <c r="B82" s="282" t="s">
        <v>301</v>
      </c>
      <c r="C82" s="5">
        <v>3.5224997997283936</v>
      </c>
      <c r="D82" s="4">
        <v>1.8227256536483765</v>
      </c>
      <c r="E82" s="6">
        <v>0.80000001192092896</v>
      </c>
      <c r="F82" s="6">
        <v>3.6500000953674316</v>
      </c>
      <c r="G82" s="6">
        <v>0.80000007152557373</v>
      </c>
      <c r="H82" s="4">
        <v>0.21917808055877686</v>
      </c>
      <c r="I82">
        <v>3.360235714353621E-4</v>
      </c>
      <c r="J82"/>
    </row>
    <row r="83" spans="1:10" ht="15" customHeight="1" x14ac:dyDescent="0.15">
      <c r="A83" s="283">
        <v>82</v>
      </c>
      <c r="B83" s="283" t="s">
        <v>302</v>
      </c>
      <c r="C83" s="5">
        <v>3.5224997997283936</v>
      </c>
      <c r="D83" s="4">
        <v>1.523112416267395</v>
      </c>
      <c r="E83" s="6">
        <v>0.80000001192092896</v>
      </c>
      <c r="F83" s="6">
        <v>3.6500000953674316</v>
      </c>
      <c r="G83" s="6">
        <v>0.80000001192092896</v>
      </c>
      <c r="H83" s="4">
        <v>0.21917808055877686</v>
      </c>
      <c r="I83">
        <v>2.0501507606240921E-5</v>
      </c>
      <c r="J83"/>
    </row>
    <row r="84" spans="1:10" ht="15" customHeight="1" x14ac:dyDescent="0.15">
      <c r="A84" s="284">
        <v>83</v>
      </c>
      <c r="B84" s="284" t="s">
        <v>303</v>
      </c>
      <c r="C84" s="5">
        <v>3.5224997997283936</v>
      </c>
      <c r="D84" s="4">
        <v>0.97894734144210815</v>
      </c>
      <c r="E84" s="6">
        <v>0.80000001192092896</v>
      </c>
      <c r="F84" s="6">
        <v>3.6500000953674316</v>
      </c>
      <c r="G84" s="6">
        <v>0.80000001192092896</v>
      </c>
      <c r="H84" s="4">
        <v>0.21917808055877686</v>
      </c>
      <c r="I84">
        <v>7.4371331720612943E-5</v>
      </c>
      <c r="J84"/>
    </row>
    <row r="85" spans="1:10" ht="15" customHeight="1" x14ac:dyDescent="0.15">
      <c r="A85" s="285">
        <v>84</v>
      </c>
      <c r="B85" s="285" t="s">
        <v>304</v>
      </c>
      <c r="C85" s="5">
        <v>3.4110250473022461</v>
      </c>
      <c r="D85" s="4">
        <v>0.83590269088745117</v>
      </c>
      <c r="E85" s="6">
        <v>1</v>
      </c>
      <c r="F85" s="6">
        <v>3</v>
      </c>
      <c r="G85" s="6">
        <v>0.80000001192092896</v>
      </c>
      <c r="H85" s="4">
        <v>0.3333333432674408</v>
      </c>
      <c r="I85">
        <v>3.7785172462463379E-3</v>
      </c>
      <c r="J85"/>
    </row>
    <row r="86" spans="1:10" ht="15" customHeight="1" x14ac:dyDescent="0.15">
      <c r="A86" s="286">
        <v>85</v>
      </c>
      <c r="B86" s="286" t="s">
        <v>305</v>
      </c>
      <c r="C86" s="5">
        <v>3.4101200103759766</v>
      </c>
      <c r="D86" s="6">
        <v>8.9428890496492386E-3</v>
      </c>
      <c r="E86" s="6">
        <v>0.60000002384185791</v>
      </c>
      <c r="F86" s="6">
        <v>3</v>
      </c>
      <c r="G86" s="4">
        <v>0.49479022622108459</v>
      </c>
      <c r="H86" s="4">
        <v>0.20000000298023224</v>
      </c>
      <c r="I86">
        <v>7.2541741246823221E-5</v>
      </c>
      <c r="J86"/>
    </row>
    <row r="87" spans="1:10" ht="15" customHeight="1" x14ac:dyDescent="0.15">
      <c r="A87" s="287">
        <v>86</v>
      </c>
      <c r="B87" s="287" t="s">
        <v>306</v>
      </c>
      <c r="C87" s="5">
        <v>3.1312501430511475</v>
      </c>
      <c r="D87" s="6">
        <v>2.0894029140472412</v>
      </c>
      <c r="E87" s="6">
        <v>0.82000011205673218</v>
      </c>
      <c r="F87" s="6">
        <v>4.099998950958252</v>
      </c>
      <c r="G87" s="4">
        <v>0.79999977350234985</v>
      </c>
      <c r="H87" s="4">
        <v>0.20000007748603821</v>
      </c>
      <c r="I87">
        <v>1.0771288361866027E-4</v>
      </c>
      <c r="J87"/>
    </row>
    <row r="88" spans="1:10" ht="15" customHeight="1" x14ac:dyDescent="0.15">
      <c r="A88" s="288">
        <v>87</v>
      </c>
      <c r="B88" s="288" t="s">
        <v>307</v>
      </c>
      <c r="C88" s="5">
        <v>2.9075000286102295</v>
      </c>
      <c r="D88" s="4">
        <v>15.60804271697998</v>
      </c>
      <c r="E88" s="6">
        <v>0.57599997520446777</v>
      </c>
      <c r="F88" s="6">
        <v>2.4100000858306885</v>
      </c>
      <c r="G88" s="6">
        <v>0.80000001192092896</v>
      </c>
      <c r="H88" s="4">
        <v>0.23900413513183594</v>
      </c>
      <c r="I88">
        <v>2.0046785357408226E-4</v>
      </c>
      <c r="J88"/>
    </row>
    <row r="89" spans="1:10" ht="15" customHeight="1" x14ac:dyDescent="0.15">
      <c r="A89" s="289">
        <v>88</v>
      </c>
      <c r="B89" s="289" t="s">
        <v>308</v>
      </c>
      <c r="C89" s="5">
        <v>2.9075000286102295</v>
      </c>
      <c r="D89" s="4">
        <v>17.895229339599609</v>
      </c>
      <c r="E89" s="6">
        <v>0.57599997520446777</v>
      </c>
      <c r="F89" s="6">
        <v>2.4100000858306885</v>
      </c>
      <c r="G89" s="6">
        <v>0.80000001192092896</v>
      </c>
      <c r="H89" s="4">
        <v>0.23900413513183594</v>
      </c>
      <c r="I89">
        <v>7.6810947575722821E-6</v>
      </c>
      <c r="J89"/>
    </row>
    <row r="90" spans="1:10" ht="15" customHeight="1" x14ac:dyDescent="0.15">
      <c r="A90" s="290">
        <v>89</v>
      </c>
      <c r="B90" s="290" t="s">
        <v>309</v>
      </c>
      <c r="C90" s="5">
        <v>3.5306169986724854</v>
      </c>
      <c r="D90" s="6">
        <v>0.12720000743865967</v>
      </c>
      <c r="E90" s="6">
        <v>1.2100000381469727</v>
      </c>
      <c r="F90" s="6">
        <v>6.0500001907348633</v>
      </c>
      <c r="G90" s="4">
        <v>6.4910188317298889E-2</v>
      </c>
      <c r="H90" s="4">
        <v>0.20000000298023224</v>
      </c>
      <c r="I90">
        <v>4.9909385852515697E-3</v>
      </c>
      <c r="J90"/>
    </row>
    <row r="91" spans="1:10" ht="15" customHeight="1" x14ac:dyDescent="0.15">
      <c r="A91" s="291">
        <v>90</v>
      </c>
      <c r="B91" s="291" t="s">
        <v>310</v>
      </c>
      <c r="C91" s="5">
        <v>2.1500000953674316</v>
      </c>
      <c r="D91" s="6">
        <v>4.664827823638916</v>
      </c>
      <c r="E91" s="6">
        <v>1.2100000381469727</v>
      </c>
      <c r="F91" s="6">
        <v>6.0500001907348633</v>
      </c>
      <c r="G91" s="4">
        <v>0.21150475740432739</v>
      </c>
      <c r="H91" s="4">
        <v>0.20000000298023224</v>
      </c>
      <c r="I91">
        <v>0</v>
      </c>
      <c r="J91"/>
    </row>
    <row r="92" spans="1:10" ht="15" customHeight="1" x14ac:dyDescent="0.15">
      <c r="A92" s="292">
        <v>91</v>
      </c>
      <c r="B92" s="292" t="s">
        <v>311</v>
      </c>
      <c r="C92" s="5">
        <v>2</v>
      </c>
      <c r="D92" s="6">
        <v>1.8450000286102295</v>
      </c>
      <c r="E92" s="6">
        <v>0.61000001430511475</v>
      </c>
      <c r="F92" s="6">
        <v>3.0499999523162842</v>
      </c>
      <c r="G92" s="4">
        <v>0.36567917466163635</v>
      </c>
      <c r="H92" s="4">
        <v>0.20000000298023224</v>
      </c>
      <c r="I92">
        <v>1.256835093954578E-4</v>
      </c>
      <c r="J92"/>
    </row>
    <row r="93" spans="1:10" ht="15" customHeight="1" x14ac:dyDescent="0.15">
      <c r="A93" s="293">
        <v>92</v>
      </c>
      <c r="B93" s="293" t="s">
        <v>312</v>
      </c>
      <c r="C93" s="5">
        <v>2.9049999713897705</v>
      </c>
      <c r="D93" s="4">
        <v>0.94103527069091797</v>
      </c>
      <c r="E93" s="6">
        <v>1.809999942779541</v>
      </c>
      <c r="F93" s="6">
        <v>9.0499992370605469</v>
      </c>
      <c r="G93" s="6">
        <v>0.80000001192092896</v>
      </c>
      <c r="H93" s="4">
        <v>0.20000001788139343</v>
      </c>
      <c r="I93">
        <v>3.274342930126295E-7</v>
      </c>
      <c r="J93"/>
    </row>
    <row r="94" spans="1:10" ht="15" customHeight="1" x14ac:dyDescent="0.15">
      <c r="A94" s="294">
        <v>93</v>
      </c>
      <c r="B94" s="294" t="s">
        <v>313</v>
      </c>
      <c r="C94" s="5">
        <v>3.1312499046325684</v>
      </c>
      <c r="D94" s="4">
        <v>5.1202731132507324</v>
      </c>
      <c r="E94" s="6">
        <v>0.81999999284744263</v>
      </c>
      <c r="F94" s="6">
        <v>4.0999999046325684</v>
      </c>
      <c r="G94" s="6">
        <v>0.80000007152557373</v>
      </c>
      <c r="H94" s="4">
        <v>0.20000000298023224</v>
      </c>
      <c r="I94">
        <v>0</v>
      </c>
      <c r="J94"/>
    </row>
    <row r="95" spans="1:10" ht="15" customHeight="1" x14ac:dyDescent="0.15">
      <c r="A95" s="295">
        <v>94</v>
      </c>
      <c r="B95" s="295" t="s">
        <v>314</v>
      </c>
      <c r="C95" s="5">
        <v>2.5</v>
      </c>
      <c r="D95" s="4">
        <v>2.9179704189300537</v>
      </c>
      <c r="E95" s="6">
        <v>7.4000000953674316</v>
      </c>
      <c r="F95" s="6">
        <v>37</v>
      </c>
      <c r="G95" s="6">
        <v>0.80000001192092896</v>
      </c>
      <c r="H95" s="4">
        <v>0.20000000298023224</v>
      </c>
      <c r="I95">
        <v>0</v>
      </c>
      <c r="J95"/>
    </row>
    <row r="96" spans="1:10" ht="15" customHeight="1" x14ac:dyDescent="0.15">
      <c r="A96" s="296">
        <v>95</v>
      </c>
      <c r="B96" s="296" t="s">
        <v>315</v>
      </c>
      <c r="C96" s="5">
        <v>2.5</v>
      </c>
      <c r="D96" s="4">
        <v>8.4480247497558594</v>
      </c>
      <c r="E96" s="6">
        <v>7.4000000953674316</v>
      </c>
      <c r="F96" s="6">
        <v>37</v>
      </c>
      <c r="G96" s="6">
        <v>0.80000001192092896</v>
      </c>
      <c r="H96" s="4">
        <v>0.20000000298023224</v>
      </c>
      <c r="I96">
        <v>0</v>
      </c>
      <c r="J96"/>
    </row>
    <row r="97" spans="1:10" ht="15" customHeight="1" x14ac:dyDescent="0.15">
      <c r="A97" s="297">
        <v>96</v>
      </c>
      <c r="B97" s="297" t="s">
        <v>316</v>
      </c>
      <c r="C97" s="5">
        <v>2.5250000953674316</v>
      </c>
      <c r="D97" s="6">
        <v>6.3860006630420685E-2</v>
      </c>
      <c r="E97" s="6">
        <v>1</v>
      </c>
      <c r="F97" s="6">
        <v>5</v>
      </c>
      <c r="G97" s="4">
        <v>2.1393713541328907E-3</v>
      </c>
      <c r="H97" s="4">
        <v>0.20000000298023224</v>
      </c>
      <c r="I97">
        <v>9.1482979769352823E-5</v>
      </c>
      <c r="J97"/>
    </row>
    <row r="98" spans="1:10" ht="15" customHeight="1" x14ac:dyDescent="0.15">
      <c r="A98" s="298">
        <v>97</v>
      </c>
      <c r="B98" s="298" t="s">
        <v>317</v>
      </c>
      <c r="C98" s="5">
        <v>2.5250000953674316</v>
      </c>
      <c r="D98" s="6">
        <v>7.7566569671034813E-3</v>
      </c>
      <c r="E98" s="6">
        <v>4.6051699668169022E-2</v>
      </c>
      <c r="F98" s="6">
        <v>0.23025849461555481</v>
      </c>
      <c r="G98" s="4">
        <v>0.11212488263845444</v>
      </c>
      <c r="H98" s="4">
        <v>0.20000000298023224</v>
      </c>
      <c r="I98">
        <v>3.569321779650636E-5</v>
      </c>
      <c r="J98"/>
    </row>
    <row r="99" spans="1:10" ht="15" customHeight="1" x14ac:dyDescent="0.15">
      <c r="A99" s="299">
        <v>98</v>
      </c>
      <c r="B99" s="299" t="s">
        <v>318</v>
      </c>
      <c r="C99" s="5">
        <v>2.5250000953674316</v>
      </c>
      <c r="D99" s="4">
        <v>0.14686067402362823</v>
      </c>
      <c r="E99" s="6">
        <v>1</v>
      </c>
      <c r="F99" s="6">
        <v>5</v>
      </c>
      <c r="G99" s="6">
        <v>0.80000001192092896</v>
      </c>
      <c r="H99" s="4">
        <v>0.20000000298023224</v>
      </c>
      <c r="I99">
        <v>0</v>
      </c>
      <c r="J99"/>
    </row>
    <row r="100" spans="1:10" ht="15" customHeight="1" x14ac:dyDescent="0.15">
      <c r="A100" s="300">
        <v>99</v>
      </c>
      <c r="B100" s="300" t="s">
        <v>319</v>
      </c>
      <c r="C100" s="5">
        <v>2.5250000953674316</v>
      </c>
      <c r="D100" s="6">
        <v>0.24480000138282776</v>
      </c>
      <c r="E100" s="6">
        <v>3.5799999237060547</v>
      </c>
      <c r="F100" s="6">
        <v>17.899999618530273</v>
      </c>
      <c r="G100" s="4">
        <v>3.5850794520229101E-3</v>
      </c>
      <c r="H100" s="4">
        <v>0.20000000298023224</v>
      </c>
      <c r="I100">
        <v>9.7666097644832917E-6</v>
      </c>
      <c r="J100"/>
    </row>
    <row r="101" spans="1:10" ht="15" customHeight="1" x14ac:dyDescent="0.15">
      <c r="A101" s="301">
        <v>100</v>
      </c>
      <c r="B101" s="301" t="s">
        <v>320</v>
      </c>
      <c r="C101" s="5">
        <v>2.5250000953674316</v>
      </c>
      <c r="D101" s="6">
        <v>5.2393897203728557E-4</v>
      </c>
      <c r="E101" s="6">
        <v>9.210340678691864E-2</v>
      </c>
      <c r="F101" s="6">
        <v>0.46051698923110962</v>
      </c>
      <c r="G101" s="4">
        <v>0.20478911697864532</v>
      </c>
      <c r="H101" s="4">
        <v>0.20000001788139343</v>
      </c>
      <c r="I101">
        <v>5.931523901381297E-6</v>
      </c>
      <c r="J101"/>
    </row>
    <row r="102" spans="1:10" ht="15" customHeight="1" x14ac:dyDescent="0.15">
      <c r="A102" s="302">
        <v>101</v>
      </c>
      <c r="B102" s="302" t="s">
        <v>321</v>
      </c>
      <c r="C102" s="5">
        <v>2.5250000953674316</v>
      </c>
      <c r="D102" s="6">
        <v>4.8720821738243103E-2</v>
      </c>
      <c r="E102" s="6">
        <v>1</v>
      </c>
      <c r="F102" s="6">
        <v>5</v>
      </c>
      <c r="G102" s="4">
        <v>4.8573105596005917E-3</v>
      </c>
      <c r="H102" s="4">
        <v>0.20000000298023224</v>
      </c>
      <c r="I102">
        <v>2.7586565920501016E-5</v>
      </c>
      <c r="J102"/>
    </row>
    <row r="103" spans="1:10" ht="15" customHeight="1" x14ac:dyDescent="0.15">
      <c r="A103" s="303">
        <v>102</v>
      </c>
      <c r="B103" s="303" t="s">
        <v>322</v>
      </c>
      <c r="C103" s="5">
        <v>2.5250000953674316</v>
      </c>
      <c r="D103" s="4">
        <v>19.611263275146484</v>
      </c>
      <c r="E103" s="6">
        <v>1.2999999523162842</v>
      </c>
      <c r="F103" s="6">
        <v>6.5</v>
      </c>
      <c r="G103" s="6">
        <v>0.79999995231628418</v>
      </c>
      <c r="H103" s="4">
        <v>0.19999998807907104</v>
      </c>
      <c r="I103">
        <v>2.8068109531886876E-4</v>
      </c>
      <c r="J103"/>
    </row>
    <row r="104" spans="1:10" ht="15" customHeight="1" x14ac:dyDescent="0.15">
      <c r="A104" s="304">
        <v>103</v>
      </c>
      <c r="B104" s="304" t="s">
        <v>323</v>
      </c>
      <c r="C104" s="5">
        <v>2.5</v>
      </c>
      <c r="D104" s="4">
        <v>5.2516970634460449</v>
      </c>
      <c r="E104" s="6">
        <v>2.9700000286102295</v>
      </c>
      <c r="F104" s="6">
        <v>14.850000381469727</v>
      </c>
      <c r="G104" s="6">
        <v>0.80000007152557373</v>
      </c>
      <c r="H104" s="4">
        <v>0.20000000298023224</v>
      </c>
      <c r="I104">
        <v>0</v>
      </c>
      <c r="J104"/>
    </row>
    <row r="105" spans="1:10" ht="15" customHeight="1" x14ac:dyDescent="0.15">
      <c r="A105" s="305">
        <v>104</v>
      </c>
      <c r="B105" s="305" t="s">
        <v>324</v>
      </c>
      <c r="C105" s="5">
        <v>2.5</v>
      </c>
      <c r="D105" s="4">
        <v>5.2699298858642578</v>
      </c>
      <c r="E105" s="6">
        <v>2.2300000190734863</v>
      </c>
      <c r="F105" s="6">
        <v>11.149999618530273</v>
      </c>
      <c r="G105" s="6">
        <v>0.80000001192092896</v>
      </c>
      <c r="H105" s="4">
        <v>0.20000000298023224</v>
      </c>
      <c r="I105">
        <v>0</v>
      </c>
      <c r="J105"/>
    </row>
    <row r="106" spans="1:10" ht="15" customHeight="1" x14ac:dyDescent="0.15">
      <c r="A106" s="306">
        <v>105</v>
      </c>
      <c r="B106" s="306" t="s">
        <v>325</v>
      </c>
      <c r="C106" s="5">
        <v>3.4090209007263184</v>
      </c>
      <c r="D106" s="6">
        <v>0.10999999940395355</v>
      </c>
      <c r="E106" s="6">
        <v>0.87999999523162842</v>
      </c>
      <c r="F106" s="6">
        <v>3</v>
      </c>
      <c r="G106" s="4">
        <v>0.61921483278274536</v>
      </c>
      <c r="H106" s="4">
        <v>0.29333332180976868</v>
      </c>
      <c r="I106">
        <v>4.9278780352324247E-4</v>
      </c>
      <c r="J106"/>
    </row>
    <row r="107" spans="1:10" ht="15" customHeight="1" x14ac:dyDescent="0.15">
      <c r="A107" s="307">
        <v>106</v>
      </c>
      <c r="B107" s="307" t="s">
        <v>326</v>
      </c>
      <c r="C107" s="5">
        <v>2.5249998569488525</v>
      </c>
      <c r="D107" s="4">
        <v>3.7937522865831852E-3</v>
      </c>
      <c r="E107" s="6">
        <v>5.4749999046325684</v>
      </c>
      <c r="F107" s="6">
        <v>15.642860412597656</v>
      </c>
      <c r="G107" s="6">
        <v>0.80000001192092896</v>
      </c>
      <c r="H107" s="4">
        <v>0.34999993443489075</v>
      </c>
      <c r="I107">
        <v>0</v>
      </c>
      <c r="J107"/>
    </row>
    <row r="108" spans="1:10" ht="15" customHeight="1" x14ac:dyDescent="0.15">
      <c r="A108" s="308">
        <v>107</v>
      </c>
      <c r="B108" s="308" t="s">
        <v>327</v>
      </c>
      <c r="C108" s="5">
        <v>2.9062502384185791</v>
      </c>
      <c r="D108" s="4">
        <v>0.76947575807571411</v>
      </c>
      <c r="E108" s="6">
        <v>5.4749999046325684</v>
      </c>
      <c r="F108" s="6">
        <v>15.642860412597656</v>
      </c>
      <c r="G108" s="6">
        <v>0.80000001192092896</v>
      </c>
      <c r="H108" s="4">
        <v>0.34999993443489075</v>
      </c>
      <c r="I108">
        <v>0</v>
      </c>
      <c r="J108"/>
    </row>
    <row r="109" spans="1:10" ht="15" customHeight="1" x14ac:dyDescent="0.15">
      <c r="A109" s="309">
        <v>108</v>
      </c>
      <c r="B109" s="309" t="s">
        <v>328</v>
      </c>
      <c r="C109" s="5">
        <v>2.5249998569488525</v>
      </c>
      <c r="D109" s="4">
        <v>27.978490829467773</v>
      </c>
      <c r="E109" s="6">
        <v>5.4749999046325684</v>
      </c>
      <c r="F109" s="6">
        <v>15.642860412597656</v>
      </c>
      <c r="G109" s="6">
        <v>0.80000001192092896</v>
      </c>
      <c r="H109" s="4">
        <v>0.34999993443489075</v>
      </c>
      <c r="I109">
        <v>0</v>
      </c>
      <c r="J109"/>
    </row>
    <row r="110" spans="1:10" ht="15" customHeight="1" x14ac:dyDescent="0.15">
      <c r="A110" s="310">
        <v>109</v>
      </c>
      <c r="B110" s="310" t="s">
        <v>329</v>
      </c>
      <c r="C110" s="5">
        <v>2.5249998569488525</v>
      </c>
      <c r="D110" s="4">
        <v>0.69404089450836182</v>
      </c>
      <c r="E110" s="6">
        <v>5.4749999046325684</v>
      </c>
      <c r="F110" s="6">
        <v>15.642860412597656</v>
      </c>
      <c r="G110" s="6">
        <v>0.80000001192092896</v>
      </c>
      <c r="H110" s="4">
        <v>0.34999993443489075</v>
      </c>
      <c r="I110">
        <v>0</v>
      </c>
      <c r="J110"/>
    </row>
    <row r="111" spans="1:10" ht="15" customHeight="1" x14ac:dyDescent="0.15">
      <c r="A111" s="311">
        <v>110</v>
      </c>
      <c r="B111" s="311" t="s">
        <v>330</v>
      </c>
      <c r="C111" s="5">
        <v>2.5249998569488525</v>
      </c>
      <c r="D111" s="4">
        <v>1.9466389417648315</v>
      </c>
      <c r="E111" s="6">
        <v>2.5</v>
      </c>
      <c r="F111" s="6">
        <v>7.1428570747375488</v>
      </c>
      <c r="G111" s="6">
        <v>0.80000001192092896</v>
      </c>
      <c r="H111" s="4">
        <v>0.34999999403953552</v>
      </c>
      <c r="I111">
        <v>0</v>
      </c>
      <c r="J111"/>
    </row>
    <row r="112" spans="1:10" ht="15" customHeight="1" x14ac:dyDescent="0.15">
      <c r="A112" s="312">
        <v>111</v>
      </c>
      <c r="B112" s="312" t="s">
        <v>331</v>
      </c>
      <c r="C112" s="5">
        <v>2.5249998569488525</v>
      </c>
      <c r="D112" s="4">
        <v>1.2185713052749634</v>
      </c>
      <c r="E112" s="6">
        <v>5.4749999046325684</v>
      </c>
      <c r="F112" s="6">
        <v>15.642860412597656</v>
      </c>
      <c r="G112" s="6">
        <v>0.80000001192092896</v>
      </c>
      <c r="H112" s="4">
        <v>0.34999993443489075</v>
      </c>
      <c r="I112">
        <v>0</v>
      </c>
      <c r="J112"/>
    </row>
    <row r="113" spans="1:10" ht="15" customHeight="1" x14ac:dyDescent="0.15">
      <c r="A113" s="313">
        <v>112</v>
      </c>
      <c r="B113" s="313" t="s">
        <v>332</v>
      </c>
      <c r="C113" s="5">
        <v>2.5249998569488525</v>
      </c>
      <c r="D113" s="4">
        <v>0.78065317869186401</v>
      </c>
      <c r="E113" s="6">
        <v>5.4749999046325684</v>
      </c>
      <c r="F113" s="6">
        <v>15.642860412597656</v>
      </c>
      <c r="G113" s="6">
        <v>0.80000001192092896</v>
      </c>
      <c r="H113" s="4">
        <v>0.34999993443489075</v>
      </c>
      <c r="I113">
        <v>0</v>
      </c>
      <c r="J113"/>
    </row>
    <row r="114" spans="1:10" ht="15" customHeight="1" x14ac:dyDescent="0.15">
      <c r="A114" s="314">
        <v>113</v>
      </c>
      <c r="B114" s="314" t="s">
        <v>333</v>
      </c>
      <c r="C114" s="5">
        <v>2.5</v>
      </c>
      <c r="D114" s="4">
        <v>30.150945663452148</v>
      </c>
      <c r="E114" s="6">
        <v>6</v>
      </c>
      <c r="F114" s="6">
        <v>27.739999771118164</v>
      </c>
      <c r="G114" s="6">
        <v>0.80000007152557373</v>
      </c>
      <c r="H114" s="4">
        <v>0.21629415452480316</v>
      </c>
      <c r="I114">
        <v>0</v>
      </c>
      <c r="J114"/>
    </row>
    <row r="115" spans="1:10" ht="15" customHeight="1" x14ac:dyDescent="0.15">
      <c r="A115" s="315">
        <v>114</v>
      </c>
      <c r="B115" s="315" t="s">
        <v>334</v>
      </c>
      <c r="C115" s="5">
        <v>2</v>
      </c>
      <c r="D115" s="4">
        <v>8.4601955413818359</v>
      </c>
      <c r="E115" s="6">
        <v>73</v>
      </c>
      <c r="F115" s="6">
        <v>208.57139587402344</v>
      </c>
      <c r="G115" s="6">
        <v>0.80000001192092896</v>
      </c>
      <c r="H115" s="4">
        <v>0.3500000536441803</v>
      </c>
      <c r="I115">
        <v>0</v>
      </c>
      <c r="J115"/>
    </row>
    <row r="116" spans="1:10" ht="15" customHeight="1" x14ac:dyDescent="0.15">
      <c r="A116" s="316">
        <v>115</v>
      </c>
      <c r="B116" s="316" t="s">
        <v>335</v>
      </c>
      <c r="C116" s="5">
        <v>2</v>
      </c>
      <c r="D116" s="4">
        <v>5.1133179664611816</v>
      </c>
      <c r="E116" s="6">
        <v>73</v>
      </c>
      <c r="F116" s="6">
        <v>208.57139587402344</v>
      </c>
      <c r="G116" s="6">
        <v>0.80000001192092896</v>
      </c>
      <c r="H116" s="4">
        <v>0.3500000536441803</v>
      </c>
      <c r="I116">
        <v>0</v>
      </c>
      <c r="J116"/>
    </row>
    <row r="117" spans="1:10" ht="15" customHeight="1" x14ac:dyDescent="0.15">
      <c r="A117" s="317">
        <v>116</v>
      </c>
      <c r="B117" s="317" t="s">
        <v>336</v>
      </c>
      <c r="C117" s="5">
        <v>1</v>
      </c>
      <c r="D117" s="4">
        <v>0.97190713882446289</v>
      </c>
      <c r="E117" s="6">
        <v>4</v>
      </c>
      <c r="F117" s="7"/>
      <c r="G117" s="6">
        <v>0.80000001192092896</v>
      </c>
      <c r="H117" s="7"/>
      <c r="I117">
        <v>0</v>
      </c>
      <c r="J117"/>
    </row>
    <row r="118" spans="1:10" ht="15" customHeight="1" x14ac:dyDescent="0.15">
      <c r="A118" s="318">
        <v>117</v>
      </c>
      <c r="B118" s="318" t="s">
        <v>337</v>
      </c>
      <c r="C118" s="5">
        <v>1</v>
      </c>
      <c r="D118" s="6">
        <v>15.725729942321777</v>
      </c>
      <c r="E118" s="6">
        <v>87.295829772949219</v>
      </c>
      <c r="F118" s="7"/>
      <c r="G118" s="4">
        <v>0.65570098161697388</v>
      </c>
      <c r="H118" s="7"/>
      <c r="I118">
        <v>0</v>
      </c>
      <c r="J118"/>
    </row>
    <row r="119" spans="1:10" ht="15" customHeight="1" x14ac:dyDescent="0.15">
      <c r="A119" s="319">
        <v>118</v>
      </c>
      <c r="B119" s="319" t="s">
        <v>338</v>
      </c>
      <c r="C119" s="5">
        <v>1</v>
      </c>
      <c r="D119" s="6">
        <v>19.887470245361328</v>
      </c>
      <c r="E119" s="6">
        <v>81.820831298828125</v>
      </c>
      <c r="F119" s="7"/>
      <c r="G119" s="4">
        <v>0.81023120880126953</v>
      </c>
      <c r="H119" s="7"/>
      <c r="I119">
        <v>0</v>
      </c>
      <c r="J119"/>
    </row>
    <row r="120" spans="1:10" ht="15" customHeight="1" x14ac:dyDescent="0.15">
      <c r="A120" s="320">
        <v>119</v>
      </c>
      <c r="B120" s="320" t="s">
        <v>339</v>
      </c>
      <c r="C120" s="5">
        <v>1</v>
      </c>
      <c r="D120" s="6">
        <v>0.65625792741775513</v>
      </c>
      <c r="E120" s="6">
        <v>0.5</v>
      </c>
      <c r="F120" s="7"/>
      <c r="G120" s="4">
        <v>6.2477640807628632E-2</v>
      </c>
      <c r="H120" s="7"/>
      <c r="I120">
        <v>0</v>
      </c>
      <c r="J120"/>
    </row>
    <row r="121" spans="1:10" ht="15" customHeight="1" x14ac:dyDescent="0.15">
      <c r="A121" s="321">
        <v>120</v>
      </c>
      <c r="B121" s="321" t="s">
        <v>340</v>
      </c>
      <c r="C121" s="5">
        <v>1</v>
      </c>
      <c r="D121" s="6">
        <v>0.97367560863494873</v>
      </c>
      <c r="E121" s="6">
        <v>0.5</v>
      </c>
      <c r="F121" s="7"/>
      <c r="G121" s="4">
        <v>0.46471768617630005</v>
      </c>
      <c r="H121" s="7"/>
      <c r="I121">
        <v>0</v>
      </c>
      <c r="J121"/>
    </row>
    <row r="122" spans="1:10" ht="15" customHeight="1" x14ac:dyDescent="0.15">
      <c r="A122" s="322">
        <v>121</v>
      </c>
      <c r="B122" s="322" t="s">
        <v>341</v>
      </c>
      <c r="C122" s="5">
        <v>1</v>
      </c>
      <c r="D122" s="6">
        <v>1513.803955078125</v>
      </c>
      <c r="E122" s="6">
        <v>0.5</v>
      </c>
      <c r="F122" s="7"/>
      <c r="G122" s="4">
        <v>0.36091744899749756</v>
      </c>
      <c r="H122" s="7"/>
      <c r="I122">
        <v>0</v>
      </c>
      <c r="J122"/>
    </row>
    <row r="123" spans="1:10" ht="15" customHeight="1" x14ac:dyDescent="0.15">
      <c r="A123" s="323">
        <v>122</v>
      </c>
      <c r="B123" s="323" t="s">
        <v>342</v>
      </c>
      <c r="C123" s="5">
        <v>1</v>
      </c>
      <c r="D123" s="6">
        <v>3054.780029296875</v>
      </c>
      <c r="E123" s="6">
        <v>0.5</v>
      </c>
      <c r="F123" s="7"/>
      <c r="G123" s="4">
        <v>0.7735859751701355</v>
      </c>
      <c r="H123" s="7"/>
      <c r="I123">
        <v>0</v>
      </c>
      <c r="J123"/>
    </row>
    <row r="124" spans="1:10" ht="15" customHeight="1" x14ac:dyDescent="0.15">
      <c r="A124" s="324">
        <v>123</v>
      </c>
      <c r="B124" s="324" t="s">
        <v>343</v>
      </c>
      <c r="C124" s="5">
        <v>5.4006714820861816</v>
      </c>
      <c r="D124" s="7"/>
      <c r="E124" s="7"/>
      <c r="F124" s="7"/>
      <c r="G124" s="7"/>
      <c r="H124" s="7"/>
      <c r="I124">
        <v>0.10536821186542511</v>
      </c>
      <c r="J124"/>
    </row>
    <row r="125" spans="1:10" ht="15" customHeight="1" x14ac:dyDescent="0.15">
      <c r="A125" s="325">
        <v>124</v>
      </c>
      <c r="B125" s="325" t="s">
        <v>344</v>
      </c>
      <c r="C125" s="5">
        <v>4.4110212326049805</v>
      </c>
      <c r="D125" s="7"/>
      <c r="E125" s="7"/>
      <c r="F125" s="7"/>
      <c r="G125" s="7"/>
      <c r="H125" s="7"/>
      <c r="I125">
        <v>3.4269278403371572E-3</v>
      </c>
      <c r="J125"/>
    </row>
    <row r="126" spans="1:10" ht="15" customHeight="1" x14ac:dyDescent="0.15">
      <c r="A126" s="326">
        <v>125</v>
      </c>
      <c r="B126" s="326" t="s">
        <v>345</v>
      </c>
      <c r="C126" s="5">
        <v>4.52392578125</v>
      </c>
      <c r="D126" s="7"/>
      <c r="E126" s="7"/>
      <c r="F126" s="7"/>
      <c r="G126" s="7"/>
      <c r="H126" s="7"/>
      <c r="I126">
        <v>5.5453289300203323E-2</v>
      </c>
      <c r="J126"/>
    </row>
    <row r="127" spans="1:10" ht="15" customHeight="1" x14ac:dyDescent="0.15">
      <c r="A127" s="327">
        <v>126</v>
      </c>
      <c r="B127" s="327" t="s">
        <v>346</v>
      </c>
      <c r="C127" s="5">
        <v>4.8270812034606934</v>
      </c>
      <c r="D127" s="7"/>
      <c r="E127" s="7"/>
      <c r="F127" s="7"/>
      <c r="G127" s="7"/>
      <c r="H127" s="7"/>
      <c r="I127">
        <v>0.31946209073066711</v>
      </c>
      <c r="J127"/>
    </row>
    <row r="128" spans="1:10" ht="15" customHeight="1" x14ac:dyDescent="0.15">
      <c r="A128" s="328">
        <v>127</v>
      </c>
      <c r="B128" s="328" t="s">
        <v>347</v>
      </c>
      <c r="C128" s="5">
        <v>5.033543586730957</v>
      </c>
      <c r="D128" s="7"/>
      <c r="E128" s="7"/>
      <c r="F128" s="7"/>
      <c r="G128" s="7"/>
      <c r="H128" s="7"/>
      <c r="I128">
        <v>2.6188527699559927E-3</v>
      </c>
      <c r="J128"/>
    </row>
    <row r="129" spans="1:10" ht="15" customHeight="1" x14ac:dyDescent="0.15">
      <c r="A129" s="329">
        <v>128</v>
      </c>
      <c r="B129" s="329" t="s">
        <v>348</v>
      </c>
      <c r="C129" s="5">
        <v>4.8597874641418457</v>
      </c>
      <c r="D129" s="7"/>
      <c r="E129" s="7"/>
      <c r="F129" s="7"/>
      <c r="G129" s="7"/>
      <c r="H129" s="7"/>
      <c r="I129">
        <v>0.22967834770679474</v>
      </c>
      <c r="J129"/>
    </row>
    <row r="130" spans="1:10" ht="15" customHeight="1" x14ac:dyDescent="0.15">
      <c r="A130" s="330">
        <v>129</v>
      </c>
      <c r="B130" s="330" t="s">
        <v>349</v>
      </c>
      <c r="C130" s="5">
        <v>4.740447998046875</v>
      </c>
      <c r="D130" s="7"/>
      <c r="E130" s="7"/>
      <c r="F130" s="7"/>
      <c r="G130" s="7"/>
      <c r="H130" s="7"/>
      <c r="I130">
        <v>1.7067728564143181E-2</v>
      </c>
      <c r="J130"/>
    </row>
    <row r="131" spans="1:10" ht="15" customHeight="1" x14ac:dyDescent="0.15">
      <c r="A131" s="331">
        <v>130</v>
      </c>
      <c r="B131" s="331" t="s">
        <v>350</v>
      </c>
      <c r="C131" s="5">
        <v>5.128964900970459</v>
      </c>
      <c r="D131" s="7"/>
      <c r="E131" s="7"/>
      <c r="F131" s="7"/>
      <c r="G131" s="7"/>
      <c r="H131" s="7"/>
      <c r="I131">
        <v>4.481029137969017E-2</v>
      </c>
      <c r="J131"/>
    </row>
    <row r="132" spans="1:10" ht="15" customHeight="1" x14ac:dyDescent="0.15">
      <c r="A132" s="332">
        <v>131</v>
      </c>
      <c r="B132" s="332" t="s">
        <v>351</v>
      </c>
      <c r="C132" s="5">
        <v>5.040980339050293</v>
      </c>
      <c r="D132" s="7"/>
      <c r="E132" s="7"/>
      <c r="F132" s="7"/>
      <c r="G132" s="7"/>
      <c r="H132" s="7"/>
      <c r="I132">
        <v>5.7421982288360596E-2</v>
      </c>
      <c r="J132"/>
    </row>
    <row r="133" spans="1:10" ht="15" customHeight="1" x14ac:dyDescent="0.15">
      <c r="A133" s="333">
        <v>132</v>
      </c>
      <c r="B133" s="333" t="s">
        <v>352</v>
      </c>
      <c r="C133" s="5">
        <v>5.037109375</v>
      </c>
      <c r="D133" s="7"/>
      <c r="E133" s="7"/>
      <c r="F133" s="7"/>
      <c r="G133" s="7"/>
      <c r="H133" s="7"/>
      <c r="I133">
        <v>0.15404979884624481</v>
      </c>
      <c r="J133"/>
    </row>
    <row r="134" spans="1:10" ht="15" customHeight="1" x14ac:dyDescent="0.15">
      <c r="A134" s="334">
        <v>133</v>
      </c>
      <c r="B134" s="334" t="s">
        <v>353</v>
      </c>
      <c r="C134" s="5">
        <v>4.7493195533752441</v>
      </c>
      <c r="D134" s="7"/>
      <c r="E134" s="7"/>
      <c r="F134" s="7"/>
      <c r="G134" s="7"/>
      <c r="H134" s="7"/>
      <c r="I134">
        <v>0.43147945404052734</v>
      </c>
      <c r="J134"/>
    </row>
    <row r="135" spans="1:10" ht="15" customHeight="1" x14ac:dyDescent="0.15">
      <c r="A135" s="335">
        <v>134</v>
      </c>
      <c r="B135" s="335" t="s">
        <v>354</v>
      </c>
      <c r="C135" s="5">
        <v>4.7577729225158691</v>
      </c>
      <c r="D135" s="7"/>
      <c r="E135" s="7"/>
      <c r="F135" s="7"/>
      <c r="G135" s="7"/>
      <c r="H135" s="7"/>
      <c r="I135">
        <v>9.0635649859905243E-2</v>
      </c>
      <c r="J135"/>
    </row>
    <row r="136" spans="1:10" ht="15" customHeight="1" x14ac:dyDescent="0.15">
      <c r="A136" s="336">
        <v>135</v>
      </c>
      <c r="B136" s="336" t="s">
        <v>355</v>
      </c>
      <c r="C136" s="5">
        <v>5.1527552604675293</v>
      </c>
      <c r="D136" s="7"/>
      <c r="E136" s="7"/>
      <c r="F136" s="7"/>
      <c r="G136" s="7"/>
      <c r="H136" s="7"/>
      <c r="I136">
        <v>0.1072881668806076</v>
      </c>
      <c r="J136"/>
    </row>
    <row r="137" spans="1:10" ht="15" customHeight="1" x14ac:dyDescent="0.15">
      <c r="A137" s="337">
        <v>136</v>
      </c>
      <c r="B137" s="337" t="s">
        <v>356</v>
      </c>
      <c r="C137" s="5">
        <v>3.9075000286102295</v>
      </c>
      <c r="D137" s="7"/>
      <c r="E137" s="7"/>
      <c r="F137" s="7"/>
      <c r="G137" s="7"/>
      <c r="H137" s="7"/>
      <c r="I137">
        <v>1.3151539315003902E-4</v>
      </c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1" x14ac:dyDescent="0.15"/>
  <cols>
    <col min="1" max="1" width="40.33203125" style="61" bestFit="1" customWidth="1"/>
    <col min="2" max="4" width="9.5" style="61" bestFit="1" customWidth="1"/>
    <col min="5" max="7" width="9" style="61" bestFit="1" customWidth="1"/>
    <col min="8" max="16" width="12.6640625" style="61" bestFit="1" customWidth="1"/>
    <col min="17" max="17" width="12.33203125" style="61" bestFit="1" customWidth="1"/>
    <col min="18" max="18" width="8.83203125" style="61"/>
    <col min="19" max="21" width="9.33203125" style="61" bestFit="1" customWidth="1"/>
    <col min="22" max="23" width="8.83203125" style="61"/>
    <col min="24" max="24" width="9.33203125" style="61" bestFit="1" customWidth="1"/>
    <col min="25" max="27" width="8.83203125" style="61"/>
    <col min="28" max="58" width="9" style="61" bestFit="1" customWidth="1"/>
    <col min="59" max="59" width="12.33203125" style="61" bestFit="1" customWidth="1"/>
    <col min="60" max="60" width="9" style="61" bestFit="1" customWidth="1"/>
    <col min="61" max="61" width="11.33203125" style="61" bestFit="1" customWidth="1"/>
    <col min="62" max="77" width="9" style="61" bestFit="1" customWidth="1"/>
    <col min="78" max="78" width="12.33203125" style="61" bestFit="1" customWidth="1"/>
    <col min="79" max="79" width="9" style="61" bestFit="1" customWidth="1"/>
    <col min="80" max="80" width="12.33203125" style="61" bestFit="1" customWidth="1"/>
    <col min="81" max="107" width="9" style="61" bestFit="1" customWidth="1"/>
    <col min="108" max="108" width="11.33203125" style="61" bestFit="1" customWidth="1"/>
    <col min="109" max="124" width="9" style="61" bestFit="1" customWidth="1"/>
    <col min="125" max="125" width="10.33203125" style="61" bestFit="1" customWidth="1"/>
    <col min="126" max="129" width="9.33203125" style="61" bestFit="1" customWidth="1"/>
    <col min="130" max="130" width="9" style="61" bestFit="1" customWidth="1"/>
    <col min="131" max="134" width="9.33203125" style="61" bestFit="1" customWidth="1"/>
    <col min="135" max="165" width="9" style="61" bestFit="1" customWidth="1"/>
    <col min="166" max="166" width="12.33203125" style="61" bestFit="1" customWidth="1"/>
    <col min="167" max="170" width="9" style="61" bestFit="1" customWidth="1"/>
    <col min="171" max="176" width="8.83203125" style="61"/>
    <col min="177" max="177" width="13.83203125" style="61" bestFit="1" customWidth="1"/>
    <col min="178" max="16384" width="8.83203125" style="6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371</v>
      </c>
      <c r="R1" t="s">
        <v>225</v>
      </c>
      <c r="S1" t="s">
        <v>226</v>
      </c>
      <c r="T1" t="s">
        <v>227</v>
      </c>
      <c r="U1" t="s">
        <v>228</v>
      </c>
      <c r="V1" t="s">
        <v>229</v>
      </c>
      <c r="W1" t="s">
        <v>230</v>
      </c>
      <c r="X1" t="s">
        <v>231</v>
      </c>
      <c r="Y1" t="s">
        <v>232</v>
      </c>
      <c r="Z1" t="s">
        <v>233</v>
      </c>
      <c r="AA1" t="s">
        <v>234</v>
      </c>
      <c r="AB1" t="s">
        <v>235</v>
      </c>
      <c r="AC1" t="s">
        <v>236</v>
      </c>
      <c r="AD1" t="s">
        <v>237</v>
      </c>
      <c r="AE1" t="s">
        <v>238</v>
      </c>
      <c r="AF1" t="s">
        <v>239</v>
      </c>
      <c r="AG1" t="s">
        <v>240</v>
      </c>
      <c r="AH1" t="s">
        <v>241</v>
      </c>
      <c r="AI1" t="s">
        <v>242</v>
      </c>
      <c r="AJ1" t="s">
        <v>243</v>
      </c>
      <c r="AK1" t="s">
        <v>244</v>
      </c>
      <c r="AL1" t="s">
        <v>245</v>
      </c>
      <c r="AM1" t="s">
        <v>246</v>
      </c>
      <c r="AN1" t="s">
        <v>247</v>
      </c>
      <c r="AO1" t="s">
        <v>248</v>
      </c>
      <c r="AP1" t="s">
        <v>249</v>
      </c>
      <c r="AQ1" t="s">
        <v>250</v>
      </c>
      <c r="AR1" t="s">
        <v>251</v>
      </c>
      <c r="AS1" t="s">
        <v>252</v>
      </c>
      <c r="AT1" t="s">
        <v>253</v>
      </c>
      <c r="AU1" t="s">
        <v>254</v>
      </c>
      <c r="AV1" t="s">
        <v>177</v>
      </c>
      <c r="AW1" t="s">
        <v>255</v>
      </c>
      <c r="AX1" t="s">
        <v>256</v>
      </c>
      <c r="AY1" t="s">
        <v>257</v>
      </c>
      <c r="AZ1" t="s">
        <v>178</v>
      </c>
      <c r="BA1" t="s">
        <v>258</v>
      </c>
      <c r="BB1" t="s">
        <v>179</v>
      </c>
      <c r="BC1" t="s">
        <v>259</v>
      </c>
      <c r="BD1" t="s">
        <v>260</v>
      </c>
      <c r="BE1" t="s">
        <v>261</v>
      </c>
      <c r="BF1" t="s">
        <v>262</v>
      </c>
      <c r="BG1" t="s">
        <v>263</v>
      </c>
      <c r="BH1" t="s">
        <v>264</v>
      </c>
      <c r="BI1" t="s">
        <v>265</v>
      </c>
      <c r="BJ1" t="s">
        <v>266</v>
      </c>
      <c r="BK1" t="s">
        <v>267</v>
      </c>
      <c r="BL1" t="s">
        <v>268</v>
      </c>
      <c r="BM1" t="s">
        <v>269</v>
      </c>
      <c r="BN1" t="s">
        <v>270</v>
      </c>
      <c r="BO1" t="s">
        <v>271</v>
      </c>
      <c r="BP1" t="s">
        <v>272</v>
      </c>
      <c r="BQ1" t="s">
        <v>273</v>
      </c>
      <c r="BR1" t="s">
        <v>274</v>
      </c>
      <c r="BS1" t="s">
        <v>275</v>
      </c>
      <c r="BT1" t="s">
        <v>276</v>
      </c>
      <c r="BU1" t="s">
        <v>277</v>
      </c>
      <c r="BV1" t="s">
        <v>278</v>
      </c>
      <c r="BW1" t="s">
        <v>279</v>
      </c>
      <c r="BX1" t="s">
        <v>280</v>
      </c>
      <c r="BY1" t="s">
        <v>281</v>
      </c>
      <c r="BZ1" t="s">
        <v>282</v>
      </c>
      <c r="CA1" t="s">
        <v>283</v>
      </c>
      <c r="CB1" t="s">
        <v>284</v>
      </c>
      <c r="CC1" t="s">
        <v>285</v>
      </c>
      <c r="CD1" t="s">
        <v>286</v>
      </c>
      <c r="CE1" t="s">
        <v>287</v>
      </c>
      <c r="CF1" t="s">
        <v>288</v>
      </c>
      <c r="CG1" t="s">
        <v>289</v>
      </c>
      <c r="CH1" t="s">
        <v>290</v>
      </c>
      <c r="CI1" t="s">
        <v>291</v>
      </c>
      <c r="CJ1" t="s">
        <v>180</v>
      </c>
      <c r="CK1" t="s">
        <v>292</v>
      </c>
      <c r="CL1" t="s">
        <v>293</v>
      </c>
      <c r="CM1" t="s">
        <v>294</v>
      </c>
      <c r="CN1" t="s">
        <v>295</v>
      </c>
      <c r="CO1" t="s">
        <v>296</v>
      </c>
      <c r="CP1" t="s">
        <v>297</v>
      </c>
      <c r="CQ1" t="s">
        <v>298</v>
      </c>
      <c r="CR1" t="s">
        <v>299</v>
      </c>
      <c r="CS1" t="s">
        <v>300</v>
      </c>
      <c r="CT1" t="s">
        <v>301</v>
      </c>
      <c r="CU1" t="s">
        <v>302</v>
      </c>
      <c r="CV1" t="s">
        <v>303</v>
      </c>
      <c r="CW1" t="s">
        <v>304</v>
      </c>
      <c r="CX1" t="s">
        <v>305</v>
      </c>
      <c r="CY1" t="s">
        <v>306</v>
      </c>
      <c r="CZ1" t="s">
        <v>307</v>
      </c>
      <c r="DA1" t="s">
        <v>308</v>
      </c>
      <c r="DB1" t="s">
        <v>309</v>
      </c>
      <c r="DC1" t="s">
        <v>310</v>
      </c>
      <c r="DD1" t="s">
        <v>311</v>
      </c>
      <c r="DE1" t="s">
        <v>312</v>
      </c>
      <c r="DF1" t="s">
        <v>313</v>
      </c>
      <c r="DG1" t="s">
        <v>314</v>
      </c>
      <c r="DH1" t="s">
        <v>315</v>
      </c>
      <c r="DI1" t="s">
        <v>316</v>
      </c>
      <c r="DJ1" t="s">
        <v>317</v>
      </c>
      <c r="DK1" t="s">
        <v>318</v>
      </c>
      <c r="DL1" t="s">
        <v>319</v>
      </c>
      <c r="DM1" t="s">
        <v>320</v>
      </c>
      <c r="DN1" t="s">
        <v>321</v>
      </c>
      <c r="DO1" t="s">
        <v>322</v>
      </c>
      <c r="DP1" t="s">
        <v>323</v>
      </c>
      <c r="DQ1" t="s">
        <v>324</v>
      </c>
      <c r="DR1" t="s">
        <v>325</v>
      </c>
      <c r="DS1" t="s">
        <v>326</v>
      </c>
      <c r="DT1" t="s">
        <v>327</v>
      </c>
      <c r="DU1" t="s">
        <v>328</v>
      </c>
      <c r="DV1" t="s">
        <v>329</v>
      </c>
      <c r="DW1" t="s">
        <v>330</v>
      </c>
      <c r="DX1" t="s">
        <v>331</v>
      </c>
      <c r="DY1" t="s">
        <v>332</v>
      </c>
      <c r="DZ1" t="s">
        <v>333</v>
      </c>
      <c r="EA1" t="s">
        <v>334</v>
      </c>
      <c r="EB1" t="s">
        <v>335</v>
      </c>
      <c r="EC1" t="s">
        <v>336</v>
      </c>
      <c r="ED1" t="s">
        <v>337</v>
      </c>
      <c r="EE1" t="s">
        <v>338</v>
      </c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225</v>
      </c>
      <c r="B2">
        <v>2.5420909747481346E-2</v>
      </c>
      <c r="C2">
        <v>2.5420909747481346E-2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226</v>
      </c>
      <c r="B3">
        <v>4.6900000423192978E-2</v>
      </c>
      <c r="C3">
        <v>4.6900000423192978E-2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227</v>
      </c>
      <c r="B4">
        <v>2.5420909747481346E-2</v>
      </c>
      <c r="C4">
        <v>2.4543412029743195E-2</v>
      </c>
      <c r="D4"/>
      <c r="E4"/>
      <c r="F4"/>
      <c r="G4"/>
      <c r="H4"/>
      <c r="I4"/>
      <c r="J4"/>
      <c r="K4" s="13">
        <v>3.8748860242776573E-4</v>
      </c>
      <c r="L4"/>
      <c r="M4"/>
      <c r="N4"/>
      <c r="O4"/>
      <c r="P4" s="18">
        <v>4.9000902799889445E-4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228</v>
      </c>
      <c r="B5">
        <v>5.000000074505806E-2</v>
      </c>
      <c r="C5">
        <v>4.7390803694725037E-2</v>
      </c>
      <c r="D5"/>
      <c r="E5"/>
      <c r="F5"/>
      <c r="G5"/>
      <c r="H5" s="8">
        <v>8.2739525169017725E-6</v>
      </c>
      <c r="I5" s="8">
        <v>1.6759722711867653E-6</v>
      </c>
      <c r="J5" s="8">
        <v>6.0504140719785937E-7</v>
      </c>
      <c r="K5"/>
      <c r="L5"/>
      <c r="M5" s="8">
        <v>3.2487394037161721E-6</v>
      </c>
      <c r="N5" s="8">
        <v>7.3234518822573591E-6</v>
      </c>
      <c r="O5" s="8">
        <v>1.6041517483245116E-6</v>
      </c>
      <c r="P5"/>
      <c r="Q5"/>
      <c r="R5" s="375">
        <v>2.5864648632705212E-3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229</v>
      </c>
      <c r="B6">
        <v>6.3364997506141663E-2</v>
      </c>
      <c r="C6">
        <v>6.0776874423027039E-2</v>
      </c>
      <c r="D6"/>
      <c r="E6"/>
      <c r="F6"/>
      <c r="G6"/>
      <c r="H6" s="8">
        <v>1.6572739696130157E-6</v>
      </c>
      <c r="I6"/>
      <c r="J6"/>
      <c r="K6"/>
      <c r="L6"/>
      <c r="M6"/>
      <c r="N6"/>
      <c r="O6"/>
      <c r="P6"/>
      <c r="Q6"/>
      <c r="R6" s="362">
        <v>2.5864657945930958E-3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230</v>
      </c>
      <c r="B7">
        <v>3.7701871246099472E-2</v>
      </c>
      <c r="C7">
        <v>3.5115405917167664E-2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 s="73">
        <v>2.586466958746314E-3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231</v>
      </c>
      <c r="B8">
        <v>2.6675999164581299E-2</v>
      </c>
      <c r="C8">
        <v>2.3823698982596397E-2</v>
      </c>
      <c r="D8"/>
      <c r="E8"/>
      <c r="F8"/>
      <c r="G8"/>
      <c r="H8"/>
      <c r="I8" s="11">
        <v>3.0816903745289892E-5</v>
      </c>
      <c r="J8" s="8">
        <v>1.1125184755655937E-5</v>
      </c>
      <c r="K8"/>
      <c r="L8"/>
      <c r="M8" s="11">
        <v>5.9736128605436534E-5</v>
      </c>
      <c r="N8" s="20">
        <v>1.3465984375216067E-4</v>
      </c>
      <c r="O8" s="11">
        <v>2.9496302886400372E-5</v>
      </c>
      <c r="P8"/>
      <c r="Q8"/>
      <c r="R8" s="381">
        <v>2.5864650961011648E-3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232</v>
      </c>
      <c r="B9">
        <v>4.0015000849962234E-2</v>
      </c>
      <c r="C9">
        <v>3.7428535521030426E-2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 s="59">
        <v>2.5864653289318085E-3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233</v>
      </c>
      <c r="B10">
        <v>3.2777998596429825E-2</v>
      </c>
      <c r="C10">
        <v>3.0191533267498016E-2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 s="58">
        <v>2.5864662602543831E-3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234</v>
      </c>
      <c r="B11">
        <v>5.1141001284122467E-2</v>
      </c>
      <c r="C11">
        <v>4.8554535955190659E-2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 s="375">
        <v>2.5864646304398775E-3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235</v>
      </c>
      <c r="B12">
        <v>0.11686299741268158</v>
      </c>
      <c r="C12">
        <v>0.11426527053117752</v>
      </c>
      <c r="D12"/>
      <c r="E12"/>
      <c r="F12"/>
      <c r="G12"/>
      <c r="H12" s="8">
        <v>1.1258449376327917E-5</v>
      </c>
      <c r="I12"/>
      <c r="J12"/>
      <c r="K12"/>
      <c r="L12"/>
      <c r="M12"/>
      <c r="N12"/>
      <c r="O12"/>
      <c r="P12"/>
      <c r="Q12"/>
      <c r="R12" s="356">
        <v>2.5864655617624521E-3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236</v>
      </c>
      <c r="B13">
        <v>0.39886501431465149</v>
      </c>
      <c r="C13">
        <v>0.39627856016159058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 s="20">
        <v>2.5864648632705212E-3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237</v>
      </c>
      <c r="B14">
        <v>9.6588000655174255E-2</v>
      </c>
      <c r="C14">
        <v>9.3988560140132904E-2</v>
      </c>
      <c r="D14"/>
      <c r="E14"/>
      <c r="F14"/>
      <c r="G14"/>
      <c r="H14" s="8">
        <v>1.297662402066635E-5</v>
      </c>
      <c r="I14"/>
      <c r="J14"/>
      <c r="K14"/>
      <c r="L14"/>
      <c r="M14"/>
      <c r="N14"/>
      <c r="O14"/>
      <c r="P14"/>
      <c r="Q14"/>
      <c r="R14" s="21">
        <v>2.5864667259156704E-3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238</v>
      </c>
      <c r="B15">
        <v>0.49401149153709412</v>
      </c>
      <c r="C15">
        <v>0.47650438547134399</v>
      </c>
      <c r="D15"/>
      <c r="E15"/>
      <c r="F15"/>
      <c r="G15"/>
      <c r="H15" s="69">
        <v>1.4920653775334358E-2</v>
      </c>
      <c r="I15"/>
      <c r="J15"/>
      <c r="K15"/>
      <c r="L15"/>
      <c r="M15"/>
      <c r="N15"/>
      <c r="O15"/>
      <c r="P15"/>
      <c r="Q15"/>
      <c r="R15" s="20">
        <v>2.5864655617624521E-3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239</v>
      </c>
      <c r="B16">
        <v>0.10979360342025757</v>
      </c>
      <c r="C16">
        <v>0.10417795181274414</v>
      </c>
      <c r="D16"/>
      <c r="E16"/>
      <c r="F16"/>
      <c r="G16"/>
      <c r="H16" s="64">
        <v>2.5009477976709604E-3</v>
      </c>
      <c r="I16" s="8">
        <v>9.0464973254711367E-6</v>
      </c>
      <c r="J16" s="8">
        <v>3.2658695090503898E-6</v>
      </c>
      <c r="K16" s="11">
        <v>1.9880119361914694E-4</v>
      </c>
      <c r="L16"/>
      <c r="M16" s="8">
        <v>1.7535918232169934E-5</v>
      </c>
      <c r="N16" s="8">
        <v>3.9530263165943325E-5</v>
      </c>
      <c r="O16" s="8">
        <v>8.6588261183351278E-6</v>
      </c>
      <c r="P16" s="11">
        <v>2.5139932404272258E-4</v>
      </c>
      <c r="Q16"/>
      <c r="R16" s="64">
        <v>2.5864641647785902E-3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240</v>
      </c>
      <c r="B17">
        <v>8.2653000950813293E-2</v>
      </c>
      <c r="C17">
        <v>6.4563706517219543E-2</v>
      </c>
      <c r="D17"/>
      <c r="E17"/>
      <c r="F17"/>
      <c r="G17"/>
      <c r="H17" s="345">
        <v>1.5400361269712448E-2</v>
      </c>
      <c r="I17" s="8">
        <v>7.476835889974609E-6</v>
      </c>
      <c r="J17" s="8">
        <v>2.6992063340003369E-6</v>
      </c>
      <c r="K17" s="8">
        <v>4.1915081965271384E-6</v>
      </c>
      <c r="L17" s="8">
        <v>2.8475968065322377E-5</v>
      </c>
      <c r="M17" s="8">
        <v>1.4493251910607796E-5</v>
      </c>
      <c r="N17" s="8">
        <v>3.2671352528268471E-5</v>
      </c>
      <c r="O17" s="8">
        <v>7.1564309109817259E-6</v>
      </c>
      <c r="P17" s="8">
        <v>5.3004819164925721E-6</v>
      </c>
      <c r="Q17"/>
      <c r="R17" s="22">
        <v>2.5864648632705212E-3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241</v>
      </c>
      <c r="B18">
        <v>0.10000000149011612</v>
      </c>
      <c r="C18">
        <v>8.6982160806655884E-2</v>
      </c>
      <c r="D18"/>
      <c r="E18"/>
      <c r="F18"/>
      <c r="G18"/>
      <c r="H18"/>
      <c r="I18" s="8">
        <v>2.725539161474444E-5</v>
      </c>
      <c r="J18"/>
      <c r="K18" s="11">
        <v>1.5820012777112424E-4</v>
      </c>
      <c r="L18" s="8">
        <v>1.4955671758798417E-5</v>
      </c>
      <c r="M18" s="8">
        <v>7.7211392635945231E-5</v>
      </c>
      <c r="N18" s="8">
        <v>8.4511890463545569E-7</v>
      </c>
      <c r="O18" s="8">
        <v>1.596185757080093E-5</v>
      </c>
      <c r="P18" s="356">
        <v>2.2311334032565355E-3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8">
        <v>5.9366893765400164E-6</v>
      </c>
      <c r="AF18" s="8">
        <v>2.536558213250828E-6</v>
      </c>
      <c r="AG18"/>
      <c r="AH18"/>
      <c r="AI18"/>
      <c r="AJ18"/>
      <c r="AK18"/>
      <c r="AL18"/>
      <c r="AM18" s="357">
        <v>1.0483806952834129E-2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242</v>
      </c>
      <c r="B19">
        <v>0.16948769986629486</v>
      </c>
      <c r="C19">
        <v>0.1580720841884613</v>
      </c>
      <c r="D19"/>
      <c r="E19"/>
      <c r="F19"/>
      <c r="G19"/>
      <c r="H19"/>
      <c r="I19" s="8">
        <v>9.9645294540096074E-6</v>
      </c>
      <c r="J19"/>
      <c r="K19" s="8">
        <v>5.7837740314425901E-5</v>
      </c>
      <c r="L19" s="8">
        <v>5.4677711887052283E-6</v>
      </c>
      <c r="M19" s="8">
        <v>2.8228359951754101E-5</v>
      </c>
      <c r="N19" s="8">
        <v>3.0897436431587266E-7</v>
      </c>
      <c r="O19" s="8">
        <v>5.8356299632578157E-6</v>
      </c>
      <c r="P19" s="9">
        <v>8.1569899339228868E-4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8">
        <v>5.9366889217926655E-6</v>
      </c>
      <c r="AF19" s="8">
        <v>2.5365588953718543E-6</v>
      </c>
      <c r="AG19"/>
      <c r="AH19"/>
      <c r="AI19"/>
      <c r="AJ19"/>
      <c r="AK19"/>
      <c r="AL19"/>
      <c r="AM19" s="351">
        <v>1.0483806952834129E-2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243</v>
      </c>
      <c r="B20">
        <v>7.6881043612957001E-2</v>
      </c>
      <c r="C20">
        <v>6.498226523399353E-2</v>
      </c>
      <c r="D20"/>
      <c r="E20"/>
      <c r="F20"/>
      <c r="G20"/>
      <c r="H20"/>
      <c r="I20" s="8">
        <v>1.5178699868556578E-5</v>
      </c>
      <c r="J20"/>
      <c r="K20" s="11">
        <v>8.8102642621379346E-5</v>
      </c>
      <c r="L20" s="8">
        <v>8.3289060057722963E-6</v>
      </c>
      <c r="M20" s="8">
        <v>4.2999483412131667E-5</v>
      </c>
      <c r="N20" s="8">
        <v>4.7065211106200877E-7</v>
      </c>
      <c r="O20" s="8">
        <v>8.8892566054710187E-6</v>
      </c>
      <c r="P20" s="13">
        <v>1.2425322784110904E-3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s="8">
        <v>5.9366902860347182E-6</v>
      </c>
      <c r="AF20" s="8">
        <v>2.5365588953718543E-6</v>
      </c>
      <c r="AG20"/>
      <c r="AH20"/>
      <c r="AI20"/>
      <c r="AJ20"/>
      <c r="AK20"/>
      <c r="AL20"/>
      <c r="AM20" s="376">
        <v>1.0483803227543831E-2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244</v>
      </c>
      <c r="B21">
        <v>0.16948769986629486</v>
      </c>
      <c r="C21">
        <v>0.15327350795269012</v>
      </c>
      <c r="D21"/>
      <c r="E21"/>
      <c r="F21"/>
      <c r="G21"/>
      <c r="H21"/>
      <c r="I21" s="8">
        <v>6.1749764427077025E-5</v>
      </c>
      <c r="J21"/>
      <c r="K21" s="11">
        <v>3.584179503377527E-4</v>
      </c>
      <c r="L21" s="8">
        <v>3.3883545256685466E-5</v>
      </c>
      <c r="M21" s="11">
        <v>1.7492995539214462E-4</v>
      </c>
      <c r="N21" s="8">
        <v>1.9147012153553078E-6</v>
      </c>
      <c r="O21" s="8">
        <v>3.6163146432954818E-5</v>
      </c>
      <c r="P21" s="69">
        <v>5.0548524595797062E-3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 s="8">
        <v>5.9366902860347182E-6</v>
      </c>
      <c r="AF21"/>
      <c r="AG21"/>
      <c r="AH21"/>
      <c r="AI21"/>
      <c r="AJ21"/>
      <c r="AK21"/>
      <c r="AL21"/>
      <c r="AM21" s="351">
        <v>1.0483806952834129E-2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245</v>
      </c>
      <c r="B22">
        <v>3.9999999105930328E-2</v>
      </c>
      <c r="C22">
        <v>2.7098663151264191E-2</v>
      </c>
      <c r="D22"/>
      <c r="E22"/>
      <c r="F22"/>
      <c r="G22"/>
      <c r="H22"/>
      <c r="I22" s="8">
        <v>2.5998066121246666E-5</v>
      </c>
      <c r="J22"/>
      <c r="K22" s="9">
        <v>1.5090218221303076E-4</v>
      </c>
      <c r="L22" s="8">
        <v>1.4265747267927509E-5</v>
      </c>
      <c r="M22" s="11">
        <v>7.3649513069540262E-5</v>
      </c>
      <c r="N22" s="8">
        <v>8.0613278896635165E-7</v>
      </c>
      <c r="O22" s="8">
        <v>1.5225516108330339E-5</v>
      </c>
      <c r="P22" s="66">
        <v>2.1282085217535496E-3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8">
        <v>5.9366902860347182E-6</v>
      </c>
      <c r="AF22" s="8">
        <v>2.5365584406245034E-6</v>
      </c>
      <c r="AG22"/>
      <c r="AH22"/>
      <c r="AI22"/>
      <c r="AJ22"/>
      <c r="AK22"/>
      <c r="AL22"/>
      <c r="AM22" s="378">
        <v>1.0483806952834129E-2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246</v>
      </c>
      <c r="B23">
        <v>5.4999999701976776E-2</v>
      </c>
      <c r="C23">
        <v>4.3679889291524887E-2</v>
      </c>
      <c r="D23"/>
      <c r="E23"/>
      <c r="F23"/>
      <c r="G23"/>
      <c r="H23"/>
      <c r="I23" s="8">
        <v>8.9337954705115408E-6</v>
      </c>
      <c r="J23"/>
      <c r="K23" s="8">
        <v>5.1854996854672208E-5</v>
      </c>
      <c r="L23" s="8">
        <v>4.9021837185136974E-6</v>
      </c>
      <c r="M23" s="8">
        <v>2.530841447878629E-5</v>
      </c>
      <c r="N23" s="8">
        <v>2.7701398153112677E-7</v>
      </c>
      <c r="O23" s="8">
        <v>5.2319924179755617E-6</v>
      </c>
      <c r="P23" s="14">
        <v>7.3132326360791922E-4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s="8">
        <v>5.9366902860347182E-6</v>
      </c>
      <c r="AF23" s="8">
        <v>2.5365584406245034E-6</v>
      </c>
      <c r="AG23"/>
      <c r="AH23"/>
      <c r="AI23"/>
      <c r="AJ23"/>
      <c r="AK23"/>
      <c r="AL23"/>
      <c r="AM23" s="377">
        <v>1.0483806952834129E-2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247</v>
      </c>
      <c r="B24">
        <v>0.11999999731779099</v>
      </c>
      <c r="C24">
        <v>0.10698215663433075</v>
      </c>
      <c r="D24"/>
      <c r="E24"/>
      <c r="F24"/>
      <c r="G24"/>
      <c r="H24"/>
      <c r="I24" s="8">
        <v>2.725539161474444E-5</v>
      </c>
      <c r="J24"/>
      <c r="K24" s="11">
        <v>1.5820012777112424E-4</v>
      </c>
      <c r="L24" s="8">
        <v>1.4955671758798417E-5</v>
      </c>
      <c r="M24" s="8">
        <v>7.7211392635945231E-5</v>
      </c>
      <c r="N24" s="8">
        <v>8.4511890463545569E-7</v>
      </c>
      <c r="O24" s="8">
        <v>1.596185757080093E-5</v>
      </c>
      <c r="P24" s="16">
        <v>2.2311334032565355E-3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8">
        <v>5.9366893765400164E-6</v>
      </c>
      <c r="AF24" s="8">
        <v>2.536558213250828E-6</v>
      </c>
      <c r="AG24"/>
      <c r="AH24"/>
      <c r="AI24"/>
      <c r="AJ24"/>
      <c r="AK24"/>
      <c r="AL24"/>
      <c r="AM24" s="57">
        <v>1.0483806952834129E-2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248</v>
      </c>
      <c r="B25">
        <v>0.15872709453105927</v>
      </c>
      <c r="C25">
        <v>0.14631009101867676</v>
      </c>
      <c r="D25"/>
      <c r="E25"/>
      <c r="F25"/>
      <c r="G25"/>
      <c r="H25"/>
      <c r="I25" s="8">
        <v>2.0771214622072875E-5</v>
      </c>
      <c r="J25"/>
      <c r="K25" s="8">
        <v>1.2056363630108535E-4</v>
      </c>
      <c r="L25" s="8">
        <v>1.1397653906897176E-5</v>
      </c>
      <c r="M25" s="8">
        <v>5.8842448197538033E-5</v>
      </c>
      <c r="N25" s="8">
        <v>6.4406168576169875E-7</v>
      </c>
      <c r="O25" s="8">
        <v>1.2164461622887757E-5</v>
      </c>
      <c r="P25" s="12">
        <v>1.7003372777253389E-3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8">
        <v>5.9366884670453146E-6</v>
      </c>
      <c r="AF25" s="8">
        <v>2.5365593501192052E-6</v>
      </c>
      <c r="AG25"/>
      <c r="AH25"/>
      <c r="AI25"/>
      <c r="AJ25"/>
      <c r="AK25"/>
      <c r="AL25"/>
      <c r="AM25" s="374">
        <v>1.0483806021511555E-2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249</v>
      </c>
      <c r="B26">
        <v>0.16578219830989838</v>
      </c>
      <c r="C26">
        <v>0.15332940220832825</v>
      </c>
      <c r="D26"/>
      <c r="E26"/>
      <c r="F26"/>
      <c r="G26"/>
      <c r="H26"/>
      <c r="I26" s="8">
        <v>2.1157451556064188E-5</v>
      </c>
      <c r="J26"/>
      <c r="K26" s="8">
        <v>1.2280548980925232E-4</v>
      </c>
      <c r="L26" s="8">
        <v>1.1609586181293707E-5</v>
      </c>
      <c r="M26" s="8">
        <v>5.993660306558013E-5</v>
      </c>
      <c r="N26" s="8">
        <v>6.5603774146438809E-7</v>
      </c>
      <c r="O26" s="8">
        <v>1.2390654774208087E-5</v>
      </c>
      <c r="P26" s="12">
        <v>1.7319542821496725E-3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 s="8">
        <v>5.9366898312873673E-6</v>
      </c>
      <c r="AF26" s="8">
        <v>2.5365593501192052E-6</v>
      </c>
      <c r="AG26"/>
      <c r="AH26"/>
      <c r="AI26"/>
      <c r="AJ26"/>
      <c r="AK26"/>
      <c r="AL26"/>
      <c r="AM26" s="351">
        <v>1.0483808815479279E-2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250</v>
      </c>
      <c r="B27">
        <v>6.7566342651844025E-2</v>
      </c>
      <c r="C27">
        <v>5.4548501968383789E-2</v>
      </c>
      <c r="D27"/>
      <c r="E27"/>
      <c r="F27"/>
      <c r="G27"/>
      <c r="H27"/>
      <c r="I27" s="8">
        <v>2.725539161474444E-5</v>
      </c>
      <c r="J27"/>
      <c r="K27" s="11">
        <v>1.5820012777112424E-4</v>
      </c>
      <c r="L27" s="8">
        <v>1.4955671758798417E-5</v>
      </c>
      <c r="M27" s="11">
        <v>7.7211392635945231E-5</v>
      </c>
      <c r="N27" s="8">
        <v>8.4511890463545569E-7</v>
      </c>
      <c r="O27" s="8">
        <v>1.596185757080093E-5</v>
      </c>
      <c r="P27" s="70">
        <v>2.2311334032565355E-3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 s="8">
        <v>5.9366893765400164E-6</v>
      </c>
      <c r="AF27" s="8">
        <v>2.536558213250828E-6</v>
      </c>
      <c r="AG27"/>
      <c r="AH27"/>
      <c r="AI27"/>
      <c r="AJ27"/>
      <c r="AK27"/>
      <c r="AL27"/>
      <c r="AM27" s="373">
        <v>1.0483806952834129E-2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251</v>
      </c>
      <c r="B28">
        <v>0.10000000149011612</v>
      </c>
      <c r="C28">
        <v>8.0309687182307243E-3</v>
      </c>
      <c r="D28" s="338">
        <v>5.5093761533498764E-2</v>
      </c>
      <c r="E28"/>
      <c r="F28"/>
      <c r="G28"/>
      <c r="H28"/>
      <c r="I28" s="19">
        <v>8.0214458284899592E-4</v>
      </c>
      <c r="J28"/>
      <c r="K28" s="20">
        <v>6.3324917573481798E-4</v>
      </c>
      <c r="L28"/>
      <c r="M28" s="12">
        <v>9.585997904650867E-4</v>
      </c>
      <c r="N28" s="361">
        <v>2.3094931617379189E-2</v>
      </c>
      <c r="O28"/>
      <c r="P28" s="197">
        <v>6.0878791846334934E-3</v>
      </c>
      <c r="Q28"/>
      <c r="R28"/>
      <c r="S28" s="66">
        <v>5.2984636276960373E-3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252</v>
      </c>
      <c r="B29">
        <v>0.10000000149011612</v>
      </c>
      <c r="C29">
        <v>8.6794920265674591E-2</v>
      </c>
      <c r="D29" s="17">
        <v>4.2942794971168041E-3</v>
      </c>
      <c r="E29"/>
      <c r="F29"/>
      <c r="G29"/>
      <c r="H29" s="8">
        <v>2.3601576231158106E-6</v>
      </c>
      <c r="I29" s="11">
        <v>1.4045638090465218E-4</v>
      </c>
      <c r="J29"/>
      <c r="K29"/>
      <c r="L29"/>
      <c r="M29"/>
      <c r="N29" s="74">
        <v>8.1649133935570717E-3</v>
      </c>
      <c r="O29"/>
      <c r="P29" s="20">
        <v>6.0307403327897191E-4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253</v>
      </c>
      <c r="B30">
        <v>0.10000000149011612</v>
      </c>
      <c r="C30">
        <v>1.0620469227433205E-2</v>
      </c>
      <c r="D30" s="339">
        <v>3.6223739385604858E-2</v>
      </c>
      <c r="E30"/>
      <c r="F30"/>
      <c r="G30"/>
      <c r="H30" s="8">
        <v>1.0959710152746993E-6</v>
      </c>
      <c r="I30" s="10">
        <v>3.716643899679184E-3</v>
      </c>
      <c r="J30" s="8">
        <v>3.0238555837058811E-7</v>
      </c>
      <c r="K30" s="13">
        <v>1.6261088894680142E-3</v>
      </c>
      <c r="L30"/>
      <c r="M30" s="19">
        <v>8.8040332775563002E-4</v>
      </c>
      <c r="N30" s="17">
        <v>4.2286179959774017E-3</v>
      </c>
      <c r="O30" s="8">
        <v>4.1522467654431239E-5</v>
      </c>
      <c r="P30" s="16">
        <v>1.6709892079234123E-3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 s="385">
        <v>2.3035349324345589E-2</v>
      </c>
      <c r="AT30" s="383">
        <v>1.7954763025045395E-2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254</v>
      </c>
      <c r="B31">
        <v>2.0999999046325684</v>
      </c>
      <c r="C31">
        <v>0.15738993883132935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8">
        <v>3.9132521487772465E-4</v>
      </c>
      <c r="U31"/>
      <c r="V31"/>
      <c r="W31" s="13">
        <v>3.1122216954827309E-2</v>
      </c>
      <c r="X31" s="15">
        <v>2.6542402803897858E-2</v>
      </c>
      <c r="Y31" s="8">
        <v>4.4911933946423233E-4</v>
      </c>
      <c r="Z31"/>
      <c r="AA31" s="8">
        <v>6.8939267657697201E-4</v>
      </c>
      <c r="AB31" s="8">
        <v>2.0440954249352217E-3</v>
      </c>
      <c r="AC31" s="8">
        <v>2.801427326630801E-4</v>
      </c>
      <c r="AD31"/>
      <c r="AE31" s="8">
        <v>4.3615428148768842E-4</v>
      </c>
      <c r="AF31"/>
      <c r="AG31" s="11">
        <v>2.9452170711010695E-3</v>
      </c>
      <c r="AH31"/>
      <c r="AI31" s="59">
        <v>0.13502946496009827</v>
      </c>
      <c r="AJ31" s="12">
        <v>1.8930455669760704E-2</v>
      </c>
      <c r="AK31" s="8">
        <v>1.7843860405264422E-5</v>
      </c>
      <c r="AL31" s="15">
        <v>2.6705807074904442E-2</v>
      </c>
      <c r="AM31" s="15">
        <v>2.5810057297348976E-2</v>
      </c>
      <c r="AN31" s="8">
        <v>2.6120856637135148E-4</v>
      </c>
      <c r="AO31" s="8">
        <v>9.7594784165266901E-6</v>
      </c>
      <c r="AP31" s="8">
        <v>4.9474539991933852E-5</v>
      </c>
      <c r="AQ31" s="8">
        <v>3.264429687988013E-4</v>
      </c>
      <c r="AR31"/>
      <c r="AS31"/>
      <c r="AT31" s="11">
        <v>3.7682557012885809E-3</v>
      </c>
      <c r="AU31" s="376">
        <v>0.28911018371582031</v>
      </c>
      <c r="AV31" s="80">
        <v>0.23319479823112488</v>
      </c>
      <c r="AW31"/>
      <c r="AX31" s="18">
        <v>4.0307994931936264E-2</v>
      </c>
      <c r="AY31"/>
      <c r="AZ31"/>
      <c r="BA31" s="8">
        <v>1.0559555375948548E-3</v>
      </c>
      <c r="BB31" s="431">
        <v>1.0132708549499512</v>
      </c>
      <c r="BC31"/>
      <c r="BD31" s="11">
        <v>3.5944320261478424E-3</v>
      </c>
      <c r="BE31"/>
      <c r="BF31"/>
      <c r="BG31" s="9">
        <v>7.1778949350118637E-3</v>
      </c>
      <c r="BH31"/>
      <c r="BI31" s="9">
        <v>6.9743706844747066E-3</v>
      </c>
      <c r="BJ31"/>
      <c r="BK31"/>
      <c r="BL31"/>
      <c r="BM31"/>
      <c r="BN31" s="8">
        <v>5.7120389101328328E-5</v>
      </c>
      <c r="BO31" s="11">
        <v>2.1702053491026163E-3</v>
      </c>
      <c r="BP31" s="8">
        <v>8.5267028771340847E-4</v>
      </c>
      <c r="BQ31" s="8">
        <v>1.4491041656583548E-3</v>
      </c>
      <c r="BR31" s="15">
        <v>2.444121241569519E-2</v>
      </c>
      <c r="BS31" s="8">
        <v>3.6041095881955698E-5</v>
      </c>
      <c r="BT31"/>
      <c r="BU31"/>
      <c r="BV31"/>
      <c r="BW31"/>
      <c r="BX31"/>
      <c r="BY31"/>
      <c r="BZ31"/>
      <c r="CA31"/>
      <c r="CB31"/>
      <c r="CC31"/>
      <c r="CD31" s="8">
        <v>3.3467176763224415E-6</v>
      </c>
      <c r="CE31" s="14">
        <v>3.0004885047674179E-2</v>
      </c>
      <c r="CF31"/>
      <c r="CG31"/>
      <c r="CH31" s="8">
        <v>9.0799923054873943E-4</v>
      </c>
      <c r="CI31" s="20">
        <v>1.1884057894349098E-2</v>
      </c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 s="8">
        <v>3.0788895674049854E-4</v>
      </c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177</v>
      </c>
      <c r="B32">
        <v>0.42500001192092896</v>
      </c>
      <c r="C32">
        <v>2.1363036707043648E-2</v>
      </c>
      <c r="D32"/>
      <c r="E32"/>
      <c r="F32"/>
      <c r="G32"/>
      <c r="H32" s="8">
        <v>1.0635916680712398E-7</v>
      </c>
      <c r="I32" s="11">
        <v>1.1412204476073384E-3</v>
      </c>
      <c r="J32" s="8">
        <v>5.0394399295328185E-5</v>
      </c>
      <c r="K32" s="8">
        <v>2.129541098838672E-5</v>
      </c>
      <c r="L32" s="8">
        <v>5.3300259423849639E-6</v>
      </c>
      <c r="M32" s="11">
        <v>1.0550672886893153E-3</v>
      </c>
      <c r="N32" s="353">
        <v>5.3313247859477997E-2</v>
      </c>
      <c r="O32" s="8">
        <v>1.5201997302938253E-4</v>
      </c>
      <c r="P32" s="8">
        <v>3.8966559259279165E-6</v>
      </c>
      <c r="Q32"/>
      <c r="R32"/>
      <c r="S32"/>
      <c r="T32" s="8">
        <v>3.9132536039687693E-4</v>
      </c>
      <c r="U32"/>
      <c r="V32"/>
      <c r="W32"/>
      <c r="X32"/>
      <c r="Y32"/>
      <c r="Z32"/>
      <c r="AA32"/>
      <c r="AB32" s="9">
        <v>2.0440963562577963E-3</v>
      </c>
      <c r="AC32" s="8">
        <v>2.8014276176691055E-4</v>
      </c>
      <c r="AD32" s="12">
        <v>4.5570004731416702E-3</v>
      </c>
      <c r="AE32" s="11">
        <v>4.3615448521450162E-4</v>
      </c>
      <c r="AF32" s="22">
        <v>1.337377168238163E-2</v>
      </c>
      <c r="AG32" s="19">
        <v>2.9452180024236441E-3</v>
      </c>
      <c r="AH32"/>
      <c r="AI32"/>
      <c r="AJ32"/>
      <c r="AK32"/>
      <c r="AL32"/>
      <c r="AM32"/>
      <c r="AN32"/>
      <c r="AO32"/>
      <c r="AP32"/>
      <c r="AQ32"/>
      <c r="AR32" s="8">
        <v>3.7020529271103442E-4</v>
      </c>
      <c r="AS32"/>
      <c r="AT32" s="12">
        <v>3.7682577967643738E-3</v>
      </c>
      <c r="AU32"/>
      <c r="AV32" s="67">
        <v>3.8282401859760284E-2</v>
      </c>
      <c r="AW32"/>
      <c r="AX32" s="353">
        <v>5.363178625702858E-2</v>
      </c>
      <c r="AY32"/>
      <c r="AZ32"/>
      <c r="BA32"/>
      <c r="BB32" s="198">
        <v>9.8907619714736938E-2</v>
      </c>
      <c r="BC32"/>
      <c r="BD32" s="77">
        <v>9.069833904504776E-2</v>
      </c>
      <c r="BE32"/>
      <c r="BF32"/>
      <c r="BG32"/>
      <c r="BH32"/>
      <c r="BI32"/>
      <c r="BJ32"/>
      <c r="BK32"/>
      <c r="BL32"/>
      <c r="BM32"/>
      <c r="BN32" s="8">
        <v>6.3724110077600926E-5</v>
      </c>
      <c r="BO32" s="20">
        <v>2.1702069789171219E-3</v>
      </c>
      <c r="BP32" s="11">
        <v>8.5267063695937395E-4</v>
      </c>
      <c r="BQ32"/>
      <c r="BR32" s="58">
        <v>3.3027108758687973E-2</v>
      </c>
      <c r="BS32" s="9">
        <v>1.4772566501051188E-3</v>
      </c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 s="11">
        <v>6.1707146232947707E-4</v>
      </c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255</v>
      </c>
      <c r="B33">
        <v>2.0262880325317383</v>
      </c>
      <c r="C33">
        <v>0.14357207715511322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8">
        <v>3.913252439815551E-4</v>
      </c>
      <c r="U33"/>
      <c r="V33"/>
      <c r="W33"/>
      <c r="X33"/>
      <c r="Y33"/>
      <c r="Z33"/>
      <c r="AA33"/>
      <c r="AB33" s="11">
        <v>2.0440965890884399E-3</v>
      </c>
      <c r="AC33" s="8">
        <v>7.1934191510081291E-5</v>
      </c>
      <c r="AD33"/>
      <c r="AE33" s="8">
        <v>1.057964691426605E-4</v>
      </c>
      <c r="AF33"/>
      <c r="AG33" s="8">
        <v>5.5107503430917859E-4</v>
      </c>
      <c r="AH33"/>
      <c r="AI33" s="410">
        <v>0.61953407526016235</v>
      </c>
      <c r="AJ33" s="12">
        <v>1.8930450081825256E-2</v>
      </c>
      <c r="AK33" s="8">
        <v>1.7843858586275019E-5</v>
      </c>
      <c r="AL33" s="14">
        <v>2.6705820113420486E-2</v>
      </c>
      <c r="AM33" s="15">
        <v>2.5810057297348976E-2</v>
      </c>
      <c r="AN33" s="8">
        <v>2.6120847905986011E-4</v>
      </c>
      <c r="AO33" s="8">
        <v>9.7594802355160937E-6</v>
      </c>
      <c r="AP33" s="8">
        <v>4.9474547267891467E-5</v>
      </c>
      <c r="AQ33" s="8">
        <v>3.2644305611029267E-4</v>
      </c>
      <c r="AR33"/>
      <c r="AS33"/>
      <c r="AT33" s="11">
        <v>3.7682563997805119E-3</v>
      </c>
      <c r="AU33"/>
      <c r="AV33"/>
      <c r="AW33"/>
      <c r="AX33"/>
      <c r="AY33"/>
      <c r="AZ33"/>
      <c r="BA33"/>
      <c r="BB33" s="408">
        <v>0.51857447624206543</v>
      </c>
      <c r="BC33"/>
      <c r="BD33"/>
      <c r="BE33"/>
      <c r="BF33"/>
      <c r="BG33"/>
      <c r="BH33"/>
      <c r="BI33"/>
      <c r="BJ33"/>
      <c r="BK33"/>
      <c r="BL33"/>
      <c r="BM33"/>
      <c r="BN33" s="8">
        <v>4.3661824747687206E-5</v>
      </c>
      <c r="BO33" s="11">
        <v>2.1702060475945473E-3</v>
      </c>
      <c r="BP33" s="8">
        <v>8.5267052054405212E-4</v>
      </c>
      <c r="BQ33"/>
      <c r="BR33" s="356">
        <v>4.1833054274320602E-2</v>
      </c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 s="8">
        <v>3.8475445762742311E-6</v>
      </c>
      <c r="CJ33" s="410">
        <v>0.62066042423248291</v>
      </c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256</v>
      </c>
      <c r="B34">
        <v>0.41999998688697815</v>
      </c>
      <c r="C34">
        <v>0.22123932838439941</v>
      </c>
      <c r="D34" s="14">
        <v>5.6071286089718342E-3</v>
      </c>
      <c r="E34"/>
      <c r="F34"/>
      <c r="G34"/>
      <c r="H34" s="8">
        <v>8.2715465396177024E-5</v>
      </c>
      <c r="I34" s="23">
        <v>1.0526277124881744E-2</v>
      </c>
      <c r="J34" s="11">
        <v>4.6346840099431574E-4</v>
      </c>
      <c r="K34" s="65">
        <v>1.9292604178190231E-2</v>
      </c>
      <c r="L34" s="74">
        <v>3.4201968461275101E-2</v>
      </c>
      <c r="M34" s="360">
        <v>7.6536752283573151E-2</v>
      </c>
      <c r="N34" s="13">
        <v>6.314367987215519E-3</v>
      </c>
      <c r="O34" s="11">
        <v>1.0344694601371884E-3</v>
      </c>
      <c r="P34" s="9">
        <v>1.2413731310516596E-3</v>
      </c>
      <c r="Q34"/>
      <c r="R34"/>
      <c r="S34" s="15">
        <v>5.2984626963734627E-3</v>
      </c>
      <c r="T34" s="8">
        <v>3.9132536039687693E-4</v>
      </c>
      <c r="U34"/>
      <c r="V34"/>
      <c r="W34"/>
      <c r="X34"/>
      <c r="Y34"/>
      <c r="Z34"/>
      <c r="AA34"/>
      <c r="AB34"/>
      <c r="AC34" s="8">
        <v>7.1934235165826976E-5</v>
      </c>
      <c r="AD34" s="11">
        <v>1.0406826622784138E-3</v>
      </c>
      <c r="AE34" s="8">
        <v>1.0579649824649096E-4</v>
      </c>
      <c r="AF34" s="19">
        <v>3.0924296006560326E-3</v>
      </c>
      <c r="AG34" s="11">
        <v>5.5107526713982224E-4</v>
      </c>
      <c r="AH34"/>
      <c r="AI34"/>
      <c r="AJ34"/>
      <c r="AK34"/>
      <c r="AL34"/>
      <c r="AM34"/>
      <c r="AN34"/>
      <c r="AO34"/>
      <c r="AP34"/>
      <c r="AQ34"/>
      <c r="AR34"/>
      <c r="AS34"/>
      <c r="AT34" s="12">
        <v>3.7682582624256611E-3</v>
      </c>
      <c r="AU34"/>
      <c r="AV34" s="8">
        <v>3.1315974774770439E-4</v>
      </c>
      <c r="AW34"/>
      <c r="AX34"/>
      <c r="AY34"/>
      <c r="AZ34"/>
      <c r="BA34"/>
      <c r="BB34" s="11">
        <v>1.0930515127256513E-3</v>
      </c>
      <c r="BC34"/>
      <c r="BD34" s="389">
        <v>2.4589372798800468E-2</v>
      </c>
      <c r="BE34"/>
      <c r="BF34"/>
      <c r="BG34"/>
      <c r="BH34"/>
      <c r="BI34"/>
      <c r="BJ34"/>
      <c r="BK34"/>
      <c r="BL34"/>
      <c r="BM34"/>
      <c r="BN34" s="8">
        <v>4.366183202364482E-5</v>
      </c>
      <c r="BO34" s="20">
        <v>2.1702067460864782E-3</v>
      </c>
      <c r="BP34" s="11">
        <v>8.5267063695937395E-4</v>
      </c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 s="8">
        <v>7.7432050602510571E-5</v>
      </c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257</v>
      </c>
      <c r="B35">
        <v>1.5</v>
      </c>
      <c r="C35">
        <v>0.25541424751281738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8">
        <v>3.9132541860453784E-4</v>
      </c>
      <c r="U35"/>
      <c r="V35"/>
      <c r="W35" s="356">
        <v>3.1122243031859398E-2</v>
      </c>
      <c r="X35" s="16">
        <v>2.6542408391833305E-2</v>
      </c>
      <c r="Y35" s="8">
        <v>4.4911954319104552E-4</v>
      </c>
      <c r="Z35"/>
      <c r="AA35" s="8">
        <v>6.8939302582293749E-4</v>
      </c>
      <c r="AB35" s="11">
        <v>2.0440965890884399E-3</v>
      </c>
      <c r="AC35" s="8">
        <v>5.6024588411673903E-4</v>
      </c>
      <c r="AD35"/>
      <c r="AE35" s="8">
        <v>1.4775076124351472E-4</v>
      </c>
      <c r="AF35"/>
      <c r="AG35" s="19">
        <v>1.0879352688789368E-2</v>
      </c>
      <c r="AH35"/>
      <c r="AI35" s="8">
        <v>9.7500154515728354E-4</v>
      </c>
      <c r="AJ35" s="20">
        <v>1.0001212358474731E-2</v>
      </c>
      <c r="AK35"/>
      <c r="AL35"/>
      <c r="AM35"/>
      <c r="AN35"/>
      <c r="AO35" s="9">
        <v>4.9373735673725605E-3</v>
      </c>
      <c r="AP35"/>
      <c r="AQ35" s="8">
        <v>3.2644302700646222E-4</v>
      </c>
      <c r="AR35"/>
      <c r="AS35"/>
      <c r="AT35"/>
      <c r="AU35"/>
      <c r="AV35"/>
      <c r="AW35"/>
      <c r="AX35" s="8">
        <v>3.9969969657249749E-4</v>
      </c>
      <c r="AY35"/>
      <c r="AZ35"/>
      <c r="BA35"/>
      <c r="BB35" s="428">
        <v>1.068895697593689</v>
      </c>
      <c r="BC35"/>
      <c r="BD35"/>
      <c r="BE35"/>
      <c r="BF35"/>
      <c r="BG35"/>
      <c r="BH35"/>
      <c r="BI35"/>
      <c r="BJ35"/>
      <c r="BK35"/>
      <c r="BL35"/>
      <c r="BM35"/>
      <c r="BN35" s="8">
        <v>4.366183202364482E-5</v>
      </c>
      <c r="BO35" s="11">
        <v>2.1702060475945473E-3</v>
      </c>
      <c r="BP35" s="8">
        <v>8.5267057875171304E-4</v>
      </c>
      <c r="BQ35"/>
      <c r="BR35" s="403">
        <v>8.1484474241733551E-2</v>
      </c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 s="8">
        <v>1.096361200325191E-3</v>
      </c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 s="8">
        <v>5.7696591829881072E-4</v>
      </c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178</v>
      </c>
      <c r="B36">
        <v>0.31999999284744263</v>
      </c>
      <c r="C36">
        <v>0.15764518082141876</v>
      </c>
      <c r="D36"/>
      <c r="E36"/>
      <c r="F36" s="343">
        <v>4.6666812151670456E-2</v>
      </c>
      <c r="G36"/>
      <c r="H36" s="8">
        <v>5.807017078041099E-5</v>
      </c>
      <c r="I36" s="8">
        <v>3.3682124467304675E-7</v>
      </c>
      <c r="J36"/>
      <c r="K36"/>
      <c r="L36" s="8">
        <v>2.6968200117494234E-8</v>
      </c>
      <c r="M36" s="8">
        <v>1.0651612569745339E-7</v>
      </c>
      <c r="N36" s="8">
        <v>2.511404272809159E-5</v>
      </c>
      <c r="O36" s="8">
        <v>3.3175845715049945E-7</v>
      </c>
      <c r="P36"/>
      <c r="Q36"/>
      <c r="R36"/>
      <c r="S36"/>
      <c r="T36" s="11">
        <v>3.9132553501985967E-4</v>
      </c>
      <c r="U36"/>
      <c r="V36"/>
      <c r="W36"/>
      <c r="X36"/>
      <c r="Y36"/>
      <c r="Z36"/>
      <c r="AA36"/>
      <c r="AB36" s="20">
        <v>2.0440965890884399E-3</v>
      </c>
      <c r="AC36" s="11">
        <v>5.6024605873972178E-4</v>
      </c>
      <c r="AD36" s="10">
        <v>1.1807406321167946E-2</v>
      </c>
      <c r="AE36" s="8">
        <v>1.4775074669159949E-4</v>
      </c>
      <c r="AF36" s="16">
        <v>5.8106621727347374E-3</v>
      </c>
      <c r="AG36" s="70">
        <v>1.0879354551434517E-2</v>
      </c>
      <c r="AH36"/>
      <c r="AI36"/>
      <c r="AJ36"/>
      <c r="AK36"/>
      <c r="AL36"/>
      <c r="AM36"/>
      <c r="AN36"/>
      <c r="AO36"/>
      <c r="AP36"/>
      <c r="AQ36"/>
      <c r="AR36"/>
      <c r="AS36" s="11">
        <v>6.9974985672160983E-4</v>
      </c>
      <c r="AT36" s="400">
        <v>3.2852958887815475E-2</v>
      </c>
      <c r="AU36"/>
      <c r="AV36" s="23">
        <v>8.1235254183411598E-3</v>
      </c>
      <c r="AW36"/>
      <c r="AX36"/>
      <c r="AY36"/>
      <c r="AZ36"/>
      <c r="BA36"/>
      <c r="BB36" s="76">
        <v>3.6885160952806473E-2</v>
      </c>
      <c r="BC36"/>
      <c r="BD36" s="11">
        <v>3.3890691702254117E-4</v>
      </c>
      <c r="BE36"/>
      <c r="BF36"/>
      <c r="BG36"/>
      <c r="BH36"/>
      <c r="BI36"/>
      <c r="BJ36"/>
      <c r="BK36"/>
      <c r="BL36"/>
      <c r="BM36"/>
      <c r="BN36" s="8">
        <v>4.3661861127475277E-5</v>
      </c>
      <c r="BO36" s="20">
        <v>2.1702074445784092E-3</v>
      </c>
      <c r="BP36" s="11">
        <v>8.5267081158235669E-4</v>
      </c>
      <c r="BQ36"/>
      <c r="BR36" s="8">
        <v>2.068303911073599E-5</v>
      </c>
      <c r="BS36" s="20">
        <v>1.7488752491772175E-3</v>
      </c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 s="8">
        <v>2.2675649961456656E-4</v>
      </c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258</v>
      </c>
      <c r="B37">
        <v>1.5</v>
      </c>
      <c r="C37">
        <v>0.42998975515365601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8">
        <v>3.9132533129304647E-4</v>
      </c>
      <c r="U37"/>
      <c r="V37"/>
      <c r="W37"/>
      <c r="X37"/>
      <c r="Y37"/>
      <c r="Z37"/>
      <c r="AA37"/>
      <c r="AB37"/>
      <c r="AC37" s="8">
        <v>7.1934213337954134E-5</v>
      </c>
      <c r="AD37"/>
      <c r="AE37" s="8">
        <v>1.9787799101322889E-4</v>
      </c>
      <c r="AF37"/>
      <c r="AG37" s="8">
        <v>5.833387331222184E-5</v>
      </c>
      <c r="AH37"/>
      <c r="AI37"/>
      <c r="AJ37"/>
      <c r="AK37"/>
      <c r="AL37"/>
      <c r="AM37"/>
      <c r="AN37"/>
      <c r="AO37"/>
      <c r="AP37"/>
      <c r="AQ37"/>
      <c r="AR37" s="8">
        <v>1.6430298273917288E-4</v>
      </c>
      <c r="AS37"/>
      <c r="AT37" s="11">
        <v>2.4901519063860178E-3</v>
      </c>
      <c r="AU37" s="370">
        <v>0.33070698380470276</v>
      </c>
      <c r="AV37" s="80">
        <v>0.16792953014373779</v>
      </c>
      <c r="AW37"/>
      <c r="AX37" s="9">
        <v>7.1902167983353138E-3</v>
      </c>
      <c r="AY37"/>
      <c r="AZ37"/>
      <c r="BA37"/>
      <c r="BB37" s="401">
        <v>0.46098315715789795</v>
      </c>
      <c r="BC37"/>
      <c r="BD37" s="8">
        <v>1.9418250303715467E-4</v>
      </c>
      <c r="BE37"/>
      <c r="BF37"/>
      <c r="BG37"/>
      <c r="BH37"/>
      <c r="BI37"/>
      <c r="BJ37"/>
      <c r="BK37"/>
      <c r="BL37"/>
      <c r="BM37"/>
      <c r="BN37" s="8">
        <v>4.3661835661623627E-5</v>
      </c>
      <c r="BO37" s="11">
        <v>2.8667463921010494E-3</v>
      </c>
      <c r="BP37" s="11">
        <v>2.7606827206909657E-3</v>
      </c>
      <c r="BQ37"/>
      <c r="BR37"/>
      <c r="BS37"/>
      <c r="BT37"/>
      <c r="BU37"/>
      <c r="BV37"/>
      <c r="BW37" s="66">
        <v>7.8832566738128662E-2</v>
      </c>
      <c r="BX37"/>
      <c r="BY37" s="12">
        <v>1.5128480270504951E-2</v>
      </c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179</v>
      </c>
      <c r="B38">
        <v>0.25999999046325684</v>
      </c>
      <c r="C38">
        <v>0.20041491091251373</v>
      </c>
      <c r="D38" s="11">
        <v>2.8575878241099417E-4</v>
      </c>
      <c r="E38"/>
      <c r="F38"/>
      <c r="G38"/>
      <c r="H38" s="8">
        <v>3.8036795046991756E-8</v>
      </c>
      <c r="I38" s="22">
        <v>8.1729376688599586E-3</v>
      </c>
      <c r="J38" s="11">
        <v>3.0398130184039474E-4</v>
      </c>
      <c r="K38" s="8">
        <v>1.078381683328189E-4</v>
      </c>
      <c r="L38" s="8">
        <v>1.3173047364034574E-6</v>
      </c>
      <c r="M38" s="9">
        <v>1.1237581493332982E-3</v>
      </c>
      <c r="N38" s="11">
        <v>7.0400710683315992E-4</v>
      </c>
      <c r="O38" s="9">
        <v>1.2505605118349195E-3</v>
      </c>
      <c r="P38" s="11">
        <v>5.1619840087369084E-4</v>
      </c>
      <c r="Q38"/>
      <c r="R38"/>
      <c r="S38"/>
      <c r="T38" s="11">
        <v>3.9132536039687693E-4</v>
      </c>
      <c r="U38"/>
      <c r="V38"/>
      <c r="W38"/>
      <c r="X38"/>
      <c r="Y38"/>
      <c r="Z38"/>
      <c r="AA38"/>
      <c r="AB38"/>
      <c r="AC38" s="8">
        <v>7.1934249717742205E-5</v>
      </c>
      <c r="AD38" s="9">
        <v>1.0406820802018046E-3</v>
      </c>
      <c r="AE38" s="8">
        <v>1.9787802011705935E-4</v>
      </c>
      <c r="AF38" s="356">
        <v>5.3983000107109547E-3</v>
      </c>
      <c r="AG38" s="8">
        <v>5.8333876950200647E-5</v>
      </c>
      <c r="AH38"/>
      <c r="AI38"/>
      <c r="AJ38"/>
      <c r="AK38"/>
      <c r="AL38"/>
      <c r="AM38"/>
      <c r="AN38"/>
      <c r="AO38"/>
      <c r="AP38"/>
      <c r="AQ38"/>
      <c r="AR38" s="16">
        <v>4.6093985438346863E-3</v>
      </c>
      <c r="AS38"/>
      <c r="AT38" s="12">
        <v>2.4901521392166615E-3</v>
      </c>
      <c r="AU38"/>
      <c r="AV38" s="11">
        <v>4.7748748329468071E-4</v>
      </c>
      <c r="AW38"/>
      <c r="AX38" s="22">
        <v>8.0874199047684669E-3</v>
      </c>
      <c r="AY38"/>
      <c r="AZ38"/>
      <c r="BA38"/>
      <c r="BB38" s="23">
        <v>6.6275410354137421E-3</v>
      </c>
      <c r="BC38"/>
      <c r="BD38" s="26">
        <v>1.1990942060947418E-2</v>
      </c>
      <c r="BE38"/>
      <c r="BF38"/>
      <c r="BG38"/>
      <c r="BH38"/>
      <c r="BI38"/>
      <c r="BJ38"/>
      <c r="BK38"/>
      <c r="BL38"/>
      <c r="BM38"/>
      <c r="BN38" s="8">
        <v>4.3661828385666013E-5</v>
      </c>
      <c r="BO38" s="15">
        <v>2.8667463921010494E-3</v>
      </c>
      <c r="BP38" s="12">
        <v>2.7606820221990347E-3</v>
      </c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 s="8">
        <v>6.2008371060073841E-6</v>
      </c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259</v>
      </c>
      <c r="B39">
        <v>0.69999998807907104</v>
      </c>
      <c r="C39">
        <v>0.25483924150466919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 s="8">
        <v>3.913254477083683E-4</v>
      </c>
      <c r="U39"/>
      <c r="V39"/>
      <c r="W39"/>
      <c r="X39"/>
      <c r="Y39"/>
      <c r="Z39"/>
      <c r="AA39"/>
      <c r="AB39" s="11">
        <v>2.0440963562577963E-3</v>
      </c>
      <c r="AC39" s="8">
        <v>7.1934213337954134E-5</v>
      </c>
      <c r="AD39"/>
      <c r="AE39" s="8">
        <v>3.097853550571017E-5</v>
      </c>
      <c r="AF39"/>
      <c r="AG39" s="8">
        <v>5.833387331222184E-5</v>
      </c>
      <c r="AH39"/>
      <c r="AI39"/>
      <c r="AJ39"/>
      <c r="AK39"/>
      <c r="AL39"/>
      <c r="AM39"/>
      <c r="AN39"/>
      <c r="AO39"/>
      <c r="AP39"/>
      <c r="AQ39"/>
      <c r="AR39" s="8">
        <v>1.643029972910881E-4</v>
      </c>
      <c r="AS39" s="384">
        <v>0.40186169743537903</v>
      </c>
      <c r="AT39" s="9">
        <v>2.4901516735553741E-3</v>
      </c>
      <c r="AU39"/>
      <c r="AV39"/>
      <c r="AW39"/>
      <c r="AX39"/>
      <c r="AY39"/>
      <c r="AZ39"/>
      <c r="BA39"/>
      <c r="BB39" s="22">
        <v>2.1316535770893097E-2</v>
      </c>
      <c r="BC39"/>
      <c r="BD39" s="14">
        <v>9.6394065767526627E-3</v>
      </c>
      <c r="BE39"/>
      <c r="BF39"/>
      <c r="BG39"/>
      <c r="BH39"/>
      <c r="BI39"/>
      <c r="BJ39" s="8">
        <v>3.1323509756475687E-4</v>
      </c>
      <c r="BK39"/>
      <c r="BL39"/>
      <c r="BM39"/>
      <c r="BN39" s="8">
        <v>4.3661850213538855E-5</v>
      </c>
      <c r="BO39" s="9">
        <v>2.8667447622865438E-3</v>
      </c>
      <c r="BP39" s="9">
        <v>2.7606829535216093E-3</v>
      </c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 s="11">
        <v>1.0640689870342612E-3</v>
      </c>
      <c r="CH39"/>
      <c r="CI39" s="8">
        <v>4.3600110075203702E-5</v>
      </c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260</v>
      </c>
      <c r="B40">
        <v>0.18999999761581421</v>
      </c>
      <c r="C40">
        <v>0.10362964868545532</v>
      </c>
      <c r="D40" s="340">
        <v>4.2555108666419983E-2</v>
      </c>
      <c r="E40"/>
      <c r="F40"/>
      <c r="G40"/>
      <c r="H40" s="9">
        <v>8.2644360372796655E-4</v>
      </c>
      <c r="I40" s="10">
        <v>7.192359771579504E-3</v>
      </c>
      <c r="J40" s="8">
        <v>6.3269464590121061E-5</v>
      </c>
      <c r="K40" s="356">
        <v>4.2391219176352024E-3</v>
      </c>
      <c r="L40" s="11">
        <v>2.8329351334832609E-4</v>
      </c>
      <c r="M40" s="14">
        <v>2.5308474432677031E-3</v>
      </c>
      <c r="N40" s="11">
        <v>2.775373577605933E-4</v>
      </c>
      <c r="O40" s="20">
        <v>1.0166935389861465E-3</v>
      </c>
      <c r="P40" s="69">
        <v>5.496656522154808E-3</v>
      </c>
      <c r="Q40"/>
      <c r="R40"/>
      <c r="S40"/>
      <c r="T40" s="11">
        <v>3.9132541860453784E-4</v>
      </c>
      <c r="U40"/>
      <c r="V40"/>
      <c r="W40"/>
      <c r="X40"/>
      <c r="Y40"/>
      <c r="Z40"/>
      <c r="AA40"/>
      <c r="AB40"/>
      <c r="AC40" s="8">
        <v>7.193420606199652E-5</v>
      </c>
      <c r="AD40" s="20">
        <v>1.0406827786937356E-3</v>
      </c>
      <c r="AE40" s="8">
        <v>3.0978553695604205E-5</v>
      </c>
      <c r="AF40" s="9">
        <v>8.336176979355514E-4</v>
      </c>
      <c r="AG40" s="8">
        <v>5.8333887864137068E-5</v>
      </c>
      <c r="AH40"/>
      <c r="AI40"/>
      <c r="AJ40"/>
      <c r="AK40"/>
      <c r="AL40"/>
      <c r="AM40"/>
      <c r="AN40"/>
      <c r="AO40"/>
      <c r="AP40"/>
      <c r="AQ40"/>
      <c r="AR40" s="8">
        <v>1.6430302639491856E-4</v>
      </c>
      <c r="AS40" s="389">
        <v>1.1126638390123844E-2</v>
      </c>
      <c r="AT40" s="14">
        <v>2.4901514407247305E-3</v>
      </c>
      <c r="AU40"/>
      <c r="AV40"/>
      <c r="AW40"/>
      <c r="AX40" s="8">
        <v>9.957413567462936E-6</v>
      </c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8">
        <v>4.3661842937581241E-5</v>
      </c>
      <c r="BO40" s="13">
        <v>2.8667459264397621E-3</v>
      </c>
      <c r="BP40" s="14">
        <v>2.7606829535216093E-3</v>
      </c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261</v>
      </c>
      <c r="B41">
        <v>0.20000000298023224</v>
      </c>
      <c r="C41">
        <v>0.12591585516929626</v>
      </c>
      <c r="D41"/>
      <c r="E41"/>
      <c r="F41"/>
      <c r="G41"/>
      <c r="H41" s="8">
        <v>4.5535799131357635E-7</v>
      </c>
      <c r="I41" s="21">
        <v>5.625210702419281E-3</v>
      </c>
      <c r="J41" s="8">
        <v>8.9047804067377001E-5</v>
      </c>
      <c r="K41"/>
      <c r="L41"/>
      <c r="M41" s="9">
        <v>8.0086459638550878E-4</v>
      </c>
      <c r="N41" s="11">
        <v>2.3594844969920814E-4</v>
      </c>
      <c r="O41"/>
      <c r="P41"/>
      <c r="Q41"/>
      <c r="R41"/>
      <c r="S41"/>
      <c r="T41" s="11">
        <v>3.9132541860453784E-4</v>
      </c>
      <c r="U41"/>
      <c r="V41"/>
      <c r="W41"/>
      <c r="X41"/>
      <c r="Y41"/>
      <c r="Z41"/>
      <c r="AA41"/>
      <c r="AB41"/>
      <c r="AC41" s="8">
        <v>7.1934235165826976E-5</v>
      </c>
      <c r="AD41" s="20">
        <v>1.0406826622784138E-3</v>
      </c>
      <c r="AE41" s="8">
        <v>2.3791001240169862E-6</v>
      </c>
      <c r="AF41" s="8">
        <v>1.0165139201490092E-6</v>
      </c>
      <c r="AG41" s="8">
        <v>5.8333880588179454E-5</v>
      </c>
      <c r="AH41"/>
      <c r="AI41"/>
      <c r="AJ41"/>
      <c r="AK41"/>
      <c r="AL41"/>
      <c r="AM41"/>
      <c r="AN41"/>
      <c r="AO41"/>
      <c r="AP41"/>
      <c r="AQ41"/>
      <c r="AR41" s="8">
        <v>1.6430304094683379E-4</v>
      </c>
      <c r="AS41"/>
      <c r="AT41" s="15">
        <v>2.4901519063860178E-3</v>
      </c>
      <c r="AU41"/>
      <c r="AV41"/>
      <c r="AW41"/>
      <c r="AX41"/>
      <c r="AY41"/>
      <c r="AZ41"/>
      <c r="BA41"/>
      <c r="BB41"/>
      <c r="BC41"/>
      <c r="BD41" s="9">
        <v>8.527646423317492E-4</v>
      </c>
      <c r="BE41"/>
      <c r="BF41"/>
      <c r="BG41"/>
      <c r="BH41"/>
      <c r="BI41"/>
      <c r="BJ41"/>
      <c r="BK41"/>
      <c r="BL41"/>
      <c r="BM41"/>
      <c r="BN41" s="8">
        <v>4.3661835661623627E-5</v>
      </c>
      <c r="BO41" s="14">
        <v>2.8667459264397621E-3</v>
      </c>
      <c r="BP41" s="14">
        <v>2.7606822550296783E-3</v>
      </c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 s="388">
        <v>5.6588631123304367E-2</v>
      </c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262</v>
      </c>
      <c r="B42">
        <v>1.1000000238418579</v>
      </c>
      <c r="C42">
        <v>0.35613998770713806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 s="8">
        <v>3.9132533129304647E-4</v>
      </c>
      <c r="U42"/>
      <c r="V42"/>
      <c r="W42"/>
      <c r="X42"/>
      <c r="Y42"/>
      <c r="Z42"/>
      <c r="AA42"/>
      <c r="AB42"/>
      <c r="AC42" s="8">
        <v>7.1934213337954134E-5</v>
      </c>
      <c r="AD42"/>
      <c r="AE42" s="8">
        <v>4.2688341636676341E-5</v>
      </c>
      <c r="AF42"/>
      <c r="AG42" s="8">
        <v>5.8333851484348997E-5</v>
      </c>
      <c r="AH42"/>
      <c r="AI42"/>
      <c r="AJ42"/>
      <c r="AK42"/>
      <c r="AL42"/>
      <c r="AM42"/>
      <c r="AN42"/>
      <c r="AO42"/>
      <c r="AP42"/>
      <c r="AQ42"/>
      <c r="AR42" s="8">
        <v>1.6430301184300333E-4</v>
      </c>
      <c r="AS42"/>
      <c r="AT42" s="11">
        <v>2.4901521392166615E-3</v>
      </c>
      <c r="AU42"/>
      <c r="AV42" s="371">
        <v>4.2864207178354263E-2</v>
      </c>
      <c r="AW42"/>
      <c r="AX42" s="9">
        <v>4.4746468774974346E-3</v>
      </c>
      <c r="AY42"/>
      <c r="AZ42"/>
      <c r="BA42"/>
      <c r="BB42" s="404">
        <v>0.44827196002006531</v>
      </c>
      <c r="BC42"/>
      <c r="BD42" s="9">
        <v>3.3786308486014605E-3</v>
      </c>
      <c r="BE42"/>
      <c r="BF42"/>
      <c r="BG42"/>
      <c r="BH42"/>
      <c r="BI42"/>
      <c r="BJ42"/>
      <c r="BK42"/>
      <c r="BL42"/>
      <c r="BM42"/>
      <c r="BN42" s="8">
        <v>4.3661842937581241E-5</v>
      </c>
      <c r="BO42" s="11">
        <v>2.8667463921010494E-3</v>
      </c>
      <c r="BP42" s="11">
        <v>2.760681789368391E-3</v>
      </c>
      <c r="BQ42"/>
      <c r="BR42"/>
      <c r="BS42" s="8">
        <v>1.9512791186571121E-4</v>
      </c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 s="8">
        <v>2.2520107449963689E-4</v>
      </c>
      <c r="CJ42" s="77">
        <v>0.23556047677993774</v>
      </c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263</v>
      </c>
      <c r="B43">
        <v>0.18000000715255737</v>
      </c>
      <c r="C43">
        <v>0.10965702682733536</v>
      </c>
      <c r="D43"/>
      <c r="E43"/>
      <c r="F43"/>
      <c r="G43"/>
      <c r="H43"/>
      <c r="I43" s="71">
        <v>8.6608882993459702E-3</v>
      </c>
      <c r="J43" s="9">
        <v>5.2981084445491433E-4</v>
      </c>
      <c r="K43" s="8">
        <v>6.6204879658471327E-6</v>
      </c>
      <c r="L43" s="8">
        <v>3.9474343793699518E-7</v>
      </c>
      <c r="M43" s="20">
        <v>1.1817564954981208E-3</v>
      </c>
      <c r="N43" s="12">
        <v>1.7453926848247647E-3</v>
      </c>
      <c r="O43" s="8">
        <v>1.4376446779351681E-4</v>
      </c>
      <c r="P43" s="8">
        <v>2.7174489787284983E-6</v>
      </c>
      <c r="Q43"/>
      <c r="R43"/>
      <c r="S43"/>
      <c r="T43" s="11">
        <v>3.9132538950070739E-4</v>
      </c>
      <c r="U43"/>
      <c r="V43"/>
      <c r="W43"/>
      <c r="X43"/>
      <c r="Y43"/>
      <c r="Z43"/>
      <c r="AA43"/>
      <c r="AB43"/>
      <c r="AC43" s="8">
        <v>7.1934191510081291E-5</v>
      </c>
      <c r="AD43" s="20">
        <v>1.0406831279397011E-3</v>
      </c>
      <c r="AE43" s="8">
        <v>4.268833072273992E-5</v>
      </c>
      <c r="AF43" s="20">
        <v>1.2213587760925293E-3</v>
      </c>
      <c r="AG43" s="8">
        <v>5.833387331222184E-5</v>
      </c>
      <c r="AH43"/>
      <c r="AI43"/>
      <c r="AJ43"/>
      <c r="AK43"/>
      <c r="AL43"/>
      <c r="AM43"/>
      <c r="AN43"/>
      <c r="AO43"/>
      <c r="AP43"/>
      <c r="AQ43"/>
      <c r="AR43" s="9">
        <v>6.4027949701994658E-4</v>
      </c>
      <c r="AS43"/>
      <c r="AT43" s="14">
        <v>2.4901516735553741E-3</v>
      </c>
      <c r="AU43"/>
      <c r="AV43" s="26">
        <v>8.4068132564425468E-3</v>
      </c>
      <c r="AW43"/>
      <c r="AX43" s="396">
        <v>3.0849050730466843E-2</v>
      </c>
      <c r="AY43"/>
      <c r="AZ43"/>
      <c r="BA43"/>
      <c r="BB43" s="16">
        <v>3.1537397298961878E-3</v>
      </c>
      <c r="BC43"/>
      <c r="BD43" s="356">
        <v>3.7350787315517664E-3</v>
      </c>
      <c r="BE43"/>
      <c r="BF43"/>
      <c r="BG43"/>
      <c r="BH43"/>
      <c r="BI43"/>
      <c r="BJ43"/>
      <c r="BK43"/>
      <c r="BL43"/>
      <c r="BM43"/>
      <c r="BN43" s="8">
        <v>4.3661846575560048E-5</v>
      </c>
      <c r="BO43" s="13">
        <v>2.8667454607784748E-3</v>
      </c>
      <c r="BP43" s="13">
        <v>2.760681789368391E-3</v>
      </c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 s="11">
        <v>2.9910384910181165E-4</v>
      </c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264</v>
      </c>
      <c r="B44">
        <v>0.20000000298023224</v>
      </c>
      <c r="C44">
        <v>3.7334930151700974E-2</v>
      </c>
      <c r="D44"/>
      <c r="E44"/>
      <c r="F44"/>
      <c r="G44"/>
      <c r="H44"/>
      <c r="I44" s="346">
        <v>0.12183830142021179</v>
      </c>
      <c r="J44" s="11">
        <v>3.5566516453400254E-4</v>
      </c>
      <c r="K44" s="8">
        <v>1.1884842388099059E-4</v>
      </c>
      <c r="L44"/>
      <c r="M44" s="23">
        <v>5.239047110080719E-3</v>
      </c>
      <c r="N44" s="24">
        <v>1.5486656688153744E-2</v>
      </c>
      <c r="O44" s="8">
        <v>2.277654675708618E-5</v>
      </c>
      <c r="P44"/>
      <c r="Q44"/>
      <c r="R44"/>
      <c r="S44"/>
      <c r="T44" s="11">
        <v>3.9132541860453784E-4</v>
      </c>
      <c r="U44"/>
      <c r="V44"/>
      <c r="W44"/>
      <c r="X44"/>
      <c r="Y44"/>
      <c r="Z44"/>
      <c r="AA44"/>
      <c r="AB44"/>
      <c r="AC44" s="8">
        <v>7.1934198786038905E-5</v>
      </c>
      <c r="AD44" s="20">
        <v>1.0406825458630919E-3</v>
      </c>
      <c r="AE44" s="8">
        <v>6.3885905547067523E-5</v>
      </c>
      <c r="AF44" s="19">
        <v>1.6602257965132594E-3</v>
      </c>
      <c r="AG44" s="8">
        <v>5.8333876950200647E-5</v>
      </c>
      <c r="AH44"/>
      <c r="AI44"/>
      <c r="AJ44"/>
      <c r="AK44"/>
      <c r="AL44"/>
      <c r="AM44"/>
      <c r="AN44"/>
      <c r="AO44"/>
      <c r="AP44"/>
      <c r="AQ44"/>
      <c r="AR44" s="8">
        <v>1.6430302639491856E-4</v>
      </c>
      <c r="AS44"/>
      <c r="AT44" s="15">
        <v>2.4901521392166615E-3</v>
      </c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8">
        <v>4.3661842937581241E-5</v>
      </c>
      <c r="BO44" s="14">
        <v>2.8667463921010494E-3</v>
      </c>
      <c r="BP44" s="14">
        <v>2.7606813237071037E-3</v>
      </c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 s="371">
        <v>7.9918643459677696E-3</v>
      </c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265</v>
      </c>
      <c r="B45">
        <v>0.20000000298023224</v>
      </c>
      <c r="C45">
        <v>0.11082237213850021</v>
      </c>
      <c r="D45"/>
      <c r="E45"/>
      <c r="F45"/>
      <c r="G45"/>
      <c r="H45" s="8">
        <v>2.1174180346861249E-6</v>
      </c>
      <c r="I45" s="347">
        <v>6.4264401793479919E-2</v>
      </c>
      <c r="J45" s="8">
        <v>1.8759789236355573E-4</v>
      </c>
      <c r="K45" s="8">
        <v>6.2687351601198316E-5</v>
      </c>
      <c r="L45"/>
      <c r="M45" s="14">
        <v>2.7633686549961567E-3</v>
      </c>
      <c r="N45" s="362">
        <v>8.1685343757271767E-3</v>
      </c>
      <c r="O45" s="8">
        <v>1.2013634659524541E-5</v>
      </c>
      <c r="P45"/>
      <c r="Q45"/>
      <c r="R45"/>
      <c r="S45"/>
      <c r="T45" s="11">
        <v>3.9132527308538556E-4</v>
      </c>
      <c r="U45"/>
      <c r="V45"/>
      <c r="W45"/>
      <c r="X45"/>
      <c r="Y45"/>
      <c r="Z45"/>
      <c r="AA45"/>
      <c r="AB45"/>
      <c r="AC45" s="8">
        <v>7.1934213337954134E-5</v>
      </c>
      <c r="AD45" s="20">
        <v>1.0406825458630919E-3</v>
      </c>
      <c r="AE45" s="8">
        <v>6.388588371919468E-5</v>
      </c>
      <c r="AF45" s="19">
        <v>1.6602253308519721E-3</v>
      </c>
      <c r="AG45" s="8">
        <v>5.8333866036264226E-5</v>
      </c>
      <c r="AH45"/>
      <c r="AI45"/>
      <c r="AJ45"/>
      <c r="AK45"/>
      <c r="AL45"/>
      <c r="AM45"/>
      <c r="AN45"/>
      <c r="AO45"/>
      <c r="AP45"/>
      <c r="AQ45"/>
      <c r="AR45" s="8">
        <v>1.6430296818725765E-4</v>
      </c>
      <c r="AS45"/>
      <c r="AT45" s="15">
        <v>2.4901519063860178E-3</v>
      </c>
      <c r="AU45"/>
      <c r="AV45"/>
      <c r="AW45"/>
      <c r="AX45"/>
      <c r="AY45"/>
      <c r="AZ45"/>
      <c r="BA45"/>
      <c r="BB45"/>
      <c r="BC45"/>
      <c r="BD45" s="11">
        <v>4.4257906847633421E-4</v>
      </c>
      <c r="BE45"/>
      <c r="BF45"/>
      <c r="BG45"/>
      <c r="BH45"/>
      <c r="BI45"/>
      <c r="BJ45"/>
      <c r="BK45"/>
      <c r="BL45"/>
      <c r="BM45"/>
      <c r="BN45" s="8">
        <v>4.3661842937581241E-5</v>
      </c>
      <c r="BO45" s="14">
        <v>2.8667447622865438E-3</v>
      </c>
      <c r="BP45" s="14">
        <v>2.7606815565377474E-3</v>
      </c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 s="19">
        <v>1.662395428866148E-3</v>
      </c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266</v>
      </c>
      <c r="B46">
        <v>0.20000000298023224</v>
      </c>
      <c r="C46">
        <v>0.17496022582054138</v>
      </c>
      <c r="D46"/>
      <c r="E46"/>
      <c r="F46"/>
      <c r="G46"/>
      <c r="H46"/>
      <c r="I46" s="9">
        <v>7.1049068355932832E-4</v>
      </c>
      <c r="J46"/>
      <c r="K46"/>
      <c r="L46"/>
      <c r="M46"/>
      <c r="N46"/>
      <c r="O46"/>
      <c r="P46"/>
      <c r="Q46"/>
      <c r="R46"/>
      <c r="S46"/>
      <c r="T46" s="11">
        <v>3.9132533129304647E-4</v>
      </c>
      <c r="U46"/>
      <c r="V46"/>
      <c r="W46"/>
      <c r="X46"/>
      <c r="Y46"/>
      <c r="Z46"/>
      <c r="AA46"/>
      <c r="AB46"/>
      <c r="AC46" s="8">
        <v>7.1934176958166063E-5</v>
      </c>
      <c r="AD46" s="20">
        <v>1.0406823130324483E-3</v>
      </c>
      <c r="AE46" s="8">
        <v>4.2688327084761113E-5</v>
      </c>
      <c r="AF46" s="20">
        <v>1.221358310431242E-3</v>
      </c>
      <c r="AG46" s="8">
        <v>5.833384784637019E-5</v>
      </c>
      <c r="AH46"/>
      <c r="AI46"/>
      <c r="AJ46"/>
      <c r="AK46"/>
      <c r="AL46"/>
      <c r="AM46"/>
      <c r="AN46"/>
      <c r="AO46"/>
      <c r="AP46"/>
      <c r="AQ46"/>
      <c r="AR46" s="8">
        <v>1.6430296818725765E-4</v>
      </c>
      <c r="AS46"/>
      <c r="AT46" s="15">
        <v>2.4901516735553741E-3</v>
      </c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8">
        <v>4.3661828385666013E-5</v>
      </c>
      <c r="BO46" s="14">
        <v>2.8667449951171875E-3</v>
      </c>
      <c r="BP46" s="14">
        <v>2.7606815565377474E-3</v>
      </c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 s="374">
        <v>1.3177414424717426E-2</v>
      </c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267</v>
      </c>
      <c r="B47">
        <v>0.20000000298023224</v>
      </c>
      <c r="C47">
        <v>7.8144311904907227E-2</v>
      </c>
      <c r="D47"/>
      <c r="E47"/>
      <c r="F47"/>
      <c r="G47"/>
      <c r="H47"/>
      <c r="I47" s="348">
        <v>9.3584202229976654E-2</v>
      </c>
      <c r="J47" s="12">
        <v>1.8808920867741108E-3</v>
      </c>
      <c r="K47" s="8">
        <v>6.217144982656464E-5</v>
      </c>
      <c r="L47" s="8">
        <v>4.2111790321541775E-7</v>
      </c>
      <c r="M47" s="16">
        <v>3.4803063608705997E-3</v>
      </c>
      <c r="N47" s="16">
        <v>3.6128992214798927E-3</v>
      </c>
      <c r="O47" s="356">
        <v>4.419730044901371E-3</v>
      </c>
      <c r="P47" s="11">
        <v>4.6283018309623003E-4</v>
      </c>
      <c r="Q47"/>
      <c r="R47"/>
      <c r="S47"/>
      <c r="T47" s="11">
        <v>3.9132530218921602E-4</v>
      </c>
      <c r="U47"/>
      <c r="V47"/>
      <c r="W47"/>
      <c r="X47"/>
      <c r="Y47"/>
      <c r="Z47"/>
      <c r="AA47"/>
      <c r="AB47"/>
      <c r="AC47" s="8">
        <v>7.1934198786038905E-5</v>
      </c>
      <c r="AD47" s="20">
        <v>1.0406824294477701E-3</v>
      </c>
      <c r="AE47" s="8">
        <v>4.2688359826570377E-5</v>
      </c>
      <c r="AF47" s="20">
        <v>1.2213588925078511E-3</v>
      </c>
      <c r="AG47" s="8">
        <v>5.8333866036264226E-5</v>
      </c>
      <c r="AH47"/>
      <c r="AI47"/>
      <c r="AJ47"/>
      <c r="AK47"/>
      <c r="AL47"/>
      <c r="AM47"/>
      <c r="AN47"/>
      <c r="AO47"/>
      <c r="AP47"/>
      <c r="AQ47"/>
      <c r="AR47" s="8">
        <v>1.6430304094683379E-4</v>
      </c>
      <c r="AS47"/>
      <c r="AT47" s="15">
        <v>2.4901509750634432E-3</v>
      </c>
      <c r="AU47"/>
      <c r="AV47"/>
      <c r="AW47"/>
      <c r="AX47"/>
      <c r="AY47"/>
      <c r="AZ47"/>
      <c r="BA47"/>
      <c r="BB47"/>
      <c r="BC47"/>
      <c r="BD47" s="8">
        <v>9.7299940534867346E-5</v>
      </c>
      <c r="BE47"/>
      <c r="BF47"/>
      <c r="BG47"/>
      <c r="BH47"/>
      <c r="BI47"/>
      <c r="BJ47"/>
      <c r="BK47"/>
      <c r="BL47"/>
      <c r="BM47"/>
      <c r="BN47" s="8">
        <v>4.3661850213538855E-5</v>
      </c>
      <c r="BO47" s="14">
        <v>2.8667447622865438E-3</v>
      </c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 s="69">
        <v>5.8637764304876328E-3</v>
      </c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268</v>
      </c>
      <c r="B48">
        <v>0.20000000298023224</v>
      </c>
      <c r="C48">
        <v>7.0487335324287415E-2</v>
      </c>
      <c r="D48"/>
      <c r="E48"/>
      <c r="F48"/>
      <c r="G48"/>
      <c r="H48" s="8">
        <v>2.059787220787257E-6</v>
      </c>
      <c r="I48" s="349">
        <v>3.2652195543050766E-2</v>
      </c>
      <c r="J48" s="11">
        <v>2.6370759587734938E-4</v>
      </c>
      <c r="K48"/>
      <c r="L48"/>
      <c r="M48" s="9">
        <v>9.7411038586869836E-4</v>
      </c>
      <c r="N48" s="16">
        <v>3.4437149297446012E-3</v>
      </c>
      <c r="O48" s="11">
        <v>5.2672252058982849E-4</v>
      </c>
      <c r="P48"/>
      <c r="Q48"/>
      <c r="R48"/>
      <c r="S48"/>
      <c r="T48" s="11">
        <v>3.913252439815551E-4</v>
      </c>
      <c r="U48"/>
      <c r="V48"/>
      <c r="W48"/>
      <c r="X48"/>
      <c r="Y48"/>
      <c r="Z48"/>
      <c r="AA48"/>
      <c r="AB48"/>
      <c r="AC48" s="8">
        <v>7.193420606199652E-5</v>
      </c>
      <c r="AD48" s="20">
        <v>1.0406824294477701E-3</v>
      </c>
      <c r="AE48" s="8">
        <v>4.2688337998697534E-5</v>
      </c>
      <c r="AF48" s="20">
        <v>1.221359008923173E-3</v>
      </c>
      <c r="AG48" s="8">
        <v>5.8333876950200647E-5</v>
      </c>
      <c r="AH48"/>
      <c r="AI48"/>
      <c r="AJ48"/>
      <c r="AK48"/>
      <c r="AL48"/>
      <c r="AM48"/>
      <c r="AN48"/>
      <c r="AO48"/>
      <c r="AP48"/>
      <c r="AQ48"/>
      <c r="AR48" s="8">
        <v>1.6430301184300333E-4</v>
      </c>
      <c r="AS48"/>
      <c r="AT48" s="15">
        <v>2.4901519063860178E-3</v>
      </c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8">
        <v>4.3661839299602434E-5</v>
      </c>
      <c r="BO48" s="398">
        <v>8.6125724017620087E-2</v>
      </c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269</v>
      </c>
      <c r="B49">
        <v>0.20000000298023224</v>
      </c>
      <c r="C49">
        <v>9.6745245158672333E-2</v>
      </c>
      <c r="D49"/>
      <c r="E49"/>
      <c r="F49"/>
      <c r="G49"/>
      <c r="H49" s="8">
        <v>8.9112480054609478E-5</v>
      </c>
      <c r="I49" s="350">
        <v>6.4792774617671967E-2</v>
      </c>
      <c r="J49" s="11">
        <v>3.9784936234354973E-4</v>
      </c>
      <c r="K49" s="8">
        <v>9.9896366009488702E-5</v>
      </c>
      <c r="L49" s="8">
        <v>6.896643026266247E-5</v>
      </c>
      <c r="M49" s="67">
        <v>1.7846975475549698E-2</v>
      </c>
      <c r="N49" s="21">
        <v>5.6443898938596249E-3</v>
      </c>
      <c r="O49" s="11">
        <v>3.663082025013864E-4</v>
      </c>
      <c r="P49" s="8">
        <v>5.3381128964247182E-5</v>
      </c>
      <c r="Q49"/>
      <c r="R49"/>
      <c r="S49"/>
      <c r="T49" s="11">
        <v>3.9132527308538556E-4</v>
      </c>
      <c r="U49"/>
      <c r="V49"/>
      <c r="W49"/>
      <c r="X49"/>
      <c r="Y49"/>
      <c r="Z49"/>
      <c r="AA49"/>
      <c r="AB49"/>
      <c r="AC49" s="8">
        <v>7.1934227889869362E-5</v>
      </c>
      <c r="AD49" s="20">
        <v>1.0406824294477701E-3</v>
      </c>
      <c r="AE49" s="8">
        <v>5.9932818885499728E-7</v>
      </c>
      <c r="AF49" s="8">
        <v>2.5607391762605403E-7</v>
      </c>
      <c r="AG49" s="8">
        <v>5.8333858760306612E-5</v>
      </c>
      <c r="AH49"/>
      <c r="AI49"/>
      <c r="AJ49"/>
      <c r="AK49"/>
      <c r="AL49"/>
      <c r="AM49"/>
      <c r="AN49"/>
      <c r="AO49"/>
      <c r="AP49"/>
      <c r="AQ49"/>
      <c r="AR49" s="8">
        <v>1.643029972910881E-4</v>
      </c>
      <c r="AS49"/>
      <c r="AT49" s="15">
        <v>2.4901519063860178E-3</v>
      </c>
      <c r="AU49"/>
      <c r="AV49"/>
      <c r="AW49"/>
      <c r="AX49" s="11">
        <v>5.6134932674467564E-4</v>
      </c>
      <c r="AY49"/>
      <c r="AZ49"/>
      <c r="BA49"/>
      <c r="BB49"/>
      <c r="BC49"/>
      <c r="BD49" s="8">
        <v>1.788080990081653E-4</v>
      </c>
      <c r="BE49"/>
      <c r="BF49"/>
      <c r="BG49"/>
      <c r="BH49"/>
      <c r="BI49"/>
      <c r="BJ49"/>
      <c r="BK49"/>
      <c r="BL49"/>
      <c r="BM49"/>
      <c r="BN49" s="8">
        <v>4.366183202364482E-5</v>
      </c>
      <c r="BO49" s="14">
        <v>2.8667454607784748E-3</v>
      </c>
      <c r="BP49" s="14">
        <v>2.7606820221990347E-3</v>
      </c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 s="14">
        <v>2.6842693332582712E-3</v>
      </c>
      <c r="CI49" s="11">
        <v>5.8200291823595762E-4</v>
      </c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270</v>
      </c>
      <c r="B50">
        <v>0.20000000298023224</v>
      </c>
      <c r="C50">
        <v>0.11539953202009201</v>
      </c>
      <c r="D50" s="76">
        <v>2.3152969777584076E-2</v>
      </c>
      <c r="E50"/>
      <c r="F50"/>
      <c r="G50"/>
      <c r="H50"/>
      <c r="I50" s="351">
        <v>1.2609015218913555E-2</v>
      </c>
      <c r="J50" s="8">
        <v>1.8355410429649055E-4</v>
      </c>
      <c r="K50" s="71">
        <v>9.8880250006914139E-3</v>
      </c>
      <c r="L50" s="8">
        <v>7.8794840874252259E-7</v>
      </c>
      <c r="M50" s="14">
        <v>2.5622674729675055E-3</v>
      </c>
      <c r="N50" s="15">
        <v>2.3146325256675482E-3</v>
      </c>
      <c r="O50" s="9">
        <v>8.9555419981479645E-4</v>
      </c>
      <c r="P50" s="16">
        <v>3.4708781167864799E-3</v>
      </c>
      <c r="Q50"/>
      <c r="R50"/>
      <c r="S50" s="21">
        <v>5.29846316203475E-3</v>
      </c>
      <c r="T50"/>
      <c r="U50"/>
      <c r="V50"/>
      <c r="W50"/>
      <c r="X50"/>
      <c r="Y50"/>
      <c r="Z50"/>
      <c r="AA50"/>
      <c r="AB50"/>
      <c r="AC50"/>
      <c r="AD50"/>
      <c r="AE50" s="11">
        <v>2.0784542721230537E-4</v>
      </c>
      <c r="AF50" s="21">
        <v>5.5562299676239491E-3</v>
      </c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67">
        <v>1.7954764887690544E-2</v>
      </c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1">
        <v>5.0548458239063621E-4</v>
      </c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271</v>
      </c>
      <c r="B51">
        <v>0.20000000298023224</v>
      </c>
      <c r="C51">
        <v>9.2429578304290771E-2</v>
      </c>
      <c r="D51" s="341">
        <v>4.1641589254140854E-2</v>
      </c>
      <c r="E51"/>
      <c r="F51"/>
      <c r="G51"/>
      <c r="H51"/>
      <c r="I51" s="75">
        <v>1.4578613452613354E-2</v>
      </c>
      <c r="J51" s="11">
        <v>2.1222620853222907E-4</v>
      </c>
      <c r="K51" s="355">
        <v>1.1432584375143051E-2</v>
      </c>
      <c r="L51" s="8">
        <v>9.1102987198610208E-7</v>
      </c>
      <c r="M51" s="13">
        <v>2.9625070746988058E-3</v>
      </c>
      <c r="N51" s="14">
        <v>2.6761901099234819E-3</v>
      </c>
      <c r="O51" s="20">
        <v>1.035444438457489E-3</v>
      </c>
      <c r="P51" s="18">
        <v>4.0130489505827427E-3</v>
      </c>
      <c r="Q51"/>
      <c r="R51"/>
      <c r="S51" s="21">
        <v>5.29846316203475E-3</v>
      </c>
      <c r="T51"/>
      <c r="U51"/>
      <c r="V51"/>
      <c r="W51"/>
      <c r="X51"/>
      <c r="Y51"/>
      <c r="Z51"/>
      <c r="AA51"/>
      <c r="AB51"/>
      <c r="AC51"/>
      <c r="AD51"/>
      <c r="AE51" s="11">
        <v>2.07845339900814E-4</v>
      </c>
      <c r="AF51" s="21">
        <v>5.5562262423336506E-3</v>
      </c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67">
        <v>1.7954766750335693E-2</v>
      </c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272</v>
      </c>
      <c r="B52">
        <v>0.20000000298023224</v>
      </c>
      <c r="C52">
        <v>9.5507971942424774E-2</v>
      </c>
      <c r="D52" s="342">
        <v>2.9580701142549515E-2</v>
      </c>
      <c r="E52"/>
      <c r="F52"/>
      <c r="G52"/>
      <c r="H52" s="8">
        <v>7.9255105447373353E-6</v>
      </c>
      <c r="I52" s="67">
        <v>1.8123220652341843E-2</v>
      </c>
      <c r="J52" s="11">
        <v>2.6382642681710422E-4</v>
      </c>
      <c r="K52" s="359">
        <v>1.4212282374501228E-2</v>
      </c>
      <c r="L52" s="8">
        <v>1.132535999204265E-6</v>
      </c>
      <c r="M52" s="16">
        <v>3.6828042939305305E-3</v>
      </c>
      <c r="N52" s="13">
        <v>3.3268732950091362E-3</v>
      </c>
      <c r="O52" s="20">
        <v>1.287200371734798E-3</v>
      </c>
      <c r="P52" s="23">
        <v>4.9887718632817268E-3</v>
      </c>
      <c r="Q52"/>
      <c r="R52"/>
      <c r="S52" s="21">
        <v>5.2984622307121754E-3</v>
      </c>
      <c r="T52"/>
      <c r="U52"/>
      <c r="V52"/>
      <c r="W52"/>
      <c r="X52"/>
      <c r="Y52"/>
      <c r="Z52"/>
      <c r="AA52"/>
      <c r="AB52"/>
      <c r="AC52"/>
      <c r="AD52"/>
      <c r="AE52" s="11">
        <v>2.0784541266039014E-4</v>
      </c>
      <c r="AF52" s="21">
        <v>5.5562271736562252E-3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 s="67">
        <v>1.7954766750335693E-2</v>
      </c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273</v>
      </c>
      <c r="B53">
        <v>1.6499999761581421</v>
      </c>
      <c r="C53">
        <v>0.5518985390663147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 s="9">
        <v>5.2984617650508881E-3</v>
      </c>
      <c r="T53"/>
      <c r="U53"/>
      <c r="V53"/>
      <c r="W53"/>
      <c r="X53"/>
      <c r="Y53"/>
      <c r="Z53"/>
      <c r="AA53"/>
      <c r="AB53"/>
      <c r="AC53" s="8">
        <v>7.1934213337954134E-5</v>
      </c>
      <c r="AD53" s="8">
        <v>1.0406823130324483E-3</v>
      </c>
      <c r="AE53" s="11">
        <v>3.35304019972682E-3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 s="397">
        <v>1.085270881652832</v>
      </c>
      <c r="BC53"/>
      <c r="BD53"/>
      <c r="BE53"/>
      <c r="BF53"/>
      <c r="BG53"/>
      <c r="BH53"/>
      <c r="BI53"/>
      <c r="BJ53"/>
      <c r="BK53"/>
      <c r="BL53"/>
      <c r="BM53"/>
      <c r="BN53" s="8">
        <v>4.3661813833750784E-5</v>
      </c>
      <c r="BO53" s="11">
        <v>2.1702062804251909E-3</v>
      </c>
      <c r="BP53" s="8">
        <v>8.5267081158235669E-4</v>
      </c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274</v>
      </c>
      <c r="B54">
        <v>0.18999999761581421</v>
      </c>
      <c r="C54">
        <v>6.3169330358505249E-2</v>
      </c>
      <c r="D54" s="14">
        <v>2.5417553260922432E-3</v>
      </c>
      <c r="E54"/>
      <c r="F54"/>
      <c r="G54"/>
      <c r="H54" s="8">
        <v>3.1616240448784083E-5</v>
      </c>
      <c r="I54" s="64">
        <v>4.2860456742346287E-3</v>
      </c>
      <c r="J54" s="11">
        <v>5.2146590314805508E-4</v>
      </c>
      <c r="K54" s="11">
        <v>4.0185221587307751E-4</v>
      </c>
      <c r="L54" s="8">
        <v>1.1153470040881075E-6</v>
      </c>
      <c r="M54" s="11">
        <v>2.9557556263171136E-4</v>
      </c>
      <c r="N54" s="11">
        <v>4.8717035679146647E-4</v>
      </c>
      <c r="O54" s="64">
        <v>4.3458659201860428E-3</v>
      </c>
      <c r="P54" s="200">
        <v>4.1040297597646713E-2</v>
      </c>
      <c r="Q54"/>
      <c r="R54"/>
      <c r="S54" s="21">
        <v>5.29846316203475E-3</v>
      </c>
      <c r="T54"/>
      <c r="U54"/>
      <c r="V54"/>
      <c r="W54"/>
      <c r="X54"/>
      <c r="Y54"/>
      <c r="Z54"/>
      <c r="AA54"/>
      <c r="AB54"/>
      <c r="AC54" s="8">
        <v>7.1934198786038905E-5</v>
      </c>
      <c r="AD54" s="20">
        <v>1.0406825458630919E-3</v>
      </c>
      <c r="AE54"/>
      <c r="AF54" s="12">
        <v>1.8444034503772855E-3</v>
      </c>
      <c r="AG54"/>
      <c r="AH54"/>
      <c r="AI54"/>
      <c r="AJ54"/>
      <c r="AK54"/>
      <c r="AL54"/>
      <c r="AM54"/>
      <c r="AN54"/>
      <c r="AO54"/>
      <c r="AP54"/>
      <c r="AQ54"/>
      <c r="AR54"/>
      <c r="AS54" s="202">
        <v>5.884750559926033E-2</v>
      </c>
      <c r="AT54"/>
      <c r="AU54"/>
      <c r="AV54"/>
      <c r="AW54"/>
      <c r="AX54"/>
      <c r="AY54"/>
      <c r="AZ54"/>
      <c r="BA54"/>
      <c r="BB54"/>
      <c r="BC54"/>
      <c r="BD54" s="69">
        <v>5.7564554736018181E-3</v>
      </c>
      <c r="BE54"/>
      <c r="BF54"/>
      <c r="BG54"/>
      <c r="BH54"/>
      <c r="BI54"/>
      <c r="BJ54"/>
      <c r="BK54"/>
      <c r="BL54"/>
      <c r="BM54"/>
      <c r="BN54" s="8">
        <v>1.8456774341757409E-5</v>
      </c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275</v>
      </c>
      <c r="B55">
        <v>0.40000000596046448</v>
      </c>
      <c r="C55">
        <v>7.9999998211860657E-2</v>
      </c>
      <c r="D55"/>
      <c r="E55"/>
      <c r="F55"/>
      <c r="G55"/>
      <c r="H55"/>
      <c r="I55" s="8">
        <v>1.2940761735080741E-5</v>
      </c>
      <c r="J55" s="8">
        <v>5.0366228521170342E-8</v>
      </c>
      <c r="K55" s="8">
        <v>3.88514877158741E-7</v>
      </c>
      <c r="L55" s="8">
        <v>1.3488759975643916E-7</v>
      </c>
      <c r="M55" s="8">
        <v>8.1628610359985032E-7</v>
      </c>
      <c r="N55" s="8">
        <v>5.855198651261162E-6</v>
      </c>
      <c r="O55" s="8">
        <v>4.2136857700825203E-6</v>
      </c>
      <c r="P55" s="8">
        <v>2.7939125857301406E-7</v>
      </c>
      <c r="Q55"/>
      <c r="R55"/>
      <c r="S55" s="15">
        <v>4.5957434922456741E-3</v>
      </c>
      <c r="T55"/>
      <c r="U55" s="371">
        <v>1.6023973003029823E-2</v>
      </c>
      <c r="V55"/>
      <c r="W55"/>
      <c r="X55"/>
      <c r="Y55"/>
      <c r="Z55"/>
      <c r="AA55"/>
      <c r="AB55"/>
      <c r="AC55" s="8">
        <v>6.2393795815296471E-5</v>
      </c>
      <c r="AD55" s="11">
        <v>9.0265960898250341E-4</v>
      </c>
      <c r="AE55"/>
      <c r="AF55"/>
      <c r="AG55" s="11">
        <v>1.1118073016405106E-3</v>
      </c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 s="64">
        <v>9.3667330220341682E-3</v>
      </c>
      <c r="AW55"/>
      <c r="AX55" s="17">
        <v>1.7204074189066887E-2</v>
      </c>
      <c r="AY55"/>
      <c r="AZ55"/>
      <c r="BA55"/>
      <c r="BB55" s="416">
        <v>0.2017667293548584</v>
      </c>
      <c r="BC55"/>
      <c r="BD55" s="25">
        <v>1.3910996727645397E-2</v>
      </c>
      <c r="BE55"/>
      <c r="BF55"/>
      <c r="BG55"/>
      <c r="BH55"/>
      <c r="BI55"/>
      <c r="BJ55" s="8">
        <v>7.3827015967253828E-7</v>
      </c>
      <c r="BK55"/>
      <c r="BL55"/>
      <c r="BM55"/>
      <c r="BN55" s="8">
        <v>5.9375830460339785E-5</v>
      </c>
      <c r="BO55" s="9">
        <v>1.8823782447725534E-3</v>
      </c>
      <c r="BP55" s="22">
        <v>1.290646567940712E-2</v>
      </c>
      <c r="BQ55"/>
      <c r="BR55" s="8">
        <v>4.9929127271752805E-5</v>
      </c>
      <c r="BS55" s="405">
        <v>3.6913979798555374E-2</v>
      </c>
      <c r="BT55"/>
      <c r="BU55"/>
      <c r="BV55"/>
      <c r="BW55"/>
      <c r="BX55"/>
      <c r="BY55"/>
      <c r="BZ55"/>
      <c r="CA55"/>
      <c r="CB55"/>
      <c r="CC55" s="8">
        <v>7.0363222448577289E-7</v>
      </c>
      <c r="CD55" s="8">
        <v>3.8785317883593962E-5</v>
      </c>
      <c r="CE55"/>
      <c r="CF55"/>
      <c r="CG55"/>
      <c r="CH55"/>
      <c r="CI55" s="19">
        <v>3.1778570264577866E-3</v>
      </c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276</v>
      </c>
      <c r="B56">
        <v>0.15000000596046448</v>
      </c>
      <c r="C56">
        <v>0.10642293840646744</v>
      </c>
      <c r="D56"/>
      <c r="E56"/>
      <c r="F56"/>
      <c r="G56"/>
      <c r="H56"/>
      <c r="I56" s="13">
        <v>2.4960637092590332E-3</v>
      </c>
      <c r="J56" s="8">
        <v>6.7206616222392768E-5</v>
      </c>
      <c r="K56" s="8">
        <v>1.8184806322096847E-5</v>
      </c>
      <c r="L56"/>
      <c r="M56" s="8">
        <v>7.222775457194075E-5</v>
      </c>
      <c r="N56" s="19">
        <v>1.2745900312438607E-3</v>
      </c>
      <c r="O56" s="12">
        <v>1.3526910915970802E-3</v>
      </c>
      <c r="P56" s="370">
        <v>3.2996892929077148E-2</v>
      </c>
      <c r="Q56"/>
      <c r="R56"/>
      <c r="S56" s="25">
        <v>5.2984617650508881E-3</v>
      </c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 s="8">
        <v>7.3399775146754109E-7</v>
      </c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8">
        <v>1.5502482852980393E-8</v>
      </c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277</v>
      </c>
      <c r="B57">
        <v>0.20000000298023224</v>
      </c>
      <c r="C57">
        <v>3.9999987930059433E-2</v>
      </c>
      <c r="D57"/>
      <c r="E57"/>
      <c r="F57"/>
      <c r="G57"/>
      <c r="H57"/>
      <c r="I57" s="352">
        <v>1.7312783747911453E-2</v>
      </c>
      <c r="J57" s="9">
        <v>8.3622103556990623E-4</v>
      </c>
      <c r="K57" s="13">
        <v>2.958392258733511E-3</v>
      </c>
      <c r="L57" s="14">
        <v>2.615844365209341E-3</v>
      </c>
      <c r="M57" s="21">
        <v>5.3596161305904388E-3</v>
      </c>
      <c r="N57" s="12">
        <v>2.0788875408470631E-3</v>
      </c>
      <c r="O57" s="59">
        <v>1.2945531867444515E-2</v>
      </c>
      <c r="P57" s="18">
        <v>4.0541766211390495E-3</v>
      </c>
      <c r="Q57"/>
      <c r="R57"/>
      <c r="S57" s="23">
        <v>5.1280539482831955E-3</v>
      </c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 s="17">
        <v>8.6335623636841774E-3</v>
      </c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8">
        <v>1.7863161701825447E-5</v>
      </c>
      <c r="BO57"/>
      <c r="BP57"/>
      <c r="BQ57"/>
      <c r="BR57"/>
      <c r="BS57"/>
      <c r="BT57"/>
      <c r="BU57"/>
      <c r="BV57"/>
      <c r="BW57" s="387">
        <v>9.8059080541133881E-2</v>
      </c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278</v>
      </c>
      <c r="B58">
        <v>1.1000000238418579</v>
      </c>
      <c r="C58">
        <v>1.071555495262146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 s="9">
        <v>5.2984636276960373E-3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 s="8">
        <v>2.8948116232641041E-4</v>
      </c>
      <c r="AH58"/>
      <c r="AI58" s="18">
        <v>2.2596323862671852E-2</v>
      </c>
      <c r="AJ58" s="8">
        <v>4.2921044951071963E-5</v>
      </c>
      <c r="AK58" s="8">
        <v>3.5560351534513757E-6</v>
      </c>
      <c r="AL58" s="8">
        <v>1.2125573266530409E-4</v>
      </c>
      <c r="AM58" s="8">
        <v>4.4670501665677875E-5</v>
      </c>
      <c r="AN58" s="8">
        <v>8.1242178566753864E-6</v>
      </c>
      <c r="AO58" s="8">
        <v>8.1655498433974572E-6</v>
      </c>
      <c r="AP58" s="8">
        <v>1.3079612472211011E-5</v>
      </c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8">
        <v>1.8456767065799795E-5</v>
      </c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279</v>
      </c>
      <c r="B59">
        <v>9.0000003576278687E-2</v>
      </c>
      <c r="C59">
        <v>5.0908692181110382E-2</v>
      </c>
      <c r="D59" s="8">
        <v>4.4365755456965417E-5</v>
      </c>
      <c r="E59"/>
      <c r="F59"/>
      <c r="G59"/>
      <c r="H59" s="8">
        <v>8.1852653238456696E-5</v>
      </c>
      <c r="I59" s="64">
        <v>2.1775586064904928E-3</v>
      </c>
      <c r="J59" s="11">
        <v>2.0213208335917443E-4</v>
      </c>
      <c r="K59" s="8">
        <v>3.9528904949293064E-7</v>
      </c>
      <c r="L59" s="8">
        <v>7.5111449859832646E-7</v>
      </c>
      <c r="M59" s="11">
        <v>1.4181721780914813E-4</v>
      </c>
      <c r="N59" s="20">
        <v>4.6990253031253815E-4</v>
      </c>
      <c r="O59" s="363">
        <v>1.2570525519549847E-2</v>
      </c>
      <c r="P59" s="8">
        <v>1.4161402759782504E-5</v>
      </c>
      <c r="Q59"/>
      <c r="R59"/>
      <c r="S59" s="389">
        <v>5.2984636276960373E-3</v>
      </c>
      <c r="T59"/>
      <c r="U59"/>
      <c r="V59"/>
      <c r="W59"/>
      <c r="X59"/>
      <c r="Y59"/>
      <c r="Z59"/>
      <c r="AA59"/>
      <c r="AB59"/>
      <c r="AC59" s="9">
        <v>3.1701885745860636E-4</v>
      </c>
      <c r="AD59" s="375">
        <v>4.5103300362825394E-3</v>
      </c>
      <c r="AE59" s="8">
        <v>2.2283227735897526E-5</v>
      </c>
      <c r="AF59" s="20">
        <v>5.1213597180321813E-4</v>
      </c>
      <c r="AG59" s="9">
        <v>2.8948124963790178E-4</v>
      </c>
      <c r="AH59"/>
      <c r="AI59" s="11">
        <v>2.3274720297195017E-4</v>
      </c>
      <c r="AJ59" s="8">
        <v>4.2921070416923612E-5</v>
      </c>
      <c r="AK59" s="8">
        <v>3.556035835572402E-6</v>
      </c>
      <c r="AL59" s="11">
        <v>1.2125581270083785E-4</v>
      </c>
      <c r="AM59" s="8">
        <v>4.4670505303656682E-5</v>
      </c>
      <c r="AN59" s="8">
        <v>8.1242214946541935E-6</v>
      </c>
      <c r="AO59" s="8">
        <v>8.1655498433974572E-6</v>
      </c>
      <c r="AP59" s="8">
        <v>1.3079620657663327E-5</v>
      </c>
      <c r="AQ59"/>
      <c r="AR59" s="20">
        <v>4.7988982987590134E-4</v>
      </c>
      <c r="AS59" s="12">
        <v>9.1318500926718116E-4</v>
      </c>
      <c r="AT59" s="10">
        <v>3.3508047927170992E-3</v>
      </c>
      <c r="AU59"/>
      <c r="AV59"/>
      <c r="AW59"/>
      <c r="AX59" s="8">
        <v>2.1770909370388836E-5</v>
      </c>
      <c r="AY59"/>
      <c r="AZ59"/>
      <c r="BA59"/>
      <c r="BB59"/>
      <c r="BC59"/>
      <c r="BD59" s="372">
        <v>7.179508451372385E-3</v>
      </c>
      <c r="BE59"/>
      <c r="BF59"/>
      <c r="BG59"/>
      <c r="BH59"/>
      <c r="BI59"/>
      <c r="BJ59"/>
      <c r="BK59"/>
      <c r="BL59"/>
      <c r="BM59"/>
      <c r="BN59" s="8">
        <v>1.8456765246810392E-5</v>
      </c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280</v>
      </c>
      <c r="B60">
        <v>0.10000000149011612</v>
      </c>
      <c r="C60">
        <v>1.9999999552965164E-2</v>
      </c>
      <c r="D60" s="8">
        <v>8.2346246927045286E-5</v>
      </c>
      <c r="E60"/>
      <c r="F60"/>
      <c r="G60"/>
      <c r="H60"/>
      <c r="I60" s="22">
        <v>3.2277829013764858E-3</v>
      </c>
      <c r="J60" s="357">
        <v>1.0425030253827572E-2</v>
      </c>
      <c r="K60" s="8">
        <v>2.7312929887557402E-5</v>
      </c>
      <c r="L60" s="8">
        <v>8.5128698401604197E-7</v>
      </c>
      <c r="M60" s="356">
        <v>2.1299456711858511E-3</v>
      </c>
      <c r="N60" s="11">
        <v>2.4602681514807045E-4</v>
      </c>
      <c r="O60" s="364">
        <v>5.0289459526538849E-2</v>
      </c>
      <c r="P60" s="11">
        <v>1.0860017937375233E-4</v>
      </c>
      <c r="Q60"/>
      <c r="R60"/>
      <c r="S60" s="17">
        <v>4.4068219140172005E-3</v>
      </c>
      <c r="T60"/>
      <c r="U60"/>
      <c r="V60"/>
      <c r="W60"/>
      <c r="X60"/>
      <c r="Y60"/>
      <c r="Z60"/>
      <c r="AA60"/>
      <c r="AB60"/>
      <c r="AC60" s="11">
        <v>2.6366999372839928E-4</v>
      </c>
      <c r="AD60" s="10">
        <v>3.7513193674385548E-3</v>
      </c>
      <c r="AE60" s="8">
        <v>1.8533342881710269E-5</v>
      </c>
      <c r="AF60" s="9">
        <v>4.2595207924023271E-4</v>
      </c>
      <c r="AG60" s="11">
        <v>2.4076644331216812E-4</v>
      </c>
      <c r="AH60"/>
      <c r="AI60" s="11">
        <v>1.9357971905265003E-4</v>
      </c>
      <c r="AJ60" s="8">
        <v>3.5698179999599233E-5</v>
      </c>
      <c r="AK60" s="8">
        <v>2.9576160613942193E-6</v>
      </c>
      <c r="AL60" s="11">
        <v>1.0085051326313987E-4</v>
      </c>
      <c r="AM60" s="8">
        <v>3.7153236917220056E-5</v>
      </c>
      <c r="AN60" s="8">
        <v>6.7570540522865485E-6</v>
      </c>
      <c r="AO60" s="8">
        <v>6.7914306782768108E-6</v>
      </c>
      <c r="AP60" s="8">
        <v>1.0878541615966242E-5</v>
      </c>
      <c r="AQ60"/>
      <c r="AR60" s="9">
        <v>3.9913263753987849E-4</v>
      </c>
      <c r="AS60" s="19">
        <v>7.5951137114316225E-4</v>
      </c>
      <c r="AT60" s="21">
        <v>2.7869215700775385E-3</v>
      </c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8">
        <v>1.5350813555414788E-5</v>
      </c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281</v>
      </c>
      <c r="B61">
        <v>0.10000000149011612</v>
      </c>
      <c r="C61">
        <v>3.9311904460191727E-2</v>
      </c>
      <c r="D61" s="8">
        <v>7.7602919191122055E-5</v>
      </c>
      <c r="E61"/>
      <c r="F61"/>
      <c r="G61"/>
      <c r="H61"/>
      <c r="I61" s="9">
        <v>4.8099714331328869E-4</v>
      </c>
      <c r="J61" s="21">
        <v>2.6673693209886551E-3</v>
      </c>
      <c r="K61" s="8">
        <v>1.7774575553630712E-6</v>
      </c>
      <c r="L61"/>
      <c r="M61" s="11">
        <v>9.8338459793012589E-5</v>
      </c>
      <c r="N61" s="11">
        <v>1.0384734923718497E-4</v>
      </c>
      <c r="O61" s="365">
        <v>4.103604331612587E-2</v>
      </c>
      <c r="P61" s="8">
        <v>3.5549153835745528E-5</v>
      </c>
      <c r="Q61"/>
      <c r="R61"/>
      <c r="S61" s="66">
        <v>5.2984636276960373E-3</v>
      </c>
      <c r="T61"/>
      <c r="U61"/>
      <c r="V61"/>
      <c r="W61"/>
      <c r="X61"/>
      <c r="Y61"/>
      <c r="Z61"/>
      <c r="AA61"/>
      <c r="AB61"/>
      <c r="AC61" s="9">
        <v>3.1701888656243682E-4</v>
      </c>
      <c r="AD61" s="65">
        <v>4.5103314332664013E-3</v>
      </c>
      <c r="AE61" s="8">
        <v>2.2283233192865737E-5</v>
      </c>
      <c r="AF61" s="20">
        <v>5.1213556434959173E-4</v>
      </c>
      <c r="AG61" s="11">
        <v>2.8948124963790178E-4</v>
      </c>
      <c r="AH61"/>
      <c r="AI61" s="11">
        <v>2.327472175238654E-4</v>
      </c>
      <c r="AJ61" s="8">
        <v>4.2921074054902419E-5</v>
      </c>
      <c r="AK61" s="8">
        <v>3.5560365176934283E-6</v>
      </c>
      <c r="AL61" s="11">
        <v>1.2125581997679546E-4</v>
      </c>
      <c r="AM61" s="8">
        <v>4.4670534407487139E-5</v>
      </c>
      <c r="AN61" s="8">
        <v>8.1242242231382988E-6</v>
      </c>
      <c r="AO61" s="8">
        <v>8.1655553003656678E-6</v>
      </c>
      <c r="AP61" s="8">
        <v>1.3079620657663327E-5</v>
      </c>
      <c r="AQ61"/>
      <c r="AR61" s="9">
        <v>4.7988988808356225E-4</v>
      </c>
      <c r="AS61" s="12">
        <v>9.1318535851314664E-4</v>
      </c>
      <c r="AT61" s="70">
        <v>3.3508061897009611E-3</v>
      </c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8">
        <v>1.8456767065799795E-5</v>
      </c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282</v>
      </c>
      <c r="B62">
        <v>0.10000000149011612</v>
      </c>
      <c r="C62">
        <v>1.9274521619081497E-2</v>
      </c>
      <c r="D62" s="11">
        <v>2.3607775801792741E-4</v>
      </c>
      <c r="E62"/>
      <c r="F62"/>
      <c r="G62"/>
      <c r="H62"/>
      <c r="I62" s="64">
        <v>2.2838241420686245E-3</v>
      </c>
      <c r="J62" s="73">
        <v>6.9271158427000046E-3</v>
      </c>
      <c r="K62" s="11">
        <v>2.7408872847445309E-4</v>
      </c>
      <c r="L62" s="8">
        <v>9.1109732238692231E-6</v>
      </c>
      <c r="M62" s="64">
        <v>2.3632377851754427E-3</v>
      </c>
      <c r="N62" s="9">
        <v>3.5221443977206945E-4</v>
      </c>
      <c r="O62" s="366">
        <v>4.5297633856534958E-2</v>
      </c>
      <c r="P62" s="73">
        <v>6.7956047132611275E-3</v>
      </c>
      <c r="Q62"/>
      <c r="R62"/>
      <c r="S62" s="66">
        <v>5.2984640933573246E-3</v>
      </c>
      <c r="T62"/>
      <c r="U62"/>
      <c r="V62"/>
      <c r="W62"/>
      <c r="X62"/>
      <c r="Y62"/>
      <c r="Z62"/>
      <c r="AA62"/>
      <c r="AB62"/>
      <c r="AC62" s="9">
        <v>3.1701888656243682E-4</v>
      </c>
      <c r="AD62" s="65">
        <v>4.5103305019438267E-3</v>
      </c>
      <c r="AE62" s="8">
        <v>2.2283233192865737E-5</v>
      </c>
      <c r="AF62" s="20">
        <v>5.1213573897257447E-4</v>
      </c>
      <c r="AG62" s="11">
        <v>2.8948127874173224E-4</v>
      </c>
      <c r="AH62"/>
      <c r="AI62" s="11">
        <v>2.3274726117961109E-4</v>
      </c>
      <c r="AJ62" s="8">
        <v>4.2921063140965998E-5</v>
      </c>
      <c r="AK62" s="8">
        <v>3.5560367450671038E-6</v>
      </c>
      <c r="AL62" s="11">
        <v>1.2125581997679546E-4</v>
      </c>
      <c r="AM62" s="8">
        <v>4.4670519855571911E-5</v>
      </c>
      <c r="AN62" s="8">
        <v>8.1242224041488953E-6</v>
      </c>
      <c r="AO62" s="8">
        <v>8.1655525718815625E-6</v>
      </c>
      <c r="AP62" s="8">
        <v>1.3079617929179221E-5</v>
      </c>
      <c r="AQ62"/>
      <c r="AR62" s="9">
        <v>4.79890062706545E-4</v>
      </c>
      <c r="AS62" s="12">
        <v>9.1318506747484207E-4</v>
      </c>
      <c r="AT62" s="70">
        <v>3.3508043270558119E-3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8">
        <v>1.8456774341757409E-5</v>
      </c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283</v>
      </c>
      <c r="B63">
        <v>0.10000000149011612</v>
      </c>
      <c r="C63">
        <v>3.2297469675540924E-2</v>
      </c>
      <c r="D63" s="20">
        <v>4.9673771718516946E-4</v>
      </c>
      <c r="E63"/>
      <c r="F63"/>
      <c r="G63"/>
      <c r="H63"/>
      <c r="I63" s="353">
        <v>1.2613351456820965E-2</v>
      </c>
      <c r="J63" s="18">
        <v>1.8704362446442246E-3</v>
      </c>
      <c r="K63" s="8">
        <v>2.3100172256818041E-5</v>
      </c>
      <c r="L63" s="8">
        <v>4.6622255467809737E-5</v>
      </c>
      <c r="M63" s="12">
        <v>1.0226046433672309E-3</v>
      </c>
      <c r="N63" s="15">
        <v>1.101350411772728E-3</v>
      </c>
      <c r="O63" s="367">
        <v>2.6946958154439926E-2</v>
      </c>
      <c r="P63" s="72">
        <v>7.4169128201901913E-3</v>
      </c>
      <c r="Q63"/>
      <c r="R63"/>
      <c r="S63" s="66">
        <v>5.2984608337283134E-3</v>
      </c>
      <c r="T63"/>
      <c r="U63"/>
      <c r="V63"/>
      <c r="W63"/>
      <c r="X63"/>
      <c r="Y63"/>
      <c r="Z63"/>
      <c r="AA63"/>
      <c r="AB63"/>
      <c r="AC63" s="9">
        <v>3.1701882835477591E-4</v>
      </c>
      <c r="AD63" s="65">
        <v>4.5103300362825394E-3</v>
      </c>
      <c r="AE63"/>
      <c r="AF63" s="20">
        <v>5.1213573897257447E-4</v>
      </c>
      <c r="AG63" s="11">
        <v>2.8948122053407133E-4</v>
      </c>
      <c r="AH63"/>
      <c r="AI63" s="11">
        <v>2.3274715931620449E-4</v>
      </c>
      <c r="AJ63" s="8">
        <v>4.2921063140965998E-5</v>
      </c>
      <c r="AK63" s="8">
        <v>3.5560356081987265E-6</v>
      </c>
      <c r="AL63" s="11">
        <v>1.2125579814892262E-4</v>
      </c>
      <c r="AM63" s="8">
        <v>4.4670512579614297E-5</v>
      </c>
      <c r="AN63" s="8">
        <v>8.12421967566479E-6</v>
      </c>
      <c r="AO63" s="8">
        <v>8.1655516623868607E-6</v>
      </c>
      <c r="AP63" s="8">
        <v>1.3079619748168625E-5</v>
      </c>
      <c r="AQ63"/>
      <c r="AR63" s="9">
        <v>4.7988982987590134E-4</v>
      </c>
      <c r="AS63" s="12">
        <v>9.1318495105952024E-4</v>
      </c>
      <c r="AT63" s="70">
        <v>3.3508052583783865E-3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8">
        <v>1.8636639651958831E-5</v>
      </c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284</v>
      </c>
      <c r="B64">
        <v>0.10000000149011612</v>
      </c>
      <c r="C64">
        <v>6.2313903123140335E-2</v>
      </c>
      <c r="D64" s="11">
        <v>2.0286257495172322E-4</v>
      </c>
      <c r="E64"/>
      <c r="F64"/>
      <c r="G64"/>
      <c r="H64"/>
      <c r="I64" s="71">
        <v>4.8889243043959141E-3</v>
      </c>
      <c r="J64" s="19">
        <v>7.638669922016561E-4</v>
      </c>
      <c r="K64" s="8">
        <v>5.462556509883143E-5</v>
      </c>
      <c r="L64" s="8">
        <v>1.9040051483898424E-5</v>
      </c>
      <c r="M64" s="9">
        <v>4.0170861757360399E-4</v>
      </c>
      <c r="N64" s="11">
        <v>2.4928184575401247E-4</v>
      </c>
      <c r="O64" s="368">
        <v>1.1004861444234848E-2</v>
      </c>
      <c r="P64" s="371">
        <v>3.9366441778838634E-3</v>
      </c>
      <c r="Q64"/>
      <c r="R64"/>
      <c r="S64" s="66">
        <v>5.2984626963734627E-3</v>
      </c>
      <c r="T64"/>
      <c r="U64"/>
      <c r="V64"/>
      <c r="W64"/>
      <c r="X64"/>
      <c r="Y64"/>
      <c r="Z64"/>
      <c r="AA64"/>
      <c r="AB64"/>
      <c r="AC64" s="9">
        <v>3.1701882835477591E-4</v>
      </c>
      <c r="AD64" s="65">
        <v>4.5103295706212521E-3</v>
      </c>
      <c r="AE64"/>
      <c r="AF64" s="20">
        <v>5.1213573897257447E-4</v>
      </c>
      <c r="AG64" s="11">
        <v>2.8948124963790178E-4</v>
      </c>
      <c r="AH64"/>
      <c r="AI64" s="11">
        <v>2.3274717386811972E-4</v>
      </c>
      <c r="AJ64" s="8">
        <v>4.2921055865008384E-5</v>
      </c>
      <c r="AK64" s="8">
        <v>3.5560356081987265E-6</v>
      </c>
      <c r="AL64" s="11">
        <v>1.2125578359700739E-4</v>
      </c>
      <c r="AM64" s="8">
        <v>4.4670512579614297E-5</v>
      </c>
      <c r="AN64" s="8">
        <v>8.1242205851594917E-6</v>
      </c>
      <c r="AO64" s="8">
        <v>8.1655507528921589E-6</v>
      </c>
      <c r="AP64" s="8">
        <v>1.3079615200695116E-5</v>
      </c>
      <c r="AQ64"/>
      <c r="AR64" s="9">
        <v>4.7988980077207088E-4</v>
      </c>
      <c r="AS64" s="12">
        <v>9.1318495105952024E-4</v>
      </c>
      <c r="AT64" s="70">
        <v>3.3508043270558119E-3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8">
        <v>1.8456763427820988E-5</v>
      </c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285</v>
      </c>
      <c r="B65">
        <v>1</v>
      </c>
      <c r="C65">
        <v>0.35189110040664673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 s="20">
        <v>5.29846316203475E-3</v>
      </c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 s="8">
        <v>2.3274718842003495E-4</v>
      </c>
      <c r="AJ65" s="8">
        <v>4.2921063140965998E-5</v>
      </c>
      <c r="AK65" s="8">
        <v>3.5560360629460774E-6</v>
      </c>
      <c r="AL65" s="8">
        <v>1.2125579814892262E-4</v>
      </c>
      <c r="AM65" s="8">
        <v>4.4670508941635489E-5</v>
      </c>
      <c r="AN65" s="8">
        <v>8.1242205851594917E-6</v>
      </c>
      <c r="AO65" s="8">
        <v>8.1655498433974572E-6</v>
      </c>
      <c r="AP65" s="8">
        <v>1.3079618838673923E-5</v>
      </c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8">
        <v>1.8456767065799795E-5</v>
      </c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 s="379">
        <v>0.64231741428375244</v>
      </c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286</v>
      </c>
      <c r="B66">
        <v>0.12999999523162842</v>
      </c>
      <c r="C66">
        <v>6.4230887219309807E-3</v>
      </c>
      <c r="D66" s="20">
        <v>6.9100590189918876E-4</v>
      </c>
      <c r="E66"/>
      <c r="F66"/>
      <c r="G66"/>
      <c r="H66"/>
      <c r="I66" s="354">
        <v>3.2518442720174789E-2</v>
      </c>
      <c r="J66" s="15">
        <v>1.6353981336578727E-3</v>
      </c>
      <c r="K66" s="19">
        <v>9.2865468468517065E-4</v>
      </c>
      <c r="L66" s="8">
        <v>3.4968747058883309E-5</v>
      </c>
      <c r="M66" s="15">
        <v>1.5179504407569766E-3</v>
      </c>
      <c r="N66" s="19">
        <v>1.1308991815894842E-3</v>
      </c>
      <c r="O66" s="369">
        <v>1.9773002713918686E-2</v>
      </c>
      <c r="P66" s="361">
        <v>3.0172776430845261E-2</v>
      </c>
      <c r="Q66"/>
      <c r="R66"/>
      <c r="S66" s="362">
        <v>5.2984608337283134E-3</v>
      </c>
      <c r="T66"/>
      <c r="U66"/>
      <c r="V66"/>
      <c r="W66"/>
      <c r="X66"/>
      <c r="Y66"/>
      <c r="Z66"/>
      <c r="AA66"/>
      <c r="AB66"/>
      <c r="AC66"/>
      <c r="AD66"/>
      <c r="AE66"/>
      <c r="AF66" s="9">
        <v>5.1213591359555721E-4</v>
      </c>
      <c r="AG66"/>
      <c r="AH66"/>
      <c r="AI66" s="11">
        <v>2.3274718842003495E-4</v>
      </c>
      <c r="AJ66" s="8">
        <v>4.2921066778944805E-5</v>
      </c>
      <c r="AK66" s="8">
        <v>3.5560367450671038E-6</v>
      </c>
      <c r="AL66" s="8">
        <v>1.2125576176913455E-4</v>
      </c>
      <c r="AM66" s="8">
        <v>4.4670512579614297E-5</v>
      </c>
      <c r="AN66" s="8">
        <v>8.12421967566479E-6</v>
      </c>
      <c r="AO66" s="8">
        <v>8.1655516623868607E-6</v>
      </c>
      <c r="AP66" s="8">
        <v>1.3079620657663327E-5</v>
      </c>
      <c r="AQ66"/>
      <c r="AR66" s="9">
        <v>4.7988982987590134E-4</v>
      </c>
      <c r="AS66" s="19">
        <v>9.1318506747484207E-4</v>
      </c>
      <c r="AT66" s="23">
        <v>3.3508054912090302E-3</v>
      </c>
      <c r="AU66"/>
      <c r="AV66"/>
      <c r="AW66"/>
      <c r="AX66" s="9">
        <v>3.9507201290689409E-4</v>
      </c>
      <c r="AY66"/>
      <c r="AZ66"/>
      <c r="BA66"/>
      <c r="BB66" s="382">
        <v>2.0899632945656776E-2</v>
      </c>
      <c r="BC66"/>
      <c r="BD66"/>
      <c r="BE66"/>
      <c r="BF66"/>
      <c r="BG66"/>
      <c r="BH66"/>
      <c r="BI66"/>
      <c r="BJ66"/>
      <c r="BK66"/>
      <c r="BL66"/>
      <c r="BM66"/>
      <c r="BN66" s="8">
        <v>1.8456765246810392E-5</v>
      </c>
      <c r="BO66"/>
      <c r="BP66"/>
      <c r="BQ66"/>
      <c r="BR66" s="356">
        <v>2.8316441457718611E-3</v>
      </c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287</v>
      </c>
      <c r="B67">
        <v>0.10000000149011612</v>
      </c>
      <c r="C67">
        <v>1.9999993965029716E-2</v>
      </c>
      <c r="D67" s="9">
        <v>3.3975276164710522E-4</v>
      </c>
      <c r="E67"/>
      <c r="F67"/>
      <c r="G67"/>
      <c r="H67" s="20">
        <v>5.7451642351225019E-4</v>
      </c>
      <c r="I67" s="19">
        <v>7.7139207860454917E-4</v>
      </c>
      <c r="J67" s="9">
        <v>3.3206728403456509E-4</v>
      </c>
      <c r="K67" s="12">
        <v>1.0278839617967606E-3</v>
      </c>
      <c r="L67" s="8">
        <v>1.0761876012566063E-7</v>
      </c>
      <c r="M67" s="9">
        <v>3.6240863846614957E-4</v>
      </c>
      <c r="N67" s="8">
        <v>3.1110477721085772E-5</v>
      </c>
      <c r="O67" s="18">
        <v>1.9418057054281235E-3</v>
      </c>
      <c r="P67" s="372">
        <v>8.0262450501322746E-3</v>
      </c>
      <c r="Q67"/>
      <c r="R67"/>
      <c r="S67" s="17">
        <v>4.315120168030262E-3</v>
      </c>
      <c r="T67"/>
      <c r="U67"/>
      <c r="V67"/>
      <c r="W67"/>
      <c r="X67"/>
      <c r="Y67"/>
      <c r="Z67"/>
      <c r="AA67"/>
      <c r="AB67" s="13">
        <v>1.6647320007905364E-3</v>
      </c>
      <c r="AC67" s="11">
        <v>2.5818304857239127E-4</v>
      </c>
      <c r="AD67" s="10">
        <v>3.6732538137584925E-3</v>
      </c>
      <c r="AE67" s="8">
        <v>1.8147684386349283E-5</v>
      </c>
      <c r="AF67" s="9">
        <v>4.17088478570804E-4</v>
      </c>
      <c r="AG67" s="11">
        <v>2.3575633531436324E-4</v>
      </c>
      <c r="AH67"/>
      <c r="AI67" s="11">
        <v>1.8955157429445535E-4</v>
      </c>
      <c r="AJ67" s="8">
        <v>3.4955330193042755E-5</v>
      </c>
      <c r="AK67" s="8">
        <v>2.8960710096725961E-6</v>
      </c>
      <c r="AL67" s="11">
        <v>9.8751930636353791E-5</v>
      </c>
      <c r="AM67" s="8">
        <v>3.6380111851030961E-5</v>
      </c>
      <c r="AN67" s="8">
        <v>6.6164457166451029E-6</v>
      </c>
      <c r="AO67" s="8">
        <v>6.650106115557719E-6</v>
      </c>
      <c r="AP67" s="8">
        <v>1.065216838469496E-5</v>
      </c>
      <c r="AQ67"/>
      <c r="AR67" s="9">
        <v>3.9082701550796628E-4</v>
      </c>
      <c r="AS67" s="19">
        <v>7.4370676884427667E-4</v>
      </c>
      <c r="AT67" s="21">
        <v>2.7289288118481636E-3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8">
        <v>1.5031379007268697E-5</v>
      </c>
      <c r="BO67"/>
      <c r="BP67"/>
      <c r="BQ67"/>
      <c r="BR67" s="391">
        <v>5.174548551440239E-2</v>
      </c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288</v>
      </c>
      <c r="B68">
        <v>1.8999999761581421</v>
      </c>
      <c r="C68">
        <v>0.30144253373146057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13">
        <v>3.1122257933020592E-2</v>
      </c>
      <c r="X68"/>
      <c r="Y68"/>
      <c r="Z68"/>
      <c r="AA68"/>
      <c r="AB68"/>
      <c r="AC68" s="8">
        <v>7.1934220613911748E-5</v>
      </c>
      <c r="AD68"/>
      <c r="AE68"/>
      <c r="AF68"/>
      <c r="AG68" s="8">
        <v>1.2818105751648545E-3</v>
      </c>
      <c r="AH68"/>
      <c r="AI68" s="8">
        <v>2.3274710110854357E-4</v>
      </c>
      <c r="AJ68" s="8">
        <v>4.2921063140965998E-5</v>
      </c>
      <c r="AK68" s="8">
        <v>3.556035835572402E-6</v>
      </c>
      <c r="AL68" s="8">
        <v>1.2125579087296501E-4</v>
      </c>
      <c r="AM68" s="8">
        <v>4.4670523493550718E-5</v>
      </c>
      <c r="AN68" s="8">
        <v>8.1242224041488953E-6</v>
      </c>
      <c r="AO68" s="8">
        <v>8.1655534813762642E-6</v>
      </c>
      <c r="AP68" s="8">
        <v>1.3079617929179221E-5</v>
      </c>
      <c r="AQ68"/>
      <c r="AR68"/>
      <c r="AS68"/>
      <c r="AT68"/>
      <c r="AU68"/>
      <c r="AV68"/>
      <c r="AW68"/>
      <c r="AX68"/>
      <c r="AY68"/>
      <c r="AZ68"/>
      <c r="BA68"/>
      <c r="BB68" s="392">
        <v>1.562559962272644</v>
      </c>
      <c r="BC68"/>
      <c r="BD68"/>
      <c r="BE68"/>
      <c r="BF68"/>
      <c r="BG68"/>
      <c r="BH68"/>
      <c r="BI68"/>
      <c r="BJ68"/>
      <c r="BK68"/>
      <c r="BL68"/>
      <c r="BM68"/>
      <c r="BN68" s="8">
        <v>2.3981116100912914E-5</v>
      </c>
      <c r="BO68" s="11">
        <v>2.1702067460864782E-3</v>
      </c>
      <c r="BP68" s="8">
        <v>8.5267069516703486E-4</v>
      </c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289</v>
      </c>
      <c r="B69">
        <v>0.34999999403953552</v>
      </c>
      <c r="C69">
        <v>4.4584255665540695E-2</v>
      </c>
      <c r="D69"/>
      <c r="E69"/>
      <c r="F69"/>
      <c r="G69"/>
      <c r="H69"/>
      <c r="I69" s="20">
        <v>1.8407235620543361E-3</v>
      </c>
      <c r="J69" s="358">
        <v>0.23839153349399567</v>
      </c>
      <c r="K69"/>
      <c r="L69" s="8">
        <v>8.4617022366728634E-5</v>
      </c>
      <c r="M69" s="8">
        <v>4.3951578845735639E-5</v>
      </c>
      <c r="N69" s="11">
        <v>7.4265839066356421E-4</v>
      </c>
      <c r="O69" s="20">
        <v>2.3988524917513132E-3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 s="8">
        <v>7.193420606199652E-5</v>
      </c>
      <c r="AD69" s="9">
        <v>1.0406828951090574E-3</v>
      </c>
      <c r="AE69" s="8">
        <v>2.5654074852354825E-4</v>
      </c>
      <c r="AF69" s="8">
        <v>1.0961171210510656E-4</v>
      </c>
      <c r="AG69" s="9">
        <v>1.281810225918889E-3</v>
      </c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 s="70">
        <v>1.1529651470482349E-2</v>
      </c>
      <c r="BC69"/>
      <c r="BD69"/>
      <c r="BE69"/>
      <c r="BF69"/>
      <c r="BG69"/>
      <c r="BH69"/>
      <c r="BI69"/>
      <c r="BJ69"/>
      <c r="BK69"/>
      <c r="BL69"/>
      <c r="BM69"/>
      <c r="BN69" s="380">
        <v>4.4552642852067947E-2</v>
      </c>
      <c r="BO69" s="20">
        <v>2.1702072117477655E-3</v>
      </c>
      <c r="BP69" s="11">
        <v>8.5267057875171304E-4</v>
      </c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 s="8">
        <v>4.7624907892895862E-5</v>
      </c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290</v>
      </c>
      <c r="B70">
        <v>0.40000000596046448</v>
      </c>
      <c r="C70">
        <v>0.38537299633026123</v>
      </c>
      <c r="D70"/>
      <c r="E70"/>
      <c r="F70"/>
      <c r="G70"/>
      <c r="H70" s="15">
        <v>4.8351529985666275E-3</v>
      </c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8">
        <v>7.1934227889869362E-5</v>
      </c>
      <c r="AD70" s="11">
        <v>1.0406830115243793E-3</v>
      </c>
      <c r="AE70" s="8">
        <v>5.8037290727952495E-5</v>
      </c>
      <c r="AF70" s="8">
        <v>2.4797494916128926E-5</v>
      </c>
      <c r="AG70" s="9">
        <v>1.2818108079954982E-3</v>
      </c>
      <c r="AH70"/>
      <c r="AI70"/>
      <c r="AJ70"/>
      <c r="AK70"/>
      <c r="AL70"/>
      <c r="AM70"/>
      <c r="AN70"/>
      <c r="AO70"/>
      <c r="AP70"/>
      <c r="AQ70"/>
      <c r="AR70"/>
      <c r="AS70" s="12">
        <v>4.248050507158041E-3</v>
      </c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8">
        <v>4.3661846575560048E-5</v>
      </c>
      <c r="BO70" s="20">
        <v>2.1702079102396965E-3</v>
      </c>
      <c r="BP70" s="11">
        <v>8.526708697900176E-4</v>
      </c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291</v>
      </c>
      <c r="B71">
        <v>0.40000000596046448</v>
      </c>
      <c r="C71">
        <v>0.12629783153533936</v>
      </c>
      <c r="D71" s="19">
        <v>3.4653344191610813E-3</v>
      </c>
      <c r="E71"/>
      <c r="F71"/>
      <c r="G71"/>
      <c r="H71" s="8">
        <v>3.5416702303336933E-5</v>
      </c>
      <c r="I71" s="355">
        <v>2.2422706708312035E-2</v>
      </c>
      <c r="J71" s="8">
        <v>7.3659088229760528E-5</v>
      </c>
      <c r="K71" s="19">
        <v>2.8685526922345161E-3</v>
      </c>
      <c r="L71" s="15">
        <v>4.421659279614687E-3</v>
      </c>
      <c r="M71" s="64">
        <v>9.7424639388918877E-3</v>
      </c>
      <c r="N71" s="15">
        <v>4.7561624087393284E-3</v>
      </c>
      <c r="O71" s="20">
        <v>2.3763179779052734E-3</v>
      </c>
      <c r="P71" s="8">
        <v>2.5649609597167E-5</v>
      </c>
      <c r="Q71"/>
      <c r="R71"/>
      <c r="S71"/>
      <c r="T71"/>
      <c r="U71"/>
      <c r="V71"/>
      <c r="W71"/>
      <c r="X71"/>
      <c r="Y71"/>
      <c r="Z71"/>
      <c r="AA71"/>
      <c r="AB71"/>
      <c r="AC71" s="8">
        <v>7.1934191510081291E-5</v>
      </c>
      <c r="AD71" s="11">
        <v>1.0406825458630919E-3</v>
      </c>
      <c r="AE71" s="8">
        <v>2.3418472846969962E-4</v>
      </c>
      <c r="AF71" s="14">
        <v>5.7987603358924389E-3</v>
      </c>
      <c r="AG71" s="11">
        <v>6.3296791631728411E-4</v>
      </c>
      <c r="AH71"/>
      <c r="AI71"/>
      <c r="AJ71"/>
      <c r="AK71"/>
      <c r="AL71"/>
      <c r="AM71"/>
      <c r="AN71"/>
      <c r="AO71"/>
      <c r="AP71"/>
      <c r="AQ71"/>
      <c r="AR71"/>
      <c r="AS71" s="12">
        <v>4.248050507158041E-3</v>
      </c>
      <c r="AT71"/>
      <c r="AU71"/>
      <c r="AV71"/>
      <c r="AW71"/>
      <c r="AX71"/>
      <c r="AY71"/>
      <c r="AZ71"/>
      <c r="BA71"/>
      <c r="BB71" s="8">
        <v>5.2117939048912376E-6</v>
      </c>
      <c r="BC71" s="14">
        <v>5.7607558555901051E-3</v>
      </c>
      <c r="BD71" s="349">
        <v>6.5035216510295868E-2</v>
      </c>
      <c r="BE71"/>
      <c r="BF71"/>
      <c r="BG71"/>
      <c r="BH71"/>
      <c r="BI71"/>
      <c r="BJ71"/>
      <c r="BK71"/>
      <c r="BL71"/>
      <c r="BM71"/>
      <c r="BN71" s="14">
        <v>5.4315500892698765E-3</v>
      </c>
      <c r="BO71" s="20">
        <v>2.1702074445784092E-3</v>
      </c>
      <c r="BP71" s="11">
        <v>8.5267069516703486E-4</v>
      </c>
      <c r="BQ71"/>
      <c r="BR71" s="390">
        <v>7.3796778917312622E-2</v>
      </c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 s="376">
        <v>5.476224422454834E-2</v>
      </c>
      <c r="CI71" s="12">
        <v>3.6730158608406782E-3</v>
      </c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180</v>
      </c>
      <c r="B72">
        <v>0.40000000596046448</v>
      </c>
      <c r="C72">
        <v>7.9999975860118866E-2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 s="362">
        <v>1.6734430566430092E-2</v>
      </c>
      <c r="V72"/>
      <c r="W72"/>
      <c r="X72"/>
      <c r="Y72"/>
      <c r="Z72"/>
      <c r="AA72"/>
      <c r="AB72"/>
      <c r="AC72" s="8">
        <v>6.5160158555954695E-5</v>
      </c>
      <c r="AD72" s="11">
        <v>9.4268139218911529E-4</v>
      </c>
      <c r="AE72" s="8">
        <v>1.5931061625451548E-7</v>
      </c>
      <c r="AF72" s="8">
        <v>6.8068381153807422E-8</v>
      </c>
      <c r="AG72" s="11">
        <v>5.7336105965077877E-4</v>
      </c>
      <c r="AH72"/>
      <c r="AI72"/>
      <c r="AJ72"/>
      <c r="AK72"/>
      <c r="AL72"/>
      <c r="AM72"/>
      <c r="AN72"/>
      <c r="AO72"/>
      <c r="AP72"/>
      <c r="AQ72"/>
      <c r="AR72"/>
      <c r="AS72" s="12">
        <v>3.8480092771351337E-3</v>
      </c>
      <c r="AT72"/>
      <c r="AU72"/>
      <c r="AV72" s="65">
        <v>1.769154891371727E-2</v>
      </c>
      <c r="AW72" s="376">
        <v>5.4730057716369629E-2</v>
      </c>
      <c r="AX72" s="354">
        <v>0.10026463866233826</v>
      </c>
      <c r="AY72"/>
      <c r="AZ72"/>
      <c r="BA72" s="8">
        <v>1.2170963600510731E-4</v>
      </c>
      <c r="BB72" s="368">
        <v>4.3987073004245758E-2</v>
      </c>
      <c r="BC72" s="11">
        <v>5.9866806259378791E-4</v>
      </c>
      <c r="BD72" s="69">
        <v>1.1394494213163853E-2</v>
      </c>
      <c r="BE72"/>
      <c r="BF72"/>
      <c r="BG72" s="10">
        <v>1.4885156415402889E-2</v>
      </c>
      <c r="BH72"/>
      <c r="BI72" s="12">
        <v>4.1501978412270546E-3</v>
      </c>
      <c r="BJ72"/>
      <c r="BK72"/>
      <c r="BL72"/>
      <c r="BM72"/>
      <c r="BN72" s="11">
        <v>9.1653608251363039E-4</v>
      </c>
      <c r="BO72" s="20">
        <v>1.9658375531435013E-3</v>
      </c>
      <c r="BP72" s="11">
        <v>7.7237491495907307E-4</v>
      </c>
      <c r="BQ72"/>
      <c r="BR72" s="356">
        <v>8.4997955709695816E-3</v>
      </c>
      <c r="BS72" s="372">
        <v>3.2540801912546158E-2</v>
      </c>
      <c r="BT72"/>
      <c r="BU72"/>
      <c r="BV72"/>
      <c r="BW72"/>
      <c r="BX72"/>
      <c r="BY72"/>
      <c r="BZ72"/>
      <c r="CA72"/>
      <c r="CB72"/>
      <c r="CC72"/>
      <c r="CD72" s="8">
        <v>2.3694449919275939E-4</v>
      </c>
      <c r="CE72"/>
      <c r="CF72"/>
      <c r="CG72" s="8">
        <v>5.8156520026386715E-6</v>
      </c>
      <c r="CH72" s="20">
        <v>2.6553396601229906E-3</v>
      </c>
      <c r="CI72" s="20">
        <v>2.419087802991271E-3</v>
      </c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292</v>
      </c>
      <c r="B73">
        <v>0.40000000596046448</v>
      </c>
      <c r="C73">
        <v>7.9999975860118866E-2</v>
      </c>
      <c r="D73"/>
      <c r="E73"/>
      <c r="F73"/>
      <c r="G73"/>
      <c r="H73" s="8">
        <v>1.0734931947808946E-6</v>
      </c>
      <c r="I73" s="8">
        <v>3.346871817484498E-4</v>
      </c>
      <c r="J73" s="8">
        <v>1.6165653505595401E-5</v>
      </c>
      <c r="K73" s="8">
        <v>5.7191027735825628E-5</v>
      </c>
      <c r="L73" s="8">
        <v>5.0568967708386481E-5</v>
      </c>
      <c r="M73" s="8">
        <v>1.0361099703004584E-4</v>
      </c>
      <c r="N73" s="8">
        <v>4.0188628190662712E-5</v>
      </c>
      <c r="O73" s="8">
        <v>2.5026034563779831E-4</v>
      </c>
      <c r="P73" s="8">
        <v>7.8374512668233365E-5</v>
      </c>
      <c r="Q73"/>
      <c r="R73"/>
      <c r="S73"/>
      <c r="T73"/>
      <c r="U73" s="21">
        <v>1.0848995298147202E-2</v>
      </c>
      <c r="V73"/>
      <c r="W73" s="65">
        <v>1.8276626244187355E-2</v>
      </c>
      <c r="X73" s="371">
        <v>1.5587104484438896E-2</v>
      </c>
      <c r="Y73"/>
      <c r="Z73"/>
      <c r="AA73"/>
      <c r="AB73"/>
      <c r="AC73" s="8">
        <v>4.2243558709742501E-5</v>
      </c>
      <c r="AD73" s="11">
        <v>6.111438269726932E-4</v>
      </c>
      <c r="AE73" s="8">
        <v>1.9157286442350596E-4</v>
      </c>
      <c r="AF73" s="14">
        <v>5.1296842284500599E-3</v>
      </c>
      <c r="AG73" s="12">
        <v>4.0734685026109219E-3</v>
      </c>
      <c r="AH73"/>
      <c r="AI73"/>
      <c r="AJ73"/>
      <c r="AK73"/>
      <c r="AL73"/>
      <c r="AM73"/>
      <c r="AN73"/>
      <c r="AO73"/>
      <c r="AP73"/>
      <c r="AQ73"/>
      <c r="AR73" s="8">
        <v>1.8838682444766164E-4</v>
      </c>
      <c r="AS73" s="20">
        <v>2.4946790654212236E-3</v>
      </c>
      <c r="AT73" s="20">
        <v>2.212919294834137E-3</v>
      </c>
      <c r="AU73"/>
      <c r="AV73" s="352">
        <v>3.4724310040473938E-2</v>
      </c>
      <c r="AW73"/>
      <c r="AX73" s="356">
        <v>8.8041257113218307E-3</v>
      </c>
      <c r="AY73"/>
      <c r="AZ73"/>
      <c r="BA73"/>
      <c r="BB73" s="412">
        <v>0.11866538226604462</v>
      </c>
      <c r="BC73" s="8">
        <v>3.9510687201982364E-6</v>
      </c>
      <c r="BD73" s="19">
        <v>2.8049333486706018E-3</v>
      </c>
      <c r="BE73"/>
      <c r="BF73"/>
      <c r="BG73"/>
      <c r="BH73"/>
      <c r="BI73"/>
      <c r="BJ73"/>
      <c r="BK73"/>
      <c r="BL73" s="19">
        <v>3.0732492450624704E-3</v>
      </c>
      <c r="BM73"/>
      <c r="BN73" s="11">
        <v>4.4824535143561661E-4</v>
      </c>
      <c r="BO73" s="9">
        <v>1.2744603445753455E-3</v>
      </c>
      <c r="BP73" s="9">
        <v>1.1990142520517111E-3</v>
      </c>
      <c r="BQ73"/>
      <c r="BR73" s="20">
        <v>1.9654498901218176E-3</v>
      </c>
      <c r="BS73" s="20">
        <v>1.9639169331640005E-3</v>
      </c>
      <c r="BT73"/>
      <c r="BU73"/>
      <c r="BV73"/>
      <c r="BW73" s="8">
        <v>2.5963253574445844E-4</v>
      </c>
      <c r="BX73"/>
      <c r="BY73"/>
      <c r="BZ73"/>
      <c r="CA73" s="8">
        <v>1.2672079492404009E-6</v>
      </c>
      <c r="CB73" s="8">
        <v>3.3034650570584745E-9</v>
      </c>
      <c r="CC73"/>
      <c r="CD73" s="8">
        <v>6.3372676777362358E-6</v>
      </c>
      <c r="CE73"/>
      <c r="CF73"/>
      <c r="CG73"/>
      <c r="CH73"/>
      <c r="CI73" s="9">
        <v>1.8032715888693929E-3</v>
      </c>
      <c r="CJ73" s="68">
        <v>8.2413539290428162E-2</v>
      </c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293</v>
      </c>
      <c r="B74">
        <v>0.80000001192092896</v>
      </c>
      <c r="C74">
        <v>0.15999999642372131</v>
      </c>
      <c r="D74"/>
      <c r="E74"/>
      <c r="F74"/>
      <c r="G74"/>
      <c r="H74"/>
      <c r="I74" s="8">
        <v>4.5454529754351825E-5</v>
      </c>
      <c r="J74" s="8">
        <v>7.7137052301168296E-8</v>
      </c>
      <c r="K74" s="8">
        <v>8.8137339844251983E-6</v>
      </c>
      <c r="L74" s="8">
        <v>4.6815368114039302E-4</v>
      </c>
      <c r="M74" s="8">
        <v>1.47144037327962E-5</v>
      </c>
      <c r="N74" s="8">
        <v>1.5908177374512888E-5</v>
      </c>
      <c r="O74" s="8">
        <v>8.7379939941456541E-6</v>
      </c>
      <c r="P74" s="8">
        <v>6.9559009716613218E-6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 s="8">
        <v>6.998118624323979E-5</v>
      </c>
      <c r="AF74" s="11">
        <v>1.8792429473251104E-3</v>
      </c>
      <c r="AG74" s="8">
        <v>5.7704088976606727E-4</v>
      </c>
      <c r="AH74"/>
      <c r="AI74"/>
      <c r="AJ74"/>
      <c r="AK74"/>
      <c r="AL74"/>
      <c r="AM74"/>
      <c r="AN74"/>
      <c r="AO74"/>
      <c r="AP74"/>
      <c r="AQ74"/>
      <c r="AR74" s="9">
        <v>2.8696293011307716E-3</v>
      </c>
      <c r="AS74"/>
      <c r="AT74" s="15">
        <v>9.0810805559158325E-3</v>
      </c>
      <c r="AU74"/>
      <c r="AV74" s="11">
        <v>1.9423646153882146E-3</v>
      </c>
      <c r="AW74"/>
      <c r="AX74" s="76">
        <v>9.1775380074977875E-2</v>
      </c>
      <c r="AY74"/>
      <c r="AZ74"/>
      <c r="BA74"/>
      <c r="BB74" s="8">
        <v>2.5728475065989187E-6</v>
      </c>
      <c r="BC74" s="8">
        <v>1.4998804545029998E-6</v>
      </c>
      <c r="BD74" s="357">
        <v>8.2829654216766357E-2</v>
      </c>
      <c r="BE74"/>
      <c r="BF74"/>
      <c r="BG74"/>
      <c r="BH74"/>
      <c r="BI74"/>
      <c r="BJ74"/>
      <c r="BK74"/>
      <c r="BL74"/>
      <c r="BM74" s="8">
        <v>3.5774664138443768E-4</v>
      </c>
      <c r="BN74" s="11">
        <v>1.3943227240815759E-3</v>
      </c>
      <c r="BO74"/>
      <c r="BP74" s="11">
        <v>1.0918483603745699E-3</v>
      </c>
      <c r="BQ74"/>
      <c r="BR74" s="74">
        <v>6.6433407366275787E-2</v>
      </c>
      <c r="BS74"/>
      <c r="BT74" s="418">
        <v>0.36955869197845459</v>
      </c>
      <c r="BU74"/>
      <c r="BV74"/>
      <c r="BW74" s="19">
        <v>6.913116667419672E-3</v>
      </c>
      <c r="BX74"/>
      <c r="BY74"/>
      <c r="BZ74"/>
      <c r="CA74"/>
      <c r="CB74"/>
      <c r="CC74" s="8">
        <v>3.2550190098845633E-6</v>
      </c>
      <c r="CD74" s="8">
        <v>4.0741963312029839E-4</v>
      </c>
      <c r="CE74"/>
      <c r="CF74"/>
      <c r="CG74"/>
      <c r="CH74"/>
      <c r="CI74" s="11">
        <v>2.243012422695756E-3</v>
      </c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294</v>
      </c>
      <c r="B75">
        <v>3.2000000476837158</v>
      </c>
      <c r="C75">
        <v>0.63999998569488525</v>
      </c>
      <c r="D75"/>
      <c r="E75"/>
      <c r="F75"/>
      <c r="G75"/>
      <c r="H75"/>
      <c r="I75" s="8">
        <v>5.1999362767674029E-5</v>
      </c>
      <c r="J75" s="8">
        <v>1.4259326519550086E-7</v>
      </c>
      <c r="K75"/>
      <c r="L75"/>
      <c r="M75" s="8">
        <v>2.2013502984918887E-6</v>
      </c>
      <c r="N75" s="8">
        <v>1.2386731395963579E-4</v>
      </c>
      <c r="O75" s="8">
        <v>2.6716414140537381E-5</v>
      </c>
      <c r="P75" s="8">
        <v>1.6188658946703072E-6</v>
      </c>
      <c r="Q75"/>
      <c r="R75"/>
      <c r="S75" s="10">
        <v>0.12124495953321457</v>
      </c>
      <c r="T75" s="8">
        <v>2.6176290703006089E-4</v>
      </c>
      <c r="U75" s="66">
        <v>0.17229896783828735</v>
      </c>
      <c r="V75"/>
      <c r="W75" s="11">
        <v>3.3096405677497387E-3</v>
      </c>
      <c r="X75"/>
      <c r="Y75" s="8">
        <v>1.8113745609298348E-3</v>
      </c>
      <c r="Z75"/>
      <c r="AA75" s="8">
        <v>1.9860266183968633E-4</v>
      </c>
      <c r="AB75" s="11">
        <v>6.2317722477018833E-3</v>
      </c>
      <c r="AC75" s="8">
        <v>9.7146304324269295E-4</v>
      </c>
      <c r="AD75" s="9">
        <v>1.3821320608258247E-2</v>
      </c>
      <c r="AE75" s="8">
        <v>4.8085898015415296E-5</v>
      </c>
      <c r="AF75" s="8">
        <v>1.2912767706438899E-3</v>
      </c>
      <c r="AG75" s="8">
        <v>3.9649978862144053E-4</v>
      </c>
      <c r="AH75" s="8">
        <v>1.3411317486315966E-3</v>
      </c>
      <c r="AI75" s="9">
        <v>9.8343603312969208E-3</v>
      </c>
      <c r="AJ75" s="8">
        <v>3.7925117067061365E-4</v>
      </c>
      <c r="AK75" s="8">
        <v>3.2098744213726604E-6</v>
      </c>
      <c r="AL75" s="11">
        <v>5.6617017835378647E-3</v>
      </c>
      <c r="AM75" s="12">
        <v>3.2013431191444397E-2</v>
      </c>
      <c r="AN75" s="11">
        <v>6.0309269465506077E-3</v>
      </c>
      <c r="AO75"/>
      <c r="AP75"/>
      <c r="AQ75" s="8">
        <v>2.5899913161993027E-3</v>
      </c>
      <c r="AR75" s="8">
        <v>2.2502883803099394E-4</v>
      </c>
      <c r="AS75" s="11">
        <v>7.7184597030282021E-3</v>
      </c>
      <c r="AT75" s="8">
        <v>2.6135477237403393E-3</v>
      </c>
      <c r="AU75"/>
      <c r="AV75" s="22">
        <v>9.7722850739955902E-2</v>
      </c>
      <c r="AW75"/>
      <c r="AX75" s="9">
        <v>1.2503717094659805E-2</v>
      </c>
      <c r="AY75"/>
      <c r="AZ75"/>
      <c r="BA75"/>
      <c r="BB75" s="406">
        <v>0.43114489316940308</v>
      </c>
      <c r="BC75"/>
      <c r="BD75" s="15">
        <v>3.6166932433843613E-2</v>
      </c>
      <c r="BE75"/>
      <c r="BF75"/>
      <c r="BG75"/>
      <c r="BH75"/>
      <c r="BI75"/>
      <c r="BJ75"/>
      <c r="BK75"/>
      <c r="BL75"/>
      <c r="BM75"/>
      <c r="BN75" s="8">
        <v>1.9488570978865027E-3</v>
      </c>
      <c r="BO75"/>
      <c r="BP75"/>
      <c r="BQ75" s="8">
        <v>1.0298175766365603E-5</v>
      </c>
      <c r="BR75" s="65">
        <v>0.14726175367832184</v>
      </c>
      <c r="BS75"/>
      <c r="BT75" s="12">
        <v>3.1500842422246933E-2</v>
      </c>
      <c r="BU75" s="9">
        <v>1.4432440511882305E-2</v>
      </c>
      <c r="BV75"/>
      <c r="BW75" s="8">
        <v>2.8159522917121649E-3</v>
      </c>
      <c r="BX75"/>
      <c r="BY75" s="8">
        <v>1.2780334509443492E-4</v>
      </c>
      <c r="BZ75" s="8">
        <v>3.3160554266942199E-6</v>
      </c>
      <c r="CA75" s="11">
        <v>3.4334727097302675E-3</v>
      </c>
      <c r="CB75"/>
      <c r="CC75"/>
      <c r="CD75" s="8">
        <v>1.0408450179966167E-5</v>
      </c>
      <c r="CE75"/>
      <c r="CF75"/>
      <c r="CG75"/>
      <c r="CH75"/>
      <c r="CI75" s="8">
        <v>4.8574206630291883E-6</v>
      </c>
      <c r="CJ75"/>
      <c r="CK75"/>
      <c r="CL75"/>
      <c r="CM75"/>
      <c r="CN75" s="437">
        <v>1.3902333974838257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 s="8">
        <v>1.7504292191006243E-4</v>
      </c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295</v>
      </c>
      <c r="B76">
        <v>1.8158609867095947</v>
      </c>
      <c r="C76">
        <v>1.0429781675338745</v>
      </c>
      <c r="D76"/>
      <c r="E76"/>
      <c r="F76"/>
      <c r="G76" s="344">
        <v>0.28831225633621216</v>
      </c>
      <c r="H76"/>
      <c r="I76" s="8">
        <v>8.3420534792821854E-5</v>
      </c>
      <c r="J76" s="8">
        <v>1.4773239627174917E-6</v>
      </c>
      <c r="K76" s="8">
        <v>1.6664314372860645E-8</v>
      </c>
      <c r="L76"/>
      <c r="M76" s="8">
        <v>2.6950863684760407E-5</v>
      </c>
      <c r="N76" s="8">
        <v>7.495573372580111E-4</v>
      </c>
      <c r="O76" s="8">
        <v>3.7495014112209901E-5</v>
      </c>
      <c r="P76" s="8">
        <v>1.0937509387076716E-6</v>
      </c>
      <c r="Q76"/>
      <c r="R76"/>
      <c r="S76"/>
      <c r="T76" s="8">
        <v>3.9132530218921602E-4</v>
      </c>
      <c r="U76"/>
      <c r="V76"/>
      <c r="W76" s="16">
        <v>3.1122226268053055E-2</v>
      </c>
      <c r="X76" s="14">
        <v>2.6542406529188156E-2</v>
      </c>
      <c r="Y76" s="8">
        <v>4.4911948498338461E-4</v>
      </c>
      <c r="Z76"/>
      <c r="AA76" s="8">
        <v>6.8939273478463292E-4</v>
      </c>
      <c r="AB76"/>
      <c r="AC76" s="8">
        <v>5.0857628230005503E-4</v>
      </c>
      <c r="AD76" s="9">
        <v>7.235680241137743E-3</v>
      </c>
      <c r="AE76" s="8">
        <v>1.6548634739592671E-3</v>
      </c>
      <c r="AF76" s="64">
        <v>4.4410906732082367E-2</v>
      </c>
      <c r="AG76" s="11">
        <v>2.1337000653147697E-3</v>
      </c>
      <c r="AH76"/>
      <c r="AI76"/>
      <c r="AJ76"/>
      <c r="AK76"/>
      <c r="AL76"/>
      <c r="AM76"/>
      <c r="AN76"/>
      <c r="AO76"/>
      <c r="AP76"/>
      <c r="AQ76"/>
      <c r="AR76" s="11">
        <v>2.148857805877924E-3</v>
      </c>
      <c r="AS76" s="362">
        <v>7.4291810393333435E-2</v>
      </c>
      <c r="AT76"/>
      <c r="AU76"/>
      <c r="AV76"/>
      <c r="AW76"/>
      <c r="AX76"/>
      <c r="AY76"/>
      <c r="AZ76"/>
      <c r="BA76"/>
      <c r="BB76" s="373">
        <v>0.28114834427833557</v>
      </c>
      <c r="BC76"/>
      <c r="BD76" s="9">
        <v>7.9204468056559563E-3</v>
      </c>
      <c r="BE76"/>
      <c r="BF76"/>
      <c r="BG76"/>
      <c r="BH76"/>
      <c r="BI76"/>
      <c r="BJ76"/>
      <c r="BK76"/>
      <c r="BL76"/>
      <c r="BM76"/>
      <c r="BN76"/>
      <c r="BO76" s="11">
        <v>2.1702067460864782E-3</v>
      </c>
      <c r="BP76" s="8">
        <v>8.5267052054405212E-4</v>
      </c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296</v>
      </c>
      <c r="B77">
        <v>1.641523003578186</v>
      </c>
      <c r="C77">
        <v>1.0118833780288696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 s="8">
        <v>3.9132518577389419E-4</v>
      </c>
      <c r="U77"/>
      <c r="V77"/>
      <c r="W77" s="18">
        <v>3.1122224405407906E-2</v>
      </c>
      <c r="X77" s="13">
        <v>2.654239721596241E-2</v>
      </c>
      <c r="Y77" s="8">
        <v>4.4911928125657141E-4</v>
      </c>
      <c r="Z77"/>
      <c r="AA77" s="8">
        <v>6.8939273478463292E-4</v>
      </c>
      <c r="AB77"/>
      <c r="AC77" s="8">
        <v>7.1934184234123677E-5</v>
      </c>
      <c r="AD77" s="8">
        <v>1.0406820802018046E-3</v>
      </c>
      <c r="AE77" s="11">
        <v>1.6548630082979798E-3</v>
      </c>
      <c r="AF77" s="21">
        <v>4.4410876929759979E-2</v>
      </c>
      <c r="AG77"/>
      <c r="AH77"/>
      <c r="AI77"/>
      <c r="AJ77"/>
      <c r="AK77"/>
      <c r="AL77"/>
      <c r="AM77"/>
      <c r="AN77"/>
      <c r="AO77"/>
      <c r="AP77"/>
      <c r="AQ77" s="8">
        <v>3.2644299790263176E-4</v>
      </c>
      <c r="AR77"/>
      <c r="AS77"/>
      <c r="AT77"/>
      <c r="AU77"/>
      <c r="AV77"/>
      <c r="AW77"/>
      <c r="AX77"/>
      <c r="AY77"/>
      <c r="AZ77"/>
      <c r="BA77"/>
      <c r="BB77" s="393">
        <v>0.51991748809814453</v>
      </c>
      <c r="BC77"/>
      <c r="BD77"/>
      <c r="BE77"/>
      <c r="BF77"/>
      <c r="BG77"/>
      <c r="BH77"/>
      <c r="BI77"/>
      <c r="BJ77"/>
      <c r="BK77"/>
      <c r="BL77"/>
      <c r="BM77"/>
      <c r="BN77"/>
      <c r="BO77" s="11">
        <v>2.1702060475945473E-3</v>
      </c>
      <c r="BP77" s="8">
        <v>8.5267046233639121E-4</v>
      </c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297</v>
      </c>
      <c r="B78">
        <v>0.80000001192092896</v>
      </c>
      <c r="C78">
        <v>0.15999995172023773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 s="8">
        <v>3.8202022551558912E-4</v>
      </c>
      <c r="U78" s="19">
        <v>6.4377398230135441E-3</v>
      </c>
      <c r="V78"/>
      <c r="W78"/>
      <c r="X78"/>
      <c r="Y78"/>
      <c r="Z78"/>
      <c r="AA78"/>
      <c r="AB78"/>
      <c r="AC78" s="8">
        <v>7.0223730290308595E-5</v>
      </c>
      <c r="AD78" s="11">
        <v>1.0159367229789495E-3</v>
      </c>
      <c r="AE78" s="8">
        <v>4.5216529542813078E-6</v>
      </c>
      <c r="AF78" s="8">
        <v>1.9319586499477737E-6</v>
      </c>
      <c r="AG78"/>
      <c r="AH78" s="8">
        <v>5.4275192087516189E-4</v>
      </c>
      <c r="AI78"/>
      <c r="AJ78"/>
      <c r="AK78"/>
      <c r="AL78"/>
      <c r="AM78"/>
      <c r="AN78"/>
      <c r="AO78" s="8">
        <v>4.8639319720678031E-4</v>
      </c>
      <c r="AP78"/>
      <c r="AQ78" s="8">
        <v>3.186808608006686E-4</v>
      </c>
      <c r="AR78"/>
      <c r="AS78"/>
      <c r="AT78"/>
      <c r="AU78"/>
      <c r="AV78" s="11">
        <v>2.1520818118005991E-3</v>
      </c>
      <c r="AW78"/>
      <c r="AX78"/>
      <c r="AY78"/>
      <c r="AZ78"/>
      <c r="BA78"/>
      <c r="BB78" s="11">
        <v>1.1744106886908412E-3</v>
      </c>
      <c r="BC78"/>
      <c r="BD78"/>
      <c r="BE78"/>
      <c r="BF78"/>
      <c r="BG78"/>
      <c r="BH78"/>
      <c r="BI78"/>
      <c r="BJ78"/>
      <c r="BK78"/>
      <c r="BL78"/>
      <c r="BM78"/>
      <c r="BN78" s="9">
        <v>3.8398972246795893E-3</v>
      </c>
      <c r="BO78" s="11">
        <v>2.1186026278883219E-3</v>
      </c>
      <c r="BP78"/>
      <c r="BQ78"/>
      <c r="BR78"/>
      <c r="BS78"/>
      <c r="BT78" s="402">
        <v>0.61697506904602051</v>
      </c>
      <c r="BU78"/>
      <c r="BV78"/>
      <c r="BW78"/>
      <c r="BX78"/>
      <c r="BY78"/>
      <c r="BZ78"/>
      <c r="CA78" s="8">
        <v>2.8866839784313925E-5</v>
      </c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 s="20">
        <v>4.4508902356028557E-3</v>
      </c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298</v>
      </c>
      <c r="B79">
        <v>0.80000001192092896</v>
      </c>
      <c r="C79">
        <v>0.15999995172023773</v>
      </c>
      <c r="D79"/>
      <c r="E79"/>
      <c r="F79"/>
      <c r="G79"/>
      <c r="H79"/>
      <c r="I79"/>
      <c r="J79"/>
      <c r="K79"/>
      <c r="L79"/>
      <c r="M79"/>
      <c r="N79"/>
      <c r="O79" s="8">
        <v>1.3590089054105192E-9</v>
      </c>
      <c r="P79"/>
      <c r="Q79"/>
      <c r="R79"/>
      <c r="S79"/>
      <c r="T79" s="8">
        <v>2.2405287018045783E-4</v>
      </c>
      <c r="U79" s="9">
        <v>3.7757002282887697E-3</v>
      </c>
      <c r="V79"/>
      <c r="W79"/>
      <c r="X79"/>
      <c r="Y79"/>
      <c r="Z79"/>
      <c r="AA79"/>
      <c r="AB79"/>
      <c r="AC79" s="8">
        <v>4.1185820009559393E-5</v>
      </c>
      <c r="AD79" s="8">
        <v>5.9584126574918628E-4</v>
      </c>
      <c r="AE79" s="8">
        <v>1.2854497072112281E-5</v>
      </c>
      <c r="AF79" s="8">
        <v>3.4679664531722665E-4</v>
      </c>
      <c r="AG79"/>
      <c r="AH79" s="8">
        <v>3.1832096283324063E-4</v>
      </c>
      <c r="AI79" s="8">
        <v>5.5823539150878787E-4</v>
      </c>
      <c r="AJ79" s="19">
        <v>5.7261795736849308E-3</v>
      </c>
      <c r="AK79"/>
      <c r="AL79"/>
      <c r="AM79"/>
      <c r="AN79"/>
      <c r="AO79" s="8">
        <v>2.8526701498776674E-4</v>
      </c>
      <c r="AP79"/>
      <c r="AQ79" s="8">
        <v>1.8690453725866973E-4</v>
      </c>
      <c r="AR79"/>
      <c r="AS79"/>
      <c r="AT79"/>
      <c r="AU79"/>
      <c r="AV79" s="19">
        <v>5.9929937124252319E-3</v>
      </c>
      <c r="AW79"/>
      <c r="AX79" s="11">
        <v>1.3916512252762914E-3</v>
      </c>
      <c r="AY79"/>
      <c r="AZ79"/>
      <c r="BA79" s="8">
        <v>9.8947260994464159E-5</v>
      </c>
      <c r="BB79" s="349">
        <v>0.13057845830917358</v>
      </c>
      <c r="BC79"/>
      <c r="BD79"/>
      <c r="BE79"/>
      <c r="BF79"/>
      <c r="BG79"/>
      <c r="BH79"/>
      <c r="BI79"/>
      <c r="BJ79"/>
      <c r="BK79"/>
      <c r="BL79"/>
      <c r="BM79"/>
      <c r="BN79" s="8">
        <v>1.0627157280396204E-5</v>
      </c>
      <c r="BO79" s="11">
        <v>1.2425485765561461E-3</v>
      </c>
      <c r="BP79"/>
      <c r="BQ79"/>
      <c r="BR79" s="356">
        <v>1.7184106633067131E-2</v>
      </c>
      <c r="BS79"/>
      <c r="BT79"/>
      <c r="BU79"/>
      <c r="BV79"/>
      <c r="BW79" s="23">
        <v>1.9710997119545937E-2</v>
      </c>
      <c r="BX79"/>
      <c r="BY79"/>
      <c r="BZ79"/>
      <c r="CA79" s="8">
        <v>7.2413904126733541E-4</v>
      </c>
      <c r="CB79"/>
      <c r="CC79"/>
      <c r="CD79" s="8">
        <v>1.8163238564739004E-5</v>
      </c>
      <c r="CE79"/>
      <c r="CF79"/>
      <c r="CG79"/>
      <c r="CH79"/>
      <c r="CI79"/>
      <c r="CJ79"/>
      <c r="CK79"/>
      <c r="CL79"/>
      <c r="CM79" s="423">
        <v>0.45068034529685974</v>
      </c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 s="8">
        <v>2.9573909705504775E-4</v>
      </c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299</v>
      </c>
      <c r="B80">
        <v>0.80000001192092896</v>
      </c>
      <c r="C80">
        <v>0.15999999642372131</v>
      </c>
      <c r="D80"/>
      <c r="E80"/>
      <c r="F80"/>
      <c r="G80"/>
      <c r="H80" s="8">
        <v>2.8740208790623001E-7</v>
      </c>
      <c r="I80" s="8">
        <v>7.9836786426312756E-7</v>
      </c>
      <c r="J80" s="6">
        <v>5.8393379021026703E-10</v>
      </c>
      <c r="K80"/>
      <c r="L80" s="8">
        <v>3.903053524823008E-8</v>
      </c>
      <c r="M80" s="8">
        <v>1.3977587087765642E-8</v>
      </c>
      <c r="N80" s="8">
        <v>3.3273594453930855E-5</v>
      </c>
      <c r="O80" s="8">
        <v>4.9167496740665229E-9</v>
      </c>
      <c r="P80"/>
      <c r="Q80"/>
      <c r="R80"/>
      <c r="S80"/>
      <c r="T80" s="8">
        <v>3.3826028811745346E-4</v>
      </c>
      <c r="U80" s="19">
        <v>5.700304638594389E-3</v>
      </c>
      <c r="V80"/>
      <c r="W80" s="70">
        <v>2.6901951059699059E-2</v>
      </c>
      <c r="X80" s="69">
        <v>2.2943165153264999E-2</v>
      </c>
      <c r="Y80" s="8">
        <v>3.8821750786155462E-4</v>
      </c>
      <c r="Z80"/>
      <c r="AA80" s="8">
        <v>5.9590901946648955E-4</v>
      </c>
      <c r="AB80" s="11">
        <v>1.7669104272499681E-3</v>
      </c>
      <c r="AC80" s="11">
        <v>1.1322116479277611E-3</v>
      </c>
      <c r="AD80" s="18">
        <v>1.6108347102999687E-2</v>
      </c>
      <c r="AE80" s="8">
        <v>1.1166904187120963E-5</v>
      </c>
      <c r="AF80" s="8">
        <v>3.0047120526432991E-4</v>
      </c>
      <c r="AG80" s="8">
        <v>1.9235076251788996E-5</v>
      </c>
      <c r="AH80" s="8">
        <v>4.181329277344048E-4</v>
      </c>
      <c r="AI80" s="18">
        <v>1.4991723001003265E-2</v>
      </c>
      <c r="AJ80" s="9">
        <v>3.4985276870429516E-3</v>
      </c>
      <c r="AK80" s="8">
        <v>3.3047243050532416E-5</v>
      </c>
      <c r="AL80" s="16">
        <v>1.3853949494659901E-2</v>
      </c>
      <c r="AM80" s="8">
        <v>5.117619875818491E-4</v>
      </c>
      <c r="AN80" s="8">
        <v>5.4672880651196465E-5</v>
      </c>
      <c r="AO80" s="8">
        <v>4.3067760998383164E-4</v>
      </c>
      <c r="AP80" s="11">
        <v>2.0160966087132692E-3</v>
      </c>
      <c r="AQ80" s="8">
        <v>2.8217636281624436E-4</v>
      </c>
      <c r="AR80"/>
      <c r="AS80"/>
      <c r="AT80"/>
      <c r="AU80"/>
      <c r="AV80" s="383">
        <v>0.14479301869869232</v>
      </c>
      <c r="AW80"/>
      <c r="AX80" s="64">
        <v>1.8892494961619377E-2</v>
      </c>
      <c r="AY80"/>
      <c r="AZ80"/>
      <c r="BA80" s="403">
        <v>4.3246142566204071E-2</v>
      </c>
      <c r="BB80" s="435">
        <v>0.2496885359287262</v>
      </c>
      <c r="BC80"/>
      <c r="BD80" s="16">
        <v>1.4763648621737957E-2</v>
      </c>
      <c r="BE80"/>
      <c r="BF80"/>
      <c r="BG80" s="8">
        <v>5.3404408390633762E-5</v>
      </c>
      <c r="BH80"/>
      <c r="BI80"/>
      <c r="BJ80"/>
      <c r="BK80"/>
      <c r="BL80"/>
      <c r="BM80"/>
      <c r="BN80" s="8">
        <v>4.3958531023235992E-5</v>
      </c>
      <c r="BO80" s="11">
        <v>1.8759191734716296E-3</v>
      </c>
      <c r="BP80" s="8">
        <v>7.3704583337530494E-4</v>
      </c>
      <c r="BQ80"/>
      <c r="BR80" s="8">
        <v>1.1069095489801839E-4</v>
      </c>
      <c r="BS80" s="8">
        <v>7.6578769949264824E-5</v>
      </c>
      <c r="BT80"/>
      <c r="BU80"/>
      <c r="BV80"/>
      <c r="BW80"/>
      <c r="BX80"/>
      <c r="BY80"/>
      <c r="BZ80"/>
      <c r="CA80"/>
      <c r="CB80"/>
      <c r="CC80"/>
      <c r="CD80" s="8">
        <v>3.8806458491080775E-8</v>
      </c>
      <c r="CE80"/>
      <c r="CF80"/>
      <c r="CG80"/>
      <c r="CH80"/>
      <c r="CI80" s="8">
        <v>1.7385484534315765E-4</v>
      </c>
      <c r="CJ80"/>
      <c r="CK80"/>
      <c r="CL80"/>
      <c r="CM80" s="374">
        <v>5.3178451955318451E-2</v>
      </c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 s="8">
        <v>3.4896012948593125E-5</v>
      </c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300</v>
      </c>
      <c r="B81">
        <v>0.80000001192092896</v>
      </c>
      <c r="C81">
        <v>0.15999995172023773</v>
      </c>
      <c r="D81"/>
      <c r="E81"/>
      <c r="F81"/>
      <c r="G81"/>
      <c r="H81"/>
      <c r="I81"/>
      <c r="J81"/>
      <c r="K81"/>
      <c r="L81"/>
      <c r="M81" s="8">
        <v>1.935656825935439E-7</v>
      </c>
      <c r="N81"/>
      <c r="O81" s="8">
        <v>3.7241423278544517E-9</v>
      </c>
      <c r="P81"/>
      <c r="Q81"/>
      <c r="R81"/>
      <c r="S81"/>
      <c r="T81" s="8">
        <v>2.0873034372925758E-4</v>
      </c>
      <c r="U81" s="9">
        <v>3.5174880176782608E-3</v>
      </c>
      <c r="V81"/>
      <c r="W81" s="356">
        <v>1.6600390896201134E-2</v>
      </c>
      <c r="X81" s="16">
        <v>1.4157539233565331E-2</v>
      </c>
      <c r="Y81" s="8">
        <v>2.3955739743541926E-4</v>
      </c>
      <c r="Z81"/>
      <c r="AA81" s="8">
        <v>3.6771755549125373E-4</v>
      </c>
      <c r="AB81" s="11">
        <v>1.0903076035901904E-3</v>
      </c>
      <c r="AC81" s="9">
        <v>2.8174901381134987E-3</v>
      </c>
      <c r="AD81" s="375">
        <v>4.0085360407829285E-2</v>
      </c>
      <c r="AE81" s="8">
        <v>1.0472117719473317E-4</v>
      </c>
      <c r="AF81" s="9">
        <v>2.803450683131814E-3</v>
      </c>
      <c r="AG81" s="8">
        <v>1.3906598906032741E-4</v>
      </c>
      <c r="AH81" s="8">
        <v>2.9655179241672158E-4</v>
      </c>
      <c r="AI81" s="15">
        <v>9.2509426176548004E-3</v>
      </c>
      <c r="AJ81" s="11">
        <v>2.1588364616036415E-3</v>
      </c>
      <c r="AK81" s="8">
        <v>2.0392462829477154E-5</v>
      </c>
      <c r="AL81" s="12">
        <v>8.5488492622971535E-3</v>
      </c>
      <c r="AM81" s="8">
        <v>3.1579300411976874E-4</v>
      </c>
      <c r="AN81" s="8">
        <v>3.3737014746293426E-5</v>
      </c>
      <c r="AO81" s="9">
        <v>2.7684706728905439E-3</v>
      </c>
      <c r="AP81" s="11">
        <v>1.2440728023648262E-3</v>
      </c>
      <c r="AQ81" s="8">
        <v>1.7412251327186823E-4</v>
      </c>
      <c r="AR81"/>
      <c r="AS81"/>
      <c r="AT81" s="11">
        <v>8.8379735825583339E-4</v>
      </c>
      <c r="AU81"/>
      <c r="AV81" s="425">
        <v>0.15487770736217499</v>
      </c>
      <c r="AW81" s="13">
        <v>1.2102218344807625E-2</v>
      </c>
      <c r="AX81" s="69">
        <v>2.3135805502533913E-2</v>
      </c>
      <c r="AY81"/>
      <c r="AZ81"/>
      <c r="BA81" s="8">
        <v>5.7335064047947526E-4</v>
      </c>
      <c r="BB81" s="360">
        <v>0.14608749747276306</v>
      </c>
      <c r="BC81" s="8">
        <v>9.9388598755467683E-6</v>
      </c>
      <c r="BD81" s="362">
        <v>3.3173322677612305E-2</v>
      </c>
      <c r="BE81"/>
      <c r="BF81"/>
      <c r="BG81"/>
      <c r="BH81" s="8">
        <v>8.3498613093979657E-5</v>
      </c>
      <c r="BI81" s="20">
        <v>5.047566257417202E-3</v>
      </c>
      <c r="BJ81" s="8">
        <v>5.1691418775590137E-5</v>
      </c>
      <c r="BK81"/>
      <c r="BL81"/>
      <c r="BM81"/>
      <c r="BN81" s="8">
        <v>5.0915423344122246E-5</v>
      </c>
      <c r="BO81" s="11">
        <v>1.1575735406950116E-3</v>
      </c>
      <c r="BP81" s="19">
        <v>6.4521697349846363E-3</v>
      </c>
      <c r="BQ81"/>
      <c r="BR81" s="8">
        <v>1.136114660766907E-4</v>
      </c>
      <c r="BS81"/>
      <c r="BT81"/>
      <c r="BU81"/>
      <c r="BV81"/>
      <c r="BW81"/>
      <c r="BX81"/>
      <c r="BY81"/>
      <c r="BZ81"/>
      <c r="CA81"/>
      <c r="CB81"/>
      <c r="CC81"/>
      <c r="CD81"/>
      <c r="CE81" s="11">
        <v>8.8239996694028378E-4</v>
      </c>
      <c r="CF81"/>
      <c r="CG81" s="8">
        <v>5.4668889788445085E-6</v>
      </c>
      <c r="CH81"/>
      <c r="CI81" s="8">
        <v>3.6834983620792627E-4</v>
      </c>
      <c r="CJ81"/>
      <c r="CK81"/>
      <c r="CL81"/>
      <c r="CM81" s="390">
        <v>0.14790236949920654</v>
      </c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 s="8">
        <v>9.7054406069219112E-5</v>
      </c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301</v>
      </c>
      <c r="B82">
        <v>0.80000001192092896</v>
      </c>
      <c r="C82">
        <v>0.15999995172023773</v>
      </c>
      <c r="D82"/>
      <c r="E82"/>
      <c r="F82"/>
      <c r="G82"/>
      <c r="H82" s="8">
        <v>7.2764710239425767E-6</v>
      </c>
      <c r="I82" s="8">
        <v>4.1420935303904116E-6</v>
      </c>
      <c r="J82" s="8">
        <v>3.0295661535006957E-9</v>
      </c>
      <c r="K82"/>
      <c r="L82" s="8">
        <v>2.0249828480700671E-7</v>
      </c>
      <c r="M82" s="8">
        <v>7.251853872958236E-8</v>
      </c>
      <c r="N82" s="8">
        <v>1.7263011250179261E-4</v>
      </c>
      <c r="O82" s="8">
        <v>2.5509088175112993E-8</v>
      </c>
      <c r="P82"/>
      <c r="Q82"/>
      <c r="R82"/>
      <c r="S82"/>
      <c r="T82" s="8">
        <v>2.3147887259256095E-4</v>
      </c>
      <c r="U82" s="9">
        <v>3.9008420426398516E-3</v>
      </c>
      <c r="V82"/>
      <c r="W82" s="64">
        <v>1.8409594893455505E-2</v>
      </c>
      <c r="X82" s="18">
        <v>1.5700502321124077E-2</v>
      </c>
      <c r="Y82" s="8">
        <v>2.6566564338281751E-4</v>
      </c>
      <c r="Z82"/>
      <c r="AA82" s="8">
        <v>4.0779344271868467E-4</v>
      </c>
      <c r="AB82" s="11">
        <v>1.2091350508853793E-3</v>
      </c>
      <c r="AC82" s="8">
        <v>4.2550916987238452E-5</v>
      </c>
      <c r="AD82" s="8">
        <v>6.155899609439075E-4</v>
      </c>
      <c r="AE82" s="8">
        <v>1.5791680198162794E-5</v>
      </c>
      <c r="AF82" s="8">
        <v>4.2547192424535751E-4</v>
      </c>
      <c r="AG82" s="8">
        <v>1.3162978575564921E-5</v>
      </c>
      <c r="AH82" s="8">
        <v>3.2887153793126345E-4</v>
      </c>
      <c r="AI82" s="14">
        <v>1.0259161703288555E-2</v>
      </c>
      <c r="AJ82" s="9">
        <v>2.3941188119351864E-3</v>
      </c>
      <c r="AK82" s="8">
        <v>2.2614947738475166E-5</v>
      </c>
      <c r="AL82" s="15">
        <v>9.4805574044585228E-3</v>
      </c>
      <c r="AM82" s="8">
        <v>3.5020988434553146E-4</v>
      </c>
      <c r="AN82" s="8">
        <v>3.7413850805023685E-5</v>
      </c>
      <c r="AO82" s="8">
        <v>2.9472183086909354E-4</v>
      </c>
      <c r="AP82" s="11">
        <v>1.379658468067646E-3</v>
      </c>
      <c r="AQ82" s="8">
        <v>1.9309941853862256E-4</v>
      </c>
      <c r="AR82"/>
      <c r="AS82"/>
      <c r="AT82" s="20">
        <v>5.4212566465139389E-3</v>
      </c>
      <c r="AU82"/>
      <c r="AV82" s="63">
        <v>9.5864206552505493E-2</v>
      </c>
      <c r="AW82"/>
      <c r="AX82" s="9">
        <v>2.8302748687565327E-3</v>
      </c>
      <c r="AY82"/>
      <c r="AZ82"/>
      <c r="BA82"/>
      <c r="BB82" s="419">
        <v>0.18961390852928162</v>
      </c>
      <c r="BC82"/>
      <c r="BD82" s="8">
        <v>2.4400926577072823E-6</v>
      </c>
      <c r="BE82"/>
      <c r="BF82"/>
      <c r="BG82"/>
      <c r="BH82"/>
      <c r="BI82"/>
      <c r="BJ82" s="8">
        <v>1.6938030285018613E-6</v>
      </c>
      <c r="BK82"/>
      <c r="BL82"/>
      <c r="BM82"/>
      <c r="BN82" s="8">
        <v>2.2559299395652488E-5</v>
      </c>
      <c r="BO82" s="11">
        <v>1.2837322428822517E-3</v>
      </c>
      <c r="BP82" s="8">
        <v>5.0437630852684379E-4</v>
      </c>
      <c r="BQ82"/>
      <c r="BR82" s="11">
        <v>2.2109702695161104E-3</v>
      </c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 s="8">
        <v>7.3124124355672393E-7</v>
      </c>
      <c r="CJ82"/>
      <c r="CK82"/>
      <c r="CL82"/>
      <c r="CM82" s="196">
        <v>0.27590051293373108</v>
      </c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 s="8">
        <v>1.8104755145031959E-4</v>
      </c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302</v>
      </c>
      <c r="B83">
        <v>0.80000001192092896</v>
      </c>
      <c r="C83">
        <v>0.15999999642372131</v>
      </c>
      <c r="D83"/>
      <c r="E83"/>
      <c r="F83"/>
      <c r="G83"/>
      <c r="H83"/>
      <c r="I83" s="8">
        <v>8.2635542639764026E-6</v>
      </c>
      <c r="J83"/>
      <c r="K83" s="8">
        <v>2.7591804609983228E-6</v>
      </c>
      <c r="L83"/>
      <c r="M83"/>
      <c r="N83" s="8">
        <v>2.395777300989721E-6</v>
      </c>
      <c r="O83" s="8">
        <v>4.1759175672950732E-8</v>
      </c>
      <c r="P83"/>
      <c r="Q83"/>
      <c r="R83"/>
      <c r="S83"/>
      <c r="T83" s="8">
        <v>2.1727939019910991E-4</v>
      </c>
      <c r="U83" s="9">
        <v>3.6615543067455292E-3</v>
      </c>
      <c r="V83"/>
      <c r="W83" s="356">
        <v>1.7280299216508865E-2</v>
      </c>
      <c r="X83" s="16">
        <v>1.4737404882907867E-2</v>
      </c>
      <c r="Y83" s="8">
        <v>2.4936901172623038E-4</v>
      </c>
      <c r="Z83"/>
      <c r="AA83" s="8">
        <v>3.8277835119515657E-4</v>
      </c>
      <c r="AB83" s="11">
        <v>1.134963589720428E-3</v>
      </c>
      <c r="AC83" s="8">
        <v>3.9940725400811061E-5</v>
      </c>
      <c r="AD83" s="8">
        <v>5.7782803196460009E-4</v>
      </c>
      <c r="AE83" s="8">
        <v>2.885758294723928E-5</v>
      </c>
      <c r="AF83" s="8">
        <v>7.6548586366698146E-4</v>
      </c>
      <c r="AG83" s="8">
        <v>1.2355528269836213E-5</v>
      </c>
      <c r="AH83" s="8">
        <v>3.086976648773998E-4</v>
      </c>
      <c r="AI83" s="15">
        <v>9.6298381686210632E-3</v>
      </c>
      <c r="AJ83" s="11">
        <v>2.2472573909908533E-3</v>
      </c>
      <c r="AK83" s="8">
        <v>2.1227688193903305E-5</v>
      </c>
      <c r="AL83" s="15">
        <v>8.8989930227398872E-3</v>
      </c>
      <c r="AM83" s="8">
        <v>3.2872706651687622E-4</v>
      </c>
      <c r="AN83" s="8">
        <v>3.5118791856803E-5</v>
      </c>
      <c r="AO83" s="8">
        <v>2.7664296794682741E-4</v>
      </c>
      <c r="AP83" s="11">
        <v>1.2950266245752573E-3</v>
      </c>
      <c r="AQ83" s="8">
        <v>1.812541886465624E-4</v>
      </c>
      <c r="AR83"/>
      <c r="AS83"/>
      <c r="AT83"/>
      <c r="AU83"/>
      <c r="AV83" s="355">
        <v>4.6089533716440201E-2</v>
      </c>
      <c r="AW83"/>
      <c r="AX83" s="18">
        <v>1.62391047924757E-2</v>
      </c>
      <c r="AY83"/>
      <c r="AZ83"/>
      <c r="BA83" s="8">
        <v>5.9056893223896623E-4</v>
      </c>
      <c r="BB83" s="415">
        <v>0.1535172313451767</v>
      </c>
      <c r="BC83"/>
      <c r="BD83" s="11">
        <v>1.8090215744450688E-3</v>
      </c>
      <c r="BE83"/>
      <c r="BF83"/>
      <c r="BG83" s="8">
        <v>2.1017345716245472E-5</v>
      </c>
      <c r="BH83"/>
      <c r="BI83"/>
      <c r="BJ83"/>
      <c r="BK83"/>
      <c r="BL83"/>
      <c r="BM83"/>
      <c r="BN83" s="8">
        <v>2.1175443180254661E-5</v>
      </c>
      <c r="BO83" s="11">
        <v>1.2049849610775709E-3</v>
      </c>
      <c r="BP83" s="8">
        <v>4.7343660844489932E-4</v>
      </c>
      <c r="BQ83"/>
      <c r="BR83" s="8">
        <v>3.600519266910851E-5</v>
      </c>
      <c r="BS83" s="21">
        <v>2.2211533039808273E-2</v>
      </c>
      <c r="BT83"/>
      <c r="BU83"/>
      <c r="BV83"/>
      <c r="BW83"/>
      <c r="BX83"/>
      <c r="BY83"/>
      <c r="BZ83"/>
      <c r="CA83"/>
      <c r="CB83"/>
      <c r="CC83"/>
      <c r="CD83" s="8">
        <v>2.1342144464142621E-5</v>
      </c>
      <c r="CE83"/>
      <c r="CF83"/>
      <c r="CG83"/>
      <c r="CH83"/>
      <c r="CI83" s="20">
        <v>5.0508454442024231E-3</v>
      </c>
      <c r="CJ83"/>
      <c r="CK83"/>
      <c r="CL83"/>
      <c r="CM83" s="422">
        <v>0.33017322421073914</v>
      </c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 s="8">
        <v>2.1666161774192005E-4</v>
      </c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303</v>
      </c>
      <c r="B84">
        <v>0.80000001192092896</v>
      </c>
      <c r="C84">
        <v>0.15999999642372131</v>
      </c>
      <c r="D84"/>
      <c r="E84"/>
      <c r="F84"/>
      <c r="G84"/>
      <c r="H84" s="8">
        <v>2.7036849132855423E-6</v>
      </c>
      <c r="I84" s="8">
        <v>1.7138360135504627E-6</v>
      </c>
      <c r="J84" s="8">
        <v>1.2535158466775442E-9</v>
      </c>
      <c r="K84"/>
      <c r="L84" s="8">
        <v>8.3785884896769858E-8</v>
      </c>
      <c r="M84" s="8">
        <v>3.0005331552729331E-8</v>
      </c>
      <c r="N84" s="8">
        <v>7.1427595685236156E-5</v>
      </c>
      <c r="O84" s="8">
        <v>1.05546620332575E-8</v>
      </c>
      <c r="P84"/>
      <c r="Q84"/>
      <c r="R84"/>
      <c r="S84"/>
      <c r="T84" s="8">
        <v>2.1038908744230866E-4</v>
      </c>
      <c r="U84" s="9">
        <v>3.5454421304166317E-3</v>
      </c>
      <c r="V84"/>
      <c r="W84" s="356">
        <v>1.6732323914766312E-2</v>
      </c>
      <c r="X84" s="16">
        <v>1.427005510777235E-2</v>
      </c>
      <c r="Y84" s="8">
        <v>2.414612245047465E-4</v>
      </c>
      <c r="Z84"/>
      <c r="AA84" s="8">
        <v>3.7064001662656665E-4</v>
      </c>
      <c r="AB84" s="11">
        <v>1.0989722795784473E-3</v>
      </c>
      <c r="AC84" s="8">
        <v>3.8674173993058503E-5</v>
      </c>
      <c r="AD84" s="8">
        <v>5.595044931396842E-4</v>
      </c>
      <c r="AE84" s="8">
        <v>2.7726773987524211E-4</v>
      </c>
      <c r="AF84" s="12">
        <v>7.4760746210813522E-3</v>
      </c>
      <c r="AG84" s="8">
        <v>1.1963716133323032E-5</v>
      </c>
      <c r="AH84" s="8">
        <v>2.9890844598412514E-4</v>
      </c>
      <c r="AI84" s="15">
        <v>9.3244649469852448E-3</v>
      </c>
      <c r="AJ84" s="11">
        <v>2.1759942173957825E-3</v>
      </c>
      <c r="AK84" s="8">
        <v>2.0554531147354282E-5</v>
      </c>
      <c r="AL84" s="12">
        <v>8.6167939007282257E-3</v>
      </c>
      <c r="AM84" s="8">
        <v>3.1830274383537471E-4</v>
      </c>
      <c r="AN84" s="8">
        <v>3.4005122870439664E-5</v>
      </c>
      <c r="AO84" s="8">
        <v>2.6787020033225417E-4</v>
      </c>
      <c r="AP84" s="11">
        <v>1.2539593735709786E-3</v>
      </c>
      <c r="AQ84" s="8">
        <v>1.7550631309859455E-4</v>
      </c>
      <c r="AR84"/>
      <c r="AS84"/>
      <c r="AT84"/>
      <c r="AU84"/>
      <c r="AV84"/>
      <c r="AW84"/>
      <c r="AX84"/>
      <c r="AY84"/>
      <c r="AZ84"/>
      <c r="BA84"/>
      <c r="BB84" s="359">
        <v>5.6869637221097946E-2</v>
      </c>
      <c r="BC84"/>
      <c r="BD84"/>
      <c r="BE84"/>
      <c r="BF84"/>
      <c r="BG84"/>
      <c r="BH84"/>
      <c r="BI84"/>
      <c r="BJ84"/>
      <c r="BK84"/>
      <c r="BL84"/>
      <c r="BM84"/>
      <c r="BN84" s="8">
        <v>2.0503952327999286E-5</v>
      </c>
      <c r="BO84" s="11">
        <v>1.1667729122564197E-3</v>
      </c>
      <c r="BP84" s="8">
        <v>4.5842339750379324E-4</v>
      </c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 s="8">
        <v>4.6716340875718743E-5</v>
      </c>
      <c r="CJ84"/>
      <c r="CK84"/>
      <c r="CL84"/>
      <c r="CM84" s="424">
        <v>0.5137057900428772</v>
      </c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 s="8">
        <v>3.3709680428728461E-4</v>
      </c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 t="s">
        <v>304</v>
      </c>
      <c r="B85">
        <v>1</v>
      </c>
      <c r="C85">
        <v>0.19999998807907104</v>
      </c>
      <c r="D85"/>
      <c r="E85" s="9">
        <v>4.0860734879970551E-3</v>
      </c>
      <c r="F85"/>
      <c r="G85"/>
      <c r="H85" s="8">
        <v>1.1165536852786317E-4</v>
      </c>
      <c r="I85" s="8">
        <v>1.1555819219211116E-4</v>
      </c>
      <c r="J85" s="8">
        <v>1.5249597140609694E-7</v>
      </c>
      <c r="K85" s="8">
        <v>3.9027676734804118E-7</v>
      </c>
      <c r="L85" s="8">
        <v>1.1776947940234095E-4</v>
      </c>
      <c r="M85" s="8">
        <v>7.6978634751867503E-5</v>
      </c>
      <c r="N85" s="8">
        <v>4.3042687138949987E-6</v>
      </c>
      <c r="O85" s="8">
        <v>6.4343867052230053E-6</v>
      </c>
      <c r="P85" s="8">
        <v>9.6705753094283864E-7</v>
      </c>
      <c r="Q85"/>
      <c r="R85"/>
      <c r="S85"/>
      <c r="T85"/>
      <c r="U85"/>
      <c r="V85" s="8">
        <v>6.9335574517026544E-4</v>
      </c>
      <c r="W85"/>
      <c r="X85"/>
      <c r="Y85"/>
      <c r="Z85"/>
      <c r="AA85"/>
      <c r="AB85"/>
      <c r="AC85"/>
      <c r="AD85"/>
      <c r="AE85"/>
      <c r="AF85"/>
      <c r="AG85" s="8">
        <v>3.5569651117839385E-6</v>
      </c>
      <c r="AH85"/>
      <c r="AI85"/>
      <c r="AJ85"/>
      <c r="AK85"/>
      <c r="AL85"/>
      <c r="AM85"/>
      <c r="AN85"/>
      <c r="AO85" s="8">
        <v>1.2042326488881372E-5</v>
      </c>
      <c r="AP85"/>
      <c r="AQ85"/>
      <c r="AR85"/>
      <c r="AS85"/>
      <c r="AT85" s="8">
        <v>1.7879226652439684E-4</v>
      </c>
      <c r="AU85" s="9">
        <v>4.5617511495947838E-3</v>
      </c>
      <c r="AV85" s="64">
        <v>2.373332716524601E-2</v>
      </c>
      <c r="AW85" s="19">
        <v>8.7560145184397697E-3</v>
      </c>
      <c r="AX85" s="417">
        <v>0.37566399574279785</v>
      </c>
      <c r="AY85"/>
      <c r="AZ85"/>
      <c r="BA85"/>
      <c r="BB85" s="8">
        <v>9.7880874818656594E-5</v>
      </c>
      <c r="BC85"/>
      <c r="BD85" s="411">
        <v>0.17240616679191589</v>
      </c>
      <c r="BE85"/>
      <c r="BF85" s="362">
        <v>4.0766444057226181E-2</v>
      </c>
      <c r="BG85" s="23">
        <v>2.6009818539023399E-2</v>
      </c>
      <c r="BH85" s="8">
        <v>4.9892419156094547E-6</v>
      </c>
      <c r="BI85" s="19">
        <v>8.4053594619035721E-3</v>
      </c>
      <c r="BJ85" s="8">
        <v>1.7189128266181797E-4</v>
      </c>
      <c r="BK85" s="11">
        <v>2.7925921604037285E-3</v>
      </c>
      <c r="BL85" s="11">
        <v>1.05076446197927E-3</v>
      </c>
      <c r="BM85"/>
      <c r="BN85" s="11">
        <v>1.3584038242697716E-3</v>
      </c>
      <c r="BO85"/>
      <c r="BP85"/>
      <c r="BQ85" s="8">
        <v>2.7871168640558608E-5</v>
      </c>
      <c r="BR85" s="14">
        <v>1.3214775361120701E-2</v>
      </c>
      <c r="BS85"/>
      <c r="BT85"/>
      <c r="BU85"/>
      <c r="BV85"/>
      <c r="BW85" s="8">
        <v>3.7605161196552217E-5</v>
      </c>
      <c r="BX85"/>
      <c r="BY85" s="8">
        <v>1.0173214832320809E-4</v>
      </c>
      <c r="BZ85"/>
      <c r="CA85"/>
      <c r="CB85" s="6">
        <v>7.6429601536531777E-10</v>
      </c>
      <c r="CC85"/>
      <c r="CD85" s="8">
        <v>7.3632999556139112E-4</v>
      </c>
      <c r="CE85"/>
      <c r="CF85"/>
      <c r="CG85"/>
      <c r="CH85"/>
      <c r="CI85" s="19">
        <v>7.0579820312559605E-3</v>
      </c>
      <c r="CJ85" s="81">
        <v>9.8429910838603973E-2</v>
      </c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 s="12">
        <v>9.2063350602984428E-3</v>
      </c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 t="s">
        <v>305</v>
      </c>
      <c r="B86">
        <v>0.60000002384185791</v>
      </c>
      <c r="C86">
        <v>0.30312588810920715</v>
      </c>
      <c r="D86"/>
      <c r="E86" s="11">
        <v>1.2711663730442524E-3</v>
      </c>
      <c r="F86"/>
      <c r="G86"/>
      <c r="H86" s="15">
        <v>6.739156786352396E-3</v>
      </c>
      <c r="I86" s="8">
        <v>8.0853096733335406E-5</v>
      </c>
      <c r="J86"/>
      <c r="K86"/>
      <c r="L86" s="8">
        <v>8.122228791762609E-6</v>
      </c>
      <c r="M86" s="8">
        <v>3.5073262552032247E-6</v>
      </c>
      <c r="N86"/>
      <c r="O86"/>
      <c r="P86" s="8">
        <v>8.8606129793333821E-6</v>
      </c>
      <c r="Q86"/>
      <c r="R86"/>
      <c r="S86"/>
      <c r="T86"/>
      <c r="U86"/>
      <c r="V86" s="8">
        <v>5.6191772455349565E-4</v>
      </c>
      <c r="W86"/>
      <c r="X86"/>
      <c r="Y86"/>
      <c r="Z86"/>
      <c r="AA86"/>
      <c r="AB86"/>
      <c r="AC86"/>
      <c r="AD86"/>
      <c r="AE86"/>
      <c r="AF86"/>
      <c r="AG86" s="8">
        <v>2.8826768811995862E-6</v>
      </c>
      <c r="AH86"/>
      <c r="AI86"/>
      <c r="AJ86"/>
      <c r="AK86"/>
      <c r="AL86"/>
      <c r="AM86"/>
      <c r="AN86"/>
      <c r="AO86" s="8">
        <v>9.7594793260213919E-6</v>
      </c>
      <c r="AP86"/>
      <c r="AQ86"/>
      <c r="AR86"/>
      <c r="AS86"/>
      <c r="AT86" s="8">
        <v>1.4489890600088984E-4</v>
      </c>
      <c r="AU86"/>
      <c r="AV86"/>
      <c r="AW86"/>
      <c r="AX86"/>
      <c r="AY86"/>
      <c r="AZ86"/>
      <c r="BA86"/>
      <c r="BB86"/>
      <c r="BC86"/>
      <c r="BD86" s="17">
        <v>2.5846287608146667E-2</v>
      </c>
      <c r="BE86"/>
      <c r="BF86"/>
      <c r="BG86"/>
      <c r="BH86"/>
      <c r="BI86"/>
      <c r="BJ86"/>
      <c r="BK86"/>
      <c r="BL86"/>
      <c r="BM86"/>
      <c r="BN86" s="8">
        <v>1.0478535159563762E-6</v>
      </c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 s="8">
        <v>4.2746223698486574E-6</v>
      </c>
      <c r="CE86"/>
      <c r="CF86"/>
      <c r="CG86"/>
      <c r="CH86"/>
      <c r="CI86" s="386">
        <v>0.26219141483306885</v>
      </c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 t="s">
        <v>306</v>
      </c>
      <c r="B87">
        <v>0.82000011205673218</v>
      </c>
      <c r="C87">
        <v>0.16400021314620972</v>
      </c>
      <c r="D87"/>
      <c r="E87"/>
      <c r="F87"/>
      <c r="G87"/>
      <c r="H87" s="8">
        <v>1.3511257748177741E-5</v>
      </c>
      <c r="I87" s="8">
        <v>1.2393701581459027E-5</v>
      </c>
      <c r="J87" s="8">
        <v>9.4991541743638663E-8</v>
      </c>
      <c r="K87" s="8">
        <v>1.9721108301951062E-8</v>
      </c>
      <c r="L87" s="8">
        <v>1.8978829757543281E-5</v>
      </c>
      <c r="M87" s="8">
        <v>5.6023145589279011E-6</v>
      </c>
      <c r="N87" s="8">
        <v>2.9579330984574881E-8</v>
      </c>
      <c r="O87" s="8">
        <v>9.2101817017464782E-7</v>
      </c>
      <c r="P87" s="6">
        <v>5.7931381913789437E-10</v>
      </c>
      <c r="Q87"/>
      <c r="R87"/>
      <c r="S87"/>
      <c r="T87"/>
      <c r="U87"/>
      <c r="V87" s="8">
        <v>4.9995037261396646E-4</v>
      </c>
      <c r="W87"/>
      <c r="X87"/>
      <c r="Y87"/>
      <c r="Z87"/>
      <c r="AA87"/>
      <c r="AB87" s="375">
        <v>4.2330842465162277E-2</v>
      </c>
      <c r="AC87"/>
      <c r="AD87"/>
      <c r="AE87"/>
      <c r="AF87"/>
      <c r="AG87" s="8">
        <v>2.5647805159678683E-6</v>
      </c>
      <c r="AH87"/>
      <c r="AI87"/>
      <c r="AJ87"/>
      <c r="AK87"/>
      <c r="AL87"/>
      <c r="AM87"/>
      <c r="AN87"/>
      <c r="AO87" s="8">
        <v>8.683229680173099E-6</v>
      </c>
      <c r="AP87"/>
      <c r="AQ87"/>
      <c r="AR87"/>
      <c r="AS87"/>
      <c r="AT87" s="12">
        <v>8.6553143337368965E-3</v>
      </c>
      <c r="AU87" s="16">
        <v>1.3788340613245964E-2</v>
      </c>
      <c r="AV87" s="14">
        <v>1.2045447714626789E-2</v>
      </c>
      <c r="AW87"/>
      <c r="AX87" s="80">
        <v>9.112432599067688E-2</v>
      </c>
      <c r="AY87"/>
      <c r="AZ87"/>
      <c r="BA87"/>
      <c r="BB87" s="8">
        <v>2.4989929443108849E-5</v>
      </c>
      <c r="BC87" s="11">
        <v>1.4605590840801597E-3</v>
      </c>
      <c r="BD87" s="411">
        <v>0.14121794700622559</v>
      </c>
      <c r="BE87"/>
      <c r="BF87"/>
      <c r="BG87" s="8">
        <v>1.6528433479834348E-4</v>
      </c>
      <c r="BH87" s="11">
        <v>1.4634816907346249E-3</v>
      </c>
      <c r="BI87" s="15">
        <v>9.5063718035817146E-3</v>
      </c>
      <c r="BJ87" s="8">
        <v>3.2477423701493535E-6</v>
      </c>
      <c r="BK87" s="12">
        <v>8.2892775535583496E-3</v>
      </c>
      <c r="BL87" s="9">
        <v>3.0894086230546236E-3</v>
      </c>
      <c r="BM87"/>
      <c r="BN87"/>
      <c r="BO87"/>
      <c r="BP87" s="8">
        <v>8.653709664940834E-5</v>
      </c>
      <c r="BQ87" s="11">
        <v>1.0393327102065086E-3</v>
      </c>
      <c r="BR87" s="9">
        <v>3.9534112438559532E-3</v>
      </c>
      <c r="BS87" s="349">
        <v>0.1326577365398407</v>
      </c>
      <c r="BT87"/>
      <c r="BU87"/>
      <c r="BV87"/>
      <c r="BW87"/>
      <c r="BX87"/>
      <c r="BY87"/>
      <c r="BZ87" s="8">
        <v>7.4801278060476761E-7</v>
      </c>
      <c r="CA87"/>
      <c r="CB87"/>
      <c r="CC87"/>
      <c r="CD87" s="8">
        <v>7.164109410950914E-5</v>
      </c>
      <c r="CE87"/>
      <c r="CF87"/>
      <c r="CG87" s="8">
        <v>1.0101110092364252E-4</v>
      </c>
      <c r="CH87" s="8">
        <v>4.356725185061805E-5</v>
      </c>
      <c r="CI87" s="11">
        <v>1.2448576744645834E-3</v>
      </c>
      <c r="CJ87" s="23">
        <v>2.1348351612687111E-2</v>
      </c>
      <c r="CK87"/>
      <c r="CL87" s="360">
        <v>0.14946635067462921</v>
      </c>
      <c r="CM87"/>
      <c r="CN87"/>
      <c r="CO87"/>
      <c r="CP87"/>
      <c r="CQ87"/>
      <c r="CR87"/>
      <c r="CS87"/>
      <c r="CT87"/>
      <c r="CU87"/>
      <c r="CV87"/>
      <c r="CW87" s="14">
        <v>1.2002032250165939E-2</v>
      </c>
      <c r="CX87" s="8">
        <v>2.568070194683969E-4</v>
      </c>
      <c r="CY87" s="8">
        <v>1.4358163547001368E-8</v>
      </c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 t="s">
        <v>307</v>
      </c>
      <c r="B88">
        <v>0.57599997520446777</v>
      </c>
      <c r="C88">
        <v>0.1151999905705452</v>
      </c>
      <c r="D88"/>
      <c r="E88"/>
      <c r="F88"/>
      <c r="G88"/>
      <c r="H88" s="8">
        <v>3.9256278796528932E-6</v>
      </c>
      <c r="I88" s="8">
        <v>3.5705826917364902E-7</v>
      </c>
      <c r="J88" s="8">
        <v>1.8785097921636407E-8</v>
      </c>
      <c r="K88"/>
      <c r="L88"/>
      <c r="M88" s="8">
        <v>3.7477581038558583E-9</v>
      </c>
      <c r="N88" s="8">
        <v>2.350760830438503E-8</v>
      </c>
      <c r="O88" s="8">
        <v>8.9025412819410121E-8</v>
      </c>
      <c r="P88"/>
      <c r="Q88" s="8">
        <v>8.4261300798971206E-6</v>
      </c>
      <c r="R88"/>
      <c r="S88"/>
      <c r="T88"/>
      <c r="U88"/>
      <c r="V88" s="8">
        <v>5.5623217485845089E-4</v>
      </c>
      <c r="W88"/>
      <c r="X88"/>
      <c r="Y88"/>
      <c r="Z88"/>
      <c r="AA88"/>
      <c r="AB88"/>
      <c r="AC88"/>
      <c r="AD88"/>
      <c r="AE88"/>
      <c r="AF88"/>
      <c r="AG88" s="8">
        <v>2.8535121145978337E-6</v>
      </c>
      <c r="AH88"/>
      <c r="AI88"/>
      <c r="AJ88"/>
      <c r="AK88"/>
      <c r="AL88"/>
      <c r="AM88"/>
      <c r="AN88"/>
      <c r="AO88" s="8">
        <v>9.6607400337234139E-6</v>
      </c>
      <c r="AP88"/>
      <c r="AQ88"/>
      <c r="AR88"/>
      <c r="AS88"/>
      <c r="AT88" s="11">
        <v>1.3130337465554476E-3</v>
      </c>
      <c r="AU88" s="8">
        <v>3.1302046409109607E-5</v>
      </c>
      <c r="AV88" s="442">
        <v>0.2393915206193924</v>
      </c>
      <c r="AW88"/>
      <c r="AX88" s="71">
        <v>2.7780504897236824E-2</v>
      </c>
      <c r="AY88"/>
      <c r="AZ88"/>
      <c r="BA88" s="13">
        <v>9.5766102895140648E-3</v>
      </c>
      <c r="BB88" s="357">
        <v>5.9653528034687042E-2</v>
      </c>
      <c r="BC88" s="8">
        <v>2.2044726938474923E-4</v>
      </c>
      <c r="BD88" s="8">
        <v>2.7988571673631668E-4</v>
      </c>
      <c r="BE88"/>
      <c r="BF88" s="11">
        <v>1.5515543054789305E-3</v>
      </c>
      <c r="BG88" s="81">
        <v>5.5949792265892029E-2</v>
      </c>
      <c r="BH88"/>
      <c r="BI88"/>
      <c r="BJ88"/>
      <c r="BK88"/>
      <c r="BL88" s="11">
        <v>1.0110395960509777E-3</v>
      </c>
      <c r="BM88"/>
      <c r="BN88" s="8">
        <v>2.667322987690568E-4</v>
      </c>
      <c r="BO88"/>
      <c r="BP88"/>
      <c r="BQ88"/>
      <c r="BR88" s="20">
        <v>3.8333022966980934E-3</v>
      </c>
      <c r="BS88"/>
      <c r="BT88" s="23">
        <v>1.4396912418305874E-2</v>
      </c>
      <c r="BU88"/>
      <c r="BV88"/>
      <c r="BW88" s="8">
        <v>3.4251910983584821E-4</v>
      </c>
      <c r="BX88" s="8">
        <v>4.8868434532778338E-5</v>
      </c>
      <c r="BY88"/>
      <c r="BZ88" s="8">
        <v>2.087798566208221E-5</v>
      </c>
      <c r="CA88" s="13">
        <v>8.9951632544398308E-3</v>
      </c>
      <c r="CB88" s="362">
        <v>2.3746252059936523E-2</v>
      </c>
      <c r="CC88" s="8">
        <v>1.0683399523259141E-5</v>
      </c>
      <c r="CD88" s="11">
        <v>5.8717862702906132E-4</v>
      </c>
      <c r="CE88"/>
      <c r="CF88"/>
      <c r="CG88"/>
      <c r="CH88"/>
      <c r="CI88" s="8">
        <v>6.3891282479744405E-5</v>
      </c>
      <c r="CJ88" s="15">
        <v>6.2587601132690907E-3</v>
      </c>
      <c r="CK88" s="19">
        <v>4.6415366232395172E-3</v>
      </c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 s="8">
        <v>2.4652676074765623E-4</v>
      </c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 t="s">
        <v>308</v>
      </c>
      <c r="B89">
        <v>0.57599997520446777</v>
      </c>
      <c r="C89">
        <v>0.1151999905705452</v>
      </c>
      <c r="D89"/>
      <c r="E89"/>
      <c r="F89"/>
      <c r="G89"/>
      <c r="H89"/>
      <c r="I89" s="8">
        <v>3.1142272405304539E-7</v>
      </c>
      <c r="J89" s="8">
        <v>1.6384177570216707E-8</v>
      </c>
      <c r="K89"/>
      <c r="L89"/>
      <c r="M89" s="8">
        <v>3.2687574869072478E-9</v>
      </c>
      <c r="N89" s="8">
        <v>2.0503104991576038E-8</v>
      </c>
      <c r="O89" s="8">
        <v>7.7647086982324254E-8</v>
      </c>
      <c r="P89"/>
      <c r="Q89"/>
      <c r="R89"/>
      <c r="S89"/>
      <c r="T89"/>
      <c r="U89"/>
      <c r="V89" s="8">
        <v>5.5104907369241118E-4</v>
      </c>
      <c r="W89"/>
      <c r="X89"/>
      <c r="Y89"/>
      <c r="Z89"/>
      <c r="AA89"/>
      <c r="AB89"/>
      <c r="AC89"/>
      <c r="AD89"/>
      <c r="AE89"/>
      <c r="AF89"/>
      <c r="AG89" s="8">
        <v>2.8269214453757741E-6</v>
      </c>
      <c r="AH89"/>
      <c r="AI89"/>
      <c r="AJ89"/>
      <c r="AK89"/>
      <c r="AL89"/>
      <c r="AM89"/>
      <c r="AN89"/>
      <c r="AO89" s="8">
        <v>9.5707191576366313E-6</v>
      </c>
      <c r="AP89"/>
      <c r="AQ89"/>
      <c r="AR89" s="8">
        <v>2.9633315534738358E-7</v>
      </c>
      <c r="AS89"/>
      <c r="AT89" s="8">
        <v>1.4209629443939775E-4</v>
      </c>
      <c r="AU89" s="432">
        <v>6.093226745724678E-2</v>
      </c>
      <c r="AV89" s="441">
        <v>0.17157933115959167</v>
      </c>
      <c r="AW89" s="23">
        <v>1.4348434284329414E-2</v>
      </c>
      <c r="AX89" s="362">
        <v>2.3575091734528542E-2</v>
      </c>
      <c r="AY89"/>
      <c r="AZ89"/>
      <c r="BA89" s="11">
        <v>1.5361825935542583E-3</v>
      </c>
      <c r="BB89" s="18">
        <v>1.1536842212080956E-2</v>
      </c>
      <c r="BC89" s="11">
        <v>6.1632919823750854E-4</v>
      </c>
      <c r="BD89" s="8">
        <v>5.322842625901103E-4</v>
      </c>
      <c r="BE89" s="9">
        <v>2.389455446973443E-3</v>
      </c>
      <c r="BF89" s="15">
        <v>7.3397941887378693E-3</v>
      </c>
      <c r="BG89" s="20">
        <v>3.3361304085701704E-3</v>
      </c>
      <c r="BH89" s="8">
        <v>9.4577253548777662E-6</v>
      </c>
      <c r="BI89" s="11">
        <v>7.8329321695491672E-4</v>
      </c>
      <c r="BJ89" s="8">
        <v>7.9001196695571707E-8</v>
      </c>
      <c r="BK89" s="11">
        <v>5.8261823141947389E-4</v>
      </c>
      <c r="BL89" s="11">
        <v>1.0093392338603735E-3</v>
      </c>
      <c r="BM89"/>
      <c r="BN89" s="8">
        <v>7.2903363616205752E-5</v>
      </c>
      <c r="BO89" s="8">
        <v>1.5826216258574277E-4</v>
      </c>
      <c r="BP89" s="19">
        <v>4.4591682963073254E-3</v>
      </c>
      <c r="BQ89"/>
      <c r="BR89" s="8">
        <v>5.4473389172926545E-4</v>
      </c>
      <c r="BS89" s="9">
        <v>2.1403697319328785E-3</v>
      </c>
      <c r="BT89" s="380">
        <v>7.3098801076412201E-2</v>
      </c>
      <c r="BU89" s="11">
        <v>1.5204491792246699E-3</v>
      </c>
      <c r="BV89"/>
      <c r="BW89" s="8">
        <v>1.1214995174668729E-4</v>
      </c>
      <c r="BX89" s="11">
        <v>1.5672346344217658E-3</v>
      </c>
      <c r="BY89" s="8">
        <v>2.1642229694407433E-4</v>
      </c>
      <c r="BZ89" s="11">
        <v>7.3474948294460773E-4</v>
      </c>
      <c r="CA89" s="8">
        <v>2.0281883189454675E-4</v>
      </c>
      <c r="CB89" s="8">
        <v>9.4701221087234444E-7</v>
      </c>
      <c r="CC89" s="8">
        <v>7.1075019150157459E-6</v>
      </c>
      <c r="CD89" s="8">
        <v>4.2827051947824657E-4</v>
      </c>
      <c r="CE89" s="9">
        <v>1.7896558856591582E-3</v>
      </c>
      <c r="CF89"/>
      <c r="CG89" s="8">
        <v>1.2385156900052152E-8</v>
      </c>
      <c r="CH89" s="8">
        <v>4.9386010505259037E-4</v>
      </c>
      <c r="CI89" s="11">
        <v>1.417747582308948E-3</v>
      </c>
      <c r="CJ89" s="82">
        <v>6.5180040895938873E-2</v>
      </c>
      <c r="CK89" s="12">
        <v>5.6260409764945507E-3</v>
      </c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 s="8">
        <v>2.1501821174751967E-4</v>
      </c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 t="s">
        <v>309</v>
      </c>
      <c r="B90">
        <v>1.2100000381469727</v>
      </c>
      <c r="C90">
        <v>1.1314587593078613</v>
      </c>
      <c r="D90" s="8">
        <v>1.2602042988874018E-4</v>
      </c>
      <c r="E90"/>
      <c r="F90"/>
      <c r="G90"/>
      <c r="H90"/>
      <c r="I90" s="20">
        <v>6.272410973906517E-3</v>
      </c>
      <c r="J90" s="8">
        <v>2.1433993242681026E-4</v>
      </c>
      <c r="K90" s="15">
        <v>1.3142270967364311E-2</v>
      </c>
      <c r="L90" s="14">
        <v>1.7046293243765831E-2</v>
      </c>
      <c r="M90" s="11">
        <v>2.1572855766862631E-3</v>
      </c>
      <c r="N90" s="8">
        <v>6.0538332036230713E-5</v>
      </c>
      <c r="O90" s="8">
        <v>1.4776665193494409E-4</v>
      </c>
      <c r="P90" s="8">
        <v>7.0011425123084337E-5</v>
      </c>
      <c r="Q90"/>
      <c r="R90"/>
      <c r="S90"/>
      <c r="T90"/>
      <c r="U90"/>
      <c r="V90" s="8">
        <v>5.6191754993051291E-4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 s="8">
        <v>1.4489890600088984E-4</v>
      </c>
      <c r="AU90"/>
      <c r="AV90" s="20">
        <v>6.5651591867208481E-3</v>
      </c>
      <c r="AW90"/>
      <c r="AX90" s="12">
        <v>1.2083269655704498E-2</v>
      </c>
      <c r="AY90"/>
      <c r="AZ90"/>
      <c r="BA90"/>
      <c r="BB90"/>
      <c r="BC90"/>
      <c r="BD90" s="8">
        <v>9.0234694653190672E-5</v>
      </c>
      <c r="BE90"/>
      <c r="BF90"/>
      <c r="BG90"/>
      <c r="BH90"/>
      <c r="BI90"/>
      <c r="BJ90" s="8">
        <v>3.8310439265387686E-9</v>
      </c>
      <c r="BK90" s="13">
        <v>1.787772960960865E-2</v>
      </c>
      <c r="BL90"/>
      <c r="BM90"/>
      <c r="BN90"/>
      <c r="BO90"/>
      <c r="BP90"/>
      <c r="BQ90"/>
      <c r="BR90" s="8">
        <v>2.3733791022095829E-4</v>
      </c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 s="8">
        <v>5.6505403335904703E-5</v>
      </c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 s="11">
        <v>1.6873375279828906E-3</v>
      </c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 t="s">
        <v>310</v>
      </c>
      <c r="B91">
        <v>1.2100000381469727</v>
      </c>
      <c r="C91">
        <v>0.954079270362854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8">
        <v>5.6191749172285199E-4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 s="8">
        <v>1.4489890600088984E-4</v>
      </c>
      <c r="AU91"/>
      <c r="AV91"/>
      <c r="AW91"/>
      <c r="AX91" s="8">
        <v>3.5773915442405269E-5</v>
      </c>
      <c r="AY91"/>
      <c r="AZ91"/>
      <c r="BA91"/>
      <c r="BB91"/>
      <c r="BC91"/>
      <c r="BD91" s="8">
        <v>5.6841927289497107E-5</v>
      </c>
      <c r="BE91"/>
      <c r="BF91" s="8">
        <v>3.9888676838018E-5</v>
      </c>
      <c r="BG91" s="356">
        <v>2.523910254240036E-2</v>
      </c>
      <c r="BH91" s="9">
        <v>5.9262318536639214E-3</v>
      </c>
      <c r="BI91" s="64">
        <v>2.8088346123695374E-2</v>
      </c>
      <c r="BJ91" s="8">
        <v>8.6665268099750392E-6</v>
      </c>
      <c r="BK91" s="17">
        <v>5.1029019057750702E-2</v>
      </c>
      <c r="BL91" s="11">
        <v>1.9906917586922646E-3</v>
      </c>
      <c r="BM91" s="20">
        <v>6.527553778141737E-3</v>
      </c>
      <c r="BN91" s="8">
        <v>5.6875345762819052E-5</v>
      </c>
      <c r="BO91"/>
      <c r="BP91"/>
      <c r="BQ91"/>
      <c r="BR91" s="8">
        <v>3.5487661875777121E-7</v>
      </c>
      <c r="BS91" s="67">
        <v>0.10946743935346603</v>
      </c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 s="8">
        <v>2.9256780180730857E-6</v>
      </c>
      <c r="CJ91" s="8">
        <v>9.0683337475638837E-5</v>
      </c>
      <c r="CK91"/>
      <c r="CL91"/>
      <c r="CM91"/>
      <c r="CN91"/>
      <c r="CO91"/>
      <c r="CP91"/>
      <c r="CQ91"/>
      <c r="CR91"/>
      <c r="CS91"/>
      <c r="CT91"/>
      <c r="CU91"/>
      <c r="CV91"/>
      <c r="CW91" s="16">
        <v>2.1503113210201263E-2</v>
      </c>
      <c r="CX91" s="8">
        <v>2.0129432959947735E-4</v>
      </c>
      <c r="CY91" s="8">
        <v>2.5724414598471412E-8</v>
      </c>
      <c r="CZ91"/>
      <c r="DA91"/>
      <c r="DB91" s="9">
        <v>4.9491217359900475E-3</v>
      </c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 t="s">
        <v>311</v>
      </c>
      <c r="B92">
        <v>0.61000001430511475</v>
      </c>
      <c r="C92">
        <v>0.38693571090698242</v>
      </c>
      <c r="D92"/>
      <c r="E92"/>
      <c r="F92"/>
      <c r="G92"/>
      <c r="H92" s="8">
        <v>1.0596162383080809E-6</v>
      </c>
      <c r="I92" s="8">
        <v>4.1103405237663537E-5</v>
      </c>
      <c r="J92" s="8">
        <v>7.0317234701633424E-8</v>
      </c>
      <c r="K92"/>
      <c r="L92" s="8">
        <v>1.2359859056232381E-6</v>
      </c>
      <c r="M92" s="8">
        <v>2.1158939489396289E-5</v>
      </c>
      <c r="N92" s="8">
        <v>4.1526726590745966E-7</v>
      </c>
      <c r="O92" s="8">
        <v>3.0696185149281519E-6</v>
      </c>
      <c r="P92" s="8">
        <v>7.9871327329783526E-9</v>
      </c>
      <c r="Q92"/>
      <c r="R92"/>
      <c r="S92"/>
      <c r="T92"/>
      <c r="U92"/>
      <c r="V92" s="8">
        <v>5.6191749172285199E-4</v>
      </c>
      <c r="W92"/>
      <c r="X92"/>
      <c r="Y92"/>
      <c r="Z92"/>
      <c r="AA92"/>
      <c r="AB92" s="58">
        <v>4.7577619552612305E-2</v>
      </c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8">
        <v>4.4020326458849013E-4</v>
      </c>
      <c r="AU92"/>
      <c r="AV92" s="8">
        <v>2.5470764376223087E-4</v>
      </c>
      <c r="AW92"/>
      <c r="AX92" s="8">
        <v>3.9499442209489644E-5</v>
      </c>
      <c r="AY92"/>
      <c r="AZ92"/>
      <c r="BA92"/>
      <c r="BB92"/>
      <c r="BC92"/>
      <c r="BD92" s="11">
        <v>6.5981800435110927E-4</v>
      </c>
      <c r="BE92"/>
      <c r="BF92"/>
      <c r="BG92"/>
      <c r="BH92" s="18">
        <v>1.136685349047184E-2</v>
      </c>
      <c r="BI92" s="373">
        <v>9.4371773302555084E-2</v>
      </c>
      <c r="BJ92" s="8">
        <v>1.9610686285886914E-4</v>
      </c>
      <c r="BK92" s="197">
        <v>3.7093512713909149E-2</v>
      </c>
      <c r="BL92"/>
      <c r="BM92"/>
      <c r="BN92"/>
      <c r="BO92"/>
      <c r="BP92"/>
      <c r="BQ92"/>
      <c r="BR92" s="8">
        <v>2.0597481125150807E-5</v>
      </c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 s="8">
        <v>1.5326087350331363E-6</v>
      </c>
      <c r="CJ92"/>
      <c r="CK92"/>
      <c r="CL92"/>
      <c r="CM92"/>
      <c r="CN92"/>
      <c r="CO92"/>
      <c r="CP92"/>
      <c r="CQ92"/>
      <c r="CR92"/>
      <c r="CS92"/>
      <c r="CT92"/>
      <c r="CU92"/>
      <c r="CV92"/>
      <c r="CW92" s="65">
        <v>2.7183827012777328E-2</v>
      </c>
      <c r="CX92" s="20">
        <v>3.2281649764627218E-3</v>
      </c>
      <c r="CY92" s="8">
        <v>3.2520315329520599E-8</v>
      </c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 t="s">
        <v>312</v>
      </c>
      <c r="B93">
        <v>1.809999942779541</v>
      </c>
      <c r="C93">
        <v>0.36199995875358582</v>
      </c>
      <c r="D93"/>
      <c r="E93"/>
      <c r="F93"/>
      <c r="G93"/>
      <c r="H93" s="8">
        <v>3.479511292425741E-7</v>
      </c>
      <c r="I93"/>
      <c r="J93"/>
      <c r="K93"/>
      <c r="L93"/>
      <c r="M93"/>
      <c r="N93"/>
      <c r="O93"/>
      <c r="P93"/>
      <c r="Q93"/>
      <c r="R93"/>
      <c r="S93"/>
      <c r="T93"/>
      <c r="U93"/>
      <c r="V93" s="8">
        <v>5.5509654339402914E-4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 s="8">
        <v>3.9446610026061535E-4</v>
      </c>
      <c r="AS93"/>
      <c r="AT93" s="8">
        <v>1.4313998690340668E-4</v>
      </c>
      <c r="AU93"/>
      <c r="AV93" s="8">
        <v>7.5119285611435771E-4</v>
      </c>
      <c r="AW93"/>
      <c r="AX93" s="20">
        <v>1.0820443741977215E-2</v>
      </c>
      <c r="AY93"/>
      <c r="AZ93"/>
      <c r="BA93"/>
      <c r="BB93" s="8">
        <v>4.6181721558014033E-8</v>
      </c>
      <c r="BC93"/>
      <c r="BD93" s="9">
        <v>5.3330734372138977E-3</v>
      </c>
      <c r="BE93" s="8">
        <v>1.0197293013334274E-3</v>
      </c>
      <c r="BF93"/>
      <c r="BG93" s="9">
        <v>5.8153760619461536E-3</v>
      </c>
      <c r="BH93" s="8">
        <v>2.5768171326490119E-5</v>
      </c>
      <c r="BI93"/>
      <c r="BJ93" s="8">
        <v>8.9053450210485607E-5</v>
      </c>
      <c r="BK93"/>
      <c r="BL93" s="11">
        <v>3.3032028004527092E-3</v>
      </c>
      <c r="BM93" s="8">
        <v>7.0172495907172561E-4</v>
      </c>
      <c r="BN93"/>
      <c r="BO93"/>
      <c r="BP93"/>
      <c r="BQ93"/>
      <c r="BR93" s="8">
        <v>1.1826840927824378E-3</v>
      </c>
      <c r="BS93"/>
      <c r="BT93"/>
      <c r="BU93"/>
      <c r="BV93"/>
      <c r="BW93"/>
      <c r="BX93"/>
      <c r="BY93" s="8">
        <v>1.8073324463330209E-4</v>
      </c>
      <c r="BZ93" s="8">
        <v>7.8889424912631512E-6</v>
      </c>
      <c r="CA93"/>
      <c r="CB93"/>
      <c r="CC93"/>
      <c r="CD93" s="8">
        <v>6.9278157752705738E-6</v>
      </c>
      <c r="CE93"/>
      <c r="CF93"/>
      <c r="CG93" s="8">
        <v>2.8228299925103784E-4</v>
      </c>
      <c r="CH93" s="8">
        <v>9.3170075388115947E-7</v>
      </c>
      <c r="CI93" s="8">
        <v>1.949814468389377E-4</v>
      </c>
      <c r="CJ93"/>
      <c r="CK93"/>
      <c r="CL93" s="433">
        <v>1.3274548053741455</v>
      </c>
      <c r="CM93"/>
      <c r="CN93"/>
      <c r="CO93"/>
      <c r="CP93"/>
      <c r="CQ93"/>
      <c r="CR93"/>
      <c r="CS93"/>
      <c r="CT93"/>
      <c r="CU93"/>
      <c r="CV93"/>
      <c r="CW93" s="65">
        <v>7.9945184290409088E-2</v>
      </c>
      <c r="CX93" s="9">
        <v>5.7019474916160107E-3</v>
      </c>
      <c r="CY93" s="8">
        <v>9.5639350661258504E-8</v>
      </c>
      <c r="CZ93"/>
      <c r="DA93"/>
      <c r="DB93" s="11">
        <v>4.0889009833335876E-3</v>
      </c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 t="s">
        <v>313</v>
      </c>
      <c r="B94">
        <v>0.81999999284744263</v>
      </c>
      <c r="C94">
        <v>0.16399994492530823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8">
        <v>5.6067324476316571E-4</v>
      </c>
      <c r="W94"/>
      <c r="X94"/>
      <c r="Y94"/>
      <c r="Z94"/>
      <c r="AA94"/>
      <c r="AB94"/>
      <c r="AC94"/>
      <c r="AD94"/>
      <c r="AE94"/>
      <c r="AF94"/>
      <c r="AG94" s="8">
        <v>2.8762940473825438E-6</v>
      </c>
      <c r="AH94"/>
      <c r="AI94"/>
      <c r="AJ94"/>
      <c r="AK94"/>
      <c r="AL94"/>
      <c r="AM94"/>
      <c r="AN94"/>
      <c r="AO94"/>
      <c r="AP94"/>
      <c r="AQ94"/>
      <c r="AR94" s="8">
        <v>1.0356770872022025E-6</v>
      </c>
      <c r="AS94"/>
      <c r="AT94" s="8">
        <v>1.4457800716627389E-4</v>
      </c>
      <c r="AU94" s="434">
        <v>0.29008263349533081</v>
      </c>
      <c r="AV94" s="368">
        <v>9.0328894555568695E-2</v>
      </c>
      <c r="AW94" s="21">
        <v>2.1776355803012848E-2</v>
      </c>
      <c r="AX94" s="372">
        <v>6.6716380417346954E-2</v>
      </c>
      <c r="AY94"/>
      <c r="AZ94"/>
      <c r="BA94"/>
      <c r="BB94" s="8">
        <v>3.1622053938917816E-5</v>
      </c>
      <c r="BC94" s="11">
        <v>2.2349848877638578E-3</v>
      </c>
      <c r="BD94" s="403">
        <v>4.465167224407196E-2</v>
      </c>
      <c r="BE94" s="8">
        <v>4.8890116158872843E-4</v>
      </c>
      <c r="BF94" s="13">
        <v>1.3310534879565239E-2</v>
      </c>
      <c r="BG94" s="18">
        <v>1.6302559524774551E-2</v>
      </c>
      <c r="BH94" s="8">
        <v>3.5249478969490156E-5</v>
      </c>
      <c r="BI94"/>
      <c r="BJ94" s="8">
        <v>5.1355380037421128E-7</v>
      </c>
      <c r="BK94" s="8">
        <v>5.5780510592740029E-6</v>
      </c>
      <c r="BL94" s="8">
        <v>1.1670033927657641E-5</v>
      </c>
      <c r="BM94"/>
      <c r="BN94" s="8">
        <v>9.0065717813558877E-5</v>
      </c>
      <c r="BO94"/>
      <c r="BP94"/>
      <c r="BQ94" s="8">
        <v>3.4125496313208714E-5</v>
      </c>
      <c r="BR94" s="9">
        <v>3.4053435083478689E-3</v>
      </c>
      <c r="BS94" s="11">
        <v>1.3726499164476991E-3</v>
      </c>
      <c r="BT94"/>
      <c r="BU94"/>
      <c r="BV94"/>
      <c r="BW94" s="8">
        <v>1.8162853666581213E-4</v>
      </c>
      <c r="BX94" s="8">
        <v>1.4501001714961603E-6</v>
      </c>
      <c r="BY94" s="8">
        <v>2.4912204025895335E-5</v>
      </c>
      <c r="BZ94" s="65">
        <v>3.6598280072212219E-2</v>
      </c>
      <c r="CA94"/>
      <c r="CB94" s="6">
        <v>8.2755233221654123E-11</v>
      </c>
      <c r="CC94"/>
      <c r="CD94" s="8">
        <v>3.4191616578027606E-4</v>
      </c>
      <c r="CE94"/>
      <c r="CF94"/>
      <c r="CG94" s="8">
        <v>1.6487623724970035E-5</v>
      </c>
      <c r="CH94"/>
      <c r="CI94" s="8">
        <v>5.0061778165400028E-4</v>
      </c>
      <c r="CJ94"/>
      <c r="CK94"/>
      <c r="CL94" s="72">
        <v>6.0991950333118439E-2</v>
      </c>
      <c r="CM94"/>
      <c r="CN94"/>
      <c r="CO94"/>
      <c r="CP94"/>
      <c r="CQ94"/>
      <c r="CR94"/>
      <c r="CS94"/>
      <c r="CT94"/>
      <c r="CU94"/>
      <c r="CV94"/>
      <c r="CW94" s="20">
        <v>4.8976060934364796E-3</v>
      </c>
      <c r="CX94" s="8">
        <v>1.0479389311512932E-4</v>
      </c>
      <c r="CY94" s="8">
        <v>5.8590603480013215E-9</v>
      </c>
      <c r="CZ94"/>
      <c r="DA94"/>
      <c r="DB94" s="8">
        <v>7.5148337054997683E-4</v>
      </c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 t="s">
        <v>314</v>
      </c>
      <c r="B95">
        <v>7.4000000953674316</v>
      </c>
      <c r="C95">
        <v>1.4799998998641968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8">
        <v>5.5365747539326549E-4</v>
      </c>
      <c r="W95"/>
      <c r="X95"/>
      <c r="Y95"/>
      <c r="Z95"/>
      <c r="AA95"/>
      <c r="AB95"/>
      <c r="AC95"/>
      <c r="AD95"/>
      <c r="AE95"/>
      <c r="AF95"/>
      <c r="AG95"/>
      <c r="AH95" s="8">
        <v>3.2574542274232954E-5</v>
      </c>
      <c r="AI95" s="8">
        <v>1.1126075405627489E-3</v>
      </c>
      <c r="AJ95" s="8">
        <v>1.1127510515507311E-4</v>
      </c>
      <c r="AK95" s="8">
        <v>1.7377547010255512E-6</v>
      </c>
      <c r="AL95" s="8">
        <v>6.0106553137302399E-3</v>
      </c>
      <c r="AM95" s="8">
        <v>2.489076905476395E-6</v>
      </c>
      <c r="AN95" s="8">
        <v>6.3376323851116467E-6</v>
      </c>
      <c r="AO95" s="8">
        <v>9.6160229077213444E-6</v>
      </c>
      <c r="AP95" s="8">
        <v>1.1660903510346543E-5</v>
      </c>
      <c r="AQ95"/>
      <c r="AR95"/>
      <c r="AS95"/>
      <c r="AT95" s="8">
        <v>8.3500679465942085E-5</v>
      </c>
      <c r="AU95" s="8">
        <v>4.2665763758122921E-3</v>
      </c>
      <c r="AV95" s="11">
        <v>1.4735967852175236E-2</v>
      </c>
      <c r="AW95" s="8">
        <v>2.5568946730345488E-3</v>
      </c>
      <c r="AX95" s="8">
        <v>6.5155955962836742E-3</v>
      </c>
      <c r="AY95"/>
      <c r="AZ95"/>
      <c r="BA95"/>
      <c r="BB95" s="8">
        <v>7.0667662657797337E-4</v>
      </c>
      <c r="BC95"/>
      <c r="BD95" s="8">
        <v>2.4141714675351977E-4</v>
      </c>
      <c r="BE95" s="8">
        <v>1.3498640619218349E-3</v>
      </c>
      <c r="BF95"/>
      <c r="BG95" s="8">
        <v>1.3290203642100096E-3</v>
      </c>
      <c r="BH95" s="8">
        <v>6.5698674006853253E-5</v>
      </c>
      <c r="BI95" s="8">
        <v>1.416387840436073E-5</v>
      </c>
      <c r="BJ95" s="8">
        <v>1.4335739251691848E-5</v>
      </c>
      <c r="BK95" s="8">
        <v>3.2644253224134445E-4</v>
      </c>
      <c r="BL95" s="8">
        <v>3.2581968698650599E-3</v>
      </c>
      <c r="BM95" s="18">
        <v>0.14459623396396637</v>
      </c>
      <c r="BN95" s="8">
        <v>2.8794389800168574E-4</v>
      </c>
      <c r="BO95"/>
      <c r="BP95" s="8">
        <v>1.2392920325510204E-4</v>
      </c>
      <c r="BQ95" s="8">
        <v>3.0938670533942059E-5</v>
      </c>
      <c r="BR95" s="8">
        <v>2.6348556275479496E-5</v>
      </c>
      <c r="BS95" s="8">
        <v>5.1439562812447548E-3</v>
      </c>
      <c r="BT95"/>
      <c r="BU95"/>
      <c r="BV95"/>
      <c r="BW95" s="8">
        <v>1.3480213056027424E-5</v>
      </c>
      <c r="BX95" s="8">
        <v>2.0819006749661639E-6</v>
      </c>
      <c r="BY95"/>
      <c r="BZ95" s="8">
        <v>1.0712236644394579E-6</v>
      </c>
      <c r="CA95"/>
      <c r="CB95" s="8">
        <v>1.3274385146644363E-8</v>
      </c>
      <c r="CC95"/>
      <c r="CD95" s="8">
        <v>1.2256029003765434E-4</v>
      </c>
      <c r="CE95" s="8">
        <v>6.2454883009195328E-3</v>
      </c>
      <c r="CF95"/>
      <c r="CG95" s="8">
        <v>6.0764210729757906E-7</v>
      </c>
      <c r="CH95" s="8">
        <v>4.456597707758192E-6</v>
      </c>
      <c r="CI95" s="8">
        <v>3.6283723602537066E-5</v>
      </c>
      <c r="CJ95" s="11">
        <v>1.1501079425215721E-2</v>
      </c>
      <c r="CK95"/>
      <c r="CL95"/>
      <c r="CM95"/>
      <c r="CN95"/>
      <c r="CO95"/>
      <c r="CP95"/>
      <c r="CQ95"/>
      <c r="CR95"/>
      <c r="CS95"/>
      <c r="CT95"/>
      <c r="CU95"/>
      <c r="CV95"/>
      <c r="CW95" s="8">
        <v>4.2970073409378529E-3</v>
      </c>
      <c r="CX95" s="8">
        <v>1.8388581520412117E-4</v>
      </c>
      <c r="CY95" s="6">
        <v>5.1405573131546589E-9</v>
      </c>
      <c r="CZ95"/>
      <c r="DA95"/>
      <c r="DB95"/>
      <c r="DC95"/>
      <c r="DD95"/>
      <c r="DE95"/>
      <c r="DF95"/>
      <c r="DG95"/>
      <c r="DH95"/>
      <c r="DI95" s="11">
        <v>1.367817260324955E-2</v>
      </c>
      <c r="DJ95" s="8">
        <v>7.6510208600666374E-5</v>
      </c>
      <c r="DK95" s="9">
        <v>3.1456083059310913E-2</v>
      </c>
      <c r="DL95" s="23">
        <v>0.1877126544713974</v>
      </c>
      <c r="DM95" s="8">
        <v>1.0336071682104375E-5</v>
      </c>
      <c r="DN95" s="11">
        <v>1.0435511358082294E-2</v>
      </c>
      <c r="DO95" s="445">
        <v>5.4606966972351074</v>
      </c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 t="s">
        <v>315</v>
      </c>
      <c r="B96">
        <v>7.4000000953674316</v>
      </c>
      <c r="C96">
        <v>1.4799998998641968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20">
        <v>4.8859763890504837E-2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 s="8">
        <v>1.1006504792021587E-4</v>
      </c>
      <c r="AK96" s="8">
        <v>1.7188580159199773E-6</v>
      </c>
      <c r="AL96"/>
      <c r="AM96" s="8">
        <v>2.46200897890958E-6</v>
      </c>
      <c r="AN96" s="8">
        <v>6.2687122408533469E-6</v>
      </c>
      <c r="AO96" s="8">
        <v>9.5114510259008966E-6</v>
      </c>
      <c r="AP96" s="8">
        <v>1.1534097211551853E-5</v>
      </c>
      <c r="AQ96"/>
      <c r="AR96"/>
      <c r="AS96"/>
      <c r="AT96" s="8">
        <v>1.8266198458150029E-4</v>
      </c>
      <c r="AU96" s="13">
        <v>0.11975324153900146</v>
      </c>
      <c r="AV96" s="371">
        <v>0.29552674293518066</v>
      </c>
      <c r="AW96" s="20">
        <v>4.5715060085058212E-2</v>
      </c>
      <c r="AX96" s="11">
        <v>8.394886739552021E-3</v>
      </c>
      <c r="AY96"/>
      <c r="AZ96" s="8">
        <v>1.9456892914604396E-5</v>
      </c>
      <c r="BA96" s="8">
        <v>4.4234716369828675E-6</v>
      </c>
      <c r="BB96" s="8">
        <v>6.2387523939833045E-4</v>
      </c>
      <c r="BC96" s="8">
        <v>6.7737296922132373E-4</v>
      </c>
      <c r="BD96" s="8">
        <v>5.0692460717982613E-6</v>
      </c>
      <c r="BE96" s="8">
        <v>1.4370371354743838E-4</v>
      </c>
      <c r="BF96" s="8">
        <v>3.5035667679039761E-5</v>
      </c>
      <c r="BG96" s="8">
        <v>4.7617708332836628E-5</v>
      </c>
      <c r="BH96" s="8">
        <v>6.4943474717438221E-4</v>
      </c>
      <c r="BI96" s="8">
        <v>1.8163998611271381E-3</v>
      </c>
      <c r="BJ96" s="8">
        <v>2.8221760294400156E-4</v>
      </c>
      <c r="BK96" s="8">
        <v>1.0184835409745574E-3</v>
      </c>
      <c r="BL96" s="8">
        <v>3.1682471744716167E-3</v>
      </c>
      <c r="BM96" s="8">
        <v>1.0869619472941849E-5</v>
      </c>
      <c r="BN96" s="11">
        <v>8.7965195998549461E-3</v>
      </c>
      <c r="BO96"/>
      <c r="BP96" s="8">
        <v>2.8536975150927901E-5</v>
      </c>
      <c r="BQ96" s="8">
        <v>2.4053289962466806E-5</v>
      </c>
      <c r="BR96" s="8">
        <v>3.7580132484436035E-3</v>
      </c>
      <c r="BS96" s="14">
        <v>0.10879921913146973</v>
      </c>
      <c r="BT96"/>
      <c r="BU96"/>
      <c r="BV96"/>
      <c r="BW96" s="11">
        <v>1.23261958360672E-2</v>
      </c>
      <c r="BX96" s="9">
        <v>2.4952661246061325E-2</v>
      </c>
      <c r="BY96" s="8">
        <v>2.676183357834816E-4</v>
      </c>
      <c r="BZ96" s="8">
        <v>3.6466814344748855E-4</v>
      </c>
      <c r="CA96" s="8">
        <v>2.1815753825649153E-7</v>
      </c>
      <c r="CB96" s="6">
        <v>1.1465906002428028E-9</v>
      </c>
      <c r="CC96" s="8">
        <v>4.7751627789693885E-6</v>
      </c>
      <c r="CD96" s="8">
        <v>1.5605782391503453E-4</v>
      </c>
      <c r="CE96" s="8">
        <v>6.1375540099106729E-5</v>
      </c>
      <c r="CF96"/>
      <c r="CG96" s="8">
        <v>1.200865790451644E-5</v>
      </c>
      <c r="CH96" s="8">
        <v>7.9122415627352893E-5</v>
      </c>
      <c r="CI96" s="8">
        <v>9.4295735470950603E-4</v>
      </c>
      <c r="CJ96" s="19">
        <v>5.3628116846084595E-2</v>
      </c>
      <c r="CK96" s="8">
        <v>1.1963100405409932E-3</v>
      </c>
      <c r="CL96"/>
      <c r="CM96"/>
      <c r="CN96"/>
      <c r="CO96"/>
      <c r="CP96"/>
      <c r="CQ96"/>
      <c r="CR96"/>
      <c r="CS96"/>
      <c r="CT96"/>
      <c r="CU96"/>
      <c r="CV96"/>
      <c r="CW96" s="8">
        <v>5.9367911890149117E-3</v>
      </c>
      <c r="CX96" s="8">
        <v>3.8108792068669572E-5</v>
      </c>
      <c r="CY96" s="6">
        <v>7.1022498993045247E-9</v>
      </c>
      <c r="CZ96" s="383">
        <v>1.3357696533203125</v>
      </c>
      <c r="DA96" s="341">
        <v>1.5315120220184326</v>
      </c>
      <c r="DB96"/>
      <c r="DC96" s="65">
        <v>0.33406874537467957</v>
      </c>
      <c r="DD96"/>
      <c r="DE96"/>
      <c r="DF96"/>
      <c r="DG96"/>
      <c r="DH96"/>
      <c r="DI96" s="8">
        <v>4.7244774177670479E-3</v>
      </c>
      <c r="DJ96" s="8">
        <v>2.6426831027492881E-5</v>
      </c>
      <c r="DK96" s="11">
        <v>1.0865015909075737E-2</v>
      </c>
      <c r="DL96" s="19">
        <v>6.4836457371711731E-2</v>
      </c>
      <c r="DM96" s="8">
        <v>3.5701068554772064E-6</v>
      </c>
      <c r="DN96" s="8">
        <v>3.6044537555426359E-3</v>
      </c>
      <c r="DO96" s="446">
        <v>1.8861392736434937</v>
      </c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 t="s">
        <v>316</v>
      </c>
      <c r="B97">
        <v>1</v>
      </c>
      <c r="C97">
        <v>0.9978606104850769</v>
      </c>
      <c r="D97"/>
      <c r="E97"/>
      <c r="F97"/>
      <c r="G97"/>
      <c r="H97"/>
      <c r="I97" s="11">
        <v>1.02759909350425E-3</v>
      </c>
      <c r="J97" s="8">
        <v>1.6496631360496394E-5</v>
      </c>
      <c r="K97" s="8">
        <v>1.5095410344656557E-4</v>
      </c>
      <c r="L97" s="8">
        <v>2.051656338153407E-6</v>
      </c>
      <c r="M97" s="8">
        <v>1.5271530719473958E-4</v>
      </c>
      <c r="N97" s="8">
        <v>1.5059029465191998E-5</v>
      </c>
      <c r="O97" s="8">
        <v>3.6729841667693108E-5</v>
      </c>
      <c r="P97" s="8">
        <v>3.0949497158871964E-5</v>
      </c>
      <c r="Q97"/>
      <c r="R97"/>
      <c r="S97"/>
      <c r="T97"/>
      <c r="U97"/>
      <c r="V97" s="8">
        <v>5.6191737530753016E-4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8">
        <v>1.4489884779322892E-4</v>
      </c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 t="s">
        <v>317</v>
      </c>
      <c r="B98">
        <v>4.6051699668169022E-2</v>
      </c>
      <c r="C98">
        <v>4.0888156741857529E-2</v>
      </c>
      <c r="D98"/>
      <c r="E98"/>
      <c r="F98"/>
      <c r="G98"/>
      <c r="H98"/>
      <c r="I98" s="65">
        <v>2.1119383163750172E-3</v>
      </c>
      <c r="J98"/>
      <c r="K98" s="8">
        <v>2.1510256829060381E-6</v>
      </c>
      <c r="L98" s="8">
        <v>2.0454482552167974E-8</v>
      </c>
      <c r="M98" s="8">
        <v>2.1347865185816772E-5</v>
      </c>
      <c r="N98" s="13">
        <v>7.2047644061967731E-4</v>
      </c>
      <c r="O98" s="10">
        <v>1.7208302160724998E-3</v>
      </c>
      <c r="P98" s="8">
        <v>2.4859562472556718E-5</v>
      </c>
      <c r="Q98"/>
      <c r="R98"/>
      <c r="S98"/>
      <c r="T98"/>
      <c r="U98"/>
      <c r="V98" s="15">
        <v>5.6191760813817382E-4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 t="s">
        <v>318</v>
      </c>
      <c r="B99">
        <v>1</v>
      </c>
      <c r="C99">
        <v>0.19999998807907104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8">
        <v>5.4764264496043324E-4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8">
        <v>1.4121791173238307E-4</v>
      </c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 s="70">
        <v>3.2762352377176285E-2</v>
      </c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 s="8">
        <v>1.6119098290801048E-4</v>
      </c>
      <c r="CI99" s="8">
        <v>6.1735527197015472E-6</v>
      </c>
      <c r="CJ99" s="409">
        <v>0.58649295568466187</v>
      </c>
      <c r="CK99"/>
      <c r="CL99"/>
      <c r="CM99"/>
      <c r="CN99"/>
      <c r="CO99"/>
      <c r="CP99"/>
      <c r="CQ99"/>
      <c r="CR99"/>
      <c r="CS99"/>
      <c r="CT99"/>
      <c r="CU99"/>
      <c r="CV99"/>
      <c r="CW99" s="396">
        <v>0.17075422406196594</v>
      </c>
      <c r="CX99" s="12">
        <v>9.1340541839599609E-3</v>
      </c>
      <c r="CY99" s="8">
        <v>2.0427516744803143E-7</v>
      </c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 t="s">
        <v>319</v>
      </c>
      <c r="B100">
        <v>3.5799999237060547</v>
      </c>
      <c r="C100">
        <v>3.5671653747558594</v>
      </c>
      <c r="D100"/>
      <c r="E100"/>
      <c r="F100"/>
      <c r="G100"/>
      <c r="H100"/>
      <c r="I100" s="8">
        <v>2.9902459573349915E-5</v>
      </c>
      <c r="J100" s="8">
        <v>9.0775856165237201E-8</v>
      </c>
      <c r="K100" s="8">
        <v>2.9472435016941745E-6</v>
      </c>
      <c r="L100" s="8">
        <v>2.7708040306606563E-7</v>
      </c>
      <c r="M100" s="8">
        <v>3.8334433156705927E-6</v>
      </c>
      <c r="N100" s="8">
        <v>1.6591990004144463E-7</v>
      </c>
      <c r="O100" s="8">
        <v>2.5681622446427355E-6</v>
      </c>
      <c r="P100" s="8">
        <v>1.1119746545773523E-7</v>
      </c>
      <c r="Q100"/>
      <c r="R100"/>
      <c r="S100"/>
      <c r="T100"/>
      <c r="U100"/>
      <c r="V100" s="8">
        <v>5.6191749172285199E-4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 s="8">
        <v>1.9850416720146313E-5</v>
      </c>
      <c r="AY100"/>
      <c r="AZ100"/>
      <c r="BA100"/>
      <c r="BB100"/>
      <c r="BC100"/>
      <c r="BD100" s="8">
        <v>1.4613192433898803E-5</v>
      </c>
      <c r="BE100"/>
      <c r="BF100"/>
      <c r="BG100"/>
      <c r="BH100"/>
      <c r="BI100"/>
      <c r="BJ100" s="8">
        <v>4.695380266639404E-5</v>
      </c>
      <c r="BK100"/>
      <c r="BL100"/>
      <c r="BM100"/>
      <c r="BN100"/>
      <c r="BO100"/>
      <c r="BP100"/>
      <c r="BQ100" s="8">
        <v>9.5169874839484692E-5</v>
      </c>
      <c r="BR100" s="8">
        <v>2.1398498211055994E-3</v>
      </c>
      <c r="BS100"/>
      <c r="BT100"/>
      <c r="BU100"/>
      <c r="BV100"/>
      <c r="BW100"/>
      <c r="BX100"/>
      <c r="BY100"/>
      <c r="BZ100"/>
      <c r="CA100"/>
      <c r="CB100"/>
      <c r="CC100"/>
      <c r="CD100"/>
      <c r="CE100" s="11">
        <v>9.3683619052171707E-3</v>
      </c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 s="8">
        <v>5.4797116899862885E-4</v>
      </c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 t="s">
        <v>320</v>
      </c>
      <c r="B101">
        <v>9.210340678691864E-2</v>
      </c>
      <c r="C101">
        <v>7.3241628706455231E-2</v>
      </c>
      <c r="D101"/>
      <c r="E101"/>
      <c r="F101"/>
      <c r="G101"/>
      <c r="H101"/>
      <c r="I101" s="356">
        <v>2.0374222658574581E-3</v>
      </c>
      <c r="J101"/>
      <c r="K101" s="74">
        <v>7.497061975300312E-3</v>
      </c>
      <c r="L101"/>
      <c r="M101" s="11">
        <v>2.6180871645919979E-4</v>
      </c>
      <c r="N101"/>
      <c r="O101" s="8">
        <v>5.1681381592061371E-5</v>
      </c>
      <c r="P101" s="13">
        <v>1.4730461407452822E-3</v>
      </c>
      <c r="Q101"/>
      <c r="R101"/>
      <c r="S101"/>
      <c r="T101"/>
      <c r="U101"/>
      <c r="V101" s="20">
        <v>5.6191749172285199E-4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 s="24">
        <v>6.9788373075425625E-3</v>
      </c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 t="s">
        <v>321</v>
      </c>
      <c r="B102">
        <v>1</v>
      </c>
      <c r="C102">
        <v>0.99514269828796387</v>
      </c>
      <c r="D102"/>
      <c r="E102"/>
      <c r="F102"/>
      <c r="G102"/>
      <c r="H102"/>
      <c r="I102" s="8">
        <v>2.9432258452288806E-4</v>
      </c>
      <c r="J102"/>
      <c r="K102" s="8">
        <v>2.5667301883913751E-7</v>
      </c>
      <c r="L102" s="8">
        <v>1.2152722047176212E-4</v>
      </c>
      <c r="M102" s="8">
        <v>5.3565454436466098E-5</v>
      </c>
      <c r="N102" s="8">
        <v>2.1821040263603209E-6</v>
      </c>
      <c r="O102" s="8">
        <v>8.8226217485498637E-5</v>
      </c>
      <c r="P102" s="8">
        <v>6.1368464230326936E-6</v>
      </c>
      <c r="Q102"/>
      <c r="R102"/>
      <c r="S102"/>
      <c r="T102"/>
      <c r="U102"/>
      <c r="V102" s="8">
        <v>5.6191749172285199E-4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 s="9">
        <v>3.0416320078074932E-3</v>
      </c>
      <c r="AY102"/>
      <c r="AZ102"/>
      <c r="BA102"/>
      <c r="BB102" s="8">
        <v>8.5341169324237853E-5</v>
      </c>
      <c r="BC102"/>
      <c r="BD102" s="8">
        <v>2.4927451158873737E-4</v>
      </c>
      <c r="BE102"/>
      <c r="BF102"/>
      <c r="BG102"/>
      <c r="BH102"/>
      <c r="BI102"/>
      <c r="BJ102" s="8">
        <v>1.0044052942248527E-5</v>
      </c>
      <c r="BK102"/>
      <c r="BL102"/>
      <c r="BM102"/>
      <c r="BN102"/>
      <c r="BO102"/>
      <c r="BP102"/>
      <c r="BQ102"/>
      <c r="BR102" s="8">
        <v>3.0851532937958837E-4</v>
      </c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8">
        <v>3.4368753404123709E-5</v>
      </c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 t="s">
        <v>322</v>
      </c>
      <c r="B103">
        <v>1.2999999523162842</v>
      </c>
      <c r="C103">
        <v>0.26000005006790161</v>
      </c>
      <c r="D103"/>
      <c r="E103"/>
      <c r="F103"/>
      <c r="G103"/>
      <c r="H103" s="8">
        <v>1.4312239727587439E-5</v>
      </c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8">
        <v>5.5410148343071342E-4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 s="8">
        <v>1.1136436660308391E-4</v>
      </c>
      <c r="AK103" s="8">
        <v>1.7391485016560182E-6</v>
      </c>
      <c r="AL103"/>
      <c r="AM103" s="8">
        <v>2.4910723368520848E-6</v>
      </c>
      <c r="AN103" s="8">
        <v>6.3427164604945574E-6</v>
      </c>
      <c r="AO103"/>
      <c r="AP103" s="8">
        <v>1.1670262210827786E-5</v>
      </c>
      <c r="AQ103"/>
      <c r="AR103"/>
      <c r="AS103"/>
      <c r="AT103" s="8">
        <v>1.428833493264392E-4</v>
      </c>
      <c r="AU103"/>
      <c r="AV103" s="8">
        <v>4.2385782580822706E-4</v>
      </c>
      <c r="AW103"/>
      <c r="AX103" s="8">
        <v>3.4903752384707332E-4</v>
      </c>
      <c r="AY103"/>
      <c r="AZ103"/>
      <c r="BA103"/>
      <c r="BB103" s="8">
        <v>1.2082376633770764E-4</v>
      </c>
      <c r="BC103"/>
      <c r="BD103" s="8">
        <v>2.541000721976161E-4</v>
      </c>
      <c r="BE103" s="11">
        <v>2.3705938365310431E-3</v>
      </c>
      <c r="BF103"/>
      <c r="BG103" s="9">
        <v>5.6959320791065693E-3</v>
      </c>
      <c r="BH103" s="8">
        <v>6.1138416640460491E-4</v>
      </c>
      <c r="BI103" s="20">
        <v>7.5745345093309879E-3</v>
      </c>
      <c r="BJ103" s="8">
        <v>1.8897507106885314E-4</v>
      </c>
      <c r="BK103" s="8">
        <v>5.7860312517732382E-4</v>
      </c>
      <c r="BL103" s="8">
        <v>1.6109714124468155E-5</v>
      </c>
      <c r="BM103"/>
      <c r="BN103" s="6">
        <v>4.778293871687822E-10</v>
      </c>
      <c r="BO103"/>
      <c r="BP103" s="8">
        <v>3.9952246879693121E-5</v>
      </c>
      <c r="BQ103"/>
      <c r="BR103" s="8">
        <v>1.2256812169653131E-6</v>
      </c>
      <c r="BS103" s="20">
        <v>7.5118523091077805E-3</v>
      </c>
      <c r="BT103"/>
      <c r="BU103"/>
      <c r="BV103"/>
      <c r="BW103"/>
      <c r="BX103"/>
      <c r="BY103"/>
      <c r="BZ103"/>
      <c r="CA103"/>
      <c r="CB103"/>
      <c r="CC103"/>
      <c r="CD103" s="8">
        <v>4.253308105717224E-8</v>
      </c>
      <c r="CE103"/>
      <c r="CF103"/>
      <c r="CG103" s="8">
        <v>4.143855960592191E-7</v>
      </c>
      <c r="CH103" s="8">
        <v>1.2433109986886848E-5</v>
      </c>
      <c r="CI103" s="8">
        <v>2.6826041903404985E-6</v>
      </c>
      <c r="CJ103"/>
      <c r="CK103"/>
      <c r="CL103" s="71">
        <v>6.3697159290313721E-2</v>
      </c>
      <c r="CM103"/>
      <c r="CN103"/>
      <c r="CO103"/>
      <c r="CP103"/>
      <c r="CQ103"/>
      <c r="CR103"/>
      <c r="CS103"/>
      <c r="CT103"/>
      <c r="CU103"/>
      <c r="CV103"/>
      <c r="CW103" s="69">
        <v>3.8361243903636932E-2</v>
      </c>
      <c r="CX103" s="8">
        <v>2.4624422076158226E-4</v>
      </c>
      <c r="CY103" s="201">
        <v>0.10920445621013641</v>
      </c>
      <c r="CZ103" s="342">
        <v>0.19180500507354736</v>
      </c>
      <c r="DA103" s="60">
        <v>0.21991190314292908</v>
      </c>
      <c r="DB103" s="21">
        <v>3.570905327796936E-2</v>
      </c>
      <c r="DC103"/>
      <c r="DD103"/>
      <c r="DE103" s="374">
        <v>8.6851812899112701E-2</v>
      </c>
      <c r="DF103" s="68">
        <v>0.26761561632156372</v>
      </c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 t="s">
        <v>323</v>
      </c>
      <c r="B104">
        <v>2.9700000286102295</v>
      </c>
      <c r="C104">
        <v>0.59399980306625366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8">
        <v>5.5823399452492595E-4</v>
      </c>
      <c r="W104"/>
      <c r="X104"/>
      <c r="Y104"/>
      <c r="Z104"/>
      <c r="AA104"/>
      <c r="AB104"/>
      <c r="AC104"/>
      <c r="AD104"/>
      <c r="AE104" s="8">
        <v>8.3108016042388044E-6</v>
      </c>
      <c r="AF104" s="8">
        <v>2.2198345686774701E-4</v>
      </c>
      <c r="AG104"/>
      <c r="AH104"/>
      <c r="AI104"/>
      <c r="AJ104" s="8">
        <v>1.1219493171665817E-4</v>
      </c>
      <c r="AK104" s="8">
        <v>1.7521189192848396E-6</v>
      </c>
      <c r="AL104"/>
      <c r="AM104" s="8">
        <v>2.5096512672462268E-6</v>
      </c>
      <c r="AN104" s="8">
        <v>6.3900197346811183E-6</v>
      </c>
      <c r="AO104"/>
      <c r="AP104" s="8">
        <v>1.1757297215808649E-5</v>
      </c>
      <c r="AQ104"/>
      <c r="AR104"/>
      <c r="AS104"/>
      <c r="AT104" s="8">
        <v>1.4394901518244296E-4</v>
      </c>
      <c r="AU104" s="11">
        <v>4.8660207539796829E-3</v>
      </c>
      <c r="AV104" s="19">
        <v>2.4653738364577293E-2</v>
      </c>
      <c r="AW104" s="11">
        <v>5.2506471984088421E-3</v>
      </c>
      <c r="AX104" s="15">
        <v>3.5553563386201859E-2</v>
      </c>
      <c r="AY104"/>
      <c r="AZ104" s="8">
        <v>3.2977480441331863E-4</v>
      </c>
      <c r="BA104"/>
      <c r="BB104" s="8">
        <v>2.5002218317240477E-3</v>
      </c>
      <c r="BC104"/>
      <c r="BD104" s="8">
        <v>6.70783338136971E-4</v>
      </c>
      <c r="BE104" s="11">
        <v>4.8116128891706467E-3</v>
      </c>
      <c r="BF104" s="8">
        <v>3.5431177821010351E-5</v>
      </c>
      <c r="BG104" s="8">
        <v>1.5821889974176884E-3</v>
      </c>
      <c r="BH104" s="20">
        <v>1.6468746587634087E-2</v>
      </c>
      <c r="BI104" s="14">
        <v>3.8071278482675552E-2</v>
      </c>
      <c r="BJ104" s="8">
        <v>2.6590356137603521E-3</v>
      </c>
      <c r="BK104" s="14">
        <v>4.3522119522094727E-2</v>
      </c>
      <c r="BL104" s="21">
        <v>7.9734452068805695E-2</v>
      </c>
      <c r="BM104" s="8">
        <v>2.3488412261940539E-4</v>
      </c>
      <c r="BN104" s="8">
        <v>1.6502148355357349E-4</v>
      </c>
      <c r="BO104"/>
      <c r="BP104"/>
      <c r="BQ104" s="8">
        <v>4.3941440526396036E-4</v>
      </c>
      <c r="BR104" s="8">
        <v>2.4132342077791691E-3</v>
      </c>
      <c r="BS104" s="17">
        <v>0.12733420729637146</v>
      </c>
      <c r="BT104"/>
      <c r="BU104"/>
      <c r="BV104"/>
      <c r="BW104"/>
      <c r="BX104"/>
      <c r="BY104"/>
      <c r="BZ104" s="8">
        <v>1.4879947229928803E-7</v>
      </c>
      <c r="CA104"/>
      <c r="CB104"/>
      <c r="CC104" s="8">
        <v>7.0269570642267354E-6</v>
      </c>
      <c r="CD104" s="8">
        <v>1.0851841943804175E-4</v>
      </c>
      <c r="CE104"/>
      <c r="CF104"/>
      <c r="CG104" s="8">
        <v>1.2238750741744298E-6</v>
      </c>
      <c r="CH104" s="8">
        <v>2.7728613349609077E-4</v>
      </c>
      <c r="CI104" s="8">
        <v>2.7939886786043644E-3</v>
      </c>
      <c r="CJ104" s="9">
        <v>1.1297495104372501E-2</v>
      </c>
      <c r="CK104"/>
      <c r="CL104"/>
      <c r="CM104"/>
      <c r="CN104"/>
      <c r="CO104"/>
      <c r="CP104"/>
      <c r="CQ104"/>
      <c r="CR104"/>
      <c r="CS104"/>
      <c r="CT104"/>
      <c r="CU104"/>
      <c r="CV104"/>
      <c r="CW104" s="58">
        <v>0.23397710919380188</v>
      </c>
      <c r="CX104" s="8">
        <v>7.6628569513559341E-4</v>
      </c>
      <c r="CY104" s="376">
        <v>0.40779927372932434</v>
      </c>
      <c r="CZ104"/>
      <c r="DA104"/>
      <c r="DB104" s="11">
        <v>2.9307098593562841E-3</v>
      </c>
      <c r="DC104"/>
      <c r="DD104"/>
      <c r="DE104" s="368">
        <v>0.32432827353477478</v>
      </c>
      <c r="DF104" s="444">
        <v>0.99934935569763184</v>
      </c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 t="s">
        <v>324</v>
      </c>
      <c r="B105">
        <v>2.2300000190734863</v>
      </c>
      <c r="C105">
        <v>0.44599997997283936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8">
        <v>5.4435868514701724E-4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 s="8">
        <v>1.0940624633803964E-4</v>
      </c>
      <c r="AK105" s="8">
        <v>1.7085684476114693E-6</v>
      </c>
      <c r="AL105"/>
      <c r="AM105" s="8">
        <v>2.4472722088830778E-6</v>
      </c>
      <c r="AN105" s="8">
        <v>6.2311924011737574E-6</v>
      </c>
      <c r="AO105"/>
      <c r="AP105" s="8">
        <v>1.1465066563687287E-5</v>
      </c>
      <c r="AQ105"/>
      <c r="AR105"/>
      <c r="AS105"/>
      <c r="AT105" s="8">
        <v>6.2673416687175632E-4</v>
      </c>
      <c r="AU105"/>
      <c r="AV105" s="8">
        <v>4.5021827099844813E-4</v>
      </c>
      <c r="AW105"/>
      <c r="AX105" s="11">
        <v>3.7008197978138924E-3</v>
      </c>
      <c r="AY105"/>
      <c r="AZ105"/>
      <c r="BA105"/>
      <c r="BB105" s="8">
        <v>1.8441729480400681E-3</v>
      </c>
      <c r="BC105"/>
      <c r="BD105" s="8">
        <v>2.4310173103003763E-5</v>
      </c>
      <c r="BE105"/>
      <c r="BF105"/>
      <c r="BG105" s="11">
        <v>3.4467866644263268E-3</v>
      </c>
      <c r="BH105" s="8">
        <v>7.9669716069474816E-4</v>
      </c>
      <c r="BI105" s="8">
        <v>1.9048342946916819E-3</v>
      </c>
      <c r="BJ105" s="8">
        <v>5.5872451048344374E-4</v>
      </c>
      <c r="BK105" s="12">
        <v>2.1509606391191483E-2</v>
      </c>
      <c r="BL105" s="11">
        <v>6.4659062772989273E-3</v>
      </c>
      <c r="BM105"/>
      <c r="BN105" s="8">
        <v>1.8318616785109043E-3</v>
      </c>
      <c r="BO105"/>
      <c r="BP105"/>
      <c r="BQ105"/>
      <c r="BR105" s="8">
        <v>4.8781657824292779E-5</v>
      </c>
      <c r="BS105" s="20">
        <v>1.2578836642205715E-2</v>
      </c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 s="8">
        <v>4.8814225010573864E-4</v>
      </c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 s="8">
        <v>1.0181793186347932E-4</v>
      </c>
      <c r="CY105" s="360">
        <v>0.40638807415962219</v>
      </c>
      <c r="CZ105"/>
      <c r="DA105"/>
      <c r="DB105" s="8">
        <v>1.4602851588279009E-3</v>
      </c>
      <c r="DC105"/>
      <c r="DD105"/>
      <c r="DE105" s="343">
        <v>0.32320615649223328</v>
      </c>
      <c r="DF105" s="443">
        <v>0.99589180946350098</v>
      </c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 t="s">
        <v>325</v>
      </c>
      <c r="B106">
        <v>0.87999999523162842</v>
      </c>
      <c r="C106">
        <v>0.33509093523025513</v>
      </c>
      <c r="D106"/>
      <c r="E106"/>
      <c r="F106"/>
      <c r="G106"/>
      <c r="H106"/>
      <c r="I106" s="8">
        <v>3.2440799986943603E-4</v>
      </c>
      <c r="J106" s="8">
        <v>5.1682491175597534E-5</v>
      </c>
      <c r="K106"/>
      <c r="L106" s="8">
        <v>3.8209436752367765E-6</v>
      </c>
      <c r="M106" s="8">
        <v>1.7228721844730899E-5</v>
      </c>
      <c r="N106" s="9">
        <v>4.0691089816391468E-3</v>
      </c>
      <c r="O106" s="8">
        <v>3.9092465158319101E-6</v>
      </c>
      <c r="P106" s="8">
        <v>9.7309630291420035E-6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22">
        <v>2.8303071856498718E-2</v>
      </c>
      <c r="AU106"/>
      <c r="AV106" s="11">
        <v>8.7188411271199584E-4</v>
      </c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 s="8">
        <v>1.1469214769022074E-6</v>
      </c>
      <c r="BK106"/>
      <c r="BL106"/>
      <c r="BM106"/>
      <c r="BN106"/>
      <c r="BO106"/>
      <c r="BP106"/>
      <c r="BQ106"/>
      <c r="BR106" s="399">
        <v>0.35217976570129395</v>
      </c>
      <c r="BS106"/>
      <c r="BT106"/>
      <c r="BU106"/>
      <c r="BV106"/>
      <c r="BW106"/>
      <c r="BX106"/>
      <c r="BY106"/>
      <c r="BZ106" s="8">
        <v>3.5520461096893996E-5</v>
      </c>
      <c r="CA106"/>
      <c r="CB106"/>
      <c r="CC106"/>
      <c r="CD106"/>
      <c r="CE106" s="395">
        <v>0.15783585608005524</v>
      </c>
      <c r="CF106"/>
      <c r="CG106" s="8">
        <v>2.5521632051095366E-4</v>
      </c>
      <c r="CH106"/>
      <c r="CI106" s="8">
        <v>9.121824405156076E-6</v>
      </c>
      <c r="CJ106"/>
      <c r="CK106" s="11">
        <v>9.3755027046427131E-4</v>
      </c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 t="s">
        <v>326</v>
      </c>
      <c r="B107">
        <v>5.4749999046325684</v>
      </c>
      <c r="C107">
        <v>1.0949999094009399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 s="20">
        <v>3.0726972967386246E-2</v>
      </c>
      <c r="AY107"/>
      <c r="AZ107"/>
      <c r="BA107"/>
      <c r="BB107"/>
      <c r="BC107"/>
      <c r="BD107"/>
      <c r="BE107"/>
      <c r="BF107"/>
      <c r="BG107"/>
      <c r="BH107"/>
      <c r="BI107"/>
      <c r="BJ107" s="8">
        <v>1.7421325537725352E-5</v>
      </c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 s="394">
        <v>4.3492555618286133</v>
      </c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 t="s">
        <v>327</v>
      </c>
      <c r="B108">
        <v>5.4749999046325684</v>
      </c>
      <c r="C108">
        <v>1.0949999094009399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9">
        <v>2.6419760659337044E-2</v>
      </c>
      <c r="X108" s="19">
        <v>4.5049548149108887E-2</v>
      </c>
      <c r="Y108" s="8">
        <v>1.2049672659486532E-4</v>
      </c>
      <c r="Z108" s="8">
        <v>4.678733239416033E-5</v>
      </c>
      <c r="AA108" s="8">
        <v>2.6422977680340409E-4</v>
      </c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8">
        <v>8.1526092253625393E-4</v>
      </c>
      <c r="AU108" s="15">
        <v>6.5409928560256958E-2</v>
      </c>
      <c r="AV108" s="11">
        <v>1.3983042910695076E-2</v>
      </c>
      <c r="AW108"/>
      <c r="AX108"/>
      <c r="AY108"/>
      <c r="AZ108"/>
      <c r="BA108"/>
      <c r="BB108" s="8">
        <v>5.1682553021237254E-4</v>
      </c>
      <c r="BC108"/>
      <c r="BD108"/>
      <c r="BE108"/>
      <c r="BF108" s="8">
        <v>1.2090946984244511E-4</v>
      </c>
      <c r="BG108"/>
      <c r="BH108"/>
      <c r="BI108" s="8">
        <v>1.1642598547041416E-3</v>
      </c>
      <c r="BJ108"/>
      <c r="BK108"/>
      <c r="BL108"/>
      <c r="BM108"/>
      <c r="BN108"/>
      <c r="BO108"/>
      <c r="BP108"/>
      <c r="BQ108"/>
      <c r="BR108" s="8">
        <v>1.0946836255243397E-6</v>
      </c>
      <c r="BS108"/>
      <c r="BT108"/>
      <c r="BU108"/>
      <c r="BV108"/>
      <c r="BW108" s="14">
        <v>7.5137682259082794E-2</v>
      </c>
      <c r="BX108" s="9">
        <v>2.6316298171877861E-2</v>
      </c>
      <c r="BY108" s="8">
        <v>1.6619703965261579E-3</v>
      </c>
      <c r="BZ108" s="15">
        <v>6.3283808529376984E-2</v>
      </c>
      <c r="CA108"/>
      <c r="CB108" s="6">
        <v>8.0600243146378148E-10</v>
      </c>
      <c r="CC108" s="8">
        <v>2.1716138220995163E-8</v>
      </c>
      <c r="CD108" s="8">
        <v>4.608542951700656E-7</v>
      </c>
      <c r="CE108"/>
      <c r="CF108"/>
      <c r="CG108"/>
      <c r="CH108"/>
      <c r="CI108"/>
      <c r="CJ108"/>
      <c r="CK108"/>
      <c r="CL108"/>
      <c r="CM108" s="63">
        <v>0.65355008840560913</v>
      </c>
      <c r="CN108" s="438">
        <v>3.4061374664306641</v>
      </c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 t="s">
        <v>328</v>
      </c>
      <c r="B109">
        <v>5.4749999046325684</v>
      </c>
      <c r="C109">
        <v>1.0949999094009399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 s="9">
        <v>2.32071653008461E-2</v>
      </c>
      <c r="X109" s="19">
        <v>3.9571601897478104E-2</v>
      </c>
      <c r="Y109" s="8">
        <v>1.0584450501482934E-4</v>
      </c>
      <c r="Z109" s="8">
        <v>4.1098064684774727E-5</v>
      </c>
      <c r="AA109" s="8">
        <v>2.3210002109408379E-4</v>
      </c>
      <c r="AB109"/>
      <c r="AC109"/>
      <c r="AD109"/>
      <c r="AE109"/>
      <c r="AF109"/>
      <c r="AG109"/>
      <c r="AH109" s="8">
        <v>2.7832325031340588E-6</v>
      </c>
      <c r="AI109" s="8">
        <v>1.0055532911792397E-3</v>
      </c>
      <c r="AJ109" s="8">
        <v>1.3396063877735287E-4</v>
      </c>
      <c r="AK109" s="8">
        <v>1.2591497215908021E-4</v>
      </c>
      <c r="AL109" s="8">
        <v>3.2123058917932212E-4</v>
      </c>
      <c r="AM109" s="8">
        <v>5.8688936405815184E-5</v>
      </c>
      <c r="AN109" s="8">
        <v>9.9002914794255048E-5</v>
      </c>
      <c r="AO109" s="8">
        <v>8.1068055806099437E-6</v>
      </c>
      <c r="AP109" s="8">
        <v>4.482844360609306E-6</v>
      </c>
      <c r="AQ109"/>
      <c r="AR109"/>
      <c r="AS109"/>
      <c r="AT109" s="8">
        <v>1.2453249655663967E-3</v>
      </c>
      <c r="AU109" s="22">
        <v>0.17491886019706726</v>
      </c>
      <c r="AV109" s="352">
        <v>0.47254219651222229</v>
      </c>
      <c r="AW109" s="8">
        <v>7.8293913975358009E-4</v>
      </c>
      <c r="AX109" s="8">
        <v>3.2748219091445208E-3</v>
      </c>
      <c r="AY109" s="69">
        <v>0.15717805922031403</v>
      </c>
      <c r="AZ109" s="23">
        <v>0.14301379024982452</v>
      </c>
      <c r="BA109" s="11">
        <v>5.7200826704502106E-3</v>
      </c>
      <c r="BB109" s="15">
        <v>6.8679429590702057E-2</v>
      </c>
      <c r="BC109" s="8">
        <v>2.1573016510956222E-6</v>
      </c>
      <c r="BD109" s="8">
        <v>5.0844869110733271E-4</v>
      </c>
      <c r="BE109"/>
      <c r="BF109" s="8">
        <v>4.1047031991183758E-3</v>
      </c>
      <c r="BG109" s="8">
        <v>9.8708085715770721E-4</v>
      </c>
      <c r="BH109"/>
      <c r="BI109"/>
      <c r="BJ109" s="8">
        <v>9.655547046349966E-7</v>
      </c>
      <c r="BK109" s="8">
        <v>1.7863325774669647E-3</v>
      </c>
      <c r="BL109" s="11">
        <v>8.3564324304461479E-3</v>
      </c>
      <c r="BM109"/>
      <c r="BN109"/>
      <c r="BO109"/>
      <c r="BP109"/>
      <c r="BQ109" s="8">
        <v>1.2093124678358436E-3</v>
      </c>
      <c r="BR109" s="11">
        <v>5.7374793104827404E-3</v>
      </c>
      <c r="BS109" s="8">
        <v>1.8272203305969015E-5</v>
      </c>
      <c r="BT109"/>
      <c r="BU109"/>
      <c r="BV109" s="11">
        <v>5.4718530736863613E-3</v>
      </c>
      <c r="BW109" s="12">
        <v>5.0620239228010178E-2</v>
      </c>
      <c r="BX109" s="11">
        <v>8.5360128432512283E-3</v>
      </c>
      <c r="BY109" s="20">
        <v>3.2529108226299286E-2</v>
      </c>
      <c r="BZ109" s="8">
        <v>9.911068482324481E-4</v>
      </c>
      <c r="CA109" s="8">
        <v>2.3373953439431716E-8</v>
      </c>
      <c r="CB109" s="6">
        <v>7.1750418106919511E-11</v>
      </c>
      <c r="CC109" s="8">
        <v>2.3525462893303484E-6</v>
      </c>
      <c r="CD109" s="8">
        <v>2.3150515460201859E-7</v>
      </c>
      <c r="CE109" s="8">
        <v>1.2353716883808374E-3</v>
      </c>
      <c r="CF109" s="8">
        <v>1.9807645585387945E-3</v>
      </c>
      <c r="CG109" s="8">
        <v>2.4801003746688366E-3</v>
      </c>
      <c r="CH109"/>
      <c r="CI109" s="8">
        <v>4.5839358790544793E-5</v>
      </c>
      <c r="CJ109"/>
      <c r="CK109"/>
      <c r="CL109"/>
      <c r="CM109" s="403">
        <v>0.30196651816368103</v>
      </c>
      <c r="CN109" s="16">
        <v>9.3676969408988953E-2</v>
      </c>
      <c r="CO109" s="8">
        <v>2.2023953497409821E-3</v>
      </c>
      <c r="CP109" s="11">
        <v>8.70518758893013E-3</v>
      </c>
      <c r="CQ109" s="64">
        <v>0.13101357221603394</v>
      </c>
      <c r="CR109" s="447">
        <v>1.1103227138519287</v>
      </c>
      <c r="CS109" s="75">
        <v>0.39921769499778748</v>
      </c>
      <c r="CT109" s="371">
        <v>0.21400918066501617</v>
      </c>
      <c r="CU109" s="70">
        <v>0.17883110046386719</v>
      </c>
      <c r="CV109" s="356">
        <v>0.11493979394435883</v>
      </c>
      <c r="CW109"/>
      <c r="CX109"/>
      <c r="CY109"/>
      <c r="CZ109" s="71">
        <v>0.26888787746429443</v>
      </c>
      <c r="DA109" s="355">
        <v>0.30829042196273804</v>
      </c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 s="11">
        <v>7.5486558489501476E-3</v>
      </c>
      <c r="DS109"/>
      <c r="DT109" s="9">
        <v>2.1510813385248184E-2</v>
      </c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 t="s">
        <v>329</v>
      </c>
      <c r="B110">
        <v>5.4749999046325684</v>
      </c>
      <c r="C110">
        <v>1.0949999094009399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9">
        <v>2.587827667593956E-2</v>
      </c>
      <c r="X110" s="19">
        <v>4.4126223772764206E-2</v>
      </c>
      <c r="Y110" s="8">
        <v>1.1802704830188304E-4</v>
      </c>
      <c r="Z110" s="8">
        <v>4.5828390284441411E-5</v>
      </c>
      <c r="AA110" s="8">
        <v>2.588143979664892E-4</v>
      </c>
      <c r="AB110"/>
      <c r="AC110"/>
      <c r="AD110"/>
      <c r="AE110"/>
      <c r="AF110"/>
      <c r="AG110"/>
      <c r="AH110"/>
      <c r="AI110" s="8">
        <v>1.1212914250791073E-3</v>
      </c>
      <c r="AJ110" s="8">
        <v>1.4937925152480602E-4</v>
      </c>
      <c r="AK110" s="8">
        <v>1.4040757378097624E-4</v>
      </c>
      <c r="AL110" s="8">
        <v>3.5820362973026931E-4</v>
      </c>
      <c r="AM110" s="8">
        <v>6.5443942730780691E-5</v>
      </c>
      <c r="AN110" s="8">
        <v>1.1039798118872568E-4</v>
      </c>
      <c r="AO110"/>
      <c r="AP110" s="8">
        <v>4.998817530577071E-6</v>
      </c>
      <c r="AQ110"/>
      <c r="AR110"/>
      <c r="AS110"/>
      <c r="AT110" s="8">
        <v>7.9855154035612941E-4</v>
      </c>
      <c r="AU110" s="75">
        <v>0.39285460114479065</v>
      </c>
      <c r="AV110" s="430">
        <v>1.4330023527145386</v>
      </c>
      <c r="AW110" s="74">
        <v>0.45435097813606262</v>
      </c>
      <c r="AX110" s="8">
        <v>3.2685634214431047E-3</v>
      </c>
      <c r="AY110"/>
      <c r="AZ110"/>
      <c r="BA110"/>
      <c r="BB110" s="11">
        <v>7.8083998523652554E-3</v>
      </c>
      <c r="BC110" s="8">
        <v>6.1880931025370955E-4</v>
      </c>
      <c r="BD110" s="8">
        <v>1.3897695225750795E-6</v>
      </c>
      <c r="BE110"/>
      <c r="BF110" s="351">
        <v>0.34814873337745667</v>
      </c>
      <c r="BG110" s="9">
        <v>2.0672336220741272E-2</v>
      </c>
      <c r="BH110" s="8">
        <v>3.4241937100887299E-4</v>
      </c>
      <c r="BI110"/>
      <c r="BJ110" s="8">
        <v>7.3675238354553585E-7</v>
      </c>
      <c r="BK110"/>
      <c r="BL110" s="8">
        <v>1.3077117910142988E-4</v>
      </c>
      <c r="BM110"/>
      <c r="BN110" s="8">
        <v>4.058691871478004E-8</v>
      </c>
      <c r="BO110"/>
      <c r="BP110" s="8">
        <v>2.4749310687184334E-3</v>
      </c>
      <c r="BQ110"/>
      <c r="BR110" s="8">
        <v>2.3044298868626356E-3</v>
      </c>
      <c r="BS110" s="8">
        <v>3.402814909350127E-4</v>
      </c>
      <c r="BT110"/>
      <c r="BU110"/>
      <c r="BV110"/>
      <c r="BW110" s="11">
        <v>1.182479877024889E-2</v>
      </c>
      <c r="BX110"/>
      <c r="BY110"/>
      <c r="BZ110" s="8">
        <v>2.1047969348728657E-3</v>
      </c>
      <c r="CA110" s="8">
        <v>6.1854829255025834E-5</v>
      </c>
      <c r="CB110" s="8">
        <v>1.2291628763705376E-6</v>
      </c>
      <c r="CC110" s="8">
        <v>1.4349761477205902E-4</v>
      </c>
      <c r="CD110" s="8">
        <v>2.071744529530406E-3</v>
      </c>
      <c r="CE110"/>
      <c r="CF110"/>
      <c r="CG110"/>
      <c r="CH110" s="8">
        <v>1.2824806617572904E-3</v>
      </c>
      <c r="CI110" s="11">
        <v>1.4640237204730511E-2</v>
      </c>
      <c r="CJ110" s="11">
        <v>1.0341932065784931E-2</v>
      </c>
      <c r="CK110" s="11">
        <v>6.2944483943283558E-3</v>
      </c>
      <c r="CL110"/>
      <c r="CM110" s="421">
        <v>0.72458404302597046</v>
      </c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 s="344">
        <v>0.86715364456176758</v>
      </c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 t="s">
        <v>330</v>
      </c>
      <c r="B111">
        <v>2.5</v>
      </c>
      <c r="C111">
        <v>0.49999997019767761</v>
      </c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9">
        <v>2.0409125834703445E-2</v>
      </c>
      <c r="X111" s="14">
        <v>3.4800533205270767E-2</v>
      </c>
      <c r="Y111" s="8">
        <v>9.3083042884245515E-5</v>
      </c>
      <c r="Z111" s="8">
        <v>3.6142952012596652E-5</v>
      </c>
      <c r="AA111" s="8">
        <v>2.0411623700056225E-4</v>
      </c>
      <c r="AB111"/>
      <c r="AC111"/>
      <c r="AD111"/>
      <c r="AE111"/>
      <c r="AF111"/>
      <c r="AG111"/>
      <c r="AH111"/>
      <c r="AI111" s="8">
        <v>8.8431610492989421E-4</v>
      </c>
      <c r="AJ111" s="8">
        <v>1.1780925706261769E-4</v>
      </c>
      <c r="AK111" s="8">
        <v>1.1073365749325603E-4</v>
      </c>
      <c r="AL111" s="8">
        <v>2.8250052127987146E-4</v>
      </c>
      <c r="AM111" s="8">
        <v>5.161293302080594E-5</v>
      </c>
      <c r="AN111" s="8">
        <v>8.7066320702433586E-5</v>
      </c>
      <c r="AO111"/>
      <c r="AP111" s="8">
        <v>3.9423584894393571E-6</v>
      </c>
      <c r="AQ111"/>
      <c r="AR111"/>
      <c r="AS111"/>
      <c r="AT111" s="8">
        <v>6.2978494679555297E-4</v>
      </c>
      <c r="AU111" s="19">
        <v>1.9718034192919731E-2</v>
      </c>
      <c r="AV111" s="371">
        <v>9.931548684835434E-2</v>
      </c>
      <c r="AW111" s="8">
        <v>5.632207466987893E-5</v>
      </c>
      <c r="AX111" s="8">
        <v>9.6145624411292374E-5</v>
      </c>
      <c r="AY111"/>
      <c r="AZ111" s="8">
        <v>9.0553064364939928E-4</v>
      </c>
      <c r="BA111" s="8">
        <v>1.3088853165754699E-6</v>
      </c>
      <c r="BB111" s="8">
        <v>1.1345024540787563E-4</v>
      </c>
      <c r="BC111"/>
      <c r="BD111" s="8">
        <v>2.5119240021354017E-8</v>
      </c>
      <c r="BE111"/>
      <c r="BF111"/>
      <c r="BG111"/>
      <c r="BH111" s="8">
        <v>1.7406577171641402E-5</v>
      </c>
      <c r="BI111" s="9">
        <v>1.2073584832251072E-2</v>
      </c>
      <c r="BJ111" s="8">
        <v>1.5390291707717552E-7</v>
      </c>
      <c r="BK111"/>
      <c r="BL111"/>
      <c r="BM111"/>
      <c r="BN111"/>
      <c r="BO111"/>
      <c r="BP111"/>
      <c r="BQ111" s="8">
        <v>2.2105752577772364E-5</v>
      </c>
      <c r="BR111" s="9">
        <v>7.6570278033614159E-3</v>
      </c>
      <c r="BS111" s="8">
        <v>1.5537930885329843E-3</v>
      </c>
      <c r="BT111"/>
      <c r="BU111"/>
      <c r="BV111"/>
      <c r="BW111" s="8">
        <v>1.886138052213937E-4</v>
      </c>
      <c r="BX111"/>
      <c r="BY111"/>
      <c r="BZ111"/>
      <c r="CA111" s="8">
        <v>6.7348701122682542E-6</v>
      </c>
      <c r="CB111" s="8">
        <v>7.4727575238853206E-9</v>
      </c>
      <c r="CC111"/>
      <c r="CD111"/>
      <c r="CE111"/>
      <c r="CF111"/>
      <c r="CG111" s="8">
        <v>5.8550330095386016E-7</v>
      </c>
      <c r="CH111" s="8">
        <v>7.656774869246874E-6</v>
      </c>
      <c r="CI111" s="11">
        <v>3.1359314452856779E-3</v>
      </c>
      <c r="CJ111" s="9">
        <v>9.9029559642076492E-3</v>
      </c>
      <c r="CK111"/>
      <c r="CL111"/>
      <c r="CM111" s="440">
        <v>1.4466931819915771</v>
      </c>
      <c r="CN111"/>
      <c r="CO111" s="15">
        <v>3.165440633893013E-2</v>
      </c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 s="426">
        <v>0.30916881561279297</v>
      </c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 t="s">
        <v>331</v>
      </c>
      <c r="B112">
        <v>5.4749999046325684</v>
      </c>
      <c r="C112">
        <v>1.0949999094009399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8">
        <v>5.0209504552185535E-3</v>
      </c>
      <c r="AU112" s="376">
        <v>0.74910008907318115</v>
      </c>
      <c r="AV112" s="23">
        <v>0.14090695977210999</v>
      </c>
      <c r="AW112"/>
      <c r="AX112" s="8">
        <v>1.5946483472362161E-3</v>
      </c>
      <c r="AY112"/>
      <c r="AZ112"/>
      <c r="BA112"/>
      <c r="BB112" s="8">
        <v>3.4207488397441921E-7</v>
      </c>
      <c r="BC112"/>
      <c r="BD112" s="8">
        <v>3.4935853818751639E-6</v>
      </c>
      <c r="BE112"/>
      <c r="BF112"/>
      <c r="BG112"/>
      <c r="BH112"/>
      <c r="BI112"/>
      <c r="BJ112" s="8">
        <v>7.7783005281162332E-7</v>
      </c>
      <c r="BK112"/>
      <c r="BL112"/>
      <c r="BM112"/>
      <c r="BN112"/>
      <c r="BO112"/>
      <c r="BP112"/>
      <c r="BQ112"/>
      <c r="BR112" s="23">
        <v>0.13436268270015717</v>
      </c>
      <c r="BS112"/>
      <c r="BT112"/>
      <c r="BU112"/>
      <c r="BV112"/>
      <c r="BW112"/>
      <c r="BX112"/>
      <c r="BY112"/>
      <c r="BZ112" s="20">
        <v>2.9482720419764519E-2</v>
      </c>
      <c r="CA112"/>
      <c r="CB112"/>
      <c r="CC112"/>
      <c r="CD112" s="8">
        <v>5.2417180995689705E-6</v>
      </c>
      <c r="CE112"/>
      <c r="CF112"/>
      <c r="CG112" s="8">
        <v>1.4629375655204058E-3</v>
      </c>
      <c r="CH112"/>
      <c r="CI112" s="8">
        <v>2.7200549375265837E-3</v>
      </c>
      <c r="CJ112"/>
      <c r="CK112" s="436">
        <v>2.147606372833252</v>
      </c>
      <c r="CL112"/>
      <c r="CM112" s="429">
        <v>0.66030234098434448</v>
      </c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 s="11">
        <v>1.3540444895625114E-2</v>
      </c>
      <c r="DS112"/>
      <c r="DT112" s="67">
        <v>0.49388992786407471</v>
      </c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 t="s">
        <v>332</v>
      </c>
      <c r="B113">
        <v>5.4749999046325684</v>
      </c>
      <c r="C113">
        <v>1.0949999094009399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20">
        <v>2.7438623830676079E-2</v>
      </c>
      <c r="X113" s="19">
        <v>4.6786848455667496E-2</v>
      </c>
      <c r="Y113" s="8">
        <v>1.2514356058090925E-4</v>
      </c>
      <c r="Z113" s="8">
        <v>4.8591642553219572E-5</v>
      </c>
      <c r="AA113" s="8">
        <v>2.7441972633823752E-4</v>
      </c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8">
        <v>8.4670056821778417E-4</v>
      </c>
      <c r="AU113" s="8">
        <v>8.6926121730357409E-4</v>
      </c>
      <c r="AV113" s="14">
        <v>7.7907703816890717E-2</v>
      </c>
      <c r="AW113"/>
      <c r="AX113" s="8">
        <v>1.2085383787052706E-5</v>
      </c>
      <c r="AY113"/>
      <c r="AZ113"/>
      <c r="BA113"/>
      <c r="BB113" s="8">
        <v>2.680558645806741E-5</v>
      </c>
      <c r="BC113"/>
      <c r="BD113"/>
      <c r="BE113"/>
      <c r="BF113"/>
      <c r="BG113"/>
      <c r="BH113"/>
      <c r="BI113"/>
      <c r="BJ113" s="6">
        <v>4.1236791759047264E-9</v>
      </c>
      <c r="BK113"/>
      <c r="BL113" s="8">
        <v>3.0932525987736881E-5</v>
      </c>
      <c r="BM113"/>
      <c r="BN113"/>
      <c r="BO113"/>
      <c r="BP113"/>
      <c r="BQ113" s="19">
        <v>4.3906010687351227E-2</v>
      </c>
      <c r="BR113" s="8">
        <v>2.6516671641729772E-4</v>
      </c>
      <c r="BS113"/>
      <c r="BT113"/>
      <c r="BU113"/>
      <c r="BV113"/>
      <c r="BW113" s="8">
        <v>3.7585580139420927E-4</v>
      </c>
      <c r="BX113" s="12">
        <v>5.199148878455162E-2</v>
      </c>
      <c r="BY113"/>
      <c r="BZ113"/>
      <c r="CA113"/>
      <c r="CB113"/>
      <c r="CC113"/>
      <c r="CD113" s="8">
        <v>4.1639348637545481E-5</v>
      </c>
      <c r="CE113"/>
      <c r="CF113"/>
      <c r="CG113" s="8">
        <v>7.3304970283061266E-4</v>
      </c>
      <c r="CH113"/>
      <c r="CI113" s="8">
        <v>7.2717080001893919E-6</v>
      </c>
      <c r="CJ113"/>
      <c r="CK113"/>
      <c r="CL113"/>
      <c r="CM113"/>
      <c r="CN113" s="439">
        <v>3.3573682308197021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 s="427">
        <v>0.77094423770904541</v>
      </c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 t="s">
        <v>333</v>
      </c>
      <c r="B114">
        <v>6</v>
      </c>
      <c r="C114">
        <v>1.1999995708465576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8">
        <v>2.0694229169748724E-4</v>
      </c>
      <c r="X114" s="11">
        <v>1.4114669524133205E-2</v>
      </c>
      <c r="Y114" s="8">
        <v>1.8121605971828103E-3</v>
      </c>
      <c r="Z114" s="8">
        <v>8.3557097241282463E-4</v>
      </c>
      <c r="AA114" s="8">
        <v>1.2418052392604295E-5</v>
      </c>
      <c r="AB114"/>
      <c r="AC114"/>
      <c r="AD114"/>
      <c r="AE114"/>
      <c r="AF114"/>
      <c r="AG114"/>
      <c r="AH114" s="8">
        <v>2.7765959202952217E-6</v>
      </c>
      <c r="AI114" s="8">
        <v>1.0031556012108922E-3</v>
      </c>
      <c r="AJ114" s="8">
        <v>1.3364122423809022E-4</v>
      </c>
      <c r="AK114" s="8">
        <v>1.2561473704408854E-4</v>
      </c>
      <c r="AL114" s="8">
        <v>3.2046457636170089E-4</v>
      </c>
      <c r="AM114" s="8">
        <v>5.8549012464936823E-5</v>
      </c>
      <c r="AN114" s="8">
        <v>9.8766875453293324E-5</v>
      </c>
      <c r="AO114" s="8">
        <v>8.0874797276919708E-6</v>
      </c>
      <c r="AP114" s="8">
        <v>4.4721559788740706E-6</v>
      </c>
      <c r="AQ114"/>
      <c r="AR114"/>
      <c r="AS114"/>
      <c r="AT114" s="8">
        <v>7.1441900217905641E-4</v>
      </c>
      <c r="AU114" s="15">
        <v>7.0336431264877319E-2</v>
      </c>
      <c r="AV114" s="9">
        <v>1.946818083524704E-2</v>
      </c>
      <c r="AW114"/>
      <c r="AX114" s="8">
        <v>1.2256790796527639E-5</v>
      </c>
      <c r="AY114" s="9">
        <v>2.0161816850304604E-2</v>
      </c>
      <c r="AZ114" s="11">
        <v>5.8963559567928314E-3</v>
      </c>
      <c r="BA114" s="8">
        <v>5.6900518075053697E-7</v>
      </c>
      <c r="BB114" s="8">
        <v>2.4501998268533498E-5</v>
      </c>
      <c r="BC114"/>
      <c r="BD114"/>
      <c r="BE114"/>
      <c r="BF114" s="8">
        <v>1.130206510424614E-4</v>
      </c>
      <c r="BG114"/>
      <c r="BH114"/>
      <c r="BI114"/>
      <c r="BJ114" s="8">
        <v>6.1904885662045217E-9</v>
      </c>
      <c r="BK114"/>
      <c r="BL114" s="8">
        <v>4.708923224825412E-4</v>
      </c>
      <c r="BM114"/>
      <c r="BN114"/>
      <c r="BO114"/>
      <c r="BP114"/>
      <c r="BQ114" s="8">
        <v>1.1805313406512141E-3</v>
      </c>
      <c r="BR114" s="8">
        <v>6.213459613491068E-8</v>
      </c>
      <c r="BS114"/>
      <c r="BT114"/>
      <c r="BU114"/>
      <c r="BV114"/>
      <c r="BW114" s="8">
        <v>1.5668394044041634E-3</v>
      </c>
      <c r="BX114" s="11">
        <v>1.2398426420986652E-2</v>
      </c>
      <c r="BY114" s="8">
        <v>1.6368348151445389E-3</v>
      </c>
      <c r="BZ114" s="8">
        <v>2.3794296794221736E-5</v>
      </c>
      <c r="CA114"/>
      <c r="CB114"/>
      <c r="CC114" s="8">
        <v>5.7365586059177076E-8</v>
      </c>
      <c r="CD114"/>
      <c r="CE114" s="8">
        <v>2.6918938383460045E-3</v>
      </c>
      <c r="CF114" s="8">
        <v>2.0422725356183946E-4</v>
      </c>
      <c r="CG114" s="8">
        <v>3.104366478510201E-4</v>
      </c>
      <c r="CH114"/>
      <c r="CI114" s="8">
        <v>1.2273582683519635E-7</v>
      </c>
      <c r="CJ114" s="8">
        <v>1.4395216712728143E-3</v>
      </c>
      <c r="CK114" s="8">
        <v>2.6558959507383406E-4</v>
      </c>
      <c r="CL114"/>
      <c r="CM114" s="356">
        <v>0.13343288004398346</v>
      </c>
      <c r="CN114" s="14">
        <v>8.6927294731140137E-2</v>
      </c>
      <c r="CO114" s="8">
        <v>4.087414126843214E-3</v>
      </c>
      <c r="CP114" s="8">
        <v>8.9755072258412838E-4</v>
      </c>
      <c r="CQ114" s="11">
        <v>1.3508189469575882E-2</v>
      </c>
      <c r="CR114" s="18">
        <v>0.11448012292385101</v>
      </c>
      <c r="CS114" s="20">
        <v>4.1161447763442993E-2</v>
      </c>
      <c r="CT114" s="9">
        <v>2.2065473720431328E-2</v>
      </c>
      <c r="CU114" s="9">
        <v>1.8438428640365601E-2</v>
      </c>
      <c r="CV114" s="11">
        <v>1.1850899085402489E-2</v>
      </c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 s="8">
        <v>1.6417396254837513E-3</v>
      </c>
      <c r="DS114" s="8">
        <v>4.9206695985049009E-4</v>
      </c>
      <c r="DT114" s="13">
        <v>9.9804520606994629E-2</v>
      </c>
      <c r="DU114" s="448">
        <v>3.6289379596710205</v>
      </c>
      <c r="DV114" s="13">
        <v>9.0020269155502319E-2</v>
      </c>
      <c r="DW114" s="18">
        <v>0.11529127508401871</v>
      </c>
      <c r="DX114" s="23">
        <v>0.15805426239967346</v>
      </c>
      <c r="DY114" s="16">
        <v>0.10125427693128586</v>
      </c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 t="s">
        <v>334</v>
      </c>
      <c r="B115">
        <v>73</v>
      </c>
      <c r="C115">
        <v>14.59999942779541</v>
      </c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 s="8">
        <v>4.0350053609472525E-7</v>
      </c>
      <c r="BK115"/>
      <c r="BL115"/>
      <c r="BM115"/>
      <c r="BN115"/>
      <c r="BO115"/>
      <c r="BP115"/>
      <c r="BQ115"/>
      <c r="BR115"/>
      <c r="BS115" s="8">
        <v>2.1665607346221805E-4</v>
      </c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 s="8">
        <v>1.000029660644941E-4</v>
      </c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 s="8">
        <v>1.1701856274157763E-3</v>
      </c>
      <c r="DS115" s="8">
        <v>1.052194507792592E-3</v>
      </c>
      <c r="DT115" s="11">
        <v>0.2134135365486145</v>
      </c>
      <c r="DU115" s="432">
        <v>7.7598137855529785</v>
      </c>
      <c r="DV115" s="11">
        <v>0.19249173998832703</v>
      </c>
      <c r="DW115" s="9">
        <v>0.24652911722660065</v>
      </c>
      <c r="DX115" s="9">
        <v>0.33796989917755127</v>
      </c>
      <c r="DY115" s="9">
        <v>0.21651360392570496</v>
      </c>
      <c r="DZ115" s="450">
        <v>49.43072509765625</v>
      </c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 t="s">
        <v>335</v>
      </c>
      <c r="B116">
        <v>73</v>
      </c>
      <c r="C116">
        <v>14.59999942779541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 s="343">
        <v>10.557226181030273</v>
      </c>
      <c r="DH116" s="449">
        <v>30.564977645874023</v>
      </c>
      <c r="DI116" s="8">
        <v>9.3667181208729744E-3</v>
      </c>
      <c r="DJ116" s="8">
        <v>5.2393661462701857E-5</v>
      </c>
      <c r="DK116" s="8">
        <v>2.1540908142924309E-2</v>
      </c>
      <c r="DL116" s="11">
        <v>0.12854433059692383</v>
      </c>
      <c r="DM116" s="8">
        <v>7.0780697569716722E-6</v>
      </c>
      <c r="DN116" s="8">
        <v>7.1461652405560017E-3</v>
      </c>
      <c r="DO116" s="375">
        <v>3.7394473552703857</v>
      </c>
      <c r="DP116" s="357">
        <v>7.625938892364502</v>
      </c>
      <c r="DQ116" s="58">
        <v>5.7457523345947266</v>
      </c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 t="s">
        <v>336</v>
      </c>
      <c r="B117">
        <v>4</v>
      </c>
      <c r="C117">
        <v>0.79999995231628418</v>
      </c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 s="8">
        <v>1.1722102044586791E-6</v>
      </c>
      <c r="AY117"/>
      <c r="AZ117"/>
      <c r="BA117"/>
      <c r="BB117"/>
      <c r="BC117"/>
      <c r="BD117" s="8">
        <v>9.8522205007611774E-6</v>
      </c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 s="8">
        <v>6.2242902458820026E-6</v>
      </c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 s="339">
        <v>1.4474762678146362</v>
      </c>
      <c r="DE117" s="386">
        <v>1.7525067329406738</v>
      </c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 t="s">
        <v>337</v>
      </c>
      <c r="B118">
        <v>87.295829772949219</v>
      </c>
      <c r="C118">
        <v>30.055868148803711</v>
      </c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 s="8">
        <v>1.0492356959730387E-3</v>
      </c>
      <c r="DS118" s="8">
        <v>1.8868802580982447E-3</v>
      </c>
      <c r="DT118" s="11">
        <v>0.19135522842407227</v>
      </c>
      <c r="DU118" s="344">
        <v>13.91552734375</v>
      </c>
      <c r="DV118" s="9">
        <v>0.34519174695014954</v>
      </c>
      <c r="DW118" s="20">
        <v>0.44209596514701843</v>
      </c>
      <c r="DX118" s="19">
        <v>0.60607492923736572</v>
      </c>
      <c r="DY118" s="9">
        <v>0.38826969265937805</v>
      </c>
      <c r="DZ118" s="369">
        <v>13.296476364135742</v>
      </c>
      <c r="EA118" s="347">
        <v>28.052034378051758</v>
      </c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 t="s">
        <v>338</v>
      </c>
      <c r="B119">
        <v>81.820831298828125</v>
      </c>
      <c r="C119">
        <v>15.527040481567383</v>
      </c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 s="8">
        <v>3.3186725340783596E-4</v>
      </c>
      <c r="DS119" s="8">
        <v>2.9840465867891908E-4</v>
      </c>
      <c r="DT119" s="8">
        <v>6.0524549335241318E-2</v>
      </c>
      <c r="DU119" s="21">
        <v>2.2007005214691162</v>
      </c>
      <c r="DV119" s="8">
        <v>5.459107831120491E-2</v>
      </c>
      <c r="DW119" s="8">
        <v>6.9916203618049622E-2</v>
      </c>
      <c r="DX119" s="11">
        <v>9.5848999917507172E-2</v>
      </c>
      <c r="DY119" s="8">
        <v>6.1403732746839523E-2</v>
      </c>
      <c r="DZ119" s="199">
        <v>10.513997077941895</v>
      </c>
      <c r="EA119" s="451">
        <v>53.236179351806641</v>
      </c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 t="s">
        <v>339</v>
      </c>
      <c r="B120"/>
      <c r="C120">
        <v>6.2477640807628632E-2</v>
      </c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 s="8">
        <v>3.3171928953379393E-4</v>
      </c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 s="371">
        <v>2.0061666145920753E-2</v>
      </c>
      <c r="CX120" s="8">
        <v>1.0731467045843601E-4</v>
      </c>
      <c r="CY120" s="8">
        <v>2.4000001985768904E-8</v>
      </c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 t="s">
        <v>340</v>
      </c>
      <c r="B121"/>
      <c r="C121">
        <v>0.46471768617630005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 s="14">
        <v>6.5067196264863014E-3</v>
      </c>
      <c r="AS121"/>
      <c r="AT121"/>
      <c r="AU121"/>
      <c r="AV121" s="359">
        <v>3.5298556089401245E-2</v>
      </c>
      <c r="AW121"/>
      <c r="AX121" s="413">
        <v>0.17017455399036407</v>
      </c>
      <c r="AY121"/>
      <c r="AZ121"/>
      <c r="BA121"/>
      <c r="BB121"/>
      <c r="BC121"/>
      <c r="BD121" s="406">
        <v>6.808219850063324E-2</v>
      </c>
      <c r="BE121"/>
      <c r="BF121"/>
      <c r="BG121"/>
      <c r="BH121"/>
      <c r="BI121"/>
      <c r="BJ121" s="8">
        <v>2.0453737192838162E-7</v>
      </c>
      <c r="BK121"/>
      <c r="BL121"/>
      <c r="BM121"/>
      <c r="BN121"/>
      <c r="BO121"/>
      <c r="BP121"/>
      <c r="BQ121"/>
      <c r="BR121" s="376">
        <v>6.8648159503936768E-2</v>
      </c>
      <c r="BS121" s="9">
        <v>1.7495964420959353E-3</v>
      </c>
      <c r="BT121"/>
      <c r="BU121"/>
      <c r="BV121"/>
      <c r="BW121"/>
      <c r="BX121"/>
      <c r="BY121"/>
      <c r="BZ121"/>
      <c r="CA121"/>
      <c r="CB121"/>
      <c r="CC121"/>
      <c r="CD121" s="8">
        <v>9.7186730272369459E-6</v>
      </c>
      <c r="CE121"/>
      <c r="CF121"/>
      <c r="CG121"/>
      <c r="CH121"/>
      <c r="CI121" s="11">
        <v>1.0714075760915875E-3</v>
      </c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 s="25">
        <v>1.7553957179188728E-2</v>
      </c>
      <c r="CX121" s="8">
        <v>1.0731467045843601E-4</v>
      </c>
      <c r="CY121" s="8">
        <v>2.0999989303049915E-8</v>
      </c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 t="s">
        <v>341</v>
      </c>
      <c r="B122"/>
      <c r="C122">
        <v>0.36091744899749756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 s="207">
        <v>264.6832275390625</v>
      </c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 t="s">
        <v>342</v>
      </c>
      <c r="B123"/>
      <c r="C123">
        <v>0.7735859751701355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 s="407">
        <v>7.5091123580932617E-2</v>
      </c>
      <c r="AY123"/>
      <c r="AZ123"/>
      <c r="BA123"/>
      <c r="BB123" s="17">
        <v>2.191733755171299E-2</v>
      </c>
      <c r="BC123"/>
      <c r="BD123"/>
      <c r="BE123"/>
      <c r="BF123"/>
      <c r="BG123"/>
      <c r="BH123"/>
      <c r="BI123"/>
      <c r="BJ123"/>
      <c r="BK123"/>
      <c r="BL123"/>
      <c r="BM123"/>
      <c r="BN123" s="11">
        <v>1.0004352079704404E-3</v>
      </c>
      <c r="BO123"/>
      <c r="BP123" s="9">
        <v>2.3806765675544739E-3</v>
      </c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 s="354">
        <v>0.12538540363311768</v>
      </c>
      <c r="CX123" s="11">
        <v>1.3414333807304502E-3</v>
      </c>
      <c r="CY123" s="207">
        <v>2.1416366100311279</v>
      </c>
      <c r="CZ123" s="207">
        <v>15.046154022216797</v>
      </c>
      <c r="DA123" s="207">
        <v>17.251001358032227</v>
      </c>
      <c r="DB123"/>
      <c r="DC123" s="207">
        <v>25.399988174438477</v>
      </c>
      <c r="DD123" s="207">
        <v>4.2204375267028809</v>
      </c>
      <c r="DE123" s="207">
        <v>1.7032737731933594</v>
      </c>
      <c r="DF123" s="207">
        <v>5.2482800483703613</v>
      </c>
      <c r="DG123" s="207">
        <v>53.982452392578125</v>
      </c>
      <c r="DH123" s="207">
        <v>156.2884521484375</v>
      </c>
      <c r="DI123" s="414">
        <v>0.19158002734184265</v>
      </c>
      <c r="DJ123" s="11">
        <v>1.0716217802837491E-3</v>
      </c>
      <c r="DK123" s="420">
        <v>0.4405820369720459</v>
      </c>
      <c r="DL123" s="207">
        <v>2.6291520595550537</v>
      </c>
      <c r="DM123" s="8">
        <v>1.4476968499366194E-4</v>
      </c>
      <c r="DN123" s="203">
        <v>0.14616246521472931</v>
      </c>
      <c r="DO123" s="207">
        <v>76.483932495117188</v>
      </c>
      <c r="DP123" s="207">
        <v>38.993850708007812</v>
      </c>
      <c r="DQ123" s="207">
        <v>29.379858016967773</v>
      </c>
      <c r="DR123"/>
      <c r="DS123"/>
      <c r="DT123"/>
      <c r="DU123"/>
      <c r="DV123"/>
      <c r="DW123"/>
      <c r="DX123"/>
      <c r="DY123"/>
      <c r="DZ123"/>
      <c r="EA123"/>
      <c r="EB123" s="207">
        <v>1066.4918212890625</v>
      </c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5" workbookViewId="0">
      <selection activeCell="D144" sqref="D144"/>
    </sheetView>
  </sheetViews>
  <sheetFormatPr baseColWidth="10" defaultRowHeight="16" x14ac:dyDescent="0.2"/>
  <cols>
    <col min="1" max="1" width="33.6640625" bestFit="1" customWidth="1"/>
    <col min="2" max="2" width="5.83203125" customWidth="1"/>
    <col min="3" max="3" width="9" style="3" customWidth="1"/>
    <col min="4" max="4" width="31" style="84" bestFit="1" customWidth="1"/>
    <col min="5" max="5" width="13.83203125" style="84" bestFit="1" customWidth="1"/>
    <col min="6" max="6" width="5.83203125" style="84" bestFit="1" customWidth="1"/>
    <col min="7" max="7" width="15.33203125" style="84" bestFit="1" customWidth="1"/>
    <col min="8" max="8" width="31" style="84" bestFit="1" customWidth="1"/>
    <col min="9" max="9" width="10.83203125" style="84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7" thickBot="1" x14ac:dyDescent="0.25">
      <c r="C1" s="50"/>
      <c r="D1" s="83" t="s">
        <v>32</v>
      </c>
      <c r="E1" s="83" t="s">
        <v>33</v>
      </c>
      <c r="F1" s="83" t="s">
        <v>34</v>
      </c>
      <c r="G1" s="83" t="s">
        <v>35</v>
      </c>
      <c r="H1" s="83" t="s">
        <v>36</v>
      </c>
      <c r="I1" s="83"/>
      <c r="J1" s="1" t="s">
        <v>131</v>
      </c>
      <c r="K1" s="1" t="s">
        <v>132</v>
      </c>
      <c r="L1" s="56" t="s">
        <v>171</v>
      </c>
    </row>
    <row r="2" spans="1:12" ht="13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I2"/>
      <c r="J2" s="51"/>
      <c r="K2" s="85"/>
      <c r="L2" s="56" t="s">
        <v>172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I3"/>
      <c r="J3" s="52"/>
      <c r="K3" s="53"/>
    </row>
    <row r="4" spans="1:12" ht="13" x14ac:dyDescent="0.15">
      <c r="D4" t="s">
        <v>41</v>
      </c>
      <c r="E4">
        <v>3</v>
      </c>
      <c r="F4">
        <v>1.2</v>
      </c>
      <c r="G4">
        <v>3</v>
      </c>
      <c r="H4" t="s">
        <v>41</v>
      </c>
      <c r="I4"/>
      <c r="J4" s="52"/>
      <c r="K4" s="53"/>
    </row>
    <row r="5" spans="1:12" x14ac:dyDescent="0.2">
      <c r="D5" t="s">
        <v>225</v>
      </c>
      <c r="E5">
        <v>4</v>
      </c>
      <c r="F5" s="84">
        <v>3.16</v>
      </c>
      <c r="G5">
        <v>4</v>
      </c>
      <c r="H5" t="s">
        <v>225</v>
      </c>
      <c r="I5"/>
      <c r="J5" s="52"/>
      <c r="K5" s="53"/>
    </row>
    <row r="6" spans="1:12" ht="17" thickBot="1" x14ac:dyDescent="0.25">
      <c r="A6" s="38" t="s">
        <v>122</v>
      </c>
      <c r="D6" t="s">
        <v>226</v>
      </c>
      <c r="E6">
        <v>5</v>
      </c>
      <c r="F6" s="84">
        <v>3.16</v>
      </c>
      <c r="G6">
        <v>5</v>
      </c>
      <c r="H6" t="s">
        <v>226</v>
      </c>
      <c r="I6"/>
      <c r="J6" s="52"/>
      <c r="K6" s="53"/>
    </row>
    <row r="7" spans="1:12" x14ac:dyDescent="0.2">
      <c r="A7" s="33" t="s">
        <v>127</v>
      </c>
      <c r="B7" s="40">
        <v>1</v>
      </c>
      <c r="C7" s="35"/>
      <c r="D7" t="s">
        <v>227</v>
      </c>
      <c r="E7">
        <v>6</v>
      </c>
      <c r="F7" s="84">
        <v>3.16</v>
      </c>
      <c r="G7">
        <v>6</v>
      </c>
      <c r="H7" t="s">
        <v>227</v>
      </c>
      <c r="I7"/>
      <c r="J7" s="52"/>
      <c r="K7" s="53"/>
    </row>
    <row r="8" spans="1:12" x14ac:dyDescent="0.2">
      <c r="A8" s="33" t="s">
        <v>38</v>
      </c>
      <c r="B8" s="41">
        <v>1</v>
      </c>
      <c r="C8" s="35"/>
      <c r="D8" t="s">
        <v>228</v>
      </c>
      <c r="E8">
        <v>7</v>
      </c>
      <c r="F8" s="84">
        <v>3.16</v>
      </c>
      <c r="G8">
        <v>7</v>
      </c>
      <c r="H8" t="s">
        <v>228</v>
      </c>
      <c r="I8"/>
      <c r="J8" s="52"/>
      <c r="K8" s="53"/>
    </row>
    <row r="9" spans="1:12" x14ac:dyDescent="0.2">
      <c r="A9" s="33" t="s">
        <v>40</v>
      </c>
      <c r="B9" s="41">
        <v>1.1000000000000001</v>
      </c>
      <c r="C9" s="35"/>
      <c r="D9" t="s">
        <v>229</v>
      </c>
      <c r="E9">
        <v>8</v>
      </c>
      <c r="F9" s="84">
        <v>3.16</v>
      </c>
      <c r="G9">
        <v>8</v>
      </c>
      <c r="H9" t="s">
        <v>229</v>
      </c>
      <c r="I9"/>
      <c r="J9" s="52"/>
      <c r="K9" s="53"/>
    </row>
    <row r="10" spans="1:12" x14ac:dyDescent="0.2">
      <c r="A10" s="33" t="s">
        <v>41</v>
      </c>
      <c r="B10" s="41">
        <v>1.2</v>
      </c>
      <c r="C10" s="35"/>
      <c r="D10" t="s">
        <v>230</v>
      </c>
      <c r="E10">
        <v>9</v>
      </c>
      <c r="F10" s="84">
        <v>3.16</v>
      </c>
      <c r="G10">
        <v>9</v>
      </c>
      <c r="H10" t="s">
        <v>230</v>
      </c>
      <c r="I10"/>
      <c r="J10" s="52"/>
      <c r="K10" s="53"/>
    </row>
    <row r="11" spans="1:12" ht="12" customHeight="1" x14ac:dyDescent="0.2">
      <c r="A11" s="39" t="s">
        <v>128</v>
      </c>
      <c r="B11" s="41">
        <v>2</v>
      </c>
      <c r="C11" s="35"/>
      <c r="D11" t="s">
        <v>231</v>
      </c>
      <c r="E11">
        <v>10</v>
      </c>
      <c r="F11" s="84">
        <v>3.16</v>
      </c>
      <c r="G11">
        <v>10</v>
      </c>
      <c r="H11" t="s">
        <v>231</v>
      </c>
      <c r="I11"/>
      <c r="J11" s="52"/>
      <c r="K11" s="53"/>
    </row>
    <row r="12" spans="1:12" x14ac:dyDescent="0.2">
      <c r="A12" s="33" t="s">
        <v>42</v>
      </c>
      <c r="B12" s="41">
        <v>2.12</v>
      </c>
      <c r="C12" s="35"/>
      <c r="D12" t="s">
        <v>232</v>
      </c>
      <c r="E12">
        <v>11</v>
      </c>
      <c r="F12" s="84">
        <v>3.16</v>
      </c>
      <c r="G12">
        <v>11</v>
      </c>
      <c r="H12" t="s">
        <v>232</v>
      </c>
      <c r="I12"/>
      <c r="J12" s="52"/>
      <c r="K12" s="53"/>
    </row>
    <row r="13" spans="1:12" x14ac:dyDescent="0.2">
      <c r="A13" s="33" t="s">
        <v>43</v>
      </c>
      <c r="B13" s="41">
        <v>2.11</v>
      </c>
      <c r="C13" s="35"/>
      <c r="D13" t="s">
        <v>233</v>
      </c>
      <c r="E13">
        <v>12</v>
      </c>
      <c r="F13" s="84">
        <v>3.16</v>
      </c>
      <c r="G13">
        <v>12</v>
      </c>
      <c r="H13" t="s">
        <v>233</v>
      </c>
      <c r="I13"/>
      <c r="J13" s="52"/>
      <c r="K13" s="53"/>
    </row>
    <row r="14" spans="1:12" x14ac:dyDescent="0.2">
      <c r="A14" s="33" t="s">
        <v>68</v>
      </c>
      <c r="B14" s="41">
        <v>2.2200000000000002</v>
      </c>
      <c r="C14" s="35"/>
      <c r="D14" t="s">
        <v>234</v>
      </c>
      <c r="E14">
        <v>13</v>
      </c>
      <c r="F14" s="84">
        <v>3.16</v>
      </c>
      <c r="G14">
        <v>13</v>
      </c>
      <c r="H14" t="s">
        <v>234</v>
      </c>
      <c r="I14"/>
      <c r="J14" s="52"/>
      <c r="K14" s="53"/>
    </row>
    <row r="15" spans="1:12" x14ac:dyDescent="0.2">
      <c r="A15" s="39" t="s">
        <v>129</v>
      </c>
      <c r="B15" s="41">
        <v>3</v>
      </c>
      <c r="C15" s="35"/>
      <c r="D15" t="s">
        <v>235</v>
      </c>
      <c r="E15">
        <v>14</v>
      </c>
      <c r="F15" s="84">
        <v>3.16</v>
      </c>
      <c r="G15">
        <v>14</v>
      </c>
      <c r="H15" t="s">
        <v>235</v>
      </c>
      <c r="I15"/>
      <c r="J15" s="52"/>
      <c r="K15" s="53"/>
    </row>
    <row r="16" spans="1:12" x14ac:dyDescent="0.2">
      <c r="A16" s="33" t="s">
        <v>63</v>
      </c>
      <c r="B16" s="41">
        <v>3.11</v>
      </c>
      <c r="C16" s="35"/>
      <c r="D16" t="s">
        <v>236</v>
      </c>
      <c r="E16">
        <v>15</v>
      </c>
      <c r="F16" s="84">
        <v>3.16</v>
      </c>
      <c r="G16">
        <v>15</v>
      </c>
      <c r="H16" t="s">
        <v>236</v>
      </c>
      <c r="I16"/>
      <c r="J16" s="52"/>
      <c r="K16" s="53"/>
    </row>
    <row r="17" spans="1:12" x14ac:dyDescent="0.2">
      <c r="A17" s="33" t="s">
        <v>62</v>
      </c>
      <c r="B17" s="41">
        <v>3.14</v>
      </c>
      <c r="C17" s="35"/>
      <c r="D17" t="s">
        <v>237</v>
      </c>
      <c r="E17">
        <v>16</v>
      </c>
      <c r="F17" s="84">
        <v>3.16</v>
      </c>
      <c r="G17">
        <v>16</v>
      </c>
      <c r="H17" t="s">
        <v>237</v>
      </c>
      <c r="I17"/>
      <c r="J17" s="52"/>
      <c r="K17" s="53"/>
    </row>
    <row r="18" spans="1:12" x14ac:dyDescent="0.2">
      <c r="A18" s="33" t="s">
        <v>69</v>
      </c>
      <c r="B18" s="41">
        <v>3.16</v>
      </c>
      <c r="C18" s="35"/>
      <c r="D18" t="s">
        <v>238</v>
      </c>
      <c r="E18">
        <v>17</v>
      </c>
      <c r="F18" s="84">
        <v>3.16</v>
      </c>
      <c r="G18">
        <v>17</v>
      </c>
      <c r="H18" t="s">
        <v>238</v>
      </c>
      <c r="I18"/>
      <c r="J18" s="52"/>
      <c r="K18" s="53"/>
    </row>
    <row r="19" spans="1:12" x14ac:dyDescent="0.2">
      <c r="A19" s="33" t="s">
        <v>67</v>
      </c>
      <c r="B19" s="41">
        <v>3.21</v>
      </c>
      <c r="C19" s="35"/>
      <c r="D19" t="s">
        <v>239</v>
      </c>
      <c r="E19">
        <v>18</v>
      </c>
      <c r="F19" s="84">
        <v>3.16</v>
      </c>
      <c r="G19">
        <v>18</v>
      </c>
      <c r="H19" t="s">
        <v>239</v>
      </c>
      <c r="I19"/>
      <c r="J19" s="52"/>
      <c r="K19" s="53"/>
    </row>
    <row r="20" spans="1:12" x14ac:dyDescent="0.2">
      <c r="A20" s="33" t="s">
        <v>64</v>
      </c>
      <c r="B20" s="41">
        <v>3.24</v>
      </c>
      <c r="C20" s="35"/>
      <c r="D20" t="s">
        <v>240</v>
      </c>
      <c r="E20">
        <v>19</v>
      </c>
      <c r="F20" s="84">
        <v>3.16</v>
      </c>
      <c r="G20">
        <v>19</v>
      </c>
      <c r="H20" t="s">
        <v>240</v>
      </c>
      <c r="I20"/>
      <c r="J20" s="52"/>
      <c r="K20" s="53"/>
    </row>
    <row r="21" spans="1:12" ht="17" thickBot="1" x14ac:dyDescent="0.25">
      <c r="A21" s="33" t="s">
        <v>70</v>
      </c>
      <c r="B21" s="41">
        <v>3.26</v>
      </c>
      <c r="C21" s="35"/>
      <c r="D21" t="s">
        <v>241</v>
      </c>
      <c r="E21">
        <v>20</v>
      </c>
      <c r="F21" s="84">
        <v>3.16</v>
      </c>
      <c r="G21">
        <v>20</v>
      </c>
      <c r="H21" t="s">
        <v>241</v>
      </c>
      <c r="I21"/>
      <c r="J21" s="54"/>
      <c r="K21" s="55"/>
      <c r="L21" s="56" t="s">
        <v>153</v>
      </c>
    </row>
    <row r="22" spans="1:12" x14ac:dyDescent="0.2">
      <c r="A22" s="33" t="s">
        <v>65</v>
      </c>
      <c r="B22" s="41">
        <v>8</v>
      </c>
      <c r="C22" s="35"/>
      <c r="D22" t="s">
        <v>242</v>
      </c>
      <c r="E22">
        <v>21</v>
      </c>
      <c r="F22" s="84">
        <v>3.16</v>
      </c>
      <c r="G22">
        <v>21</v>
      </c>
      <c r="H22" t="s">
        <v>242</v>
      </c>
      <c r="I22"/>
    </row>
    <row r="23" spans="1:12" x14ac:dyDescent="0.2">
      <c r="A23" s="33" t="s">
        <v>130</v>
      </c>
      <c r="B23" s="41">
        <v>4</v>
      </c>
      <c r="C23" s="35"/>
      <c r="D23" t="s">
        <v>243</v>
      </c>
      <c r="E23">
        <v>22</v>
      </c>
      <c r="F23" s="84">
        <v>3.16</v>
      </c>
      <c r="G23">
        <v>22</v>
      </c>
      <c r="H23" t="s">
        <v>243</v>
      </c>
      <c r="I23"/>
    </row>
    <row r="24" spans="1:12" x14ac:dyDescent="0.2">
      <c r="A24" s="33" t="s">
        <v>123</v>
      </c>
      <c r="B24" s="41">
        <v>4.0999999999999996</v>
      </c>
      <c r="C24" s="35"/>
      <c r="D24" t="s">
        <v>244</v>
      </c>
      <c r="E24">
        <v>23</v>
      </c>
      <c r="F24" s="84">
        <v>3.16</v>
      </c>
      <c r="G24">
        <v>23</v>
      </c>
      <c r="H24" t="s">
        <v>244</v>
      </c>
      <c r="I24"/>
    </row>
    <row r="25" spans="1:12" x14ac:dyDescent="0.2">
      <c r="A25" s="33" t="s">
        <v>71</v>
      </c>
      <c r="B25" s="41">
        <v>4.2</v>
      </c>
      <c r="C25" s="35"/>
      <c r="D25" t="s">
        <v>245</v>
      </c>
      <c r="E25">
        <v>24</v>
      </c>
      <c r="F25" s="84">
        <v>3.16</v>
      </c>
      <c r="G25">
        <v>24</v>
      </c>
      <c r="H25" t="s">
        <v>245</v>
      </c>
      <c r="I25"/>
    </row>
    <row r="26" spans="1:12" x14ac:dyDescent="0.2">
      <c r="A26" s="33" t="s">
        <v>124</v>
      </c>
      <c r="B26" s="41">
        <v>4.3</v>
      </c>
      <c r="C26" s="35"/>
      <c r="D26" t="s">
        <v>246</v>
      </c>
      <c r="E26">
        <v>25</v>
      </c>
      <c r="F26" s="84">
        <v>3.16</v>
      </c>
      <c r="G26">
        <v>25</v>
      </c>
      <c r="H26" t="s">
        <v>246</v>
      </c>
      <c r="I26"/>
    </row>
    <row r="27" spans="1:12" x14ac:dyDescent="0.2">
      <c r="A27" s="33" t="s">
        <v>126</v>
      </c>
      <c r="B27" s="41">
        <v>6.1</v>
      </c>
      <c r="D27" t="s">
        <v>247</v>
      </c>
      <c r="E27">
        <v>26</v>
      </c>
      <c r="F27" s="84">
        <v>3.16</v>
      </c>
      <c r="G27">
        <v>26</v>
      </c>
      <c r="H27" t="s">
        <v>247</v>
      </c>
      <c r="I27"/>
    </row>
    <row r="28" spans="1:12" x14ac:dyDescent="0.2">
      <c r="A28" s="33" t="s">
        <v>125</v>
      </c>
      <c r="B28" s="41">
        <v>6.2</v>
      </c>
      <c r="D28" t="s">
        <v>248</v>
      </c>
      <c r="E28">
        <v>27</v>
      </c>
      <c r="F28" s="84">
        <v>3.16</v>
      </c>
      <c r="G28">
        <v>27</v>
      </c>
      <c r="H28" t="s">
        <v>248</v>
      </c>
      <c r="I28"/>
    </row>
    <row r="29" spans="1:12" x14ac:dyDescent="0.2">
      <c r="A29" s="33" t="s">
        <v>44</v>
      </c>
      <c r="B29" s="41">
        <v>5</v>
      </c>
      <c r="D29" t="s">
        <v>249</v>
      </c>
      <c r="E29">
        <v>28</v>
      </c>
      <c r="F29" s="84">
        <v>3.16</v>
      </c>
      <c r="G29">
        <v>28</v>
      </c>
      <c r="H29" t="s">
        <v>249</v>
      </c>
      <c r="I29"/>
    </row>
    <row r="30" spans="1:12" x14ac:dyDescent="0.2">
      <c r="A30" s="33" t="s">
        <v>74</v>
      </c>
      <c r="B30" s="41">
        <v>7</v>
      </c>
      <c r="D30" t="s">
        <v>250</v>
      </c>
      <c r="E30">
        <v>29</v>
      </c>
      <c r="F30" s="84">
        <v>3.16</v>
      </c>
      <c r="G30">
        <v>29</v>
      </c>
      <c r="H30" t="s">
        <v>250</v>
      </c>
      <c r="I30"/>
    </row>
    <row r="31" spans="1:12" ht="16" customHeight="1" x14ac:dyDescent="0.2">
      <c r="A31" s="33" t="s">
        <v>174</v>
      </c>
      <c r="B31" s="41">
        <v>3.1110000000000002</v>
      </c>
      <c r="D31" t="s">
        <v>251</v>
      </c>
      <c r="E31">
        <v>30</v>
      </c>
      <c r="F31" s="84">
        <v>3.14</v>
      </c>
      <c r="G31">
        <v>30</v>
      </c>
      <c r="H31" t="s">
        <v>251</v>
      </c>
      <c r="I31"/>
    </row>
    <row r="32" spans="1:12" ht="12" customHeight="1" thickBot="1" x14ac:dyDescent="0.25">
      <c r="A32" s="39" t="s">
        <v>175</v>
      </c>
      <c r="B32" s="42">
        <v>9</v>
      </c>
      <c r="D32" t="s">
        <v>252</v>
      </c>
      <c r="E32">
        <v>31</v>
      </c>
      <c r="F32" s="84">
        <v>3.14</v>
      </c>
      <c r="G32">
        <v>31</v>
      </c>
      <c r="H32" t="s">
        <v>252</v>
      </c>
      <c r="I32"/>
    </row>
    <row r="33" spans="4:8" customFormat="1" ht="12" customHeight="1" x14ac:dyDescent="0.2">
      <c r="D33" t="s">
        <v>253</v>
      </c>
      <c r="E33">
        <v>32</v>
      </c>
      <c r="F33" s="84">
        <v>3.24</v>
      </c>
      <c r="G33">
        <v>32</v>
      </c>
      <c r="H33" t="s">
        <v>253</v>
      </c>
    </row>
    <row r="34" spans="4:8" customFormat="1" ht="12" customHeight="1" x14ac:dyDescent="0.2">
      <c r="D34" t="s">
        <v>254</v>
      </c>
      <c r="E34">
        <v>33</v>
      </c>
      <c r="F34" s="84">
        <v>3.24</v>
      </c>
      <c r="G34">
        <v>33</v>
      </c>
      <c r="H34" t="s">
        <v>254</v>
      </c>
    </row>
    <row r="35" spans="4:8" customFormat="1" ht="16" customHeight="1" x14ac:dyDescent="0.2">
      <c r="D35" t="s">
        <v>177</v>
      </c>
      <c r="E35">
        <v>34</v>
      </c>
      <c r="F35" s="84">
        <v>3.24</v>
      </c>
      <c r="G35">
        <v>34</v>
      </c>
      <c r="H35" t="s">
        <v>177</v>
      </c>
    </row>
    <row r="36" spans="4:8" customFormat="1" ht="16" customHeight="1" x14ac:dyDescent="0.2">
      <c r="D36" t="s">
        <v>255</v>
      </c>
      <c r="E36">
        <v>35</v>
      </c>
      <c r="F36" s="84">
        <v>3.24</v>
      </c>
      <c r="G36">
        <v>35</v>
      </c>
      <c r="H36" t="s">
        <v>255</v>
      </c>
    </row>
    <row r="37" spans="4:8" customFormat="1" ht="12" customHeight="1" x14ac:dyDescent="0.2">
      <c r="D37" t="s">
        <v>256</v>
      </c>
      <c r="E37">
        <v>36</v>
      </c>
      <c r="F37" s="84">
        <v>3.24</v>
      </c>
      <c r="G37">
        <v>36</v>
      </c>
      <c r="H37" t="s">
        <v>256</v>
      </c>
    </row>
    <row r="38" spans="4:8" customFormat="1" x14ac:dyDescent="0.2">
      <c r="D38" t="s">
        <v>257</v>
      </c>
      <c r="E38">
        <v>37</v>
      </c>
      <c r="F38" s="84">
        <v>3.14</v>
      </c>
      <c r="G38">
        <v>37</v>
      </c>
      <c r="H38" t="s">
        <v>257</v>
      </c>
    </row>
    <row r="39" spans="4:8" customFormat="1" x14ac:dyDescent="0.2">
      <c r="D39" t="s">
        <v>178</v>
      </c>
      <c r="E39">
        <v>38</v>
      </c>
      <c r="F39" s="84">
        <v>3.14</v>
      </c>
      <c r="G39">
        <v>38</v>
      </c>
      <c r="H39" t="s">
        <v>178</v>
      </c>
    </row>
    <row r="40" spans="4:8" customFormat="1" x14ac:dyDescent="0.2">
      <c r="D40" t="s">
        <v>258</v>
      </c>
      <c r="E40">
        <v>39</v>
      </c>
      <c r="F40" s="84">
        <v>3.14</v>
      </c>
      <c r="G40">
        <v>39</v>
      </c>
      <c r="H40" t="s">
        <v>258</v>
      </c>
    </row>
    <row r="41" spans="4:8" customFormat="1" x14ac:dyDescent="0.2">
      <c r="D41" t="s">
        <v>179</v>
      </c>
      <c r="E41">
        <v>40</v>
      </c>
      <c r="F41" s="84">
        <v>3.14</v>
      </c>
      <c r="G41">
        <v>40</v>
      </c>
      <c r="H41" t="s">
        <v>179</v>
      </c>
    </row>
    <row r="42" spans="4:8" customFormat="1" x14ac:dyDescent="0.2">
      <c r="D42" t="s">
        <v>259</v>
      </c>
      <c r="E42">
        <v>41</v>
      </c>
      <c r="F42" s="84">
        <v>3.24</v>
      </c>
      <c r="G42">
        <v>41</v>
      </c>
      <c r="H42" t="s">
        <v>259</v>
      </c>
    </row>
    <row r="43" spans="4:8" customFormat="1" x14ac:dyDescent="0.2">
      <c r="D43" t="s">
        <v>260</v>
      </c>
      <c r="E43">
        <v>42</v>
      </c>
      <c r="F43" s="84">
        <v>3.24</v>
      </c>
      <c r="G43">
        <v>42</v>
      </c>
      <c r="H43" t="s">
        <v>260</v>
      </c>
    </row>
    <row r="44" spans="4:8" customFormat="1" x14ac:dyDescent="0.2">
      <c r="D44" t="s">
        <v>261</v>
      </c>
      <c r="E44">
        <v>43</v>
      </c>
      <c r="F44" s="84">
        <v>3.24</v>
      </c>
      <c r="G44">
        <v>43</v>
      </c>
      <c r="H44" t="s">
        <v>261</v>
      </c>
    </row>
    <row r="45" spans="4:8" customFormat="1" x14ac:dyDescent="0.2">
      <c r="D45" t="s">
        <v>262</v>
      </c>
      <c r="E45">
        <v>44</v>
      </c>
      <c r="F45" s="84">
        <v>3.24</v>
      </c>
      <c r="G45">
        <v>44</v>
      </c>
      <c r="H45" t="s">
        <v>262</v>
      </c>
    </row>
    <row r="46" spans="4:8" customFormat="1" x14ac:dyDescent="0.2">
      <c r="D46" t="s">
        <v>263</v>
      </c>
      <c r="E46">
        <v>45</v>
      </c>
      <c r="F46" s="84">
        <v>3.24</v>
      </c>
      <c r="G46">
        <v>45</v>
      </c>
      <c r="H46" t="s">
        <v>263</v>
      </c>
    </row>
    <row r="47" spans="4:8" customFormat="1" ht="16" customHeight="1" x14ac:dyDescent="0.2">
      <c r="D47" t="s">
        <v>264</v>
      </c>
      <c r="E47">
        <v>46</v>
      </c>
      <c r="F47" s="84">
        <v>3.24</v>
      </c>
      <c r="G47">
        <v>46</v>
      </c>
      <c r="H47" t="s">
        <v>264</v>
      </c>
    </row>
    <row r="48" spans="4:8" customFormat="1" ht="16" customHeight="1" x14ac:dyDescent="0.2">
      <c r="D48" t="s">
        <v>265</v>
      </c>
      <c r="E48">
        <v>47</v>
      </c>
      <c r="F48" s="84">
        <v>3.24</v>
      </c>
      <c r="G48">
        <v>47</v>
      </c>
      <c r="H48" t="s">
        <v>265</v>
      </c>
    </row>
    <row r="49" spans="3:9" ht="16" customHeight="1" x14ac:dyDescent="0.2">
      <c r="C49"/>
      <c r="D49" t="s">
        <v>266</v>
      </c>
      <c r="E49">
        <v>48</v>
      </c>
      <c r="F49" s="84">
        <v>3.24</v>
      </c>
      <c r="G49">
        <v>48</v>
      </c>
      <c r="H49" t="s">
        <v>266</v>
      </c>
      <c r="I49"/>
    </row>
    <row r="50" spans="3:9" ht="12" customHeight="1" x14ac:dyDescent="0.2">
      <c r="C50"/>
      <c r="D50" t="s">
        <v>267</v>
      </c>
      <c r="E50">
        <v>49</v>
      </c>
      <c r="F50" s="84">
        <v>3.24</v>
      </c>
      <c r="G50">
        <v>49</v>
      </c>
      <c r="H50" t="s">
        <v>267</v>
      </c>
      <c r="I50"/>
    </row>
    <row r="51" spans="3:9" ht="16" customHeight="1" x14ac:dyDescent="0.2">
      <c r="C51"/>
      <c r="D51" t="s">
        <v>268</v>
      </c>
      <c r="E51">
        <v>50</v>
      </c>
      <c r="F51" s="84">
        <v>3.24</v>
      </c>
      <c r="G51">
        <v>50</v>
      </c>
      <c r="H51" t="s">
        <v>268</v>
      </c>
      <c r="I51"/>
    </row>
    <row r="52" spans="3:9" ht="12" customHeight="1" x14ac:dyDescent="0.2">
      <c r="C52"/>
      <c r="D52" t="s">
        <v>269</v>
      </c>
      <c r="E52">
        <v>51</v>
      </c>
      <c r="F52" s="84">
        <v>3.24</v>
      </c>
      <c r="G52">
        <v>51</v>
      </c>
      <c r="H52" t="s">
        <v>269</v>
      </c>
      <c r="I52"/>
    </row>
    <row r="53" spans="3:9" ht="16" customHeight="1" x14ac:dyDescent="0.2">
      <c r="C53"/>
      <c r="D53" t="s">
        <v>270</v>
      </c>
      <c r="E53">
        <v>52</v>
      </c>
      <c r="F53" s="84">
        <v>3.24</v>
      </c>
      <c r="G53">
        <v>52</v>
      </c>
      <c r="H53" t="s">
        <v>270</v>
      </c>
      <c r="I53"/>
    </row>
    <row r="54" spans="3:9" ht="12" customHeight="1" x14ac:dyDescent="0.2">
      <c r="C54"/>
      <c r="D54" t="s">
        <v>271</v>
      </c>
      <c r="E54">
        <v>53</v>
      </c>
      <c r="F54" s="84">
        <v>3.24</v>
      </c>
      <c r="G54">
        <v>53</v>
      </c>
      <c r="H54" t="s">
        <v>271</v>
      </c>
      <c r="I54"/>
    </row>
    <row r="55" spans="3:9" ht="12" customHeight="1" x14ac:dyDescent="0.2">
      <c r="C55"/>
      <c r="D55" t="s">
        <v>272</v>
      </c>
      <c r="E55">
        <v>54</v>
      </c>
      <c r="F55" s="84">
        <v>3.24</v>
      </c>
      <c r="G55">
        <v>54</v>
      </c>
      <c r="H55" t="s">
        <v>272</v>
      </c>
      <c r="I55"/>
    </row>
    <row r="56" spans="3:9" ht="16" customHeight="1" x14ac:dyDescent="0.2">
      <c r="C56"/>
      <c r="D56" t="s">
        <v>273</v>
      </c>
      <c r="E56">
        <v>55</v>
      </c>
      <c r="F56" s="84">
        <v>3.24</v>
      </c>
      <c r="G56">
        <v>55</v>
      </c>
      <c r="H56" t="s">
        <v>273</v>
      </c>
      <c r="I56"/>
    </row>
    <row r="57" spans="3:9" ht="16" customHeight="1" x14ac:dyDescent="0.2">
      <c r="C57"/>
      <c r="D57" t="s">
        <v>274</v>
      </c>
      <c r="E57">
        <v>56</v>
      </c>
      <c r="F57" s="84">
        <v>3.24</v>
      </c>
      <c r="G57">
        <v>56</v>
      </c>
      <c r="H57" t="s">
        <v>274</v>
      </c>
      <c r="I57"/>
    </row>
    <row r="58" spans="3:9" x14ac:dyDescent="0.2">
      <c r="C58"/>
      <c r="D58" t="s">
        <v>275</v>
      </c>
      <c r="E58">
        <v>57</v>
      </c>
      <c r="F58" s="84">
        <v>3.24</v>
      </c>
      <c r="G58">
        <v>57</v>
      </c>
      <c r="H58" t="s">
        <v>275</v>
      </c>
      <c r="I58"/>
    </row>
    <row r="59" spans="3:9" x14ac:dyDescent="0.2">
      <c r="C59"/>
      <c r="D59" t="s">
        <v>276</v>
      </c>
      <c r="E59">
        <v>58</v>
      </c>
      <c r="F59" s="84">
        <v>3.24</v>
      </c>
      <c r="G59">
        <v>58</v>
      </c>
      <c r="H59" t="s">
        <v>276</v>
      </c>
      <c r="I59"/>
    </row>
    <row r="60" spans="3:9" x14ac:dyDescent="0.2">
      <c r="C60"/>
      <c r="D60" t="s">
        <v>277</v>
      </c>
      <c r="E60">
        <v>59</v>
      </c>
      <c r="F60" s="84">
        <v>3.14</v>
      </c>
      <c r="G60">
        <v>59</v>
      </c>
      <c r="H60" t="s">
        <v>277</v>
      </c>
      <c r="I60"/>
    </row>
    <row r="61" spans="3:9" x14ac:dyDescent="0.2">
      <c r="C61"/>
      <c r="D61" t="s">
        <v>278</v>
      </c>
      <c r="E61">
        <v>60</v>
      </c>
      <c r="F61" s="84">
        <v>3.24</v>
      </c>
      <c r="G61">
        <v>60</v>
      </c>
      <c r="H61" t="s">
        <v>278</v>
      </c>
      <c r="I61"/>
    </row>
    <row r="62" spans="3:9" x14ac:dyDescent="0.2">
      <c r="C62"/>
      <c r="D62" t="s">
        <v>279</v>
      </c>
      <c r="E62">
        <v>61</v>
      </c>
      <c r="F62" s="84">
        <v>3.24</v>
      </c>
      <c r="G62">
        <v>61</v>
      </c>
      <c r="H62" t="s">
        <v>279</v>
      </c>
      <c r="I62"/>
    </row>
    <row r="63" spans="3:9" x14ac:dyDescent="0.2">
      <c r="C63"/>
      <c r="D63" t="s">
        <v>280</v>
      </c>
      <c r="E63">
        <v>62</v>
      </c>
      <c r="F63" s="84">
        <v>3.04</v>
      </c>
      <c r="G63">
        <v>62</v>
      </c>
      <c r="H63" t="s">
        <v>280</v>
      </c>
      <c r="I63"/>
    </row>
    <row r="64" spans="3:9" x14ac:dyDescent="0.2">
      <c r="C64"/>
      <c r="D64" t="s">
        <v>281</v>
      </c>
      <c r="E64">
        <v>63</v>
      </c>
      <c r="F64" s="84">
        <v>3.04</v>
      </c>
      <c r="G64">
        <v>63</v>
      </c>
      <c r="H64" t="s">
        <v>281</v>
      </c>
      <c r="I64"/>
    </row>
    <row r="65" spans="3:9" x14ac:dyDescent="0.2">
      <c r="C65"/>
      <c r="D65" t="s">
        <v>282</v>
      </c>
      <c r="E65">
        <v>64</v>
      </c>
      <c r="F65" s="84">
        <v>3.04</v>
      </c>
      <c r="G65">
        <v>64</v>
      </c>
      <c r="H65" t="s">
        <v>282</v>
      </c>
      <c r="I65"/>
    </row>
    <row r="66" spans="3:9" x14ac:dyDescent="0.2">
      <c r="C66"/>
      <c r="D66" t="s">
        <v>283</v>
      </c>
      <c r="E66">
        <v>65</v>
      </c>
      <c r="F66" s="84">
        <v>3.24</v>
      </c>
      <c r="G66">
        <v>65</v>
      </c>
      <c r="H66" t="s">
        <v>283</v>
      </c>
      <c r="I66"/>
    </row>
    <row r="67" spans="3:9" x14ac:dyDescent="0.2">
      <c r="C67"/>
      <c r="D67" t="s">
        <v>284</v>
      </c>
      <c r="E67">
        <v>66</v>
      </c>
      <c r="F67" s="84">
        <v>3.24</v>
      </c>
      <c r="G67">
        <v>66</v>
      </c>
      <c r="H67" t="s">
        <v>284</v>
      </c>
      <c r="I67"/>
    </row>
    <row r="68" spans="3:9" x14ac:dyDescent="0.2">
      <c r="C68"/>
      <c r="D68" t="s">
        <v>285</v>
      </c>
      <c r="E68">
        <v>67</v>
      </c>
      <c r="F68" s="84">
        <v>3.24</v>
      </c>
      <c r="G68">
        <v>67</v>
      </c>
      <c r="H68" t="s">
        <v>285</v>
      </c>
      <c r="I68"/>
    </row>
    <row r="69" spans="3:9" x14ac:dyDescent="0.2">
      <c r="C69"/>
      <c r="D69" t="s">
        <v>286</v>
      </c>
      <c r="E69">
        <v>68</v>
      </c>
      <c r="F69" s="84">
        <v>3.24</v>
      </c>
      <c r="G69">
        <v>68</v>
      </c>
      <c r="H69" t="s">
        <v>286</v>
      </c>
      <c r="I69"/>
    </row>
    <row r="70" spans="3:9" x14ac:dyDescent="0.2">
      <c r="C70"/>
      <c r="D70" t="s">
        <v>287</v>
      </c>
      <c r="E70">
        <v>69</v>
      </c>
      <c r="F70" s="84">
        <v>3.04</v>
      </c>
      <c r="G70">
        <v>69</v>
      </c>
      <c r="H70" t="s">
        <v>287</v>
      </c>
      <c r="I70"/>
    </row>
    <row r="71" spans="3:9" x14ac:dyDescent="0.2">
      <c r="C71"/>
      <c r="D71" t="s">
        <v>288</v>
      </c>
      <c r="E71">
        <v>70</v>
      </c>
      <c r="F71" s="84">
        <v>3.24</v>
      </c>
      <c r="G71">
        <v>70</v>
      </c>
      <c r="H71" t="s">
        <v>288</v>
      </c>
      <c r="I71"/>
    </row>
    <row r="72" spans="3:9" x14ac:dyDescent="0.2">
      <c r="C72"/>
      <c r="D72" t="s">
        <v>289</v>
      </c>
      <c r="E72">
        <v>71</v>
      </c>
      <c r="F72" s="84">
        <v>3.24</v>
      </c>
      <c r="G72">
        <v>71</v>
      </c>
      <c r="H72" t="s">
        <v>289</v>
      </c>
      <c r="I72"/>
    </row>
    <row r="73" spans="3:9" x14ac:dyDescent="0.2">
      <c r="C73"/>
      <c r="D73" t="s">
        <v>290</v>
      </c>
      <c r="E73">
        <v>72</v>
      </c>
      <c r="F73" s="84">
        <v>3.24</v>
      </c>
      <c r="G73">
        <v>72</v>
      </c>
      <c r="H73" t="s">
        <v>290</v>
      </c>
      <c r="I73"/>
    </row>
    <row r="74" spans="3:9" x14ac:dyDescent="0.2">
      <c r="C74"/>
      <c r="D74" t="s">
        <v>291</v>
      </c>
      <c r="E74">
        <v>73</v>
      </c>
      <c r="F74" s="84">
        <v>3.24</v>
      </c>
      <c r="G74">
        <v>73</v>
      </c>
      <c r="H74" t="s">
        <v>291</v>
      </c>
      <c r="I74"/>
    </row>
    <row r="75" spans="3:9" x14ac:dyDescent="0.2">
      <c r="C75"/>
      <c r="D75" t="s">
        <v>180</v>
      </c>
      <c r="E75">
        <v>74</v>
      </c>
      <c r="F75" s="84">
        <v>3.24</v>
      </c>
      <c r="G75">
        <v>74</v>
      </c>
      <c r="H75" t="s">
        <v>180</v>
      </c>
      <c r="I75"/>
    </row>
    <row r="76" spans="3:9" x14ac:dyDescent="0.2">
      <c r="C76"/>
      <c r="D76" t="s">
        <v>292</v>
      </c>
      <c r="E76">
        <v>75</v>
      </c>
      <c r="F76" s="84">
        <v>3.14</v>
      </c>
      <c r="G76">
        <v>75</v>
      </c>
      <c r="H76" t="s">
        <v>292</v>
      </c>
      <c r="I76"/>
    </row>
    <row r="77" spans="3:9" x14ac:dyDescent="0.2">
      <c r="C77"/>
      <c r="D77" t="s">
        <v>293</v>
      </c>
      <c r="E77">
        <v>76</v>
      </c>
      <c r="F77" s="84">
        <v>3.23</v>
      </c>
      <c r="G77">
        <v>76</v>
      </c>
      <c r="H77" t="s">
        <v>293</v>
      </c>
      <c r="I77"/>
    </row>
    <row r="78" spans="3:9" x14ac:dyDescent="0.2">
      <c r="C78"/>
      <c r="D78" t="s">
        <v>294</v>
      </c>
      <c r="E78">
        <v>77</v>
      </c>
      <c r="F78" s="84">
        <v>3.13</v>
      </c>
      <c r="G78">
        <v>77</v>
      </c>
      <c r="H78" t="s">
        <v>294</v>
      </c>
      <c r="I78"/>
    </row>
    <row r="79" spans="3:9" x14ac:dyDescent="0.2">
      <c r="C79"/>
      <c r="D79" t="s">
        <v>295</v>
      </c>
      <c r="E79">
        <v>78</v>
      </c>
      <c r="F79" s="84">
        <v>3.14</v>
      </c>
      <c r="G79">
        <v>78</v>
      </c>
      <c r="H79" t="s">
        <v>295</v>
      </c>
      <c r="I79"/>
    </row>
    <row r="80" spans="3:9" x14ac:dyDescent="0.2">
      <c r="C80"/>
      <c r="D80" t="s">
        <v>296</v>
      </c>
      <c r="E80">
        <v>79</v>
      </c>
      <c r="F80" s="84">
        <v>3.14</v>
      </c>
      <c r="G80">
        <v>79</v>
      </c>
      <c r="H80" t="s">
        <v>296</v>
      </c>
      <c r="I80"/>
    </row>
    <row r="81" spans="4:8" customFormat="1" x14ac:dyDescent="0.2">
      <c r="D81" t="s">
        <v>297</v>
      </c>
      <c r="E81">
        <v>80</v>
      </c>
      <c r="F81" s="84">
        <v>3.14</v>
      </c>
      <c r="G81">
        <v>80</v>
      </c>
      <c r="H81" t="s">
        <v>297</v>
      </c>
    </row>
    <row r="82" spans="4:8" customFormat="1" x14ac:dyDescent="0.2">
      <c r="D82" t="s">
        <v>298</v>
      </c>
      <c r="E82">
        <v>81</v>
      </c>
      <c r="F82" s="84">
        <v>3.14</v>
      </c>
      <c r="G82">
        <v>81</v>
      </c>
      <c r="H82" t="s">
        <v>298</v>
      </c>
    </row>
    <row r="83" spans="4:8" customFormat="1" x14ac:dyDescent="0.2">
      <c r="D83" t="s">
        <v>299</v>
      </c>
      <c r="E83">
        <v>82</v>
      </c>
      <c r="F83" s="84">
        <v>3.14</v>
      </c>
      <c r="G83">
        <v>82</v>
      </c>
      <c r="H83" t="s">
        <v>299</v>
      </c>
    </row>
    <row r="84" spans="4:8" customFormat="1" x14ac:dyDescent="0.2">
      <c r="D84" t="s">
        <v>300</v>
      </c>
      <c r="E84">
        <v>83</v>
      </c>
      <c r="F84" s="84">
        <v>3.14</v>
      </c>
      <c r="G84">
        <v>83</v>
      </c>
      <c r="H84" t="s">
        <v>300</v>
      </c>
    </row>
    <row r="85" spans="4:8" customFormat="1" x14ac:dyDescent="0.2">
      <c r="D85" t="s">
        <v>301</v>
      </c>
      <c r="E85">
        <v>84</v>
      </c>
      <c r="F85" s="84">
        <v>3.14</v>
      </c>
      <c r="G85">
        <v>84</v>
      </c>
      <c r="H85" t="s">
        <v>301</v>
      </c>
    </row>
    <row r="86" spans="4:8" customFormat="1" x14ac:dyDescent="0.2">
      <c r="D86" t="s">
        <v>302</v>
      </c>
      <c r="E86">
        <v>85</v>
      </c>
      <c r="F86" s="84">
        <v>3.14</v>
      </c>
      <c r="G86">
        <v>85</v>
      </c>
      <c r="H86" t="s">
        <v>302</v>
      </c>
    </row>
    <row r="87" spans="4:8" customFormat="1" x14ac:dyDescent="0.2">
      <c r="D87" t="s">
        <v>303</v>
      </c>
      <c r="E87">
        <v>86</v>
      </c>
      <c r="F87" s="84">
        <v>3.14</v>
      </c>
      <c r="G87">
        <v>86</v>
      </c>
      <c r="H87" t="s">
        <v>303</v>
      </c>
    </row>
    <row r="88" spans="4:8" customFormat="1" x14ac:dyDescent="0.2">
      <c r="D88" t="s">
        <v>304</v>
      </c>
      <c r="E88">
        <v>87</v>
      </c>
      <c r="F88" s="84">
        <v>3.21</v>
      </c>
      <c r="G88">
        <v>87</v>
      </c>
      <c r="H88" t="s">
        <v>304</v>
      </c>
    </row>
    <row r="89" spans="4:8" customFormat="1" x14ac:dyDescent="0.2">
      <c r="D89" t="s">
        <v>305</v>
      </c>
      <c r="E89">
        <v>88</v>
      </c>
      <c r="F89" s="84">
        <v>3.21</v>
      </c>
      <c r="G89">
        <v>88</v>
      </c>
      <c r="H89" t="s">
        <v>305</v>
      </c>
    </row>
    <row r="90" spans="4:8" customFormat="1" x14ac:dyDescent="0.2">
      <c r="D90" t="s">
        <v>306</v>
      </c>
      <c r="E90">
        <v>89</v>
      </c>
      <c r="F90" s="84">
        <v>3.21</v>
      </c>
      <c r="G90">
        <v>89</v>
      </c>
      <c r="H90" t="s">
        <v>306</v>
      </c>
    </row>
    <row r="91" spans="4:8" customFormat="1" x14ac:dyDescent="0.2">
      <c r="D91" t="s">
        <v>307</v>
      </c>
      <c r="E91">
        <v>90</v>
      </c>
      <c r="F91" s="84">
        <v>3.12</v>
      </c>
      <c r="G91">
        <v>90</v>
      </c>
      <c r="H91" t="s">
        <v>307</v>
      </c>
    </row>
    <row r="92" spans="4:8" customFormat="1" x14ac:dyDescent="0.2">
      <c r="D92" t="s">
        <v>308</v>
      </c>
      <c r="E92">
        <v>91</v>
      </c>
      <c r="F92" s="84">
        <v>3.21</v>
      </c>
      <c r="G92">
        <v>91</v>
      </c>
      <c r="H92" t="s">
        <v>308</v>
      </c>
    </row>
    <row r="93" spans="4:8" customFormat="1" x14ac:dyDescent="0.2">
      <c r="D93" t="s">
        <v>309</v>
      </c>
      <c r="E93">
        <v>92</v>
      </c>
      <c r="F93" s="84">
        <v>3.21</v>
      </c>
      <c r="G93">
        <v>92</v>
      </c>
      <c r="H93" t="s">
        <v>309</v>
      </c>
    </row>
    <row r="94" spans="4:8" customFormat="1" x14ac:dyDescent="0.2">
      <c r="D94" t="s">
        <v>310</v>
      </c>
      <c r="E94">
        <v>93</v>
      </c>
      <c r="F94" s="84">
        <v>3.21</v>
      </c>
      <c r="G94">
        <v>93</v>
      </c>
      <c r="H94" t="s">
        <v>310</v>
      </c>
    </row>
    <row r="95" spans="4:8" customFormat="1" x14ac:dyDescent="0.2">
      <c r="D95" t="s">
        <v>311</v>
      </c>
      <c r="E95">
        <v>94</v>
      </c>
      <c r="F95" s="84">
        <v>3.21</v>
      </c>
      <c r="G95">
        <v>94</v>
      </c>
      <c r="H95" t="s">
        <v>311</v>
      </c>
    </row>
    <row r="96" spans="4:8" customFormat="1" x14ac:dyDescent="0.2">
      <c r="D96" t="s">
        <v>312</v>
      </c>
      <c r="E96">
        <v>95</v>
      </c>
      <c r="F96" s="84">
        <v>3.21</v>
      </c>
      <c r="G96">
        <v>95</v>
      </c>
      <c r="H96" t="s">
        <v>312</v>
      </c>
    </row>
    <row r="97" spans="4:8" customFormat="1" x14ac:dyDescent="0.2">
      <c r="D97" t="s">
        <v>313</v>
      </c>
      <c r="E97">
        <v>96</v>
      </c>
      <c r="F97" s="84">
        <v>3.21</v>
      </c>
      <c r="G97">
        <v>96</v>
      </c>
      <c r="H97" t="s">
        <v>313</v>
      </c>
    </row>
    <row r="98" spans="4:8" customFormat="1" x14ac:dyDescent="0.2">
      <c r="D98" t="s">
        <v>314</v>
      </c>
      <c r="E98">
        <v>97</v>
      </c>
      <c r="F98" s="84">
        <v>3</v>
      </c>
      <c r="G98">
        <v>97</v>
      </c>
      <c r="H98" t="s">
        <v>314</v>
      </c>
    </row>
    <row r="99" spans="4:8" customFormat="1" x14ac:dyDescent="0.2">
      <c r="D99" t="s">
        <v>315</v>
      </c>
      <c r="E99">
        <v>98</v>
      </c>
      <c r="F99" s="84">
        <v>3.21</v>
      </c>
      <c r="G99">
        <v>98</v>
      </c>
      <c r="H99" t="s">
        <v>315</v>
      </c>
    </row>
    <row r="100" spans="4:8" customFormat="1" x14ac:dyDescent="0.2">
      <c r="D100" t="s">
        <v>316</v>
      </c>
      <c r="E100">
        <v>99</v>
      </c>
      <c r="F100" s="84">
        <v>3.21</v>
      </c>
      <c r="G100">
        <v>99</v>
      </c>
      <c r="H100" t="s">
        <v>316</v>
      </c>
    </row>
    <row r="101" spans="4:8" customFormat="1" x14ac:dyDescent="0.2">
      <c r="D101" t="s">
        <v>317</v>
      </c>
      <c r="E101">
        <v>100</v>
      </c>
      <c r="F101" s="84">
        <v>3.21</v>
      </c>
      <c r="G101">
        <v>100</v>
      </c>
      <c r="H101" t="s">
        <v>317</v>
      </c>
    </row>
    <row r="102" spans="4:8" customFormat="1" x14ac:dyDescent="0.2">
      <c r="D102" t="s">
        <v>318</v>
      </c>
      <c r="E102">
        <v>101</v>
      </c>
      <c r="F102" s="84">
        <v>3.11</v>
      </c>
      <c r="G102">
        <v>101</v>
      </c>
      <c r="H102" t="s">
        <v>318</v>
      </c>
    </row>
    <row r="103" spans="4:8" customFormat="1" x14ac:dyDescent="0.2">
      <c r="D103" t="s">
        <v>319</v>
      </c>
      <c r="E103">
        <v>102</v>
      </c>
      <c r="F103" s="84">
        <v>3.21</v>
      </c>
      <c r="G103">
        <v>102</v>
      </c>
      <c r="H103" t="s">
        <v>319</v>
      </c>
    </row>
    <row r="104" spans="4:8" customFormat="1" x14ac:dyDescent="0.2">
      <c r="D104" t="s">
        <v>320</v>
      </c>
      <c r="E104">
        <v>103</v>
      </c>
      <c r="F104" s="84">
        <v>3.21</v>
      </c>
      <c r="G104">
        <v>103</v>
      </c>
      <c r="H104" t="s">
        <v>320</v>
      </c>
    </row>
    <row r="105" spans="4:8" customFormat="1" x14ac:dyDescent="0.2">
      <c r="D105" t="s">
        <v>321</v>
      </c>
      <c r="E105">
        <v>104</v>
      </c>
      <c r="F105" s="84">
        <v>3.21</v>
      </c>
      <c r="G105">
        <v>104</v>
      </c>
      <c r="H105" t="s">
        <v>321</v>
      </c>
    </row>
    <row r="106" spans="4:8" customFormat="1" x14ac:dyDescent="0.2">
      <c r="D106" t="s">
        <v>322</v>
      </c>
      <c r="E106">
        <v>105</v>
      </c>
      <c r="F106" s="84">
        <v>3.21</v>
      </c>
      <c r="G106">
        <v>105</v>
      </c>
      <c r="H106" t="s">
        <v>322</v>
      </c>
    </row>
    <row r="107" spans="4:8" customFormat="1" x14ac:dyDescent="0.2">
      <c r="D107" t="s">
        <v>323</v>
      </c>
      <c r="E107">
        <v>106</v>
      </c>
      <c r="F107" s="84">
        <v>3.21</v>
      </c>
      <c r="G107">
        <v>106</v>
      </c>
      <c r="H107" t="s">
        <v>323</v>
      </c>
    </row>
    <row r="108" spans="4:8" customFormat="1" x14ac:dyDescent="0.2">
      <c r="D108" t="s">
        <v>324</v>
      </c>
      <c r="E108">
        <v>107</v>
      </c>
      <c r="F108" s="84">
        <v>3.01</v>
      </c>
      <c r="G108">
        <v>107</v>
      </c>
      <c r="H108" t="s">
        <v>324</v>
      </c>
    </row>
    <row r="109" spans="4:8" customFormat="1" x14ac:dyDescent="0.2">
      <c r="D109" t="s">
        <v>325</v>
      </c>
      <c r="E109">
        <v>108</v>
      </c>
      <c r="F109" s="84">
        <v>3.11</v>
      </c>
      <c r="G109">
        <v>108</v>
      </c>
      <c r="H109" t="s">
        <v>325</v>
      </c>
    </row>
    <row r="110" spans="4:8" customFormat="1" x14ac:dyDescent="0.2">
      <c r="D110" t="s">
        <v>326</v>
      </c>
      <c r="E110">
        <v>109</v>
      </c>
      <c r="F110" s="84">
        <v>3.11</v>
      </c>
      <c r="G110">
        <v>109</v>
      </c>
      <c r="H110" t="s">
        <v>326</v>
      </c>
    </row>
    <row r="111" spans="4:8" customFormat="1" x14ac:dyDescent="0.2">
      <c r="D111" t="s">
        <v>327</v>
      </c>
      <c r="E111">
        <v>110</v>
      </c>
      <c r="F111" s="84">
        <v>3.11</v>
      </c>
      <c r="G111">
        <v>110</v>
      </c>
      <c r="H111" t="s">
        <v>327</v>
      </c>
    </row>
    <row r="112" spans="4:8" customFormat="1" x14ac:dyDescent="0.2">
      <c r="D112" t="s">
        <v>328</v>
      </c>
      <c r="E112">
        <v>111</v>
      </c>
      <c r="F112" s="84">
        <v>3.12</v>
      </c>
      <c r="G112">
        <v>111</v>
      </c>
      <c r="H112" t="s">
        <v>328</v>
      </c>
    </row>
    <row r="113" spans="4:10" customFormat="1" x14ac:dyDescent="0.2">
      <c r="D113" t="s">
        <v>329</v>
      </c>
      <c r="E113">
        <v>112</v>
      </c>
      <c r="F113" s="84">
        <v>3.21</v>
      </c>
      <c r="G113">
        <v>112</v>
      </c>
      <c r="H113" t="s">
        <v>329</v>
      </c>
    </row>
    <row r="114" spans="4:10" customFormat="1" x14ac:dyDescent="0.2">
      <c r="D114" t="s">
        <v>330</v>
      </c>
      <c r="E114">
        <v>113</v>
      </c>
      <c r="F114" s="84">
        <v>3.11</v>
      </c>
      <c r="G114">
        <v>113</v>
      </c>
      <c r="H114" t="s">
        <v>330</v>
      </c>
    </row>
    <row r="115" spans="4:10" customFormat="1" x14ac:dyDescent="0.2">
      <c r="D115" t="s">
        <v>331</v>
      </c>
      <c r="E115">
        <v>114</v>
      </c>
      <c r="F115" s="84">
        <v>3.11</v>
      </c>
      <c r="G115">
        <v>114</v>
      </c>
      <c r="H115" t="s">
        <v>331</v>
      </c>
    </row>
    <row r="116" spans="4:10" customFormat="1" x14ac:dyDescent="0.2">
      <c r="D116" t="s">
        <v>332</v>
      </c>
      <c r="E116">
        <v>115</v>
      </c>
      <c r="F116" s="84">
        <v>3.11</v>
      </c>
      <c r="G116">
        <v>115</v>
      </c>
      <c r="H116" t="s">
        <v>332</v>
      </c>
    </row>
    <row r="117" spans="4:10" customFormat="1" x14ac:dyDescent="0.2">
      <c r="D117" t="s">
        <v>333</v>
      </c>
      <c r="E117">
        <v>116</v>
      </c>
      <c r="F117" s="84">
        <v>3.11</v>
      </c>
      <c r="G117">
        <v>116</v>
      </c>
      <c r="H117" t="s">
        <v>333</v>
      </c>
    </row>
    <row r="118" spans="4:10" customFormat="1" ht="13" x14ac:dyDescent="0.15">
      <c r="D118" t="s">
        <v>334</v>
      </c>
      <c r="E118" s="207">
        <v>117</v>
      </c>
      <c r="F118" s="207">
        <v>3.1110000000000002</v>
      </c>
      <c r="G118" s="207">
        <v>117</v>
      </c>
      <c r="H118" t="s">
        <v>334</v>
      </c>
      <c r="J118" s="56" t="s">
        <v>223</v>
      </c>
    </row>
    <row r="119" spans="4:10" customFormat="1" ht="13" x14ac:dyDescent="0.15">
      <c r="D119" t="s">
        <v>335</v>
      </c>
      <c r="E119" s="207">
        <v>118</v>
      </c>
      <c r="F119" s="207">
        <v>9.1999999999999993</v>
      </c>
      <c r="G119" s="207">
        <v>118</v>
      </c>
      <c r="H119" t="s">
        <v>335</v>
      </c>
      <c r="J119" s="56" t="s">
        <v>224</v>
      </c>
    </row>
    <row r="120" spans="4:10" customFormat="1" x14ac:dyDescent="0.2">
      <c r="D120" t="s">
        <v>336</v>
      </c>
      <c r="E120">
        <v>119</v>
      </c>
      <c r="F120" s="84">
        <v>2.2200000000000002</v>
      </c>
      <c r="G120">
        <v>119</v>
      </c>
      <c r="H120" t="s">
        <v>336</v>
      </c>
    </row>
    <row r="121" spans="4:10" customFormat="1" x14ac:dyDescent="0.2">
      <c r="D121" t="s">
        <v>337</v>
      </c>
      <c r="E121">
        <v>120</v>
      </c>
      <c r="F121" s="84">
        <v>2.12</v>
      </c>
      <c r="G121">
        <v>120</v>
      </c>
      <c r="H121" t="s">
        <v>337</v>
      </c>
    </row>
    <row r="122" spans="4:10" customFormat="1" x14ac:dyDescent="0.2">
      <c r="D122" t="s">
        <v>338</v>
      </c>
      <c r="E122">
        <v>121</v>
      </c>
      <c r="F122" s="84">
        <v>2.11</v>
      </c>
      <c r="G122">
        <v>121</v>
      </c>
      <c r="H122" t="s">
        <v>338</v>
      </c>
    </row>
    <row r="123" spans="4:10" customFormat="1" x14ac:dyDescent="0.2">
      <c r="D123" t="s">
        <v>339</v>
      </c>
      <c r="E123">
        <v>122</v>
      </c>
      <c r="F123" s="84">
        <v>4.2</v>
      </c>
      <c r="G123">
        <v>122</v>
      </c>
      <c r="H123" t="s">
        <v>339</v>
      </c>
    </row>
    <row r="124" spans="4:10" customFormat="1" x14ac:dyDescent="0.2">
      <c r="D124" t="s">
        <v>340</v>
      </c>
      <c r="E124">
        <v>123</v>
      </c>
      <c r="F124" s="84">
        <v>4.2</v>
      </c>
      <c r="G124">
        <v>123</v>
      </c>
      <c r="H124" t="s">
        <v>340</v>
      </c>
    </row>
    <row r="125" spans="4:10" customFormat="1" x14ac:dyDescent="0.2">
      <c r="D125" t="s">
        <v>341</v>
      </c>
      <c r="E125">
        <v>124</v>
      </c>
      <c r="F125" s="84">
        <v>4.0999999999999996</v>
      </c>
      <c r="G125">
        <v>124</v>
      </c>
      <c r="H125" t="s">
        <v>341</v>
      </c>
      <c r="I125" s="56" t="s">
        <v>183</v>
      </c>
    </row>
    <row r="126" spans="4:10" customFormat="1" x14ac:dyDescent="0.2">
      <c r="D126" t="s">
        <v>342</v>
      </c>
      <c r="E126">
        <v>125</v>
      </c>
      <c r="F126" s="84">
        <v>4.3</v>
      </c>
      <c r="G126">
        <v>125</v>
      </c>
      <c r="H126" t="s">
        <v>342</v>
      </c>
      <c r="I126" s="56" t="s">
        <v>183</v>
      </c>
    </row>
    <row r="127" spans="4:10" customFormat="1" x14ac:dyDescent="0.2">
      <c r="D127" t="s">
        <v>343</v>
      </c>
      <c r="E127">
        <v>126</v>
      </c>
      <c r="F127" s="84">
        <v>5</v>
      </c>
      <c r="G127">
        <v>126</v>
      </c>
      <c r="H127" t="s">
        <v>343</v>
      </c>
      <c r="I127" s="56" t="s">
        <v>184</v>
      </c>
    </row>
    <row r="128" spans="4:10" customFormat="1" x14ac:dyDescent="0.2">
      <c r="D128" t="s">
        <v>344</v>
      </c>
      <c r="E128">
        <v>127</v>
      </c>
      <c r="F128" s="84">
        <v>5</v>
      </c>
      <c r="G128">
        <v>127</v>
      </c>
      <c r="H128" t="s">
        <v>344</v>
      </c>
      <c r="I128" s="56" t="s">
        <v>184</v>
      </c>
    </row>
    <row r="129" spans="4:9" customFormat="1" x14ac:dyDescent="0.2">
      <c r="D129" t="s">
        <v>345</v>
      </c>
      <c r="E129">
        <v>128</v>
      </c>
      <c r="F129" s="84">
        <v>5</v>
      </c>
      <c r="G129">
        <v>128</v>
      </c>
      <c r="H129" t="s">
        <v>345</v>
      </c>
      <c r="I129" s="56" t="s">
        <v>184</v>
      </c>
    </row>
    <row r="130" spans="4:9" customFormat="1" x14ac:dyDescent="0.2">
      <c r="D130" t="s">
        <v>346</v>
      </c>
      <c r="E130">
        <v>129</v>
      </c>
      <c r="F130" s="84">
        <v>5</v>
      </c>
      <c r="G130">
        <v>129</v>
      </c>
      <c r="H130" t="s">
        <v>346</v>
      </c>
      <c r="I130" s="56" t="s">
        <v>184</v>
      </c>
    </row>
    <row r="131" spans="4:9" customFormat="1" x14ac:dyDescent="0.2">
      <c r="D131" t="s">
        <v>347</v>
      </c>
      <c r="E131">
        <v>130</v>
      </c>
      <c r="F131" s="84">
        <v>5</v>
      </c>
      <c r="G131">
        <v>130</v>
      </c>
      <c r="H131" t="s">
        <v>347</v>
      </c>
      <c r="I131" s="56" t="s">
        <v>184</v>
      </c>
    </row>
    <row r="132" spans="4:9" customFormat="1" x14ac:dyDescent="0.2">
      <c r="D132" t="s">
        <v>348</v>
      </c>
      <c r="E132">
        <v>131</v>
      </c>
      <c r="F132" s="84">
        <v>5</v>
      </c>
      <c r="G132">
        <v>131</v>
      </c>
      <c r="H132" t="s">
        <v>348</v>
      </c>
      <c r="I132" s="56" t="s">
        <v>184</v>
      </c>
    </row>
    <row r="133" spans="4:9" customFormat="1" x14ac:dyDescent="0.2">
      <c r="D133" t="s">
        <v>349</v>
      </c>
      <c r="E133">
        <v>132</v>
      </c>
      <c r="F133" s="84">
        <v>5</v>
      </c>
      <c r="G133">
        <v>132</v>
      </c>
      <c r="H133" t="s">
        <v>349</v>
      </c>
      <c r="I133" s="56" t="s">
        <v>184</v>
      </c>
    </row>
    <row r="134" spans="4:9" customFormat="1" x14ac:dyDescent="0.2">
      <c r="D134" t="s">
        <v>350</v>
      </c>
      <c r="E134">
        <v>133</v>
      </c>
      <c r="F134" s="84">
        <v>5</v>
      </c>
      <c r="G134">
        <v>133</v>
      </c>
      <c r="H134" t="s">
        <v>350</v>
      </c>
      <c r="I134" s="56" t="s">
        <v>184</v>
      </c>
    </row>
    <row r="135" spans="4:9" customFormat="1" x14ac:dyDescent="0.2">
      <c r="D135" t="s">
        <v>351</v>
      </c>
      <c r="E135">
        <v>134</v>
      </c>
      <c r="F135" s="84">
        <v>5</v>
      </c>
      <c r="G135">
        <v>134</v>
      </c>
      <c r="H135" t="s">
        <v>351</v>
      </c>
      <c r="I135" s="56" t="s">
        <v>184</v>
      </c>
    </row>
    <row r="136" spans="4:9" customFormat="1" x14ac:dyDescent="0.2">
      <c r="D136" t="s">
        <v>352</v>
      </c>
      <c r="E136">
        <v>135</v>
      </c>
      <c r="F136" s="84">
        <v>5</v>
      </c>
      <c r="G136">
        <v>135</v>
      </c>
      <c r="H136" t="s">
        <v>352</v>
      </c>
      <c r="I136" s="56" t="s">
        <v>184</v>
      </c>
    </row>
    <row r="137" spans="4:9" customFormat="1" x14ac:dyDescent="0.2">
      <c r="D137" t="s">
        <v>353</v>
      </c>
      <c r="E137">
        <v>136</v>
      </c>
      <c r="F137" s="84">
        <v>5</v>
      </c>
      <c r="G137">
        <v>136</v>
      </c>
      <c r="H137" t="s">
        <v>353</v>
      </c>
      <c r="I137" s="56" t="s">
        <v>184</v>
      </c>
    </row>
    <row r="138" spans="4:9" customFormat="1" x14ac:dyDescent="0.2">
      <c r="D138" t="s">
        <v>354</v>
      </c>
      <c r="E138">
        <v>137</v>
      </c>
      <c r="F138" s="84">
        <v>5</v>
      </c>
      <c r="G138">
        <v>137</v>
      </c>
      <c r="H138" t="s">
        <v>354</v>
      </c>
      <c r="I138" s="56" t="s">
        <v>184</v>
      </c>
    </row>
    <row r="139" spans="4:9" customFormat="1" x14ac:dyDescent="0.2">
      <c r="D139" t="s">
        <v>355</v>
      </c>
      <c r="E139">
        <v>138</v>
      </c>
      <c r="F139" s="84">
        <v>5</v>
      </c>
      <c r="G139">
        <v>138</v>
      </c>
      <c r="H139" t="s">
        <v>355</v>
      </c>
      <c r="I139" s="56" t="s">
        <v>184</v>
      </c>
    </row>
    <row r="140" spans="4:9" customFormat="1" x14ac:dyDescent="0.2">
      <c r="D140" t="s">
        <v>356</v>
      </c>
      <c r="E140">
        <v>139</v>
      </c>
      <c r="F140" s="84">
        <v>5</v>
      </c>
      <c r="G140">
        <v>139</v>
      </c>
      <c r="H140" t="s">
        <v>356</v>
      </c>
      <c r="I140" s="56" t="s">
        <v>184</v>
      </c>
    </row>
    <row r="141" spans="4:9" customFormat="1" ht="13" x14ac:dyDescent="0.15">
      <c r="D141" t="s">
        <v>139</v>
      </c>
      <c r="E141">
        <v>140</v>
      </c>
      <c r="F141">
        <v>6.1</v>
      </c>
      <c r="G141">
        <v>140</v>
      </c>
      <c r="H141" t="s">
        <v>139</v>
      </c>
      <c r="I141" s="56" t="s">
        <v>185</v>
      </c>
    </row>
    <row r="142" spans="4:9" customFormat="1" ht="13" x14ac:dyDescent="0.15">
      <c r="D142" t="s">
        <v>45</v>
      </c>
      <c r="E142">
        <v>141</v>
      </c>
      <c r="F142">
        <v>6.2</v>
      </c>
      <c r="G142">
        <v>141</v>
      </c>
      <c r="H142" t="s">
        <v>45</v>
      </c>
      <c r="I142" s="56" t="s">
        <v>185</v>
      </c>
    </row>
    <row r="143" spans="4:9" customFormat="1" ht="13" x14ac:dyDescent="0.15"/>
    <row r="144" spans="4:9" customFormat="1" ht="13" x14ac:dyDescent="0.15"/>
    <row r="145" spans="3:9" ht="13" x14ac:dyDescent="0.15">
      <c r="C145"/>
      <c r="D145"/>
      <c r="E145"/>
      <c r="F145"/>
      <c r="G145"/>
      <c r="H145"/>
      <c r="I145"/>
    </row>
    <row r="146" spans="3:9" ht="13" x14ac:dyDescent="0.15">
      <c r="C146"/>
      <c r="D146"/>
      <c r="E146"/>
      <c r="F146"/>
      <c r="G146"/>
      <c r="H146"/>
      <c r="I146"/>
    </row>
    <row r="147" spans="3:9" ht="13" x14ac:dyDescent="0.15">
      <c r="C147"/>
      <c r="D147"/>
      <c r="E147"/>
      <c r="F147"/>
      <c r="G147"/>
      <c r="H147"/>
      <c r="I147"/>
    </row>
    <row r="148" spans="3:9" ht="13" x14ac:dyDescent="0.15">
      <c r="C148"/>
      <c r="D148"/>
      <c r="E148"/>
      <c r="F148"/>
      <c r="G148"/>
      <c r="H148"/>
      <c r="I148"/>
    </row>
    <row r="149" spans="3:9" ht="13" x14ac:dyDescent="0.15">
      <c r="C149"/>
      <c r="D149"/>
      <c r="E149"/>
      <c r="F149"/>
      <c r="G149"/>
      <c r="H149"/>
      <c r="I149"/>
    </row>
    <row r="150" spans="3:9" ht="13" x14ac:dyDescent="0.15">
      <c r="C150"/>
      <c r="D150"/>
      <c r="E150"/>
      <c r="F150"/>
      <c r="G150"/>
      <c r="H150"/>
      <c r="I150"/>
    </row>
    <row r="151" spans="3:9" ht="13" x14ac:dyDescent="0.15">
      <c r="C151"/>
      <c r="D151"/>
      <c r="E151"/>
      <c r="F151"/>
      <c r="G151"/>
      <c r="H151"/>
      <c r="I151"/>
    </row>
    <row r="152" spans="3:9" ht="13" x14ac:dyDescent="0.15">
      <c r="C152"/>
      <c r="D152"/>
      <c r="E152"/>
      <c r="F152"/>
      <c r="G152"/>
      <c r="H152"/>
      <c r="I152"/>
    </row>
    <row r="153" spans="3:9" ht="13" x14ac:dyDescent="0.15">
      <c r="C153"/>
      <c r="D153"/>
      <c r="E153"/>
      <c r="F153"/>
      <c r="G153"/>
      <c r="H153"/>
      <c r="I153"/>
    </row>
    <row r="154" spans="3:9" ht="13" x14ac:dyDescent="0.15">
      <c r="C154"/>
      <c r="D154"/>
      <c r="E154"/>
      <c r="F154"/>
      <c r="G154"/>
      <c r="H154"/>
      <c r="I154"/>
    </row>
    <row r="155" spans="3:9" ht="13" x14ac:dyDescent="0.15">
      <c r="C155"/>
      <c r="D155"/>
      <c r="E155"/>
      <c r="F155"/>
      <c r="G155"/>
      <c r="H155"/>
      <c r="I155"/>
    </row>
    <row r="156" spans="3:9" ht="13" x14ac:dyDescent="0.15">
      <c r="C156"/>
      <c r="D156"/>
      <c r="E156"/>
      <c r="F156"/>
      <c r="G156"/>
      <c r="H156"/>
      <c r="I156"/>
    </row>
    <row r="157" spans="3:9" ht="13" x14ac:dyDescent="0.15">
      <c r="C157"/>
      <c r="D157"/>
      <c r="E157"/>
      <c r="F157"/>
      <c r="G157"/>
      <c r="H157"/>
      <c r="I157"/>
    </row>
    <row r="158" spans="3:9" ht="13" x14ac:dyDescent="0.15">
      <c r="C158"/>
      <c r="D158"/>
      <c r="E158"/>
      <c r="F158"/>
      <c r="G158"/>
      <c r="H158"/>
      <c r="I158"/>
    </row>
    <row r="159" spans="3:9" ht="13" x14ac:dyDescent="0.15">
      <c r="C159"/>
      <c r="D159"/>
      <c r="E159"/>
      <c r="F159"/>
      <c r="G159"/>
      <c r="H159"/>
      <c r="I159"/>
    </row>
    <row r="160" spans="3:9" ht="13" x14ac:dyDescent="0.15">
      <c r="C160"/>
      <c r="D160"/>
      <c r="E160"/>
      <c r="F160"/>
      <c r="G160"/>
      <c r="H160"/>
      <c r="I160"/>
    </row>
    <row r="161" spans="3:9" ht="13" x14ac:dyDescent="0.15">
      <c r="C161"/>
      <c r="D161"/>
      <c r="E161"/>
      <c r="F161"/>
      <c r="G161"/>
      <c r="H161"/>
      <c r="I161"/>
    </row>
    <row r="162" spans="3:9" ht="13" x14ac:dyDescent="0.15">
      <c r="C162"/>
      <c r="D162"/>
      <c r="E162"/>
      <c r="F162"/>
      <c r="G162"/>
      <c r="H162"/>
      <c r="I162"/>
    </row>
    <row r="163" spans="3:9" ht="13" x14ac:dyDescent="0.15">
      <c r="C163"/>
      <c r="D163"/>
      <c r="E163"/>
      <c r="F163"/>
      <c r="G163"/>
      <c r="H163"/>
      <c r="I163"/>
    </row>
    <row r="164" spans="3:9" ht="13" x14ac:dyDescent="0.15">
      <c r="C164"/>
      <c r="D164"/>
      <c r="E164"/>
      <c r="F164"/>
      <c r="G164"/>
      <c r="H164"/>
      <c r="I164"/>
    </row>
    <row r="165" spans="3:9" ht="13" x14ac:dyDescent="0.15">
      <c r="C165"/>
      <c r="D165"/>
      <c r="E165"/>
      <c r="F165"/>
      <c r="G165"/>
      <c r="H165"/>
      <c r="I165"/>
    </row>
    <row r="166" spans="3:9" ht="13" x14ac:dyDescent="0.15">
      <c r="C166"/>
      <c r="D166"/>
      <c r="E166"/>
      <c r="F166"/>
      <c r="G166"/>
      <c r="H166"/>
      <c r="I166"/>
    </row>
    <row r="167" spans="3:9" ht="13" x14ac:dyDescent="0.15">
      <c r="C167"/>
      <c r="D167"/>
      <c r="E167"/>
      <c r="F167"/>
      <c r="G167"/>
      <c r="H167"/>
      <c r="I167"/>
    </row>
    <row r="168" spans="3:9" ht="13" x14ac:dyDescent="0.15">
      <c r="C168"/>
      <c r="D168"/>
      <c r="E168"/>
      <c r="F168"/>
      <c r="G168"/>
      <c r="H168"/>
      <c r="I168"/>
    </row>
    <row r="169" spans="3:9" ht="13" x14ac:dyDescent="0.15">
      <c r="C169"/>
      <c r="D169"/>
      <c r="E169"/>
      <c r="F169"/>
      <c r="G169"/>
      <c r="H169"/>
      <c r="I169"/>
    </row>
    <row r="170" spans="3:9" ht="13" x14ac:dyDescent="0.15">
      <c r="C170"/>
      <c r="D170"/>
      <c r="E170"/>
      <c r="F170"/>
      <c r="G170"/>
      <c r="H170"/>
      <c r="I170"/>
    </row>
    <row r="171" spans="3:9" ht="13" x14ac:dyDescent="0.15">
      <c r="C171"/>
      <c r="D171"/>
      <c r="E171"/>
      <c r="F171"/>
      <c r="G171"/>
      <c r="H171"/>
      <c r="I171"/>
    </row>
    <row r="172" spans="3:9" x14ac:dyDescent="0.2">
      <c r="C172"/>
    </row>
    <row r="173" spans="3:9" x14ac:dyDescent="0.2">
      <c r="C173"/>
    </row>
    <row r="174" spans="3:9" x14ac:dyDescent="0.2">
      <c r="C174"/>
    </row>
    <row r="175" spans="3:9" x14ac:dyDescent="0.2">
      <c r="C175"/>
    </row>
    <row r="176" spans="3:9" x14ac:dyDescent="0.2">
      <c r="C176"/>
    </row>
    <row r="177" spans="4:9" customFormat="1" x14ac:dyDescent="0.2">
      <c r="D177" s="84"/>
      <c r="E177" s="84"/>
      <c r="F177" s="84"/>
      <c r="G177" s="84"/>
      <c r="H177" s="84"/>
      <c r="I177" s="84"/>
    </row>
    <row r="178" spans="4:9" customFormat="1" x14ac:dyDescent="0.2">
      <c r="D178" s="84"/>
      <c r="E178" s="84"/>
      <c r="F178" s="84"/>
      <c r="G178" s="84"/>
      <c r="H178" s="84"/>
      <c r="I178" s="84"/>
    </row>
    <row r="179" spans="4:9" customFormat="1" x14ac:dyDescent="0.2">
      <c r="D179" s="84"/>
      <c r="E179" s="84"/>
      <c r="F179" s="84"/>
      <c r="G179" s="84"/>
      <c r="H179" s="84"/>
      <c r="I179" s="84"/>
    </row>
    <row r="180" spans="4:9" customFormat="1" x14ac:dyDescent="0.2">
      <c r="D180" s="84"/>
      <c r="E180" s="84"/>
      <c r="F180" s="84"/>
      <c r="G180" s="84"/>
      <c r="H180" s="84"/>
      <c r="I180" s="84"/>
    </row>
    <row r="181" spans="4:9" customFormat="1" x14ac:dyDescent="0.2">
      <c r="D181" s="84"/>
      <c r="E181" s="84"/>
      <c r="F181" s="84"/>
      <c r="G181" s="84"/>
      <c r="H181" s="84"/>
      <c r="I181" s="84"/>
    </row>
    <row r="182" spans="4:9" customFormat="1" x14ac:dyDescent="0.2">
      <c r="D182" s="84"/>
      <c r="E182" s="84"/>
      <c r="F182" s="84"/>
      <c r="G182" s="84"/>
      <c r="H182" s="84"/>
      <c r="I182" s="84"/>
    </row>
    <row r="183" spans="4:9" customFormat="1" x14ac:dyDescent="0.2">
      <c r="D183" s="84"/>
      <c r="E183" s="84"/>
      <c r="F183" s="84"/>
      <c r="G183" s="84"/>
      <c r="H183" s="84"/>
      <c r="I183" s="84"/>
    </row>
    <row r="184" spans="4:9" customFormat="1" x14ac:dyDescent="0.2">
      <c r="D184" s="84"/>
      <c r="E184" s="84"/>
      <c r="F184" s="84"/>
      <c r="G184" s="84"/>
      <c r="H184" s="84"/>
      <c r="I184" s="84"/>
    </row>
    <row r="185" spans="4:9" customFormat="1" x14ac:dyDescent="0.2">
      <c r="D185" s="84"/>
      <c r="E185" s="84"/>
      <c r="F185" s="84"/>
      <c r="G185" s="84"/>
      <c r="H185" s="84"/>
      <c r="I185" s="84"/>
    </row>
    <row r="186" spans="4:9" customFormat="1" x14ac:dyDescent="0.2">
      <c r="D186" s="84"/>
      <c r="E186" s="84"/>
      <c r="F186" s="84"/>
      <c r="G186" s="84"/>
      <c r="H186" s="84"/>
      <c r="I186" s="84"/>
    </row>
    <row r="187" spans="4:9" customFormat="1" x14ac:dyDescent="0.2">
      <c r="D187" s="84"/>
      <c r="E187" s="84"/>
      <c r="F187" s="84"/>
      <c r="G187" s="84"/>
      <c r="H187" s="84"/>
      <c r="I187" s="8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zoomScale="115" workbookViewId="0">
      <pane ySplit="2" topLeftCell="A31" activePane="bottomLeft" state="frozen"/>
      <selection pane="bottomLeft" activeCell="C47" sqref="C47"/>
    </sheetView>
  </sheetViews>
  <sheetFormatPr baseColWidth="10" defaultColWidth="11.5" defaultRowHeight="15" customHeight="1" x14ac:dyDescent="0.2"/>
  <cols>
    <col min="1" max="1" width="26.1640625" style="107" bestFit="1" customWidth="1"/>
    <col min="2" max="5" width="16.1640625" style="79" customWidth="1"/>
    <col min="6" max="6" width="45.6640625" style="79" bestFit="1" customWidth="1"/>
    <col min="7" max="9" width="11.5" style="79"/>
    <col min="10" max="10" width="12.1640625" style="79" bestFit="1" customWidth="1"/>
    <col min="11" max="11" width="11.5" style="137"/>
    <col min="12" max="12" width="11.5" style="131"/>
    <col min="13" max="13" width="11.5" style="137"/>
    <col min="14" max="14" width="11.5" style="131"/>
    <col min="15" max="15" width="11.5" style="137"/>
    <col min="16" max="16" width="11.5" style="134"/>
    <col min="17" max="17" width="14.83203125" style="79" customWidth="1"/>
    <col min="18" max="18" width="22.1640625" style="104" customWidth="1"/>
    <col min="19" max="16384" width="11.5" style="79"/>
  </cols>
  <sheetData>
    <row r="1" spans="1:20" ht="15" customHeight="1" thickBot="1" x14ac:dyDescent="0.25">
      <c r="F1" s="92"/>
      <c r="G1" s="105" t="s">
        <v>46</v>
      </c>
      <c r="H1" s="105" t="s">
        <v>47</v>
      </c>
      <c r="I1" s="105" t="s">
        <v>121</v>
      </c>
      <c r="J1" s="105" t="s">
        <v>133</v>
      </c>
      <c r="K1" s="135" t="s">
        <v>48</v>
      </c>
      <c r="L1" s="129"/>
      <c r="M1" s="135" t="s">
        <v>120</v>
      </c>
      <c r="N1" s="129"/>
      <c r="O1" s="135" t="s">
        <v>49</v>
      </c>
      <c r="P1" s="132"/>
      <c r="Q1" s="108" t="s">
        <v>50</v>
      </c>
      <c r="R1" s="105" t="s">
        <v>157</v>
      </c>
    </row>
    <row r="2" spans="1:20" ht="15" customHeight="1" x14ac:dyDescent="0.2">
      <c r="A2" s="108" t="s">
        <v>51</v>
      </c>
      <c r="B2" s="109">
        <v>0.5</v>
      </c>
      <c r="C2" s="107" t="s">
        <v>52</v>
      </c>
      <c r="D2" s="110"/>
      <c r="F2" s="92"/>
      <c r="G2" s="111"/>
      <c r="H2" s="111"/>
      <c r="I2" s="111" t="s">
        <v>134</v>
      </c>
      <c r="J2" s="111" t="s">
        <v>134</v>
      </c>
      <c r="K2" s="136" t="s">
        <v>52</v>
      </c>
      <c r="L2" s="130" t="s">
        <v>53</v>
      </c>
      <c r="M2" s="136" t="s">
        <v>52</v>
      </c>
      <c r="N2" s="130" t="s">
        <v>53</v>
      </c>
      <c r="O2" s="136" t="s">
        <v>52</v>
      </c>
      <c r="P2" s="133" t="s">
        <v>53</v>
      </c>
      <c r="Q2" s="111"/>
      <c r="R2" s="112" t="s">
        <v>158</v>
      </c>
    </row>
    <row r="3" spans="1:20" ht="15" customHeight="1" thickBot="1" x14ac:dyDescent="0.25">
      <c r="A3" s="108" t="s">
        <v>54</v>
      </c>
      <c r="B3" s="113">
        <v>0</v>
      </c>
      <c r="C3" s="107" t="s">
        <v>53</v>
      </c>
      <c r="D3" s="11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209">
        <v>0</v>
      </c>
      <c r="R3" s="210">
        <v>0</v>
      </c>
      <c r="S3"/>
      <c r="T3"/>
    </row>
    <row r="4" spans="1:20" ht="15" customHeight="1" thickBot="1" x14ac:dyDescent="0.25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209">
        <v>0</v>
      </c>
      <c r="R4" s="210">
        <v>0</v>
      </c>
      <c r="S4"/>
      <c r="T4"/>
    </row>
    <row r="5" spans="1:20" ht="15" customHeight="1" x14ac:dyDescent="0.2">
      <c r="A5" s="108" t="s">
        <v>55</v>
      </c>
      <c r="B5" s="114">
        <v>0.5</v>
      </c>
      <c r="C5" s="107" t="s">
        <v>52</v>
      </c>
      <c r="D5" s="11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209">
        <v>0</v>
      </c>
      <c r="R5" s="210">
        <v>0</v>
      </c>
      <c r="S5"/>
      <c r="T5"/>
    </row>
    <row r="6" spans="1:20" ht="15" customHeight="1" thickBot="1" x14ac:dyDescent="0.25">
      <c r="A6" s="108"/>
      <c r="B6" s="115">
        <v>0.5</v>
      </c>
      <c r="C6" s="107" t="s">
        <v>53</v>
      </c>
      <c r="D6" s="110"/>
      <c r="F6" t="s">
        <v>225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1</v>
      </c>
      <c r="O6" s="226">
        <v>0</v>
      </c>
      <c r="P6" s="227">
        <v>1</v>
      </c>
      <c r="Q6" s="209">
        <v>0</v>
      </c>
      <c r="R6" s="210">
        <v>1</v>
      </c>
      <c r="S6"/>
      <c r="T6"/>
    </row>
    <row r="7" spans="1:20" ht="15" customHeight="1" thickBot="1" x14ac:dyDescent="0.25">
      <c r="F7" t="s">
        <v>226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1</v>
      </c>
      <c r="O7" s="226">
        <v>0</v>
      </c>
      <c r="P7" s="227">
        <v>1</v>
      </c>
      <c r="Q7" s="209">
        <v>0</v>
      </c>
      <c r="R7" s="210">
        <v>1</v>
      </c>
      <c r="S7"/>
      <c r="T7"/>
    </row>
    <row r="8" spans="1:20" ht="15" customHeight="1" x14ac:dyDescent="0.2">
      <c r="A8" s="108" t="s">
        <v>56</v>
      </c>
      <c r="B8" s="114">
        <f>E32</f>
        <v>1.2941990667982505E-3</v>
      </c>
      <c r="C8" s="103" t="str">
        <f>A32</f>
        <v>Macroalgae</v>
      </c>
      <c r="D8" s="110" t="s">
        <v>164</v>
      </c>
      <c r="F8" t="s">
        <v>227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0</v>
      </c>
      <c r="N8">
        <v>1</v>
      </c>
      <c r="O8" s="226">
        <v>0</v>
      </c>
      <c r="P8" s="227">
        <v>1</v>
      </c>
      <c r="Q8" s="209">
        <v>0</v>
      </c>
      <c r="R8" s="210">
        <v>1</v>
      </c>
      <c r="S8"/>
      <c r="T8"/>
    </row>
    <row r="9" spans="1:20" ht="15" customHeight="1" x14ac:dyDescent="0.2">
      <c r="A9" s="116" t="s">
        <v>173</v>
      </c>
      <c r="B9" s="117">
        <f>E33</f>
        <v>0.45700466112762361</v>
      </c>
      <c r="C9" s="103" t="str">
        <f t="shared" ref="C9:C10" si="0">A33</f>
        <v>Lg Phytoplankton</v>
      </c>
      <c r="D9" s="110" t="s">
        <v>164</v>
      </c>
      <c r="F9" t="s">
        <v>228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0</v>
      </c>
      <c r="N9">
        <v>1</v>
      </c>
      <c r="O9" s="226">
        <v>0</v>
      </c>
      <c r="P9" s="227">
        <v>1</v>
      </c>
      <c r="Q9" s="209">
        <v>0</v>
      </c>
      <c r="R9" s="210">
        <v>1</v>
      </c>
      <c r="S9"/>
      <c r="T9"/>
    </row>
    <row r="10" spans="1:20" ht="15" customHeight="1" x14ac:dyDescent="0.2">
      <c r="B10" s="117">
        <f>E34</f>
        <v>0.5417011398055781</v>
      </c>
      <c r="C10" s="103" t="str">
        <f t="shared" si="0"/>
        <v>Sm Phytoplankton</v>
      </c>
      <c r="D10" s="110" t="s">
        <v>164</v>
      </c>
      <c r="F10" t="s">
        <v>229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0</v>
      </c>
      <c r="N10">
        <v>1</v>
      </c>
      <c r="O10" s="226">
        <v>0</v>
      </c>
      <c r="P10" s="227">
        <v>1</v>
      </c>
      <c r="Q10" s="209">
        <v>0</v>
      </c>
      <c r="R10" s="210">
        <v>1</v>
      </c>
      <c r="S10"/>
      <c r="T10"/>
    </row>
    <row r="11" spans="1:20" ht="15" customHeight="1" x14ac:dyDescent="0.2">
      <c r="A11" s="108"/>
      <c r="B11" s="117"/>
      <c r="C11" s="103"/>
      <c r="D11" s="110" t="s">
        <v>164</v>
      </c>
      <c r="F11" t="s">
        <v>230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1</v>
      </c>
      <c r="O11" s="226">
        <v>0</v>
      </c>
      <c r="P11" s="227">
        <v>1</v>
      </c>
      <c r="Q11" s="209">
        <v>0</v>
      </c>
      <c r="R11" s="210">
        <v>1</v>
      </c>
      <c r="S11"/>
      <c r="T11"/>
    </row>
    <row r="12" spans="1:20" ht="15" customHeight="1" x14ac:dyDescent="0.2">
      <c r="B12" s="117"/>
      <c r="C12" s="103"/>
      <c r="D12" s="110" t="s">
        <v>164</v>
      </c>
      <c r="F12" t="s">
        <v>231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0</v>
      </c>
      <c r="N12">
        <v>1</v>
      </c>
      <c r="O12" s="226">
        <v>0</v>
      </c>
      <c r="P12" s="227">
        <v>1</v>
      </c>
      <c r="Q12" s="209">
        <v>0</v>
      </c>
      <c r="R12" s="210">
        <v>1</v>
      </c>
      <c r="S12"/>
      <c r="T12"/>
    </row>
    <row r="13" spans="1:20" ht="15" customHeight="1" x14ac:dyDescent="0.2">
      <c r="B13" s="117"/>
      <c r="C13" s="103"/>
      <c r="D13" s="110" t="s">
        <v>164</v>
      </c>
      <c r="F13" t="s">
        <v>232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0</v>
      </c>
      <c r="N13">
        <v>1</v>
      </c>
      <c r="O13" s="226">
        <v>0</v>
      </c>
      <c r="P13" s="227">
        <v>1</v>
      </c>
      <c r="Q13" s="209">
        <v>0</v>
      </c>
      <c r="R13" s="210">
        <v>1</v>
      </c>
      <c r="S13"/>
      <c r="T13"/>
    </row>
    <row r="14" spans="1:20" ht="15" customHeight="1" x14ac:dyDescent="0.2">
      <c r="B14" s="117"/>
      <c r="C14" s="103"/>
      <c r="D14" s="110" t="s">
        <v>164</v>
      </c>
      <c r="F14" t="s">
        <v>233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1</v>
      </c>
      <c r="O14" s="226">
        <v>0</v>
      </c>
      <c r="P14" s="227">
        <v>1</v>
      </c>
      <c r="Q14" s="209">
        <v>0</v>
      </c>
      <c r="R14" s="210">
        <v>1</v>
      </c>
      <c r="S14"/>
      <c r="T14"/>
    </row>
    <row r="15" spans="1:20" ht="15" customHeight="1" x14ac:dyDescent="0.2">
      <c r="B15" s="117"/>
      <c r="C15" s="103"/>
      <c r="D15" s="110" t="s">
        <v>164</v>
      </c>
      <c r="F15" t="s">
        <v>234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1</v>
      </c>
      <c r="O15" s="226">
        <v>0</v>
      </c>
      <c r="P15" s="227">
        <v>1</v>
      </c>
      <c r="Q15" s="209">
        <v>0</v>
      </c>
      <c r="R15" s="210">
        <v>1</v>
      </c>
      <c r="S15"/>
      <c r="T15"/>
    </row>
    <row r="16" spans="1:20" ht="15" customHeight="1" x14ac:dyDescent="0.2">
      <c r="B16" s="117"/>
      <c r="C16" s="103"/>
      <c r="D16" s="110" t="s">
        <v>164</v>
      </c>
      <c r="F16" t="s">
        <v>235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 s="226">
        <v>0</v>
      </c>
      <c r="P16" s="227">
        <v>1</v>
      </c>
      <c r="Q16" s="209">
        <v>0</v>
      </c>
      <c r="R16" s="210">
        <v>1</v>
      </c>
      <c r="S16"/>
      <c r="T16"/>
    </row>
    <row r="17" spans="1:20" ht="15" customHeight="1" thickBot="1" x14ac:dyDescent="0.25">
      <c r="B17" s="115"/>
      <c r="C17" s="103"/>
      <c r="D17" s="110" t="s">
        <v>164</v>
      </c>
      <c r="F17" t="s">
        <v>236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 s="226">
        <v>0</v>
      </c>
      <c r="P17" s="227">
        <v>1</v>
      </c>
      <c r="Q17" s="209">
        <v>0</v>
      </c>
      <c r="R17" s="210">
        <v>1</v>
      </c>
      <c r="S17"/>
      <c r="T17"/>
    </row>
    <row r="18" spans="1:20" ht="15" customHeight="1" thickBot="1" x14ac:dyDescent="0.25">
      <c r="B18" s="106"/>
      <c r="F18" t="s">
        <v>237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 s="226">
        <v>0</v>
      </c>
      <c r="P18" s="227">
        <v>1</v>
      </c>
      <c r="Q18" s="209">
        <v>0</v>
      </c>
      <c r="R18" s="210">
        <v>1</v>
      </c>
      <c r="S18"/>
      <c r="T18"/>
    </row>
    <row r="19" spans="1:20" ht="15" customHeight="1" x14ac:dyDescent="0.2">
      <c r="A19" s="108" t="s">
        <v>57</v>
      </c>
      <c r="B19" s="114">
        <f>E32</f>
        <v>1.2941990667982505E-3</v>
      </c>
      <c r="C19" s="103" t="str">
        <f>A32</f>
        <v>Macroalgae</v>
      </c>
      <c r="D19" s="110" t="s">
        <v>164</v>
      </c>
      <c r="F19" t="s">
        <v>238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 s="226">
        <v>0</v>
      </c>
      <c r="P19" s="227">
        <v>1</v>
      </c>
      <c r="Q19" s="209">
        <v>0</v>
      </c>
      <c r="R19" s="210">
        <v>1</v>
      </c>
      <c r="S19"/>
      <c r="T19"/>
    </row>
    <row r="20" spans="1:20" ht="15" customHeight="1" x14ac:dyDescent="0.2">
      <c r="A20" s="116" t="s">
        <v>173</v>
      </c>
      <c r="B20" s="117">
        <f>E33</f>
        <v>0.45700466112762361</v>
      </c>
      <c r="C20" s="103" t="str">
        <f t="shared" ref="C20:C21" si="1">A33</f>
        <v>Lg Phytoplankton</v>
      </c>
      <c r="D20" s="110" t="s">
        <v>164</v>
      </c>
      <c r="F20" t="s">
        <v>239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 s="226">
        <v>0</v>
      </c>
      <c r="P20" s="227">
        <v>1</v>
      </c>
      <c r="Q20" s="209">
        <v>0</v>
      </c>
      <c r="R20" s="210">
        <v>1</v>
      </c>
      <c r="S20"/>
      <c r="T20"/>
    </row>
    <row r="21" spans="1:20" ht="15" customHeight="1" x14ac:dyDescent="0.2">
      <c r="B21" s="117">
        <f>E34</f>
        <v>0.5417011398055781</v>
      </c>
      <c r="C21" s="103" t="str">
        <f t="shared" si="1"/>
        <v>Sm Phytoplankton</v>
      </c>
      <c r="D21" s="110" t="s">
        <v>164</v>
      </c>
      <c r="F21" t="s">
        <v>240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 s="226">
        <v>0</v>
      </c>
      <c r="P21" s="227">
        <v>1</v>
      </c>
      <c r="Q21" s="209">
        <v>0</v>
      </c>
      <c r="R21" s="210">
        <v>1</v>
      </c>
      <c r="S21"/>
      <c r="T21"/>
    </row>
    <row r="22" spans="1:20" ht="15" customHeight="1" x14ac:dyDescent="0.2">
      <c r="A22" s="79"/>
      <c r="B22" s="117"/>
      <c r="C22" s="103"/>
      <c r="D22" s="110" t="s">
        <v>164</v>
      </c>
      <c r="F22" t="s">
        <v>241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 s="226">
        <v>0</v>
      </c>
      <c r="P22" s="227">
        <v>1</v>
      </c>
      <c r="Q22" s="209">
        <v>0</v>
      </c>
      <c r="R22" s="210">
        <v>1</v>
      </c>
      <c r="S22"/>
      <c r="T22"/>
    </row>
    <row r="23" spans="1:20" ht="15" customHeight="1" x14ac:dyDescent="0.2">
      <c r="A23" s="79"/>
      <c r="B23" s="117"/>
      <c r="C23" s="103"/>
      <c r="D23" s="110" t="s">
        <v>164</v>
      </c>
      <c r="F23" t="s">
        <v>242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 s="226">
        <v>0</v>
      </c>
      <c r="P23" s="227">
        <v>1</v>
      </c>
      <c r="Q23" s="209">
        <v>0</v>
      </c>
      <c r="R23" s="210">
        <v>1</v>
      </c>
      <c r="S23"/>
      <c r="T23"/>
    </row>
    <row r="24" spans="1:20" ht="15" customHeight="1" x14ac:dyDescent="0.2">
      <c r="A24" s="79"/>
      <c r="B24" s="117"/>
      <c r="C24" s="103"/>
      <c r="D24" s="110" t="s">
        <v>164</v>
      </c>
      <c r="F24" t="s">
        <v>243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 s="226">
        <v>0</v>
      </c>
      <c r="P24" s="227">
        <v>1</v>
      </c>
      <c r="Q24" s="209">
        <v>0</v>
      </c>
      <c r="R24" s="210">
        <v>1</v>
      </c>
      <c r="S24"/>
      <c r="T24"/>
    </row>
    <row r="25" spans="1:20" ht="15" customHeight="1" x14ac:dyDescent="0.2">
      <c r="A25" s="79"/>
      <c r="B25" s="117"/>
      <c r="C25" s="103"/>
      <c r="D25" s="110" t="s">
        <v>164</v>
      </c>
      <c r="F25" t="s">
        <v>244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 s="226">
        <v>0</v>
      </c>
      <c r="P25" s="227">
        <v>1</v>
      </c>
      <c r="Q25" s="209">
        <v>0</v>
      </c>
      <c r="R25" s="210">
        <v>1</v>
      </c>
      <c r="S25"/>
      <c r="T25"/>
    </row>
    <row r="26" spans="1:20" ht="15" customHeight="1" x14ac:dyDescent="0.2">
      <c r="B26" s="117"/>
      <c r="C26" s="103"/>
      <c r="D26" s="110" t="s">
        <v>164</v>
      </c>
      <c r="F26" t="s">
        <v>245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 s="226">
        <v>0</v>
      </c>
      <c r="P26" s="227">
        <v>1</v>
      </c>
      <c r="Q26" s="209">
        <v>0</v>
      </c>
      <c r="R26" s="210">
        <v>1</v>
      </c>
      <c r="S26"/>
      <c r="T26"/>
    </row>
    <row r="27" spans="1:20" ht="15" customHeight="1" x14ac:dyDescent="0.2">
      <c r="B27" s="117"/>
      <c r="C27" s="103"/>
      <c r="D27" s="110" t="s">
        <v>164</v>
      </c>
      <c r="F27" t="s">
        <v>246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 s="226">
        <v>0</v>
      </c>
      <c r="P27" s="227">
        <v>1</v>
      </c>
      <c r="Q27" s="210">
        <v>0</v>
      </c>
      <c r="R27" s="210">
        <v>1</v>
      </c>
      <c r="S27"/>
      <c r="T27"/>
    </row>
    <row r="28" spans="1:20" ht="15" customHeight="1" thickBot="1" x14ac:dyDescent="0.25">
      <c r="B28" s="115"/>
      <c r="C28" s="103"/>
      <c r="D28" s="110" t="s">
        <v>164</v>
      </c>
      <c r="F28" t="s">
        <v>247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 s="226">
        <v>0</v>
      </c>
      <c r="P28" s="227">
        <v>1</v>
      </c>
      <c r="Q28" s="210">
        <v>0</v>
      </c>
      <c r="R28" s="210">
        <v>1</v>
      </c>
      <c r="S28"/>
      <c r="T28"/>
    </row>
    <row r="29" spans="1:20" ht="15" customHeight="1" x14ac:dyDescent="0.2">
      <c r="F29" t="s">
        <v>248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 s="226">
        <v>0</v>
      </c>
      <c r="P29" s="227">
        <v>1</v>
      </c>
      <c r="Q29" s="209">
        <v>0</v>
      </c>
      <c r="R29" s="210">
        <v>1</v>
      </c>
      <c r="S29"/>
      <c r="T29"/>
    </row>
    <row r="30" spans="1:20" ht="15" customHeight="1" x14ac:dyDescent="0.2">
      <c r="F30" t="s">
        <v>249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 s="226">
        <v>0</v>
      </c>
      <c r="P30" s="227">
        <v>1</v>
      </c>
      <c r="Q30" s="209">
        <v>0</v>
      </c>
      <c r="R30" s="210">
        <v>1</v>
      </c>
      <c r="S30"/>
      <c r="T30"/>
    </row>
    <row r="31" spans="1:20" ht="15" customHeight="1" x14ac:dyDescent="0.2">
      <c r="A31" s="118"/>
      <c r="B31" s="119" t="s">
        <v>17</v>
      </c>
      <c r="C31" s="119" t="s">
        <v>1</v>
      </c>
      <c r="D31" s="119" t="s">
        <v>166</v>
      </c>
      <c r="E31" s="120" t="s">
        <v>168</v>
      </c>
      <c r="F31" t="s">
        <v>250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 s="226">
        <v>0</v>
      </c>
      <c r="P31" s="227">
        <v>1</v>
      </c>
      <c r="Q31" s="209">
        <v>0</v>
      </c>
      <c r="R31" s="210">
        <v>1</v>
      </c>
      <c r="S31"/>
      <c r="T31"/>
    </row>
    <row r="32" spans="1:20" ht="15" customHeight="1" x14ac:dyDescent="0.2">
      <c r="A32" s="106" t="str">
        <f>MainOutputs!B117</f>
        <v>Macroalgae</v>
      </c>
      <c r="B32" s="106">
        <f>MainOutputs!D117</f>
        <v>0.97190713882446289</v>
      </c>
      <c r="C32" s="106">
        <f>MainOutputs!E117</f>
        <v>4</v>
      </c>
      <c r="D32" s="106">
        <f>B32*C32</f>
        <v>3.8876285552978516</v>
      </c>
      <c r="E32" s="121">
        <f>D32/D$42</f>
        <v>1.2941990667982505E-3</v>
      </c>
      <c r="F32" t="s">
        <v>251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 s="225">
        <v>0</v>
      </c>
      <c r="P32" s="225">
        <v>1</v>
      </c>
      <c r="Q32" s="209">
        <v>0</v>
      </c>
      <c r="R32" s="210">
        <v>1</v>
      </c>
      <c r="S32"/>
      <c r="T32"/>
    </row>
    <row r="33" spans="1:20" ht="15" customHeight="1" x14ac:dyDescent="0.2">
      <c r="A33" s="106" t="str">
        <f>MainOutputs!B118</f>
        <v>Lg Phytoplankton</v>
      </c>
      <c r="B33" s="106">
        <f>MainOutputs!D118</f>
        <v>15.725729942321777</v>
      </c>
      <c r="C33" s="106">
        <f>MainOutputs!E118</f>
        <v>87.295829772949219</v>
      </c>
      <c r="D33" s="106">
        <f t="shared" ref="D33:D34" si="2">B33*C33</f>
        <v>1372.7906441002924</v>
      </c>
      <c r="E33" s="121">
        <f t="shared" ref="E33:E34" si="3">D33/D$42</f>
        <v>0.45700466112762361</v>
      </c>
      <c r="F33" t="s">
        <v>252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 s="225">
        <v>1</v>
      </c>
      <c r="P33" s="225">
        <v>0</v>
      </c>
      <c r="Q33" s="209">
        <v>0</v>
      </c>
      <c r="R33" s="210">
        <v>1</v>
      </c>
      <c r="S33"/>
      <c r="T33"/>
    </row>
    <row r="34" spans="1:20" ht="15" customHeight="1" x14ac:dyDescent="0.2">
      <c r="A34" s="106" t="str">
        <f>MainOutputs!B119</f>
        <v>Sm Phytoplankton</v>
      </c>
      <c r="B34" s="106">
        <f>MainOutputs!D119</f>
        <v>19.887470245361328</v>
      </c>
      <c r="C34" s="106">
        <f>MainOutputs!E119</f>
        <v>81.820831298828125</v>
      </c>
      <c r="D34" s="106">
        <f t="shared" si="2"/>
        <v>1627.2093479061732</v>
      </c>
      <c r="E34" s="121">
        <f t="shared" si="3"/>
        <v>0.5417011398055781</v>
      </c>
      <c r="F34" t="s">
        <v>253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 s="225">
        <v>0.5</v>
      </c>
      <c r="P34" s="225">
        <v>0.5</v>
      </c>
      <c r="Q34" s="209">
        <v>0</v>
      </c>
      <c r="R34" s="210">
        <v>1</v>
      </c>
      <c r="S34"/>
      <c r="T34"/>
    </row>
    <row r="35" spans="1:20" ht="15" customHeight="1" x14ac:dyDescent="0.2">
      <c r="A35" s="106"/>
      <c r="B35" s="106"/>
      <c r="C35" s="106"/>
      <c r="D35" s="106"/>
      <c r="E35" s="121"/>
      <c r="F35" t="s">
        <v>254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 s="225">
        <v>1</v>
      </c>
      <c r="P35" s="225">
        <v>0</v>
      </c>
      <c r="Q35" s="209">
        <v>0</v>
      </c>
      <c r="R35" s="210">
        <v>1</v>
      </c>
      <c r="S35"/>
      <c r="T35"/>
    </row>
    <row r="36" spans="1:20" ht="15" customHeight="1" x14ac:dyDescent="0.2">
      <c r="A36" s="122"/>
      <c r="B36" s="106"/>
      <c r="C36" s="106"/>
      <c r="D36" s="106"/>
      <c r="E36" s="121"/>
      <c r="F36" t="s">
        <v>177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 s="225">
        <v>1</v>
      </c>
      <c r="P36" s="225">
        <v>0</v>
      </c>
      <c r="Q36" s="209">
        <v>0</v>
      </c>
      <c r="R36" s="210">
        <v>1</v>
      </c>
      <c r="S36"/>
      <c r="T36"/>
    </row>
    <row r="37" spans="1:20" ht="15" customHeight="1" x14ac:dyDescent="0.2">
      <c r="A37" s="122"/>
      <c r="B37" s="106"/>
      <c r="C37" s="106"/>
      <c r="D37" s="106"/>
      <c r="E37" s="121"/>
      <c r="F37" t="s">
        <v>255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 s="225">
        <v>1</v>
      </c>
      <c r="P37" s="225">
        <v>0</v>
      </c>
      <c r="Q37" s="209">
        <v>0</v>
      </c>
      <c r="R37" s="210">
        <v>1</v>
      </c>
      <c r="S37"/>
      <c r="T37"/>
    </row>
    <row r="38" spans="1:20" ht="15" customHeight="1" x14ac:dyDescent="0.2">
      <c r="A38" s="123"/>
      <c r="B38" s="106"/>
      <c r="C38" s="106"/>
      <c r="D38" s="106"/>
      <c r="E38" s="121"/>
      <c r="F38" t="s">
        <v>256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 s="225">
        <v>1</v>
      </c>
      <c r="P38" s="225">
        <v>0</v>
      </c>
      <c r="Q38" s="209">
        <v>0</v>
      </c>
      <c r="R38" s="210">
        <v>1</v>
      </c>
      <c r="S38"/>
      <c r="T38"/>
    </row>
    <row r="39" spans="1:20" ht="15" customHeight="1" x14ac:dyDescent="0.2">
      <c r="A39" s="123"/>
      <c r="B39" s="106"/>
      <c r="C39" s="106"/>
      <c r="D39" s="106"/>
      <c r="E39" s="121"/>
      <c r="F39" t="s">
        <v>257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 s="225">
        <v>1</v>
      </c>
      <c r="P39" s="225">
        <v>0</v>
      </c>
      <c r="Q39" s="209">
        <v>0</v>
      </c>
      <c r="R39" s="210">
        <v>1</v>
      </c>
      <c r="S39"/>
      <c r="T39"/>
    </row>
    <row r="40" spans="1:20" ht="15" customHeight="1" x14ac:dyDescent="0.2">
      <c r="A40" s="123"/>
      <c r="B40" s="106"/>
      <c r="C40" s="106"/>
      <c r="D40" s="106"/>
      <c r="E40" s="121"/>
      <c r="F40" t="s">
        <v>178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 s="225">
        <v>1</v>
      </c>
      <c r="P40" s="225">
        <v>0</v>
      </c>
      <c r="Q40" s="209">
        <v>0</v>
      </c>
      <c r="R40" s="210">
        <v>1</v>
      </c>
      <c r="S40"/>
      <c r="T40"/>
    </row>
    <row r="41" spans="1:20" ht="15" customHeight="1" thickBot="1" x14ac:dyDescent="0.25">
      <c r="A41" s="123"/>
      <c r="B41" s="106"/>
      <c r="C41" s="106"/>
      <c r="D41" s="124"/>
      <c r="E41" s="125"/>
      <c r="F41" t="s">
        <v>258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 s="225">
        <v>1</v>
      </c>
      <c r="P41" s="225">
        <v>0</v>
      </c>
      <c r="Q41" s="209">
        <v>0</v>
      </c>
      <c r="R41" s="210">
        <v>1</v>
      </c>
      <c r="S41"/>
      <c r="T41"/>
    </row>
    <row r="42" spans="1:20" ht="15" customHeight="1" x14ac:dyDescent="0.2">
      <c r="A42" s="126"/>
      <c r="B42" s="127"/>
      <c r="C42" s="127" t="s">
        <v>167</v>
      </c>
      <c r="D42" s="127">
        <f>SUM(D32:D41)</f>
        <v>3003.8876205617635</v>
      </c>
      <c r="E42" s="128">
        <f>SUM(E32:E41)</f>
        <v>1</v>
      </c>
      <c r="F42" t="s">
        <v>179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 s="225">
        <v>0.5</v>
      </c>
      <c r="P42" s="225">
        <v>0.5</v>
      </c>
      <c r="Q42" s="209">
        <v>0</v>
      </c>
      <c r="R42" s="210">
        <v>1</v>
      </c>
      <c r="S42"/>
      <c r="T42"/>
    </row>
    <row r="43" spans="1:20" ht="15" customHeight="1" x14ac:dyDescent="0.2">
      <c r="A43" s="79"/>
      <c r="F43" t="s">
        <v>259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 s="225">
        <v>1</v>
      </c>
      <c r="P43" s="225">
        <v>0</v>
      </c>
      <c r="Q43" s="209">
        <v>0</v>
      </c>
      <c r="R43" s="210">
        <v>1</v>
      </c>
      <c r="S43"/>
      <c r="T43"/>
    </row>
    <row r="44" spans="1:20" ht="15" customHeight="1" x14ac:dyDescent="0.2">
      <c r="A44" s="79"/>
      <c r="F44" t="s">
        <v>260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 s="225">
        <v>0.5</v>
      </c>
      <c r="P44" s="225">
        <v>0.5</v>
      </c>
      <c r="Q44" s="209">
        <v>0</v>
      </c>
      <c r="R44" s="210">
        <v>1</v>
      </c>
      <c r="S44"/>
      <c r="T44"/>
    </row>
    <row r="45" spans="1:20" ht="15" customHeight="1" x14ac:dyDescent="0.2">
      <c r="A45" s="79"/>
      <c r="F45" t="s">
        <v>261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 s="225">
        <v>0.25</v>
      </c>
      <c r="P45" s="225">
        <v>0.75</v>
      </c>
      <c r="Q45" s="209">
        <v>0</v>
      </c>
      <c r="R45" s="210">
        <v>1</v>
      </c>
      <c r="S45"/>
      <c r="T45"/>
    </row>
    <row r="46" spans="1:20" ht="15" customHeight="1" x14ac:dyDescent="0.2">
      <c r="A46" s="79"/>
      <c r="F46" t="s">
        <v>262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 s="225">
        <v>1</v>
      </c>
      <c r="P46" s="225">
        <v>0</v>
      </c>
      <c r="Q46" s="209">
        <v>0</v>
      </c>
      <c r="R46" s="210">
        <v>1</v>
      </c>
      <c r="S46"/>
      <c r="T46"/>
    </row>
    <row r="47" spans="1:20" ht="15" customHeight="1" x14ac:dyDescent="0.2">
      <c r="A47" s="79"/>
      <c r="F47" t="s">
        <v>263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 s="225">
        <v>0.25</v>
      </c>
      <c r="P47" s="225">
        <v>0.75</v>
      </c>
      <c r="Q47" s="209">
        <v>0</v>
      </c>
      <c r="R47" s="210">
        <v>1</v>
      </c>
      <c r="S47"/>
      <c r="T47"/>
    </row>
    <row r="48" spans="1:20" ht="15" customHeight="1" x14ac:dyDescent="0.2">
      <c r="A48" s="79"/>
      <c r="F48" t="s">
        <v>264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 s="225">
        <v>0.25</v>
      </c>
      <c r="P48" s="225">
        <v>0.75</v>
      </c>
      <c r="Q48" s="209">
        <v>0</v>
      </c>
      <c r="R48" s="210">
        <v>1</v>
      </c>
      <c r="S48"/>
      <c r="T48"/>
    </row>
    <row r="49" spans="1:23" ht="15" customHeight="1" x14ac:dyDescent="0.2">
      <c r="A49" s="79"/>
      <c r="E49"/>
      <c r="F49" t="s">
        <v>265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 s="225">
        <v>0.25</v>
      </c>
      <c r="P49" s="225">
        <v>0.75</v>
      </c>
      <c r="Q49" s="209">
        <v>0</v>
      </c>
      <c r="R49" s="210">
        <v>1</v>
      </c>
      <c r="S49"/>
      <c r="T49"/>
      <c r="U49"/>
      <c r="V49"/>
      <c r="W49"/>
    </row>
    <row r="50" spans="1:23" ht="15" customHeight="1" x14ac:dyDescent="0.2">
      <c r="A50" s="79"/>
      <c r="E50"/>
      <c r="F50" t="s">
        <v>266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 s="225">
        <v>0.25</v>
      </c>
      <c r="P50" s="225">
        <v>0.75</v>
      </c>
      <c r="Q50" s="209">
        <v>0</v>
      </c>
      <c r="R50" s="210">
        <v>1</v>
      </c>
      <c r="S50"/>
      <c r="T50"/>
      <c r="U50"/>
      <c r="V50"/>
      <c r="W50"/>
    </row>
    <row r="51" spans="1:23" ht="15" customHeight="1" x14ac:dyDescent="0.2">
      <c r="E51"/>
      <c r="F51" t="s">
        <v>267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 s="225">
        <v>0.25</v>
      </c>
      <c r="P51" s="225">
        <v>0.75</v>
      </c>
      <c r="Q51" s="209">
        <v>0</v>
      </c>
      <c r="R51" s="210">
        <v>1</v>
      </c>
      <c r="S51"/>
      <c r="T51"/>
      <c r="U51"/>
      <c r="V51"/>
      <c r="W51"/>
    </row>
    <row r="52" spans="1:23" ht="15" customHeight="1" x14ac:dyDescent="0.2">
      <c r="E52"/>
      <c r="F52" t="s">
        <v>268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 s="225">
        <v>0.25</v>
      </c>
      <c r="P52" s="225">
        <v>0.75</v>
      </c>
      <c r="Q52" s="209">
        <v>0</v>
      </c>
      <c r="R52" s="210">
        <v>1</v>
      </c>
      <c r="S52"/>
      <c r="T52"/>
      <c r="U52"/>
      <c r="V52"/>
      <c r="W52"/>
    </row>
    <row r="53" spans="1:23" ht="15" customHeight="1" x14ac:dyDescent="0.2">
      <c r="A53" s="79"/>
      <c r="E53"/>
      <c r="F53" t="s">
        <v>269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 s="225">
        <v>0.25</v>
      </c>
      <c r="P53" s="225">
        <v>0.75</v>
      </c>
      <c r="Q53" s="209">
        <v>0</v>
      </c>
      <c r="R53" s="210">
        <v>1</v>
      </c>
      <c r="S53"/>
      <c r="T53"/>
      <c r="U53"/>
      <c r="V53"/>
      <c r="W53"/>
    </row>
    <row r="54" spans="1:23" ht="15" customHeight="1" x14ac:dyDescent="0.2">
      <c r="A54" s="79"/>
      <c r="E54"/>
      <c r="F54" t="s">
        <v>270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 s="225">
        <v>0.25</v>
      </c>
      <c r="P54" s="225">
        <v>0.75</v>
      </c>
      <c r="Q54" s="209">
        <v>0</v>
      </c>
      <c r="R54" s="210">
        <v>1</v>
      </c>
      <c r="S54"/>
      <c r="T54"/>
      <c r="U54"/>
      <c r="V54"/>
      <c r="W54"/>
    </row>
    <row r="55" spans="1:23" ht="15" customHeight="1" x14ac:dyDescent="0.2">
      <c r="A55" s="79"/>
      <c r="E55"/>
      <c r="F55" t="s">
        <v>271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</v>
      </c>
      <c r="O55" s="225">
        <v>0.25</v>
      </c>
      <c r="P55" s="225">
        <v>0.75</v>
      </c>
      <c r="Q55" s="209">
        <v>0</v>
      </c>
      <c r="R55" s="210">
        <v>1</v>
      </c>
      <c r="S55"/>
      <c r="T55"/>
      <c r="U55"/>
      <c r="V55"/>
      <c r="W55"/>
    </row>
    <row r="56" spans="1:23" ht="15" customHeight="1" x14ac:dyDescent="0.2">
      <c r="A56" s="79"/>
      <c r="E56"/>
      <c r="F56" t="s">
        <v>272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 s="225">
        <v>0.25</v>
      </c>
      <c r="P56" s="225">
        <v>0.75</v>
      </c>
      <c r="Q56" s="209">
        <v>0</v>
      </c>
      <c r="R56" s="210">
        <v>1</v>
      </c>
      <c r="S56"/>
      <c r="T56"/>
      <c r="U56"/>
      <c r="V56"/>
      <c r="W56"/>
    </row>
    <row r="57" spans="1:23" ht="15" customHeight="1" x14ac:dyDescent="0.2">
      <c r="A57" s="79"/>
      <c r="E57"/>
      <c r="F57" t="s">
        <v>273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1</v>
      </c>
      <c r="O57" s="225">
        <v>1</v>
      </c>
      <c r="P57" s="225">
        <v>0</v>
      </c>
      <c r="Q57" s="209">
        <v>0</v>
      </c>
      <c r="R57" s="210">
        <v>1</v>
      </c>
      <c r="S57"/>
      <c r="T57"/>
      <c r="U57"/>
      <c r="V57"/>
      <c r="W57"/>
    </row>
    <row r="58" spans="1:23" ht="15" customHeight="1" x14ac:dyDescent="0.2">
      <c r="A58" s="79"/>
      <c r="E58"/>
      <c r="F58" t="s">
        <v>274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1</v>
      </c>
      <c r="O58" s="225">
        <v>0.75</v>
      </c>
      <c r="P58" s="225">
        <v>0.25</v>
      </c>
      <c r="Q58" s="209">
        <v>0</v>
      </c>
      <c r="R58" s="210">
        <v>1</v>
      </c>
      <c r="S58"/>
      <c r="T58"/>
      <c r="U58"/>
      <c r="V58"/>
      <c r="W58"/>
    </row>
    <row r="59" spans="1:23" ht="15" customHeight="1" x14ac:dyDescent="0.2">
      <c r="A59" s="79"/>
      <c r="E59"/>
      <c r="F59" t="s">
        <v>275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1</v>
      </c>
      <c r="O59" s="225">
        <v>0.25</v>
      </c>
      <c r="P59" s="225">
        <v>0.75</v>
      </c>
      <c r="Q59" s="209">
        <v>0</v>
      </c>
      <c r="R59" s="210">
        <v>1</v>
      </c>
      <c r="S59"/>
      <c r="T59"/>
      <c r="U59"/>
      <c r="V59"/>
      <c r="W59"/>
    </row>
    <row r="60" spans="1:23" ht="15" customHeight="1" x14ac:dyDescent="0.2">
      <c r="A60" s="79"/>
      <c r="E60"/>
      <c r="F60" t="s">
        <v>276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1</v>
      </c>
      <c r="O60" s="225">
        <v>0.25</v>
      </c>
      <c r="P60" s="225">
        <v>0.75</v>
      </c>
      <c r="Q60" s="209">
        <v>0</v>
      </c>
      <c r="R60" s="210">
        <v>1</v>
      </c>
      <c r="S60"/>
      <c r="T60"/>
      <c r="U60"/>
      <c r="V60"/>
      <c r="W60"/>
    </row>
    <row r="61" spans="1:23" ht="15" customHeight="1" x14ac:dyDescent="0.2">
      <c r="A61" s="79"/>
      <c r="F61" t="s">
        <v>277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 s="225">
        <v>0</v>
      </c>
      <c r="P61" s="225">
        <v>1</v>
      </c>
      <c r="Q61" s="209">
        <v>0</v>
      </c>
      <c r="R61" s="210">
        <v>1</v>
      </c>
      <c r="S61"/>
      <c r="T61"/>
    </row>
    <row r="62" spans="1:23" ht="15" customHeight="1" x14ac:dyDescent="0.2">
      <c r="A62" s="79"/>
      <c r="F62" t="s">
        <v>278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1</v>
      </c>
      <c r="O62" s="225">
        <v>1</v>
      </c>
      <c r="P62" s="225">
        <v>0</v>
      </c>
      <c r="Q62" s="209">
        <v>0</v>
      </c>
      <c r="R62" s="210">
        <v>1</v>
      </c>
      <c r="S62"/>
      <c r="T62"/>
    </row>
    <row r="63" spans="1:23" ht="15" customHeight="1" x14ac:dyDescent="0.2">
      <c r="A63" s="79"/>
      <c r="F63" t="s">
        <v>279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1</v>
      </c>
      <c r="O63" s="225">
        <v>1</v>
      </c>
      <c r="P63" s="225">
        <v>0</v>
      </c>
      <c r="Q63" s="209">
        <v>0</v>
      </c>
      <c r="R63" s="210">
        <v>1</v>
      </c>
      <c r="S63"/>
      <c r="T63"/>
    </row>
    <row r="64" spans="1:23" ht="15" customHeight="1" x14ac:dyDescent="0.2">
      <c r="A64" s="79"/>
      <c r="F64" t="s">
        <v>280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1</v>
      </c>
      <c r="O64" s="225">
        <v>1</v>
      </c>
      <c r="P64" s="225">
        <v>0</v>
      </c>
      <c r="Q64" s="209">
        <v>0</v>
      </c>
      <c r="R64" s="210">
        <v>1</v>
      </c>
      <c r="S64"/>
      <c r="T64"/>
    </row>
    <row r="65" spans="1:20" ht="15" customHeight="1" x14ac:dyDescent="0.2">
      <c r="F65" t="s">
        <v>281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1</v>
      </c>
      <c r="O65" s="225">
        <v>0.75</v>
      </c>
      <c r="P65" s="225">
        <v>0.25</v>
      </c>
      <c r="Q65" s="209">
        <v>0</v>
      </c>
      <c r="R65" s="210">
        <v>1</v>
      </c>
      <c r="S65"/>
      <c r="T65"/>
    </row>
    <row r="66" spans="1:20" ht="15" customHeight="1" x14ac:dyDescent="0.2">
      <c r="F66" t="s">
        <v>282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1</v>
      </c>
      <c r="O66" s="225">
        <v>0.75</v>
      </c>
      <c r="P66" s="225">
        <v>0.25</v>
      </c>
      <c r="Q66" s="209">
        <v>0</v>
      </c>
      <c r="R66" s="210">
        <v>1</v>
      </c>
      <c r="S66"/>
      <c r="T66"/>
    </row>
    <row r="67" spans="1:20" ht="15" customHeight="1" x14ac:dyDescent="0.2">
      <c r="F67" t="s">
        <v>283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1</v>
      </c>
      <c r="O67">
        <v>0.25</v>
      </c>
      <c r="P67">
        <v>0.75</v>
      </c>
      <c r="Q67" s="209">
        <v>0</v>
      </c>
      <c r="R67" s="210">
        <v>1</v>
      </c>
      <c r="S67"/>
      <c r="T67"/>
    </row>
    <row r="68" spans="1:20" ht="15" customHeight="1" x14ac:dyDescent="0.2">
      <c r="F68" t="s">
        <v>284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1</v>
      </c>
      <c r="O68">
        <v>0.25</v>
      </c>
      <c r="P68">
        <v>0.75</v>
      </c>
      <c r="Q68" s="209">
        <v>0</v>
      </c>
      <c r="R68" s="210">
        <v>1</v>
      </c>
      <c r="S68"/>
      <c r="T68"/>
    </row>
    <row r="69" spans="1:20" ht="15" customHeight="1" x14ac:dyDescent="0.2">
      <c r="F69" t="s">
        <v>285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1</v>
      </c>
      <c r="O69">
        <v>0.25</v>
      </c>
      <c r="P69">
        <v>0.75</v>
      </c>
      <c r="Q69" s="209">
        <v>0</v>
      </c>
      <c r="R69" s="210">
        <v>1</v>
      </c>
      <c r="S69"/>
      <c r="T69"/>
    </row>
    <row r="70" spans="1:20" ht="15" customHeight="1" x14ac:dyDescent="0.2">
      <c r="F70" t="s">
        <v>286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1</v>
      </c>
      <c r="O70">
        <v>0.25</v>
      </c>
      <c r="P70">
        <v>0.75</v>
      </c>
      <c r="Q70" s="209">
        <v>0</v>
      </c>
      <c r="R70" s="210">
        <v>1</v>
      </c>
      <c r="S70"/>
      <c r="T70"/>
    </row>
    <row r="71" spans="1:20" ht="15" customHeight="1" x14ac:dyDescent="0.2">
      <c r="F71" t="s">
        <v>287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1</v>
      </c>
      <c r="O71">
        <v>0.25</v>
      </c>
      <c r="P71">
        <v>0.75</v>
      </c>
      <c r="Q71" s="209">
        <v>0</v>
      </c>
      <c r="R71" s="210">
        <v>1</v>
      </c>
      <c r="S71"/>
      <c r="T71"/>
    </row>
    <row r="72" spans="1:20" ht="15" customHeight="1" x14ac:dyDescent="0.2">
      <c r="F72" t="s">
        <v>288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1</v>
      </c>
      <c r="O72">
        <v>1</v>
      </c>
      <c r="P72">
        <v>0</v>
      </c>
      <c r="Q72" s="209">
        <v>0</v>
      </c>
      <c r="R72" s="210">
        <v>1</v>
      </c>
      <c r="S72"/>
      <c r="T72"/>
    </row>
    <row r="73" spans="1:20" ht="15" customHeight="1" x14ac:dyDescent="0.2">
      <c r="F73" t="s">
        <v>289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1</v>
      </c>
      <c r="O73">
        <v>1</v>
      </c>
      <c r="P73">
        <v>0</v>
      </c>
      <c r="Q73" s="209">
        <v>0</v>
      </c>
      <c r="R73" s="210">
        <v>1</v>
      </c>
      <c r="S73"/>
      <c r="T73"/>
    </row>
    <row r="74" spans="1:20" ht="15" customHeight="1" x14ac:dyDescent="0.2">
      <c r="F74" t="s">
        <v>290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1</v>
      </c>
      <c r="O74">
        <v>0.75</v>
      </c>
      <c r="P74">
        <v>0.25</v>
      </c>
      <c r="Q74" s="209">
        <v>0</v>
      </c>
      <c r="R74" s="210">
        <v>1</v>
      </c>
      <c r="S74"/>
      <c r="T74"/>
    </row>
    <row r="75" spans="1:20" ht="15" customHeight="1" x14ac:dyDescent="0.2">
      <c r="F75" t="s">
        <v>291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1</v>
      </c>
      <c r="O75">
        <v>0.25</v>
      </c>
      <c r="P75">
        <v>0.75</v>
      </c>
      <c r="Q75" s="209">
        <v>0</v>
      </c>
      <c r="R75" s="210">
        <v>1</v>
      </c>
      <c r="S75"/>
      <c r="T75"/>
    </row>
    <row r="76" spans="1:20" ht="15" customHeight="1" x14ac:dyDescent="0.2">
      <c r="A76" s="79"/>
      <c r="F76" t="s">
        <v>180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1</v>
      </c>
      <c r="O76">
        <v>0.25</v>
      </c>
      <c r="P76">
        <v>0.75</v>
      </c>
      <c r="Q76" s="209">
        <v>0</v>
      </c>
      <c r="R76" s="210">
        <v>1</v>
      </c>
      <c r="S76"/>
      <c r="T76"/>
    </row>
    <row r="77" spans="1:20" ht="15" customHeight="1" x14ac:dyDescent="0.2">
      <c r="A77" s="79"/>
      <c r="F77" t="s">
        <v>292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1</v>
      </c>
      <c r="O77">
        <v>0.75</v>
      </c>
      <c r="P77">
        <v>0.25</v>
      </c>
      <c r="Q77" s="209">
        <v>0</v>
      </c>
      <c r="R77" s="210">
        <v>1</v>
      </c>
      <c r="S77"/>
      <c r="T77"/>
    </row>
    <row r="78" spans="1:20" ht="15" customHeight="1" x14ac:dyDescent="0.2">
      <c r="A78" s="79"/>
      <c r="F78" t="s">
        <v>293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0</v>
      </c>
      <c r="P78">
        <v>1</v>
      </c>
      <c r="Q78" s="209">
        <v>0</v>
      </c>
      <c r="R78" s="210">
        <v>1</v>
      </c>
      <c r="S78"/>
      <c r="T78"/>
    </row>
    <row r="79" spans="1:20" ht="15" customHeight="1" x14ac:dyDescent="0.2">
      <c r="A79" s="79"/>
      <c r="F79" t="s">
        <v>294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1</v>
      </c>
      <c r="O79">
        <v>0.5</v>
      </c>
      <c r="P79">
        <v>0.5</v>
      </c>
      <c r="Q79" s="209">
        <v>0</v>
      </c>
      <c r="R79" s="210">
        <v>1</v>
      </c>
      <c r="S79"/>
      <c r="T79"/>
    </row>
    <row r="80" spans="1:20" ht="15" customHeight="1" x14ac:dyDescent="0.2">
      <c r="A80" s="79"/>
      <c r="F80" t="s">
        <v>295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1</v>
      </c>
      <c r="O80">
        <v>1</v>
      </c>
      <c r="P80">
        <v>0</v>
      </c>
      <c r="Q80" s="209">
        <v>0</v>
      </c>
      <c r="R80" s="210">
        <v>1</v>
      </c>
      <c r="S80"/>
      <c r="T80"/>
    </row>
    <row r="81" spans="1:20" ht="15" customHeight="1" x14ac:dyDescent="0.2">
      <c r="A81" s="79"/>
      <c r="F81" t="s">
        <v>296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1</v>
      </c>
      <c r="O81">
        <v>1</v>
      </c>
      <c r="P81">
        <v>0</v>
      </c>
      <c r="Q81" s="209">
        <v>0</v>
      </c>
      <c r="R81" s="210">
        <v>1</v>
      </c>
      <c r="S81"/>
      <c r="T81"/>
    </row>
    <row r="82" spans="1:20" ht="15" customHeight="1" x14ac:dyDescent="0.2">
      <c r="A82" s="79"/>
      <c r="F82" t="s">
        <v>297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1</v>
      </c>
      <c r="O82">
        <v>0</v>
      </c>
      <c r="P82">
        <v>1</v>
      </c>
      <c r="Q82" s="209">
        <v>0</v>
      </c>
      <c r="R82" s="210">
        <v>1</v>
      </c>
      <c r="S82"/>
      <c r="T82"/>
    </row>
    <row r="83" spans="1:20" ht="15" customHeight="1" x14ac:dyDescent="0.2">
      <c r="A83" s="79"/>
      <c r="F83" t="s">
        <v>298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1</v>
      </c>
      <c r="O83">
        <v>0.25</v>
      </c>
      <c r="P83">
        <v>0.75</v>
      </c>
      <c r="Q83" s="209">
        <v>0</v>
      </c>
      <c r="R83" s="210">
        <v>1</v>
      </c>
      <c r="S83"/>
      <c r="T83"/>
    </row>
    <row r="84" spans="1:20" ht="15" customHeight="1" x14ac:dyDescent="0.2">
      <c r="A84" s="79"/>
      <c r="F84" t="s">
        <v>299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1</v>
      </c>
      <c r="O84">
        <v>1</v>
      </c>
      <c r="P84">
        <v>0</v>
      </c>
      <c r="Q84" s="209">
        <v>0</v>
      </c>
      <c r="R84" s="210">
        <v>1</v>
      </c>
      <c r="S84"/>
      <c r="T84"/>
    </row>
    <row r="85" spans="1:20" ht="15" customHeight="1" x14ac:dyDescent="0.2">
      <c r="A85" s="79"/>
      <c r="F85" t="s">
        <v>300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1</v>
      </c>
      <c r="O85">
        <v>1</v>
      </c>
      <c r="P85">
        <v>0</v>
      </c>
      <c r="Q85" s="209">
        <v>0</v>
      </c>
      <c r="R85" s="210">
        <v>1</v>
      </c>
      <c r="S85"/>
      <c r="T85"/>
    </row>
    <row r="86" spans="1:20" ht="15" customHeight="1" x14ac:dyDescent="0.2">
      <c r="A86" s="79"/>
      <c r="F86" t="s">
        <v>301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1</v>
      </c>
      <c r="O86">
        <v>1</v>
      </c>
      <c r="P86">
        <v>0</v>
      </c>
      <c r="Q86" s="209">
        <v>0</v>
      </c>
      <c r="R86" s="210">
        <v>1</v>
      </c>
      <c r="S86"/>
      <c r="T86"/>
    </row>
    <row r="87" spans="1:20" ht="15" customHeight="1" x14ac:dyDescent="0.2">
      <c r="A87" s="79"/>
      <c r="F87" t="s">
        <v>302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1</v>
      </c>
      <c r="O87">
        <v>1</v>
      </c>
      <c r="P87">
        <v>0</v>
      </c>
      <c r="Q87" s="209">
        <v>0</v>
      </c>
      <c r="R87" s="210">
        <v>1</v>
      </c>
      <c r="S87"/>
      <c r="T87"/>
    </row>
    <row r="88" spans="1:20" ht="15" customHeight="1" x14ac:dyDescent="0.2">
      <c r="A88" s="79"/>
      <c r="F88" t="s">
        <v>303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1</v>
      </c>
      <c r="O88">
        <v>1</v>
      </c>
      <c r="P88">
        <v>0</v>
      </c>
      <c r="Q88" s="209">
        <v>0</v>
      </c>
      <c r="R88" s="210">
        <v>1</v>
      </c>
      <c r="S88"/>
      <c r="T88"/>
    </row>
    <row r="89" spans="1:20" ht="15" customHeight="1" x14ac:dyDescent="0.2">
      <c r="A89" s="79"/>
      <c r="F89" t="s">
        <v>304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1</v>
      </c>
      <c r="O89">
        <v>0</v>
      </c>
      <c r="P89">
        <v>1</v>
      </c>
      <c r="Q89" s="209">
        <v>0</v>
      </c>
      <c r="R89" s="210">
        <v>1</v>
      </c>
      <c r="S89"/>
      <c r="T89"/>
    </row>
    <row r="90" spans="1:20" ht="15" customHeight="1" x14ac:dyDescent="0.2">
      <c r="A90" s="79"/>
      <c r="F90" t="s">
        <v>305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1</v>
      </c>
      <c r="O90">
        <v>0</v>
      </c>
      <c r="P90">
        <v>1</v>
      </c>
      <c r="Q90" s="209">
        <v>0</v>
      </c>
      <c r="R90" s="210">
        <v>1</v>
      </c>
      <c r="S90"/>
      <c r="T90"/>
    </row>
    <row r="91" spans="1:20" ht="15" customHeight="1" x14ac:dyDescent="0.2">
      <c r="A91" s="79"/>
      <c r="F91" t="s">
        <v>306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1</v>
      </c>
      <c r="O91">
        <v>0</v>
      </c>
      <c r="P91">
        <v>1</v>
      </c>
      <c r="Q91" s="209">
        <v>0</v>
      </c>
      <c r="R91" s="210">
        <v>1</v>
      </c>
      <c r="S91"/>
      <c r="T91"/>
    </row>
    <row r="92" spans="1:20" ht="15" customHeight="1" x14ac:dyDescent="0.2">
      <c r="A92" s="79"/>
      <c r="F92" t="s">
        <v>307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1</v>
      </c>
      <c r="O92">
        <v>0</v>
      </c>
      <c r="P92">
        <v>1</v>
      </c>
      <c r="Q92" s="209">
        <v>0</v>
      </c>
      <c r="R92" s="210">
        <v>1</v>
      </c>
      <c r="S92"/>
      <c r="T92"/>
    </row>
    <row r="93" spans="1:20" ht="15" customHeight="1" x14ac:dyDescent="0.2">
      <c r="A93" s="79"/>
      <c r="F93" t="s">
        <v>308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1</v>
      </c>
      <c r="O93">
        <v>0</v>
      </c>
      <c r="P93">
        <v>1</v>
      </c>
      <c r="Q93" s="209">
        <v>0</v>
      </c>
      <c r="R93" s="210">
        <v>1</v>
      </c>
      <c r="S93"/>
      <c r="T93"/>
    </row>
    <row r="94" spans="1:20" ht="15" customHeight="1" x14ac:dyDescent="0.2">
      <c r="A94" s="79"/>
      <c r="F94" t="s">
        <v>309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1</v>
      </c>
      <c r="O94">
        <v>0</v>
      </c>
      <c r="P94">
        <v>1</v>
      </c>
      <c r="Q94" s="209">
        <v>0</v>
      </c>
      <c r="R94" s="210">
        <v>1</v>
      </c>
      <c r="S94"/>
      <c r="T94"/>
    </row>
    <row r="95" spans="1:20" ht="15" customHeight="1" x14ac:dyDescent="0.2">
      <c r="A95" s="79"/>
      <c r="F95" t="s">
        <v>310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1</v>
      </c>
      <c r="O95">
        <v>0</v>
      </c>
      <c r="P95">
        <v>1</v>
      </c>
      <c r="Q95" s="209">
        <v>0</v>
      </c>
      <c r="R95" s="210">
        <v>1</v>
      </c>
      <c r="S95"/>
      <c r="T95"/>
    </row>
    <row r="96" spans="1:20" ht="15" customHeight="1" x14ac:dyDescent="0.2">
      <c r="A96" s="79"/>
      <c r="F96" t="s">
        <v>311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1</v>
      </c>
      <c r="O96">
        <v>0</v>
      </c>
      <c r="P96">
        <v>1</v>
      </c>
      <c r="Q96" s="209">
        <v>0</v>
      </c>
      <c r="R96" s="210">
        <v>1</v>
      </c>
      <c r="S96"/>
      <c r="T96"/>
    </row>
    <row r="97" spans="1:20" ht="15" customHeight="1" x14ac:dyDescent="0.2">
      <c r="A97" s="79"/>
      <c r="F97" t="s">
        <v>312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1</v>
      </c>
      <c r="O97">
        <v>0</v>
      </c>
      <c r="P97">
        <v>1</v>
      </c>
      <c r="Q97" s="209">
        <v>0</v>
      </c>
      <c r="R97" s="210">
        <v>1</v>
      </c>
      <c r="S97"/>
      <c r="T97"/>
    </row>
    <row r="98" spans="1:20" ht="15" customHeight="1" x14ac:dyDescent="0.2">
      <c r="A98" s="79"/>
      <c r="F98" t="s">
        <v>313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1</v>
      </c>
      <c r="O98">
        <v>0</v>
      </c>
      <c r="P98">
        <v>1</v>
      </c>
      <c r="Q98" s="209">
        <v>0</v>
      </c>
      <c r="R98" s="210">
        <v>1</v>
      </c>
      <c r="S98"/>
      <c r="T98"/>
    </row>
    <row r="99" spans="1:20" ht="15" customHeight="1" x14ac:dyDescent="0.2">
      <c r="A99" s="79"/>
      <c r="F99" t="s">
        <v>314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1</v>
      </c>
      <c r="O99">
        <v>0</v>
      </c>
      <c r="P99">
        <v>1</v>
      </c>
      <c r="Q99" s="209">
        <v>0</v>
      </c>
      <c r="R99" s="210">
        <v>1</v>
      </c>
      <c r="S99"/>
      <c r="T99"/>
    </row>
    <row r="100" spans="1:20" ht="15" customHeight="1" x14ac:dyDescent="0.2">
      <c r="A100" s="79"/>
      <c r="F100" t="s">
        <v>315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1</v>
      </c>
      <c r="O100">
        <v>0</v>
      </c>
      <c r="P100">
        <v>1</v>
      </c>
      <c r="Q100" s="209">
        <v>0</v>
      </c>
      <c r="R100" s="210">
        <v>1</v>
      </c>
      <c r="S100"/>
      <c r="T100"/>
    </row>
    <row r="101" spans="1:20" ht="15" customHeight="1" x14ac:dyDescent="0.2">
      <c r="A101" s="79"/>
      <c r="F101" t="s">
        <v>316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1</v>
      </c>
      <c r="O101">
        <v>0</v>
      </c>
      <c r="P101">
        <v>1</v>
      </c>
      <c r="Q101" s="209">
        <v>0</v>
      </c>
      <c r="R101" s="210">
        <v>1</v>
      </c>
      <c r="S101"/>
      <c r="T101"/>
    </row>
    <row r="102" spans="1:20" ht="15" customHeight="1" x14ac:dyDescent="0.2">
      <c r="A102" s="79"/>
      <c r="F102" t="s">
        <v>317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1</v>
      </c>
      <c r="O102">
        <v>0</v>
      </c>
      <c r="P102">
        <v>1</v>
      </c>
      <c r="Q102" s="209">
        <v>0</v>
      </c>
      <c r="R102" s="210">
        <v>1</v>
      </c>
      <c r="S102"/>
      <c r="T102"/>
    </row>
    <row r="103" spans="1:20" ht="15" customHeight="1" x14ac:dyDescent="0.2">
      <c r="A103" s="79"/>
      <c r="F103" t="s">
        <v>318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1</v>
      </c>
      <c r="O103">
        <v>0</v>
      </c>
      <c r="P103">
        <v>1</v>
      </c>
      <c r="Q103" s="209">
        <v>0</v>
      </c>
      <c r="R103" s="210">
        <v>1</v>
      </c>
      <c r="S103"/>
      <c r="T103"/>
    </row>
    <row r="104" spans="1:20" ht="15" customHeight="1" x14ac:dyDescent="0.2">
      <c r="A104" s="79"/>
      <c r="F104" t="s">
        <v>319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1</v>
      </c>
      <c r="O104">
        <v>0</v>
      </c>
      <c r="P104">
        <v>1</v>
      </c>
      <c r="Q104" s="209">
        <v>0</v>
      </c>
      <c r="R104" s="210">
        <v>1</v>
      </c>
      <c r="S104"/>
      <c r="T104"/>
    </row>
    <row r="105" spans="1:20" ht="15" customHeight="1" x14ac:dyDescent="0.2">
      <c r="A105" s="79"/>
      <c r="F105" t="s">
        <v>320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1</v>
      </c>
      <c r="O105">
        <v>0</v>
      </c>
      <c r="P105">
        <v>1</v>
      </c>
      <c r="Q105" s="209">
        <v>0</v>
      </c>
      <c r="R105" s="210">
        <v>1</v>
      </c>
      <c r="S105"/>
      <c r="T105"/>
    </row>
    <row r="106" spans="1:20" ht="15" customHeight="1" x14ac:dyDescent="0.2">
      <c r="F106" t="s">
        <v>321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1</v>
      </c>
      <c r="O106">
        <v>0</v>
      </c>
      <c r="P106">
        <v>1</v>
      </c>
      <c r="Q106" s="209">
        <v>0</v>
      </c>
      <c r="R106" s="210">
        <v>1</v>
      </c>
      <c r="S106"/>
      <c r="T106"/>
    </row>
    <row r="107" spans="1:20" ht="15" customHeight="1" x14ac:dyDescent="0.2">
      <c r="F107" t="s">
        <v>322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1</v>
      </c>
      <c r="O107">
        <v>0</v>
      </c>
      <c r="P107">
        <v>1</v>
      </c>
      <c r="Q107" s="209">
        <v>0</v>
      </c>
      <c r="R107" s="210">
        <v>1</v>
      </c>
      <c r="S107"/>
      <c r="T107"/>
    </row>
    <row r="108" spans="1:20" ht="15" customHeight="1" x14ac:dyDescent="0.2">
      <c r="F108" t="s">
        <v>323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1</v>
      </c>
      <c r="O108">
        <v>0</v>
      </c>
      <c r="P108">
        <v>1</v>
      </c>
      <c r="Q108" s="209">
        <v>0</v>
      </c>
      <c r="R108" s="210">
        <v>1</v>
      </c>
      <c r="S108"/>
      <c r="T108"/>
    </row>
    <row r="109" spans="1:20" ht="15" customHeight="1" x14ac:dyDescent="0.2">
      <c r="F109" t="s">
        <v>324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1</v>
      </c>
      <c r="O109">
        <v>0</v>
      </c>
      <c r="P109">
        <v>1</v>
      </c>
      <c r="Q109" s="209">
        <v>0</v>
      </c>
      <c r="R109" s="210">
        <v>1</v>
      </c>
      <c r="S109"/>
      <c r="T109"/>
    </row>
    <row r="110" spans="1:20" ht="15" customHeight="1" x14ac:dyDescent="0.2">
      <c r="F110" t="s">
        <v>325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1</v>
      </c>
      <c r="O110">
        <v>0.5</v>
      </c>
      <c r="P110">
        <v>0.5</v>
      </c>
      <c r="Q110" s="209">
        <v>0</v>
      </c>
      <c r="R110" s="210">
        <v>0</v>
      </c>
      <c r="S110"/>
      <c r="T110"/>
    </row>
    <row r="111" spans="1:20" ht="15" customHeight="1" x14ac:dyDescent="0.2">
      <c r="F111" t="s">
        <v>326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1</v>
      </c>
      <c r="O111">
        <v>0.5</v>
      </c>
      <c r="P111">
        <v>0.5</v>
      </c>
      <c r="Q111" s="209">
        <v>0</v>
      </c>
      <c r="R111" s="210">
        <v>1</v>
      </c>
      <c r="S111"/>
      <c r="T111"/>
    </row>
    <row r="112" spans="1:20" ht="15" customHeight="1" x14ac:dyDescent="0.2">
      <c r="F112" t="s">
        <v>327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1</v>
      </c>
      <c r="O112">
        <v>0.5</v>
      </c>
      <c r="P112">
        <v>0.5</v>
      </c>
      <c r="Q112" s="209">
        <v>0</v>
      </c>
      <c r="R112" s="228">
        <v>0.75</v>
      </c>
      <c r="S112"/>
      <c r="T112"/>
    </row>
    <row r="113" spans="6:20" s="79" customFormat="1" ht="15" customHeight="1" x14ac:dyDescent="0.2">
      <c r="F113" t="s">
        <v>328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1</v>
      </c>
      <c r="O113">
        <v>0.5</v>
      </c>
      <c r="P113">
        <v>0.5</v>
      </c>
      <c r="Q113" s="209">
        <v>0</v>
      </c>
      <c r="R113" s="210">
        <v>1</v>
      </c>
      <c r="S113"/>
      <c r="T113"/>
    </row>
    <row r="114" spans="6:20" s="79" customFormat="1" ht="15" customHeight="1" x14ac:dyDescent="0.2">
      <c r="F114" t="s">
        <v>329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1</v>
      </c>
      <c r="O114">
        <v>0.5</v>
      </c>
      <c r="P114">
        <v>0.5</v>
      </c>
      <c r="Q114" s="209">
        <v>0</v>
      </c>
      <c r="R114" s="228">
        <v>0.5</v>
      </c>
      <c r="S114"/>
      <c r="T114"/>
    </row>
    <row r="115" spans="6:20" s="79" customFormat="1" ht="15" customHeight="1" x14ac:dyDescent="0.2">
      <c r="F115" t="s">
        <v>330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1</v>
      </c>
      <c r="O115">
        <v>0.5</v>
      </c>
      <c r="P115">
        <v>0.5</v>
      </c>
      <c r="Q115" s="209">
        <v>0</v>
      </c>
      <c r="R115" s="228">
        <v>0.5</v>
      </c>
      <c r="S115"/>
      <c r="T115"/>
    </row>
    <row r="116" spans="6:20" s="79" customFormat="1" ht="15" customHeight="1" x14ac:dyDescent="0.2">
      <c r="F116" t="s">
        <v>331</v>
      </c>
      <c r="G116">
        <v>0</v>
      </c>
      <c r="H116">
        <v>0</v>
      </c>
      <c r="I116">
        <v>0</v>
      </c>
      <c r="J116">
        <v>0</v>
      </c>
      <c r="K116">
        <v>0.5</v>
      </c>
      <c r="L116">
        <v>0.5</v>
      </c>
      <c r="M116">
        <v>0.5</v>
      </c>
      <c r="N116">
        <v>0.5</v>
      </c>
      <c r="O116">
        <v>0.5</v>
      </c>
      <c r="P116">
        <v>0.5</v>
      </c>
      <c r="Q116" s="210">
        <v>0</v>
      </c>
      <c r="R116" s="228">
        <v>0</v>
      </c>
      <c r="S116"/>
      <c r="T116"/>
    </row>
    <row r="117" spans="6:20" s="79" customFormat="1" ht="15" customHeight="1" x14ac:dyDescent="0.2">
      <c r="F117" t="s">
        <v>332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1</v>
      </c>
      <c r="O117">
        <v>0.5</v>
      </c>
      <c r="P117">
        <v>0.5</v>
      </c>
      <c r="Q117" s="209">
        <v>0</v>
      </c>
      <c r="R117" s="228">
        <v>0.25</v>
      </c>
      <c r="S117"/>
      <c r="T117"/>
    </row>
    <row r="118" spans="6:20" s="79" customFormat="1" ht="15" customHeight="1" x14ac:dyDescent="0.2">
      <c r="F118" t="s">
        <v>333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1</v>
      </c>
      <c r="O118">
        <v>0.5</v>
      </c>
      <c r="P118">
        <v>0.5</v>
      </c>
      <c r="Q118" s="209">
        <v>0</v>
      </c>
      <c r="R118" s="228">
        <v>0.25</v>
      </c>
      <c r="S118"/>
      <c r="T118"/>
    </row>
    <row r="119" spans="6:20" s="79" customFormat="1" ht="15" customHeight="1" x14ac:dyDescent="0.2">
      <c r="F119" t="s">
        <v>334</v>
      </c>
      <c r="G119">
        <v>0</v>
      </c>
      <c r="H119">
        <v>0</v>
      </c>
      <c r="I119">
        <v>0</v>
      </c>
      <c r="J119">
        <v>0</v>
      </c>
      <c r="K119">
        <v>1</v>
      </c>
      <c r="L119">
        <v>0</v>
      </c>
      <c r="M119">
        <v>1</v>
      </c>
      <c r="N119">
        <v>0</v>
      </c>
      <c r="O119">
        <v>1</v>
      </c>
      <c r="P119">
        <v>0</v>
      </c>
      <c r="Q119" s="209">
        <v>0</v>
      </c>
      <c r="R119" s="210">
        <v>0</v>
      </c>
      <c r="S119"/>
      <c r="T119"/>
    </row>
    <row r="120" spans="6:20" s="79" customFormat="1" ht="15" customHeight="1" x14ac:dyDescent="0.2">
      <c r="F120" t="s">
        <v>335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1</v>
      </c>
      <c r="O120">
        <v>0</v>
      </c>
      <c r="P120">
        <v>1</v>
      </c>
      <c r="Q120" s="209">
        <v>0</v>
      </c>
      <c r="R120" s="210">
        <v>0</v>
      </c>
      <c r="S120"/>
      <c r="T120"/>
    </row>
    <row r="121" spans="6:20" s="79" customFormat="1" ht="15" customHeight="1" x14ac:dyDescent="0.2">
      <c r="F121" t="s">
        <v>336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1</v>
      </c>
      <c r="O121">
        <v>1</v>
      </c>
      <c r="P121">
        <v>0</v>
      </c>
      <c r="Q121" s="209">
        <v>0</v>
      </c>
      <c r="R121" s="210">
        <v>1</v>
      </c>
      <c r="S121" s="56" t="s">
        <v>165</v>
      </c>
      <c r="T121"/>
    </row>
    <row r="122" spans="6:20" s="79" customFormat="1" ht="15" customHeight="1" x14ac:dyDescent="0.2">
      <c r="F122" t="s">
        <v>337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1</v>
      </c>
      <c r="O122">
        <v>1</v>
      </c>
      <c r="P122">
        <v>0</v>
      </c>
      <c r="Q122" s="209">
        <v>0</v>
      </c>
      <c r="R122" s="210">
        <v>0</v>
      </c>
      <c r="S122" s="56" t="s">
        <v>165</v>
      </c>
      <c r="T122"/>
    </row>
    <row r="123" spans="6:20" s="79" customFormat="1" ht="15" customHeight="1" thickBot="1" x14ac:dyDescent="0.25">
      <c r="F123" t="s">
        <v>338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1</v>
      </c>
      <c r="P123">
        <v>0</v>
      </c>
      <c r="Q123" s="209">
        <v>0</v>
      </c>
      <c r="R123" s="210">
        <v>0</v>
      </c>
      <c r="S123" s="56" t="s">
        <v>165</v>
      </c>
      <c r="T123"/>
    </row>
    <row r="124" spans="6:20" s="79" customFormat="1" ht="15" customHeight="1" x14ac:dyDescent="0.2">
      <c r="F124" t="s">
        <v>339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1</v>
      </c>
      <c r="O124" s="229">
        <v>0</v>
      </c>
      <c r="P124" s="230">
        <v>1</v>
      </c>
      <c r="Q124" s="209">
        <v>0</v>
      </c>
      <c r="R124" s="210">
        <v>1</v>
      </c>
      <c r="S124"/>
      <c r="T124"/>
    </row>
    <row r="125" spans="6:20" s="79" customFormat="1" ht="15" customHeight="1" x14ac:dyDescent="0.2">
      <c r="F125" t="s">
        <v>340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1</v>
      </c>
      <c r="O125" s="231">
        <v>0</v>
      </c>
      <c r="P125" s="232">
        <v>1</v>
      </c>
      <c r="Q125" s="209">
        <v>0</v>
      </c>
      <c r="R125" s="210">
        <v>1</v>
      </c>
      <c r="S125"/>
      <c r="T125"/>
    </row>
    <row r="126" spans="6:20" s="79" customFormat="1" ht="15" customHeight="1" x14ac:dyDescent="0.2">
      <c r="F126" t="s">
        <v>341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1</v>
      </c>
      <c r="O126" s="231">
        <v>1</v>
      </c>
      <c r="P126" s="232">
        <v>0</v>
      </c>
      <c r="Q126" s="209">
        <v>0</v>
      </c>
      <c r="R126" s="210">
        <v>0</v>
      </c>
      <c r="S126"/>
      <c r="T126"/>
    </row>
    <row r="127" spans="6:20" s="79" customFormat="1" ht="15" customHeight="1" thickBot="1" x14ac:dyDescent="0.25">
      <c r="F127" t="s">
        <v>342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1</v>
      </c>
      <c r="O127" s="233">
        <v>0</v>
      </c>
      <c r="P127" s="234">
        <v>1</v>
      </c>
      <c r="Q127" s="209">
        <v>0</v>
      </c>
      <c r="R127" s="210">
        <v>1</v>
      </c>
      <c r="S127"/>
      <c r="T127"/>
    </row>
    <row r="128" spans="6:20" s="79" customFormat="1" ht="15" customHeight="1" x14ac:dyDescent="0.2">
      <c r="F128" t="s">
        <v>343</v>
      </c>
      <c r="G128">
        <v>0</v>
      </c>
      <c r="H128">
        <v>0</v>
      </c>
      <c r="I128">
        <v>0</v>
      </c>
      <c r="J128">
        <v>0</v>
      </c>
      <c r="K128" s="235">
        <v>0</v>
      </c>
      <c r="L128" s="236">
        <v>1</v>
      </c>
      <c r="M128">
        <v>0</v>
      </c>
      <c r="N128">
        <v>0</v>
      </c>
      <c r="O128">
        <v>0</v>
      </c>
      <c r="P128">
        <v>0</v>
      </c>
      <c r="Q128" s="209">
        <v>0</v>
      </c>
      <c r="R128" s="210">
        <v>1</v>
      </c>
      <c r="S128"/>
      <c r="T128"/>
    </row>
    <row r="129" spans="6:20" s="79" customFormat="1" ht="15" customHeight="1" x14ac:dyDescent="0.2">
      <c r="F129" t="s">
        <v>344</v>
      </c>
      <c r="G129">
        <v>0</v>
      </c>
      <c r="H129">
        <v>0</v>
      </c>
      <c r="I129">
        <v>0</v>
      </c>
      <c r="J129">
        <v>0</v>
      </c>
      <c r="K129" s="237">
        <v>0</v>
      </c>
      <c r="L129" s="238">
        <v>1</v>
      </c>
      <c r="M129">
        <v>0</v>
      </c>
      <c r="N129">
        <v>0</v>
      </c>
      <c r="O129">
        <v>0</v>
      </c>
      <c r="P129">
        <v>0</v>
      </c>
      <c r="Q129" s="209">
        <v>0</v>
      </c>
      <c r="R129" s="210">
        <v>1</v>
      </c>
      <c r="S129"/>
      <c r="T129"/>
    </row>
    <row r="130" spans="6:20" s="79" customFormat="1" ht="15" customHeight="1" x14ac:dyDescent="0.2">
      <c r="F130" t="s">
        <v>345</v>
      </c>
      <c r="G130">
        <v>0</v>
      </c>
      <c r="H130">
        <v>0</v>
      </c>
      <c r="I130">
        <v>0</v>
      </c>
      <c r="J130">
        <v>0</v>
      </c>
      <c r="K130" s="237">
        <v>0</v>
      </c>
      <c r="L130" s="238">
        <v>1</v>
      </c>
      <c r="M130">
        <v>0</v>
      </c>
      <c r="N130">
        <v>0</v>
      </c>
      <c r="O130">
        <v>0</v>
      </c>
      <c r="P130">
        <v>0</v>
      </c>
      <c r="Q130" s="209">
        <v>0</v>
      </c>
      <c r="R130" s="210">
        <v>1</v>
      </c>
      <c r="S130"/>
      <c r="T130"/>
    </row>
    <row r="131" spans="6:20" s="79" customFormat="1" ht="15" customHeight="1" x14ac:dyDescent="0.2">
      <c r="F131" t="s">
        <v>346</v>
      </c>
      <c r="G131">
        <v>0</v>
      </c>
      <c r="H131">
        <v>0</v>
      </c>
      <c r="I131">
        <v>0</v>
      </c>
      <c r="J131">
        <v>0</v>
      </c>
      <c r="K131" s="237">
        <v>0</v>
      </c>
      <c r="L131" s="238">
        <v>1</v>
      </c>
      <c r="M131">
        <v>0</v>
      </c>
      <c r="N131">
        <v>0</v>
      </c>
      <c r="O131">
        <v>0</v>
      </c>
      <c r="P131">
        <v>0</v>
      </c>
      <c r="Q131" s="209">
        <v>0</v>
      </c>
      <c r="R131" s="210">
        <v>1</v>
      </c>
      <c r="S131"/>
      <c r="T131"/>
    </row>
    <row r="132" spans="6:20" s="79" customFormat="1" ht="15" customHeight="1" x14ac:dyDescent="0.2">
      <c r="F132" t="s">
        <v>347</v>
      </c>
      <c r="G132">
        <v>0</v>
      </c>
      <c r="H132">
        <v>0</v>
      </c>
      <c r="I132">
        <v>0</v>
      </c>
      <c r="J132">
        <v>0</v>
      </c>
      <c r="K132" s="237">
        <v>0</v>
      </c>
      <c r="L132" s="238">
        <v>1</v>
      </c>
      <c r="M132">
        <v>0</v>
      </c>
      <c r="N132">
        <v>0</v>
      </c>
      <c r="O132">
        <v>0</v>
      </c>
      <c r="P132">
        <v>0</v>
      </c>
      <c r="Q132" s="209">
        <v>0</v>
      </c>
      <c r="R132" s="210">
        <v>1</v>
      </c>
      <c r="S132"/>
      <c r="T132"/>
    </row>
    <row r="133" spans="6:20" s="79" customFormat="1" ht="15" customHeight="1" x14ac:dyDescent="0.2">
      <c r="F133" t="s">
        <v>348</v>
      </c>
      <c r="G133">
        <v>0</v>
      </c>
      <c r="H133">
        <v>0</v>
      </c>
      <c r="I133">
        <v>0</v>
      </c>
      <c r="J133">
        <v>0</v>
      </c>
      <c r="K133" s="237">
        <v>0</v>
      </c>
      <c r="L133" s="238">
        <v>1</v>
      </c>
      <c r="M133">
        <v>0</v>
      </c>
      <c r="N133">
        <v>0</v>
      </c>
      <c r="O133">
        <v>0</v>
      </c>
      <c r="P133">
        <v>0</v>
      </c>
      <c r="Q133" s="209">
        <v>0</v>
      </c>
      <c r="R133" s="210">
        <v>1</v>
      </c>
      <c r="S133"/>
      <c r="T133"/>
    </row>
    <row r="134" spans="6:20" s="79" customFormat="1" ht="15" customHeight="1" x14ac:dyDescent="0.2">
      <c r="F134" t="s">
        <v>349</v>
      </c>
      <c r="G134">
        <v>0</v>
      </c>
      <c r="H134">
        <v>0</v>
      </c>
      <c r="I134">
        <v>0</v>
      </c>
      <c r="J134">
        <v>0</v>
      </c>
      <c r="K134" s="237">
        <v>0</v>
      </c>
      <c r="L134" s="238">
        <v>1</v>
      </c>
      <c r="M134">
        <v>0</v>
      </c>
      <c r="N134">
        <v>0</v>
      </c>
      <c r="O134">
        <v>0</v>
      </c>
      <c r="P134">
        <v>0</v>
      </c>
      <c r="Q134" s="209">
        <v>0</v>
      </c>
      <c r="R134" s="210">
        <v>1</v>
      </c>
      <c r="S134"/>
      <c r="T134"/>
    </row>
    <row r="135" spans="6:20" s="79" customFormat="1" ht="15" customHeight="1" x14ac:dyDescent="0.2">
      <c r="F135" t="s">
        <v>350</v>
      </c>
      <c r="G135">
        <v>0</v>
      </c>
      <c r="H135">
        <v>0</v>
      </c>
      <c r="I135">
        <v>0</v>
      </c>
      <c r="J135">
        <v>0</v>
      </c>
      <c r="K135" s="237">
        <v>0</v>
      </c>
      <c r="L135" s="238">
        <v>1</v>
      </c>
      <c r="M135">
        <v>0</v>
      </c>
      <c r="N135">
        <v>0</v>
      </c>
      <c r="O135">
        <v>0</v>
      </c>
      <c r="P135">
        <v>0</v>
      </c>
      <c r="Q135" s="209">
        <v>0</v>
      </c>
      <c r="R135" s="210">
        <v>1</v>
      </c>
      <c r="S135"/>
      <c r="T135"/>
    </row>
    <row r="136" spans="6:20" s="79" customFormat="1" ht="15" customHeight="1" x14ac:dyDescent="0.2">
      <c r="F136" t="s">
        <v>351</v>
      </c>
      <c r="G136">
        <v>0</v>
      </c>
      <c r="H136">
        <v>0</v>
      </c>
      <c r="I136">
        <v>0</v>
      </c>
      <c r="J136">
        <v>0</v>
      </c>
      <c r="K136" s="237">
        <v>0</v>
      </c>
      <c r="L136" s="238">
        <v>1</v>
      </c>
      <c r="M136">
        <v>0</v>
      </c>
      <c r="N136">
        <v>0</v>
      </c>
      <c r="O136">
        <v>0</v>
      </c>
      <c r="P136">
        <v>0</v>
      </c>
      <c r="Q136" s="209">
        <v>0</v>
      </c>
      <c r="R136" s="210">
        <v>1</v>
      </c>
      <c r="S136"/>
      <c r="T136"/>
    </row>
    <row r="137" spans="6:20" s="79" customFormat="1" ht="15" customHeight="1" x14ac:dyDescent="0.2">
      <c r="F137" t="s">
        <v>352</v>
      </c>
      <c r="G137">
        <v>0</v>
      </c>
      <c r="H137">
        <v>0</v>
      </c>
      <c r="I137">
        <v>0</v>
      </c>
      <c r="J137">
        <v>0</v>
      </c>
      <c r="K137" s="237">
        <v>0</v>
      </c>
      <c r="L137" s="238">
        <v>1</v>
      </c>
      <c r="M137">
        <v>0</v>
      </c>
      <c r="N137">
        <v>0</v>
      </c>
      <c r="O137">
        <v>0</v>
      </c>
      <c r="P137">
        <v>0</v>
      </c>
      <c r="Q137" s="209">
        <v>0</v>
      </c>
      <c r="R137" s="210">
        <v>1</v>
      </c>
      <c r="S137"/>
      <c r="T137"/>
    </row>
    <row r="138" spans="6:20" s="79" customFormat="1" ht="15" customHeight="1" x14ac:dyDescent="0.2">
      <c r="F138" t="s">
        <v>353</v>
      </c>
      <c r="G138">
        <v>0</v>
      </c>
      <c r="H138">
        <v>0</v>
      </c>
      <c r="I138">
        <v>0</v>
      </c>
      <c r="J138">
        <v>0</v>
      </c>
      <c r="K138" s="237">
        <v>0</v>
      </c>
      <c r="L138" s="238">
        <v>1</v>
      </c>
      <c r="M138">
        <v>0</v>
      </c>
      <c r="N138">
        <v>0</v>
      </c>
      <c r="O138">
        <v>0</v>
      </c>
      <c r="P138">
        <v>0</v>
      </c>
      <c r="Q138" s="209">
        <v>0</v>
      </c>
      <c r="R138" s="210">
        <v>1</v>
      </c>
      <c r="S138"/>
      <c r="T138"/>
    </row>
    <row r="139" spans="6:20" s="79" customFormat="1" ht="15" customHeight="1" x14ac:dyDescent="0.2">
      <c r="F139" t="s">
        <v>354</v>
      </c>
      <c r="G139">
        <v>0</v>
      </c>
      <c r="H139">
        <v>0</v>
      </c>
      <c r="I139">
        <v>0</v>
      </c>
      <c r="J139">
        <v>0</v>
      </c>
      <c r="K139" s="237">
        <v>0</v>
      </c>
      <c r="L139" s="238">
        <v>1</v>
      </c>
      <c r="M139">
        <v>0</v>
      </c>
      <c r="N139">
        <v>0</v>
      </c>
      <c r="O139">
        <v>0</v>
      </c>
      <c r="P139">
        <v>0</v>
      </c>
      <c r="Q139" s="209">
        <v>0</v>
      </c>
      <c r="R139" s="210">
        <v>1</v>
      </c>
      <c r="S139"/>
      <c r="T139"/>
    </row>
    <row r="140" spans="6:20" s="79" customFormat="1" ht="15" customHeight="1" x14ac:dyDescent="0.2">
      <c r="F140" t="s">
        <v>355</v>
      </c>
      <c r="G140">
        <v>0</v>
      </c>
      <c r="H140">
        <v>0</v>
      </c>
      <c r="I140">
        <v>0</v>
      </c>
      <c r="J140">
        <v>0</v>
      </c>
      <c r="K140" s="237">
        <v>0</v>
      </c>
      <c r="L140" s="238">
        <v>1</v>
      </c>
      <c r="M140">
        <v>0</v>
      </c>
      <c r="N140">
        <v>0</v>
      </c>
      <c r="O140">
        <v>0</v>
      </c>
      <c r="P140">
        <v>0</v>
      </c>
      <c r="Q140" s="209">
        <v>0</v>
      </c>
      <c r="R140" s="210">
        <v>1</v>
      </c>
      <c r="S140"/>
      <c r="T140"/>
    </row>
    <row r="141" spans="6:20" s="79" customFormat="1" ht="15" customHeight="1" thickBot="1" x14ac:dyDescent="0.25">
      <c r="F141" t="s">
        <v>356</v>
      </c>
      <c r="G141">
        <v>0</v>
      </c>
      <c r="H141">
        <v>0</v>
      </c>
      <c r="I141">
        <v>0</v>
      </c>
      <c r="J141">
        <v>0</v>
      </c>
      <c r="K141" s="239">
        <v>0</v>
      </c>
      <c r="L141" s="240">
        <v>1</v>
      </c>
      <c r="M141">
        <v>0</v>
      </c>
      <c r="N141">
        <v>0</v>
      </c>
      <c r="O141">
        <v>0</v>
      </c>
      <c r="P141">
        <v>0</v>
      </c>
      <c r="Q141" s="209">
        <v>0</v>
      </c>
      <c r="R141" s="210">
        <v>1</v>
      </c>
      <c r="S141"/>
      <c r="T141"/>
    </row>
    <row r="142" spans="6:20" s="79" customFormat="1" ht="15" customHeight="1" x14ac:dyDescent="0.2">
      <c r="F142" s="156"/>
      <c r="G142"/>
      <c r="H142"/>
      <c r="I142"/>
      <c r="J142"/>
      <c r="K142"/>
      <c r="L142"/>
      <c r="M142"/>
      <c r="N142"/>
      <c r="O142"/>
      <c r="P142"/>
      <c r="Q142"/>
      <c r="R142" s="154"/>
      <c r="S142"/>
      <c r="T142"/>
    </row>
    <row r="143" spans="6:20" s="79" customFormat="1" ht="15" customHeight="1" x14ac:dyDescent="0.2">
      <c r="F143" s="156"/>
      <c r="G143"/>
      <c r="H143"/>
      <c r="I143"/>
      <c r="J143"/>
      <c r="K143"/>
      <c r="L143"/>
      <c r="M143"/>
      <c r="N143"/>
      <c r="O143"/>
      <c r="P143"/>
      <c r="Q143"/>
      <c r="R143" s="154"/>
      <c r="S143"/>
      <c r="T143"/>
    </row>
    <row r="144" spans="6:20" s="79" customFormat="1" ht="15" customHeight="1" x14ac:dyDescent="0.2">
      <c r="F144" s="156"/>
      <c r="G144"/>
      <c r="H144"/>
      <c r="I144"/>
      <c r="J144"/>
      <c r="K144" s="56" t="s">
        <v>155</v>
      </c>
      <c r="L144"/>
      <c r="M144"/>
      <c r="N144"/>
      <c r="O144" s="56" t="s">
        <v>156</v>
      </c>
      <c r="P144"/>
      <c r="Q144"/>
      <c r="R144" s="154"/>
      <c r="S144"/>
      <c r="T144"/>
    </row>
    <row r="145" spans="5:23" s="79" customFormat="1" ht="15" customHeight="1" x14ac:dyDescent="0.2">
      <c r="F145" s="156"/>
      <c r="G145"/>
      <c r="H145"/>
      <c r="I145"/>
      <c r="J145"/>
      <c r="K145"/>
      <c r="L145"/>
      <c r="M145"/>
      <c r="N145"/>
      <c r="O145"/>
      <c r="P145"/>
      <c r="Q145"/>
      <c r="R145" s="154"/>
      <c r="S145"/>
      <c r="T145"/>
    </row>
    <row r="146" spans="5:23" s="79" customFormat="1" ht="15" customHeight="1" x14ac:dyDescent="0.2">
      <c r="F146" s="156"/>
      <c r="G146"/>
      <c r="H146"/>
      <c r="I146"/>
      <c r="J146"/>
      <c r="K146"/>
      <c r="L146"/>
      <c r="M146"/>
      <c r="N146"/>
      <c r="O146"/>
      <c r="P146"/>
      <c r="Q146"/>
      <c r="R146" s="154"/>
      <c r="S146"/>
      <c r="T146"/>
    </row>
    <row r="147" spans="5:23" s="79" customFormat="1" ht="15" customHeight="1" x14ac:dyDescent="0.2">
      <c r="F147" s="156"/>
      <c r="G147"/>
      <c r="H147"/>
      <c r="I147"/>
      <c r="J147"/>
      <c r="K147"/>
      <c r="L147"/>
      <c r="M147"/>
      <c r="N147"/>
      <c r="O147"/>
      <c r="P147"/>
      <c r="Q147"/>
      <c r="R147" s="154"/>
      <c r="S147"/>
      <c r="T147"/>
    </row>
    <row r="148" spans="5:23" s="79" customFormat="1" ht="15" customHeight="1" x14ac:dyDescent="0.2">
      <c r="F148" s="156"/>
      <c r="G148"/>
      <c r="H148"/>
      <c r="I148"/>
      <c r="J148"/>
      <c r="K148"/>
      <c r="L148"/>
      <c r="M148"/>
      <c r="N148"/>
      <c r="O148"/>
      <c r="P148"/>
      <c r="Q148"/>
      <c r="R148" s="154"/>
      <c r="S148"/>
      <c r="T148"/>
    </row>
    <row r="149" spans="5:23" s="79" customFormat="1" ht="15" customHeight="1" x14ac:dyDescent="0.2">
      <c r="F149" s="156"/>
      <c r="G149"/>
      <c r="H149"/>
      <c r="I149"/>
      <c r="J149"/>
      <c r="K149"/>
      <c r="L149"/>
      <c r="M149"/>
      <c r="N149"/>
      <c r="O149"/>
      <c r="P149"/>
      <c r="Q149"/>
      <c r="R149" s="154"/>
      <c r="S149"/>
      <c r="T149"/>
    </row>
    <row r="150" spans="5:23" s="79" customFormat="1" ht="15" customHeight="1" x14ac:dyDescent="0.2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5:23" s="79" customFormat="1" ht="15" customHeight="1" x14ac:dyDescent="0.2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5:23" s="79" customFormat="1" ht="15" customHeight="1" x14ac:dyDescent="0.2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5:23" s="79" customFormat="1" ht="15" customHeight="1" x14ac:dyDescent="0.2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5:23" s="79" customFormat="1" ht="15" customHeight="1" x14ac:dyDescent="0.2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5:23" s="79" customFormat="1" ht="15" customHeight="1" x14ac:dyDescent="0.2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5:23" s="79" customFormat="1" ht="15" customHeight="1" x14ac:dyDescent="0.2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5:23" s="79" customFormat="1" ht="15" customHeight="1" x14ac:dyDescent="0.2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5:23" s="79" customFormat="1" ht="15" customHeight="1" x14ac:dyDescent="0.2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5:23" s="79" customFormat="1" ht="15" customHeight="1" x14ac:dyDescent="0.2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5:23" s="79" customFormat="1" ht="15" customHeight="1" x14ac:dyDescent="0.2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5:23" s="79" customFormat="1" ht="15" customHeight="1" x14ac:dyDescent="0.2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5:23" s="79" customFormat="1" ht="15" customHeight="1" x14ac:dyDescent="0.2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5:23" s="79" customFormat="1" ht="15" customHeight="1" x14ac:dyDescent="0.2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5:23" s="79" customFormat="1" ht="15" customHeight="1" x14ac:dyDescent="0.2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5:23" s="79" customFormat="1" ht="15" customHeight="1" x14ac:dyDescent="0.2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5:23" s="79" customFormat="1" ht="15" customHeight="1" x14ac:dyDescent="0.2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5:23" s="79" customFormat="1" ht="15" customHeight="1" x14ac:dyDescent="0.2">
      <c r="F167" s="156"/>
      <c r="G167"/>
      <c r="H167"/>
      <c r="I167"/>
      <c r="J167"/>
      <c r="K167"/>
      <c r="L167"/>
      <c r="M167"/>
      <c r="N167"/>
      <c r="O167"/>
      <c r="P167"/>
      <c r="Q167"/>
      <c r="R167" s="154"/>
      <c r="S167"/>
    </row>
    <row r="168" spans="5:23" s="79" customFormat="1" ht="15" customHeight="1" x14ac:dyDescent="0.2">
      <c r="F168" s="156"/>
      <c r="G168"/>
      <c r="H168"/>
      <c r="I168"/>
      <c r="J168"/>
      <c r="K168"/>
      <c r="L168"/>
      <c r="M168"/>
      <c r="N168"/>
      <c r="O168"/>
      <c r="P168"/>
      <c r="Q168"/>
      <c r="R168" s="154"/>
      <c r="S168"/>
    </row>
    <row r="169" spans="5:23" s="79" customFormat="1" ht="15" customHeight="1" x14ac:dyDescent="0.2">
      <c r="F169" s="156"/>
      <c r="G169"/>
      <c r="H169"/>
      <c r="I169"/>
      <c r="J169"/>
      <c r="K169"/>
      <c r="L169"/>
      <c r="M169"/>
      <c r="N169"/>
      <c r="O169"/>
      <c r="P169"/>
      <c r="Q169"/>
      <c r="R169" s="154"/>
      <c r="S169"/>
    </row>
    <row r="170" spans="5:23" s="79" customFormat="1" ht="15" customHeight="1" x14ac:dyDescent="0.2">
      <c r="F170" s="156"/>
      <c r="G170"/>
      <c r="H170"/>
      <c r="I170"/>
      <c r="J170"/>
      <c r="K170"/>
      <c r="L170"/>
      <c r="M170"/>
      <c r="N170"/>
      <c r="O170"/>
      <c r="P170"/>
      <c r="Q170"/>
      <c r="R170" s="154"/>
      <c r="S170"/>
    </row>
    <row r="171" spans="5:23" s="79" customFormat="1" ht="15" customHeight="1" x14ac:dyDescent="0.2">
      <c r="F171" s="156"/>
      <c r="G171"/>
      <c r="H171"/>
      <c r="I171"/>
      <c r="J171"/>
      <c r="K171"/>
      <c r="L171"/>
      <c r="M171"/>
      <c r="N171"/>
      <c r="O171"/>
      <c r="P171"/>
      <c r="Q171"/>
      <c r="R171" s="154"/>
      <c r="S171"/>
    </row>
    <row r="172" spans="5:23" s="79" customFormat="1" ht="15" customHeight="1" x14ac:dyDescent="0.2">
      <c r="F172" s="156"/>
      <c r="G172"/>
      <c r="H172"/>
      <c r="I172"/>
      <c r="J172"/>
      <c r="K172"/>
      <c r="L172"/>
      <c r="M172"/>
      <c r="N172"/>
      <c r="O172"/>
      <c r="P172"/>
      <c r="Q172"/>
      <c r="R172" s="154"/>
      <c r="S172"/>
    </row>
    <row r="173" spans="5:23" s="79" customFormat="1" ht="15" customHeight="1" x14ac:dyDescent="0.2">
      <c r="K173" s="137"/>
      <c r="L173" s="131"/>
      <c r="M173" s="137"/>
      <c r="N173" s="131"/>
      <c r="O173" s="137"/>
      <c r="P173" s="131"/>
    </row>
    <row r="174" spans="5:23" s="79" customFormat="1" ht="15" customHeight="1" x14ac:dyDescent="0.2">
      <c r="K174" s="137"/>
      <c r="L174" s="131"/>
      <c r="M174" s="137"/>
      <c r="N174" s="131"/>
      <c r="O174" s="137"/>
      <c r="P174" s="131"/>
    </row>
    <row r="175" spans="5:23" s="79" customFormat="1" ht="15" customHeight="1" x14ac:dyDescent="0.2">
      <c r="K175" s="137"/>
      <c r="L175" s="131"/>
      <c r="M175" s="137"/>
      <c r="N175" s="131"/>
      <c r="O175" s="137"/>
      <c r="P175" s="131"/>
    </row>
    <row r="176" spans="5:23" s="79" customFormat="1" ht="15" customHeight="1" x14ac:dyDescent="0.2">
      <c r="K176" s="137"/>
      <c r="L176" s="131"/>
      <c r="M176" s="137"/>
      <c r="N176" s="131"/>
      <c r="O176" s="137"/>
      <c r="P176" s="131"/>
    </row>
    <row r="177" spans="11:16" s="79" customFormat="1" ht="15" customHeight="1" x14ac:dyDescent="0.2">
      <c r="K177" s="137"/>
      <c r="L177" s="131"/>
      <c r="M177" s="137"/>
      <c r="N177" s="131"/>
      <c r="O177" s="137"/>
      <c r="P177" s="131"/>
    </row>
    <row r="178" spans="11:16" s="79" customFormat="1" ht="15" customHeight="1" x14ac:dyDescent="0.2">
      <c r="K178" s="137"/>
      <c r="L178" s="131"/>
      <c r="M178" s="137"/>
      <c r="N178" s="131"/>
      <c r="O178" s="137"/>
      <c r="P178" s="131"/>
    </row>
    <row r="179" spans="11:16" s="79" customFormat="1" ht="15" customHeight="1" x14ac:dyDescent="0.2">
      <c r="K179" s="137"/>
      <c r="L179" s="131"/>
      <c r="M179" s="137"/>
      <c r="N179" s="131"/>
      <c r="O179" s="137"/>
      <c r="P179" s="131"/>
    </row>
    <row r="180" spans="11:16" s="79" customFormat="1" ht="15" customHeight="1" x14ac:dyDescent="0.2">
      <c r="K180" s="137"/>
      <c r="L180" s="131"/>
      <c r="M180" s="137"/>
      <c r="N180" s="131"/>
      <c r="O180" s="137"/>
      <c r="P180" s="131"/>
    </row>
    <row r="181" spans="11:16" s="79" customFormat="1" ht="15" customHeight="1" x14ac:dyDescent="0.2">
      <c r="K181" s="137"/>
      <c r="L181" s="131"/>
      <c r="M181" s="137"/>
      <c r="N181" s="131"/>
      <c r="O181" s="137"/>
      <c r="P181" s="131"/>
    </row>
    <row r="182" spans="11:16" s="79" customFormat="1" ht="15" customHeight="1" x14ac:dyDescent="0.2">
      <c r="K182" s="137"/>
      <c r="L182" s="131"/>
      <c r="M182" s="137"/>
      <c r="N182" s="131"/>
      <c r="O182" s="137"/>
      <c r="P182" s="131"/>
    </row>
    <row r="183" spans="11:16" s="79" customFormat="1" ht="15" customHeight="1" x14ac:dyDescent="0.2">
      <c r="K183" s="137"/>
      <c r="L183" s="131"/>
      <c r="M183" s="137"/>
      <c r="N183" s="131"/>
      <c r="O183" s="137"/>
      <c r="P183" s="131"/>
    </row>
    <row r="184" spans="11:16" s="79" customFormat="1" ht="15" customHeight="1" x14ac:dyDescent="0.2">
      <c r="K184" s="137"/>
      <c r="L184" s="131"/>
      <c r="M184" s="137"/>
      <c r="N184" s="131"/>
      <c r="O184" s="137"/>
      <c r="P184" s="131"/>
    </row>
    <row r="185" spans="11:16" s="79" customFormat="1" ht="15" customHeight="1" x14ac:dyDescent="0.2">
      <c r="K185" s="137"/>
      <c r="L185" s="131"/>
      <c r="M185" s="137"/>
      <c r="N185" s="131"/>
      <c r="O185" s="137"/>
      <c r="P185" s="131"/>
    </row>
    <row r="186" spans="11:16" s="79" customFormat="1" ht="15" customHeight="1" x14ac:dyDescent="0.2">
      <c r="K186" s="137"/>
      <c r="L186" s="131"/>
      <c r="M186" s="137"/>
      <c r="N186" s="131"/>
      <c r="O186" s="137"/>
      <c r="P186" s="131"/>
    </row>
    <row r="187" spans="11:16" s="79" customFormat="1" ht="15" customHeight="1" x14ac:dyDescent="0.2">
      <c r="K187" s="137"/>
      <c r="L187" s="131"/>
      <c r="M187" s="137"/>
      <c r="N187" s="131"/>
      <c r="O187" s="137"/>
      <c r="P187" s="131"/>
    </row>
    <row r="188" spans="11:16" s="79" customFormat="1" ht="15" customHeight="1" x14ac:dyDescent="0.2">
      <c r="K188" s="137"/>
      <c r="L188" s="131"/>
      <c r="M188" s="137"/>
      <c r="N188" s="131"/>
      <c r="O188" s="137"/>
      <c r="P188" s="13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EN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5" sqref="G5"/>
    </sheetView>
  </sheetViews>
  <sheetFormatPr baseColWidth="10" defaultColWidth="8.83203125" defaultRowHeight="13" x14ac:dyDescent="0.15"/>
  <cols>
    <col min="1" max="1" width="40" bestFit="1" customWidth="1"/>
    <col min="2" max="5" width="7.83203125" style="155" customWidth="1"/>
    <col min="6" max="35" width="8.83203125" style="3"/>
    <col min="78" max="78" width="22.1640625" bestFit="1" customWidth="1"/>
  </cols>
  <sheetData>
    <row r="1" spans="1:144" x14ac:dyDescent="0.15">
      <c r="A1" s="2" t="s">
        <v>159</v>
      </c>
      <c r="B1" s="34" t="s">
        <v>160</v>
      </c>
      <c r="C1" s="34" t="s">
        <v>17</v>
      </c>
      <c r="D1" s="34" t="s">
        <v>161</v>
      </c>
      <c r="E1" s="34" t="s">
        <v>162</v>
      </c>
      <c r="F1" s="3" t="s">
        <v>38</v>
      </c>
      <c r="G1" s="3" t="s">
        <v>40</v>
      </c>
      <c r="H1" s="3" t="s">
        <v>41</v>
      </c>
      <c r="I1" s="3" t="s">
        <v>225</v>
      </c>
      <c r="J1" s="3" t="s">
        <v>226</v>
      </c>
      <c r="K1" s="3" t="s">
        <v>227</v>
      </c>
      <c r="L1" s="3" t="s">
        <v>228</v>
      </c>
      <c r="M1" s="3" t="s">
        <v>229</v>
      </c>
      <c r="N1" s="3" t="s">
        <v>230</v>
      </c>
      <c r="O1" s="3" t="s">
        <v>231</v>
      </c>
      <c r="P1" s="3" t="s">
        <v>232</v>
      </c>
      <c r="Q1" s="3" t="s">
        <v>233</v>
      </c>
      <c r="R1" s="3" t="s">
        <v>234</v>
      </c>
      <c r="S1" s="3" t="s">
        <v>235</v>
      </c>
      <c r="T1" s="3" t="s">
        <v>236</v>
      </c>
      <c r="U1" s="3" t="s">
        <v>237</v>
      </c>
      <c r="V1" s="3" t="s">
        <v>238</v>
      </c>
      <c r="W1" s="3" t="s">
        <v>239</v>
      </c>
      <c r="X1" s="3" t="s">
        <v>240</v>
      </c>
      <c r="Y1" s="3" t="s">
        <v>241</v>
      </c>
      <c r="Z1" s="3" t="s">
        <v>242</v>
      </c>
      <c r="AA1" s="3" t="s">
        <v>243</v>
      </c>
      <c r="AB1" s="3" t="s">
        <v>244</v>
      </c>
      <c r="AC1" s="3" t="s">
        <v>245</v>
      </c>
      <c r="AD1" s="3" t="s">
        <v>246</v>
      </c>
      <c r="AE1" s="3" t="s">
        <v>247</v>
      </c>
      <c r="AF1" s="3" t="s">
        <v>248</v>
      </c>
      <c r="AG1" s="3" t="s">
        <v>249</v>
      </c>
      <c r="AH1" s="3" t="s">
        <v>250</v>
      </c>
      <c r="AI1" s="3" t="s">
        <v>251</v>
      </c>
      <c r="AJ1" t="s">
        <v>252</v>
      </c>
      <c r="AK1" t="s">
        <v>253</v>
      </c>
      <c r="AL1" t="s">
        <v>254</v>
      </c>
      <c r="AM1" t="s">
        <v>177</v>
      </c>
      <c r="AN1" t="s">
        <v>255</v>
      </c>
      <c r="AO1" t="s">
        <v>256</v>
      </c>
      <c r="AP1" t="s">
        <v>257</v>
      </c>
      <c r="AQ1" t="s">
        <v>178</v>
      </c>
      <c r="AR1" t="s">
        <v>258</v>
      </c>
      <c r="AS1" t="s">
        <v>179</v>
      </c>
      <c r="AT1" t="s">
        <v>259</v>
      </c>
      <c r="AU1" t="s">
        <v>260</v>
      </c>
      <c r="AV1" t="s">
        <v>261</v>
      </c>
      <c r="AW1" t="s">
        <v>262</v>
      </c>
      <c r="AX1" t="s">
        <v>263</v>
      </c>
      <c r="AY1" t="s">
        <v>264</v>
      </c>
      <c r="AZ1" t="s">
        <v>265</v>
      </c>
      <c r="BA1" t="s">
        <v>266</v>
      </c>
      <c r="BB1" t="s">
        <v>267</v>
      </c>
      <c r="BC1" t="s">
        <v>268</v>
      </c>
      <c r="BD1" t="s">
        <v>269</v>
      </c>
      <c r="BE1" t="s">
        <v>270</v>
      </c>
      <c r="BF1" t="s">
        <v>271</v>
      </c>
      <c r="BG1" t="s">
        <v>272</v>
      </c>
      <c r="BH1" t="s">
        <v>273</v>
      </c>
      <c r="BI1" t="s">
        <v>274</v>
      </c>
      <c r="BJ1" t="s">
        <v>275</v>
      </c>
      <c r="BK1" t="s">
        <v>276</v>
      </c>
      <c r="BL1" t="s">
        <v>277</v>
      </c>
      <c r="BM1" t="s">
        <v>278</v>
      </c>
      <c r="BN1" t="s">
        <v>279</v>
      </c>
      <c r="BO1" t="s">
        <v>280</v>
      </c>
      <c r="BP1" t="s">
        <v>281</v>
      </c>
      <c r="BQ1" t="s">
        <v>282</v>
      </c>
      <c r="BR1" t="s">
        <v>283</v>
      </c>
      <c r="BS1" t="s">
        <v>284</v>
      </c>
      <c r="BT1" t="s">
        <v>285</v>
      </c>
      <c r="BU1" t="s">
        <v>286</v>
      </c>
      <c r="BV1" t="s">
        <v>287</v>
      </c>
      <c r="BW1" t="s">
        <v>288</v>
      </c>
      <c r="BX1" t="s">
        <v>289</v>
      </c>
      <c r="BY1" t="s">
        <v>290</v>
      </c>
      <c r="BZ1" t="s">
        <v>291</v>
      </c>
      <c r="CA1" t="s">
        <v>180</v>
      </c>
      <c r="CB1" t="s">
        <v>292</v>
      </c>
      <c r="CC1" t="s">
        <v>293</v>
      </c>
      <c r="CD1" t="s">
        <v>294</v>
      </c>
      <c r="CE1" t="s">
        <v>295</v>
      </c>
      <c r="CF1" t="s">
        <v>296</v>
      </c>
      <c r="CG1" t="s">
        <v>297</v>
      </c>
      <c r="CH1" t="s">
        <v>298</v>
      </c>
      <c r="CI1" t="s">
        <v>299</v>
      </c>
      <c r="CJ1" t="s">
        <v>300</v>
      </c>
      <c r="CK1" t="s">
        <v>301</v>
      </c>
      <c r="CL1" t="s">
        <v>302</v>
      </c>
      <c r="CM1" t="s">
        <v>303</v>
      </c>
      <c r="CN1" t="s">
        <v>304</v>
      </c>
      <c r="CO1" t="s">
        <v>305</v>
      </c>
      <c r="CP1" t="s">
        <v>306</v>
      </c>
      <c r="CQ1" t="s">
        <v>307</v>
      </c>
      <c r="CR1" t="s">
        <v>308</v>
      </c>
      <c r="CS1" t="s">
        <v>309</v>
      </c>
      <c r="CT1" t="s">
        <v>310</v>
      </c>
      <c r="CU1" t="s">
        <v>311</v>
      </c>
      <c r="CV1" t="s">
        <v>312</v>
      </c>
      <c r="CW1" t="s">
        <v>313</v>
      </c>
      <c r="CX1" t="s">
        <v>314</v>
      </c>
      <c r="CY1" t="s">
        <v>315</v>
      </c>
      <c r="CZ1" t="s">
        <v>316</v>
      </c>
      <c r="DA1" t="s">
        <v>317</v>
      </c>
      <c r="DB1" t="s">
        <v>318</v>
      </c>
      <c r="DC1" t="s">
        <v>319</v>
      </c>
      <c r="DD1" t="s">
        <v>320</v>
      </c>
      <c r="DE1" t="s">
        <v>321</v>
      </c>
      <c r="DF1" t="s">
        <v>322</v>
      </c>
      <c r="DG1" t="s">
        <v>323</v>
      </c>
      <c r="DH1" t="s">
        <v>324</v>
      </c>
      <c r="DI1" t="s">
        <v>325</v>
      </c>
      <c r="DJ1" t="s">
        <v>326</v>
      </c>
      <c r="DK1" t="s">
        <v>327</v>
      </c>
      <c r="DL1" t="s">
        <v>328</v>
      </c>
      <c r="DM1" t="s">
        <v>329</v>
      </c>
      <c r="DN1" t="s">
        <v>330</v>
      </c>
      <c r="DO1" t="s">
        <v>331</v>
      </c>
      <c r="DP1" t="s">
        <v>332</v>
      </c>
      <c r="DQ1" t="s">
        <v>333</v>
      </c>
      <c r="DR1" t="s">
        <v>334</v>
      </c>
      <c r="DS1" t="s">
        <v>335</v>
      </c>
      <c r="DT1" t="s">
        <v>336</v>
      </c>
      <c r="DU1" t="s">
        <v>337</v>
      </c>
      <c r="DV1" t="s">
        <v>338</v>
      </c>
      <c r="DW1" t="s">
        <v>339</v>
      </c>
      <c r="DX1" t="s">
        <v>340</v>
      </c>
      <c r="DY1" t="s">
        <v>341</v>
      </c>
      <c r="DZ1" t="s">
        <v>342</v>
      </c>
      <c r="EA1" t="s">
        <v>343</v>
      </c>
      <c r="EB1" t="s">
        <v>344</v>
      </c>
      <c r="EC1" t="s">
        <v>345</v>
      </c>
      <c r="ED1" t="s">
        <v>346</v>
      </c>
      <c r="EE1" t="s">
        <v>347</v>
      </c>
      <c r="EF1" t="s">
        <v>348</v>
      </c>
      <c r="EG1" t="s">
        <v>349</v>
      </c>
      <c r="EH1" t="s">
        <v>350</v>
      </c>
      <c r="EI1" t="s">
        <v>351</v>
      </c>
      <c r="EJ1" t="s">
        <v>352</v>
      </c>
      <c r="EK1" t="s">
        <v>353</v>
      </c>
      <c r="EL1" t="s">
        <v>354</v>
      </c>
      <c r="EM1" t="s">
        <v>355</v>
      </c>
      <c r="EN1" t="s">
        <v>356</v>
      </c>
    </row>
    <row r="2" spans="1:144" x14ac:dyDescent="0.15">
      <c r="A2" t="s">
        <v>38</v>
      </c>
      <c r="B2" s="155">
        <v>0</v>
      </c>
      <c r="C2" s="155">
        <v>0</v>
      </c>
      <c r="D2" s="155">
        <v>0</v>
      </c>
      <c r="E2" s="155">
        <v>0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144" x14ac:dyDescent="0.15">
      <c r="A3" t="s">
        <v>40</v>
      </c>
      <c r="B3" s="155">
        <v>0</v>
      </c>
      <c r="C3" s="155">
        <v>0</v>
      </c>
      <c r="D3" s="155">
        <v>0</v>
      </c>
      <c r="E3" s="155">
        <v>0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144" x14ac:dyDescent="0.15">
      <c r="A4" t="s">
        <v>41</v>
      </c>
      <c r="B4" s="155">
        <v>0</v>
      </c>
      <c r="C4" s="155">
        <v>0</v>
      </c>
      <c r="D4" s="155">
        <v>0</v>
      </c>
      <c r="E4" s="155">
        <v>0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144" x14ac:dyDescent="0.15">
      <c r="A5" t="s">
        <v>225</v>
      </c>
      <c r="B5" s="155">
        <v>0</v>
      </c>
      <c r="C5" s="155">
        <v>0</v>
      </c>
      <c r="D5" s="155">
        <v>0</v>
      </c>
      <c r="E5" s="155">
        <v>0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144" x14ac:dyDescent="0.15">
      <c r="A6" t="s">
        <v>226</v>
      </c>
      <c r="B6" s="155">
        <v>0</v>
      </c>
      <c r="C6" s="155">
        <v>0</v>
      </c>
      <c r="D6" s="155">
        <v>0</v>
      </c>
      <c r="E6" s="155">
        <v>0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144" x14ac:dyDescent="0.15">
      <c r="A7" t="s">
        <v>227</v>
      </c>
      <c r="B7" s="155">
        <v>0</v>
      </c>
      <c r="C7" s="155">
        <v>0</v>
      </c>
      <c r="D7" s="155">
        <v>0</v>
      </c>
      <c r="E7" s="155">
        <v>0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144" x14ac:dyDescent="0.15">
      <c r="A8" t="s">
        <v>228</v>
      </c>
      <c r="B8" s="155">
        <v>0</v>
      </c>
      <c r="C8" s="155">
        <v>0</v>
      </c>
      <c r="D8" s="155">
        <v>0</v>
      </c>
      <c r="E8" s="155">
        <v>0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144" x14ac:dyDescent="0.15">
      <c r="A9" t="s">
        <v>229</v>
      </c>
      <c r="B9" s="155">
        <v>0</v>
      </c>
      <c r="C9" s="155">
        <v>0</v>
      </c>
      <c r="D9" s="155">
        <v>0</v>
      </c>
      <c r="E9" s="155">
        <v>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144" x14ac:dyDescent="0.15">
      <c r="A10" t="s">
        <v>230</v>
      </c>
      <c r="B10" s="155">
        <v>0</v>
      </c>
      <c r="C10" s="155">
        <v>0</v>
      </c>
      <c r="D10" s="155">
        <v>0</v>
      </c>
      <c r="E10" s="155">
        <v>0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144" x14ac:dyDescent="0.15">
      <c r="A11" t="s">
        <v>231</v>
      </c>
      <c r="B11" s="155">
        <v>0</v>
      </c>
      <c r="C11" s="155">
        <v>0</v>
      </c>
      <c r="D11" s="155">
        <v>0</v>
      </c>
      <c r="E11" s="155">
        <v>0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144" x14ac:dyDescent="0.15">
      <c r="A12" t="s">
        <v>232</v>
      </c>
      <c r="B12" s="155">
        <v>0</v>
      </c>
      <c r="C12" s="155">
        <v>0</v>
      </c>
      <c r="D12" s="155">
        <v>0</v>
      </c>
      <c r="E12" s="155">
        <v>0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144" x14ac:dyDescent="0.15">
      <c r="A13" t="s">
        <v>233</v>
      </c>
      <c r="B13" s="155">
        <v>0</v>
      </c>
      <c r="C13" s="155">
        <v>0</v>
      </c>
      <c r="D13" s="155">
        <v>0</v>
      </c>
      <c r="E13" s="155">
        <v>0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144" x14ac:dyDescent="0.15">
      <c r="A14" t="s">
        <v>234</v>
      </c>
      <c r="B14" s="155">
        <v>0</v>
      </c>
      <c r="C14" s="155">
        <v>0</v>
      </c>
      <c r="D14" s="155">
        <v>0</v>
      </c>
      <c r="E14" s="155">
        <v>0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144" x14ac:dyDescent="0.15">
      <c r="A15" t="s">
        <v>235</v>
      </c>
      <c r="B15" s="155">
        <v>0</v>
      </c>
      <c r="C15" s="155">
        <v>0</v>
      </c>
      <c r="D15" s="155">
        <v>0</v>
      </c>
      <c r="E15" s="155">
        <v>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144" x14ac:dyDescent="0.15">
      <c r="A16" t="s">
        <v>236</v>
      </c>
      <c r="B16" s="155">
        <v>0</v>
      </c>
      <c r="C16" s="155">
        <v>0</v>
      </c>
      <c r="D16" s="155">
        <v>0</v>
      </c>
      <c r="E16" s="155">
        <v>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15">
      <c r="A17" t="s">
        <v>237</v>
      </c>
      <c r="B17" s="155">
        <v>0</v>
      </c>
      <c r="C17" s="155">
        <v>0</v>
      </c>
      <c r="D17" s="155">
        <v>0</v>
      </c>
      <c r="E17" s="155">
        <v>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15">
      <c r="A18" t="s">
        <v>238</v>
      </c>
      <c r="B18" s="155">
        <v>0</v>
      </c>
      <c r="C18" s="155">
        <v>0</v>
      </c>
      <c r="D18" s="155">
        <v>0</v>
      </c>
      <c r="E18" s="155">
        <v>0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15">
      <c r="A19" t="s">
        <v>239</v>
      </c>
      <c r="B19" s="155">
        <v>0</v>
      </c>
      <c r="C19" s="155">
        <v>0</v>
      </c>
      <c r="D19" s="155">
        <v>0</v>
      </c>
      <c r="E19" s="155">
        <v>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15">
      <c r="A20" t="s">
        <v>240</v>
      </c>
      <c r="B20" s="155">
        <v>0</v>
      </c>
      <c r="C20" s="155">
        <v>0</v>
      </c>
      <c r="D20" s="155">
        <v>0</v>
      </c>
      <c r="E20" s="155">
        <v>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15">
      <c r="A21" t="s">
        <v>241</v>
      </c>
      <c r="B21" s="155">
        <v>0</v>
      </c>
      <c r="C21" s="155">
        <v>0</v>
      </c>
      <c r="D21" s="155">
        <v>0</v>
      </c>
      <c r="E21" s="155">
        <v>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15">
      <c r="A22" t="s">
        <v>242</v>
      </c>
      <c r="B22" s="155">
        <v>0</v>
      </c>
      <c r="C22" s="155">
        <v>0</v>
      </c>
      <c r="D22" s="155">
        <v>0</v>
      </c>
      <c r="E22" s="155">
        <v>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15">
      <c r="A23" t="s">
        <v>243</v>
      </c>
      <c r="B23" s="155">
        <v>0</v>
      </c>
      <c r="C23" s="155">
        <v>0</v>
      </c>
      <c r="D23" s="155">
        <v>0</v>
      </c>
      <c r="E23" s="155">
        <v>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15">
      <c r="A24" t="s">
        <v>244</v>
      </c>
      <c r="B24" s="155">
        <v>0</v>
      </c>
      <c r="C24" s="155">
        <v>0</v>
      </c>
      <c r="D24" s="155">
        <v>0</v>
      </c>
      <c r="E24" s="155">
        <v>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15">
      <c r="A25" t="s">
        <v>245</v>
      </c>
      <c r="B25" s="155">
        <v>0</v>
      </c>
      <c r="C25" s="155">
        <v>0</v>
      </c>
      <c r="D25" s="155">
        <v>0</v>
      </c>
      <c r="E25" s="155">
        <v>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15">
      <c r="A26" t="s">
        <v>246</v>
      </c>
      <c r="B26" s="155">
        <v>0</v>
      </c>
      <c r="C26" s="155">
        <v>0</v>
      </c>
      <c r="D26" s="155">
        <v>0</v>
      </c>
      <c r="E26" s="155">
        <v>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15">
      <c r="A27" t="s">
        <v>247</v>
      </c>
      <c r="B27" s="155">
        <v>0</v>
      </c>
      <c r="C27" s="155">
        <v>0</v>
      </c>
      <c r="D27" s="155">
        <v>0</v>
      </c>
      <c r="E27" s="155">
        <v>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15">
      <c r="A28" t="s">
        <v>248</v>
      </c>
      <c r="B28" s="155">
        <v>0</v>
      </c>
      <c r="C28" s="155">
        <v>0</v>
      </c>
      <c r="D28" s="155">
        <v>0</v>
      </c>
      <c r="E28" s="155">
        <v>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15">
      <c r="A29" t="s">
        <v>249</v>
      </c>
      <c r="B29" s="155">
        <v>0</v>
      </c>
      <c r="C29" s="155">
        <v>0</v>
      </c>
      <c r="D29" s="155">
        <v>0</v>
      </c>
      <c r="E29" s="155">
        <v>0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15">
      <c r="A30" t="s">
        <v>250</v>
      </c>
      <c r="B30" s="155">
        <v>0</v>
      </c>
      <c r="C30" s="155">
        <v>0</v>
      </c>
      <c r="D30" s="155">
        <v>0</v>
      </c>
      <c r="E30" s="155">
        <v>0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15">
      <c r="A31" t="s">
        <v>251</v>
      </c>
      <c r="B31" s="155">
        <v>0</v>
      </c>
      <c r="C31" s="155">
        <v>0</v>
      </c>
      <c r="D31" s="155">
        <v>0</v>
      </c>
      <c r="E31" s="155">
        <v>0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15">
      <c r="A32" t="s">
        <v>252</v>
      </c>
      <c r="B32" s="155">
        <v>0</v>
      </c>
      <c r="C32" s="155">
        <v>0</v>
      </c>
      <c r="D32" s="155">
        <v>0</v>
      </c>
      <c r="E32" s="155">
        <v>0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15">
      <c r="A33" t="s">
        <v>253</v>
      </c>
      <c r="B33" s="155">
        <v>0</v>
      </c>
      <c r="C33" s="155">
        <v>0</v>
      </c>
      <c r="D33" s="155">
        <v>0</v>
      </c>
      <c r="E33" s="155">
        <v>0</v>
      </c>
    </row>
    <row r="34" spans="1:35" x14ac:dyDescent="0.15">
      <c r="A34" t="s">
        <v>254</v>
      </c>
      <c r="B34" s="155">
        <v>0</v>
      </c>
      <c r="C34" s="155">
        <v>0</v>
      </c>
      <c r="D34" s="155">
        <v>0</v>
      </c>
      <c r="E34" s="155">
        <v>0</v>
      </c>
    </row>
    <row r="35" spans="1:35" x14ac:dyDescent="0.15">
      <c r="A35" t="s">
        <v>177</v>
      </c>
      <c r="B35" s="155">
        <v>0</v>
      </c>
      <c r="C35" s="155">
        <v>0</v>
      </c>
      <c r="D35" s="155">
        <v>0</v>
      </c>
      <c r="E35" s="155">
        <v>0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15">
      <c r="A36" t="s">
        <v>255</v>
      </c>
      <c r="B36" s="155">
        <v>0</v>
      </c>
      <c r="C36" s="155">
        <v>0</v>
      </c>
      <c r="D36" s="155">
        <v>0</v>
      </c>
      <c r="E36" s="155">
        <v>0</v>
      </c>
    </row>
    <row r="37" spans="1:35" x14ac:dyDescent="0.15">
      <c r="A37" t="s">
        <v>256</v>
      </c>
      <c r="B37" s="155">
        <v>0</v>
      </c>
      <c r="C37" s="155">
        <v>0</v>
      </c>
      <c r="D37" s="155">
        <v>0</v>
      </c>
      <c r="E37" s="155">
        <v>0</v>
      </c>
    </row>
    <row r="38" spans="1:35" x14ac:dyDescent="0.15">
      <c r="A38" t="s">
        <v>257</v>
      </c>
      <c r="B38" s="155">
        <v>0</v>
      </c>
      <c r="C38" s="155">
        <v>0</v>
      </c>
      <c r="D38" s="155">
        <v>0</v>
      </c>
      <c r="E38" s="155">
        <v>0</v>
      </c>
    </row>
    <row r="39" spans="1:35" x14ac:dyDescent="0.15">
      <c r="A39" t="s">
        <v>178</v>
      </c>
      <c r="B39" s="155">
        <v>0</v>
      </c>
      <c r="C39" s="155">
        <v>0</v>
      </c>
      <c r="D39" s="155">
        <v>0</v>
      </c>
      <c r="E39" s="155">
        <v>0</v>
      </c>
    </row>
    <row r="40" spans="1:35" x14ac:dyDescent="0.15">
      <c r="A40" t="s">
        <v>258</v>
      </c>
      <c r="B40" s="155">
        <v>0</v>
      </c>
      <c r="C40" s="155">
        <v>0</v>
      </c>
      <c r="D40" s="155">
        <v>0</v>
      </c>
      <c r="E40" s="155">
        <v>0</v>
      </c>
    </row>
    <row r="41" spans="1:35" x14ac:dyDescent="0.15">
      <c r="A41" t="s">
        <v>179</v>
      </c>
      <c r="B41" s="155">
        <v>0</v>
      </c>
      <c r="C41" s="155">
        <v>0</v>
      </c>
      <c r="D41" s="155">
        <v>0</v>
      </c>
      <c r="E41" s="155">
        <v>0</v>
      </c>
    </row>
    <row r="42" spans="1:35" x14ac:dyDescent="0.15">
      <c r="A42" t="s">
        <v>259</v>
      </c>
      <c r="B42" s="155">
        <v>0</v>
      </c>
      <c r="C42" s="155">
        <v>0</v>
      </c>
      <c r="D42" s="155">
        <v>0</v>
      </c>
      <c r="E42" s="155">
        <v>0</v>
      </c>
    </row>
    <row r="43" spans="1:35" x14ac:dyDescent="0.15">
      <c r="A43" t="s">
        <v>260</v>
      </c>
      <c r="B43" s="155">
        <v>0</v>
      </c>
      <c r="C43" s="155">
        <v>0</v>
      </c>
      <c r="D43" s="155">
        <v>0</v>
      </c>
      <c r="E43" s="155">
        <v>0</v>
      </c>
    </row>
    <row r="44" spans="1:35" x14ac:dyDescent="0.15">
      <c r="A44" t="s">
        <v>261</v>
      </c>
      <c r="B44" s="155">
        <v>0</v>
      </c>
      <c r="C44" s="155">
        <v>0</v>
      </c>
      <c r="D44" s="155">
        <v>0</v>
      </c>
      <c r="E44" s="155">
        <v>0</v>
      </c>
    </row>
    <row r="45" spans="1:35" x14ac:dyDescent="0.15">
      <c r="A45" t="s">
        <v>262</v>
      </c>
      <c r="B45" s="155">
        <v>0</v>
      </c>
      <c r="C45" s="155">
        <v>0</v>
      </c>
      <c r="D45" s="155">
        <v>0</v>
      </c>
      <c r="E45" s="155">
        <v>0</v>
      </c>
    </row>
    <row r="46" spans="1:35" x14ac:dyDescent="0.15">
      <c r="A46" t="s">
        <v>263</v>
      </c>
      <c r="B46" s="155">
        <v>0</v>
      </c>
      <c r="C46" s="155">
        <v>0</v>
      </c>
      <c r="D46" s="155">
        <v>0</v>
      </c>
      <c r="E46" s="155">
        <v>0</v>
      </c>
    </row>
    <row r="47" spans="1:35" x14ac:dyDescent="0.15">
      <c r="A47" t="s">
        <v>264</v>
      </c>
      <c r="B47" s="155">
        <v>0</v>
      </c>
      <c r="C47" s="155">
        <v>0</v>
      </c>
      <c r="D47" s="155">
        <v>0</v>
      </c>
      <c r="E47" s="155">
        <v>0</v>
      </c>
    </row>
    <row r="48" spans="1:35" x14ac:dyDescent="0.15">
      <c r="A48" t="s">
        <v>265</v>
      </c>
      <c r="B48" s="155">
        <v>0</v>
      </c>
      <c r="C48" s="155">
        <v>0</v>
      </c>
      <c r="D48" s="155">
        <v>0</v>
      </c>
      <c r="E48" s="155">
        <v>0</v>
      </c>
    </row>
    <row r="49" spans="1:5" x14ac:dyDescent="0.15">
      <c r="A49" t="s">
        <v>266</v>
      </c>
      <c r="B49" s="155">
        <v>0</v>
      </c>
      <c r="C49" s="155">
        <v>0</v>
      </c>
      <c r="D49" s="155">
        <v>0</v>
      </c>
      <c r="E49" s="155">
        <v>0</v>
      </c>
    </row>
    <row r="50" spans="1:5" x14ac:dyDescent="0.15">
      <c r="A50" t="s">
        <v>267</v>
      </c>
      <c r="B50" s="155">
        <v>0</v>
      </c>
      <c r="C50" s="155">
        <v>0</v>
      </c>
      <c r="D50" s="155">
        <v>0</v>
      </c>
      <c r="E50" s="155">
        <v>0</v>
      </c>
    </row>
    <row r="51" spans="1:5" x14ac:dyDescent="0.15">
      <c r="A51" t="s">
        <v>268</v>
      </c>
      <c r="B51" s="155">
        <v>0</v>
      </c>
      <c r="C51" s="155">
        <v>0</v>
      </c>
      <c r="D51" s="155">
        <v>0</v>
      </c>
      <c r="E51" s="155">
        <v>0</v>
      </c>
    </row>
    <row r="52" spans="1:5" x14ac:dyDescent="0.15">
      <c r="A52" t="s">
        <v>269</v>
      </c>
      <c r="B52" s="155">
        <v>0</v>
      </c>
      <c r="C52" s="155">
        <v>0</v>
      </c>
      <c r="D52" s="155">
        <v>0</v>
      </c>
      <c r="E52" s="155">
        <v>0</v>
      </c>
    </row>
    <row r="53" spans="1:5" x14ac:dyDescent="0.15">
      <c r="A53" t="s">
        <v>270</v>
      </c>
      <c r="B53" s="155">
        <v>0</v>
      </c>
      <c r="C53" s="155">
        <v>0</v>
      </c>
      <c r="D53" s="155">
        <v>0</v>
      </c>
      <c r="E53" s="155">
        <v>0</v>
      </c>
    </row>
    <row r="54" spans="1:5" x14ac:dyDescent="0.15">
      <c r="A54" t="s">
        <v>271</v>
      </c>
      <c r="B54" s="155">
        <v>0</v>
      </c>
      <c r="C54" s="155">
        <v>0</v>
      </c>
      <c r="D54" s="155">
        <v>0</v>
      </c>
      <c r="E54" s="155">
        <v>0</v>
      </c>
    </row>
    <row r="55" spans="1:5" x14ac:dyDescent="0.15">
      <c r="A55" t="s">
        <v>272</v>
      </c>
      <c r="B55" s="155">
        <v>0</v>
      </c>
      <c r="C55" s="155">
        <v>0</v>
      </c>
      <c r="D55" s="155">
        <v>0</v>
      </c>
      <c r="E55" s="155">
        <v>0</v>
      </c>
    </row>
    <row r="56" spans="1:5" x14ac:dyDescent="0.15">
      <c r="A56" t="s">
        <v>273</v>
      </c>
      <c r="B56" s="155">
        <v>0</v>
      </c>
      <c r="C56" s="155">
        <v>0</v>
      </c>
      <c r="D56" s="155">
        <v>0</v>
      </c>
      <c r="E56" s="155">
        <v>0</v>
      </c>
    </row>
    <row r="57" spans="1:5" x14ac:dyDescent="0.15">
      <c r="A57" t="s">
        <v>274</v>
      </c>
      <c r="B57" s="155">
        <v>0</v>
      </c>
      <c r="C57" s="155">
        <v>0</v>
      </c>
      <c r="D57" s="155">
        <v>0</v>
      </c>
      <c r="E57" s="155">
        <v>0</v>
      </c>
    </row>
    <row r="58" spans="1:5" x14ac:dyDescent="0.15">
      <c r="A58" t="s">
        <v>275</v>
      </c>
      <c r="B58" s="155">
        <v>0</v>
      </c>
      <c r="C58" s="155">
        <v>0</v>
      </c>
      <c r="D58" s="155">
        <v>0</v>
      </c>
      <c r="E58" s="155">
        <v>0</v>
      </c>
    </row>
    <row r="59" spans="1:5" x14ac:dyDescent="0.15">
      <c r="A59" t="s">
        <v>276</v>
      </c>
      <c r="B59" s="155">
        <v>0</v>
      </c>
      <c r="C59" s="155">
        <v>0</v>
      </c>
      <c r="D59" s="155">
        <v>0</v>
      </c>
      <c r="E59" s="155">
        <v>0</v>
      </c>
    </row>
    <row r="60" spans="1:5" x14ac:dyDescent="0.15">
      <c r="A60" t="s">
        <v>277</v>
      </c>
      <c r="B60" s="155">
        <v>0</v>
      </c>
      <c r="C60" s="155">
        <v>0</v>
      </c>
      <c r="D60" s="155">
        <v>0</v>
      </c>
      <c r="E60" s="155">
        <v>0</v>
      </c>
    </row>
    <row r="61" spans="1:5" x14ac:dyDescent="0.15">
      <c r="A61" t="s">
        <v>278</v>
      </c>
      <c r="B61" s="155">
        <v>0</v>
      </c>
      <c r="C61" s="155">
        <v>0</v>
      </c>
      <c r="D61" s="155">
        <v>0</v>
      </c>
      <c r="E61" s="155">
        <v>0</v>
      </c>
    </row>
    <row r="62" spans="1:5" x14ac:dyDescent="0.15">
      <c r="A62" t="s">
        <v>279</v>
      </c>
      <c r="B62" s="155">
        <v>0</v>
      </c>
      <c r="C62" s="155">
        <v>0</v>
      </c>
      <c r="D62" s="155">
        <v>0</v>
      </c>
      <c r="E62" s="155">
        <v>0</v>
      </c>
    </row>
    <row r="63" spans="1:5" x14ac:dyDescent="0.15">
      <c r="A63" t="s">
        <v>280</v>
      </c>
      <c r="B63" s="155">
        <v>0</v>
      </c>
      <c r="C63" s="155">
        <v>0</v>
      </c>
      <c r="D63" s="155">
        <v>0</v>
      </c>
      <c r="E63" s="155">
        <v>0</v>
      </c>
    </row>
    <row r="64" spans="1:5" x14ac:dyDescent="0.15">
      <c r="A64" t="s">
        <v>281</v>
      </c>
      <c r="B64" s="155">
        <v>0</v>
      </c>
      <c r="C64" s="155">
        <v>0</v>
      </c>
      <c r="D64" s="155">
        <v>0</v>
      </c>
      <c r="E64" s="155">
        <v>0</v>
      </c>
    </row>
    <row r="65" spans="1:5" x14ac:dyDescent="0.15">
      <c r="A65" t="s">
        <v>282</v>
      </c>
      <c r="B65" s="155">
        <v>0</v>
      </c>
      <c r="C65" s="155">
        <v>0</v>
      </c>
      <c r="D65" s="155">
        <v>0</v>
      </c>
      <c r="E65" s="155">
        <v>0</v>
      </c>
    </row>
    <row r="66" spans="1:5" x14ac:dyDescent="0.15">
      <c r="A66" t="s">
        <v>283</v>
      </c>
      <c r="B66" s="155">
        <v>0</v>
      </c>
      <c r="C66" s="155">
        <v>0</v>
      </c>
      <c r="D66" s="155">
        <v>0</v>
      </c>
      <c r="E66" s="155">
        <v>0</v>
      </c>
    </row>
    <row r="67" spans="1:5" x14ac:dyDescent="0.15">
      <c r="A67" t="s">
        <v>284</v>
      </c>
      <c r="B67" s="155">
        <v>0</v>
      </c>
      <c r="C67" s="155">
        <v>0</v>
      </c>
      <c r="D67" s="155">
        <v>0</v>
      </c>
      <c r="E67" s="155">
        <v>0</v>
      </c>
    </row>
    <row r="68" spans="1:5" x14ac:dyDescent="0.15">
      <c r="A68" t="s">
        <v>285</v>
      </c>
      <c r="B68" s="155">
        <v>0</v>
      </c>
      <c r="C68" s="155">
        <v>0</v>
      </c>
      <c r="D68" s="155">
        <v>0</v>
      </c>
      <c r="E68" s="155">
        <v>0</v>
      </c>
    </row>
    <row r="69" spans="1:5" x14ac:dyDescent="0.15">
      <c r="A69" t="s">
        <v>286</v>
      </c>
      <c r="B69" s="155">
        <v>0</v>
      </c>
      <c r="C69" s="155">
        <v>0</v>
      </c>
      <c r="D69" s="155">
        <v>0</v>
      </c>
      <c r="E69" s="155">
        <v>0</v>
      </c>
    </row>
    <row r="70" spans="1:5" x14ac:dyDescent="0.15">
      <c r="A70" t="s">
        <v>287</v>
      </c>
      <c r="B70" s="155">
        <v>0</v>
      </c>
      <c r="C70" s="155">
        <v>0</v>
      </c>
      <c r="D70" s="155">
        <v>0</v>
      </c>
      <c r="E70" s="155">
        <v>0</v>
      </c>
    </row>
    <row r="71" spans="1:5" x14ac:dyDescent="0.15">
      <c r="A71" t="s">
        <v>288</v>
      </c>
      <c r="B71" s="155">
        <v>0</v>
      </c>
      <c r="C71" s="155">
        <v>0</v>
      </c>
      <c r="D71" s="155">
        <v>0</v>
      </c>
      <c r="E71" s="155">
        <v>0</v>
      </c>
    </row>
    <row r="72" spans="1:5" x14ac:dyDescent="0.15">
      <c r="A72" t="s">
        <v>289</v>
      </c>
      <c r="B72" s="155">
        <v>0</v>
      </c>
      <c r="C72" s="155">
        <v>0</v>
      </c>
      <c r="D72" s="155">
        <v>0</v>
      </c>
      <c r="E72" s="155">
        <v>0</v>
      </c>
    </row>
    <row r="73" spans="1:5" x14ac:dyDescent="0.15">
      <c r="A73" t="s">
        <v>290</v>
      </c>
      <c r="B73" s="155">
        <v>0</v>
      </c>
      <c r="C73" s="155">
        <v>0</v>
      </c>
      <c r="D73" s="155">
        <v>0</v>
      </c>
      <c r="E73" s="155">
        <v>0</v>
      </c>
    </row>
    <row r="74" spans="1:5" x14ac:dyDescent="0.15">
      <c r="A74" t="s">
        <v>291</v>
      </c>
      <c r="B74" s="155">
        <v>0</v>
      </c>
      <c r="C74" s="155">
        <v>0</v>
      </c>
      <c r="D74" s="155">
        <v>0</v>
      </c>
      <c r="E74" s="155">
        <v>0</v>
      </c>
    </row>
    <row r="75" spans="1:5" x14ac:dyDescent="0.15">
      <c r="A75" t="s">
        <v>180</v>
      </c>
      <c r="B75" s="155">
        <v>0</v>
      </c>
      <c r="C75" s="155">
        <v>0</v>
      </c>
      <c r="D75" s="155">
        <v>0</v>
      </c>
      <c r="E75" s="155">
        <v>0</v>
      </c>
    </row>
    <row r="76" spans="1:5" x14ac:dyDescent="0.15">
      <c r="A76" t="s">
        <v>292</v>
      </c>
      <c r="B76" s="155">
        <v>0</v>
      </c>
      <c r="C76" s="155">
        <v>0</v>
      </c>
      <c r="D76" s="155">
        <v>0</v>
      </c>
      <c r="E76" s="155">
        <v>0</v>
      </c>
    </row>
    <row r="77" spans="1:5" x14ac:dyDescent="0.15">
      <c r="A77" t="s">
        <v>293</v>
      </c>
      <c r="B77" s="155">
        <v>0</v>
      </c>
      <c r="C77" s="155">
        <v>0</v>
      </c>
      <c r="D77" s="155">
        <v>0</v>
      </c>
      <c r="E77" s="155">
        <v>0</v>
      </c>
    </row>
    <row r="78" spans="1:5" x14ac:dyDescent="0.15">
      <c r="A78" t="s">
        <v>294</v>
      </c>
      <c r="B78" s="155">
        <v>0</v>
      </c>
      <c r="C78" s="155">
        <v>0</v>
      </c>
      <c r="D78" s="155">
        <v>0</v>
      </c>
      <c r="E78" s="155">
        <v>0</v>
      </c>
    </row>
    <row r="79" spans="1:5" x14ac:dyDescent="0.15">
      <c r="A79" t="s">
        <v>295</v>
      </c>
      <c r="B79" s="155">
        <v>0</v>
      </c>
      <c r="C79" s="155">
        <v>0</v>
      </c>
      <c r="D79" s="155">
        <v>0</v>
      </c>
      <c r="E79" s="155">
        <v>0</v>
      </c>
    </row>
    <row r="80" spans="1:5" x14ac:dyDescent="0.15">
      <c r="A80" t="s">
        <v>296</v>
      </c>
      <c r="B80" s="155">
        <v>0</v>
      </c>
      <c r="C80" s="155">
        <v>0</v>
      </c>
      <c r="D80" s="155">
        <v>0</v>
      </c>
      <c r="E80" s="155">
        <v>0</v>
      </c>
    </row>
    <row r="81" spans="1:5" x14ac:dyDescent="0.15">
      <c r="A81" t="s">
        <v>297</v>
      </c>
      <c r="B81" s="155">
        <v>0</v>
      </c>
      <c r="C81" s="155">
        <v>0</v>
      </c>
      <c r="D81" s="155">
        <v>0</v>
      </c>
      <c r="E81" s="155">
        <v>0</v>
      </c>
    </row>
    <row r="82" spans="1:5" x14ac:dyDescent="0.15">
      <c r="A82" t="s">
        <v>298</v>
      </c>
      <c r="B82" s="155">
        <v>0</v>
      </c>
      <c r="C82" s="155">
        <v>0</v>
      </c>
      <c r="D82" s="155">
        <v>0</v>
      </c>
      <c r="E82" s="155">
        <v>0</v>
      </c>
    </row>
    <row r="83" spans="1:5" x14ac:dyDescent="0.15">
      <c r="A83" t="s">
        <v>299</v>
      </c>
      <c r="B83" s="155">
        <v>0</v>
      </c>
      <c r="C83" s="155">
        <v>0</v>
      </c>
      <c r="D83" s="155">
        <v>0</v>
      </c>
      <c r="E83" s="155">
        <v>0</v>
      </c>
    </row>
    <row r="84" spans="1:5" x14ac:dyDescent="0.15">
      <c r="A84" t="s">
        <v>300</v>
      </c>
      <c r="B84" s="155">
        <v>0</v>
      </c>
      <c r="C84" s="155">
        <v>0</v>
      </c>
      <c r="D84" s="155">
        <v>0</v>
      </c>
      <c r="E84" s="155">
        <v>0</v>
      </c>
    </row>
    <row r="85" spans="1:5" x14ac:dyDescent="0.15">
      <c r="A85" t="s">
        <v>301</v>
      </c>
      <c r="B85" s="155">
        <v>0</v>
      </c>
      <c r="C85" s="155">
        <v>0</v>
      </c>
      <c r="D85" s="155">
        <v>0</v>
      </c>
      <c r="E85" s="155">
        <v>0</v>
      </c>
    </row>
    <row r="86" spans="1:5" x14ac:dyDescent="0.15">
      <c r="A86" t="s">
        <v>302</v>
      </c>
      <c r="B86" s="155">
        <v>0</v>
      </c>
      <c r="C86" s="155">
        <v>0</v>
      </c>
      <c r="D86" s="155">
        <v>0</v>
      </c>
      <c r="E86" s="155">
        <v>0</v>
      </c>
    </row>
    <row r="87" spans="1:5" x14ac:dyDescent="0.15">
      <c r="A87" t="s">
        <v>303</v>
      </c>
      <c r="B87" s="155">
        <v>0</v>
      </c>
      <c r="C87" s="155">
        <v>0</v>
      </c>
      <c r="D87" s="155">
        <v>0</v>
      </c>
      <c r="E87" s="155">
        <v>0</v>
      </c>
    </row>
    <row r="88" spans="1:5" x14ac:dyDescent="0.15">
      <c r="A88" t="s">
        <v>304</v>
      </c>
      <c r="B88" s="155">
        <v>0</v>
      </c>
      <c r="C88" s="155">
        <v>0</v>
      </c>
      <c r="D88" s="155">
        <v>0</v>
      </c>
      <c r="E88" s="155">
        <v>0</v>
      </c>
    </row>
    <row r="89" spans="1:5" x14ac:dyDescent="0.15">
      <c r="A89" t="s">
        <v>305</v>
      </c>
      <c r="B89" s="155">
        <v>0</v>
      </c>
      <c r="C89" s="155">
        <v>0</v>
      </c>
      <c r="D89" s="155">
        <v>0</v>
      </c>
      <c r="E89" s="155">
        <v>0</v>
      </c>
    </row>
    <row r="90" spans="1:5" x14ac:dyDescent="0.15">
      <c r="A90" t="s">
        <v>306</v>
      </c>
      <c r="B90" s="155">
        <v>0</v>
      </c>
      <c r="C90" s="155">
        <v>0</v>
      </c>
      <c r="D90" s="155">
        <v>0</v>
      </c>
      <c r="E90" s="155">
        <v>0</v>
      </c>
    </row>
    <row r="91" spans="1:5" x14ac:dyDescent="0.15">
      <c r="A91" t="s">
        <v>307</v>
      </c>
      <c r="B91" s="155">
        <v>0</v>
      </c>
      <c r="C91" s="155">
        <v>0</v>
      </c>
      <c r="D91" s="155">
        <v>0</v>
      </c>
      <c r="E91" s="155">
        <v>0</v>
      </c>
    </row>
    <row r="92" spans="1:5" x14ac:dyDescent="0.15">
      <c r="A92" t="s">
        <v>308</v>
      </c>
      <c r="B92" s="155">
        <v>0</v>
      </c>
      <c r="C92" s="155">
        <v>0</v>
      </c>
      <c r="D92" s="155">
        <v>0</v>
      </c>
      <c r="E92" s="155">
        <v>0</v>
      </c>
    </row>
    <row r="93" spans="1:5" x14ac:dyDescent="0.15">
      <c r="A93" t="s">
        <v>309</v>
      </c>
      <c r="B93" s="155">
        <v>0</v>
      </c>
      <c r="C93" s="155">
        <v>0</v>
      </c>
      <c r="D93" s="155">
        <v>0</v>
      </c>
      <c r="E93" s="155">
        <v>0</v>
      </c>
    </row>
    <row r="94" spans="1:5" x14ac:dyDescent="0.15">
      <c r="A94" t="s">
        <v>310</v>
      </c>
      <c r="B94" s="155">
        <v>0</v>
      </c>
      <c r="C94" s="155">
        <v>0</v>
      </c>
      <c r="D94" s="155">
        <v>0</v>
      </c>
      <c r="E94" s="155">
        <v>0</v>
      </c>
    </row>
    <row r="95" spans="1:5" x14ac:dyDescent="0.15">
      <c r="A95" t="s">
        <v>311</v>
      </c>
      <c r="B95" s="155">
        <v>0</v>
      </c>
      <c r="C95" s="155">
        <v>0</v>
      </c>
      <c r="D95" s="155">
        <v>0</v>
      </c>
      <c r="E95" s="155">
        <v>0</v>
      </c>
    </row>
    <row r="96" spans="1:5" x14ac:dyDescent="0.15">
      <c r="A96" t="s">
        <v>312</v>
      </c>
      <c r="B96" s="155">
        <v>0</v>
      </c>
      <c r="C96" s="155">
        <v>0</v>
      </c>
      <c r="D96" s="155">
        <v>0</v>
      </c>
      <c r="E96" s="155">
        <v>0</v>
      </c>
    </row>
    <row r="97" spans="1:5" x14ac:dyDescent="0.15">
      <c r="A97" t="s">
        <v>313</v>
      </c>
      <c r="B97" s="155">
        <v>0</v>
      </c>
      <c r="C97" s="155">
        <v>0</v>
      </c>
      <c r="D97" s="155">
        <v>0</v>
      </c>
      <c r="E97" s="155">
        <v>0</v>
      </c>
    </row>
    <row r="98" spans="1:5" x14ac:dyDescent="0.15">
      <c r="A98" t="s">
        <v>314</v>
      </c>
      <c r="B98" s="155">
        <v>0</v>
      </c>
      <c r="C98" s="155">
        <v>0</v>
      </c>
      <c r="D98" s="155">
        <v>0</v>
      </c>
      <c r="E98" s="155">
        <v>0</v>
      </c>
    </row>
    <row r="99" spans="1:5" x14ac:dyDescent="0.15">
      <c r="A99" t="s">
        <v>315</v>
      </c>
      <c r="B99" s="155">
        <v>0</v>
      </c>
      <c r="C99" s="155">
        <v>0</v>
      </c>
      <c r="D99" s="155">
        <v>0</v>
      </c>
      <c r="E99" s="155">
        <v>0</v>
      </c>
    </row>
    <row r="100" spans="1:5" x14ac:dyDescent="0.15">
      <c r="A100" t="s">
        <v>316</v>
      </c>
      <c r="B100" s="155">
        <v>0</v>
      </c>
      <c r="C100" s="155">
        <v>0</v>
      </c>
      <c r="D100" s="155">
        <v>0</v>
      </c>
      <c r="E100" s="155">
        <v>0</v>
      </c>
    </row>
    <row r="101" spans="1:5" x14ac:dyDescent="0.15">
      <c r="A101" t="s">
        <v>317</v>
      </c>
      <c r="B101" s="155">
        <v>0</v>
      </c>
      <c r="C101" s="155">
        <v>0</v>
      </c>
      <c r="D101" s="155">
        <v>0</v>
      </c>
      <c r="E101" s="155">
        <v>0</v>
      </c>
    </row>
    <row r="102" spans="1:5" x14ac:dyDescent="0.15">
      <c r="A102" t="s">
        <v>318</v>
      </c>
      <c r="B102" s="155">
        <v>0</v>
      </c>
      <c r="C102" s="155">
        <v>0</v>
      </c>
      <c r="D102" s="155">
        <v>0</v>
      </c>
      <c r="E102" s="155">
        <v>0</v>
      </c>
    </row>
    <row r="103" spans="1:5" x14ac:dyDescent="0.15">
      <c r="A103" t="s">
        <v>319</v>
      </c>
      <c r="B103" s="155">
        <v>0</v>
      </c>
      <c r="C103" s="155">
        <v>0</v>
      </c>
      <c r="D103" s="155">
        <v>0</v>
      </c>
      <c r="E103" s="155">
        <v>0</v>
      </c>
    </row>
    <row r="104" spans="1:5" x14ac:dyDescent="0.15">
      <c r="A104" t="s">
        <v>320</v>
      </c>
      <c r="B104" s="155">
        <v>0</v>
      </c>
      <c r="C104" s="155">
        <v>0</v>
      </c>
      <c r="D104" s="155">
        <v>0</v>
      </c>
      <c r="E104" s="155">
        <v>0</v>
      </c>
    </row>
    <row r="105" spans="1:5" x14ac:dyDescent="0.15">
      <c r="A105" t="s">
        <v>321</v>
      </c>
      <c r="B105" s="155">
        <v>0</v>
      </c>
      <c r="C105" s="155">
        <v>0</v>
      </c>
      <c r="D105" s="155">
        <v>0</v>
      </c>
      <c r="E105" s="155">
        <v>0</v>
      </c>
    </row>
    <row r="106" spans="1:5" x14ac:dyDescent="0.15">
      <c r="A106" t="s">
        <v>322</v>
      </c>
      <c r="B106" s="155">
        <v>0</v>
      </c>
      <c r="C106" s="155">
        <v>0</v>
      </c>
      <c r="D106" s="155">
        <v>0</v>
      </c>
      <c r="E106" s="155">
        <v>0</v>
      </c>
    </row>
    <row r="107" spans="1:5" x14ac:dyDescent="0.15">
      <c r="A107" t="s">
        <v>323</v>
      </c>
      <c r="B107" s="155">
        <v>0</v>
      </c>
      <c r="C107" s="155">
        <v>0</v>
      </c>
      <c r="D107" s="155">
        <v>0</v>
      </c>
      <c r="E107" s="155">
        <v>0</v>
      </c>
    </row>
    <row r="108" spans="1:5" x14ac:dyDescent="0.15">
      <c r="A108" t="s">
        <v>324</v>
      </c>
      <c r="B108" s="155">
        <v>0</v>
      </c>
      <c r="C108" s="155">
        <v>0</v>
      </c>
      <c r="D108" s="155">
        <v>0</v>
      </c>
      <c r="E108" s="155">
        <v>0</v>
      </c>
    </row>
    <row r="109" spans="1:5" x14ac:dyDescent="0.15">
      <c r="A109" t="s">
        <v>325</v>
      </c>
      <c r="B109" s="155">
        <v>0</v>
      </c>
      <c r="C109" s="155">
        <v>0</v>
      </c>
      <c r="D109" s="155">
        <v>0</v>
      </c>
      <c r="E109" s="155">
        <v>0</v>
      </c>
    </row>
    <row r="110" spans="1:5" x14ac:dyDescent="0.15">
      <c r="A110" t="s">
        <v>326</v>
      </c>
      <c r="B110" s="155">
        <v>0</v>
      </c>
      <c r="C110" s="155">
        <v>0</v>
      </c>
      <c r="D110" s="155">
        <v>0</v>
      </c>
      <c r="E110" s="155">
        <v>0</v>
      </c>
    </row>
    <row r="111" spans="1:5" x14ac:dyDescent="0.15">
      <c r="A111" t="s">
        <v>327</v>
      </c>
      <c r="B111" s="155">
        <v>0</v>
      </c>
      <c r="C111" s="155">
        <v>0</v>
      </c>
      <c r="D111" s="155">
        <v>0</v>
      </c>
      <c r="E111" s="155">
        <v>0</v>
      </c>
    </row>
    <row r="112" spans="1:5" x14ac:dyDescent="0.15">
      <c r="A112" t="s">
        <v>328</v>
      </c>
      <c r="B112" s="155">
        <v>0</v>
      </c>
      <c r="C112" s="155">
        <v>0</v>
      </c>
      <c r="D112" s="155">
        <v>0</v>
      </c>
      <c r="E112" s="155">
        <v>0</v>
      </c>
    </row>
    <row r="113" spans="1:5" x14ac:dyDescent="0.15">
      <c r="A113" t="s">
        <v>329</v>
      </c>
      <c r="B113" s="155">
        <v>0</v>
      </c>
      <c r="C113" s="155">
        <v>0</v>
      </c>
      <c r="D113" s="155">
        <v>0</v>
      </c>
      <c r="E113" s="155">
        <v>0</v>
      </c>
    </row>
    <row r="114" spans="1:5" x14ac:dyDescent="0.15">
      <c r="A114" t="s">
        <v>330</v>
      </c>
      <c r="B114" s="155">
        <v>0</v>
      </c>
      <c r="C114" s="155">
        <v>0</v>
      </c>
      <c r="D114" s="155">
        <v>0</v>
      </c>
      <c r="E114" s="155">
        <v>0</v>
      </c>
    </row>
    <row r="115" spans="1:5" x14ac:dyDescent="0.15">
      <c r="A115" t="s">
        <v>331</v>
      </c>
      <c r="B115" s="155">
        <v>0</v>
      </c>
      <c r="C115" s="155">
        <v>0</v>
      </c>
      <c r="D115" s="155">
        <v>0</v>
      </c>
      <c r="E115" s="155">
        <v>0</v>
      </c>
    </row>
    <row r="116" spans="1:5" x14ac:dyDescent="0.15">
      <c r="A116" t="s">
        <v>332</v>
      </c>
      <c r="B116" s="155">
        <v>0</v>
      </c>
      <c r="C116" s="155">
        <v>0</v>
      </c>
      <c r="D116" s="155">
        <v>0</v>
      </c>
      <c r="E116" s="155">
        <v>0</v>
      </c>
    </row>
    <row r="117" spans="1:5" x14ac:dyDescent="0.15">
      <c r="A117" t="s">
        <v>333</v>
      </c>
      <c r="B117" s="155">
        <v>0</v>
      </c>
      <c r="C117" s="155">
        <v>0</v>
      </c>
      <c r="D117" s="155">
        <v>0</v>
      </c>
      <c r="E117" s="155">
        <v>0</v>
      </c>
    </row>
    <row r="118" spans="1:5" x14ac:dyDescent="0.15">
      <c r="A118" t="s">
        <v>334</v>
      </c>
      <c r="B118" s="155">
        <v>0</v>
      </c>
      <c r="C118" s="155">
        <v>0</v>
      </c>
      <c r="D118" s="155">
        <v>0</v>
      </c>
      <c r="E118" s="155">
        <v>0</v>
      </c>
    </row>
    <row r="119" spans="1:5" x14ac:dyDescent="0.15">
      <c r="A119" t="s">
        <v>335</v>
      </c>
      <c r="B119" s="155">
        <v>0</v>
      </c>
      <c r="C119" s="155">
        <v>0</v>
      </c>
      <c r="D119" s="155">
        <v>0</v>
      </c>
      <c r="E119" s="155">
        <v>0</v>
      </c>
    </row>
    <row r="120" spans="1:5" x14ac:dyDescent="0.15">
      <c r="A120" t="s">
        <v>336</v>
      </c>
      <c r="B120" s="155">
        <v>0</v>
      </c>
      <c r="C120" s="155">
        <v>0</v>
      </c>
      <c r="D120" s="155">
        <v>0</v>
      </c>
      <c r="E120" s="155">
        <v>0</v>
      </c>
    </row>
    <row r="121" spans="1:5" x14ac:dyDescent="0.15">
      <c r="A121" t="s">
        <v>337</v>
      </c>
      <c r="B121" s="155">
        <v>0</v>
      </c>
      <c r="C121" s="155">
        <v>0</v>
      </c>
      <c r="D121" s="155">
        <v>0</v>
      </c>
      <c r="E121" s="155">
        <v>0</v>
      </c>
    </row>
    <row r="122" spans="1:5" x14ac:dyDescent="0.15">
      <c r="A122" t="s">
        <v>338</v>
      </c>
      <c r="B122" s="155">
        <v>0</v>
      </c>
      <c r="C122" s="155">
        <v>0</v>
      </c>
      <c r="D122" s="155">
        <v>0</v>
      </c>
      <c r="E122" s="155">
        <v>0</v>
      </c>
    </row>
    <row r="123" spans="1:5" x14ac:dyDescent="0.15">
      <c r="A123" t="s">
        <v>339</v>
      </c>
      <c r="B123" s="155">
        <v>0</v>
      </c>
      <c r="C123" s="155">
        <v>0</v>
      </c>
      <c r="D123" s="155">
        <v>0</v>
      </c>
      <c r="E123" s="155">
        <v>0</v>
      </c>
    </row>
    <row r="124" spans="1:5" x14ac:dyDescent="0.15">
      <c r="A124" t="s">
        <v>340</v>
      </c>
      <c r="B124" s="155">
        <v>0</v>
      </c>
      <c r="C124" s="155">
        <v>0</v>
      </c>
      <c r="D124" s="155">
        <v>0</v>
      </c>
      <c r="E124" s="155">
        <v>0</v>
      </c>
    </row>
    <row r="125" spans="1:5" x14ac:dyDescent="0.15">
      <c r="A125" t="s">
        <v>341</v>
      </c>
      <c r="B125" s="155">
        <v>0</v>
      </c>
      <c r="C125" s="155">
        <v>0</v>
      </c>
      <c r="D125" s="155">
        <v>0</v>
      </c>
      <c r="E125" s="155">
        <v>0</v>
      </c>
    </row>
    <row r="126" spans="1:5" x14ac:dyDescent="0.15">
      <c r="A126" t="s">
        <v>342</v>
      </c>
      <c r="B126" s="155">
        <v>0</v>
      </c>
      <c r="C126" s="155">
        <v>0</v>
      </c>
      <c r="D126" s="155">
        <v>0</v>
      </c>
      <c r="E126" s="155">
        <v>0</v>
      </c>
    </row>
    <row r="127" spans="1:5" x14ac:dyDescent="0.15">
      <c r="A127" t="s">
        <v>343</v>
      </c>
      <c r="B127" s="155">
        <v>0</v>
      </c>
      <c r="C127" s="155">
        <v>0</v>
      </c>
      <c r="D127" s="155">
        <v>0</v>
      </c>
      <c r="E127" s="155">
        <v>0</v>
      </c>
    </row>
    <row r="128" spans="1:5" x14ac:dyDescent="0.15">
      <c r="A128" t="s">
        <v>344</v>
      </c>
      <c r="B128" s="155">
        <v>0</v>
      </c>
      <c r="C128" s="155">
        <v>0</v>
      </c>
      <c r="D128" s="155">
        <v>0</v>
      </c>
      <c r="E128" s="155">
        <v>0</v>
      </c>
    </row>
    <row r="129" spans="1:5" x14ac:dyDescent="0.15">
      <c r="A129" t="s">
        <v>345</v>
      </c>
      <c r="B129" s="155">
        <v>0</v>
      </c>
      <c r="C129" s="155">
        <v>0</v>
      </c>
      <c r="D129" s="155">
        <v>0</v>
      </c>
      <c r="E129" s="155">
        <v>0</v>
      </c>
    </row>
    <row r="130" spans="1:5" x14ac:dyDescent="0.15">
      <c r="A130" t="s">
        <v>346</v>
      </c>
      <c r="B130" s="155">
        <v>0</v>
      </c>
      <c r="C130" s="155">
        <v>0</v>
      </c>
      <c r="D130" s="155">
        <v>0</v>
      </c>
      <c r="E130" s="155">
        <v>0</v>
      </c>
    </row>
    <row r="131" spans="1:5" x14ac:dyDescent="0.15">
      <c r="A131" t="s">
        <v>347</v>
      </c>
      <c r="B131" s="155">
        <v>0</v>
      </c>
      <c r="C131" s="155">
        <v>0</v>
      </c>
      <c r="D131" s="155">
        <v>0</v>
      </c>
      <c r="E131" s="155">
        <v>0</v>
      </c>
    </row>
    <row r="132" spans="1:5" x14ac:dyDescent="0.15">
      <c r="A132" t="s">
        <v>348</v>
      </c>
      <c r="B132" s="155">
        <v>0</v>
      </c>
      <c r="C132" s="155">
        <v>0</v>
      </c>
      <c r="D132" s="155">
        <v>0</v>
      </c>
      <c r="E132" s="155">
        <v>0</v>
      </c>
    </row>
    <row r="133" spans="1:5" x14ac:dyDescent="0.15">
      <c r="A133" t="s">
        <v>349</v>
      </c>
      <c r="B133" s="155">
        <v>0</v>
      </c>
      <c r="C133" s="155">
        <v>0</v>
      </c>
      <c r="D133" s="155">
        <v>0</v>
      </c>
      <c r="E133" s="155">
        <v>0</v>
      </c>
    </row>
    <row r="134" spans="1:5" x14ac:dyDescent="0.15">
      <c r="A134" t="s">
        <v>350</v>
      </c>
      <c r="B134" s="155">
        <v>0</v>
      </c>
      <c r="C134" s="155">
        <v>0</v>
      </c>
      <c r="D134" s="155">
        <v>0</v>
      </c>
      <c r="E134" s="155">
        <v>0</v>
      </c>
    </row>
    <row r="135" spans="1:5" x14ac:dyDescent="0.15">
      <c r="A135" t="s">
        <v>351</v>
      </c>
      <c r="B135" s="155">
        <v>0</v>
      </c>
      <c r="C135" s="155">
        <v>0</v>
      </c>
      <c r="D135" s="155">
        <v>0</v>
      </c>
      <c r="E135" s="155">
        <v>0</v>
      </c>
    </row>
    <row r="136" spans="1:5" x14ac:dyDescent="0.15">
      <c r="A136" t="s">
        <v>352</v>
      </c>
      <c r="B136" s="155">
        <v>0</v>
      </c>
      <c r="C136" s="155">
        <v>0</v>
      </c>
      <c r="D136" s="155">
        <v>0</v>
      </c>
      <c r="E136" s="155">
        <v>0</v>
      </c>
    </row>
    <row r="137" spans="1:5" x14ac:dyDescent="0.15">
      <c r="A137" t="s">
        <v>353</v>
      </c>
      <c r="B137" s="155">
        <v>0</v>
      </c>
      <c r="C137" s="155">
        <v>0</v>
      </c>
      <c r="D137" s="155">
        <v>0</v>
      </c>
      <c r="E137" s="155">
        <v>0</v>
      </c>
    </row>
    <row r="138" spans="1:5" x14ac:dyDescent="0.15">
      <c r="A138" t="s">
        <v>354</v>
      </c>
      <c r="B138" s="155">
        <v>0</v>
      </c>
      <c r="C138" s="155">
        <v>0</v>
      </c>
      <c r="D138" s="155">
        <v>0</v>
      </c>
      <c r="E138" s="155">
        <v>0</v>
      </c>
    </row>
    <row r="139" spans="1:5" x14ac:dyDescent="0.15">
      <c r="A139" t="s">
        <v>355</v>
      </c>
      <c r="B139" s="155">
        <v>0</v>
      </c>
      <c r="C139" s="155">
        <v>0</v>
      </c>
      <c r="D139" s="155">
        <v>0</v>
      </c>
      <c r="E139" s="155">
        <v>0</v>
      </c>
    </row>
    <row r="140" spans="1:5" x14ac:dyDescent="0.15">
      <c r="A140" t="s">
        <v>356</v>
      </c>
      <c r="B140" s="155">
        <v>0</v>
      </c>
      <c r="C140" s="155">
        <v>0</v>
      </c>
      <c r="D140" s="155">
        <v>0</v>
      </c>
      <c r="E140" s="155">
        <v>0</v>
      </c>
    </row>
    <row r="145" spans="2:2" x14ac:dyDescent="0.15">
      <c r="B145" s="56" t="s">
        <v>163</v>
      </c>
    </row>
    <row r="154" spans="2:2" ht="15" customHeight="1" x14ac:dyDescent="0.15"/>
    <row r="155" spans="2:2" ht="15" customHeight="1" x14ac:dyDescent="0.15"/>
    <row r="157" spans="2:2" ht="15" customHeight="1" x14ac:dyDescent="0.15"/>
    <row r="158" spans="2:2" ht="15" customHeight="1" x14ac:dyDescent="0.15"/>
    <row r="159" spans="2:2" ht="15" customHeight="1" x14ac:dyDescent="0.15"/>
    <row r="160" spans="2:2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92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2023-08-15T00:57:39Z</dcterms:modified>
</cp:coreProperties>
</file>