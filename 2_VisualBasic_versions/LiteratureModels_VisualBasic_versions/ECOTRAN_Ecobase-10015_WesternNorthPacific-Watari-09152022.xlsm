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57F1A1F9-7C1F-9D42-A7B9-7DF88945643D}" xr6:coauthVersionLast="45" xr6:coauthVersionMax="45" xr10:uidLastSave="{00000000-0000-0000-0000-000000000000}"/>
  <bookViews>
    <workbookView xWindow="0" yWindow="460" windowWidth="25600" windowHeight="1428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Main!$C$2:$N$45</definedName>
    <definedName name="matDetritus">Detritus!$C$2:$H$45</definedName>
    <definedName name="matDiet">Diets!$B$2:$AM$45</definedName>
    <definedName name="matDiscards">Discards!$C$2:$C$44</definedName>
    <definedName name="matFishery">Fishing!$C$2:$C$44</definedName>
    <definedName name="matFishing">Fishing!#REF!</definedName>
    <definedName name="matMort">Mortalities!$A$1:$AU$44</definedName>
    <definedName name="matOut">MainOutputs!$A$2:$I$45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4" i="86" l="1"/>
  <c r="C34" i="86"/>
  <c r="B34" i="86"/>
  <c r="A34" i="86"/>
  <c r="C33" i="86"/>
  <c r="B33" i="86"/>
  <c r="D33" i="86" s="1"/>
  <c r="A33" i="86"/>
  <c r="C9" i="86" s="1"/>
  <c r="C32" i="86"/>
  <c r="B32" i="86"/>
  <c r="D32" i="86" s="1"/>
  <c r="A32" i="86"/>
  <c r="C21" i="86"/>
  <c r="C20" i="86"/>
  <c r="C19" i="86"/>
  <c r="C10" i="86"/>
  <c r="C8" i="86"/>
  <c r="B10" i="87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E45" i="1"/>
  <c r="D45" i="1"/>
  <c r="C45" i="1"/>
  <c r="I45" i="1" s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E29" i="1"/>
  <c r="D29" i="1"/>
  <c r="C29" i="1"/>
  <c r="I28" i="1"/>
  <c r="E28" i="1"/>
  <c r="D28" i="1"/>
  <c r="C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E14" i="1"/>
  <c r="D14" i="1"/>
  <c r="C14" i="1"/>
  <c r="I14" i="1" s="1"/>
  <c r="E13" i="1"/>
  <c r="D13" i="1"/>
  <c r="C13" i="1"/>
  <c r="I13" i="1" s="1"/>
  <c r="E12" i="1"/>
  <c r="D12" i="1"/>
  <c r="C12" i="1"/>
  <c r="I12" i="1" s="1"/>
  <c r="E11" i="1"/>
  <c r="D11" i="1"/>
  <c r="C11" i="1"/>
  <c r="I11" i="1" s="1"/>
  <c r="E10" i="1"/>
  <c r="D10" i="1"/>
  <c r="C10" i="1"/>
  <c r="I10" i="1" s="1"/>
  <c r="I9" i="1"/>
  <c r="E8" i="1"/>
  <c r="D8" i="1"/>
  <c r="C8" i="1"/>
  <c r="I8" i="1" s="1"/>
  <c r="E7" i="1"/>
  <c r="D7" i="1"/>
  <c r="C7" i="1"/>
  <c r="I7" i="1" s="1"/>
  <c r="E6" i="1"/>
  <c r="D6" i="1"/>
  <c r="C6" i="1"/>
  <c r="I6" i="1" s="1"/>
  <c r="E5" i="1"/>
  <c r="D5" i="1"/>
  <c r="C5" i="1"/>
  <c r="I5" i="1" s="1"/>
  <c r="E4" i="1"/>
  <c r="D4" i="1"/>
  <c r="C4" i="1"/>
  <c r="I4" i="1" s="1"/>
  <c r="E3" i="1"/>
  <c r="D3" i="1"/>
  <c r="C3" i="1"/>
  <c r="I3" i="1" s="1"/>
  <c r="I2" i="1"/>
  <c r="AQ49" i="78"/>
  <c r="AM49" i="78"/>
  <c r="AI49" i="78"/>
  <c r="AE49" i="78"/>
  <c r="AA49" i="78"/>
  <c r="W49" i="78"/>
  <c r="S49" i="78"/>
  <c r="O49" i="78"/>
  <c r="K49" i="78"/>
  <c r="C49" i="78"/>
  <c r="AR48" i="78"/>
  <c r="AR49" i="78" s="1"/>
  <c r="AQ48" i="78"/>
  <c r="AP48" i="78"/>
  <c r="AP49" i="78" s="1"/>
  <c r="AO48" i="78"/>
  <c r="AO49" i="78" s="1"/>
  <c r="AN48" i="78"/>
  <c r="AN49" i="78" s="1"/>
  <c r="AM48" i="78"/>
  <c r="AL48" i="78"/>
  <c r="AL49" i="78" s="1"/>
  <c r="AK48" i="78"/>
  <c r="AK49" i="78" s="1"/>
  <c r="AJ48" i="78"/>
  <c r="AJ49" i="78" s="1"/>
  <c r="AI48" i="78"/>
  <c r="AH48" i="78"/>
  <c r="AH49" i="78" s="1"/>
  <c r="AG48" i="78"/>
  <c r="AG49" i="78" s="1"/>
  <c r="AF48" i="78"/>
  <c r="AF49" i="78" s="1"/>
  <c r="AE48" i="78"/>
  <c r="AD48" i="78"/>
  <c r="AD49" i="78" s="1"/>
  <c r="AC48" i="78"/>
  <c r="AC49" i="78" s="1"/>
  <c r="AB48" i="78"/>
  <c r="AB49" i="78" s="1"/>
  <c r="AA48" i="78"/>
  <c r="Z48" i="78"/>
  <c r="Z49" i="78" s="1"/>
  <c r="Y48" i="78"/>
  <c r="Y49" i="78" s="1"/>
  <c r="X48" i="78"/>
  <c r="X49" i="78" s="1"/>
  <c r="W48" i="78"/>
  <c r="V48" i="78"/>
  <c r="V49" i="78" s="1"/>
  <c r="U48" i="78"/>
  <c r="U49" i="78" s="1"/>
  <c r="T48" i="78"/>
  <c r="T49" i="78" s="1"/>
  <c r="S48" i="78"/>
  <c r="R48" i="78"/>
  <c r="R49" i="78" s="1"/>
  <c r="Q48" i="78"/>
  <c r="Q49" i="78" s="1"/>
  <c r="P48" i="78"/>
  <c r="P49" i="78" s="1"/>
  <c r="O48" i="78"/>
  <c r="N48" i="78"/>
  <c r="N49" i="78" s="1"/>
  <c r="M48" i="78"/>
  <c r="M49" i="78" s="1"/>
  <c r="L48" i="78"/>
  <c r="L49" i="78" s="1"/>
  <c r="K48" i="78"/>
  <c r="J48" i="78"/>
  <c r="J49" i="78" s="1"/>
  <c r="I48" i="78"/>
  <c r="I49" i="78" s="1"/>
  <c r="H48" i="78"/>
  <c r="H49" i="78" s="1"/>
  <c r="F48" i="78"/>
  <c r="F49" i="78" s="1"/>
  <c r="D48" i="78"/>
  <c r="D49" i="78" s="1"/>
  <c r="C48" i="78"/>
  <c r="B48" i="78"/>
  <c r="B49" i="78" s="1"/>
  <c r="G10" i="78"/>
  <c r="G48" i="78" s="1"/>
  <c r="G49" i="78" s="1"/>
  <c r="F10" i="78"/>
  <c r="E10" i="78"/>
  <c r="E48" i="78" s="1"/>
  <c r="E49" i="78" s="1"/>
  <c r="B8" i="75"/>
  <c r="B7" i="75"/>
  <c r="X6" i="75"/>
  <c r="D42" i="86" l="1"/>
  <c r="E33" i="86" s="1"/>
  <c r="E34" i="86"/>
  <c r="B20" i="86" l="1"/>
  <c r="B9" i="86"/>
  <c r="B10" i="86"/>
  <c r="B21" i="86"/>
  <c r="E32" i="86"/>
  <c r="E42" i="86" l="1"/>
  <c r="B8" i="86"/>
  <c r="B19" i="86"/>
</calcChain>
</file>

<file path=xl/sharedStrings.xml><?xml version="1.0" encoding="utf-8"?>
<sst xmlns="http://schemas.openxmlformats.org/spreadsheetml/2006/main" count="1198" uniqueCount="231">
  <si>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</si>
  <si>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</si>
  <si>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</si>
  <si>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</si>
  <si>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</si>
  <si>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</si>
  <si>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</si>
  <si>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</si>
  <si>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</si>
  <si>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</si>
  <si>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</si>
  <si>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</si>
  <si>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</si>
  <si>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</si>
  <si>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</si>
  <si>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</si>
  <si>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</si>
  <si>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</si>
  <si>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</si>
  <si>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</si>
  <si>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</si>
  <si>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</si>
  <si>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</si>
  <si>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</si>
  <si>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</si>
  <si>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</si>
  <si>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</si>
  <si>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</si>
  <si>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</si>
  <si>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</si>
  <si>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</si>
  <si>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</si>
  <si>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</si>
  <si>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</si>
  <si>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</si>
  <si>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</si>
  <si>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</si>
  <si>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</si>
  <si>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</si>
  <si>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</si>
  <si>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</si>
  <si>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</si>
  <si>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</si>
  <si>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</si>
  <si>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</si>
  <si>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</si>
  <si>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</si>
  <si>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</si>
  <si>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</si>
  <si>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</si>
  <si>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</si>
  <si>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</si>
  <si>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</si>
  <si>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</si>
  <si>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</si>
  <si>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</si>
  <si>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</si>
  <si>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</si>
  <si>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</si>
  <si>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</si>
  <si>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</si>
  <si>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</si>
  <si>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</si>
  <si>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</si>
  <si>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</si>
  <si>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</si>
  <si>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</si>
  <si>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</si>
  <si>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</si>
  <si>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</si>
  <si>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</si>
  <si>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</si>
  <si>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</si>
  <si>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</si>
  <si>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</si>
  <si>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</si>
  <si>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</si>
  <si>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</si>
  <si>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</si>
  <si>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</si>
  <si>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</si>
  <si>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</si>
  <si>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</si>
  <si>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</si>
  <si>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</si>
  <si>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</si>
  <si>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</si>
  <si>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</si>
  <si>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</si>
  <si>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</si>
  <si>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</si>
  <si>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</si>
  <si>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</si>
  <si>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</si>
  <si>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</si>
  <si>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</si>
  <si>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</si>
  <si>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</si>
  <si>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</si>
  <si>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</si>
  <si>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</si>
  <si>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</si>
  <si>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</si>
  <si>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</si>
  <si>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</si>
  <si>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</si>
  <si>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</si>
  <si>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</si>
  <si>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</si>
  <si>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</si>
  <si>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</si>
  <si>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</si>
  <si>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</si>
  <si>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</si>
  <si>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</si>
  <si>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</si>
  <si>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</si>
  <si>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</si>
  <si>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</si>
  <si>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</si>
  <si>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</si>
  <si>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</si>
  <si>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</si>
  <si>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</si>
  <si>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</si>
  <si>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</si>
  <si>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</si>
  <si>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</si>
  <si>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</si>
  <si>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</si>
  <si>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</si>
  <si>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</si>
  <si>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</si>
  <si>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</si>
  <si>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</si>
  <si>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</si>
  <si>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</si>
  <si>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</si>
  <si>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</si>
  <si>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</si>
  <si>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</si>
  <si>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</si>
  <si>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</si>
  <si>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</si>
  <si>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</si>
  <si>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</si>
  <si>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</si>
  <si>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</si>
  <si>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</si>
  <si>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</si>
  <si>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</si>
  <si>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</si>
  <si>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</si>
  <si>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</si>
  <si>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</si>
  <si>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</si>
  <si>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</si>
  <si>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&lt;-NOTE: BA &amp; EM at very end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</si>
  <si>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</si>
  <si>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</si>
  <si>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</si>
  <si>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</si>
  <si>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</si>
  <si>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</si>
  <si>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</si>
  <si>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</si>
  <si>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</si>
  <si>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import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</si>
  <si>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</si>
  <si>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</si>
  <si>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</si>
  <si>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</si>
  <si>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</si>
  <si>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</si>
  <si>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</si>
  <si>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</si>
  <si>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</si>
  <si>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</si>
  <si>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</si>
  <si>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</si>
  <si>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1-sum</t>
  </si>
  <si>
    <t>source notes</t>
  </si>
  <si>
    <t>Model Construction Notes:</t>
  </si>
  <si>
    <t>Vol. 617-618: 295–305, 2019</t>
  </si>
  <si>
    <t>Watari et al. 2019</t>
  </si>
  <si>
    <t>Baleen whales (OYC &amp; OF)</t>
  </si>
  <si>
    <t>Toothed whales (all)</t>
  </si>
  <si>
    <t>Seabirds (all)</t>
  </si>
  <si>
    <t>Sharks (all)</t>
  </si>
  <si>
    <t>Tunas (all)</t>
  </si>
  <si>
    <t>Skipjack (all)</t>
  </si>
  <si>
    <t>Miscellaneous piscivores (all)</t>
  </si>
  <si>
    <t>Yellowtail (OYC &amp; KC)</t>
  </si>
  <si>
    <t>Japanese sardine (all)</t>
  </si>
  <si>
    <t>Japanese anchovy (all)</t>
  </si>
  <si>
    <t>Pacific saury (all)</t>
  </si>
  <si>
    <t>Chub mackerel (all)</t>
  </si>
  <si>
    <t>Spotted mackerel (all)</t>
  </si>
  <si>
    <t>Round herring (KC)</t>
  </si>
  <si>
    <t>Jack mackerel (OYC &amp; KC)</t>
  </si>
  <si>
    <t>Righteye flounders (OYC)</t>
  </si>
  <si>
    <t>Walleye pollock (OYC)</t>
  </si>
  <si>
    <t>Pacific cod (OYC)</t>
  </si>
  <si>
    <t>Miscellaneous bottom fishes (OYC)</t>
  </si>
  <si>
    <t>Flatfishes (KC)</t>
  </si>
  <si>
    <t>Seabreams (KC)</t>
  </si>
  <si>
    <t>Demersal piscivores (KC)</t>
  </si>
  <si>
    <t>Miscellaneous bottom fishes (KC)</t>
  </si>
  <si>
    <t>Mesopelagic fishes (OYC)</t>
  </si>
  <si>
    <t>Mesopelagic fishes (KC)</t>
  </si>
  <si>
    <t>Mesopelagic fishes (OF)</t>
  </si>
  <si>
    <t>Epipelagic cephalopods (all)</t>
  </si>
  <si>
    <t>Mesopelagic cephalopods (all)</t>
  </si>
  <si>
    <t>Benthos (OYC)</t>
  </si>
  <si>
    <t>Benthos (KC)</t>
  </si>
  <si>
    <t>Krill (OYC)</t>
  </si>
  <si>
    <t>Krill (OF)</t>
  </si>
  <si>
    <t>Zooplankton (OYC)</t>
  </si>
  <si>
    <t>Zooplankton (KC)</t>
  </si>
  <si>
    <t>Zooplankton (OF)</t>
  </si>
  <si>
    <t>Phytoplankton (OYC)</t>
  </si>
  <si>
    <t>Phytoplankton (KC)</t>
  </si>
  <si>
    <t>Phytoplankton (OF)</t>
  </si>
  <si>
    <t>Detritus (OYC)</t>
  </si>
  <si>
    <t>Detritus (KC)</t>
  </si>
  <si>
    <t>Detritus (OF)</t>
  </si>
  <si>
    <t>combined fleet</t>
  </si>
  <si>
    <t>terminal pealgic detritus</t>
  </si>
  <si>
    <t>F combined fleet</t>
  </si>
  <si>
    <t>&lt;&lt;--published as 0.02</t>
  </si>
  <si>
    <t>&lt;&lt;--published as 0.14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</si>
</sst>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u/>
      <sz val="12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1701"/>
      <name val="Arial"/>
      <family val="2"/>
    </font>
    <font>
      <sz val="12"/>
      <color theme="6" tint="-0.24994659260841701"/>
      <name val="Arial"/>
      <family val="2"/>
    </font>
  </fonts>
  <fills count="16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2B7F60"/>
        <bgColor indexed="64"/>
      </patternFill>
    </fill>
    <fill>
      <patternFill patternType="solid">
        <fgColor rgb="FF980958"/>
        <bgColor indexed="64"/>
      </patternFill>
    </fill>
    <fill>
      <patternFill patternType="solid">
        <fgColor rgb="FFBA143D"/>
        <bgColor indexed="64"/>
      </patternFill>
    </fill>
    <fill>
      <patternFill patternType="solid">
        <fgColor rgb="FF11D534"/>
        <bgColor indexed="64"/>
      </patternFill>
    </fill>
    <fill>
      <patternFill patternType="solid">
        <fgColor rgb="FFC5F9CC"/>
        <bgColor indexed="64"/>
      </patternFill>
    </fill>
    <fill>
      <patternFill patternType="solid">
        <fgColor rgb="FF7BAE47"/>
        <bgColor indexed="64"/>
      </patternFill>
    </fill>
    <fill>
      <patternFill patternType="solid">
        <fgColor rgb="FF15573E"/>
        <bgColor indexed="64"/>
      </patternFill>
    </fill>
    <fill>
      <patternFill patternType="solid">
        <fgColor rgb="FF7054A4"/>
        <bgColor indexed="64"/>
      </patternFill>
    </fill>
    <fill>
      <patternFill patternType="solid">
        <fgColor rgb="FF6DD777"/>
        <bgColor indexed="64"/>
      </patternFill>
    </fill>
    <fill>
      <patternFill patternType="solid">
        <fgColor rgb="FF729FAB"/>
        <bgColor indexed="64"/>
      </patternFill>
    </fill>
    <fill>
      <patternFill patternType="solid">
        <fgColor rgb="FFFE0A8C"/>
        <bgColor indexed="64"/>
      </patternFill>
    </fill>
    <fill>
      <patternFill patternType="solid">
        <fgColor rgb="FF0E9C2B"/>
        <bgColor indexed="64"/>
      </patternFill>
    </fill>
    <fill>
      <patternFill patternType="solid">
        <fgColor rgb="FF7E72FC"/>
        <bgColor indexed="64"/>
      </patternFill>
    </fill>
    <fill>
      <patternFill patternType="solid">
        <fgColor rgb="FF99C049"/>
        <bgColor indexed="64"/>
      </patternFill>
    </fill>
    <fill>
      <patternFill patternType="solid">
        <fgColor rgb="FFE5D853"/>
        <bgColor indexed="64"/>
      </patternFill>
    </fill>
    <fill>
      <patternFill patternType="solid">
        <fgColor rgb="FFDD8336"/>
        <bgColor indexed="64"/>
      </patternFill>
    </fill>
    <fill>
      <patternFill patternType="solid">
        <fgColor rgb="FFE27CFB"/>
        <bgColor indexed="64"/>
      </patternFill>
    </fill>
    <fill>
      <patternFill patternType="solid">
        <fgColor rgb="FF07F8D9"/>
        <bgColor indexed="64"/>
      </patternFill>
    </fill>
    <fill>
      <patternFill patternType="solid">
        <fgColor rgb="FF493471"/>
        <bgColor indexed="64"/>
      </patternFill>
    </fill>
    <fill>
      <patternFill patternType="solid">
        <fgColor rgb="FFAF48F6"/>
        <bgColor indexed="64"/>
      </patternFill>
    </fill>
    <fill>
      <patternFill patternType="solid">
        <fgColor rgb="FF2FA70D"/>
        <bgColor indexed="64"/>
      </patternFill>
    </fill>
    <fill>
      <patternFill patternType="solid">
        <fgColor rgb="FFDF0E7C"/>
        <bgColor indexed="64"/>
      </patternFill>
    </fill>
    <fill>
      <patternFill patternType="solid">
        <fgColor rgb="FF781C19"/>
        <bgColor indexed="64"/>
      </patternFill>
    </fill>
    <fill>
      <patternFill patternType="solid">
        <fgColor rgb="FF5D0EF6"/>
        <bgColor indexed="64"/>
      </patternFill>
    </fill>
    <fill>
      <patternFill patternType="solid">
        <fgColor rgb="FFFD9201"/>
        <bgColor indexed="64"/>
      </patternFill>
    </fill>
    <fill>
      <patternFill patternType="solid">
        <fgColor rgb="FF9EBF63"/>
        <bgColor indexed="64"/>
      </patternFill>
    </fill>
    <fill>
      <patternFill patternType="solid">
        <fgColor rgb="FF912AAA"/>
        <bgColor indexed="64"/>
      </patternFill>
    </fill>
    <fill>
      <patternFill patternType="solid">
        <fgColor rgb="FF3697D9"/>
        <bgColor indexed="64"/>
      </patternFill>
    </fill>
    <fill>
      <patternFill patternType="solid">
        <fgColor rgb="FF8CF65F"/>
        <bgColor indexed="64"/>
      </patternFill>
    </fill>
    <fill>
      <patternFill patternType="solid">
        <fgColor rgb="FFA023BC"/>
        <bgColor indexed="64"/>
      </patternFill>
    </fill>
    <fill>
      <patternFill patternType="solid">
        <fgColor rgb="FFB7DFD1"/>
        <bgColor indexed="64"/>
      </patternFill>
    </fill>
    <fill>
      <patternFill patternType="solid">
        <fgColor rgb="FFA94573"/>
        <bgColor indexed="64"/>
      </patternFill>
    </fill>
    <fill>
      <patternFill patternType="solid">
        <fgColor rgb="FF97131E"/>
        <bgColor indexed="64"/>
      </patternFill>
    </fill>
    <fill>
      <patternFill patternType="solid">
        <fgColor rgb="FFF241E0"/>
        <bgColor indexed="64"/>
      </patternFill>
    </fill>
    <fill>
      <patternFill patternType="solid">
        <fgColor rgb="FF9333DD"/>
        <bgColor indexed="64"/>
      </patternFill>
    </fill>
    <fill>
      <patternFill patternType="solid">
        <fgColor rgb="FF364F0C"/>
        <bgColor indexed="64"/>
      </patternFill>
    </fill>
    <fill>
      <patternFill patternType="solid">
        <fgColor rgb="FF72549E"/>
        <bgColor indexed="64"/>
      </patternFill>
    </fill>
    <fill>
      <patternFill patternType="solid">
        <fgColor rgb="FF5FEFBB"/>
        <bgColor indexed="64"/>
      </patternFill>
    </fill>
    <fill>
      <patternFill patternType="solid">
        <fgColor rgb="FF105762"/>
        <bgColor indexed="64"/>
      </patternFill>
    </fill>
    <fill>
      <patternFill patternType="solid">
        <fgColor rgb="FF923FEE"/>
        <bgColor indexed="64"/>
      </patternFill>
    </fill>
    <fill>
      <patternFill patternType="solid">
        <fgColor rgb="FF6A48EC"/>
        <bgColor indexed="64"/>
      </patternFill>
    </fill>
    <fill>
      <patternFill patternType="solid">
        <fgColor rgb="FFB4EE7B"/>
        <bgColor indexed="64"/>
      </patternFill>
    </fill>
    <fill>
      <patternFill patternType="solid">
        <fgColor rgb="FF52CC11"/>
        <bgColor indexed="64"/>
      </patternFill>
    </fill>
    <fill>
      <patternFill patternType="solid">
        <fgColor rgb="FF19B338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8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6" borderId="2" xfId="0" applyFont="1" applyFill="1" applyBorder="1" applyAlignment="1">
      <alignment horizontal="center"/>
    </xf>
    <xf numFmtId="0" fontId="1" fillId="26" borderId="4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6" borderId="5" xfId="0" applyFill="1" applyBorder="1"/>
    <xf numFmtId="0" fontId="0" fillId="26" borderId="7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1" xfId="0" applyFill="1" applyBorder="1"/>
    <xf numFmtId="0" fontId="7" fillId="0" borderId="0" xfId="0" applyFon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41" borderId="0" xfId="0" applyFill="1"/>
    <xf numFmtId="0" fontId="0" fillId="0" borderId="0" xfId="0" applyFont="1"/>
    <xf numFmtId="2" fontId="0" fillId="0" borderId="0" xfId="0" applyNumberFormat="1" applyFont="1"/>
    <xf numFmtId="0" fontId="0" fillId="42" borderId="0" xfId="0" applyFill="1"/>
    <xf numFmtId="0" fontId="0" fillId="43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11" fillId="2" borderId="0" xfId="0" applyFont="1" applyFill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13" fillId="0" borderId="0" xfId="0" applyFont="1" applyAlignment="1">
      <alignment horizontal="right"/>
    </xf>
    <xf numFmtId="0" fontId="14" fillId="0" borderId="0" xfId="0" applyFont="1"/>
    <xf numFmtId="0" fontId="13" fillId="0" borderId="0" xfId="0" applyFont="1"/>
    <xf numFmtId="0" fontId="15" fillId="0" borderId="0" xfId="0" applyFont="1"/>
    <xf numFmtId="0" fontId="13" fillId="0" borderId="0" xfId="0" applyFont="1" applyAlignment="1">
      <alignment horizontal="left"/>
    </xf>
    <xf numFmtId="0" fontId="13" fillId="77" borderId="0" xfId="0" applyFont="1" applyFill="1"/>
    <xf numFmtId="0" fontId="13" fillId="78" borderId="0" xfId="0" applyFont="1" applyFill="1"/>
    <xf numFmtId="0" fontId="13" fillId="69" borderId="0" xfId="0" applyFont="1" applyFill="1"/>
    <xf numFmtId="0" fontId="13" fillId="28" borderId="0" xfId="0" applyFont="1" applyFill="1"/>
    <xf numFmtId="0" fontId="13" fillId="40" borderId="0" xfId="0" applyFont="1" applyFill="1"/>
    <xf numFmtId="0" fontId="13" fillId="70" borderId="0" xfId="0" applyFont="1" applyFill="1"/>
    <xf numFmtId="0" fontId="13" fillId="79" borderId="0" xfId="0" applyFont="1" applyFill="1"/>
    <xf numFmtId="0" fontId="8" fillId="26" borderId="6" xfId="0" applyFont="1" applyFill="1" applyBorder="1"/>
    <xf numFmtId="0" fontId="12" fillId="0" borderId="0" xfId="0" applyFont="1" applyFill="1"/>
    <xf numFmtId="0" fontId="16" fillId="0" borderId="0" xfId="0" applyFont="1" applyFill="1"/>
    <xf numFmtId="0" fontId="9" fillId="0" borderId="0" xfId="0" applyFont="1" applyFill="1" applyAlignment="1">
      <alignment horizontal="right"/>
    </xf>
    <xf numFmtId="0" fontId="9" fillId="0" borderId="0" xfId="0" applyFont="1" applyFill="1" applyAlignment="1"/>
    <xf numFmtId="0" fontId="11" fillId="0" borderId="0" xfId="0" applyFont="1" applyAlignment="1"/>
    <xf numFmtId="0" fontId="12" fillId="0" borderId="0" xfId="0" applyFont="1" applyAlignment="1"/>
    <xf numFmtId="0" fontId="11" fillId="2" borderId="0" xfId="0" applyFont="1" applyFill="1" applyAlignment="1"/>
    <xf numFmtId="0" fontId="11" fillId="0" borderId="0" xfId="0" applyFont="1" applyFill="1" applyAlignment="1"/>
    <xf numFmtId="0" fontId="11" fillId="0" borderId="0" xfId="0" applyFont="1"/>
    <xf numFmtId="0" fontId="12" fillId="38" borderId="0" xfId="0" applyFont="1" applyFill="1"/>
    <xf numFmtId="0" fontId="11" fillId="0" borderId="0" xfId="0" applyFont="1" applyAlignment="1">
      <alignment horizontal="right"/>
    </xf>
    <xf numFmtId="2" fontId="11" fillId="0" borderId="12" xfId="0" applyNumberFormat="1" applyFont="1" applyBorder="1" applyAlignment="1">
      <alignment horizontal="center"/>
    </xf>
    <xf numFmtId="0" fontId="17" fillId="0" borderId="0" xfId="0" applyFont="1"/>
    <xf numFmtId="0" fontId="11" fillId="0" borderId="13" xfId="0" applyFont="1" applyBorder="1" applyAlignment="1">
      <alignment horizontal="center"/>
    </xf>
    <xf numFmtId="0" fontId="12" fillId="0" borderId="14" xfId="0" applyFont="1" applyBorder="1"/>
    <xf numFmtId="0" fontId="12" fillId="0" borderId="7" xfId="0" applyFont="1" applyBorder="1" applyAlignment="1">
      <alignment horizontal="right"/>
    </xf>
    <xf numFmtId="0" fontId="12" fillId="0" borderId="8" xfId="0" applyFont="1" applyBorder="1"/>
    <xf numFmtId="0" fontId="12" fillId="0" borderId="9" xfId="0" applyFont="1" applyBorder="1" applyAlignment="1">
      <alignment horizontal="right"/>
    </xf>
    <xf numFmtId="0" fontId="12" fillId="0" borderId="11" xfId="0" applyFont="1" applyBorder="1"/>
    <xf numFmtId="0" fontId="12" fillId="0" borderId="7" xfId="0" applyFont="1" applyFill="1" applyBorder="1" applyAlignment="1">
      <alignment horizontal="left"/>
    </xf>
    <xf numFmtId="0" fontId="18" fillId="0" borderId="0" xfId="0" applyFont="1"/>
    <xf numFmtId="0" fontId="10" fillId="44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left"/>
    </xf>
    <xf numFmtId="0" fontId="11" fillId="2" borderId="0" xfId="0" applyFont="1" applyFill="1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wrapText="1"/>
    </xf>
    <xf numFmtId="0" fontId="12" fillId="3" borderId="0" xfId="0" applyFont="1" applyFill="1" applyAlignment="1">
      <alignment horizontal="center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2" fillId="38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1" fillId="31" borderId="0" xfId="0" applyFont="1" applyFill="1" applyAlignment="1">
      <alignment horizontal="center"/>
    </xf>
    <xf numFmtId="0" fontId="11" fillId="29" borderId="0" xfId="0" applyFont="1" applyFill="1" applyAlignment="1">
      <alignment horizontal="center"/>
    </xf>
    <xf numFmtId="0" fontId="11" fillId="30" borderId="0" xfId="0" applyFont="1" applyFill="1" applyAlignment="1">
      <alignment horizontal="center"/>
    </xf>
    <xf numFmtId="0" fontId="11" fillId="27" borderId="0" xfId="0" applyFont="1" applyFill="1" applyAlignment="1">
      <alignment horizontal="center"/>
    </xf>
    <xf numFmtId="0" fontId="11" fillId="28" borderId="0" xfId="0" applyFont="1" applyFill="1" applyAlignment="1">
      <alignment horizontal="center"/>
    </xf>
    <xf numFmtId="0" fontId="11" fillId="0" borderId="0" xfId="0" applyFont="1" applyFill="1" applyAlignment="1">
      <alignment horizontal="right"/>
    </xf>
    <xf numFmtId="0" fontId="12" fillId="26" borderId="2" xfId="0" applyFont="1" applyFill="1" applyBorder="1" applyAlignment="1">
      <alignment horizontal="center"/>
    </xf>
    <xf numFmtId="0" fontId="12" fillId="0" borderId="0" xfId="0" applyFont="1" applyFill="1" applyBorder="1"/>
    <xf numFmtId="0" fontId="12" fillId="0" borderId="0" xfId="0" applyFont="1" applyBorder="1"/>
    <xf numFmtId="0" fontId="12" fillId="26" borderId="4" xfId="0" applyFont="1" applyFill="1" applyBorder="1" applyAlignment="1">
      <alignment horizontal="center"/>
    </xf>
    <xf numFmtId="0" fontId="12" fillId="26" borderId="3" xfId="0" applyFont="1" applyFill="1" applyBorder="1"/>
    <xf numFmtId="0" fontId="11" fillId="2" borderId="0" xfId="0" applyFont="1" applyFill="1" applyBorder="1"/>
    <xf numFmtId="0" fontId="19" fillId="0" borderId="0" xfId="0" applyFont="1" applyFill="1" applyAlignment="1"/>
    <xf numFmtId="0" fontId="12" fillId="0" borderId="0" xfId="0" applyFont="1" applyFill="1" applyAlignment="1">
      <alignment horizontal="center"/>
    </xf>
    <xf numFmtId="0" fontId="0" fillId="80" borderId="0" xfId="0" applyFill="1"/>
    <xf numFmtId="0" fontId="20" fillId="0" borderId="0" xfId="0" applyFont="1"/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2" fillId="39" borderId="2" xfId="0" applyNumberFormat="1" applyFont="1" applyFill="1" applyBorder="1"/>
    <xf numFmtId="0" fontId="21" fillId="0" borderId="0" xfId="0" applyFont="1"/>
    <xf numFmtId="0" fontId="12" fillId="0" borderId="1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39" borderId="3" xfId="0" applyNumberFormat="1" applyFont="1" applyFill="1" applyBorder="1"/>
    <xf numFmtId="0" fontId="12" fillId="39" borderId="2" xfId="0" applyFont="1" applyFill="1" applyBorder="1"/>
    <xf numFmtId="0" fontId="12" fillId="39" borderId="3" xfId="0" applyFont="1" applyFill="1" applyBorder="1"/>
    <xf numFmtId="0" fontId="20" fillId="0" borderId="0" xfId="0" applyFont="1" applyAlignment="1">
      <alignment horizontal="left"/>
    </xf>
    <xf numFmtId="0" fontId="12" fillId="39" borderId="4" xfId="0" applyFont="1" applyFill="1" applyBorder="1"/>
    <xf numFmtId="0" fontId="22" fillId="0" borderId="15" xfId="0" applyFont="1" applyFill="1" applyBorder="1" applyAlignment="1">
      <alignment horizontal="left" wrapText="1"/>
    </xf>
    <xf numFmtId="0" fontId="12" fillId="0" borderId="0" xfId="0" applyFont="1" applyFill="1" applyAlignment="1">
      <alignment horizontal="left"/>
    </xf>
    <xf numFmtId="0" fontId="12" fillId="0" borderId="16" xfId="0" applyFont="1" applyBorder="1"/>
    <xf numFmtId="0" fontId="11" fillId="0" borderId="2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2" fillId="0" borderId="18" xfId="0" applyFont="1" applyBorder="1"/>
    <xf numFmtId="0" fontId="22" fillId="0" borderId="19" xfId="0" applyFont="1" applyFill="1" applyBorder="1" applyAlignment="1">
      <alignment horizontal="right" wrapText="1"/>
    </xf>
    <xf numFmtId="0" fontId="12" fillId="0" borderId="17" xfId="0" applyFont="1" applyFill="1" applyBorder="1" applyAlignment="1">
      <alignment horizontal="right"/>
    </xf>
    <xf numFmtId="0" fontId="12" fillId="0" borderId="10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0" borderId="1" xfId="0" applyFont="1" applyBorder="1"/>
    <xf numFmtId="0" fontId="12" fillId="0" borderId="22" xfId="0" applyFont="1" applyBorder="1"/>
    <xf numFmtId="0" fontId="23" fillId="0" borderId="0" xfId="0" applyFont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0" xfId="0" applyFont="1" applyFill="1" applyAlignment="1">
      <alignment horizontal="center"/>
    </xf>
    <xf numFmtId="0" fontId="23" fillId="0" borderId="1" xfId="0" applyFont="1" applyFill="1" applyBorder="1" applyAlignment="1">
      <alignment horizontal="center"/>
    </xf>
    <xf numFmtId="0" fontId="23" fillId="0" borderId="0" xfId="0" applyFont="1" applyFill="1"/>
    <xf numFmtId="0" fontId="24" fillId="0" borderId="0" xfId="0" applyFont="1" applyAlignment="1">
      <alignment horizontal="left"/>
    </xf>
    <xf numFmtId="0" fontId="25" fillId="0" borderId="1" xfId="0" applyFont="1" applyBorder="1" applyAlignment="1">
      <alignment horizontal="center"/>
    </xf>
    <xf numFmtId="0" fontId="25" fillId="0" borderId="0" xfId="0" applyFont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10" fillId="44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0" borderId="0" xfId="0" applyAlignment="1">
      <alignment horizontal="center"/>
    </xf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147</v>
      </c>
    </row>
    <row r="3" spans="2:4" x14ac:dyDescent="0.15">
      <c r="B3" t="s">
        <v>148</v>
      </c>
    </row>
    <row r="4" spans="2:4" x14ac:dyDescent="0.15">
      <c r="B4" s="56" t="s">
        <v>173</v>
      </c>
    </row>
    <row r="6" spans="2:4" ht="14" thickBot="1" x14ac:dyDescent="0.2">
      <c r="B6" s="43" t="s">
        <v>143</v>
      </c>
    </row>
    <row r="7" spans="2:4" x14ac:dyDescent="0.15">
      <c r="B7" s="56" t="s">
        <v>145</v>
      </c>
    </row>
    <row r="8" spans="2:4" x14ac:dyDescent="0.15">
      <c r="B8" s="56" t="s">
        <v>144</v>
      </c>
    </row>
    <row r="9" spans="2:4" x14ac:dyDescent="0.15">
      <c r="B9" s="56" t="s">
        <v>146</v>
      </c>
    </row>
    <row r="10" spans="2:4" x14ac:dyDescent="0.15">
      <c r="B10" s="56" t="s">
        <v>149</v>
      </c>
    </row>
    <row r="11" spans="2:4" x14ac:dyDescent="0.15">
      <c r="B11" s="56" t="s">
        <v>153</v>
      </c>
    </row>
    <row r="12" spans="2:4" x14ac:dyDescent="0.15">
      <c r="B12" s="56" t="s">
        <v>155</v>
      </c>
    </row>
    <row r="13" spans="2:4" x14ac:dyDescent="0.15">
      <c r="B13" s="56" t="s">
        <v>174</v>
      </c>
    </row>
    <row r="15" spans="2:4" ht="14" thickBot="1" x14ac:dyDescent="0.2"/>
    <row r="16" spans="2:4" ht="14" thickBot="1" x14ac:dyDescent="0.2">
      <c r="B16" s="44" t="s">
        <v>139</v>
      </c>
      <c r="C16" s="45"/>
      <c r="D16" s="27">
        <v>41373</v>
      </c>
    </row>
    <row r="17" spans="2:4" x14ac:dyDescent="0.15">
      <c r="B17" s="46" t="s">
        <v>59</v>
      </c>
      <c r="C17" s="30">
        <v>0</v>
      </c>
    </row>
    <row r="18" spans="2:4" x14ac:dyDescent="0.15">
      <c r="B18" s="46" t="s">
        <v>60</v>
      </c>
      <c r="C18" s="30">
        <v>1</v>
      </c>
    </row>
    <row r="19" spans="2:4" x14ac:dyDescent="0.15">
      <c r="B19" s="46" t="s">
        <v>61</v>
      </c>
      <c r="C19" s="30">
        <v>2</v>
      </c>
    </row>
    <row r="20" spans="2:4" ht="14" thickBot="1" x14ac:dyDescent="0.2">
      <c r="B20" s="47" t="s">
        <v>45</v>
      </c>
      <c r="C20" s="31">
        <v>3</v>
      </c>
    </row>
    <row r="21" spans="2:4" x14ac:dyDescent="0.15">
      <c r="B21" s="48" t="s">
        <v>142</v>
      </c>
    </row>
    <row r="22" spans="2:4" ht="14" thickBot="1" x14ac:dyDescent="0.2"/>
    <row r="23" spans="2:4" ht="14" thickBot="1" x14ac:dyDescent="0.2">
      <c r="B23" s="44" t="s">
        <v>67</v>
      </c>
      <c r="C23" s="45"/>
      <c r="D23" s="27" t="s">
        <v>150</v>
      </c>
    </row>
    <row r="24" spans="2:4" x14ac:dyDescent="0.15">
      <c r="B24" s="49" t="s">
        <v>39</v>
      </c>
      <c r="C24" s="28">
        <v>1</v>
      </c>
    </row>
    <row r="25" spans="2:4" x14ac:dyDescent="0.15">
      <c r="B25" s="46" t="s">
        <v>41</v>
      </c>
      <c r="C25" s="30">
        <v>1.1000000000000001</v>
      </c>
    </row>
    <row r="26" spans="2:4" x14ac:dyDescent="0.15">
      <c r="B26" s="46" t="s">
        <v>42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43</v>
      </c>
      <c r="C28" s="30">
        <v>2.1</v>
      </c>
    </row>
    <row r="29" spans="2:4" x14ac:dyDescent="0.15">
      <c r="B29" s="46" t="s">
        <v>44</v>
      </c>
      <c r="C29" s="30">
        <v>2.2000000000000002</v>
      </c>
    </row>
    <row r="30" spans="2:4" x14ac:dyDescent="0.15">
      <c r="B30" s="46" t="s">
        <v>69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64</v>
      </c>
      <c r="C32" s="30">
        <v>3.11</v>
      </c>
    </row>
    <row r="33" spans="2:3" x14ac:dyDescent="0.15">
      <c r="B33" s="46" t="s">
        <v>63</v>
      </c>
      <c r="C33" s="30">
        <v>3.12</v>
      </c>
    </row>
    <row r="34" spans="2:3" x14ac:dyDescent="0.15">
      <c r="B34" s="46" t="s">
        <v>70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68</v>
      </c>
      <c r="C36" s="30">
        <v>3.21</v>
      </c>
    </row>
    <row r="37" spans="2:3" x14ac:dyDescent="0.15">
      <c r="B37" s="46" t="s">
        <v>65</v>
      </c>
      <c r="C37" s="30">
        <v>3.22</v>
      </c>
    </row>
    <row r="38" spans="2:3" x14ac:dyDescent="0.15">
      <c r="B38" s="46" t="s">
        <v>71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66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73</v>
      </c>
      <c r="C42" s="30">
        <v>4.0999999999999996</v>
      </c>
    </row>
    <row r="43" spans="2:3" x14ac:dyDescent="0.15">
      <c r="B43" s="46" t="s">
        <v>72</v>
      </c>
      <c r="C43" s="30">
        <v>4.2</v>
      </c>
    </row>
    <row r="44" spans="2:3" x14ac:dyDescent="0.15">
      <c r="B44" s="46" t="s">
        <v>74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140</v>
      </c>
      <c r="C46" s="30">
        <v>6.1</v>
      </c>
    </row>
    <row r="47" spans="2:3" x14ac:dyDescent="0.15">
      <c r="B47" s="46" t="s">
        <v>46</v>
      </c>
      <c r="C47" s="30">
        <v>6.2</v>
      </c>
    </row>
    <row r="48" spans="2:3" x14ac:dyDescent="0.15">
      <c r="B48" s="46"/>
      <c r="C48" s="30"/>
    </row>
    <row r="49" spans="2:3" x14ac:dyDescent="0.15">
      <c r="B49" s="46" t="s">
        <v>45</v>
      </c>
      <c r="C49" s="30">
        <v>5</v>
      </c>
    </row>
    <row r="50" spans="2:3" x14ac:dyDescent="0.15">
      <c r="B50" s="46"/>
      <c r="C50" s="30"/>
    </row>
    <row r="51" spans="2:3" ht="14" thickBot="1" x14ac:dyDescent="0.2">
      <c r="B51" s="47" t="s">
        <v>75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BA79"/>
  <sheetViews>
    <sheetView topLeftCell="A28" workbookViewId="0">
      <selection activeCell="E48" sqref="E48"/>
    </sheetView>
  </sheetViews>
  <sheetFormatPr baseColWidth="10" defaultColWidth="8.83203125" defaultRowHeight="15" customHeight="1" x14ac:dyDescent="0.2"/>
  <cols>
    <col min="1" max="1" width="22.5" style="93" customWidth="1"/>
    <col min="2" max="2" width="7.6640625" style="93" customWidth="1"/>
    <col min="3" max="3" width="8.83203125" style="93"/>
    <col min="4" max="4" width="14.33203125" style="93" customWidth="1"/>
    <col min="5" max="5" width="41.83203125" style="93" bestFit="1" customWidth="1"/>
    <col min="6" max="6" width="9.5" style="93" bestFit="1" customWidth="1"/>
    <col min="7" max="7" width="8.1640625" style="93" bestFit="1" customWidth="1"/>
    <col min="8" max="9" width="8.83203125" style="93"/>
    <col min="10" max="10" width="9.1640625" style="93" bestFit="1" customWidth="1"/>
    <col min="11" max="23" width="8.83203125" style="93"/>
    <col min="24" max="24" width="11" style="93" customWidth="1"/>
    <col min="25" max="25" width="8.83203125" style="93"/>
    <col min="26" max="26" width="16.1640625" style="93" bestFit="1" customWidth="1"/>
    <col min="27" max="27" width="23.6640625" style="93" customWidth="1"/>
    <col min="28" max="28" width="18.83203125" style="93" bestFit="1" customWidth="1"/>
    <col min="29" max="29" width="18.83203125" style="93" customWidth="1"/>
    <col min="30" max="30" width="16.33203125" style="93" customWidth="1"/>
    <col min="31" max="31" width="8.83203125" style="93"/>
    <col min="32" max="32" width="8.83203125" style="93" customWidth="1"/>
    <col min="33" max="38" width="8.83203125" style="93"/>
    <col min="39" max="39" width="8.83203125" style="93" customWidth="1"/>
    <col min="40" max="16384" width="8.83203125" style="93"/>
  </cols>
  <sheetData>
    <row r="1" spans="1:53" s="120" customFormat="1" ht="15" customHeight="1" x14ac:dyDescent="0.2">
      <c r="A1" s="119" t="s">
        <v>19</v>
      </c>
      <c r="C1" s="121" t="s">
        <v>8</v>
      </c>
      <c r="D1" s="119" t="s">
        <v>24</v>
      </c>
      <c r="E1" s="119" t="s">
        <v>0</v>
      </c>
      <c r="F1" s="119" t="s">
        <v>7</v>
      </c>
      <c r="G1" s="122" t="s">
        <v>14</v>
      </c>
      <c r="H1" s="119" t="s">
        <v>1</v>
      </c>
      <c r="I1" s="119" t="s">
        <v>2</v>
      </c>
      <c r="J1" s="119" t="s">
        <v>15</v>
      </c>
      <c r="K1" s="119" t="s">
        <v>3</v>
      </c>
      <c r="L1" s="119" t="s">
        <v>4</v>
      </c>
      <c r="M1" s="119" t="s">
        <v>5</v>
      </c>
      <c r="N1" s="119" t="s">
        <v>6</v>
      </c>
      <c r="O1" s="93"/>
      <c r="P1" s="116" t="s">
        <v>181</v>
      </c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</row>
    <row r="2" spans="1:53" ht="15" customHeight="1" x14ac:dyDescent="0.2">
      <c r="C2" s="93">
        <v>1</v>
      </c>
      <c r="E2" s="94" t="s">
        <v>185</v>
      </c>
      <c r="F2" s="93">
        <v>0</v>
      </c>
      <c r="G2" s="93">
        <v>0.13</v>
      </c>
      <c r="H2" s="93">
        <v>7.0000000000000007E-2</v>
      </c>
      <c r="I2" s="93">
        <v>5.0999999999999996</v>
      </c>
      <c r="L2" s="93">
        <v>0</v>
      </c>
      <c r="M2" s="93">
        <v>0.2</v>
      </c>
      <c r="N2" s="93">
        <v>0</v>
      </c>
    </row>
    <row r="3" spans="1:53" ht="15" customHeight="1" x14ac:dyDescent="0.2">
      <c r="A3" s="123" t="s">
        <v>9</v>
      </c>
      <c r="B3" s="92">
        <v>38</v>
      </c>
      <c r="C3" s="93">
        <v>2</v>
      </c>
      <c r="E3" s="94" t="s">
        <v>186</v>
      </c>
      <c r="F3" s="93">
        <v>0</v>
      </c>
      <c r="G3" s="93">
        <v>0.25</v>
      </c>
      <c r="H3" s="93">
        <v>0.08</v>
      </c>
      <c r="I3" s="93">
        <v>8.16</v>
      </c>
      <c r="L3" s="93">
        <v>0</v>
      </c>
      <c r="M3" s="93">
        <v>0.2</v>
      </c>
      <c r="N3" s="93">
        <v>0</v>
      </c>
    </row>
    <row r="4" spans="1:53" ht="15" customHeight="1" x14ac:dyDescent="0.2">
      <c r="A4" s="123" t="s">
        <v>10</v>
      </c>
      <c r="B4" s="92">
        <v>5</v>
      </c>
      <c r="C4" s="93">
        <v>3</v>
      </c>
      <c r="E4" s="94" t="s">
        <v>187</v>
      </c>
      <c r="F4" s="93">
        <v>0</v>
      </c>
      <c r="G4" s="136">
        <v>4.0000000000000001E-3</v>
      </c>
      <c r="H4" s="93">
        <v>0.12</v>
      </c>
      <c r="I4" s="93">
        <v>36.67</v>
      </c>
      <c r="L4" s="93">
        <v>0</v>
      </c>
      <c r="M4" s="93">
        <v>0.2</v>
      </c>
      <c r="N4" s="93">
        <v>0</v>
      </c>
      <c r="V4" s="123" t="s">
        <v>30</v>
      </c>
    </row>
    <row r="5" spans="1:53" ht="15" customHeight="1" thickBot="1" x14ac:dyDescent="0.25">
      <c r="A5" s="123" t="s">
        <v>11</v>
      </c>
      <c r="B5" s="92">
        <v>1</v>
      </c>
      <c r="C5" s="93">
        <v>4</v>
      </c>
      <c r="E5" s="94" t="s">
        <v>188</v>
      </c>
      <c r="F5" s="93">
        <v>0</v>
      </c>
      <c r="G5" s="93">
        <v>0.2</v>
      </c>
      <c r="H5" s="93">
        <v>0.39</v>
      </c>
      <c r="I5" s="93">
        <v>2.19</v>
      </c>
      <c r="L5" s="93">
        <v>0</v>
      </c>
      <c r="M5" s="93">
        <v>0.2</v>
      </c>
      <c r="N5" s="93">
        <v>0</v>
      </c>
      <c r="Q5" s="115"/>
      <c r="R5" s="115"/>
    </row>
    <row r="6" spans="1:53" ht="15" customHeight="1" thickBot="1" x14ac:dyDescent="0.25">
      <c r="B6" s="123"/>
      <c r="C6" s="93">
        <v>5</v>
      </c>
      <c r="E6" s="94" t="s">
        <v>189</v>
      </c>
      <c r="F6" s="93">
        <v>0</v>
      </c>
      <c r="G6" s="93">
        <v>0.04</v>
      </c>
      <c r="H6" s="93">
        <v>0.33</v>
      </c>
      <c r="I6" s="93">
        <v>6.75</v>
      </c>
      <c r="L6" s="93">
        <v>0</v>
      </c>
      <c r="M6" s="93">
        <v>0.2</v>
      </c>
      <c r="N6" s="93">
        <v>0</v>
      </c>
      <c r="Q6" s="115"/>
      <c r="R6" s="115"/>
      <c r="W6" s="125" t="s">
        <v>32</v>
      </c>
      <c r="X6" s="126">
        <f>MAX(MainOutputs!G:G)</f>
        <v>65535</v>
      </c>
    </row>
    <row r="7" spans="1:53" ht="15" customHeight="1" x14ac:dyDescent="0.2">
      <c r="A7" s="127" t="s">
        <v>28</v>
      </c>
      <c r="B7" s="93">
        <f ca="1">COUNTIF(OFFSET(cornerDiets,1,1,NumLiving+NumDead+1,NumLiving+NumDead),"&gt;0")+NumLiving+NumDead+1</f>
        <v>318</v>
      </c>
      <c r="C7" s="93">
        <v>6</v>
      </c>
      <c r="E7" s="94" t="s">
        <v>190</v>
      </c>
      <c r="F7" s="93">
        <v>0</v>
      </c>
      <c r="G7" s="93">
        <v>0.09</v>
      </c>
      <c r="H7" s="93">
        <v>0.46</v>
      </c>
      <c r="I7" s="93">
        <v>16.2</v>
      </c>
      <c r="L7" s="93">
        <v>0</v>
      </c>
      <c r="M7" s="93">
        <v>0.2</v>
      </c>
      <c r="N7" s="93">
        <v>0</v>
      </c>
      <c r="Q7" s="115"/>
      <c r="R7" s="115"/>
    </row>
    <row r="8" spans="1:53" ht="15" customHeight="1" x14ac:dyDescent="0.2">
      <c r="A8" s="127" t="s">
        <v>29</v>
      </c>
      <c r="B8" s="93">
        <f ca="1">COUNTIF(OFFSET(cornerFishing,1,2,NumLiving+NumDead,NumGears),"&gt;0")+NumDead*COUNTIF(OFFSET(cornerDiscards,1,2,NumLiving+NumDead,NumGears),"&gt;0")+NumLiving+NumDead+1</f>
        <v>71</v>
      </c>
      <c r="C8" s="93">
        <v>7</v>
      </c>
      <c r="E8" s="94" t="s">
        <v>191</v>
      </c>
      <c r="F8" s="93">
        <v>0</v>
      </c>
      <c r="G8" s="93">
        <v>0.53</v>
      </c>
      <c r="H8" s="93">
        <v>0.52</v>
      </c>
      <c r="I8" s="93">
        <v>5</v>
      </c>
      <c r="L8" s="115">
        <v>0</v>
      </c>
      <c r="M8" s="115">
        <v>0.2</v>
      </c>
      <c r="N8" s="115">
        <v>0</v>
      </c>
      <c r="Q8" s="115"/>
      <c r="R8" s="115"/>
    </row>
    <row r="9" spans="1:53" ht="15" customHeight="1" x14ac:dyDescent="0.2">
      <c r="B9" s="123"/>
      <c r="C9" s="93">
        <v>8</v>
      </c>
      <c r="E9" s="94" t="s">
        <v>192</v>
      </c>
      <c r="F9" s="93">
        <v>0</v>
      </c>
      <c r="G9" s="93">
        <v>0.11</v>
      </c>
      <c r="H9" s="93">
        <v>0.93</v>
      </c>
      <c r="I9" s="93">
        <v>3.1</v>
      </c>
      <c r="L9" s="115">
        <v>0</v>
      </c>
      <c r="M9" s="115">
        <v>0.2</v>
      </c>
      <c r="N9" s="115">
        <v>0</v>
      </c>
      <c r="Q9" s="115"/>
      <c r="R9" s="115"/>
    </row>
    <row r="10" spans="1:53" ht="15" customHeight="1" x14ac:dyDescent="0.2">
      <c r="B10" s="123"/>
      <c r="C10" s="93">
        <v>9</v>
      </c>
      <c r="E10" s="94" t="s">
        <v>193</v>
      </c>
      <c r="F10" s="93">
        <v>0</v>
      </c>
      <c r="G10" s="93">
        <v>0.78</v>
      </c>
      <c r="H10" s="93">
        <v>0.69</v>
      </c>
      <c r="I10" s="93">
        <v>2.2999999999999998</v>
      </c>
      <c r="L10" s="115">
        <v>0</v>
      </c>
      <c r="M10" s="115">
        <v>0.2</v>
      </c>
      <c r="N10" s="115">
        <v>0</v>
      </c>
    </row>
    <row r="11" spans="1:53" ht="15" customHeight="1" x14ac:dyDescent="0.2">
      <c r="C11" s="93">
        <v>10</v>
      </c>
      <c r="E11" s="94" t="s">
        <v>194</v>
      </c>
      <c r="F11" s="93">
        <v>0</v>
      </c>
      <c r="G11" s="93">
        <v>0.68</v>
      </c>
      <c r="H11" s="93">
        <v>2.96</v>
      </c>
      <c r="I11" s="93">
        <v>9.8699999999999992</v>
      </c>
      <c r="L11" s="115">
        <v>0</v>
      </c>
      <c r="M11" s="115">
        <v>0.2</v>
      </c>
      <c r="N11" s="115">
        <v>0</v>
      </c>
    </row>
    <row r="12" spans="1:53" ht="15" customHeight="1" x14ac:dyDescent="0.2">
      <c r="C12" s="93">
        <v>11</v>
      </c>
      <c r="E12" s="94" t="s">
        <v>195</v>
      </c>
      <c r="F12" s="93">
        <v>0</v>
      </c>
      <c r="G12" s="93">
        <v>0.94</v>
      </c>
      <c r="H12" s="93">
        <v>1.25</v>
      </c>
      <c r="I12" s="93">
        <v>4.17</v>
      </c>
      <c r="L12" s="115">
        <v>0</v>
      </c>
      <c r="M12" s="115">
        <v>0.2</v>
      </c>
      <c r="N12" s="115">
        <v>0</v>
      </c>
    </row>
    <row r="13" spans="1:53" ht="15" customHeight="1" x14ac:dyDescent="0.2">
      <c r="C13" s="93">
        <v>12</v>
      </c>
      <c r="E13" s="94" t="s">
        <v>196</v>
      </c>
      <c r="F13" s="93">
        <v>0</v>
      </c>
      <c r="G13" s="93">
        <v>1.49</v>
      </c>
      <c r="H13" s="93">
        <v>0.66</v>
      </c>
      <c r="I13" s="93">
        <v>2.2000000000000002</v>
      </c>
      <c r="L13" s="93">
        <v>0</v>
      </c>
      <c r="M13" s="93">
        <v>0.2</v>
      </c>
      <c r="N13" s="93">
        <v>0</v>
      </c>
    </row>
    <row r="14" spans="1:53" ht="15" customHeight="1" x14ac:dyDescent="0.2">
      <c r="C14" s="93">
        <v>13</v>
      </c>
      <c r="E14" s="94" t="s">
        <v>197</v>
      </c>
      <c r="F14" s="93">
        <v>0</v>
      </c>
      <c r="G14" s="93">
        <v>0.86</v>
      </c>
      <c r="H14" s="93">
        <v>0.64</v>
      </c>
      <c r="I14" s="93">
        <v>2.13</v>
      </c>
      <c r="L14" s="93">
        <v>0</v>
      </c>
      <c r="M14" s="93">
        <v>0.2</v>
      </c>
      <c r="N14" s="93">
        <v>0</v>
      </c>
    </row>
    <row r="15" spans="1:53" ht="15" customHeight="1" x14ac:dyDescent="0.2">
      <c r="C15" s="93">
        <v>14</v>
      </c>
      <c r="E15" s="94" t="s">
        <v>198</v>
      </c>
      <c r="F15" s="93">
        <v>0</v>
      </c>
      <c r="G15" s="93">
        <v>7.0000000000000007E-2</v>
      </c>
      <c r="H15" s="93">
        <v>3.6</v>
      </c>
      <c r="I15" s="93">
        <v>12</v>
      </c>
      <c r="L15" s="93">
        <v>0</v>
      </c>
      <c r="M15" s="93">
        <v>0.2</v>
      </c>
      <c r="N15" s="93">
        <v>0</v>
      </c>
    </row>
    <row r="16" spans="1:53" ht="15" customHeight="1" x14ac:dyDescent="0.2">
      <c r="C16" s="93">
        <v>15</v>
      </c>
      <c r="E16" s="94" t="s">
        <v>199</v>
      </c>
      <c r="F16" s="93">
        <v>0</v>
      </c>
      <c r="G16" s="93">
        <v>7.0000000000000007E-2</v>
      </c>
      <c r="H16" s="93">
        <v>1.52</v>
      </c>
      <c r="I16" s="93">
        <v>5.07</v>
      </c>
      <c r="L16" s="93">
        <v>0</v>
      </c>
      <c r="M16" s="93">
        <v>0.2</v>
      </c>
      <c r="N16" s="93">
        <v>0</v>
      </c>
    </row>
    <row r="17" spans="1:22" ht="15" customHeight="1" x14ac:dyDescent="0.2">
      <c r="C17" s="93">
        <v>16</v>
      </c>
      <c r="E17" s="94" t="s">
        <v>200</v>
      </c>
      <c r="F17" s="93">
        <v>0</v>
      </c>
      <c r="G17" s="93">
        <v>0.16</v>
      </c>
      <c r="H17" s="93">
        <v>0.42</v>
      </c>
      <c r="I17" s="93">
        <v>1.4</v>
      </c>
      <c r="L17" s="93">
        <v>0</v>
      </c>
      <c r="M17" s="93">
        <v>0.2</v>
      </c>
      <c r="N17" s="93">
        <v>0</v>
      </c>
      <c r="V17" s="123" t="s">
        <v>31</v>
      </c>
    </row>
    <row r="18" spans="1:22" ht="15" customHeight="1" x14ac:dyDescent="0.2">
      <c r="C18" s="93">
        <v>17</v>
      </c>
      <c r="E18" s="94" t="s">
        <v>201</v>
      </c>
      <c r="F18" s="93">
        <v>0</v>
      </c>
      <c r="G18" s="93">
        <v>0.98</v>
      </c>
      <c r="H18" s="93">
        <v>0.44</v>
      </c>
      <c r="I18" s="93">
        <v>1.47</v>
      </c>
      <c r="L18" s="93">
        <v>0</v>
      </c>
      <c r="M18" s="93">
        <v>0.2</v>
      </c>
      <c r="N18" s="93">
        <v>0</v>
      </c>
      <c r="V18" s="123"/>
    </row>
    <row r="19" spans="1:22" ht="15" customHeight="1" x14ac:dyDescent="0.2">
      <c r="C19" s="93">
        <v>18</v>
      </c>
      <c r="E19" s="94" t="s">
        <v>202</v>
      </c>
      <c r="F19" s="93">
        <v>0</v>
      </c>
      <c r="G19" s="93">
        <v>0.3</v>
      </c>
      <c r="H19" s="93">
        <v>0.45</v>
      </c>
      <c r="I19" s="93">
        <v>1.51</v>
      </c>
      <c r="L19" s="93">
        <v>0</v>
      </c>
      <c r="M19" s="93">
        <v>0.2</v>
      </c>
      <c r="N19" s="93">
        <v>0</v>
      </c>
    </row>
    <row r="20" spans="1:22" ht="15" customHeight="1" thickBot="1" x14ac:dyDescent="0.25">
      <c r="C20" s="93">
        <v>19</v>
      </c>
      <c r="E20" s="94" t="s">
        <v>203</v>
      </c>
      <c r="F20" s="93">
        <v>0</v>
      </c>
      <c r="G20" s="93">
        <v>0.61</v>
      </c>
      <c r="H20" s="93">
        <v>0.45</v>
      </c>
      <c r="I20" s="93">
        <v>1.51</v>
      </c>
      <c r="L20" s="93">
        <v>0</v>
      </c>
      <c r="M20" s="93">
        <v>0.2</v>
      </c>
      <c r="N20" s="93">
        <v>0</v>
      </c>
    </row>
    <row r="21" spans="1:22" ht="15" customHeight="1" thickBot="1" x14ac:dyDescent="0.25">
      <c r="A21" s="128" t="s">
        <v>139</v>
      </c>
      <c r="B21" s="129"/>
      <c r="C21" s="93">
        <v>20</v>
      </c>
      <c r="E21" s="94" t="s">
        <v>204</v>
      </c>
      <c r="F21" s="93">
        <v>0</v>
      </c>
      <c r="H21" s="93">
        <v>0.56000000000000005</v>
      </c>
      <c r="I21" s="93">
        <v>1.87</v>
      </c>
      <c r="J21" s="93">
        <v>0.95</v>
      </c>
      <c r="L21" s="93">
        <v>0</v>
      </c>
      <c r="M21" s="93">
        <v>0.2</v>
      </c>
      <c r="N21" s="93">
        <v>0</v>
      </c>
    </row>
    <row r="22" spans="1:22" ht="15" customHeight="1" x14ac:dyDescent="0.2">
      <c r="A22" s="130" t="s">
        <v>59</v>
      </c>
      <c r="B22" s="131">
        <v>0</v>
      </c>
      <c r="C22" s="93">
        <v>21</v>
      </c>
      <c r="E22" s="94" t="s">
        <v>205</v>
      </c>
      <c r="F22" s="93">
        <v>0</v>
      </c>
      <c r="G22" s="93">
        <v>0.02</v>
      </c>
      <c r="H22" s="93">
        <v>0.41</v>
      </c>
      <c r="I22" s="93">
        <v>1.36</v>
      </c>
      <c r="L22" s="93">
        <v>0</v>
      </c>
      <c r="M22" s="93">
        <v>0.2</v>
      </c>
      <c r="N22" s="93">
        <v>0</v>
      </c>
    </row>
    <row r="23" spans="1:22" ht="15" customHeight="1" x14ac:dyDescent="0.2">
      <c r="A23" s="130" t="s">
        <v>60</v>
      </c>
      <c r="B23" s="131">
        <v>1</v>
      </c>
      <c r="C23" s="93">
        <v>22</v>
      </c>
      <c r="E23" s="94" t="s">
        <v>206</v>
      </c>
      <c r="F23" s="93">
        <v>0</v>
      </c>
      <c r="G23" s="93">
        <v>0.06</v>
      </c>
      <c r="H23" s="93">
        <v>0.7</v>
      </c>
      <c r="I23" s="93">
        <v>2.3199999999999998</v>
      </c>
      <c r="L23" s="93">
        <v>0</v>
      </c>
      <c r="M23" s="93">
        <v>0.2</v>
      </c>
      <c r="N23" s="93">
        <v>0</v>
      </c>
    </row>
    <row r="24" spans="1:22" ht="15" customHeight="1" x14ac:dyDescent="0.2">
      <c r="A24" s="130" t="s">
        <v>61</v>
      </c>
      <c r="B24" s="131">
        <v>2</v>
      </c>
      <c r="C24" s="93">
        <v>23</v>
      </c>
      <c r="E24" s="94" t="s">
        <v>207</v>
      </c>
      <c r="F24" s="93">
        <v>0</v>
      </c>
      <c r="G24" s="93">
        <v>0.42</v>
      </c>
      <c r="H24" s="93">
        <v>0.7</v>
      </c>
      <c r="I24" s="93">
        <v>2.3199999999999998</v>
      </c>
      <c r="L24" s="93">
        <v>0</v>
      </c>
      <c r="M24" s="93">
        <v>0.2</v>
      </c>
      <c r="N24" s="93">
        <v>0</v>
      </c>
    </row>
    <row r="25" spans="1:22" ht="15" customHeight="1" thickBot="1" x14ac:dyDescent="0.25">
      <c r="A25" s="132" t="s">
        <v>45</v>
      </c>
      <c r="B25" s="133">
        <v>3</v>
      </c>
      <c r="C25" s="93">
        <v>24</v>
      </c>
      <c r="E25" s="94" t="s">
        <v>208</v>
      </c>
      <c r="F25" s="93">
        <v>0</v>
      </c>
      <c r="G25" s="93">
        <v>1.19</v>
      </c>
      <c r="H25" s="93">
        <v>1.5</v>
      </c>
      <c r="I25" s="93">
        <v>6</v>
      </c>
      <c r="L25" s="93">
        <v>0</v>
      </c>
      <c r="M25" s="93">
        <v>0.2</v>
      </c>
      <c r="N25" s="93">
        <v>0</v>
      </c>
    </row>
    <row r="26" spans="1:22" ht="15" customHeight="1" x14ac:dyDescent="0.2">
      <c r="A26" s="134" t="s">
        <v>142</v>
      </c>
      <c r="C26" s="93">
        <v>25</v>
      </c>
      <c r="E26" s="94" t="s">
        <v>209</v>
      </c>
      <c r="F26" s="93">
        <v>0</v>
      </c>
      <c r="G26" s="93">
        <v>1</v>
      </c>
      <c r="H26" s="93">
        <v>1.5</v>
      </c>
      <c r="I26" s="93">
        <v>6</v>
      </c>
      <c r="L26" s="93">
        <v>0</v>
      </c>
      <c r="M26" s="93">
        <v>0.2</v>
      </c>
      <c r="N26" s="93">
        <v>0</v>
      </c>
    </row>
    <row r="27" spans="1:22" ht="15" customHeight="1" x14ac:dyDescent="0.2">
      <c r="C27" s="93">
        <v>26</v>
      </c>
      <c r="E27" s="94" t="s">
        <v>210</v>
      </c>
      <c r="F27" s="93">
        <v>0</v>
      </c>
      <c r="G27" s="93">
        <v>0.87</v>
      </c>
      <c r="H27" s="93">
        <v>1.5</v>
      </c>
      <c r="I27" s="93">
        <v>6</v>
      </c>
      <c r="L27" s="93">
        <v>0</v>
      </c>
      <c r="M27" s="93">
        <v>0.2</v>
      </c>
      <c r="N27" s="93">
        <v>0</v>
      </c>
    </row>
    <row r="28" spans="1:22" ht="15" customHeight="1" x14ac:dyDescent="0.2">
      <c r="C28" s="93">
        <v>27</v>
      </c>
      <c r="E28" s="94" t="s">
        <v>211</v>
      </c>
      <c r="F28" s="93">
        <v>0</v>
      </c>
      <c r="G28" s="93">
        <v>0.68</v>
      </c>
      <c r="H28" s="93">
        <v>2.56</v>
      </c>
      <c r="I28" s="93">
        <v>7.3</v>
      </c>
      <c r="L28" s="93">
        <v>0</v>
      </c>
      <c r="M28" s="93">
        <v>0.2</v>
      </c>
      <c r="N28" s="93">
        <v>0</v>
      </c>
    </row>
    <row r="29" spans="1:22" ht="15" customHeight="1" x14ac:dyDescent="0.2">
      <c r="C29" s="93">
        <v>28</v>
      </c>
      <c r="E29" s="94" t="s">
        <v>212</v>
      </c>
      <c r="F29" s="93">
        <v>0</v>
      </c>
      <c r="G29" s="93">
        <v>0.52</v>
      </c>
      <c r="H29" s="93">
        <v>3.5</v>
      </c>
      <c r="I29" s="93">
        <v>13.64</v>
      </c>
      <c r="L29" s="93">
        <v>0</v>
      </c>
      <c r="M29" s="93">
        <v>0.2</v>
      </c>
      <c r="N29" s="93">
        <v>0</v>
      </c>
    </row>
    <row r="30" spans="1:22" ht="15" customHeight="1" x14ac:dyDescent="0.2">
      <c r="C30" s="93">
        <v>29</v>
      </c>
      <c r="E30" s="94" t="s">
        <v>213</v>
      </c>
      <c r="F30" s="93">
        <v>0</v>
      </c>
      <c r="G30" s="93">
        <v>1.54</v>
      </c>
      <c r="H30" s="93">
        <v>3.44</v>
      </c>
      <c r="I30" s="93">
        <v>11.47</v>
      </c>
      <c r="L30" s="93">
        <v>0</v>
      </c>
      <c r="M30" s="93">
        <v>0.2</v>
      </c>
      <c r="N30" s="93">
        <v>0</v>
      </c>
    </row>
    <row r="31" spans="1:22" ht="15" customHeight="1" x14ac:dyDescent="0.2">
      <c r="C31" s="93">
        <v>30</v>
      </c>
      <c r="E31" s="94" t="s">
        <v>214</v>
      </c>
      <c r="F31" s="93">
        <v>0</v>
      </c>
      <c r="G31" s="93">
        <v>2.74</v>
      </c>
      <c r="H31" s="93">
        <v>3.22</v>
      </c>
      <c r="I31" s="93">
        <v>10.73</v>
      </c>
      <c r="L31" s="93">
        <v>0</v>
      </c>
      <c r="M31" s="93">
        <v>0.2</v>
      </c>
      <c r="N31" s="93">
        <v>0</v>
      </c>
    </row>
    <row r="32" spans="1:22" ht="15" customHeight="1" x14ac:dyDescent="0.2">
      <c r="C32" s="93">
        <v>31</v>
      </c>
      <c r="E32" s="94" t="s">
        <v>215</v>
      </c>
      <c r="F32" s="93">
        <v>0</v>
      </c>
      <c r="G32" s="93">
        <v>3.86</v>
      </c>
      <c r="H32" s="93">
        <v>2.56</v>
      </c>
      <c r="I32" s="93">
        <v>12.05</v>
      </c>
      <c r="L32" s="93">
        <v>0</v>
      </c>
      <c r="M32" s="93">
        <v>0.2</v>
      </c>
      <c r="N32" s="93">
        <v>0</v>
      </c>
    </row>
    <row r="33" spans="3:14" ht="15" customHeight="1" x14ac:dyDescent="0.2">
      <c r="C33" s="93">
        <v>32</v>
      </c>
      <c r="E33" s="94" t="s">
        <v>216</v>
      </c>
      <c r="F33" s="93">
        <v>0</v>
      </c>
      <c r="G33" s="93">
        <v>4.83</v>
      </c>
      <c r="H33" s="93">
        <v>2.56</v>
      </c>
      <c r="I33" s="93">
        <v>12.05</v>
      </c>
      <c r="L33" s="93">
        <v>0</v>
      </c>
      <c r="M33" s="93">
        <v>0.2</v>
      </c>
      <c r="N33" s="93">
        <v>0</v>
      </c>
    </row>
    <row r="34" spans="3:14" ht="15" customHeight="1" x14ac:dyDescent="0.2">
      <c r="C34" s="93">
        <v>33</v>
      </c>
      <c r="E34" s="94" t="s">
        <v>217</v>
      </c>
      <c r="F34" s="93">
        <v>0</v>
      </c>
      <c r="G34" s="93">
        <v>7.13</v>
      </c>
      <c r="H34" s="93">
        <v>5.8</v>
      </c>
      <c r="I34" s="93">
        <v>19.329999999999998</v>
      </c>
      <c r="L34" s="93">
        <v>0</v>
      </c>
      <c r="M34" s="93">
        <v>0.2</v>
      </c>
      <c r="N34" s="93">
        <v>0</v>
      </c>
    </row>
    <row r="35" spans="3:14" ht="15" customHeight="1" x14ac:dyDescent="0.2">
      <c r="C35" s="93">
        <v>34</v>
      </c>
      <c r="E35" s="94" t="s">
        <v>218</v>
      </c>
      <c r="F35" s="93">
        <v>0</v>
      </c>
      <c r="G35" s="93">
        <v>5.8</v>
      </c>
      <c r="H35" s="93">
        <v>5.8</v>
      </c>
      <c r="I35" s="93">
        <v>19.329999999999998</v>
      </c>
      <c r="L35" s="93">
        <v>0</v>
      </c>
      <c r="M35" s="93">
        <v>0.2</v>
      </c>
      <c r="N35" s="93">
        <v>0</v>
      </c>
    </row>
    <row r="36" spans="3:14" ht="15" customHeight="1" x14ac:dyDescent="0.2">
      <c r="C36" s="93">
        <v>35</v>
      </c>
      <c r="E36" s="94" t="s">
        <v>219</v>
      </c>
      <c r="F36" s="93">
        <v>0</v>
      </c>
      <c r="G36" s="93">
        <v>25.13</v>
      </c>
      <c r="H36" s="93">
        <v>5.8</v>
      </c>
      <c r="I36" s="93">
        <v>19.329999999999998</v>
      </c>
      <c r="L36" s="93">
        <v>0</v>
      </c>
      <c r="M36" s="93">
        <v>0.2</v>
      </c>
      <c r="N36" s="93">
        <v>0</v>
      </c>
    </row>
    <row r="37" spans="3:14" ht="15" customHeight="1" x14ac:dyDescent="0.2">
      <c r="C37" s="93">
        <v>36</v>
      </c>
      <c r="E37" s="94" t="s">
        <v>220</v>
      </c>
      <c r="F37" s="93">
        <v>1</v>
      </c>
      <c r="G37" s="93">
        <v>2.71</v>
      </c>
      <c r="H37" s="93">
        <v>153.78</v>
      </c>
      <c r="I37" s="124"/>
      <c r="L37" s="93">
        <v>0</v>
      </c>
      <c r="M37" s="93">
        <v>0</v>
      </c>
      <c r="N37" s="93">
        <v>0</v>
      </c>
    </row>
    <row r="38" spans="3:14" ht="15" customHeight="1" x14ac:dyDescent="0.2">
      <c r="C38" s="93">
        <v>37</v>
      </c>
      <c r="E38" s="94" t="s">
        <v>221</v>
      </c>
      <c r="F38" s="93">
        <v>1</v>
      </c>
      <c r="G38" s="93">
        <v>2</v>
      </c>
      <c r="H38" s="93">
        <v>128.27000000000001</v>
      </c>
      <c r="I38" s="124"/>
      <c r="L38" s="93">
        <v>0</v>
      </c>
      <c r="M38" s="93">
        <v>0</v>
      </c>
      <c r="N38" s="93">
        <v>0</v>
      </c>
    </row>
    <row r="39" spans="3:14" ht="15" customHeight="1" x14ac:dyDescent="0.2">
      <c r="C39" s="93">
        <v>38</v>
      </c>
      <c r="E39" s="94" t="s">
        <v>222</v>
      </c>
      <c r="F39" s="93">
        <v>1</v>
      </c>
      <c r="G39" s="93">
        <v>5.42</v>
      </c>
      <c r="H39" s="93">
        <v>153.78</v>
      </c>
      <c r="I39" s="124"/>
      <c r="L39" s="93">
        <v>0</v>
      </c>
      <c r="M39" s="93">
        <v>0</v>
      </c>
      <c r="N39" s="93">
        <v>0</v>
      </c>
    </row>
    <row r="40" spans="3:14" ht="15" customHeight="1" x14ac:dyDescent="0.2">
      <c r="C40" s="93">
        <v>39</v>
      </c>
      <c r="E40" s="94" t="s">
        <v>223</v>
      </c>
      <c r="F40" s="93">
        <v>2</v>
      </c>
      <c r="G40" s="93">
        <v>9.58</v>
      </c>
      <c r="H40" s="124"/>
      <c r="I40" s="124"/>
      <c r="L40" s="93">
        <v>0</v>
      </c>
      <c r="M40" s="93">
        <v>0</v>
      </c>
      <c r="N40" s="93">
        <v>0</v>
      </c>
    </row>
    <row r="41" spans="3:14" ht="15" customHeight="1" x14ac:dyDescent="0.2">
      <c r="C41" s="93">
        <v>40</v>
      </c>
      <c r="E41" s="94" t="s">
        <v>224</v>
      </c>
      <c r="F41" s="93">
        <v>2</v>
      </c>
      <c r="G41" s="93">
        <v>6.04</v>
      </c>
      <c r="H41" s="124"/>
      <c r="I41" s="124"/>
      <c r="L41" s="93">
        <v>0</v>
      </c>
      <c r="M41" s="93">
        <v>0</v>
      </c>
      <c r="N41" s="93">
        <v>0</v>
      </c>
    </row>
    <row r="42" spans="3:14" ht="15" customHeight="1" x14ac:dyDescent="0.2">
      <c r="C42" s="93">
        <v>41</v>
      </c>
      <c r="E42" s="94" t="s">
        <v>225</v>
      </c>
      <c r="F42" s="93">
        <v>2</v>
      </c>
      <c r="G42" s="93">
        <v>28.5</v>
      </c>
      <c r="H42" s="124"/>
      <c r="I42" s="124"/>
      <c r="L42" s="93">
        <v>0</v>
      </c>
      <c r="M42" s="93">
        <v>0</v>
      </c>
      <c r="N42" s="93">
        <v>0</v>
      </c>
    </row>
    <row r="43" spans="3:14" ht="15" customHeight="1" x14ac:dyDescent="0.2">
      <c r="C43" s="93">
        <v>42</v>
      </c>
      <c r="E43" s="94" t="s">
        <v>227</v>
      </c>
      <c r="F43" s="93">
        <v>2</v>
      </c>
      <c r="G43" s="93">
        <v>5</v>
      </c>
      <c r="H43" s="124"/>
      <c r="I43" s="124"/>
      <c r="L43" s="93">
        <v>0</v>
      </c>
      <c r="M43" s="93">
        <v>0</v>
      </c>
      <c r="N43" s="93">
        <v>0</v>
      </c>
    </row>
    <row r="44" spans="3:14" ht="15" customHeight="1" x14ac:dyDescent="0.2">
      <c r="C44" s="93">
        <v>43</v>
      </c>
      <c r="E44" s="94" t="s">
        <v>125</v>
      </c>
      <c r="F44" s="93">
        <v>2</v>
      </c>
      <c r="G44" s="93">
        <v>10</v>
      </c>
      <c r="H44" s="124"/>
      <c r="I44" s="124"/>
      <c r="L44" s="93">
        <v>0</v>
      </c>
      <c r="M44" s="93">
        <v>0</v>
      </c>
      <c r="N44" s="93">
        <v>0</v>
      </c>
    </row>
    <row r="45" spans="3:14" ht="15" customHeight="1" x14ac:dyDescent="0.2">
      <c r="C45" s="93">
        <v>44</v>
      </c>
      <c r="E45" s="94" t="s">
        <v>226</v>
      </c>
      <c r="F45" s="93">
        <v>3</v>
      </c>
      <c r="G45" s="93">
        <v>1.732</v>
      </c>
      <c r="H45" s="124"/>
      <c r="I45" s="124"/>
      <c r="L45" s="93">
        <v>0</v>
      </c>
      <c r="M45" s="93">
        <v>0</v>
      </c>
      <c r="N45" s="93">
        <v>0</v>
      </c>
    </row>
    <row r="78" spans="5:8" ht="15" customHeight="1" x14ac:dyDescent="0.2">
      <c r="E78" s="135" t="s">
        <v>182</v>
      </c>
    </row>
    <row r="79" spans="5:8" ht="15" customHeight="1" x14ac:dyDescent="0.2">
      <c r="F79" s="123" t="s">
        <v>184</v>
      </c>
      <c r="H79" s="93" t="s">
        <v>183</v>
      </c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79"/>
  <sheetViews>
    <sheetView workbookViewId="0">
      <pane xSplit="1" ySplit="1" topLeftCell="B27" activePane="bottomRight" state="frozen"/>
      <selection pane="topRight" activeCell="B1" sqref="B1"/>
      <selection pane="bottomLeft" activeCell="A2" sqref="A2"/>
      <selection pane="bottomRight" activeCell="A2" sqref="A2:XFD45"/>
    </sheetView>
  </sheetViews>
  <sheetFormatPr baseColWidth="10" defaultColWidth="8.83203125" defaultRowHeight="16" x14ac:dyDescent="0.2"/>
  <cols>
    <col min="1" max="1" width="38.83203125" style="93" customWidth="1"/>
    <col min="2" max="16384" width="8.83203125" style="93"/>
  </cols>
  <sheetData>
    <row r="1" spans="1:44" x14ac:dyDescent="0.2">
      <c r="A1" s="92" t="s">
        <v>20</v>
      </c>
      <c r="B1" s="93" t="s">
        <v>185</v>
      </c>
      <c r="C1" s="93" t="s">
        <v>186</v>
      </c>
      <c r="D1" s="93" t="s">
        <v>187</v>
      </c>
      <c r="E1" s="93" t="s">
        <v>188</v>
      </c>
      <c r="F1" s="93" t="s">
        <v>189</v>
      </c>
      <c r="G1" s="93" t="s">
        <v>190</v>
      </c>
      <c r="H1" s="93" t="s">
        <v>191</v>
      </c>
      <c r="I1" s="93" t="s">
        <v>192</v>
      </c>
      <c r="J1" s="93" t="s">
        <v>193</v>
      </c>
      <c r="K1" s="93" t="s">
        <v>194</v>
      </c>
      <c r="L1" s="93" t="s">
        <v>195</v>
      </c>
      <c r="M1" s="93" t="s">
        <v>196</v>
      </c>
      <c r="N1" s="93" t="s">
        <v>197</v>
      </c>
      <c r="O1" s="93" t="s">
        <v>198</v>
      </c>
      <c r="P1" s="93" t="s">
        <v>199</v>
      </c>
      <c r="Q1" s="93" t="s">
        <v>200</v>
      </c>
      <c r="R1" s="93" t="s">
        <v>201</v>
      </c>
      <c r="S1" s="93" t="s">
        <v>202</v>
      </c>
      <c r="T1" s="93" t="s">
        <v>203</v>
      </c>
      <c r="U1" s="93" t="s">
        <v>204</v>
      </c>
      <c r="V1" s="93" t="s">
        <v>205</v>
      </c>
      <c r="W1" s="93" t="s">
        <v>206</v>
      </c>
      <c r="X1" s="93" t="s">
        <v>207</v>
      </c>
      <c r="Y1" s="93" t="s">
        <v>208</v>
      </c>
      <c r="Z1" s="93" t="s">
        <v>209</v>
      </c>
      <c r="AA1" s="93" t="s">
        <v>210</v>
      </c>
      <c r="AB1" s="93" t="s">
        <v>211</v>
      </c>
      <c r="AC1" s="93" t="s">
        <v>212</v>
      </c>
      <c r="AD1" s="93" t="s">
        <v>213</v>
      </c>
      <c r="AE1" s="93" t="s">
        <v>214</v>
      </c>
      <c r="AF1" s="93" t="s">
        <v>215</v>
      </c>
      <c r="AG1" s="93" t="s">
        <v>216</v>
      </c>
      <c r="AH1" s="93" t="s">
        <v>217</v>
      </c>
      <c r="AI1" s="93" t="s">
        <v>218</v>
      </c>
      <c r="AJ1" s="93" t="s">
        <v>219</v>
      </c>
      <c r="AK1" s="93" t="s">
        <v>220</v>
      </c>
      <c r="AL1" s="93" t="s">
        <v>221</v>
      </c>
      <c r="AM1" s="93" t="s">
        <v>222</v>
      </c>
      <c r="AN1" s="93" t="s">
        <v>223</v>
      </c>
      <c r="AO1" s="93" t="s">
        <v>224</v>
      </c>
      <c r="AP1" s="93" t="s">
        <v>225</v>
      </c>
      <c r="AQ1" s="94" t="s">
        <v>227</v>
      </c>
      <c r="AR1" s="94" t="s">
        <v>125</v>
      </c>
    </row>
    <row r="2" spans="1:44" x14ac:dyDescent="0.2">
      <c r="A2" s="94" t="s">
        <v>185</v>
      </c>
      <c r="B2" s="93">
        <v>0</v>
      </c>
      <c r="C2" s="93">
        <v>0</v>
      </c>
      <c r="D2" s="93">
        <v>0</v>
      </c>
      <c r="E2" s="93">
        <v>0</v>
      </c>
      <c r="F2" s="93">
        <v>0</v>
      </c>
      <c r="G2" s="93">
        <v>0</v>
      </c>
      <c r="H2" s="93">
        <v>0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  <c r="U2" s="93">
        <v>0</v>
      </c>
      <c r="V2" s="93">
        <v>0</v>
      </c>
      <c r="W2" s="93">
        <v>0</v>
      </c>
      <c r="X2" s="93">
        <v>0</v>
      </c>
      <c r="Y2" s="93">
        <v>0</v>
      </c>
      <c r="Z2" s="93">
        <v>0</v>
      </c>
      <c r="AA2" s="93">
        <v>0</v>
      </c>
      <c r="AB2" s="93">
        <v>0</v>
      </c>
      <c r="AC2" s="93">
        <v>0</v>
      </c>
      <c r="AD2" s="93">
        <v>0</v>
      </c>
      <c r="AE2" s="93">
        <v>0</v>
      </c>
      <c r="AF2" s="93">
        <v>0</v>
      </c>
      <c r="AG2" s="93">
        <v>0</v>
      </c>
      <c r="AH2" s="93">
        <v>0</v>
      </c>
      <c r="AI2" s="93">
        <v>0</v>
      </c>
      <c r="AJ2" s="93">
        <v>0</v>
      </c>
      <c r="AK2" s="124">
        <v>0</v>
      </c>
      <c r="AL2" s="124">
        <v>0</v>
      </c>
      <c r="AM2" s="124">
        <v>0</v>
      </c>
      <c r="AN2" s="124">
        <v>0</v>
      </c>
      <c r="AO2" s="124">
        <v>0</v>
      </c>
      <c r="AP2" s="124">
        <v>0</v>
      </c>
      <c r="AQ2" s="124">
        <v>0</v>
      </c>
      <c r="AR2" s="124">
        <v>0</v>
      </c>
    </row>
    <row r="3" spans="1:44" x14ac:dyDescent="0.2">
      <c r="A3" s="94" t="s">
        <v>186</v>
      </c>
      <c r="B3" s="93">
        <v>0</v>
      </c>
      <c r="C3" s="93">
        <v>0</v>
      </c>
      <c r="D3" s="93">
        <v>0</v>
      </c>
      <c r="E3" s="93">
        <v>0</v>
      </c>
      <c r="F3" s="93">
        <v>0</v>
      </c>
      <c r="G3" s="93">
        <v>0</v>
      </c>
      <c r="H3" s="93">
        <v>0</v>
      </c>
      <c r="I3" s="93">
        <v>0</v>
      </c>
      <c r="J3" s="93">
        <v>0</v>
      </c>
      <c r="K3" s="93">
        <v>0</v>
      </c>
      <c r="L3" s="93">
        <v>0</v>
      </c>
      <c r="M3" s="93">
        <v>0</v>
      </c>
      <c r="N3" s="93">
        <v>0</v>
      </c>
      <c r="O3" s="93">
        <v>0</v>
      </c>
      <c r="P3" s="93">
        <v>0</v>
      </c>
      <c r="Q3" s="93">
        <v>0</v>
      </c>
      <c r="R3" s="93">
        <v>0</v>
      </c>
      <c r="S3" s="93">
        <v>0</v>
      </c>
      <c r="T3" s="93">
        <v>0</v>
      </c>
      <c r="U3" s="93">
        <v>0</v>
      </c>
      <c r="V3" s="93">
        <v>0</v>
      </c>
      <c r="W3" s="93">
        <v>0</v>
      </c>
      <c r="X3" s="93">
        <v>0</v>
      </c>
      <c r="Y3" s="93">
        <v>0</v>
      </c>
      <c r="Z3" s="93">
        <v>0</v>
      </c>
      <c r="AA3" s="93">
        <v>0</v>
      </c>
      <c r="AB3" s="93">
        <v>0</v>
      </c>
      <c r="AC3" s="93">
        <v>0</v>
      </c>
      <c r="AD3" s="93">
        <v>0</v>
      </c>
      <c r="AE3" s="93">
        <v>0</v>
      </c>
      <c r="AF3" s="93">
        <v>0</v>
      </c>
      <c r="AG3" s="93">
        <v>0</v>
      </c>
      <c r="AH3" s="93">
        <v>0</v>
      </c>
      <c r="AI3" s="93">
        <v>0</v>
      </c>
      <c r="AJ3" s="93">
        <v>0</v>
      </c>
      <c r="AK3" s="124">
        <v>0</v>
      </c>
      <c r="AL3" s="124">
        <v>0</v>
      </c>
      <c r="AM3" s="124">
        <v>0</v>
      </c>
      <c r="AN3" s="124">
        <v>0</v>
      </c>
      <c r="AO3" s="124">
        <v>0</v>
      </c>
      <c r="AP3" s="124">
        <v>0</v>
      </c>
      <c r="AQ3" s="124">
        <v>0</v>
      </c>
      <c r="AR3" s="124">
        <v>0</v>
      </c>
    </row>
    <row r="4" spans="1:44" x14ac:dyDescent="0.2">
      <c r="A4" s="94" t="s">
        <v>187</v>
      </c>
      <c r="B4" s="93">
        <v>0</v>
      </c>
      <c r="C4" s="93">
        <v>0</v>
      </c>
      <c r="D4" s="93">
        <v>0</v>
      </c>
      <c r="E4" s="93">
        <v>0</v>
      </c>
      <c r="F4" s="93">
        <v>0</v>
      </c>
      <c r="G4" s="93">
        <v>0</v>
      </c>
      <c r="H4" s="93">
        <v>0</v>
      </c>
      <c r="I4" s="93">
        <v>0</v>
      </c>
      <c r="J4" s="93">
        <v>0</v>
      </c>
      <c r="K4" s="93">
        <v>0</v>
      </c>
      <c r="L4" s="93">
        <v>0</v>
      </c>
      <c r="M4" s="93">
        <v>0</v>
      </c>
      <c r="N4" s="93">
        <v>0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  <c r="U4" s="93">
        <v>0</v>
      </c>
      <c r="V4" s="93">
        <v>0</v>
      </c>
      <c r="W4" s="93">
        <v>0</v>
      </c>
      <c r="X4" s="93">
        <v>0</v>
      </c>
      <c r="Y4" s="93">
        <v>0</v>
      </c>
      <c r="Z4" s="93">
        <v>0</v>
      </c>
      <c r="AA4" s="93">
        <v>0</v>
      </c>
      <c r="AB4" s="93">
        <v>0</v>
      </c>
      <c r="AC4" s="93">
        <v>0</v>
      </c>
      <c r="AD4" s="93">
        <v>0</v>
      </c>
      <c r="AE4" s="93">
        <v>0</v>
      </c>
      <c r="AF4" s="93">
        <v>0</v>
      </c>
      <c r="AG4" s="93">
        <v>0</v>
      </c>
      <c r="AH4" s="93">
        <v>0</v>
      </c>
      <c r="AI4" s="93">
        <v>0</v>
      </c>
      <c r="AJ4" s="93">
        <v>0</v>
      </c>
      <c r="AK4" s="124">
        <v>0</v>
      </c>
      <c r="AL4" s="124">
        <v>0</v>
      </c>
      <c r="AM4" s="124">
        <v>0</v>
      </c>
      <c r="AN4" s="124">
        <v>0</v>
      </c>
      <c r="AO4" s="124">
        <v>0</v>
      </c>
      <c r="AP4" s="124">
        <v>0</v>
      </c>
      <c r="AQ4" s="124">
        <v>0</v>
      </c>
      <c r="AR4" s="124">
        <v>0</v>
      </c>
    </row>
    <row r="5" spans="1:44" x14ac:dyDescent="0.2">
      <c r="A5" s="94" t="s">
        <v>188</v>
      </c>
      <c r="B5" s="93">
        <v>0</v>
      </c>
      <c r="C5" s="93">
        <v>0</v>
      </c>
      <c r="D5" s="93">
        <v>0</v>
      </c>
      <c r="E5" s="93">
        <v>0</v>
      </c>
      <c r="F5" s="93">
        <v>0</v>
      </c>
      <c r="G5" s="93">
        <v>0</v>
      </c>
      <c r="H5" s="93">
        <v>0</v>
      </c>
      <c r="I5" s="93">
        <v>0</v>
      </c>
      <c r="J5" s="93">
        <v>0</v>
      </c>
      <c r="K5" s="93">
        <v>0</v>
      </c>
      <c r="L5" s="93">
        <v>0</v>
      </c>
      <c r="M5" s="93">
        <v>0</v>
      </c>
      <c r="N5" s="93">
        <v>0</v>
      </c>
      <c r="O5" s="93">
        <v>0</v>
      </c>
      <c r="P5" s="93">
        <v>0</v>
      </c>
      <c r="Q5" s="93">
        <v>0</v>
      </c>
      <c r="R5" s="93">
        <v>0</v>
      </c>
      <c r="S5" s="93">
        <v>0</v>
      </c>
      <c r="T5" s="93">
        <v>0</v>
      </c>
      <c r="U5" s="93">
        <v>0</v>
      </c>
      <c r="V5" s="93">
        <v>0</v>
      </c>
      <c r="W5" s="93">
        <v>0</v>
      </c>
      <c r="X5" s="93">
        <v>0</v>
      </c>
      <c r="Y5" s="93">
        <v>0</v>
      </c>
      <c r="Z5" s="93">
        <v>0</v>
      </c>
      <c r="AA5" s="93">
        <v>0</v>
      </c>
      <c r="AB5" s="93">
        <v>0</v>
      </c>
      <c r="AC5" s="93">
        <v>0</v>
      </c>
      <c r="AD5" s="93">
        <v>0</v>
      </c>
      <c r="AE5" s="93">
        <v>0</v>
      </c>
      <c r="AF5" s="93">
        <v>0</v>
      </c>
      <c r="AG5" s="93">
        <v>0</v>
      </c>
      <c r="AH5" s="93">
        <v>0</v>
      </c>
      <c r="AI5" s="93">
        <v>0</v>
      </c>
      <c r="AJ5" s="93">
        <v>0</v>
      </c>
      <c r="AK5" s="124">
        <v>0</v>
      </c>
      <c r="AL5" s="124">
        <v>0</v>
      </c>
      <c r="AM5" s="124">
        <v>0</v>
      </c>
      <c r="AN5" s="124">
        <v>0</v>
      </c>
      <c r="AO5" s="124">
        <v>0</v>
      </c>
      <c r="AP5" s="124">
        <v>0</v>
      </c>
      <c r="AQ5" s="124">
        <v>0</v>
      </c>
      <c r="AR5" s="124">
        <v>0</v>
      </c>
    </row>
    <row r="6" spans="1:44" x14ac:dyDescent="0.2">
      <c r="A6" s="94" t="s">
        <v>189</v>
      </c>
      <c r="B6" s="93">
        <v>0</v>
      </c>
      <c r="C6" s="93">
        <v>0</v>
      </c>
      <c r="D6" s="93">
        <v>0</v>
      </c>
      <c r="E6" s="93">
        <v>0</v>
      </c>
      <c r="F6" s="93">
        <v>1E-3</v>
      </c>
      <c r="G6" s="93">
        <v>1E-3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  <c r="U6" s="93">
        <v>0</v>
      </c>
      <c r="V6" s="93">
        <v>0</v>
      </c>
      <c r="W6" s="93">
        <v>0</v>
      </c>
      <c r="X6" s="93">
        <v>0</v>
      </c>
      <c r="Y6" s="93">
        <v>0</v>
      </c>
      <c r="Z6" s="93">
        <v>0</v>
      </c>
      <c r="AA6" s="93">
        <v>0</v>
      </c>
      <c r="AB6" s="93">
        <v>0</v>
      </c>
      <c r="AC6" s="93">
        <v>0</v>
      </c>
      <c r="AD6" s="93">
        <v>0</v>
      </c>
      <c r="AE6" s="93">
        <v>0</v>
      </c>
      <c r="AF6" s="93">
        <v>0</v>
      </c>
      <c r="AG6" s="93">
        <v>0</v>
      </c>
      <c r="AH6" s="93">
        <v>0</v>
      </c>
      <c r="AI6" s="93">
        <v>0</v>
      </c>
      <c r="AJ6" s="93">
        <v>0</v>
      </c>
      <c r="AK6" s="124">
        <v>0</v>
      </c>
      <c r="AL6" s="124">
        <v>0</v>
      </c>
      <c r="AM6" s="124">
        <v>0</v>
      </c>
      <c r="AN6" s="124">
        <v>0</v>
      </c>
      <c r="AO6" s="124">
        <v>0</v>
      </c>
      <c r="AP6" s="124">
        <v>0</v>
      </c>
      <c r="AQ6" s="124">
        <v>0</v>
      </c>
      <c r="AR6" s="124">
        <v>0</v>
      </c>
    </row>
    <row r="7" spans="1:44" x14ac:dyDescent="0.2">
      <c r="A7" s="94" t="s">
        <v>190</v>
      </c>
      <c r="B7" s="93">
        <v>0</v>
      </c>
      <c r="C7" s="93">
        <v>0</v>
      </c>
      <c r="D7" s="93">
        <v>0</v>
      </c>
      <c r="E7" s="93">
        <v>0</v>
      </c>
      <c r="F7" s="93">
        <v>1E-3</v>
      </c>
      <c r="G7" s="93">
        <v>1E-3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  <c r="X7" s="93">
        <v>0</v>
      </c>
      <c r="Y7" s="93">
        <v>0</v>
      </c>
      <c r="Z7" s="93">
        <v>0</v>
      </c>
      <c r="AA7" s="93">
        <v>0</v>
      </c>
      <c r="AB7" s="93">
        <v>0</v>
      </c>
      <c r="AC7" s="93">
        <v>0</v>
      </c>
      <c r="AD7" s="93">
        <v>0</v>
      </c>
      <c r="AE7" s="93">
        <v>0</v>
      </c>
      <c r="AF7" s="93">
        <v>0</v>
      </c>
      <c r="AG7" s="93">
        <v>0</v>
      </c>
      <c r="AH7" s="93">
        <v>0</v>
      </c>
      <c r="AI7" s="93">
        <v>0</v>
      </c>
      <c r="AJ7" s="93">
        <v>0</v>
      </c>
      <c r="AK7" s="124">
        <v>0</v>
      </c>
      <c r="AL7" s="124">
        <v>0</v>
      </c>
      <c r="AM7" s="124">
        <v>0</v>
      </c>
      <c r="AN7" s="124">
        <v>0</v>
      </c>
      <c r="AO7" s="124">
        <v>0</v>
      </c>
      <c r="AP7" s="124">
        <v>0</v>
      </c>
      <c r="AQ7" s="124">
        <v>0</v>
      </c>
      <c r="AR7" s="124">
        <v>0</v>
      </c>
    </row>
    <row r="8" spans="1:44" x14ac:dyDescent="0.2">
      <c r="A8" s="94" t="s">
        <v>191</v>
      </c>
      <c r="B8" s="93">
        <v>0</v>
      </c>
      <c r="C8" s="93">
        <v>0</v>
      </c>
      <c r="D8" s="93">
        <v>0</v>
      </c>
      <c r="E8" s="93">
        <v>0</v>
      </c>
      <c r="F8" s="93">
        <v>0.09</v>
      </c>
      <c r="G8" s="93">
        <v>0.09</v>
      </c>
      <c r="H8" s="93">
        <v>1E-3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  <c r="U8" s="93">
        <v>0</v>
      </c>
      <c r="V8" s="93">
        <v>0</v>
      </c>
      <c r="W8" s="93">
        <v>0</v>
      </c>
      <c r="X8" s="93">
        <v>0</v>
      </c>
      <c r="Y8" s="93">
        <v>0</v>
      </c>
      <c r="Z8" s="93">
        <v>0</v>
      </c>
      <c r="AA8" s="93">
        <v>0</v>
      </c>
      <c r="AB8" s="93">
        <v>0</v>
      </c>
      <c r="AC8" s="93">
        <v>0</v>
      </c>
      <c r="AD8" s="93">
        <v>0</v>
      </c>
      <c r="AE8" s="93">
        <v>0</v>
      </c>
      <c r="AF8" s="93">
        <v>0</v>
      </c>
      <c r="AG8" s="93">
        <v>0</v>
      </c>
      <c r="AH8" s="93">
        <v>0</v>
      </c>
      <c r="AI8" s="93">
        <v>0</v>
      </c>
      <c r="AJ8" s="93">
        <v>0</v>
      </c>
      <c r="AK8" s="124">
        <v>0</v>
      </c>
      <c r="AL8" s="124">
        <v>0</v>
      </c>
      <c r="AM8" s="124">
        <v>0</v>
      </c>
      <c r="AN8" s="124">
        <v>0</v>
      </c>
      <c r="AO8" s="124">
        <v>0</v>
      </c>
      <c r="AP8" s="124">
        <v>0</v>
      </c>
      <c r="AQ8" s="124">
        <v>0</v>
      </c>
      <c r="AR8" s="124">
        <v>0</v>
      </c>
    </row>
    <row r="9" spans="1:44" x14ac:dyDescent="0.2">
      <c r="A9" s="94" t="s">
        <v>192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124">
        <v>0</v>
      </c>
      <c r="AL9" s="124">
        <v>0</v>
      </c>
      <c r="AM9" s="124">
        <v>0</v>
      </c>
      <c r="AN9" s="124">
        <v>0</v>
      </c>
      <c r="AO9" s="124">
        <v>0</v>
      </c>
      <c r="AP9" s="124">
        <v>0</v>
      </c>
      <c r="AQ9" s="124">
        <v>0</v>
      </c>
      <c r="AR9" s="124">
        <v>0</v>
      </c>
    </row>
    <row r="10" spans="1:44" x14ac:dyDescent="0.2">
      <c r="A10" s="94" t="s">
        <v>193</v>
      </c>
      <c r="B10" s="93">
        <v>0.01</v>
      </c>
      <c r="C10" s="93">
        <v>0.01</v>
      </c>
      <c r="D10" s="93">
        <v>0.1</v>
      </c>
      <c r="E10" s="136">
        <f>0.06-0.005</f>
        <v>5.5E-2</v>
      </c>
      <c r="F10" s="136">
        <f>0.09-0.002</f>
        <v>8.7999999999999995E-2</v>
      </c>
      <c r="G10" s="136">
        <f>0.05-0.002</f>
        <v>4.8000000000000001E-2</v>
      </c>
      <c r="H10" s="93">
        <v>0.04</v>
      </c>
      <c r="I10" s="93">
        <v>0.05</v>
      </c>
      <c r="J10" s="93">
        <v>0</v>
      </c>
      <c r="K10" s="93">
        <v>0</v>
      </c>
      <c r="L10" s="93">
        <v>0</v>
      </c>
      <c r="M10" s="93">
        <v>0.01</v>
      </c>
      <c r="N10" s="93">
        <v>0.01</v>
      </c>
      <c r="O10" s="93">
        <v>0</v>
      </c>
      <c r="P10" s="93">
        <v>0.01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0.06</v>
      </c>
      <c r="X10" s="93">
        <v>0</v>
      </c>
      <c r="Y10" s="93">
        <v>0</v>
      </c>
      <c r="Z10" s="93">
        <v>0</v>
      </c>
      <c r="AA10" s="93">
        <v>0</v>
      </c>
      <c r="AB10" s="93">
        <v>0.01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124">
        <v>0</v>
      </c>
      <c r="AL10" s="124">
        <v>0</v>
      </c>
      <c r="AM10" s="124">
        <v>0</v>
      </c>
      <c r="AN10" s="124">
        <v>0</v>
      </c>
      <c r="AO10" s="124">
        <v>0</v>
      </c>
      <c r="AP10" s="124">
        <v>0</v>
      </c>
      <c r="AQ10" s="124">
        <v>0</v>
      </c>
      <c r="AR10" s="124">
        <v>0</v>
      </c>
    </row>
    <row r="11" spans="1:44" x14ac:dyDescent="0.2">
      <c r="A11" s="94" t="s">
        <v>194</v>
      </c>
      <c r="B11" s="93">
        <v>0.05</v>
      </c>
      <c r="C11" s="93">
        <v>0.05</v>
      </c>
      <c r="D11" s="93">
        <v>0.1</v>
      </c>
      <c r="E11" s="93">
        <v>0.06</v>
      </c>
      <c r="F11" s="93">
        <v>0.09</v>
      </c>
      <c r="G11" s="93">
        <v>0.05</v>
      </c>
      <c r="H11" s="93">
        <v>0.04</v>
      </c>
      <c r="I11" s="93">
        <v>0.11</v>
      </c>
      <c r="J11" s="93">
        <v>0</v>
      </c>
      <c r="K11" s="93">
        <v>0</v>
      </c>
      <c r="L11" s="93">
        <v>0</v>
      </c>
      <c r="M11" s="93">
        <v>0.24</v>
      </c>
      <c r="N11" s="93">
        <v>0.24</v>
      </c>
      <c r="O11" s="93">
        <v>0</v>
      </c>
      <c r="P11" s="93">
        <v>0.19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0.06</v>
      </c>
      <c r="X11" s="93">
        <v>0</v>
      </c>
      <c r="Y11" s="93">
        <v>0</v>
      </c>
      <c r="Z11" s="93">
        <v>0</v>
      </c>
      <c r="AA11" s="93">
        <v>0</v>
      </c>
      <c r="AB11" s="93">
        <v>0.01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124">
        <v>0</v>
      </c>
      <c r="AL11" s="124">
        <v>0</v>
      </c>
      <c r="AM11" s="124">
        <v>0</v>
      </c>
      <c r="AN11" s="124">
        <v>0</v>
      </c>
      <c r="AO11" s="124">
        <v>0</v>
      </c>
      <c r="AP11" s="124">
        <v>0</v>
      </c>
      <c r="AQ11" s="124">
        <v>0</v>
      </c>
      <c r="AR11" s="124">
        <v>0</v>
      </c>
    </row>
    <row r="12" spans="1:44" x14ac:dyDescent="0.2">
      <c r="A12" s="94" t="s">
        <v>195</v>
      </c>
      <c r="B12" s="93">
        <v>0.02</v>
      </c>
      <c r="C12" s="93">
        <v>0.02</v>
      </c>
      <c r="D12" s="93">
        <v>0.1</v>
      </c>
      <c r="E12" s="93">
        <v>0.06</v>
      </c>
      <c r="F12" s="93">
        <v>0.09</v>
      </c>
      <c r="G12" s="93">
        <v>8.8999999999999996E-2</v>
      </c>
      <c r="H12" s="93">
        <v>7.0000000000000007E-2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0.01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124">
        <v>0</v>
      </c>
      <c r="AL12" s="124">
        <v>0</v>
      </c>
      <c r="AM12" s="124">
        <v>0</v>
      </c>
      <c r="AN12" s="124">
        <v>0</v>
      </c>
      <c r="AO12" s="124">
        <v>0</v>
      </c>
      <c r="AP12" s="124">
        <v>0</v>
      </c>
      <c r="AQ12" s="124">
        <v>0</v>
      </c>
      <c r="AR12" s="124">
        <v>0</v>
      </c>
    </row>
    <row r="13" spans="1:44" x14ac:dyDescent="0.2">
      <c r="A13" s="94" t="s">
        <v>196</v>
      </c>
      <c r="B13" s="93">
        <v>0.01</v>
      </c>
      <c r="C13" s="93">
        <v>1.0999999999999999E-2</v>
      </c>
      <c r="D13" s="93">
        <v>0.1</v>
      </c>
      <c r="E13" s="93">
        <v>0.06</v>
      </c>
      <c r="F13" s="93">
        <v>0.09</v>
      </c>
      <c r="G13" s="93">
        <v>8.8999999999999996E-2</v>
      </c>
      <c r="H13" s="93">
        <v>0.08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0.01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124">
        <v>0</v>
      </c>
      <c r="AL13" s="124">
        <v>0</v>
      </c>
      <c r="AM13" s="124">
        <v>0</v>
      </c>
      <c r="AN13" s="124">
        <v>0</v>
      </c>
      <c r="AO13" s="124">
        <v>0</v>
      </c>
      <c r="AP13" s="124">
        <v>0</v>
      </c>
      <c r="AQ13" s="124">
        <v>0</v>
      </c>
      <c r="AR13" s="124">
        <v>0</v>
      </c>
    </row>
    <row r="14" spans="1:44" x14ac:dyDescent="0.2">
      <c r="A14" s="94" t="s">
        <v>197</v>
      </c>
      <c r="B14" s="93">
        <v>0.01</v>
      </c>
      <c r="C14" s="93">
        <v>1.0999999999999999E-2</v>
      </c>
      <c r="D14" s="93">
        <v>0.1</v>
      </c>
      <c r="E14" s="93">
        <v>0.06</v>
      </c>
      <c r="F14" s="93">
        <v>0.09</v>
      </c>
      <c r="G14" s="93">
        <v>8.8999999999999996E-2</v>
      </c>
      <c r="H14" s="93">
        <v>0.06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0.01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124">
        <v>0</v>
      </c>
      <c r="AL14" s="124">
        <v>0</v>
      </c>
      <c r="AM14" s="124">
        <v>0</v>
      </c>
      <c r="AN14" s="124">
        <v>0</v>
      </c>
      <c r="AO14" s="124">
        <v>0</v>
      </c>
      <c r="AP14" s="124">
        <v>0</v>
      </c>
      <c r="AQ14" s="124">
        <v>0</v>
      </c>
      <c r="AR14" s="124">
        <v>0</v>
      </c>
    </row>
    <row r="15" spans="1:44" x14ac:dyDescent="0.2">
      <c r="A15" s="94" t="s">
        <v>198</v>
      </c>
      <c r="B15" s="93">
        <v>0</v>
      </c>
      <c r="C15" s="93">
        <v>0</v>
      </c>
      <c r="D15" s="93">
        <v>4.0000000000000001E-3</v>
      </c>
      <c r="E15" s="93">
        <v>5.0000000000000001E-3</v>
      </c>
      <c r="F15" s="93">
        <v>5.0000000000000001E-3</v>
      </c>
      <c r="G15" s="93">
        <v>5.0000000000000001E-3</v>
      </c>
      <c r="H15" s="93">
        <v>5.0000000000000001E-3</v>
      </c>
      <c r="I15" s="93">
        <v>5.0000000000000001E-3</v>
      </c>
      <c r="J15" s="93">
        <v>0</v>
      </c>
      <c r="K15" s="93">
        <v>0</v>
      </c>
      <c r="L15" s="93">
        <v>0</v>
      </c>
      <c r="M15" s="93">
        <v>0</v>
      </c>
      <c r="N15" s="93">
        <v>0</v>
      </c>
      <c r="O15" s="93">
        <v>0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  <c r="U15" s="93">
        <v>0</v>
      </c>
      <c r="V15" s="93">
        <v>0</v>
      </c>
      <c r="W15" s="93">
        <v>5.0000000000000001E-3</v>
      </c>
      <c r="X15" s="93">
        <v>0</v>
      </c>
      <c r="Y15" s="93">
        <v>0</v>
      </c>
      <c r="Z15" s="93">
        <v>0</v>
      </c>
      <c r="AA15" s="93">
        <v>0</v>
      </c>
      <c r="AB15" s="93">
        <v>0.01</v>
      </c>
      <c r="AC15" s="93">
        <v>0</v>
      </c>
      <c r="AD15" s="93">
        <v>0</v>
      </c>
      <c r="AE15" s="93">
        <v>0</v>
      </c>
      <c r="AF15" s="93">
        <v>0</v>
      </c>
      <c r="AG15" s="93">
        <v>0</v>
      </c>
      <c r="AH15" s="93">
        <v>0</v>
      </c>
      <c r="AI15" s="93">
        <v>0</v>
      </c>
      <c r="AJ15" s="93">
        <v>0</v>
      </c>
      <c r="AK15" s="124">
        <v>0</v>
      </c>
      <c r="AL15" s="124">
        <v>0</v>
      </c>
      <c r="AM15" s="124">
        <v>0</v>
      </c>
      <c r="AN15" s="124">
        <v>0</v>
      </c>
      <c r="AO15" s="124">
        <v>0</v>
      </c>
      <c r="AP15" s="124">
        <v>0</v>
      </c>
      <c r="AQ15" s="124">
        <v>0</v>
      </c>
      <c r="AR15" s="124">
        <v>0</v>
      </c>
    </row>
    <row r="16" spans="1:44" x14ac:dyDescent="0.2">
      <c r="A16" s="94" t="s">
        <v>199</v>
      </c>
      <c r="B16" s="93">
        <v>0.01</v>
      </c>
      <c r="C16" s="93">
        <v>1E-3</v>
      </c>
      <c r="D16" s="93">
        <v>3.0000000000000001E-3</v>
      </c>
      <c r="E16" s="93">
        <v>5.0000000000000001E-3</v>
      </c>
      <c r="F16" s="93">
        <v>1E-3</v>
      </c>
      <c r="G16" s="93">
        <v>1E-3</v>
      </c>
      <c r="H16" s="93">
        <v>5.0000000000000001E-3</v>
      </c>
      <c r="I16" s="93">
        <v>5.0000000000000001E-3</v>
      </c>
      <c r="J16" s="93">
        <v>0</v>
      </c>
      <c r="K16" s="93">
        <v>0</v>
      </c>
      <c r="L16" s="93">
        <v>0</v>
      </c>
      <c r="M16" s="93">
        <v>0</v>
      </c>
      <c r="N16" s="93">
        <v>0</v>
      </c>
      <c r="O16" s="93">
        <v>0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  <c r="U16" s="93">
        <v>0</v>
      </c>
      <c r="V16" s="93">
        <v>0</v>
      </c>
      <c r="W16" s="93">
        <v>5.0000000000000001E-3</v>
      </c>
      <c r="X16" s="93">
        <v>0</v>
      </c>
      <c r="Y16" s="93">
        <v>0</v>
      </c>
      <c r="Z16" s="93">
        <v>0</v>
      </c>
      <c r="AA16" s="93">
        <v>0</v>
      </c>
      <c r="AB16" s="93">
        <v>5.0000000000000001E-3</v>
      </c>
      <c r="AC16" s="93">
        <v>0</v>
      </c>
      <c r="AD16" s="93">
        <v>0</v>
      </c>
      <c r="AE16" s="93">
        <v>0</v>
      </c>
      <c r="AF16" s="93">
        <v>0</v>
      </c>
      <c r="AG16" s="93">
        <v>0</v>
      </c>
      <c r="AH16" s="93">
        <v>0</v>
      </c>
      <c r="AI16" s="93">
        <v>0</v>
      </c>
      <c r="AJ16" s="93">
        <v>0</v>
      </c>
      <c r="AK16" s="124">
        <v>0</v>
      </c>
      <c r="AL16" s="124">
        <v>0</v>
      </c>
      <c r="AM16" s="124">
        <v>0</v>
      </c>
      <c r="AN16" s="124">
        <v>0</v>
      </c>
      <c r="AO16" s="124">
        <v>0</v>
      </c>
      <c r="AP16" s="124">
        <v>0</v>
      </c>
      <c r="AQ16" s="124">
        <v>0</v>
      </c>
      <c r="AR16" s="124">
        <v>0</v>
      </c>
    </row>
    <row r="17" spans="1:44" x14ac:dyDescent="0.2">
      <c r="A17" s="94" t="s">
        <v>200</v>
      </c>
      <c r="B17" s="93">
        <v>0</v>
      </c>
      <c r="C17" s="93">
        <v>0</v>
      </c>
      <c r="D17" s="93">
        <v>0</v>
      </c>
      <c r="E17" s="93">
        <v>0.06</v>
      </c>
      <c r="F17" s="93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</v>
      </c>
      <c r="N17" s="93">
        <v>0</v>
      </c>
      <c r="O17" s="93">
        <v>0</v>
      </c>
      <c r="P17" s="93">
        <v>0</v>
      </c>
      <c r="Q17" s="93">
        <v>0</v>
      </c>
      <c r="R17" s="93">
        <v>0</v>
      </c>
      <c r="S17" s="93">
        <v>0.05</v>
      </c>
      <c r="T17" s="93">
        <v>0</v>
      </c>
      <c r="U17" s="93">
        <v>0</v>
      </c>
      <c r="V17" s="93">
        <v>0</v>
      </c>
      <c r="W17" s="93">
        <v>0</v>
      </c>
      <c r="X17" s="93">
        <v>0</v>
      </c>
      <c r="Y17" s="93">
        <v>0</v>
      </c>
      <c r="Z17" s="93">
        <v>0</v>
      </c>
      <c r="AA17" s="93">
        <v>0</v>
      </c>
      <c r="AB17" s="93">
        <v>0</v>
      </c>
      <c r="AC17" s="93">
        <v>0</v>
      </c>
      <c r="AD17" s="93">
        <v>0</v>
      </c>
      <c r="AE17" s="93">
        <v>0</v>
      </c>
      <c r="AF17" s="93">
        <v>0</v>
      </c>
      <c r="AG17" s="93">
        <v>0</v>
      </c>
      <c r="AH17" s="93">
        <v>0</v>
      </c>
      <c r="AI17" s="93">
        <v>0</v>
      </c>
      <c r="AJ17" s="93">
        <v>0</v>
      </c>
      <c r="AK17" s="124">
        <v>0</v>
      </c>
      <c r="AL17" s="124">
        <v>0</v>
      </c>
      <c r="AM17" s="124">
        <v>0</v>
      </c>
      <c r="AN17" s="124">
        <v>0</v>
      </c>
      <c r="AO17" s="124">
        <v>0</v>
      </c>
      <c r="AP17" s="124">
        <v>0</v>
      </c>
      <c r="AQ17" s="124">
        <v>0</v>
      </c>
      <c r="AR17" s="124">
        <v>0</v>
      </c>
    </row>
    <row r="18" spans="1:44" x14ac:dyDescent="0.2">
      <c r="A18" s="94" t="s">
        <v>201</v>
      </c>
      <c r="B18" s="93">
        <v>0</v>
      </c>
      <c r="C18" s="93">
        <v>0</v>
      </c>
      <c r="D18" s="93">
        <v>0</v>
      </c>
      <c r="E18" s="93">
        <v>0.06</v>
      </c>
      <c r="F18" s="93">
        <v>0</v>
      </c>
      <c r="G18" s="93">
        <v>0</v>
      </c>
      <c r="H18" s="93">
        <v>0</v>
      </c>
      <c r="I18" s="93">
        <v>0</v>
      </c>
      <c r="J18" s="93">
        <v>0</v>
      </c>
      <c r="K18" s="93">
        <v>0</v>
      </c>
      <c r="L18" s="93">
        <v>0</v>
      </c>
      <c r="M18" s="93">
        <v>0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  <c r="U18" s="93">
        <v>0</v>
      </c>
      <c r="V18" s="93">
        <v>0</v>
      </c>
      <c r="W18" s="93">
        <v>0</v>
      </c>
      <c r="X18" s="93">
        <v>0</v>
      </c>
      <c r="Y18" s="93">
        <v>0</v>
      </c>
      <c r="Z18" s="93">
        <v>0</v>
      </c>
      <c r="AA18" s="93">
        <v>0</v>
      </c>
      <c r="AB18" s="93">
        <v>0</v>
      </c>
      <c r="AC18" s="93">
        <v>0</v>
      </c>
      <c r="AD18" s="93">
        <v>0</v>
      </c>
      <c r="AE18" s="93">
        <v>0</v>
      </c>
      <c r="AF18" s="93">
        <v>0</v>
      </c>
      <c r="AG18" s="93">
        <v>0</v>
      </c>
      <c r="AH18" s="93">
        <v>0</v>
      </c>
      <c r="AI18" s="93">
        <v>0</v>
      </c>
      <c r="AJ18" s="93">
        <v>0</v>
      </c>
      <c r="AK18" s="124">
        <v>0</v>
      </c>
      <c r="AL18" s="124">
        <v>0</v>
      </c>
      <c r="AM18" s="124">
        <v>0</v>
      </c>
      <c r="AN18" s="124">
        <v>0</v>
      </c>
      <c r="AO18" s="124">
        <v>0</v>
      </c>
      <c r="AP18" s="124">
        <v>0</v>
      </c>
      <c r="AQ18" s="124">
        <v>0</v>
      </c>
      <c r="AR18" s="124">
        <v>0</v>
      </c>
    </row>
    <row r="19" spans="1:44" x14ac:dyDescent="0.2">
      <c r="A19" s="94" t="s">
        <v>202</v>
      </c>
      <c r="B19" s="93">
        <v>0</v>
      </c>
      <c r="C19" s="93">
        <v>0</v>
      </c>
      <c r="D19" s="93">
        <v>0</v>
      </c>
      <c r="E19" s="93">
        <v>5.8000000000000003E-2</v>
      </c>
      <c r="F19" s="93">
        <v>0</v>
      </c>
      <c r="G19" s="93">
        <v>0</v>
      </c>
      <c r="H19" s="93">
        <v>0.01</v>
      </c>
      <c r="I19" s="93">
        <v>0.05</v>
      </c>
      <c r="J19" s="93">
        <v>0</v>
      </c>
      <c r="K19" s="93">
        <v>0</v>
      </c>
      <c r="L19" s="93">
        <v>0</v>
      </c>
      <c r="M19" s="93">
        <v>0</v>
      </c>
      <c r="N19" s="93">
        <v>0</v>
      </c>
      <c r="O19" s="93">
        <v>0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  <c r="U19" s="93">
        <v>0</v>
      </c>
      <c r="V19" s="93">
        <v>0</v>
      </c>
      <c r="W19" s="93">
        <v>0.06</v>
      </c>
      <c r="X19" s="93">
        <v>0</v>
      </c>
      <c r="Y19" s="93">
        <v>0</v>
      </c>
      <c r="Z19" s="93">
        <v>0</v>
      </c>
      <c r="AA19" s="93">
        <v>0</v>
      </c>
      <c r="AB19" s="93">
        <v>0</v>
      </c>
      <c r="AC19" s="93">
        <v>0</v>
      </c>
      <c r="AD19" s="93">
        <v>0</v>
      </c>
      <c r="AE19" s="93">
        <v>0</v>
      </c>
      <c r="AF19" s="93">
        <v>0</v>
      </c>
      <c r="AG19" s="93">
        <v>0</v>
      </c>
      <c r="AH19" s="93">
        <v>0</v>
      </c>
      <c r="AI19" s="93">
        <v>0</v>
      </c>
      <c r="AJ19" s="93">
        <v>0</v>
      </c>
      <c r="AK19" s="124">
        <v>0</v>
      </c>
      <c r="AL19" s="124">
        <v>0</v>
      </c>
      <c r="AM19" s="124">
        <v>0</v>
      </c>
      <c r="AN19" s="124">
        <v>0</v>
      </c>
      <c r="AO19" s="124">
        <v>0</v>
      </c>
      <c r="AP19" s="124">
        <v>0</v>
      </c>
      <c r="AQ19" s="124">
        <v>0</v>
      </c>
      <c r="AR19" s="124">
        <v>0</v>
      </c>
    </row>
    <row r="20" spans="1:44" x14ac:dyDescent="0.2">
      <c r="A20" s="94" t="s">
        <v>203</v>
      </c>
      <c r="B20" s="93">
        <v>0</v>
      </c>
      <c r="C20" s="93">
        <v>0</v>
      </c>
      <c r="D20" s="93">
        <v>0</v>
      </c>
      <c r="E20" s="93">
        <v>0.06</v>
      </c>
      <c r="F20" s="93">
        <v>0</v>
      </c>
      <c r="G20" s="93">
        <v>0</v>
      </c>
      <c r="H20" s="93">
        <v>0.02</v>
      </c>
      <c r="I20" s="93">
        <v>0.09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0.2</v>
      </c>
      <c r="R20" s="93">
        <v>0</v>
      </c>
      <c r="S20" s="93">
        <v>0.1</v>
      </c>
      <c r="T20" s="93">
        <v>0</v>
      </c>
      <c r="U20" s="93">
        <v>0</v>
      </c>
      <c r="V20" s="93">
        <v>0</v>
      </c>
      <c r="W20" s="93">
        <v>0.06</v>
      </c>
      <c r="X20" s="93">
        <v>0</v>
      </c>
      <c r="Y20" s="93">
        <v>0</v>
      </c>
      <c r="Z20" s="93">
        <v>0</v>
      </c>
      <c r="AA20" s="93">
        <v>0</v>
      </c>
      <c r="AB20" s="93">
        <v>0</v>
      </c>
      <c r="AC20" s="93">
        <v>0</v>
      </c>
      <c r="AD20" s="93">
        <v>0</v>
      </c>
      <c r="AE20" s="93">
        <v>0</v>
      </c>
      <c r="AF20" s="93">
        <v>0</v>
      </c>
      <c r="AG20" s="93">
        <v>0</v>
      </c>
      <c r="AH20" s="93">
        <v>0</v>
      </c>
      <c r="AI20" s="93">
        <v>0</v>
      </c>
      <c r="AJ20" s="93">
        <v>0</v>
      </c>
      <c r="AK20" s="124">
        <v>0</v>
      </c>
      <c r="AL20" s="124">
        <v>0</v>
      </c>
      <c r="AM20" s="124">
        <v>0</v>
      </c>
      <c r="AN20" s="124">
        <v>0</v>
      </c>
      <c r="AO20" s="124">
        <v>0</v>
      </c>
      <c r="AP20" s="124">
        <v>0</v>
      </c>
      <c r="AQ20" s="124">
        <v>0</v>
      </c>
      <c r="AR20" s="124">
        <v>0</v>
      </c>
    </row>
    <row r="21" spans="1:44" x14ac:dyDescent="0.2">
      <c r="A21" s="94" t="s">
        <v>204</v>
      </c>
      <c r="B21" s="93">
        <v>0</v>
      </c>
      <c r="C21" s="93">
        <v>0</v>
      </c>
      <c r="D21" s="93">
        <v>0</v>
      </c>
      <c r="E21" s="93">
        <v>0.01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  <c r="U21" s="93">
        <v>0</v>
      </c>
      <c r="V21" s="93">
        <v>0</v>
      </c>
      <c r="W21" s="93">
        <v>0</v>
      </c>
      <c r="X21" s="93">
        <v>0</v>
      </c>
      <c r="Y21" s="93">
        <v>0</v>
      </c>
      <c r="Z21" s="93">
        <v>0</v>
      </c>
      <c r="AA21" s="93">
        <v>0</v>
      </c>
      <c r="AB21" s="93">
        <v>0</v>
      </c>
      <c r="AC21" s="93">
        <v>0</v>
      </c>
      <c r="AD21" s="93">
        <v>0</v>
      </c>
      <c r="AE21" s="93">
        <v>0</v>
      </c>
      <c r="AF21" s="93">
        <v>0</v>
      </c>
      <c r="AG21" s="93">
        <v>0</v>
      </c>
      <c r="AH21" s="93">
        <v>0</v>
      </c>
      <c r="AI21" s="93">
        <v>0</v>
      </c>
      <c r="AJ21" s="93">
        <v>0</v>
      </c>
      <c r="AK21" s="124">
        <v>0</v>
      </c>
      <c r="AL21" s="124">
        <v>0</v>
      </c>
      <c r="AM21" s="124">
        <v>0</v>
      </c>
      <c r="AN21" s="124">
        <v>0</v>
      </c>
      <c r="AO21" s="124">
        <v>0</v>
      </c>
      <c r="AP21" s="124">
        <v>0</v>
      </c>
      <c r="AQ21" s="124">
        <v>0</v>
      </c>
      <c r="AR21" s="124">
        <v>0</v>
      </c>
    </row>
    <row r="22" spans="1:44" x14ac:dyDescent="0.2">
      <c r="A22" s="94" t="s">
        <v>205</v>
      </c>
      <c r="B22" s="93">
        <v>0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3">
        <v>0</v>
      </c>
      <c r="P22" s="93">
        <v>0</v>
      </c>
      <c r="Q22" s="93">
        <v>0</v>
      </c>
      <c r="R22" s="93">
        <v>0</v>
      </c>
      <c r="S22" s="93">
        <v>0</v>
      </c>
      <c r="T22" s="93">
        <v>0</v>
      </c>
      <c r="U22" s="93">
        <v>0</v>
      </c>
      <c r="V22" s="93">
        <v>0</v>
      </c>
      <c r="W22" s="93">
        <v>0</v>
      </c>
      <c r="X22" s="93">
        <v>0</v>
      </c>
      <c r="Y22" s="93">
        <v>0</v>
      </c>
      <c r="Z22" s="93">
        <v>0</v>
      </c>
      <c r="AA22" s="93">
        <v>0</v>
      </c>
      <c r="AB22" s="93">
        <v>0</v>
      </c>
      <c r="AC22" s="93">
        <v>0</v>
      </c>
      <c r="AD22" s="93">
        <v>0</v>
      </c>
      <c r="AE22" s="93">
        <v>0</v>
      </c>
      <c r="AF22" s="93">
        <v>0</v>
      </c>
      <c r="AG22" s="93">
        <v>0</v>
      </c>
      <c r="AH22" s="93">
        <v>0</v>
      </c>
      <c r="AI22" s="93">
        <v>0</v>
      </c>
      <c r="AJ22" s="93">
        <v>0</v>
      </c>
      <c r="AK22" s="124">
        <v>0</v>
      </c>
      <c r="AL22" s="124">
        <v>0</v>
      </c>
      <c r="AM22" s="124">
        <v>0</v>
      </c>
      <c r="AN22" s="124">
        <v>0</v>
      </c>
      <c r="AO22" s="124">
        <v>0</v>
      </c>
      <c r="AP22" s="124">
        <v>0</v>
      </c>
      <c r="AQ22" s="124">
        <v>0</v>
      </c>
      <c r="AR22" s="124">
        <v>0</v>
      </c>
    </row>
    <row r="23" spans="1:44" x14ac:dyDescent="0.2">
      <c r="A23" s="94" t="s">
        <v>206</v>
      </c>
      <c r="B23" s="93">
        <v>0</v>
      </c>
      <c r="C23" s="93">
        <v>0</v>
      </c>
      <c r="D23" s="93">
        <v>0</v>
      </c>
      <c r="E23" s="93">
        <v>0.06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3">
        <v>0</v>
      </c>
      <c r="P23" s="93">
        <v>0</v>
      </c>
      <c r="Q23" s="93">
        <v>0</v>
      </c>
      <c r="R23" s="93">
        <v>0</v>
      </c>
      <c r="S23" s="93">
        <v>0</v>
      </c>
      <c r="T23" s="93">
        <v>0</v>
      </c>
      <c r="U23" s="93">
        <v>0</v>
      </c>
      <c r="V23" s="93">
        <v>0.05</v>
      </c>
      <c r="W23" s="93">
        <v>0</v>
      </c>
      <c r="X23" s="93">
        <v>0</v>
      </c>
      <c r="Y23" s="93">
        <v>0</v>
      </c>
      <c r="Z23" s="93">
        <v>0</v>
      </c>
      <c r="AA23" s="93">
        <v>0</v>
      </c>
      <c r="AB23" s="93">
        <v>0</v>
      </c>
      <c r="AC23" s="93">
        <v>0</v>
      </c>
      <c r="AD23" s="93">
        <v>0</v>
      </c>
      <c r="AE23" s="93">
        <v>0</v>
      </c>
      <c r="AF23" s="93">
        <v>0</v>
      </c>
      <c r="AG23" s="93">
        <v>0</v>
      </c>
      <c r="AH23" s="93">
        <v>0</v>
      </c>
      <c r="AI23" s="93">
        <v>0</v>
      </c>
      <c r="AJ23" s="93">
        <v>0</v>
      </c>
      <c r="AK23" s="124">
        <v>0</v>
      </c>
      <c r="AL23" s="124">
        <v>0</v>
      </c>
      <c r="AM23" s="124">
        <v>0</v>
      </c>
      <c r="AN23" s="124">
        <v>0</v>
      </c>
      <c r="AO23" s="124">
        <v>0</v>
      </c>
      <c r="AP23" s="124">
        <v>0</v>
      </c>
      <c r="AQ23" s="124">
        <v>0</v>
      </c>
      <c r="AR23" s="124">
        <v>0</v>
      </c>
    </row>
    <row r="24" spans="1:44" x14ac:dyDescent="0.2">
      <c r="A24" s="94" t="s">
        <v>207</v>
      </c>
      <c r="B24" s="93">
        <v>0</v>
      </c>
      <c r="C24" s="93">
        <v>0</v>
      </c>
      <c r="D24" s="93">
        <v>0</v>
      </c>
      <c r="E24" s="93">
        <v>0.06</v>
      </c>
      <c r="F24" s="93">
        <v>0</v>
      </c>
      <c r="G24" s="93">
        <v>0</v>
      </c>
      <c r="H24" s="93">
        <v>6.9000000000000006E-2</v>
      </c>
      <c r="I24" s="93">
        <v>0.08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3">
        <v>0</v>
      </c>
      <c r="P24" s="93">
        <v>0</v>
      </c>
      <c r="Q24" s="93">
        <v>0</v>
      </c>
      <c r="R24" s="93">
        <v>0</v>
      </c>
      <c r="S24" s="93">
        <v>0</v>
      </c>
      <c r="T24" s="93">
        <v>0</v>
      </c>
      <c r="U24" s="93">
        <v>0.2</v>
      </c>
      <c r="V24" s="93">
        <v>0.2</v>
      </c>
      <c r="W24" s="93">
        <v>0.11</v>
      </c>
      <c r="X24" s="93">
        <v>0</v>
      </c>
      <c r="Y24" s="93">
        <v>0</v>
      </c>
      <c r="Z24" s="93">
        <v>0</v>
      </c>
      <c r="AA24" s="93">
        <v>0</v>
      </c>
      <c r="AB24" s="93">
        <v>0</v>
      </c>
      <c r="AC24" s="93">
        <v>0</v>
      </c>
      <c r="AD24" s="93">
        <v>0</v>
      </c>
      <c r="AE24" s="93">
        <v>0</v>
      </c>
      <c r="AF24" s="93">
        <v>0</v>
      </c>
      <c r="AG24" s="93">
        <v>0</v>
      </c>
      <c r="AH24" s="93">
        <v>0</v>
      </c>
      <c r="AI24" s="93">
        <v>0</v>
      </c>
      <c r="AJ24" s="93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</row>
    <row r="25" spans="1:44" x14ac:dyDescent="0.2">
      <c r="A25" s="94" t="s">
        <v>208</v>
      </c>
      <c r="B25" s="93">
        <v>0</v>
      </c>
      <c r="C25" s="93">
        <v>0.1</v>
      </c>
      <c r="D25" s="93">
        <v>0.1</v>
      </c>
      <c r="E25" s="93">
        <v>6.4000000000000001E-2</v>
      </c>
      <c r="F25" s="93">
        <v>9.0999999999999998E-2</v>
      </c>
      <c r="G25" s="93">
        <v>0.12</v>
      </c>
      <c r="H25" s="93">
        <v>0.12</v>
      </c>
      <c r="I25" s="93">
        <v>0.1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3">
        <v>0</v>
      </c>
      <c r="P25" s="93">
        <v>0</v>
      </c>
      <c r="Q25" s="93">
        <v>0.1</v>
      </c>
      <c r="R25" s="93">
        <v>0.1</v>
      </c>
      <c r="S25" s="93">
        <v>0.21</v>
      </c>
      <c r="T25" s="93">
        <v>0</v>
      </c>
      <c r="U25" s="93">
        <v>0</v>
      </c>
      <c r="V25" s="93">
        <v>0</v>
      </c>
      <c r="W25" s="93">
        <v>0</v>
      </c>
      <c r="X25" s="93">
        <v>0</v>
      </c>
      <c r="Y25" s="93">
        <v>0</v>
      </c>
      <c r="Z25" s="93">
        <v>0</v>
      </c>
      <c r="AA25" s="93">
        <v>0</v>
      </c>
      <c r="AB25" s="93">
        <v>0.04</v>
      </c>
      <c r="AC25" s="93">
        <v>0.05</v>
      </c>
      <c r="AD25" s="93">
        <v>0</v>
      </c>
      <c r="AE25" s="93">
        <v>0</v>
      </c>
      <c r="AF25" s="93">
        <v>0</v>
      </c>
      <c r="AG25" s="93">
        <v>0</v>
      </c>
      <c r="AH25" s="93">
        <v>0</v>
      </c>
      <c r="AI25" s="93">
        <v>0</v>
      </c>
      <c r="AJ25" s="93">
        <v>0</v>
      </c>
      <c r="AK25" s="124">
        <v>0</v>
      </c>
      <c r="AL25" s="124">
        <v>0</v>
      </c>
      <c r="AM25" s="124">
        <v>0</v>
      </c>
      <c r="AN25" s="124">
        <v>0</v>
      </c>
      <c r="AO25" s="124">
        <v>0</v>
      </c>
      <c r="AP25" s="124">
        <v>0</v>
      </c>
      <c r="AQ25" s="124">
        <v>0</v>
      </c>
      <c r="AR25" s="124">
        <v>0</v>
      </c>
    </row>
    <row r="26" spans="1:44" x14ac:dyDescent="0.2">
      <c r="A26" s="94" t="s">
        <v>209</v>
      </c>
      <c r="B26" s="93">
        <v>0</v>
      </c>
      <c r="C26" s="93">
        <v>0.1</v>
      </c>
      <c r="D26" s="93">
        <v>0.1</v>
      </c>
      <c r="E26" s="93">
        <v>6.4000000000000001E-2</v>
      </c>
      <c r="F26" s="93">
        <v>8.5000000000000006E-2</v>
      </c>
      <c r="G26" s="93">
        <v>0.11</v>
      </c>
      <c r="H26" s="93">
        <v>0.12</v>
      </c>
      <c r="I26" s="93">
        <v>0.1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3">
        <v>0</v>
      </c>
      <c r="P26" s="93">
        <v>0</v>
      </c>
      <c r="Q26" s="93">
        <v>0</v>
      </c>
      <c r="R26" s="93">
        <v>0</v>
      </c>
      <c r="S26" s="93">
        <v>0</v>
      </c>
      <c r="T26" s="93">
        <v>0</v>
      </c>
      <c r="U26" s="93">
        <v>0.1</v>
      </c>
      <c r="V26" s="93">
        <v>0.1</v>
      </c>
      <c r="W26" s="93">
        <v>0.11</v>
      </c>
      <c r="X26" s="93">
        <v>0</v>
      </c>
      <c r="Y26" s="93">
        <v>0</v>
      </c>
      <c r="Z26" s="93">
        <v>0</v>
      </c>
      <c r="AA26" s="93">
        <v>0</v>
      </c>
      <c r="AB26" s="93">
        <v>0.04</v>
      </c>
      <c r="AC26" s="93">
        <v>0.05</v>
      </c>
      <c r="AD26" s="93">
        <v>0</v>
      </c>
      <c r="AE26" s="93">
        <v>0</v>
      </c>
      <c r="AF26" s="93">
        <v>0</v>
      </c>
      <c r="AG26" s="93">
        <v>0</v>
      </c>
      <c r="AH26" s="93">
        <v>0</v>
      </c>
      <c r="AI26" s="93">
        <v>0</v>
      </c>
      <c r="AJ26" s="93">
        <v>0</v>
      </c>
      <c r="AK26" s="124">
        <v>0</v>
      </c>
      <c r="AL26" s="124">
        <v>0</v>
      </c>
      <c r="AM26" s="124">
        <v>0</v>
      </c>
      <c r="AN26" s="124">
        <v>0</v>
      </c>
      <c r="AO26" s="124">
        <v>0</v>
      </c>
      <c r="AP26" s="124">
        <v>0</v>
      </c>
      <c r="AQ26" s="124">
        <v>0</v>
      </c>
      <c r="AR26" s="124">
        <v>0</v>
      </c>
    </row>
    <row r="27" spans="1:44" x14ac:dyDescent="0.2">
      <c r="A27" s="94" t="s">
        <v>210</v>
      </c>
      <c r="B27" s="93">
        <v>0</v>
      </c>
      <c r="C27" s="93">
        <v>0.19</v>
      </c>
      <c r="D27" s="93">
        <v>0.1</v>
      </c>
      <c r="E27" s="93">
        <v>6.4000000000000001E-2</v>
      </c>
      <c r="F27" s="93">
        <v>9.0999999999999998E-2</v>
      </c>
      <c r="G27" s="93">
        <v>0.12</v>
      </c>
      <c r="H27" s="93">
        <v>0</v>
      </c>
      <c r="I27" s="93">
        <v>0</v>
      </c>
      <c r="J27" s="93">
        <v>0</v>
      </c>
      <c r="K27" s="93">
        <v>0</v>
      </c>
      <c r="L27" s="93">
        <v>0</v>
      </c>
      <c r="M27" s="93">
        <v>0</v>
      </c>
      <c r="N27" s="93">
        <v>0</v>
      </c>
      <c r="O27" s="93">
        <v>0</v>
      </c>
      <c r="P27" s="93">
        <v>0</v>
      </c>
      <c r="Q27" s="93">
        <v>0</v>
      </c>
      <c r="R27" s="93">
        <v>0</v>
      </c>
      <c r="S27" s="93">
        <v>0</v>
      </c>
      <c r="T27" s="93">
        <v>0</v>
      </c>
      <c r="U27" s="93">
        <v>0</v>
      </c>
      <c r="V27" s="93">
        <v>0</v>
      </c>
      <c r="W27" s="93">
        <v>0</v>
      </c>
      <c r="X27" s="93">
        <v>0</v>
      </c>
      <c r="Y27" s="93">
        <v>0</v>
      </c>
      <c r="Z27" s="93">
        <v>0</v>
      </c>
      <c r="AA27" s="93">
        <v>0</v>
      </c>
      <c r="AB27" s="93">
        <v>0.04</v>
      </c>
      <c r="AC27" s="93">
        <v>0.05</v>
      </c>
      <c r="AD27" s="93">
        <v>0</v>
      </c>
      <c r="AE27" s="93">
        <v>0</v>
      </c>
      <c r="AF27" s="93">
        <v>0</v>
      </c>
      <c r="AG27" s="93">
        <v>0</v>
      </c>
      <c r="AH27" s="93">
        <v>0</v>
      </c>
      <c r="AI27" s="93">
        <v>0</v>
      </c>
      <c r="AJ27" s="93">
        <v>0</v>
      </c>
      <c r="AK27" s="124">
        <v>0</v>
      </c>
      <c r="AL27" s="124">
        <v>0</v>
      </c>
      <c r="AM27" s="124">
        <v>0</v>
      </c>
      <c r="AN27" s="124">
        <v>0</v>
      </c>
      <c r="AO27" s="124">
        <v>0</v>
      </c>
      <c r="AP27" s="124">
        <v>0</v>
      </c>
      <c r="AQ27" s="124">
        <v>0</v>
      </c>
      <c r="AR27" s="124">
        <v>0</v>
      </c>
    </row>
    <row r="28" spans="1:44" x14ac:dyDescent="0.2">
      <c r="A28" s="94" t="s">
        <v>211</v>
      </c>
      <c r="B28" s="93">
        <v>0.01</v>
      </c>
      <c r="C28" s="93">
        <v>0.2</v>
      </c>
      <c r="D28" s="93">
        <v>0.1</v>
      </c>
      <c r="E28" s="93">
        <v>6.4000000000000001E-2</v>
      </c>
      <c r="F28" s="93">
        <v>9.0999999999999998E-2</v>
      </c>
      <c r="G28" s="93">
        <v>9.0999999999999998E-2</v>
      </c>
      <c r="H28" s="93">
        <v>0.09</v>
      </c>
      <c r="I28" s="93">
        <v>0.105</v>
      </c>
      <c r="J28" s="93">
        <v>0</v>
      </c>
      <c r="K28" s="93">
        <v>0</v>
      </c>
      <c r="L28" s="93">
        <v>0</v>
      </c>
      <c r="M28" s="93">
        <v>0.01</v>
      </c>
      <c r="N28" s="93">
        <v>0.01</v>
      </c>
      <c r="O28" s="93">
        <v>0</v>
      </c>
      <c r="P28" s="93">
        <v>0.1</v>
      </c>
      <c r="Q28" s="93">
        <v>0.1</v>
      </c>
      <c r="R28" s="93">
        <v>0</v>
      </c>
      <c r="S28" s="93">
        <v>0.11</v>
      </c>
      <c r="T28" s="93">
        <v>0</v>
      </c>
      <c r="U28" s="93">
        <v>0.1</v>
      </c>
      <c r="V28" s="93">
        <v>0.1</v>
      </c>
      <c r="W28" s="93">
        <v>0.06</v>
      </c>
      <c r="X28" s="93">
        <v>0</v>
      </c>
      <c r="Y28" s="93">
        <v>0</v>
      </c>
      <c r="Z28" s="93">
        <v>0</v>
      </c>
      <c r="AA28" s="93">
        <v>0</v>
      </c>
      <c r="AB28" s="93">
        <v>0.03</v>
      </c>
      <c r="AC28" s="93">
        <v>0.05</v>
      </c>
      <c r="AD28" s="93">
        <v>0</v>
      </c>
      <c r="AE28" s="93">
        <v>0</v>
      </c>
      <c r="AF28" s="93">
        <v>0</v>
      </c>
      <c r="AG28" s="93">
        <v>0</v>
      </c>
      <c r="AH28" s="93">
        <v>0</v>
      </c>
      <c r="AI28" s="93">
        <v>0</v>
      </c>
      <c r="AJ28" s="93">
        <v>0</v>
      </c>
      <c r="AK28" s="124">
        <v>0</v>
      </c>
      <c r="AL28" s="124">
        <v>0</v>
      </c>
      <c r="AM28" s="124">
        <v>0</v>
      </c>
      <c r="AN28" s="124">
        <v>0</v>
      </c>
      <c r="AO28" s="124">
        <v>0</v>
      </c>
      <c r="AP28" s="124">
        <v>0</v>
      </c>
      <c r="AQ28" s="124">
        <v>0</v>
      </c>
      <c r="AR28" s="124">
        <v>0</v>
      </c>
    </row>
    <row r="29" spans="1:44" x14ac:dyDescent="0.2">
      <c r="A29" s="94" t="s">
        <v>212</v>
      </c>
      <c r="B29" s="93">
        <v>0</v>
      </c>
      <c r="C29" s="93">
        <v>0.2</v>
      </c>
      <c r="D29" s="93">
        <v>0.1</v>
      </c>
      <c r="E29" s="93">
        <v>6.4000000000000001E-2</v>
      </c>
      <c r="F29" s="93">
        <v>9.0999999999999998E-2</v>
      </c>
      <c r="G29" s="93">
        <v>9.0999999999999998E-2</v>
      </c>
      <c r="H29" s="93">
        <v>0.09</v>
      </c>
      <c r="I29" s="93">
        <v>0.11</v>
      </c>
      <c r="J29" s="93">
        <v>0</v>
      </c>
      <c r="K29" s="93">
        <v>0</v>
      </c>
      <c r="L29" s="93">
        <v>0</v>
      </c>
      <c r="M29" s="93">
        <v>0.01</v>
      </c>
      <c r="N29" s="93">
        <v>0.01</v>
      </c>
      <c r="O29" s="93">
        <v>0</v>
      </c>
      <c r="P29" s="93">
        <v>0.1</v>
      </c>
      <c r="Q29" s="93">
        <v>0.1</v>
      </c>
      <c r="R29" s="93">
        <v>0.1</v>
      </c>
      <c r="S29" s="93">
        <v>0.21</v>
      </c>
      <c r="T29" s="93">
        <v>0</v>
      </c>
      <c r="U29" s="93">
        <v>0.1</v>
      </c>
      <c r="V29" s="93">
        <v>0.1</v>
      </c>
      <c r="W29" s="93">
        <v>0.06</v>
      </c>
      <c r="X29" s="93">
        <v>0</v>
      </c>
      <c r="Y29" s="93">
        <v>0</v>
      </c>
      <c r="Z29" s="93">
        <v>0</v>
      </c>
      <c r="AA29" s="93">
        <v>0</v>
      </c>
      <c r="AB29" s="93">
        <v>0.03</v>
      </c>
      <c r="AC29" s="93">
        <v>0.05</v>
      </c>
      <c r="AD29" s="93">
        <v>0</v>
      </c>
      <c r="AE29" s="93">
        <v>0</v>
      </c>
      <c r="AF29" s="93">
        <v>0</v>
      </c>
      <c r="AG29" s="93">
        <v>0</v>
      </c>
      <c r="AH29" s="93">
        <v>0</v>
      </c>
      <c r="AI29" s="93">
        <v>0</v>
      </c>
      <c r="AJ29" s="93">
        <v>0</v>
      </c>
      <c r="AK29" s="124">
        <v>0</v>
      </c>
      <c r="AL29" s="124">
        <v>0</v>
      </c>
      <c r="AM29" s="124">
        <v>0</v>
      </c>
      <c r="AN29" s="124">
        <v>0</v>
      </c>
      <c r="AO29" s="124">
        <v>0</v>
      </c>
      <c r="AP29" s="124">
        <v>0</v>
      </c>
      <c r="AQ29" s="124">
        <v>0</v>
      </c>
      <c r="AR29" s="124">
        <v>0</v>
      </c>
    </row>
    <row r="30" spans="1:44" x14ac:dyDescent="0.2">
      <c r="A30" s="94" t="s">
        <v>213</v>
      </c>
      <c r="B30" s="93">
        <v>0</v>
      </c>
      <c r="C30" s="93">
        <v>5.0999999999999997E-2</v>
      </c>
      <c r="D30" s="93">
        <v>0</v>
      </c>
      <c r="E30" s="93">
        <v>0</v>
      </c>
      <c r="F30" s="93">
        <v>0</v>
      </c>
      <c r="G30" s="93">
        <v>0</v>
      </c>
      <c r="H30" s="93">
        <v>0.09</v>
      </c>
      <c r="I30" s="93">
        <v>0.1</v>
      </c>
      <c r="J30" s="93">
        <v>0</v>
      </c>
      <c r="K30" s="93">
        <v>0</v>
      </c>
      <c r="L30" s="93">
        <v>0</v>
      </c>
      <c r="M30" s="93">
        <v>0</v>
      </c>
      <c r="N30" s="93">
        <v>0</v>
      </c>
      <c r="O30" s="93">
        <v>0</v>
      </c>
      <c r="P30" s="93">
        <v>0</v>
      </c>
      <c r="Q30" s="93">
        <v>0.2</v>
      </c>
      <c r="R30" s="93">
        <v>0.3</v>
      </c>
      <c r="S30" s="93">
        <v>0.21</v>
      </c>
      <c r="T30" s="93">
        <v>0.3</v>
      </c>
      <c r="U30" s="93">
        <v>0</v>
      </c>
      <c r="V30" s="93">
        <v>0</v>
      </c>
      <c r="W30" s="93">
        <v>0</v>
      </c>
      <c r="X30" s="93">
        <v>0</v>
      </c>
      <c r="Y30" s="93">
        <v>0.25</v>
      </c>
      <c r="Z30" s="93">
        <v>0</v>
      </c>
      <c r="AA30" s="93">
        <v>0</v>
      </c>
      <c r="AB30" s="93">
        <v>0</v>
      </c>
      <c r="AC30" s="93">
        <v>0</v>
      </c>
      <c r="AD30" s="93">
        <v>0.1</v>
      </c>
      <c r="AE30" s="93">
        <v>0</v>
      </c>
      <c r="AF30" s="93">
        <v>0</v>
      </c>
      <c r="AG30" s="93">
        <v>0</v>
      </c>
      <c r="AH30" s="93">
        <v>0</v>
      </c>
      <c r="AI30" s="93">
        <v>0</v>
      </c>
      <c r="AJ30" s="93">
        <v>0</v>
      </c>
      <c r="AK30" s="124">
        <v>0</v>
      </c>
      <c r="AL30" s="124">
        <v>0</v>
      </c>
      <c r="AM30" s="124">
        <v>0</v>
      </c>
      <c r="AN30" s="124">
        <v>0</v>
      </c>
      <c r="AO30" s="124">
        <v>0</v>
      </c>
      <c r="AP30" s="124">
        <v>0</v>
      </c>
      <c r="AQ30" s="124">
        <v>0</v>
      </c>
      <c r="AR30" s="124">
        <v>0</v>
      </c>
    </row>
    <row r="31" spans="1:44" x14ac:dyDescent="0.2">
      <c r="A31" s="94" t="s">
        <v>214</v>
      </c>
      <c r="B31" s="93">
        <v>0</v>
      </c>
      <c r="C31" s="93">
        <v>5.0999999999999997E-2</v>
      </c>
      <c r="D31" s="93">
        <v>0</v>
      </c>
      <c r="E31" s="93">
        <v>0</v>
      </c>
      <c r="F31" s="93">
        <v>0</v>
      </c>
      <c r="G31" s="93">
        <v>0</v>
      </c>
      <c r="H31" s="93">
        <v>0.09</v>
      </c>
      <c r="I31" s="93">
        <v>0.1</v>
      </c>
      <c r="J31" s="93">
        <v>0</v>
      </c>
      <c r="K31" s="93">
        <v>0</v>
      </c>
      <c r="L31" s="93">
        <v>0</v>
      </c>
      <c r="M31" s="93">
        <v>0</v>
      </c>
      <c r="N31" s="93">
        <v>0</v>
      </c>
      <c r="O31" s="93">
        <v>0</v>
      </c>
      <c r="P31" s="93">
        <v>0</v>
      </c>
      <c r="Q31" s="93">
        <v>0</v>
      </c>
      <c r="R31" s="93">
        <v>0</v>
      </c>
      <c r="S31" s="93">
        <v>0</v>
      </c>
      <c r="T31" s="93">
        <v>0</v>
      </c>
      <c r="U31" s="93">
        <v>0.3</v>
      </c>
      <c r="V31" s="93">
        <v>0.45</v>
      </c>
      <c r="W31" s="93">
        <v>0.41</v>
      </c>
      <c r="X31" s="93">
        <v>0.5</v>
      </c>
      <c r="Y31" s="93">
        <v>0</v>
      </c>
      <c r="Z31" s="93">
        <v>0.25</v>
      </c>
      <c r="AA31" s="93">
        <v>0</v>
      </c>
      <c r="AB31" s="93">
        <v>0</v>
      </c>
      <c r="AC31" s="93">
        <v>0</v>
      </c>
      <c r="AD31" s="93">
        <v>0</v>
      </c>
      <c r="AE31" s="93">
        <v>0.1</v>
      </c>
      <c r="AF31" s="93">
        <v>0</v>
      </c>
      <c r="AG31" s="93">
        <v>0</v>
      </c>
      <c r="AH31" s="93">
        <v>0</v>
      </c>
      <c r="AI31" s="93">
        <v>0</v>
      </c>
      <c r="AJ31" s="93">
        <v>0</v>
      </c>
      <c r="AK31" s="124">
        <v>0</v>
      </c>
      <c r="AL31" s="124">
        <v>0</v>
      </c>
      <c r="AM31" s="124">
        <v>0</v>
      </c>
      <c r="AN31" s="124">
        <v>0</v>
      </c>
      <c r="AO31" s="124">
        <v>0</v>
      </c>
      <c r="AP31" s="124">
        <v>0</v>
      </c>
      <c r="AQ31" s="124">
        <v>0</v>
      </c>
      <c r="AR31" s="124">
        <v>0</v>
      </c>
    </row>
    <row r="32" spans="1:44" x14ac:dyDescent="0.2">
      <c r="A32" s="94" t="s">
        <v>215</v>
      </c>
      <c r="B32" s="93">
        <v>0.1</v>
      </c>
      <c r="C32" s="93">
        <v>0</v>
      </c>
      <c r="D32" s="93">
        <v>1E-3</v>
      </c>
      <c r="E32" s="93">
        <v>1E-3</v>
      </c>
      <c r="F32" s="93">
        <v>1E-3</v>
      </c>
      <c r="G32" s="93">
        <v>1E-3</v>
      </c>
      <c r="H32" s="93">
        <v>0</v>
      </c>
      <c r="I32" s="93">
        <v>0</v>
      </c>
      <c r="J32" s="93">
        <v>0.1</v>
      </c>
      <c r="K32" s="93">
        <v>0.1</v>
      </c>
      <c r="L32" s="93">
        <v>0.1</v>
      </c>
      <c r="M32" s="93">
        <v>0.1</v>
      </c>
      <c r="N32" s="93">
        <v>0.1</v>
      </c>
      <c r="O32" s="93">
        <v>0</v>
      </c>
      <c r="P32" s="93">
        <v>0.2</v>
      </c>
      <c r="Q32" s="93">
        <v>0.2</v>
      </c>
      <c r="R32" s="93">
        <v>0.3</v>
      </c>
      <c r="S32" s="93">
        <v>0.11</v>
      </c>
      <c r="T32" s="93">
        <v>0.3</v>
      </c>
      <c r="U32" s="93">
        <v>0</v>
      </c>
      <c r="V32" s="93">
        <v>0</v>
      </c>
      <c r="W32" s="93">
        <v>0</v>
      </c>
      <c r="X32" s="93">
        <v>0</v>
      </c>
      <c r="Y32" s="93">
        <v>0.5</v>
      </c>
      <c r="Z32" s="93">
        <v>0</v>
      </c>
      <c r="AA32" s="93">
        <v>0</v>
      </c>
      <c r="AB32" s="93">
        <v>0.2</v>
      </c>
      <c r="AC32" s="93">
        <v>0.2</v>
      </c>
      <c r="AD32" s="93">
        <v>0</v>
      </c>
      <c r="AE32" s="93">
        <v>0</v>
      </c>
      <c r="AF32" s="93">
        <v>0</v>
      </c>
      <c r="AG32" s="93">
        <v>0</v>
      </c>
      <c r="AH32" s="93">
        <v>0</v>
      </c>
      <c r="AI32" s="93">
        <v>0</v>
      </c>
      <c r="AJ32" s="93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</row>
    <row r="33" spans="1:55" x14ac:dyDescent="0.2">
      <c r="A33" s="94" t="s">
        <v>216</v>
      </c>
      <c r="B33" s="93">
        <v>0.5</v>
      </c>
      <c r="C33" s="93">
        <v>0</v>
      </c>
      <c r="D33" s="93">
        <v>1E-3</v>
      </c>
      <c r="E33" s="93">
        <v>1E-3</v>
      </c>
      <c r="F33" s="93">
        <v>1E-3</v>
      </c>
      <c r="G33" s="93">
        <v>1E-3</v>
      </c>
      <c r="H33" s="93">
        <v>0</v>
      </c>
      <c r="I33" s="93">
        <v>0</v>
      </c>
      <c r="J33" s="93">
        <v>0.2</v>
      </c>
      <c r="K33" s="93">
        <v>0.1</v>
      </c>
      <c r="L33" s="93">
        <v>0.1</v>
      </c>
      <c r="M33" s="93">
        <v>0.2</v>
      </c>
      <c r="N33" s="93">
        <v>0.2</v>
      </c>
      <c r="O33" s="93">
        <v>0</v>
      </c>
      <c r="P33" s="93">
        <v>0</v>
      </c>
      <c r="Q33" s="93">
        <v>0</v>
      </c>
      <c r="R33" s="93">
        <v>0</v>
      </c>
      <c r="S33" s="93">
        <v>0</v>
      </c>
      <c r="T33" s="93">
        <v>0</v>
      </c>
      <c r="U33" s="93">
        <v>0</v>
      </c>
      <c r="V33" s="93">
        <v>0</v>
      </c>
      <c r="W33" s="93">
        <v>0</v>
      </c>
      <c r="X33" s="93">
        <v>0</v>
      </c>
      <c r="Y33" s="93">
        <v>0</v>
      </c>
      <c r="Z33" s="93">
        <v>0</v>
      </c>
      <c r="AA33" s="93">
        <v>0.19</v>
      </c>
      <c r="AB33" s="93">
        <v>0.2</v>
      </c>
      <c r="AC33" s="93">
        <v>0.2</v>
      </c>
      <c r="AD33" s="93">
        <v>0</v>
      </c>
      <c r="AE33" s="93">
        <v>0</v>
      </c>
      <c r="AF33" s="93">
        <v>0</v>
      </c>
      <c r="AG33" s="93">
        <v>0</v>
      </c>
      <c r="AH33" s="93">
        <v>0</v>
      </c>
      <c r="AI33" s="93">
        <v>0</v>
      </c>
      <c r="AJ33" s="93">
        <v>0</v>
      </c>
      <c r="AK33" s="124">
        <v>0</v>
      </c>
      <c r="AL33" s="124">
        <v>0</v>
      </c>
      <c r="AM33" s="124">
        <v>0</v>
      </c>
      <c r="AN33" s="124">
        <v>0</v>
      </c>
      <c r="AO33" s="124">
        <v>0</v>
      </c>
      <c r="AP33" s="124">
        <v>0</v>
      </c>
      <c r="AQ33" s="124">
        <v>0</v>
      </c>
      <c r="AR33" s="124">
        <v>0</v>
      </c>
    </row>
    <row r="34" spans="1:55" x14ac:dyDescent="0.2">
      <c r="A34" s="94" t="s">
        <v>217</v>
      </c>
      <c r="B34" s="93">
        <v>0.14000000000000001</v>
      </c>
      <c r="C34" s="93">
        <v>0</v>
      </c>
      <c r="D34" s="93">
        <v>1E-3</v>
      </c>
      <c r="E34" s="93">
        <v>0</v>
      </c>
      <c r="F34" s="93">
        <v>1E-3</v>
      </c>
      <c r="G34" s="93">
        <v>1E-3</v>
      </c>
      <c r="H34" s="93">
        <v>0</v>
      </c>
      <c r="I34" s="93">
        <v>0</v>
      </c>
      <c r="J34" s="93">
        <v>0.1</v>
      </c>
      <c r="K34" s="93">
        <v>0.15</v>
      </c>
      <c r="L34" s="93">
        <v>0.15</v>
      </c>
      <c r="M34" s="93">
        <v>0.1</v>
      </c>
      <c r="N34" s="93">
        <v>0.1</v>
      </c>
      <c r="O34" s="93">
        <v>0</v>
      </c>
      <c r="P34" s="93">
        <v>0.2</v>
      </c>
      <c r="Q34" s="93">
        <v>0.1</v>
      </c>
      <c r="R34" s="93">
        <v>0.2</v>
      </c>
      <c r="S34" s="93">
        <v>0</v>
      </c>
      <c r="T34" s="93">
        <v>0.4</v>
      </c>
      <c r="U34" s="93">
        <v>0</v>
      </c>
      <c r="V34" s="93">
        <v>0</v>
      </c>
      <c r="W34" s="93">
        <v>0</v>
      </c>
      <c r="X34" s="93">
        <v>0</v>
      </c>
      <c r="Y34" s="93">
        <v>0.25</v>
      </c>
      <c r="Z34" s="93">
        <v>0</v>
      </c>
      <c r="AA34" s="93">
        <v>0</v>
      </c>
      <c r="AB34" s="93">
        <v>0.12</v>
      </c>
      <c r="AC34" s="93">
        <v>0.15</v>
      </c>
      <c r="AD34" s="93">
        <v>0.1</v>
      </c>
      <c r="AE34" s="93">
        <v>0</v>
      </c>
      <c r="AF34" s="93">
        <v>0.1</v>
      </c>
      <c r="AG34" s="93">
        <v>0</v>
      </c>
      <c r="AH34" s="93">
        <v>0</v>
      </c>
      <c r="AI34" s="93">
        <v>0</v>
      </c>
      <c r="AJ34" s="93">
        <v>0</v>
      </c>
      <c r="AK34" s="124">
        <v>0</v>
      </c>
      <c r="AL34" s="124">
        <v>0</v>
      </c>
      <c r="AM34" s="124">
        <v>0</v>
      </c>
      <c r="AN34" s="124">
        <v>0</v>
      </c>
      <c r="AO34" s="124">
        <v>0</v>
      </c>
      <c r="AP34" s="124">
        <v>0</v>
      </c>
      <c r="AQ34" s="124">
        <v>0</v>
      </c>
      <c r="AR34" s="124">
        <v>0</v>
      </c>
    </row>
    <row r="35" spans="1:55" x14ac:dyDescent="0.2">
      <c r="A35" s="94" t="s">
        <v>218</v>
      </c>
      <c r="B35" s="93">
        <v>0</v>
      </c>
      <c r="C35" s="93">
        <v>0</v>
      </c>
      <c r="D35" s="93">
        <v>1E-3</v>
      </c>
      <c r="E35" s="93">
        <v>0</v>
      </c>
      <c r="F35" s="93">
        <v>1E-3</v>
      </c>
      <c r="G35" s="93">
        <v>1E-3</v>
      </c>
      <c r="H35" s="93">
        <v>0</v>
      </c>
      <c r="I35" s="93">
        <v>0</v>
      </c>
      <c r="J35" s="93">
        <v>0.1</v>
      </c>
      <c r="K35" s="93">
        <v>0.15</v>
      </c>
      <c r="L35" s="93">
        <v>0.15</v>
      </c>
      <c r="M35" s="93">
        <v>0.1</v>
      </c>
      <c r="N35" s="93">
        <v>0.1</v>
      </c>
      <c r="O35" s="93">
        <v>1</v>
      </c>
      <c r="P35" s="93">
        <v>0.2</v>
      </c>
      <c r="Q35" s="93">
        <v>0</v>
      </c>
      <c r="R35" s="93">
        <v>0</v>
      </c>
      <c r="S35" s="93">
        <v>0</v>
      </c>
      <c r="T35" s="93">
        <v>0</v>
      </c>
      <c r="U35" s="93">
        <v>0.2</v>
      </c>
      <c r="V35" s="93">
        <v>0</v>
      </c>
      <c r="W35" s="93">
        <v>0</v>
      </c>
      <c r="X35" s="93">
        <v>0.5</v>
      </c>
      <c r="Y35" s="93">
        <v>0</v>
      </c>
      <c r="Z35" s="93">
        <v>0.75</v>
      </c>
      <c r="AA35" s="93">
        <v>0</v>
      </c>
      <c r="AB35" s="93">
        <v>0.115</v>
      </c>
      <c r="AC35" s="93">
        <v>0.05</v>
      </c>
      <c r="AD35" s="93">
        <v>0</v>
      </c>
      <c r="AE35" s="93">
        <v>0.1</v>
      </c>
      <c r="AF35" s="93">
        <v>0</v>
      </c>
      <c r="AG35" s="93">
        <v>0</v>
      </c>
      <c r="AH35" s="93">
        <v>0</v>
      </c>
      <c r="AI35" s="93">
        <v>0</v>
      </c>
      <c r="AJ35" s="93">
        <v>0</v>
      </c>
      <c r="AK35" s="124">
        <v>0</v>
      </c>
      <c r="AL35" s="124">
        <v>0</v>
      </c>
      <c r="AM35" s="124">
        <v>0</v>
      </c>
      <c r="AN35" s="124">
        <v>0</v>
      </c>
      <c r="AO35" s="124">
        <v>0</v>
      </c>
      <c r="AP35" s="124">
        <v>0</v>
      </c>
      <c r="AQ35" s="124">
        <v>0</v>
      </c>
      <c r="AR35" s="124">
        <v>0</v>
      </c>
    </row>
    <row r="36" spans="1:55" x14ac:dyDescent="0.2">
      <c r="A36" s="94" t="s">
        <v>219</v>
      </c>
      <c r="B36" s="93">
        <v>0.14000000000000001</v>
      </c>
      <c r="C36" s="93">
        <v>0</v>
      </c>
      <c r="D36" s="93">
        <v>1E-3</v>
      </c>
      <c r="E36" s="93">
        <v>0</v>
      </c>
      <c r="F36" s="93">
        <v>1E-3</v>
      </c>
      <c r="G36" s="93">
        <v>1E-3</v>
      </c>
      <c r="H36" s="93">
        <v>0</v>
      </c>
      <c r="I36" s="93">
        <v>0</v>
      </c>
      <c r="J36" s="93">
        <v>0.35</v>
      </c>
      <c r="K36" s="93">
        <v>0.5</v>
      </c>
      <c r="L36" s="93">
        <v>0.5</v>
      </c>
      <c r="M36" s="93">
        <v>0.23</v>
      </c>
      <c r="N36" s="93">
        <v>0.23</v>
      </c>
      <c r="O36" s="93">
        <v>0</v>
      </c>
      <c r="P36" s="93">
        <v>0</v>
      </c>
      <c r="Q36" s="93">
        <v>0</v>
      </c>
      <c r="R36" s="93">
        <v>0</v>
      </c>
      <c r="S36" s="93">
        <v>0</v>
      </c>
      <c r="T36" s="93">
        <v>0</v>
      </c>
      <c r="U36" s="93">
        <v>0</v>
      </c>
      <c r="V36" s="93">
        <v>0</v>
      </c>
      <c r="W36" s="93">
        <v>0</v>
      </c>
      <c r="X36" s="93">
        <v>0</v>
      </c>
      <c r="Y36" s="93">
        <v>0</v>
      </c>
      <c r="Z36" s="93">
        <v>0</v>
      </c>
      <c r="AA36" s="93">
        <v>0.81</v>
      </c>
      <c r="AB36" s="93">
        <v>0.12</v>
      </c>
      <c r="AC36" s="93">
        <v>0.15</v>
      </c>
      <c r="AD36" s="93">
        <v>0</v>
      </c>
      <c r="AE36" s="93">
        <v>0</v>
      </c>
      <c r="AF36" s="93">
        <v>0</v>
      </c>
      <c r="AG36" s="93">
        <v>0.1</v>
      </c>
      <c r="AH36" s="93">
        <v>0</v>
      </c>
      <c r="AI36" s="93">
        <v>0</v>
      </c>
      <c r="AJ36" s="93">
        <v>0</v>
      </c>
      <c r="AK36" s="124">
        <v>0</v>
      </c>
      <c r="AL36" s="124">
        <v>0</v>
      </c>
      <c r="AM36" s="124">
        <v>0</v>
      </c>
      <c r="AN36" s="124">
        <v>0</v>
      </c>
      <c r="AO36" s="124">
        <v>0</v>
      </c>
      <c r="AP36" s="124">
        <v>0</v>
      </c>
      <c r="AQ36" s="124">
        <v>0</v>
      </c>
      <c r="AR36" s="124">
        <v>0</v>
      </c>
    </row>
    <row r="37" spans="1:55" x14ac:dyDescent="0.2">
      <c r="A37" s="94" t="s">
        <v>220</v>
      </c>
      <c r="B37" s="93">
        <v>0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0.05</v>
      </c>
      <c r="K37" s="93">
        <v>0</v>
      </c>
      <c r="L37" s="93">
        <v>0</v>
      </c>
      <c r="M37" s="93">
        <v>0</v>
      </c>
      <c r="N37" s="93">
        <v>0</v>
      </c>
      <c r="O37" s="93">
        <v>0</v>
      </c>
      <c r="P37" s="93">
        <v>0</v>
      </c>
      <c r="Q37" s="93">
        <v>0</v>
      </c>
      <c r="R37" s="93">
        <v>0</v>
      </c>
      <c r="S37" s="93">
        <v>0</v>
      </c>
      <c r="T37" s="93">
        <v>0</v>
      </c>
      <c r="U37" s="93">
        <v>0</v>
      </c>
      <c r="V37" s="93">
        <v>0</v>
      </c>
      <c r="W37" s="93">
        <v>0</v>
      </c>
      <c r="X37" s="93">
        <v>0</v>
      </c>
      <c r="Y37" s="93">
        <v>0</v>
      </c>
      <c r="Z37" s="93">
        <v>0</v>
      </c>
      <c r="AA37" s="93">
        <v>0</v>
      </c>
      <c r="AB37" s="93">
        <v>0</v>
      </c>
      <c r="AC37" s="93">
        <v>0</v>
      </c>
      <c r="AD37" s="93">
        <v>0.1</v>
      </c>
      <c r="AE37" s="93">
        <v>0</v>
      </c>
      <c r="AF37" s="93">
        <v>0.7</v>
      </c>
      <c r="AG37" s="93">
        <v>0</v>
      </c>
      <c r="AH37" s="93">
        <v>1</v>
      </c>
      <c r="AI37" s="93">
        <v>0</v>
      </c>
      <c r="AJ37" s="93">
        <v>0</v>
      </c>
      <c r="AK37" s="124">
        <v>0</v>
      </c>
      <c r="AL37" s="124">
        <v>0</v>
      </c>
      <c r="AM37" s="124">
        <v>0</v>
      </c>
      <c r="AN37" s="124">
        <v>0</v>
      </c>
      <c r="AO37" s="124">
        <v>0</v>
      </c>
      <c r="AP37" s="124">
        <v>0</v>
      </c>
      <c r="AQ37" s="124">
        <v>0</v>
      </c>
      <c r="AR37" s="124">
        <v>0</v>
      </c>
    </row>
    <row r="38" spans="1:55" x14ac:dyDescent="0.2">
      <c r="A38" s="94" t="s">
        <v>221</v>
      </c>
      <c r="B38" s="93">
        <v>0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0.05</v>
      </c>
      <c r="K38" s="93">
        <v>0</v>
      </c>
      <c r="L38" s="93">
        <v>0</v>
      </c>
      <c r="M38" s="93">
        <v>0</v>
      </c>
      <c r="N38" s="93">
        <v>0</v>
      </c>
      <c r="O38" s="93">
        <v>0</v>
      </c>
      <c r="P38" s="93">
        <v>0</v>
      </c>
      <c r="Q38" s="93">
        <v>0</v>
      </c>
      <c r="R38" s="93">
        <v>0</v>
      </c>
      <c r="S38" s="93">
        <v>0</v>
      </c>
      <c r="T38" s="93">
        <v>0</v>
      </c>
      <c r="U38" s="93">
        <v>0</v>
      </c>
      <c r="V38" s="93">
        <v>0</v>
      </c>
      <c r="W38" s="93">
        <v>0</v>
      </c>
      <c r="X38" s="93">
        <v>0</v>
      </c>
      <c r="Y38" s="93">
        <v>0</v>
      </c>
      <c r="Z38" s="93">
        <v>0</v>
      </c>
      <c r="AA38" s="93">
        <v>0</v>
      </c>
      <c r="AB38" s="93">
        <v>0</v>
      </c>
      <c r="AC38" s="93">
        <v>0</v>
      </c>
      <c r="AD38" s="93">
        <v>0</v>
      </c>
      <c r="AE38" s="93">
        <v>0.1</v>
      </c>
      <c r="AF38" s="93">
        <v>0</v>
      </c>
      <c r="AG38" s="93">
        <v>0</v>
      </c>
      <c r="AH38" s="93">
        <v>0</v>
      </c>
      <c r="AI38" s="93">
        <v>1</v>
      </c>
      <c r="AJ38" s="93">
        <v>0</v>
      </c>
      <c r="AK38" s="124">
        <v>0</v>
      </c>
      <c r="AL38" s="124">
        <v>0</v>
      </c>
      <c r="AM38" s="124">
        <v>0</v>
      </c>
      <c r="AN38" s="124">
        <v>0</v>
      </c>
      <c r="AO38" s="124">
        <v>0</v>
      </c>
      <c r="AP38" s="124">
        <v>0</v>
      </c>
      <c r="AQ38" s="124">
        <v>0</v>
      </c>
      <c r="AR38" s="124">
        <v>0</v>
      </c>
    </row>
    <row r="39" spans="1:55" x14ac:dyDescent="0.2">
      <c r="A39" s="94" t="s">
        <v>222</v>
      </c>
      <c r="B39" s="93">
        <v>0</v>
      </c>
      <c r="C39" s="93">
        <v>0</v>
      </c>
      <c r="D39" s="93">
        <v>0</v>
      </c>
      <c r="E39" s="93">
        <v>0</v>
      </c>
      <c r="F39" s="93">
        <v>0</v>
      </c>
      <c r="G39" s="93">
        <v>0</v>
      </c>
      <c r="H39" s="93">
        <v>0</v>
      </c>
      <c r="I39" s="93">
        <v>0</v>
      </c>
      <c r="J39" s="93">
        <v>0.05</v>
      </c>
      <c r="K39" s="93">
        <v>0</v>
      </c>
      <c r="L39" s="93">
        <v>0</v>
      </c>
      <c r="M39" s="93">
        <v>0</v>
      </c>
      <c r="N39" s="93">
        <v>0</v>
      </c>
      <c r="O39" s="93">
        <v>0</v>
      </c>
      <c r="P39" s="93">
        <v>0</v>
      </c>
      <c r="Q39" s="93">
        <v>0</v>
      </c>
      <c r="R39" s="93">
        <v>0</v>
      </c>
      <c r="S39" s="93">
        <v>0</v>
      </c>
      <c r="T39" s="93">
        <v>0</v>
      </c>
      <c r="U39" s="93">
        <v>0</v>
      </c>
      <c r="V39" s="93">
        <v>0</v>
      </c>
      <c r="W39" s="93">
        <v>0</v>
      </c>
      <c r="X39" s="93">
        <v>0</v>
      </c>
      <c r="Y39" s="93">
        <v>0</v>
      </c>
      <c r="Z39" s="93">
        <v>0</v>
      </c>
      <c r="AA39" s="93">
        <v>0</v>
      </c>
      <c r="AB39" s="93">
        <v>0</v>
      </c>
      <c r="AC39" s="93">
        <v>0</v>
      </c>
      <c r="AD39" s="93">
        <v>0</v>
      </c>
      <c r="AE39" s="93">
        <v>0</v>
      </c>
      <c r="AF39" s="93">
        <v>0</v>
      </c>
      <c r="AG39" s="93">
        <v>0.7</v>
      </c>
      <c r="AH39" s="93">
        <v>0</v>
      </c>
      <c r="AI39" s="93">
        <v>0</v>
      </c>
      <c r="AJ39" s="93">
        <v>1</v>
      </c>
      <c r="AK39" s="124">
        <v>0</v>
      </c>
      <c r="AL39" s="124">
        <v>0</v>
      </c>
      <c r="AM39" s="124">
        <v>0</v>
      </c>
      <c r="AN39" s="124">
        <v>0</v>
      </c>
      <c r="AO39" s="124">
        <v>0</v>
      </c>
      <c r="AP39" s="124">
        <v>0</v>
      </c>
      <c r="AQ39" s="124">
        <v>0</v>
      </c>
      <c r="AR39" s="124">
        <v>0</v>
      </c>
    </row>
    <row r="40" spans="1:55" x14ac:dyDescent="0.2">
      <c r="A40" s="94" t="s">
        <v>223</v>
      </c>
      <c r="B40" s="93">
        <v>0</v>
      </c>
      <c r="C40" s="93">
        <v>0</v>
      </c>
      <c r="D40" s="93">
        <v>0</v>
      </c>
      <c r="E40" s="93">
        <v>0</v>
      </c>
      <c r="F40" s="93">
        <v>0</v>
      </c>
      <c r="G40" s="93">
        <v>0</v>
      </c>
      <c r="H40" s="93">
        <v>0</v>
      </c>
      <c r="I40" s="93">
        <v>0</v>
      </c>
      <c r="J40" s="93">
        <v>0</v>
      </c>
      <c r="K40" s="93">
        <v>0</v>
      </c>
      <c r="L40" s="93">
        <v>0</v>
      </c>
      <c r="M40" s="93">
        <v>0</v>
      </c>
      <c r="N40" s="93">
        <v>0</v>
      </c>
      <c r="O40" s="93">
        <v>0</v>
      </c>
      <c r="P40" s="93">
        <v>0</v>
      </c>
      <c r="Q40" s="93">
        <v>0</v>
      </c>
      <c r="R40" s="93">
        <v>0</v>
      </c>
      <c r="S40" s="93">
        <v>0</v>
      </c>
      <c r="T40" s="93">
        <v>0</v>
      </c>
      <c r="U40" s="93">
        <v>0</v>
      </c>
      <c r="V40" s="93">
        <v>0</v>
      </c>
      <c r="W40" s="93">
        <v>0</v>
      </c>
      <c r="X40" s="93">
        <v>0</v>
      </c>
      <c r="Y40" s="93">
        <v>0</v>
      </c>
      <c r="Z40" s="93">
        <v>0</v>
      </c>
      <c r="AA40" s="93">
        <v>0</v>
      </c>
      <c r="AB40" s="93">
        <v>0</v>
      </c>
      <c r="AC40" s="93">
        <v>0</v>
      </c>
      <c r="AD40" s="93">
        <v>0.7</v>
      </c>
      <c r="AE40" s="93">
        <v>0</v>
      </c>
      <c r="AF40" s="93">
        <v>0.2</v>
      </c>
      <c r="AG40" s="93">
        <v>0</v>
      </c>
      <c r="AH40" s="93">
        <v>0</v>
      </c>
      <c r="AI40" s="93">
        <v>0</v>
      </c>
      <c r="AJ40" s="93">
        <v>0</v>
      </c>
      <c r="AK40" s="124">
        <v>0</v>
      </c>
      <c r="AL40" s="124">
        <v>0</v>
      </c>
      <c r="AM40" s="124">
        <v>0</v>
      </c>
      <c r="AN40" s="124">
        <v>0</v>
      </c>
      <c r="AO40" s="124">
        <v>0</v>
      </c>
      <c r="AP40" s="124">
        <v>0</v>
      </c>
      <c r="AQ40" s="124">
        <v>0</v>
      </c>
      <c r="AR40" s="124">
        <v>0</v>
      </c>
    </row>
    <row r="41" spans="1:55" x14ac:dyDescent="0.2">
      <c r="A41" s="94" t="s">
        <v>224</v>
      </c>
      <c r="B41" s="93">
        <v>0</v>
      </c>
      <c r="C41" s="93">
        <v>0</v>
      </c>
      <c r="D41" s="93">
        <v>0</v>
      </c>
      <c r="E41" s="93">
        <v>0</v>
      </c>
      <c r="F41" s="93">
        <v>0</v>
      </c>
      <c r="G41" s="93">
        <v>0</v>
      </c>
      <c r="H41" s="93">
        <v>0</v>
      </c>
      <c r="I41" s="93">
        <v>0</v>
      </c>
      <c r="J41" s="93">
        <v>0</v>
      </c>
      <c r="K41" s="93">
        <v>0</v>
      </c>
      <c r="L41" s="93">
        <v>0</v>
      </c>
      <c r="M41" s="93">
        <v>0</v>
      </c>
      <c r="N41" s="93">
        <v>0</v>
      </c>
      <c r="O41" s="93">
        <v>0</v>
      </c>
      <c r="P41" s="93">
        <v>0</v>
      </c>
      <c r="Q41" s="93">
        <v>0</v>
      </c>
      <c r="R41" s="93">
        <v>0</v>
      </c>
      <c r="S41" s="93">
        <v>0</v>
      </c>
      <c r="T41" s="93">
        <v>0</v>
      </c>
      <c r="U41" s="93">
        <v>0</v>
      </c>
      <c r="V41" s="93">
        <v>0</v>
      </c>
      <c r="W41" s="93">
        <v>0</v>
      </c>
      <c r="X41" s="93">
        <v>0</v>
      </c>
      <c r="Y41" s="93">
        <v>0</v>
      </c>
      <c r="Z41" s="93">
        <v>0</v>
      </c>
      <c r="AA41" s="93">
        <v>0</v>
      </c>
      <c r="AB41" s="93">
        <v>0</v>
      </c>
      <c r="AC41" s="93">
        <v>0</v>
      </c>
      <c r="AD41" s="93">
        <v>0</v>
      </c>
      <c r="AE41" s="93">
        <v>0.7</v>
      </c>
      <c r="AF41" s="93">
        <v>0</v>
      </c>
      <c r="AG41" s="93">
        <v>0</v>
      </c>
      <c r="AH41" s="93">
        <v>0</v>
      </c>
      <c r="AI41" s="93">
        <v>0</v>
      </c>
      <c r="AJ41" s="93">
        <v>0</v>
      </c>
      <c r="AK41" s="124">
        <v>0</v>
      </c>
      <c r="AL41" s="124">
        <v>0</v>
      </c>
      <c r="AM41" s="124">
        <v>0</v>
      </c>
      <c r="AN41" s="124">
        <v>0</v>
      </c>
      <c r="AO41" s="124">
        <v>0</v>
      </c>
      <c r="AP41" s="124">
        <v>0</v>
      </c>
      <c r="AQ41" s="124">
        <v>0</v>
      </c>
      <c r="AR41" s="124">
        <v>0</v>
      </c>
    </row>
    <row r="42" spans="1:55" x14ac:dyDescent="0.2">
      <c r="A42" s="94" t="s">
        <v>225</v>
      </c>
      <c r="B42" s="93">
        <v>0</v>
      </c>
      <c r="C42" s="93">
        <v>0</v>
      </c>
      <c r="D42" s="93">
        <v>0</v>
      </c>
      <c r="E42" s="93">
        <v>0</v>
      </c>
      <c r="F42" s="93">
        <v>0</v>
      </c>
      <c r="G42" s="93">
        <v>0</v>
      </c>
      <c r="H42" s="93">
        <v>0</v>
      </c>
      <c r="I42" s="93">
        <v>0</v>
      </c>
      <c r="J42" s="93">
        <v>0</v>
      </c>
      <c r="K42" s="93">
        <v>0</v>
      </c>
      <c r="L42" s="93">
        <v>0</v>
      </c>
      <c r="M42" s="93">
        <v>0</v>
      </c>
      <c r="N42" s="93">
        <v>0</v>
      </c>
      <c r="O42" s="93">
        <v>0</v>
      </c>
      <c r="P42" s="93">
        <v>0</v>
      </c>
      <c r="Q42" s="93">
        <v>0</v>
      </c>
      <c r="R42" s="93">
        <v>0</v>
      </c>
      <c r="S42" s="93">
        <v>0</v>
      </c>
      <c r="T42" s="93">
        <v>0</v>
      </c>
      <c r="U42" s="93">
        <v>0</v>
      </c>
      <c r="V42" s="93">
        <v>0</v>
      </c>
      <c r="W42" s="93">
        <v>0</v>
      </c>
      <c r="X42" s="93">
        <v>0</v>
      </c>
      <c r="Y42" s="93">
        <v>0</v>
      </c>
      <c r="Z42" s="93">
        <v>0</v>
      </c>
      <c r="AA42" s="93">
        <v>0</v>
      </c>
      <c r="AB42" s="93">
        <v>0</v>
      </c>
      <c r="AC42" s="93">
        <v>0</v>
      </c>
      <c r="AD42" s="93">
        <v>0</v>
      </c>
      <c r="AE42" s="93">
        <v>0</v>
      </c>
      <c r="AF42" s="93">
        <v>0</v>
      </c>
      <c r="AG42" s="93">
        <v>0.2</v>
      </c>
      <c r="AH42" s="93">
        <v>0</v>
      </c>
      <c r="AI42" s="93">
        <v>0</v>
      </c>
      <c r="AJ42" s="93">
        <v>0</v>
      </c>
      <c r="AK42" s="124">
        <v>0</v>
      </c>
      <c r="AL42" s="124">
        <v>0</v>
      </c>
      <c r="AM42" s="124">
        <v>0</v>
      </c>
      <c r="AN42" s="124">
        <v>0</v>
      </c>
      <c r="AO42" s="124">
        <v>0</v>
      </c>
      <c r="AP42" s="124">
        <v>0</v>
      </c>
      <c r="AQ42" s="124">
        <v>0</v>
      </c>
      <c r="AR42" s="124">
        <v>0</v>
      </c>
    </row>
    <row r="43" spans="1:55" x14ac:dyDescent="0.2">
      <c r="A43" s="94" t="s">
        <v>227</v>
      </c>
      <c r="B43" s="93">
        <v>0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3">
        <v>0</v>
      </c>
      <c r="P43" s="93">
        <v>0</v>
      </c>
      <c r="Q43" s="93">
        <v>0</v>
      </c>
      <c r="R43" s="93">
        <v>0</v>
      </c>
      <c r="S43" s="93">
        <v>0</v>
      </c>
      <c r="T43" s="93">
        <v>0</v>
      </c>
      <c r="U43" s="93">
        <v>0</v>
      </c>
      <c r="V43" s="93">
        <v>0</v>
      </c>
      <c r="W43" s="93">
        <v>0</v>
      </c>
      <c r="X43" s="93">
        <v>0</v>
      </c>
      <c r="Y43" s="93">
        <v>0</v>
      </c>
      <c r="Z43" s="93">
        <v>0</v>
      </c>
      <c r="AA43" s="93">
        <v>0</v>
      </c>
      <c r="AB43" s="93">
        <v>0</v>
      </c>
      <c r="AC43" s="93">
        <v>0</v>
      </c>
      <c r="AD43" s="93">
        <v>0</v>
      </c>
      <c r="AE43" s="93">
        <v>0</v>
      </c>
      <c r="AF43" s="93">
        <v>0</v>
      </c>
      <c r="AG43" s="93">
        <v>0</v>
      </c>
      <c r="AH43" s="93">
        <v>0</v>
      </c>
      <c r="AI43" s="93">
        <v>0</v>
      </c>
      <c r="AJ43" s="93">
        <v>0</v>
      </c>
      <c r="AK43" s="124">
        <v>0</v>
      </c>
      <c r="AL43" s="124">
        <v>0</v>
      </c>
      <c r="AM43" s="124">
        <v>0</v>
      </c>
      <c r="AN43" s="124">
        <v>0</v>
      </c>
      <c r="AO43" s="124">
        <v>0</v>
      </c>
      <c r="AP43" s="124">
        <v>0</v>
      </c>
      <c r="AQ43" s="124">
        <v>0</v>
      </c>
      <c r="AR43" s="124">
        <v>0</v>
      </c>
    </row>
    <row r="44" spans="1:55" x14ac:dyDescent="0.2">
      <c r="A44" s="94" t="s">
        <v>125</v>
      </c>
      <c r="B44" s="93">
        <v>0</v>
      </c>
      <c r="C44" s="93">
        <v>0</v>
      </c>
      <c r="D44" s="93">
        <v>0</v>
      </c>
      <c r="E44" s="93">
        <v>0</v>
      </c>
      <c r="F44" s="93">
        <v>0</v>
      </c>
      <c r="G44" s="93">
        <v>0</v>
      </c>
      <c r="H44" s="93">
        <v>0</v>
      </c>
      <c r="I44" s="93">
        <v>0</v>
      </c>
      <c r="J44" s="93">
        <v>0</v>
      </c>
      <c r="K44" s="93">
        <v>0</v>
      </c>
      <c r="L44" s="93">
        <v>0</v>
      </c>
      <c r="M44" s="93">
        <v>0</v>
      </c>
      <c r="N44" s="93">
        <v>0</v>
      </c>
      <c r="O44" s="93">
        <v>0</v>
      </c>
      <c r="P44" s="93">
        <v>0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124">
        <v>0</v>
      </c>
      <c r="AL44" s="124">
        <v>0</v>
      </c>
      <c r="AM44" s="124">
        <v>0</v>
      </c>
      <c r="AN44" s="124">
        <v>0</v>
      </c>
      <c r="AO44" s="124">
        <v>0</v>
      </c>
      <c r="AP44" s="124">
        <v>0</v>
      </c>
      <c r="AQ44" s="124">
        <v>0</v>
      </c>
      <c r="AR44" s="124">
        <v>0</v>
      </c>
    </row>
    <row r="45" spans="1:55" s="115" customFormat="1" x14ac:dyDescent="0.2">
      <c r="A45" s="117" t="s">
        <v>167</v>
      </c>
      <c r="B45" s="115">
        <v>0</v>
      </c>
      <c r="C45" s="115">
        <v>0</v>
      </c>
      <c r="D45" s="115">
        <v>0</v>
      </c>
      <c r="E45" s="115">
        <v>0</v>
      </c>
      <c r="F45" s="115">
        <v>0</v>
      </c>
      <c r="G45" s="115">
        <v>0</v>
      </c>
      <c r="H45" s="115">
        <v>0</v>
      </c>
      <c r="I45" s="115">
        <v>0</v>
      </c>
      <c r="J45" s="115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15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5">
        <v>0</v>
      </c>
      <c r="AG45" s="115">
        <v>0</v>
      </c>
      <c r="AH45" s="115">
        <v>0</v>
      </c>
      <c r="AI45" s="115">
        <v>0</v>
      </c>
      <c r="AJ45" s="115">
        <v>0</v>
      </c>
      <c r="AK45" s="124">
        <v>0</v>
      </c>
      <c r="AL45" s="124">
        <v>0</v>
      </c>
      <c r="AM45" s="124">
        <v>0</v>
      </c>
      <c r="AN45" s="124">
        <v>0</v>
      </c>
      <c r="AO45" s="124">
        <v>0</v>
      </c>
      <c r="AP45" s="124">
        <v>0</v>
      </c>
      <c r="AQ45" s="124">
        <v>0</v>
      </c>
      <c r="AR45" s="124">
        <v>0</v>
      </c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</row>
    <row r="48" spans="1:55" x14ac:dyDescent="0.2">
      <c r="A48" s="93" t="s">
        <v>62</v>
      </c>
      <c r="B48" s="93">
        <f>SUM(B2:B45)</f>
        <v>1</v>
      </c>
      <c r="C48" s="93">
        <f t="shared" ref="C48:AP48" si="0">SUM(C2:C45)</f>
        <v>0.99500000000000011</v>
      </c>
      <c r="D48" s="93">
        <f t="shared" si="0"/>
        <v>1.0119999999999993</v>
      </c>
      <c r="E48" s="93">
        <f t="shared" si="0"/>
        <v>0.99500000000000033</v>
      </c>
      <c r="F48" s="93">
        <f t="shared" si="0"/>
        <v>0.99999999999999978</v>
      </c>
      <c r="G48" s="93">
        <f t="shared" si="0"/>
        <v>0.99999999999999989</v>
      </c>
      <c r="H48" s="93">
        <f t="shared" si="0"/>
        <v>0.99999999999999989</v>
      </c>
      <c r="I48" s="93">
        <f t="shared" si="0"/>
        <v>1.0050000000000001</v>
      </c>
      <c r="J48" s="93">
        <f t="shared" si="0"/>
        <v>1</v>
      </c>
      <c r="K48" s="93">
        <f t="shared" si="0"/>
        <v>1</v>
      </c>
      <c r="L48" s="93">
        <f t="shared" si="0"/>
        <v>1</v>
      </c>
      <c r="M48" s="93">
        <f t="shared" si="0"/>
        <v>1</v>
      </c>
      <c r="N48" s="93">
        <f t="shared" si="0"/>
        <v>1</v>
      </c>
      <c r="O48" s="93">
        <f t="shared" si="0"/>
        <v>1</v>
      </c>
      <c r="P48" s="93">
        <f t="shared" si="0"/>
        <v>1</v>
      </c>
      <c r="Q48" s="93">
        <f t="shared" si="0"/>
        <v>0.99999999999999989</v>
      </c>
      <c r="R48" s="93">
        <f t="shared" si="0"/>
        <v>1</v>
      </c>
      <c r="S48" s="93">
        <f t="shared" si="0"/>
        <v>0.99999999999999989</v>
      </c>
      <c r="T48" s="93">
        <f t="shared" si="0"/>
        <v>1</v>
      </c>
      <c r="U48" s="93">
        <f t="shared" si="0"/>
        <v>1</v>
      </c>
      <c r="V48" s="93">
        <f t="shared" si="0"/>
        <v>1</v>
      </c>
      <c r="W48" s="93">
        <f t="shared" si="0"/>
        <v>1</v>
      </c>
      <c r="X48" s="93">
        <f t="shared" si="0"/>
        <v>1</v>
      </c>
      <c r="Y48" s="93">
        <f t="shared" si="0"/>
        <v>1</v>
      </c>
      <c r="Z48" s="93">
        <f t="shared" si="0"/>
        <v>1</v>
      </c>
      <c r="AA48" s="93">
        <f t="shared" si="0"/>
        <v>1</v>
      </c>
      <c r="AB48" s="93">
        <f t="shared" si="0"/>
        <v>1</v>
      </c>
      <c r="AC48" s="93">
        <f t="shared" si="0"/>
        <v>1</v>
      </c>
      <c r="AD48" s="93">
        <f t="shared" si="0"/>
        <v>1</v>
      </c>
      <c r="AE48" s="93">
        <f t="shared" si="0"/>
        <v>1</v>
      </c>
      <c r="AF48" s="93">
        <f t="shared" si="0"/>
        <v>1</v>
      </c>
      <c r="AG48" s="93">
        <f t="shared" si="0"/>
        <v>1</v>
      </c>
      <c r="AH48" s="93">
        <f t="shared" si="0"/>
        <v>1</v>
      </c>
      <c r="AI48" s="93">
        <f t="shared" si="0"/>
        <v>1</v>
      </c>
      <c r="AJ48" s="93">
        <f t="shared" si="0"/>
        <v>1</v>
      </c>
      <c r="AK48" s="93">
        <f t="shared" si="0"/>
        <v>0</v>
      </c>
      <c r="AL48" s="93">
        <f t="shared" si="0"/>
        <v>0</v>
      </c>
      <c r="AM48" s="93">
        <f t="shared" si="0"/>
        <v>0</v>
      </c>
      <c r="AN48" s="93">
        <f t="shared" si="0"/>
        <v>0</v>
      </c>
      <c r="AO48" s="93">
        <f t="shared" si="0"/>
        <v>0</v>
      </c>
      <c r="AP48" s="93">
        <f t="shared" si="0"/>
        <v>0</v>
      </c>
      <c r="AQ48" s="93">
        <f t="shared" ref="AQ48:AR48" si="1">SUM(AQ2:AQ45)</f>
        <v>0</v>
      </c>
      <c r="AR48" s="93">
        <f t="shared" si="1"/>
        <v>0</v>
      </c>
    </row>
    <row r="49" spans="1:44" x14ac:dyDescent="0.2">
      <c r="A49" s="93" t="s">
        <v>180</v>
      </c>
      <c r="B49" s="93">
        <f>1-B48</f>
        <v>0</v>
      </c>
      <c r="C49" s="93">
        <f t="shared" ref="C49:AP49" si="2">1-C48</f>
        <v>4.9999999999998934E-3</v>
      </c>
      <c r="D49" s="93">
        <f t="shared" si="2"/>
        <v>-1.1999999999999345E-2</v>
      </c>
      <c r="E49" s="93">
        <f t="shared" si="2"/>
        <v>4.9999999999996714E-3</v>
      </c>
      <c r="F49" s="93">
        <f t="shared" si="2"/>
        <v>0</v>
      </c>
      <c r="G49" s="93">
        <f t="shared" si="2"/>
        <v>0</v>
      </c>
      <c r="H49" s="93">
        <f t="shared" si="2"/>
        <v>0</v>
      </c>
      <c r="I49" s="93">
        <f t="shared" si="2"/>
        <v>-5.0000000000001155E-3</v>
      </c>
      <c r="J49" s="93">
        <f t="shared" si="2"/>
        <v>0</v>
      </c>
      <c r="K49" s="93">
        <f t="shared" si="2"/>
        <v>0</v>
      </c>
      <c r="L49" s="93">
        <f t="shared" si="2"/>
        <v>0</v>
      </c>
      <c r="M49" s="93">
        <f t="shared" si="2"/>
        <v>0</v>
      </c>
      <c r="N49" s="93">
        <f t="shared" si="2"/>
        <v>0</v>
      </c>
      <c r="O49" s="93">
        <f t="shared" si="2"/>
        <v>0</v>
      </c>
      <c r="P49" s="93">
        <f t="shared" si="2"/>
        <v>0</v>
      </c>
      <c r="Q49" s="93">
        <f t="shared" si="2"/>
        <v>0</v>
      </c>
      <c r="R49" s="93">
        <f t="shared" si="2"/>
        <v>0</v>
      </c>
      <c r="S49" s="93">
        <f t="shared" si="2"/>
        <v>0</v>
      </c>
      <c r="T49" s="93">
        <f t="shared" si="2"/>
        <v>0</v>
      </c>
      <c r="U49" s="93">
        <f t="shared" si="2"/>
        <v>0</v>
      </c>
      <c r="V49" s="93">
        <f t="shared" si="2"/>
        <v>0</v>
      </c>
      <c r="W49" s="93">
        <f t="shared" si="2"/>
        <v>0</v>
      </c>
      <c r="X49" s="93">
        <f t="shared" si="2"/>
        <v>0</v>
      </c>
      <c r="Y49" s="93">
        <f t="shared" si="2"/>
        <v>0</v>
      </c>
      <c r="Z49" s="93">
        <f t="shared" si="2"/>
        <v>0</v>
      </c>
      <c r="AA49" s="93">
        <f t="shared" si="2"/>
        <v>0</v>
      </c>
      <c r="AB49" s="93">
        <f t="shared" si="2"/>
        <v>0</v>
      </c>
      <c r="AC49" s="93">
        <f t="shared" si="2"/>
        <v>0</v>
      </c>
      <c r="AD49" s="93">
        <f t="shared" si="2"/>
        <v>0</v>
      </c>
      <c r="AE49" s="93">
        <f t="shared" si="2"/>
        <v>0</v>
      </c>
      <c r="AF49" s="93">
        <f t="shared" si="2"/>
        <v>0</v>
      </c>
      <c r="AG49" s="93">
        <f t="shared" si="2"/>
        <v>0</v>
      </c>
      <c r="AH49" s="93">
        <f t="shared" si="2"/>
        <v>0</v>
      </c>
      <c r="AI49" s="93">
        <f t="shared" si="2"/>
        <v>0</v>
      </c>
      <c r="AJ49" s="93">
        <f t="shared" si="2"/>
        <v>0</v>
      </c>
      <c r="AK49" s="93">
        <f t="shared" si="2"/>
        <v>1</v>
      </c>
      <c r="AL49" s="93">
        <f t="shared" si="2"/>
        <v>1</v>
      </c>
      <c r="AM49" s="93">
        <f t="shared" si="2"/>
        <v>1</v>
      </c>
      <c r="AN49" s="93">
        <f t="shared" si="2"/>
        <v>1</v>
      </c>
      <c r="AO49" s="93">
        <f t="shared" si="2"/>
        <v>1</v>
      </c>
      <c r="AP49" s="93">
        <f t="shared" si="2"/>
        <v>1</v>
      </c>
      <c r="AQ49" s="93">
        <f t="shared" ref="AQ49" si="3">1-AQ48</f>
        <v>1</v>
      </c>
      <c r="AR49" s="93">
        <f t="shared" ref="AR49" si="4">1-AR48</f>
        <v>1</v>
      </c>
    </row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M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44" sqref="B2:B44"/>
    </sheetView>
  </sheetViews>
  <sheetFormatPr baseColWidth="10" defaultColWidth="8.83203125" defaultRowHeight="16" x14ac:dyDescent="0.2"/>
  <cols>
    <col min="1" max="1" width="12.83203125" style="93" customWidth="1"/>
    <col min="2" max="2" width="37.33203125" style="93" bestFit="1" customWidth="1"/>
    <col min="3" max="5" width="13" style="140" customWidth="1"/>
    <col min="6" max="7" width="8.83203125" style="93"/>
    <col min="8" max="9" width="13" style="140" customWidth="1"/>
    <col min="10" max="16384" width="8.83203125" style="93"/>
  </cols>
  <sheetData>
    <row r="1" spans="1:13" ht="34" x14ac:dyDescent="0.2">
      <c r="A1" s="139" t="s">
        <v>21</v>
      </c>
      <c r="B1" s="123" t="s">
        <v>0</v>
      </c>
      <c r="C1" s="140" t="s">
        <v>223</v>
      </c>
      <c r="D1" s="140" t="s">
        <v>224</v>
      </c>
      <c r="E1" s="140" t="s">
        <v>225</v>
      </c>
      <c r="F1" s="94" t="s">
        <v>227</v>
      </c>
      <c r="G1" s="94" t="s">
        <v>125</v>
      </c>
      <c r="H1" s="140" t="s">
        <v>156</v>
      </c>
      <c r="I1" s="141" t="s">
        <v>62</v>
      </c>
    </row>
    <row r="2" spans="1:13" x14ac:dyDescent="0.2">
      <c r="A2" s="93">
        <v>1</v>
      </c>
      <c r="B2" s="94" t="s">
        <v>185</v>
      </c>
      <c r="C2" s="140">
        <v>0.5</v>
      </c>
      <c r="D2" s="140">
        <v>0</v>
      </c>
      <c r="E2" s="140">
        <v>0.5</v>
      </c>
      <c r="F2" s="140">
        <v>0</v>
      </c>
      <c r="G2" s="140">
        <v>0</v>
      </c>
      <c r="H2" s="140">
        <v>0</v>
      </c>
      <c r="I2" s="142">
        <f t="shared" ref="I2:I42" si="0">SUM(C2:H2)</f>
        <v>1</v>
      </c>
      <c r="K2" s="115"/>
      <c r="L2" s="115"/>
      <c r="M2" s="115"/>
    </row>
    <row r="3" spans="1:13" x14ac:dyDescent="0.2">
      <c r="A3" s="93">
        <v>2</v>
      </c>
      <c r="B3" s="94" t="s">
        <v>186</v>
      </c>
      <c r="C3" s="140">
        <f t="shared" ref="C3:C8" si="1">1/3</f>
        <v>0.33333333333333331</v>
      </c>
      <c r="D3" s="140">
        <f t="shared" ref="D3:E8" si="2">1/3</f>
        <v>0.33333333333333331</v>
      </c>
      <c r="E3" s="140">
        <f t="shared" si="2"/>
        <v>0.33333333333333331</v>
      </c>
      <c r="F3" s="140">
        <v>0</v>
      </c>
      <c r="G3" s="140">
        <v>0</v>
      </c>
      <c r="H3" s="140">
        <v>0</v>
      </c>
      <c r="I3" s="142">
        <f t="shared" si="0"/>
        <v>1</v>
      </c>
      <c r="K3" s="115"/>
      <c r="L3" s="115"/>
      <c r="M3" s="115"/>
    </row>
    <row r="4" spans="1:13" x14ac:dyDescent="0.2">
      <c r="A4" s="93">
        <v>3</v>
      </c>
      <c r="B4" s="94" t="s">
        <v>187</v>
      </c>
      <c r="C4" s="140">
        <f t="shared" si="1"/>
        <v>0.33333333333333331</v>
      </c>
      <c r="D4" s="140">
        <f t="shared" si="2"/>
        <v>0.33333333333333331</v>
      </c>
      <c r="E4" s="140">
        <f t="shared" si="2"/>
        <v>0.33333333333333331</v>
      </c>
      <c r="F4" s="140">
        <v>0</v>
      </c>
      <c r="G4" s="140">
        <v>0</v>
      </c>
      <c r="H4" s="140">
        <v>0</v>
      </c>
      <c r="I4" s="142">
        <f t="shared" si="0"/>
        <v>1</v>
      </c>
    </row>
    <row r="5" spans="1:13" x14ac:dyDescent="0.2">
      <c r="A5" s="93">
        <v>4</v>
      </c>
      <c r="B5" s="94" t="s">
        <v>188</v>
      </c>
      <c r="C5" s="140">
        <f t="shared" si="1"/>
        <v>0.33333333333333331</v>
      </c>
      <c r="D5" s="140">
        <f t="shared" si="2"/>
        <v>0.33333333333333331</v>
      </c>
      <c r="E5" s="140">
        <f t="shared" si="2"/>
        <v>0.33333333333333331</v>
      </c>
      <c r="F5" s="140">
        <v>0</v>
      </c>
      <c r="G5" s="140">
        <v>0</v>
      </c>
      <c r="H5" s="140">
        <v>0</v>
      </c>
      <c r="I5" s="142">
        <f t="shared" si="0"/>
        <v>1</v>
      </c>
    </row>
    <row r="6" spans="1:13" x14ac:dyDescent="0.2">
      <c r="A6" s="93">
        <v>5</v>
      </c>
      <c r="B6" s="94" t="s">
        <v>189</v>
      </c>
      <c r="C6" s="140">
        <f t="shared" si="1"/>
        <v>0.33333333333333331</v>
      </c>
      <c r="D6" s="140">
        <f t="shared" si="2"/>
        <v>0.33333333333333331</v>
      </c>
      <c r="E6" s="140">
        <f t="shared" si="2"/>
        <v>0.33333333333333331</v>
      </c>
      <c r="F6" s="140">
        <v>0</v>
      </c>
      <c r="G6" s="140">
        <v>0</v>
      </c>
      <c r="H6" s="140">
        <v>0</v>
      </c>
      <c r="I6" s="142">
        <f t="shared" si="0"/>
        <v>1</v>
      </c>
    </row>
    <row r="7" spans="1:13" x14ac:dyDescent="0.2">
      <c r="A7" s="93">
        <v>6</v>
      </c>
      <c r="B7" s="94" t="s">
        <v>190</v>
      </c>
      <c r="C7" s="140">
        <f t="shared" si="1"/>
        <v>0.33333333333333331</v>
      </c>
      <c r="D7" s="140">
        <f t="shared" si="2"/>
        <v>0.33333333333333331</v>
      </c>
      <c r="E7" s="140">
        <f t="shared" si="2"/>
        <v>0.33333333333333331</v>
      </c>
      <c r="F7" s="140">
        <v>0</v>
      </c>
      <c r="G7" s="140">
        <v>0</v>
      </c>
      <c r="H7" s="140">
        <v>0</v>
      </c>
      <c r="I7" s="142">
        <f t="shared" si="0"/>
        <v>1</v>
      </c>
    </row>
    <row r="8" spans="1:13" x14ac:dyDescent="0.2">
      <c r="A8" s="93">
        <v>7</v>
      </c>
      <c r="B8" s="94" t="s">
        <v>191</v>
      </c>
      <c r="C8" s="140">
        <f t="shared" si="1"/>
        <v>0.33333333333333331</v>
      </c>
      <c r="D8" s="140">
        <f t="shared" si="2"/>
        <v>0.33333333333333331</v>
      </c>
      <c r="E8" s="140">
        <f t="shared" si="2"/>
        <v>0.33333333333333331</v>
      </c>
      <c r="F8" s="140">
        <v>0</v>
      </c>
      <c r="G8" s="140">
        <v>0</v>
      </c>
      <c r="H8" s="140">
        <v>0</v>
      </c>
      <c r="I8" s="142">
        <f t="shared" si="0"/>
        <v>1</v>
      </c>
    </row>
    <row r="9" spans="1:13" x14ac:dyDescent="0.2">
      <c r="A9" s="93">
        <v>8</v>
      </c>
      <c r="B9" s="94" t="s">
        <v>192</v>
      </c>
      <c r="C9" s="140">
        <v>0.5</v>
      </c>
      <c r="D9" s="140">
        <v>0.5</v>
      </c>
      <c r="E9" s="140">
        <v>0</v>
      </c>
      <c r="F9" s="140">
        <v>0</v>
      </c>
      <c r="G9" s="140">
        <v>0</v>
      </c>
      <c r="H9" s="140">
        <v>0</v>
      </c>
      <c r="I9" s="142">
        <f t="shared" si="0"/>
        <v>1</v>
      </c>
    </row>
    <row r="10" spans="1:13" x14ac:dyDescent="0.2">
      <c r="A10" s="93">
        <v>9</v>
      </c>
      <c r="B10" s="94" t="s">
        <v>193</v>
      </c>
      <c r="C10" s="140">
        <f>1/3</f>
        <v>0.33333333333333331</v>
      </c>
      <c r="D10" s="140">
        <f t="shared" ref="D10:E11" si="3">1/3</f>
        <v>0.33333333333333331</v>
      </c>
      <c r="E10" s="140">
        <f t="shared" si="3"/>
        <v>0.33333333333333331</v>
      </c>
      <c r="F10" s="140">
        <v>0</v>
      </c>
      <c r="G10" s="140">
        <v>0</v>
      </c>
      <c r="H10" s="140">
        <v>0</v>
      </c>
      <c r="I10" s="142">
        <f t="shared" si="0"/>
        <v>1</v>
      </c>
    </row>
    <row r="11" spans="1:13" x14ac:dyDescent="0.2">
      <c r="A11" s="93">
        <v>10</v>
      </c>
      <c r="B11" s="94" t="s">
        <v>194</v>
      </c>
      <c r="C11" s="140">
        <f>1/3</f>
        <v>0.33333333333333331</v>
      </c>
      <c r="D11" s="140">
        <f t="shared" si="3"/>
        <v>0.33333333333333331</v>
      </c>
      <c r="E11" s="140">
        <f t="shared" si="3"/>
        <v>0.33333333333333331</v>
      </c>
      <c r="F11" s="140">
        <v>0</v>
      </c>
      <c r="G11" s="140">
        <v>0</v>
      </c>
      <c r="H11" s="140">
        <v>0</v>
      </c>
      <c r="I11" s="142">
        <f t="shared" si="0"/>
        <v>1</v>
      </c>
    </row>
    <row r="12" spans="1:13" x14ac:dyDescent="0.2">
      <c r="A12" s="93">
        <v>11</v>
      </c>
      <c r="B12" s="94" t="s">
        <v>195</v>
      </c>
      <c r="C12" s="140">
        <f>1/3</f>
        <v>0.33333333333333331</v>
      </c>
      <c r="D12" s="140">
        <f t="shared" ref="D12:E14" si="4">1/3</f>
        <v>0.33333333333333331</v>
      </c>
      <c r="E12" s="140">
        <f t="shared" si="4"/>
        <v>0.33333333333333331</v>
      </c>
      <c r="F12" s="140">
        <v>0</v>
      </c>
      <c r="G12" s="140">
        <v>0</v>
      </c>
      <c r="H12" s="140">
        <v>0</v>
      </c>
      <c r="I12" s="142">
        <f t="shared" si="0"/>
        <v>1</v>
      </c>
    </row>
    <row r="13" spans="1:13" x14ac:dyDescent="0.2">
      <c r="A13" s="93">
        <v>12</v>
      </c>
      <c r="B13" s="94" t="s">
        <v>196</v>
      </c>
      <c r="C13" s="140">
        <f>1/3</f>
        <v>0.33333333333333331</v>
      </c>
      <c r="D13" s="140">
        <f t="shared" si="4"/>
        <v>0.33333333333333331</v>
      </c>
      <c r="E13" s="140">
        <f t="shared" si="4"/>
        <v>0.33333333333333331</v>
      </c>
      <c r="F13" s="140">
        <v>0</v>
      </c>
      <c r="G13" s="140">
        <v>0</v>
      </c>
      <c r="H13" s="140">
        <v>0</v>
      </c>
      <c r="I13" s="142">
        <f t="shared" si="0"/>
        <v>1</v>
      </c>
    </row>
    <row r="14" spans="1:13" x14ac:dyDescent="0.2">
      <c r="A14" s="93">
        <v>13</v>
      </c>
      <c r="B14" s="94" t="s">
        <v>197</v>
      </c>
      <c r="C14" s="140">
        <f>1/3</f>
        <v>0.33333333333333331</v>
      </c>
      <c r="D14" s="140">
        <f t="shared" si="4"/>
        <v>0.33333333333333331</v>
      </c>
      <c r="E14" s="140">
        <f t="shared" si="4"/>
        <v>0.33333333333333331</v>
      </c>
      <c r="F14" s="140">
        <v>0</v>
      </c>
      <c r="G14" s="140">
        <v>0</v>
      </c>
      <c r="H14" s="140">
        <v>0</v>
      </c>
      <c r="I14" s="142">
        <f t="shared" si="0"/>
        <v>1</v>
      </c>
    </row>
    <row r="15" spans="1:13" x14ac:dyDescent="0.2">
      <c r="A15" s="93">
        <v>14</v>
      </c>
      <c r="B15" s="94" t="s">
        <v>198</v>
      </c>
      <c r="C15" s="140">
        <v>0</v>
      </c>
      <c r="D15" s="140">
        <v>1</v>
      </c>
      <c r="E15" s="140">
        <v>0</v>
      </c>
      <c r="F15" s="140">
        <v>0</v>
      </c>
      <c r="G15" s="140">
        <v>0</v>
      </c>
      <c r="H15" s="140">
        <v>0</v>
      </c>
      <c r="I15" s="142">
        <f t="shared" si="0"/>
        <v>1</v>
      </c>
    </row>
    <row r="16" spans="1:13" x14ac:dyDescent="0.2">
      <c r="A16" s="93">
        <v>15</v>
      </c>
      <c r="B16" s="94" t="s">
        <v>199</v>
      </c>
      <c r="C16" s="140">
        <v>0.5</v>
      </c>
      <c r="D16" s="140">
        <v>0.5</v>
      </c>
      <c r="E16" s="140">
        <v>0</v>
      </c>
      <c r="F16" s="140">
        <v>0</v>
      </c>
      <c r="G16" s="140">
        <v>0</v>
      </c>
      <c r="H16" s="140">
        <v>0</v>
      </c>
      <c r="I16" s="142">
        <f t="shared" si="0"/>
        <v>1</v>
      </c>
    </row>
    <row r="17" spans="1:9" x14ac:dyDescent="0.2">
      <c r="A17" s="93">
        <v>16</v>
      </c>
      <c r="B17" s="94" t="s">
        <v>200</v>
      </c>
      <c r="C17" s="140">
        <v>1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2">
        <f t="shared" si="0"/>
        <v>1</v>
      </c>
    </row>
    <row r="18" spans="1:9" x14ac:dyDescent="0.2">
      <c r="A18" s="93">
        <v>17</v>
      </c>
      <c r="B18" s="94" t="s">
        <v>201</v>
      </c>
      <c r="C18" s="140">
        <v>1</v>
      </c>
      <c r="D18" s="140">
        <v>0</v>
      </c>
      <c r="E18" s="140">
        <v>0</v>
      </c>
      <c r="F18" s="140">
        <v>0</v>
      </c>
      <c r="G18" s="140">
        <v>0</v>
      </c>
      <c r="H18" s="140">
        <v>0</v>
      </c>
      <c r="I18" s="142">
        <f t="shared" si="0"/>
        <v>1</v>
      </c>
    </row>
    <row r="19" spans="1:9" ht="15" customHeight="1" x14ac:dyDescent="0.2">
      <c r="A19" s="93">
        <v>18</v>
      </c>
      <c r="B19" s="94" t="s">
        <v>202</v>
      </c>
      <c r="C19" s="140">
        <v>1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2">
        <f t="shared" si="0"/>
        <v>1</v>
      </c>
    </row>
    <row r="20" spans="1:9" ht="15" customHeight="1" x14ac:dyDescent="0.2">
      <c r="A20" s="93">
        <v>19</v>
      </c>
      <c r="B20" s="94" t="s">
        <v>203</v>
      </c>
      <c r="C20" s="140">
        <v>1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2">
        <f t="shared" si="0"/>
        <v>1</v>
      </c>
    </row>
    <row r="21" spans="1:9" ht="15" customHeight="1" x14ac:dyDescent="0.2">
      <c r="A21" s="93">
        <v>20</v>
      </c>
      <c r="B21" s="94" t="s">
        <v>204</v>
      </c>
      <c r="C21" s="140">
        <v>0</v>
      </c>
      <c r="D21" s="140">
        <v>1</v>
      </c>
      <c r="E21" s="140">
        <v>0</v>
      </c>
      <c r="F21" s="140">
        <v>0</v>
      </c>
      <c r="G21" s="140">
        <v>0</v>
      </c>
      <c r="H21" s="140">
        <v>0</v>
      </c>
      <c r="I21" s="142">
        <f t="shared" si="0"/>
        <v>1</v>
      </c>
    </row>
    <row r="22" spans="1:9" ht="15" customHeight="1" x14ac:dyDescent="0.2">
      <c r="A22" s="93">
        <v>21</v>
      </c>
      <c r="B22" s="94" t="s">
        <v>205</v>
      </c>
      <c r="C22" s="140">
        <v>0</v>
      </c>
      <c r="D22" s="140">
        <v>1</v>
      </c>
      <c r="E22" s="140">
        <v>0</v>
      </c>
      <c r="F22" s="140">
        <v>0</v>
      </c>
      <c r="G22" s="140">
        <v>0</v>
      </c>
      <c r="H22" s="140">
        <v>0</v>
      </c>
      <c r="I22" s="142">
        <f t="shared" si="0"/>
        <v>1</v>
      </c>
    </row>
    <row r="23" spans="1:9" ht="15" customHeight="1" x14ac:dyDescent="0.2">
      <c r="A23" s="93">
        <v>22</v>
      </c>
      <c r="B23" s="94" t="s">
        <v>206</v>
      </c>
      <c r="C23" s="140">
        <v>0</v>
      </c>
      <c r="D23" s="140">
        <v>1</v>
      </c>
      <c r="E23" s="140">
        <v>0</v>
      </c>
      <c r="F23" s="140">
        <v>0</v>
      </c>
      <c r="G23" s="140">
        <v>0</v>
      </c>
      <c r="H23" s="140">
        <v>0</v>
      </c>
      <c r="I23" s="142">
        <f t="shared" si="0"/>
        <v>1</v>
      </c>
    </row>
    <row r="24" spans="1:9" ht="15" customHeight="1" x14ac:dyDescent="0.2">
      <c r="A24" s="93">
        <v>23</v>
      </c>
      <c r="B24" s="94" t="s">
        <v>207</v>
      </c>
      <c r="C24" s="140">
        <v>0</v>
      </c>
      <c r="D24" s="140">
        <v>1</v>
      </c>
      <c r="E24" s="140">
        <v>0</v>
      </c>
      <c r="F24" s="140">
        <v>0</v>
      </c>
      <c r="G24" s="140">
        <v>0</v>
      </c>
      <c r="H24" s="140">
        <v>0</v>
      </c>
      <c r="I24" s="142">
        <f t="shared" si="0"/>
        <v>1</v>
      </c>
    </row>
    <row r="25" spans="1:9" ht="15" customHeight="1" x14ac:dyDescent="0.2">
      <c r="A25" s="93">
        <v>24</v>
      </c>
      <c r="B25" s="94" t="s">
        <v>208</v>
      </c>
      <c r="C25" s="140">
        <v>1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2">
        <f t="shared" si="0"/>
        <v>1</v>
      </c>
    </row>
    <row r="26" spans="1:9" ht="15" customHeight="1" x14ac:dyDescent="0.2">
      <c r="A26" s="93">
        <v>25</v>
      </c>
      <c r="B26" s="94" t="s">
        <v>209</v>
      </c>
      <c r="C26" s="140">
        <v>0</v>
      </c>
      <c r="D26" s="140">
        <v>1</v>
      </c>
      <c r="E26" s="140">
        <v>0</v>
      </c>
      <c r="F26" s="140">
        <v>0</v>
      </c>
      <c r="G26" s="140">
        <v>0</v>
      </c>
      <c r="H26" s="140">
        <v>0</v>
      </c>
      <c r="I26" s="142">
        <f t="shared" si="0"/>
        <v>1</v>
      </c>
    </row>
    <row r="27" spans="1:9" ht="15" customHeight="1" x14ac:dyDescent="0.2">
      <c r="A27" s="93">
        <v>26</v>
      </c>
      <c r="B27" s="94" t="s">
        <v>210</v>
      </c>
      <c r="C27" s="140">
        <v>0</v>
      </c>
      <c r="D27" s="140">
        <v>0</v>
      </c>
      <c r="E27" s="140">
        <v>1</v>
      </c>
      <c r="F27" s="140">
        <v>0</v>
      </c>
      <c r="G27" s="140">
        <v>0</v>
      </c>
      <c r="H27" s="140">
        <v>0</v>
      </c>
      <c r="I27" s="142">
        <f t="shared" si="0"/>
        <v>1</v>
      </c>
    </row>
    <row r="28" spans="1:9" ht="15" customHeight="1" x14ac:dyDescent="0.2">
      <c r="A28" s="93">
        <v>27</v>
      </c>
      <c r="B28" s="94" t="s">
        <v>211</v>
      </c>
      <c r="C28" s="140">
        <f>1/3</f>
        <v>0.33333333333333331</v>
      </c>
      <c r="D28" s="140">
        <f t="shared" ref="D28:E29" si="5">1/3</f>
        <v>0.33333333333333331</v>
      </c>
      <c r="E28" s="140">
        <f t="shared" si="5"/>
        <v>0.33333333333333331</v>
      </c>
      <c r="F28" s="140">
        <v>0</v>
      </c>
      <c r="G28" s="140">
        <v>0</v>
      </c>
      <c r="H28" s="140">
        <v>0</v>
      </c>
      <c r="I28" s="142">
        <f t="shared" si="0"/>
        <v>1</v>
      </c>
    </row>
    <row r="29" spans="1:9" ht="15" customHeight="1" x14ac:dyDescent="0.2">
      <c r="A29" s="93">
        <v>28</v>
      </c>
      <c r="B29" s="94" t="s">
        <v>212</v>
      </c>
      <c r="C29" s="140">
        <f>1/3</f>
        <v>0.33333333333333331</v>
      </c>
      <c r="D29" s="140">
        <f t="shared" si="5"/>
        <v>0.33333333333333331</v>
      </c>
      <c r="E29" s="140">
        <f t="shared" si="5"/>
        <v>0.33333333333333331</v>
      </c>
      <c r="F29" s="140">
        <v>0</v>
      </c>
      <c r="G29" s="140">
        <v>0</v>
      </c>
      <c r="H29" s="140">
        <v>0</v>
      </c>
      <c r="I29" s="142">
        <f t="shared" si="0"/>
        <v>1</v>
      </c>
    </row>
    <row r="30" spans="1:9" ht="15" customHeight="1" x14ac:dyDescent="0.2">
      <c r="A30" s="93">
        <v>29</v>
      </c>
      <c r="B30" s="94" t="s">
        <v>213</v>
      </c>
      <c r="C30" s="140">
        <v>1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2">
        <f t="shared" si="0"/>
        <v>1</v>
      </c>
    </row>
    <row r="31" spans="1:9" ht="15" customHeight="1" x14ac:dyDescent="0.2">
      <c r="A31" s="93">
        <v>30</v>
      </c>
      <c r="B31" s="94" t="s">
        <v>214</v>
      </c>
      <c r="C31" s="140">
        <v>0</v>
      </c>
      <c r="D31" s="140">
        <v>1</v>
      </c>
      <c r="E31" s="140">
        <v>0</v>
      </c>
      <c r="F31" s="140">
        <v>0</v>
      </c>
      <c r="G31" s="140">
        <v>0</v>
      </c>
      <c r="H31" s="140">
        <v>0</v>
      </c>
      <c r="I31" s="142">
        <f t="shared" si="0"/>
        <v>1</v>
      </c>
    </row>
    <row r="32" spans="1:9" ht="15" customHeight="1" x14ac:dyDescent="0.2">
      <c r="A32" s="93">
        <v>31</v>
      </c>
      <c r="B32" s="94" t="s">
        <v>215</v>
      </c>
      <c r="C32" s="140">
        <v>1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2">
        <f t="shared" si="0"/>
        <v>1</v>
      </c>
    </row>
    <row r="33" spans="1:9" ht="15" customHeight="1" x14ac:dyDescent="0.2">
      <c r="A33" s="93">
        <v>32</v>
      </c>
      <c r="B33" s="94" t="s">
        <v>216</v>
      </c>
      <c r="C33" s="140">
        <v>0</v>
      </c>
      <c r="D33" s="140">
        <v>0</v>
      </c>
      <c r="E33" s="140">
        <v>1</v>
      </c>
      <c r="F33" s="140">
        <v>0</v>
      </c>
      <c r="G33" s="140">
        <v>0</v>
      </c>
      <c r="H33" s="140">
        <v>0</v>
      </c>
      <c r="I33" s="142">
        <f t="shared" si="0"/>
        <v>1</v>
      </c>
    </row>
    <row r="34" spans="1:9" ht="15" customHeight="1" x14ac:dyDescent="0.2">
      <c r="A34" s="93">
        <v>33</v>
      </c>
      <c r="B34" s="94" t="s">
        <v>217</v>
      </c>
      <c r="C34" s="140">
        <v>1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2">
        <f t="shared" si="0"/>
        <v>1</v>
      </c>
    </row>
    <row r="35" spans="1:9" ht="15" customHeight="1" x14ac:dyDescent="0.2">
      <c r="A35" s="93">
        <v>34</v>
      </c>
      <c r="B35" s="94" t="s">
        <v>218</v>
      </c>
      <c r="C35" s="140">
        <v>0</v>
      </c>
      <c r="D35" s="140">
        <v>1</v>
      </c>
      <c r="E35" s="140">
        <v>0</v>
      </c>
      <c r="F35" s="140">
        <v>0</v>
      </c>
      <c r="G35" s="140">
        <v>0</v>
      </c>
      <c r="H35" s="140">
        <v>0</v>
      </c>
      <c r="I35" s="142">
        <f t="shared" si="0"/>
        <v>1</v>
      </c>
    </row>
    <row r="36" spans="1:9" ht="15" customHeight="1" x14ac:dyDescent="0.2">
      <c r="A36" s="93">
        <v>35</v>
      </c>
      <c r="B36" s="94" t="s">
        <v>219</v>
      </c>
      <c r="C36" s="140">
        <v>0</v>
      </c>
      <c r="D36" s="140">
        <v>0</v>
      </c>
      <c r="E36" s="140">
        <v>1</v>
      </c>
      <c r="F36" s="140">
        <v>0</v>
      </c>
      <c r="G36" s="140">
        <v>0</v>
      </c>
      <c r="H36" s="140">
        <v>0</v>
      </c>
      <c r="I36" s="142">
        <f t="shared" si="0"/>
        <v>1</v>
      </c>
    </row>
    <row r="37" spans="1:9" ht="15" customHeight="1" x14ac:dyDescent="0.2">
      <c r="A37" s="93">
        <v>36</v>
      </c>
      <c r="B37" s="94" t="s">
        <v>220</v>
      </c>
      <c r="C37" s="140">
        <v>1</v>
      </c>
      <c r="D37" s="140">
        <v>0</v>
      </c>
      <c r="E37" s="140">
        <v>0</v>
      </c>
      <c r="F37" s="140">
        <v>0</v>
      </c>
      <c r="G37" s="140">
        <v>0</v>
      </c>
      <c r="H37" s="140">
        <v>0</v>
      </c>
      <c r="I37" s="142">
        <f t="shared" si="0"/>
        <v>1</v>
      </c>
    </row>
    <row r="38" spans="1:9" ht="15" customHeight="1" x14ac:dyDescent="0.2">
      <c r="A38" s="93">
        <v>37</v>
      </c>
      <c r="B38" s="94" t="s">
        <v>221</v>
      </c>
      <c r="C38" s="140">
        <v>0</v>
      </c>
      <c r="D38" s="140">
        <v>1</v>
      </c>
      <c r="E38" s="140">
        <v>0</v>
      </c>
      <c r="F38" s="140">
        <v>0</v>
      </c>
      <c r="G38" s="140">
        <v>0</v>
      </c>
      <c r="H38" s="140">
        <v>0</v>
      </c>
      <c r="I38" s="142">
        <f t="shared" si="0"/>
        <v>1</v>
      </c>
    </row>
    <row r="39" spans="1:9" ht="15" customHeight="1" x14ac:dyDescent="0.2">
      <c r="A39" s="93">
        <v>38</v>
      </c>
      <c r="B39" s="94" t="s">
        <v>222</v>
      </c>
      <c r="C39" s="140">
        <v>0</v>
      </c>
      <c r="D39" s="140">
        <v>0</v>
      </c>
      <c r="E39" s="140">
        <v>1</v>
      </c>
      <c r="F39" s="140">
        <v>0</v>
      </c>
      <c r="G39" s="140">
        <v>0</v>
      </c>
      <c r="H39" s="140">
        <v>0</v>
      </c>
      <c r="I39" s="142">
        <f t="shared" si="0"/>
        <v>1</v>
      </c>
    </row>
    <row r="40" spans="1:9" ht="15" customHeight="1" x14ac:dyDescent="0.2">
      <c r="A40" s="93">
        <v>39</v>
      </c>
      <c r="B40" s="94" t="s">
        <v>223</v>
      </c>
      <c r="C40" s="140">
        <v>0</v>
      </c>
      <c r="D40" s="140">
        <v>0</v>
      </c>
      <c r="E40" s="140">
        <v>0</v>
      </c>
      <c r="F40" s="140">
        <v>1</v>
      </c>
      <c r="G40" s="140">
        <v>0</v>
      </c>
      <c r="H40" s="140">
        <v>0</v>
      </c>
      <c r="I40" s="142">
        <f t="shared" si="0"/>
        <v>1</v>
      </c>
    </row>
    <row r="41" spans="1:9" ht="15" customHeight="1" x14ac:dyDescent="0.2">
      <c r="A41" s="93">
        <v>40</v>
      </c>
      <c r="B41" s="94" t="s">
        <v>224</v>
      </c>
      <c r="C41" s="140">
        <v>0</v>
      </c>
      <c r="D41" s="140">
        <v>0</v>
      </c>
      <c r="E41" s="140">
        <v>0</v>
      </c>
      <c r="F41" s="140">
        <v>1</v>
      </c>
      <c r="G41" s="140">
        <v>0</v>
      </c>
      <c r="H41" s="140">
        <v>0</v>
      </c>
      <c r="I41" s="142">
        <f t="shared" si="0"/>
        <v>1</v>
      </c>
    </row>
    <row r="42" spans="1:9" ht="15" customHeight="1" x14ac:dyDescent="0.2">
      <c r="A42" s="93">
        <v>41</v>
      </c>
      <c r="B42" s="94" t="s">
        <v>225</v>
      </c>
      <c r="C42" s="140">
        <v>0</v>
      </c>
      <c r="D42" s="140">
        <v>0</v>
      </c>
      <c r="E42" s="140">
        <v>0</v>
      </c>
      <c r="F42" s="140">
        <v>1</v>
      </c>
      <c r="G42" s="140">
        <v>0</v>
      </c>
      <c r="H42" s="140">
        <v>0</v>
      </c>
      <c r="I42" s="142">
        <f t="shared" si="0"/>
        <v>1</v>
      </c>
    </row>
    <row r="43" spans="1:9" ht="15" customHeight="1" x14ac:dyDescent="0.2">
      <c r="A43" s="93">
        <v>42</v>
      </c>
      <c r="B43" s="94" t="s">
        <v>227</v>
      </c>
      <c r="C43" s="140">
        <v>0</v>
      </c>
      <c r="D43" s="140">
        <v>0</v>
      </c>
      <c r="E43" s="140">
        <v>0</v>
      </c>
      <c r="F43" s="140">
        <v>0</v>
      </c>
      <c r="G43" s="140">
        <v>1</v>
      </c>
      <c r="H43" s="140">
        <v>0</v>
      </c>
      <c r="I43" s="142">
        <f t="shared" ref="I43:I44" si="6">SUM(C43:H43)</f>
        <v>1</v>
      </c>
    </row>
    <row r="44" spans="1:9" ht="15" customHeight="1" x14ac:dyDescent="0.2">
      <c r="A44" s="93">
        <v>43</v>
      </c>
      <c r="B44" s="94" t="s">
        <v>125</v>
      </c>
      <c r="C44" s="140">
        <v>0</v>
      </c>
      <c r="D44" s="140">
        <v>0</v>
      </c>
      <c r="E44" s="140">
        <v>0</v>
      </c>
      <c r="F44" s="140">
        <v>0</v>
      </c>
      <c r="G44" s="140">
        <v>0</v>
      </c>
      <c r="H44" s="140">
        <v>1</v>
      </c>
      <c r="I44" s="142">
        <f t="shared" si="6"/>
        <v>1</v>
      </c>
    </row>
    <row r="45" spans="1:9" ht="15" customHeight="1" x14ac:dyDescent="0.2">
      <c r="A45" s="93">
        <v>44</v>
      </c>
      <c r="B45" s="94" t="s">
        <v>226</v>
      </c>
      <c r="C45" s="140">
        <f>1/3</f>
        <v>0.33333333333333331</v>
      </c>
      <c r="D45" s="140">
        <f t="shared" ref="D45:E45" si="7">1/3</f>
        <v>0.33333333333333331</v>
      </c>
      <c r="E45" s="140">
        <f t="shared" si="7"/>
        <v>0.33333333333333331</v>
      </c>
      <c r="F45" s="140">
        <v>0</v>
      </c>
      <c r="G45" s="140">
        <v>0</v>
      </c>
      <c r="H45" s="140">
        <v>0</v>
      </c>
      <c r="I45" s="142">
        <f>SUM(C45:H45)</f>
        <v>1</v>
      </c>
    </row>
    <row r="46" spans="1:9" ht="15" customHeight="1" x14ac:dyDescent="0.2">
      <c r="C46" s="93"/>
      <c r="D46" s="93"/>
      <c r="E46" s="93"/>
    </row>
    <row r="47" spans="1:9" ht="15" customHeight="1" x14ac:dyDescent="0.2">
      <c r="C47" s="93"/>
      <c r="D47" s="93"/>
      <c r="E47" s="93"/>
    </row>
    <row r="48" spans="1:9" ht="15" customHeight="1" x14ac:dyDescent="0.2">
      <c r="C48" s="93"/>
      <c r="D48" s="93"/>
      <c r="E48" s="93"/>
    </row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M176"/>
  <sheetViews>
    <sheetView workbookViewId="0">
      <pane xSplit="2" ySplit="1" topLeftCell="C30" activePane="bottomRight" state="frozen"/>
      <selection pane="topRight" activeCell="D1" sqref="D1"/>
      <selection pane="bottomLeft" activeCell="A2" sqref="A2"/>
      <selection pane="bottomRight" activeCell="B2" sqref="B2:B44"/>
    </sheetView>
  </sheetViews>
  <sheetFormatPr baseColWidth="10" defaultColWidth="8.83203125" defaultRowHeight="16" x14ac:dyDescent="0.2"/>
  <cols>
    <col min="1" max="1" width="12.6640625" style="93" customWidth="1"/>
    <col min="2" max="2" width="30.5" style="93" bestFit="1" customWidth="1"/>
    <col min="3" max="3" width="26.83203125" style="140" customWidth="1"/>
    <col min="4" max="4" width="8.1640625" style="93" bestFit="1" customWidth="1"/>
    <col min="5" max="6" width="8.83203125" style="93"/>
    <col min="7" max="7" width="29.6640625" style="93" bestFit="1" customWidth="1"/>
    <col min="8" max="16384" width="8.83203125" style="93"/>
  </cols>
  <sheetData>
    <row r="1" spans="1:13" s="144" customFormat="1" ht="34" x14ac:dyDescent="0.2">
      <c r="A1" s="139" t="s">
        <v>22</v>
      </c>
      <c r="B1" s="143" t="s">
        <v>0</v>
      </c>
      <c r="C1" s="140" t="s">
        <v>226</v>
      </c>
      <c r="D1" s="144" t="s">
        <v>12</v>
      </c>
      <c r="F1" s="93"/>
      <c r="G1" s="93"/>
      <c r="H1" s="93"/>
      <c r="I1" s="93"/>
      <c r="J1" s="93"/>
      <c r="K1" s="93"/>
      <c r="L1" s="93"/>
      <c r="M1" s="93"/>
    </row>
    <row r="2" spans="1:13" ht="15" customHeight="1" x14ac:dyDescent="0.2">
      <c r="A2" s="93">
        <v>1</v>
      </c>
      <c r="B2" s="94" t="s">
        <v>185</v>
      </c>
      <c r="C2" s="201">
        <v>4.0000000000000001E-3</v>
      </c>
      <c r="D2" s="145">
        <f t="shared" ref="D2:D44" si="0">SUM(C2:C2)</f>
        <v>4.0000000000000001E-3</v>
      </c>
    </row>
    <row r="3" spans="1:13" ht="15" customHeight="1" x14ac:dyDescent="0.2">
      <c r="A3" s="93">
        <v>2</v>
      </c>
      <c r="B3" s="94" t="s">
        <v>186</v>
      </c>
      <c r="C3" s="201">
        <v>4.0000000000000001E-3</v>
      </c>
      <c r="D3" s="145">
        <f t="shared" si="0"/>
        <v>4.0000000000000001E-3</v>
      </c>
    </row>
    <row r="4" spans="1:13" ht="15" customHeight="1" x14ac:dyDescent="0.2">
      <c r="A4" s="93">
        <v>3</v>
      </c>
      <c r="B4" s="94" t="s">
        <v>187</v>
      </c>
      <c r="C4" s="140">
        <v>0</v>
      </c>
      <c r="D4" s="145">
        <f t="shared" si="0"/>
        <v>0</v>
      </c>
    </row>
    <row r="5" spans="1:13" ht="15" customHeight="1" x14ac:dyDescent="0.2">
      <c r="A5" s="93">
        <v>4</v>
      </c>
      <c r="B5" s="94" t="s">
        <v>188</v>
      </c>
      <c r="C5" s="140">
        <v>0.01</v>
      </c>
      <c r="D5" s="145">
        <f t="shared" si="0"/>
        <v>0.01</v>
      </c>
    </row>
    <row r="6" spans="1:13" ht="15" customHeight="1" x14ac:dyDescent="0.2">
      <c r="A6" s="93">
        <v>5</v>
      </c>
      <c r="B6" s="94" t="s">
        <v>189</v>
      </c>
      <c r="C6" s="140">
        <v>0.01</v>
      </c>
      <c r="D6" s="145">
        <f t="shared" si="0"/>
        <v>0.01</v>
      </c>
    </row>
    <row r="7" spans="1:13" ht="15" customHeight="1" x14ac:dyDescent="0.2">
      <c r="A7" s="93">
        <v>6</v>
      </c>
      <c r="B7" s="94" t="s">
        <v>190</v>
      </c>
      <c r="C7" s="140">
        <v>0.03</v>
      </c>
      <c r="D7" s="145">
        <f t="shared" si="0"/>
        <v>0.03</v>
      </c>
    </row>
    <row r="8" spans="1:13" ht="15" customHeight="1" x14ac:dyDescent="0.2">
      <c r="A8" s="93">
        <v>7</v>
      </c>
      <c r="B8" s="94" t="s">
        <v>191</v>
      </c>
      <c r="C8" s="140">
        <v>0.02</v>
      </c>
      <c r="D8" s="145">
        <f t="shared" si="0"/>
        <v>0.02</v>
      </c>
    </row>
    <row r="9" spans="1:13" ht="15" customHeight="1" x14ac:dyDescent="0.2">
      <c r="A9" s="93">
        <v>8</v>
      </c>
      <c r="B9" s="94" t="s">
        <v>192</v>
      </c>
      <c r="C9" s="140">
        <v>0.06</v>
      </c>
      <c r="D9" s="145">
        <f t="shared" si="0"/>
        <v>0.06</v>
      </c>
    </row>
    <row r="10" spans="1:13" ht="15" customHeight="1" x14ac:dyDescent="0.2">
      <c r="A10" s="93">
        <v>9</v>
      </c>
      <c r="B10" s="94" t="s">
        <v>193</v>
      </c>
      <c r="C10" s="201">
        <v>0.13500000000000001</v>
      </c>
      <c r="D10" s="145">
        <f t="shared" si="0"/>
        <v>0.13500000000000001</v>
      </c>
      <c r="F10" s="95" t="s">
        <v>230</v>
      </c>
    </row>
    <row r="11" spans="1:13" ht="15" customHeight="1" x14ac:dyDescent="0.2">
      <c r="A11" s="93">
        <v>10</v>
      </c>
      <c r="B11" s="94" t="s">
        <v>194</v>
      </c>
      <c r="C11" s="140">
        <v>0.2</v>
      </c>
      <c r="D11" s="145">
        <f t="shared" si="0"/>
        <v>0.2</v>
      </c>
    </row>
    <row r="12" spans="1:13" ht="15" customHeight="1" x14ac:dyDescent="0.2">
      <c r="A12" s="93">
        <v>11</v>
      </c>
      <c r="B12" s="94" t="s">
        <v>195</v>
      </c>
      <c r="C12" s="140">
        <v>0.46</v>
      </c>
      <c r="D12" s="145">
        <f t="shared" si="0"/>
        <v>0.46</v>
      </c>
    </row>
    <row r="13" spans="1:13" ht="15" customHeight="1" x14ac:dyDescent="0.2">
      <c r="A13" s="93">
        <v>12</v>
      </c>
      <c r="B13" s="94" t="s">
        <v>196</v>
      </c>
      <c r="C13" s="140">
        <v>0.25</v>
      </c>
      <c r="D13" s="145">
        <f t="shared" si="0"/>
        <v>0.25</v>
      </c>
    </row>
    <row r="14" spans="1:13" ht="15" customHeight="1" x14ac:dyDescent="0.2">
      <c r="A14" s="93">
        <v>13</v>
      </c>
      <c r="B14" s="94" t="s">
        <v>197</v>
      </c>
      <c r="C14" s="140">
        <v>0.11</v>
      </c>
      <c r="D14" s="145">
        <f t="shared" si="0"/>
        <v>0.11</v>
      </c>
    </row>
    <row r="15" spans="1:13" ht="15" customHeight="1" x14ac:dyDescent="0.2">
      <c r="A15" s="93">
        <v>14</v>
      </c>
      <c r="B15" s="94" t="s">
        <v>198</v>
      </c>
      <c r="C15" s="140">
        <v>0.04</v>
      </c>
      <c r="D15" s="145">
        <f t="shared" si="0"/>
        <v>0.04</v>
      </c>
    </row>
    <row r="16" spans="1:13" ht="15" customHeight="1" x14ac:dyDescent="0.2">
      <c r="A16" s="93">
        <v>15</v>
      </c>
      <c r="B16" s="94" t="s">
        <v>199</v>
      </c>
      <c r="C16" s="140">
        <v>0.04</v>
      </c>
      <c r="D16" s="145">
        <f t="shared" si="0"/>
        <v>0.04</v>
      </c>
    </row>
    <row r="17" spans="1:6" ht="15" customHeight="1" x14ac:dyDescent="0.2">
      <c r="A17" s="93">
        <v>16</v>
      </c>
      <c r="B17" s="94" t="s">
        <v>200</v>
      </c>
      <c r="C17" s="201">
        <v>1.7000000000000001E-2</v>
      </c>
      <c r="D17" s="145">
        <f t="shared" si="0"/>
        <v>1.7000000000000001E-2</v>
      </c>
      <c r="F17" s="95" t="s">
        <v>229</v>
      </c>
    </row>
    <row r="18" spans="1:6" ht="15" customHeight="1" x14ac:dyDescent="0.2">
      <c r="A18" s="93">
        <v>17</v>
      </c>
      <c r="B18" s="94" t="s">
        <v>201</v>
      </c>
      <c r="C18" s="140">
        <v>0.08</v>
      </c>
      <c r="D18" s="145">
        <f t="shared" si="0"/>
        <v>0.08</v>
      </c>
    </row>
    <row r="19" spans="1:6" ht="15" customHeight="1" x14ac:dyDescent="0.2">
      <c r="A19" s="93">
        <v>18</v>
      </c>
      <c r="B19" s="94" t="s">
        <v>202</v>
      </c>
      <c r="C19" s="140">
        <v>0.03</v>
      </c>
      <c r="D19" s="145">
        <f t="shared" si="0"/>
        <v>0.03</v>
      </c>
    </row>
    <row r="20" spans="1:6" ht="15" customHeight="1" x14ac:dyDescent="0.2">
      <c r="A20" s="93">
        <v>19</v>
      </c>
      <c r="B20" s="94" t="s">
        <v>203</v>
      </c>
      <c r="C20" s="140">
        <v>0.03</v>
      </c>
      <c r="D20" s="145">
        <f t="shared" si="0"/>
        <v>0.03</v>
      </c>
    </row>
    <row r="21" spans="1:6" ht="15" customHeight="1" x14ac:dyDescent="0.2">
      <c r="A21" s="93">
        <v>20</v>
      </c>
      <c r="B21" s="94" t="s">
        <v>204</v>
      </c>
      <c r="C21" s="201">
        <v>4.0000000000000001E-3</v>
      </c>
      <c r="D21" s="145">
        <f t="shared" si="0"/>
        <v>4.0000000000000001E-3</v>
      </c>
    </row>
    <row r="22" spans="1:6" ht="15" customHeight="1" x14ac:dyDescent="0.2">
      <c r="A22" s="93">
        <v>21</v>
      </c>
      <c r="B22" s="94" t="s">
        <v>205</v>
      </c>
      <c r="C22" s="201">
        <v>4.0000000000000001E-3</v>
      </c>
      <c r="D22" s="145">
        <f t="shared" si="0"/>
        <v>4.0000000000000001E-3</v>
      </c>
    </row>
    <row r="23" spans="1:6" ht="15" customHeight="1" x14ac:dyDescent="0.2">
      <c r="A23" s="93">
        <v>22</v>
      </c>
      <c r="B23" s="94" t="s">
        <v>206</v>
      </c>
      <c r="C23" s="140">
        <v>0.01</v>
      </c>
      <c r="D23" s="145">
        <f t="shared" si="0"/>
        <v>0.01</v>
      </c>
    </row>
    <row r="24" spans="1:6" ht="15" customHeight="1" x14ac:dyDescent="0.2">
      <c r="A24" s="93">
        <v>23</v>
      </c>
      <c r="B24" s="94" t="s">
        <v>207</v>
      </c>
      <c r="C24" s="140">
        <v>0.02</v>
      </c>
      <c r="D24" s="145">
        <f t="shared" si="0"/>
        <v>0.02</v>
      </c>
    </row>
    <row r="25" spans="1:6" ht="15" customHeight="1" x14ac:dyDescent="0.2">
      <c r="A25" s="93">
        <v>24</v>
      </c>
      <c r="B25" s="94" t="s">
        <v>208</v>
      </c>
      <c r="C25" s="140">
        <v>0</v>
      </c>
      <c r="D25" s="145">
        <f t="shared" si="0"/>
        <v>0</v>
      </c>
    </row>
    <row r="26" spans="1:6" ht="15" customHeight="1" x14ac:dyDescent="0.2">
      <c r="A26" s="93">
        <v>25</v>
      </c>
      <c r="B26" s="94" t="s">
        <v>209</v>
      </c>
      <c r="C26" s="201">
        <v>4.0000000000000001E-3</v>
      </c>
      <c r="D26" s="145">
        <f t="shared" si="0"/>
        <v>4.0000000000000001E-3</v>
      </c>
    </row>
    <row r="27" spans="1:6" ht="15" customHeight="1" x14ac:dyDescent="0.2">
      <c r="A27" s="93">
        <v>26</v>
      </c>
      <c r="B27" s="94" t="s">
        <v>210</v>
      </c>
      <c r="C27" s="140">
        <v>0</v>
      </c>
      <c r="D27" s="145">
        <f t="shared" si="0"/>
        <v>0</v>
      </c>
    </row>
    <row r="28" spans="1:6" ht="15" customHeight="1" x14ac:dyDescent="0.2">
      <c r="A28" s="93">
        <v>27</v>
      </c>
      <c r="B28" s="94" t="s">
        <v>211</v>
      </c>
      <c r="C28" s="140">
        <v>0.11</v>
      </c>
      <c r="D28" s="145">
        <f t="shared" si="0"/>
        <v>0.11</v>
      </c>
    </row>
    <row r="29" spans="1:6" ht="15" customHeight="1" x14ac:dyDescent="0.2">
      <c r="A29" s="93">
        <v>28</v>
      </c>
      <c r="B29" s="94" t="s">
        <v>212</v>
      </c>
      <c r="C29" s="140">
        <v>0</v>
      </c>
      <c r="D29" s="145">
        <f t="shared" si="0"/>
        <v>0</v>
      </c>
    </row>
    <row r="30" spans="1:6" ht="15" customHeight="1" x14ac:dyDescent="0.2">
      <c r="A30" s="93">
        <v>29</v>
      </c>
      <c r="B30" s="94" t="s">
        <v>213</v>
      </c>
      <c r="C30" s="140">
        <v>0.01</v>
      </c>
      <c r="D30" s="145">
        <f t="shared" si="0"/>
        <v>0.01</v>
      </c>
    </row>
    <row r="31" spans="1:6" ht="15" customHeight="1" x14ac:dyDescent="0.2">
      <c r="A31" s="93">
        <v>30</v>
      </c>
      <c r="B31" s="94" t="s">
        <v>214</v>
      </c>
      <c r="C31" s="140">
        <v>0.01</v>
      </c>
      <c r="D31" s="145">
        <f t="shared" si="0"/>
        <v>0.01</v>
      </c>
    </row>
    <row r="32" spans="1:6" ht="15" customHeight="1" x14ac:dyDescent="0.2">
      <c r="A32" s="93">
        <v>31</v>
      </c>
      <c r="B32" s="94" t="s">
        <v>215</v>
      </c>
      <c r="C32" s="140">
        <v>0.03</v>
      </c>
      <c r="D32" s="145">
        <f t="shared" si="0"/>
        <v>0.03</v>
      </c>
    </row>
    <row r="33" spans="1:4" ht="15" customHeight="1" x14ac:dyDescent="0.2">
      <c r="A33" s="93">
        <v>32</v>
      </c>
      <c r="B33" s="94" t="s">
        <v>216</v>
      </c>
      <c r="C33" s="140">
        <v>0</v>
      </c>
      <c r="D33" s="145">
        <f t="shared" si="0"/>
        <v>0</v>
      </c>
    </row>
    <row r="34" spans="1:4" ht="15" customHeight="1" x14ac:dyDescent="0.2">
      <c r="A34" s="93">
        <v>33</v>
      </c>
      <c r="B34" s="94" t="s">
        <v>217</v>
      </c>
      <c r="C34" s="140">
        <v>0</v>
      </c>
      <c r="D34" s="145">
        <f t="shared" si="0"/>
        <v>0</v>
      </c>
    </row>
    <row r="35" spans="1:4" ht="15" customHeight="1" x14ac:dyDescent="0.2">
      <c r="A35" s="93">
        <v>34</v>
      </c>
      <c r="B35" s="94" t="s">
        <v>218</v>
      </c>
      <c r="C35" s="140">
        <v>0</v>
      </c>
      <c r="D35" s="145">
        <f t="shared" si="0"/>
        <v>0</v>
      </c>
    </row>
    <row r="36" spans="1:4" ht="15" customHeight="1" x14ac:dyDescent="0.2">
      <c r="A36" s="93">
        <v>35</v>
      </c>
      <c r="B36" s="94" t="s">
        <v>219</v>
      </c>
      <c r="C36" s="140">
        <v>0</v>
      </c>
      <c r="D36" s="145">
        <f t="shared" si="0"/>
        <v>0</v>
      </c>
    </row>
    <row r="37" spans="1:4" ht="15" customHeight="1" x14ac:dyDescent="0.2">
      <c r="A37" s="93">
        <v>36</v>
      </c>
      <c r="B37" s="94" t="s">
        <v>220</v>
      </c>
      <c r="C37" s="140">
        <v>0</v>
      </c>
      <c r="D37" s="145">
        <f t="shared" si="0"/>
        <v>0</v>
      </c>
    </row>
    <row r="38" spans="1:4" ht="15" customHeight="1" x14ac:dyDescent="0.2">
      <c r="A38" s="93">
        <v>37</v>
      </c>
      <c r="B38" s="94" t="s">
        <v>221</v>
      </c>
      <c r="C38" s="140">
        <v>0</v>
      </c>
      <c r="D38" s="145">
        <f t="shared" si="0"/>
        <v>0</v>
      </c>
    </row>
    <row r="39" spans="1:4" ht="15" customHeight="1" x14ac:dyDescent="0.2">
      <c r="A39" s="93">
        <v>38</v>
      </c>
      <c r="B39" s="94" t="s">
        <v>222</v>
      </c>
      <c r="C39" s="140">
        <v>0</v>
      </c>
      <c r="D39" s="145">
        <f t="shared" si="0"/>
        <v>0</v>
      </c>
    </row>
    <row r="40" spans="1:4" ht="15" customHeight="1" x14ac:dyDescent="0.2">
      <c r="A40" s="93">
        <v>39</v>
      </c>
      <c r="B40" s="94" t="s">
        <v>223</v>
      </c>
      <c r="C40" s="140">
        <v>0</v>
      </c>
      <c r="D40" s="145">
        <f t="shared" si="0"/>
        <v>0</v>
      </c>
    </row>
    <row r="41" spans="1:4" ht="15" customHeight="1" x14ac:dyDescent="0.2">
      <c r="A41" s="93">
        <v>40</v>
      </c>
      <c r="B41" s="94" t="s">
        <v>224</v>
      </c>
      <c r="C41" s="140">
        <v>0</v>
      </c>
      <c r="D41" s="145">
        <f t="shared" si="0"/>
        <v>0</v>
      </c>
    </row>
    <row r="42" spans="1:4" ht="15" customHeight="1" x14ac:dyDescent="0.2">
      <c r="A42" s="93">
        <v>41</v>
      </c>
      <c r="B42" s="94" t="s">
        <v>225</v>
      </c>
      <c r="C42" s="140">
        <v>0</v>
      </c>
      <c r="D42" s="145">
        <f t="shared" si="0"/>
        <v>0</v>
      </c>
    </row>
    <row r="43" spans="1:4" ht="15" customHeight="1" x14ac:dyDescent="0.2">
      <c r="A43" s="93">
        <v>42</v>
      </c>
      <c r="B43" s="94" t="s">
        <v>227</v>
      </c>
      <c r="C43" s="140">
        <v>0</v>
      </c>
      <c r="D43" s="145">
        <f t="shared" si="0"/>
        <v>0</v>
      </c>
    </row>
    <row r="44" spans="1:4" ht="15" customHeight="1" x14ac:dyDescent="0.2">
      <c r="A44" s="93">
        <v>43</v>
      </c>
      <c r="B44" s="94" t="s">
        <v>125</v>
      </c>
      <c r="C44" s="140">
        <v>0</v>
      </c>
      <c r="D44" s="145">
        <f t="shared" si="0"/>
        <v>0</v>
      </c>
    </row>
    <row r="45" spans="1:4" ht="15" customHeight="1" x14ac:dyDescent="0.2"/>
    <row r="46" spans="1:4" ht="15" customHeight="1" x14ac:dyDescent="0.2"/>
    <row r="47" spans="1:4" ht="15" customHeight="1" x14ac:dyDescent="0.2"/>
    <row r="48" spans="1:4" ht="15" customHeight="1" x14ac:dyDescent="0.2"/>
    <row r="49" ht="15" customHeight="1" x14ac:dyDescent="0.2"/>
    <row r="50" ht="15" customHeight="1" x14ac:dyDescent="0.2"/>
    <row r="51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5" ht="15" customHeight="1" x14ac:dyDescent="0.2"/>
    <row r="176" ht="15" customHeight="1" x14ac:dyDescent="0.2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M5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36" sqref="F36"/>
    </sheetView>
  </sheetViews>
  <sheetFormatPr baseColWidth="10" defaultColWidth="8.83203125" defaultRowHeight="16" x14ac:dyDescent="0.2"/>
  <cols>
    <col min="1" max="1" width="12.6640625" style="93" customWidth="1"/>
    <col min="2" max="2" width="36.33203125" style="93" bestFit="1" customWidth="1"/>
    <col min="3" max="3" width="26.83203125" style="202" customWidth="1"/>
    <col min="4" max="4" width="8.1640625" style="93" bestFit="1" customWidth="1"/>
    <col min="5" max="7" width="26.83203125" customWidth="1"/>
    <col min="8" max="8" width="8.1640625" bestFit="1" customWidth="1"/>
    <col min="14" max="16384" width="8.83203125" style="93"/>
  </cols>
  <sheetData>
    <row r="1" spans="1:13" s="144" customFormat="1" ht="34" x14ac:dyDescent="0.2">
      <c r="A1" s="139" t="s">
        <v>23</v>
      </c>
      <c r="B1" s="143" t="s">
        <v>0</v>
      </c>
      <c r="C1" s="202" t="s">
        <v>226</v>
      </c>
      <c r="D1" s="144" t="s">
        <v>12</v>
      </c>
      <c r="E1"/>
      <c r="F1"/>
      <c r="G1"/>
      <c r="H1"/>
      <c r="I1"/>
      <c r="J1"/>
      <c r="K1"/>
      <c r="L1"/>
      <c r="M1"/>
    </row>
    <row r="2" spans="1:13" ht="15" customHeight="1" x14ac:dyDescent="0.2">
      <c r="A2" s="93">
        <v>1</v>
      </c>
      <c r="B2" s="94" t="s">
        <v>185</v>
      </c>
      <c r="C2" s="202">
        <v>0</v>
      </c>
      <c r="D2" s="145">
        <f t="shared" ref="D2:D44" si="0">SUM(C2:C2)</f>
        <v>0</v>
      </c>
    </row>
    <row r="3" spans="1:13" ht="15" customHeight="1" x14ac:dyDescent="0.2">
      <c r="A3" s="93">
        <v>2</v>
      </c>
      <c r="B3" s="94" t="s">
        <v>186</v>
      </c>
      <c r="C3" s="202">
        <v>0</v>
      </c>
      <c r="D3" s="145">
        <f t="shared" si="0"/>
        <v>0</v>
      </c>
    </row>
    <row r="4" spans="1:13" ht="15" customHeight="1" x14ac:dyDescent="0.2">
      <c r="A4" s="93">
        <v>3</v>
      </c>
      <c r="B4" s="94" t="s">
        <v>187</v>
      </c>
      <c r="C4" s="202">
        <v>0</v>
      </c>
      <c r="D4" s="145">
        <f t="shared" si="0"/>
        <v>0</v>
      </c>
    </row>
    <row r="5" spans="1:13" ht="15" customHeight="1" x14ac:dyDescent="0.2">
      <c r="A5" s="93">
        <v>4</v>
      </c>
      <c r="B5" s="94" t="s">
        <v>188</v>
      </c>
      <c r="C5" s="202">
        <v>0</v>
      </c>
      <c r="D5" s="145">
        <f t="shared" si="0"/>
        <v>0</v>
      </c>
    </row>
    <row r="6" spans="1:13" ht="15" customHeight="1" x14ac:dyDescent="0.2">
      <c r="A6" s="93">
        <v>5</v>
      </c>
      <c r="B6" s="94" t="s">
        <v>189</v>
      </c>
      <c r="C6" s="202">
        <v>0</v>
      </c>
      <c r="D6" s="145">
        <f t="shared" si="0"/>
        <v>0</v>
      </c>
    </row>
    <row r="7" spans="1:13" ht="15" customHeight="1" x14ac:dyDescent="0.2">
      <c r="A7" s="93">
        <v>6</v>
      </c>
      <c r="B7" s="94" t="s">
        <v>190</v>
      </c>
      <c r="C7" s="202">
        <v>0</v>
      </c>
      <c r="D7" s="145">
        <f t="shared" si="0"/>
        <v>0</v>
      </c>
    </row>
    <row r="8" spans="1:13" ht="15" customHeight="1" x14ac:dyDescent="0.2">
      <c r="A8" s="93">
        <v>7</v>
      </c>
      <c r="B8" s="94" t="s">
        <v>191</v>
      </c>
      <c r="C8" s="202">
        <v>0</v>
      </c>
      <c r="D8" s="145">
        <f t="shared" si="0"/>
        <v>0</v>
      </c>
    </row>
    <row r="9" spans="1:13" ht="15" customHeight="1" x14ac:dyDescent="0.2">
      <c r="A9" s="93">
        <v>8</v>
      </c>
      <c r="B9" s="94" t="s">
        <v>192</v>
      </c>
      <c r="C9" s="202">
        <v>0</v>
      </c>
      <c r="D9" s="145">
        <f t="shared" si="0"/>
        <v>0</v>
      </c>
    </row>
    <row r="10" spans="1:13" ht="15" customHeight="1" x14ac:dyDescent="0.2">
      <c r="A10" s="93">
        <v>9</v>
      </c>
      <c r="B10" s="94" t="s">
        <v>193</v>
      </c>
      <c r="C10" s="202">
        <v>0</v>
      </c>
      <c r="D10" s="145">
        <f t="shared" si="0"/>
        <v>0</v>
      </c>
    </row>
    <row r="11" spans="1:13" ht="15" customHeight="1" x14ac:dyDescent="0.2">
      <c r="A11" s="93">
        <v>10</v>
      </c>
      <c r="B11" s="94" t="s">
        <v>194</v>
      </c>
      <c r="C11" s="202">
        <v>0</v>
      </c>
      <c r="D11" s="145">
        <f t="shared" si="0"/>
        <v>0</v>
      </c>
    </row>
    <row r="12" spans="1:13" ht="15" customHeight="1" x14ac:dyDescent="0.2">
      <c r="A12" s="93">
        <v>11</v>
      </c>
      <c r="B12" s="94" t="s">
        <v>195</v>
      </c>
      <c r="C12" s="202">
        <v>0</v>
      </c>
      <c r="D12" s="145">
        <f t="shared" si="0"/>
        <v>0</v>
      </c>
    </row>
    <row r="13" spans="1:13" ht="15" customHeight="1" x14ac:dyDescent="0.2">
      <c r="A13" s="93">
        <v>12</v>
      </c>
      <c r="B13" s="94" t="s">
        <v>196</v>
      </c>
      <c r="C13" s="202">
        <v>0</v>
      </c>
      <c r="D13" s="145">
        <f t="shared" si="0"/>
        <v>0</v>
      </c>
    </row>
    <row r="14" spans="1:13" ht="15" customHeight="1" x14ac:dyDescent="0.2">
      <c r="A14" s="93">
        <v>13</v>
      </c>
      <c r="B14" s="94" t="s">
        <v>197</v>
      </c>
      <c r="C14" s="202">
        <v>0</v>
      </c>
      <c r="D14" s="145">
        <f t="shared" si="0"/>
        <v>0</v>
      </c>
    </row>
    <row r="15" spans="1:13" ht="15" customHeight="1" x14ac:dyDescent="0.2">
      <c r="A15" s="93">
        <v>14</v>
      </c>
      <c r="B15" s="94" t="s">
        <v>198</v>
      </c>
      <c r="C15" s="202">
        <v>0</v>
      </c>
      <c r="D15" s="145">
        <f t="shared" si="0"/>
        <v>0</v>
      </c>
    </row>
    <row r="16" spans="1:13" ht="15" customHeight="1" x14ac:dyDescent="0.2">
      <c r="A16" s="93">
        <v>15</v>
      </c>
      <c r="B16" s="94" t="s">
        <v>199</v>
      </c>
      <c r="C16" s="202">
        <v>0</v>
      </c>
      <c r="D16" s="145">
        <f t="shared" si="0"/>
        <v>0</v>
      </c>
    </row>
    <row r="17" spans="1:4" ht="15" customHeight="1" x14ac:dyDescent="0.2">
      <c r="A17" s="93">
        <v>16</v>
      </c>
      <c r="B17" s="94" t="s">
        <v>200</v>
      </c>
      <c r="C17" s="202">
        <v>0</v>
      </c>
      <c r="D17" s="145">
        <f t="shared" si="0"/>
        <v>0</v>
      </c>
    </row>
    <row r="18" spans="1:4" ht="15" customHeight="1" x14ac:dyDescent="0.2">
      <c r="A18" s="93">
        <v>17</v>
      </c>
      <c r="B18" s="94" t="s">
        <v>201</v>
      </c>
      <c r="C18" s="202">
        <v>0</v>
      </c>
      <c r="D18" s="145">
        <f t="shared" si="0"/>
        <v>0</v>
      </c>
    </row>
    <row r="19" spans="1:4" ht="15" customHeight="1" x14ac:dyDescent="0.2">
      <c r="A19" s="93">
        <v>18</v>
      </c>
      <c r="B19" s="94" t="s">
        <v>202</v>
      </c>
      <c r="C19" s="202">
        <v>0</v>
      </c>
      <c r="D19" s="145">
        <f t="shared" si="0"/>
        <v>0</v>
      </c>
    </row>
    <row r="20" spans="1:4" ht="15" customHeight="1" x14ac:dyDescent="0.2">
      <c r="A20" s="93">
        <v>19</v>
      </c>
      <c r="B20" s="94" t="s">
        <v>203</v>
      </c>
      <c r="C20" s="202">
        <v>0</v>
      </c>
      <c r="D20" s="145">
        <f t="shared" si="0"/>
        <v>0</v>
      </c>
    </row>
    <row r="21" spans="1:4" ht="15" customHeight="1" x14ac:dyDescent="0.2">
      <c r="A21" s="93">
        <v>20</v>
      </c>
      <c r="B21" s="94" t="s">
        <v>204</v>
      </c>
      <c r="C21" s="202">
        <v>0</v>
      </c>
      <c r="D21" s="145">
        <f t="shared" si="0"/>
        <v>0</v>
      </c>
    </row>
    <row r="22" spans="1:4" ht="15" customHeight="1" x14ac:dyDescent="0.2">
      <c r="A22" s="93">
        <v>21</v>
      </c>
      <c r="B22" s="94" t="s">
        <v>205</v>
      </c>
      <c r="C22" s="202">
        <v>0</v>
      </c>
      <c r="D22" s="145">
        <f t="shared" si="0"/>
        <v>0</v>
      </c>
    </row>
    <row r="23" spans="1:4" ht="15" customHeight="1" x14ac:dyDescent="0.2">
      <c r="A23" s="93">
        <v>22</v>
      </c>
      <c r="B23" s="94" t="s">
        <v>206</v>
      </c>
      <c r="C23" s="202">
        <v>0</v>
      </c>
      <c r="D23" s="145">
        <f t="shared" si="0"/>
        <v>0</v>
      </c>
    </row>
    <row r="24" spans="1:4" ht="15" customHeight="1" x14ac:dyDescent="0.2">
      <c r="A24" s="93">
        <v>23</v>
      </c>
      <c r="B24" s="94" t="s">
        <v>207</v>
      </c>
      <c r="C24" s="202">
        <v>0</v>
      </c>
      <c r="D24" s="145">
        <f t="shared" si="0"/>
        <v>0</v>
      </c>
    </row>
    <row r="25" spans="1:4" ht="15" customHeight="1" x14ac:dyDescent="0.2">
      <c r="A25" s="93">
        <v>24</v>
      </c>
      <c r="B25" s="94" t="s">
        <v>208</v>
      </c>
      <c r="C25" s="202">
        <v>0</v>
      </c>
      <c r="D25" s="145">
        <f t="shared" si="0"/>
        <v>0</v>
      </c>
    </row>
    <row r="26" spans="1:4" ht="15" customHeight="1" x14ac:dyDescent="0.2">
      <c r="A26" s="93">
        <v>25</v>
      </c>
      <c r="B26" s="94" t="s">
        <v>209</v>
      </c>
      <c r="C26" s="202">
        <v>0</v>
      </c>
      <c r="D26" s="145">
        <f t="shared" si="0"/>
        <v>0</v>
      </c>
    </row>
    <row r="27" spans="1:4" ht="15" customHeight="1" x14ac:dyDescent="0.2">
      <c r="A27" s="93">
        <v>26</v>
      </c>
      <c r="B27" s="94" t="s">
        <v>210</v>
      </c>
      <c r="C27" s="202">
        <v>0</v>
      </c>
      <c r="D27" s="145">
        <f t="shared" si="0"/>
        <v>0</v>
      </c>
    </row>
    <row r="28" spans="1:4" ht="15" customHeight="1" x14ac:dyDescent="0.2">
      <c r="A28" s="93">
        <v>27</v>
      </c>
      <c r="B28" s="94" t="s">
        <v>211</v>
      </c>
      <c r="C28" s="202">
        <v>0</v>
      </c>
      <c r="D28" s="145">
        <f t="shared" si="0"/>
        <v>0</v>
      </c>
    </row>
    <row r="29" spans="1:4" ht="15" customHeight="1" x14ac:dyDescent="0.2">
      <c r="A29" s="93">
        <v>28</v>
      </c>
      <c r="B29" s="94" t="s">
        <v>212</v>
      </c>
      <c r="C29" s="202">
        <v>0</v>
      </c>
      <c r="D29" s="145">
        <f t="shared" si="0"/>
        <v>0</v>
      </c>
    </row>
    <row r="30" spans="1:4" ht="15" customHeight="1" x14ac:dyDescent="0.2">
      <c r="A30" s="93">
        <v>29</v>
      </c>
      <c r="B30" s="94" t="s">
        <v>213</v>
      </c>
      <c r="C30" s="202">
        <v>0</v>
      </c>
      <c r="D30" s="145">
        <f t="shared" si="0"/>
        <v>0</v>
      </c>
    </row>
    <row r="31" spans="1:4" ht="15" customHeight="1" x14ac:dyDescent="0.2">
      <c r="A31" s="93">
        <v>30</v>
      </c>
      <c r="B31" s="94" t="s">
        <v>214</v>
      </c>
      <c r="C31" s="202">
        <v>0</v>
      </c>
      <c r="D31" s="145">
        <f t="shared" si="0"/>
        <v>0</v>
      </c>
    </row>
    <row r="32" spans="1:4" ht="15" customHeight="1" x14ac:dyDescent="0.2">
      <c r="A32" s="93">
        <v>31</v>
      </c>
      <c r="B32" s="94" t="s">
        <v>215</v>
      </c>
      <c r="C32" s="202">
        <v>0</v>
      </c>
      <c r="D32" s="145">
        <f t="shared" si="0"/>
        <v>0</v>
      </c>
    </row>
    <row r="33" spans="1:4" ht="15" customHeight="1" x14ac:dyDescent="0.2">
      <c r="A33" s="93">
        <v>32</v>
      </c>
      <c r="B33" s="94" t="s">
        <v>216</v>
      </c>
      <c r="C33" s="202">
        <v>0</v>
      </c>
      <c r="D33" s="145">
        <f t="shared" si="0"/>
        <v>0</v>
      </c>
    </row>
    <row r="34" spans="1:4" ht="15" customHeight="1" x14ac:dyDescent="0.2">
      <c r="A34" s="93">
        <v>33</v>
      </c>
      <c r="B34" s="94" t="s">
        <v>217</v>
      </c>
      <c r="C34" s="202">
        <v>0</v>
      </c>
      <c r="D34" s="145">
        <f t="shared" si="0"/>
        <v>0</v>
      </c>
    </row>
    <row r="35" spans="1:4" ht="15" customHeight="1" x14ac:dyDescent="0.2">
      <c r="A35" s="93">
        <v>34</v>
      </c>
      <c r="B35" s="94" t="s">
        <v>218</v>
      </c>
      <c r="C35" s="202">
        <v>0</v>
      </c>
      <c r="D35" s="145">
        <f t="shared" si="0"/>
        <v>0</v>
      </c>
    </row>
    <row r="36" spans="1:4" ht="15" customHeight="1" x14ac:dyDescent="0.2">
      <c r="A36" s="93">
        <v>35</v>
      </c>
      <c r="B36" s="94" t="s">
        <v>219</v>
      </c>
      <c r="C36" s="202">
        <v>0</v>
      </c>
      <c r="D36" s="145">
        <f t="shared" si="0"/>
        <v>0</v>
      </c>
    </row>
    <row r="37" spans="1:4" ht="15" customHeight="1" x14ac:dyDescent="0.2">
      <c r="A37" s="93">
        <v>36</v>
      </c>
      <c r="B37" s="94" t="s">
        <v>220</v>
      </c>
      <c r="C37" s="202">
        <v>0</v>
      </c>
      <c r="D37" s="145">
        <f t="shared" si="0"/>
        <v>0</v>
      </c>
    </row>
    <row r="38" spans="1:4" ht="15" customHeight="1" x14ac:dyDescent="0.2">
      <c r="A38" s="93">
        <v>37</v>
      </c>
      <c r="B38" s="94" t="s">
        <v>221</v>
      </c>
      <c r="C38" s="202">
        <v>0</v>
      </c>
      <c r="D38" s="145">
        <f t="shared" si="0"/>
        <v>0</v>
      </c>
    </row>
    <row r="39" spans="1:4" ht="15" customHeight="1" x14ac:dyDescent="0.2">
      <c r="A39" s="93">
        <v>38</v>
      </c>
      <c r="B39" s="94" t="s">
        <v>222</v>
      </c>
      <c r="C39" s="202">
        <v>0</v>
      </c>
      <c r="D39" s="145">
        <f t="shared" si="0"/>
        <v>0</v>
      </c>
    </row>
    <row r="40" spans="1:4" ht="15" customHeight="1" x14ac:dyDescent="0.2">
      <c r="A40" s="93">
        <v>39</v>
      </c>
      <c r="B40" s="94" t="s">
        <v>223</v>
      </c>
      <c r="C40" s="202">
        <v>0</v>
      </c>
      <c r="D40" s="145">
        <f t="shared" si="0"/>
        <v>0</v>
      </c>
    </row>
    <row r="41" spans="1:4" ht="15" customHeight="1" x14ac:dyDescent="0.2">
      <c r="A41" s="93">
        <v>40</v>
      </c>
      <c r="B41" s="94" t="s">
        <v>224</v>
      </c>
      <c r="C41" s="202">
        <v>0</v>
      </c>
      <c r="D41" s="145">
        <f t="shared" si="0"/>
        <v>0</v>
      </c>
    </row>
    <row r="42" spans="1:4" ht="15" customHeight="1" x14ac:dyDescent="0.2">
      <c r="A42" s="93">
        <v>41</v>
      </c>
      <c r="B42" s="94" t="s">
        <v>225</v>
      </c>
      <c r="C42" s="202">
        <v>0</v>
      </c>
      <c r="D42" s="145">
        <f t="shared" si="0"/>
        <v>0</v>
      </c>
    </row>
    <row r="43" spans="1:4" ht="15" customHeight="1" x14ac:dyDescent="0.2">
      <c r="A43" s="93">
        <v>42</v>
      </c>
      <c r="B43" s="94" t="s">
        <v>227</v>
      </c>
      <c r="C43" s="202">
        <v>0</v>
      </c>
      <c r="D43" s="145">
        <f t="shared" si="0"/>
        <v>0</v>
      </c>
    </row>
    <row r="44" spans="1:4" ht="15" customHeight="1" x14ac:dyDescent="0.2">
      <c r="A44" s="93">
        <v>43</v>
      </c>
      <c r="B44" s="94" t="s">
        <v>125</v>
      </c>
      <c r="C44" s="202">
        <v>0</v>
      </c>
      <c r="D44" s="145">
        <f t="shared" si="0"/>
        <v>0</v>
      </c>
    </row>
    <row r="45" spans="1:4" customFormat="1" x14ac:dyDescent="0.2">
      <c r="C45" s="202"/>
      <c r="D45" s="93"/>
    </row>
    <row r="46" spans="1:4" customFormat="1" x14ac:dyDescent="0.2">
      <c r="C46" s="202"/>
      <c r="D46" s="93"/>
    </row>
    <row r="47" spans="1:4" customFormat="1" x14ac:dyDescent="0.2">
      <c r="C47" s="202"/>
      <c r="D47" s="93"/>
    </row>
    <row r="48" spans="1:4" customFormat="1" x14ac:dyDescent="0.2">
      <c r="C48" s="202"/>
      <c r="D48" s="93"/>
    </row>
    <row r="49" spans="3:4" customFormat="1" x14ac:dyDescent="0.2">
      <c r="C49" s="202"/>
      <c r="D49" s="93"/>
    </row>
    <row r="50" spans="3:4" customFormat="1" x14ac:dyDescent="0.2">
      <c r="C50" s="202"/>
      <c r="D50" s="93"/>
    </row>
    <row r="51" spans="3:4" customFormat="1" x14ac:dyDescent="0.2">
      <c r="C51" s="202"/>
      <c r="D51" s="93"/>
    </row>
    <row r="52" spans="3:4" customFormat="1" x14ac:dyDescent="0.2">
      <c r="C52" s="202"/>
      <c r="D52" s="93"/>
    </row>
    <row r="53" spans="3:4" customFormat="1" x14ac:dyDescent="0.2">
      <c r="C53" s="202"/>
      <c r="D53" s="93"/>
    </row>
    <row r="54" spans="3:4" customFormat="1" x14ac:dyDescent="0.2">
      <c r="C54" s="202"/>
      <c r="D54" s="93"/>
    </row>
    <row r="55" spans="3:4" customFormat="1" x14ac:dyDescent="0.2">
      <c r="C55" s="202"/>
      <c r="D55" s="93"/>
    </row>
    <row r="56" spans="3:4" customFormat="1" x14ac:dyDescent="0.2">
      <c r="C56" s="202"/>
      <c r="D56" s="9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0"/>
  <sheetViews>
    <sheetView topLeftCell="A28" workbookViewId="0">
      <selection activeCell="E48" sqref="E48"/>
    </sheetView>
  </sheetViews>
  <sheetFormatPr baseColWidth="10" defaultRowHeight="16" x14ac:dyDescent="0.2"/>
  <cols>
    <col min="1" max="1" width="17.33203125" style="93" bestFit="1" customWidth="1"/>
    <col min="2" max="4" width="10.83203125" style="93"/>
    <col min="5" max="5" width="39.83203125" style="93" bestFit="1" customWidth="1"/>
    <col min="6" max="6" width="8.1640625" style="93" bestFit="1" customWidth="1"/>
    <col min="7" max="7" width="7.5" style="93" bestFit="1" customWidth="1"/>
    <col min="8" max="8" width="8.6640625" style="93" bestFit="1" customWidth="1"/>
    <col min="9" max="9" width="8.83203125" style="93" bestFit="1" customWidth="1"/>
    <col min="10" max="10" width="8.83203125" style="140" bestFit="1" customWidth="1"/>
    <col min="11" max="11" width="8.6640625" style="140" bestFit="1" customWidth="1"/>
    <col min="12" max="12" width="12.33203125" style="93" bestFit="1" customWidth="1"/>
    <col min="13" max="13" width="13.5" style="93" bestFit="1" customWidth="1"/>
    <col min="14" max="14" width="13.83203125" style="93" bestFit="1" customWidth="1"/>
    <col min="15" max="15" width="13.6640625" style="93" bestFit="1" customWidth="1"/>
    <col min="16" max="16" width="13.5" style="93" bestFit="1" customWidth="1"/>
    <col min="17" max="17" width="12.83203125" style="93" bestFit="1" customWidth="1"/>
    <col min="18" max="18" width="14" style="93" bestFit="1" customWidth="1"/>
    <col min="19" max="20" width="14.1640625" style="93" bestFit="1" customWidth="1"/>
    <col min="21" max="21" width="14" style="93" bestFit="1" customWidth="1"/>
    <col min="22" max="22" width="8.6640625" style="93" bestFit="1" customWidth="1"/>
    <col min="23" max="23" width="8.83203125" style="93" bestFit="1" customWidth="1"/>
    <col min="24" max="24" width="14" style="93" bestFit="1" customWidth="1"/>
    <col min="25" max="25" width="21.33203125" style="115" bestFit="1" customWidth="1"/>
    <col min="26" max="26" width="13.6640625" style="93" bestFit="1" customWidth="1"/>
    <col min="27" max="27" width="13.83203125" style="93" bestFit="1" customWidth="1"/>
    <col min="28" max="28" width="19" style="93" bestFit="1" customWidth="1"/>
    <col min="29" max="29" width="26.33203125" style="115" bestFit="1" customWidth="1"/>
    <col min="30" max="30" width="14.1640625" style="93" bestFit="1" customWidth="1"/>
    <col min="31" max="31" width="14.33203125" style="93" bestFit="1" customWidth="1"/>
    <col min="32" max="32" width="19.5" style="93" bestFit="1" customWidth="1"/>
    <col min="33" max="33" width="26.83203125" style="115" bestFit="1" customWidth="1"/>
    <col min="34" max="34" width="24" style="93" bestFit="1" customWidth="1"/>
    <col min="35" max="35" width="30" style="93" bestFit="1" customWidth="1"/>
    <col min="36" max="36" width="19.1640625" style="93" bestFit="1" customWidth="1"/>
    <col min="37" max="37" width="25.5" style="93" bestFit="1" customWidth="1"/>
    <col min="38" max="38" width="31.5" style="93" bestFit="1" customWidth="1"/>
    <col min="39" max="39" width="20.6640625" style="93" bestFit="1" customWidth="1"/>
    <col min="40" max="40" width="25" style="93" bestFit="1" customWidth="1"/>
    <col min="41" max="41" width="31" style="93" bestFit="1" customWidth="1"/>
    <col min="42" max="42" width="20.1640625" style="93" bestFit="1" customWidth="1"/>
    <col min="43" max="16384" width="10.83203125" style="93"/>
  </cols>
  <sheetData>
    <row r="1" spans="1:42" s="146" customFormat="1" ht="17" thickBot="1" x14ac:dyDescent="0.25">
      <c r="D1" s="147" t="s">
        <v>8</v>
      </c>
      <c r="E1" s="147" t="s">
        <v>0</v>
      </c>
      <c r="F1" s="148" t="s">
        <v>101</v>
      </c>
      <c r="G1" s="149" t="s">
        <v>86</v>
      </c>
      <c r="H1" s="149" t="s">
        <v>87</v>
      </c>
      <c r="I1" s="149" t="s">
        <v>88</v>
      </c>
      <c r="J1" s="149" t="s">
        <v>89</v>
      </c>
      <c r="K1" s="149" t="s">
        <v>90</v>
      </c>
      <c r="L1" s="150" t="s">
        <v>91</v>
      </c>
      <c r="M1" s="150" t="s">
        <v>95</v>
      </c>
      <c r="N1" s="150" t="s">
        <v>94</v>
      </c>
      <c r="O1" s="150" t="s">
        <v>92</v>
      </c>
      <c r="P1" s="150" t="s">
        <v>93</v>
      </c>
      <c r="Q1" s="151" t="s">
        <v>96</v>
      </c>
      <c r="R1" s="151" t="s">
        <v>97</v>
      </c>
      <c r="S1" s="151" t="s">
        <v>98</v>
      </c>
      <c r="T1" s="151" t="s">
        <v>99</v>
      </c>
      <c r="U1" s="151" t="s">
        <v>100</v>
      </c>
      <c r="V1" s="149" t="s">
        <v>102</v>
      </c>
      <c r="W1" s="149" t="s">
        <v>103</v>
      </c>
      <c r="X1" s="149" t="s">
        <v>104</v>
      </c>
      <c r="Y1" s="149" t="s">
        <v>136</v>
      </c>
      <c r="Z1" s="150" t="s">
        <v>105</v>
      </c>
      <c r="AA1" s="150" t="s">
        <v>106</v>
      </c>
      <c r="AB1" s="150" t="s">
        <v>107</v>
      </c>
      <c r="AC1" s="152" t="s">
        <v>137</v>
      </c>
      <c r="AD1" s="151" t="s">
        <v>108</v>
      </c>
      <c r="AE1" s="151" t="s">
        <v>109</v>
      </c>
      <c r="AF1" s="151" t="s">
        <v>110</v>
      </c>
      <c r="AG1" s="151" t="s">
        <v>138</v>
      </c>
      <c r="AH1" s="149" t="s">
        <v>111</v>
      </c>
      <c r="AI1" s="149" t="s">
        <v>113</v>
      </c>
      <c r="AJ1" s="149" t="s">
        <v>112</v>
      </c>
      <c r="AK1" s="150" t="s">
        <v>117</v>
      </c>
      <c r="AL1" s="150" t="s">
        <v>118</v>
      </c>
      <c r="AM1" s="150" t="s">
        <v>119</v>
      </c>
      <c r="AN1" s="151" t="s">
        <v>114</v>
      </c>
      <c r="AO1" s="151" t="s">
        <v>115</v>
      </c>
      <c r="AP1" s="151" t="s">
        <v>116</v>
      </c>
    </row>
    <row r="2" spans="1:42" x14ac:dyDescent="0.2">
      <c r="A2" s="153" t="s">
        <v>76</v>
      </c>
      <c r="B2" s="154">
        <v>1</v>
      </c>
      <c r="D2" s="93">
        <v>1</v>
      </c>
      <c r="E2" s="94" t="s">
        <v>185</v>
      </c>
      <c r="F2" s="93">
        <v>0.995</v>
      </c>
      <c r="G2" s="155">
        <v>0.8</v>
      </c>
      <c r="H2" s="156">
        <v>0.5</v>
      </c>
      <c r="I2" s="156">
        <v>0.5</v>
      </c>
      <c r="J2" s="155">
        <v>0.3</v>
      </c>
      <c r="K2" s="155">
        <v>0.05</v>
      </c>
    </row>
    <row r="3" spans="1:42" x14ac:dyDescent="0.2">
      <c r="A3" s="153" t="s">
        <v>77</v>
      </c>
      <c r="B3" s="157">
        <v>1</v>
      </c>
      <c r="D3" s="93">
        <v>2</v>
      </c>
      <c r="E3" s="94" t="s">
        <v>186</v>
      </c>
      <c r="F3" s="93">
        <v>0.995</v>
      </c>
      <c r="G3" s="155">
        <v>0.8</v>
      </c>
      <c r="H3" s="156">
        <v>0.5</v>
      </c>
      <c r="I3" s="156">
        <v>0.5</v>
      </c>
      <c r="J3" s="155">
        <v>0.3</v>
      </c>
      <c r="K3" s="155">
        <v>0.05</v>
      </c>
    </row>
    <row r="4" spans="1:42" x14ac:dyDescent="0.2">
      <c r="A4" s="153" t="s">
        <v>78</v>
      </c>
      <c r="B4" s="157">
        <v>1</v>
      </c>
      <c r="D4" s="93">
        <v>3</v>
      </c>
      <c r="E4" s="94" t="s">
        <v>187</v>
      </c>
      <c r="F4" s="93">
        <v>0.995</v>
      </c>
      <c r="G4" s="155">
        <v>0.8</v>
      </c>
      <c r="H4" s="156">
        <v>0.5</v>
      </c>
      <c r="I4" s="156">
        <v>0.5</v>
      </c>
      <c r="J4" s="155">
        <v>0.3</v>
      </c>
      <c r="K4" s="155">
        <v>0.05</v>
      </c>
    </row>
    <row r="5" spans="1:42" x14ac:dyDescent="0.2">
      <c r="A5" s="153" t="s">
        <v>79</v>
      </c>
      <c r="B5" s="157">
        <v>1</v>
      </c>
      <c r="D5" s="93">
        <v>4</v>
      </c>
      <c r="E5" s="94" t="s">
        <v>188</v>
      </c>
      <c r="F5" s="93">
        <v>0.995</v>
      </c>
      <c r="G5" s="155">
        <v>0.8</v>
      </c>
      <c r="H5" s="156">
        <v>0.5</v>
      </c>
      <c r="I5" s="156">
        <v>0.5</v>
      </c>
      <c r="J5" s="155">
        <v>0.3</v>
      </c>
      <c r="K5" s="155">
        <v>0.05</v>
      </c>
    </row>
    <row r="6" spans="1:42" x14ac:dyDescent="0.2">
      <c r="A6" s="153" t="s">
        <v>80</v>
      </c>
      <c r="B6" s="157">
        <v>1</v>
      </c>
      <c r="D6" s="93">
        <v>5</v>
      </c>
      <c r="E6" s="94" t="s">
        <v>189</v>
      </c>
      <c r="F6" s="93">
        <v>0.995</v>
      </c>
      <c r="G6" s="155">
        <v>0.8</v>
      </c>
      <c r="H6" s="156">
        <v>0.5</v>
      </c>
      <c r="I6" s="156">
        <v>0.5</v>
      </c>
      <c r="J6" s="155">
        <v>0.3</v>
      </c>
      <c r="K6" s="155">
        <v>0.05</v>
      </c>
    </row>
    <row r="7" spans="1:42" x14ac:dyDescent="0.2">
      <c r="A7" s="153" t="s">
        <v>81</v>
      </c>
      <c r="B7" s="157">
        <v>1</v>
      </c>
      <c r="D7" s="93">
        <v>6</v>
      </c>
      <c r="E7" s="94" t="s">
        <v>190</v>
      </c>
      <c r="F7" s="93">
        <v>0.995</v>
      </c>
      <c r="G7" s="155">
        <v>0.8</v>
      </c>
      <c r="H7" s="156">
        <v>0.5</v>
      </c>
      <c r="I7" s="156">
        <v>0.5</v>
      </c>
      <c r="J7" s="155">
        <v>0.3</v>
      </c>
      <c r="K7" s="155">
        <v>0.05</v>
      </c>
    </row>
    <row r="8" spans="1:42" x14ac:dyDescent="0.2">
      <c r="A8" s="153" t="s">
        <v>82</v>
      </c>
      <c r="B8" s="157">
        <v>1</v>
      </c>
      <c r="D8" s="93">
        <v>7</v>
      </c>
      <c r="E8" s="94" t="s">
        <v>191</v>
      </c>
      <c r="F8" s="93">
        <v>0.995</v>
      </c>
      <c r="G8" s="155">
        <v>0.8</v>
      </c>
      <c r="H8" s="156">
        <v>0.5</v>
      </c>
      <c r="I8" s="156">
        <v>0.5</v>
      </c>
      <c r="J8" s="155">
        <v>0.3</v>
      </c>
      <c r="K8" s="155">
        <v>0.05</v>
      </c>
    </row>
    <row r="9" spans="1:42" x14ac:dyDescent="0.2">
      <c r="A9" s="153" t="s">
        <v>83</v>
      </c>
      <c r="B9" s="157">
        <v>0.1</v>
      </c>
      <c r="C9" s="95" t="s">
        <v>152</v>
      </c>
      <c r="D9" s="93">
        <v>8</v>
      </c>
      <c r="E9" s="94" t="s">
        <v>192</v>
      </c>
      <c r="F9" s="93">
        <v>0.995</v>
      </c>
      <c r="G9" s="155">
        <v>0.8</v>
      </c>
      <c r="H9" s="156">
        <v>0.5</v>
      </c>
      <c r="I9" s="156">
        <v>0.5</v>
      </c>
      <c r="J9" s="155">
        <v>0.3</v>
      </c>
      <c r="K9" s="155">
        <v>0.05</v>
      </c>
    </row>
    <row r="10" spans="1:42" ht="17" thickBot="1" x14ac:dyDescent="0.25">
      <c r="A10" s="153" t="s">
        <v>151</v>
      </c>
      <c r="B10" s="158">
        <f>1/3</f>
        <v>0.33333333333333331</v>
      </c>
      <c r="C10" s="95" t="s">
        <v>152</v>
      </c>
      <c r="D10" s="93">
        <v>9</v>
      </c>
      <c r="E10" s="94" t="s">
        <v>193</v>
      </c>
      <c r="F10" s="93">
        <v>0.995</v>
      </c>
      <c r="G10" s="155">
        <v>0.8</v>
      </c>
      <c r="H10" s="156">
        <v>0.5</v>
      </c>
      <c r="I10" s="156">
        <v>0.5</v>
      </c>
      <c r="J10" s="155">
        <v>0.3</v>
      </c>
      <c r="K10" s="155">
        <v>0.05</v>
      </c>
    </row>
    <row r="11" spans="1:42" x14ac:dyDescent="0.2">
      <c r="D11" s="93">
        <v>10</v>
      </c>
      <c r="E11" s="94" t="s">
        <v>194</v>
      </c>
      <c r="F11" s="93">
        <v>0.995</v>
      </c>
      <c r="G11" s="155">
        <v>0.8</v>
      </c>
      <c r="H11" s="156">
        <v>0.5</v>
      </c>
      <c r="I11" s="156">
        <v>0.5</v>
      </c>
      <c r="J11" s="155">
        <v>0.3</v>
      </c>
      <c r="K11" s="155">
        <v>0.05</v>
      </c>
    </row>
    <row r="12" spans="1:42" x14ac:dyDescent="0.2">
      <c r="D12" s="93">
        <v>11</v>
      </c>
      <c r="E12" s="94" t="s">
        <v>195</v>
      </c>
      <c r="F12" s="93">
        <v>0.995</v>
      </c>
      <c r="G12" s="155">
        <v>0.8</v>
      </c>
      <c r="H12" s="156">
        <v>0.5</v>
      </c>
      <c r="I12" s="156">
        <v>0.5</v>
      </c>
      <c r="J12" s="155">
        <v>0.3</v>
      </c>
      <c r="K12" s="155">
        <v>0.05</v>
      </c>
    </row>
    <row r="13" spans="1:42" x14ac:dyDescent="0.2">
      <c r="D13" s="93">
        <v>12</v>
      </c>
      <c r="E13" s="94" t="s">
        <v>196</v>
      </c>
      <c r="F13" s="93">
        <v>0.995</v>
      </c>
      <c r="G13" s="155">
        <v>0.8</v>
      </c>
      <c r="H13" s="156">
        <v>0.5</v>
      </c>
      <c r="I13" s="156">
        <v>0.5</v>
      </c>
      <c r="J13" s="155">
        <v>0.3</v>
      </c>
      <c r="K13" s="155">
        <v>0.05</v>
      </c>
    </row>
    <row r="14" spans="1:42" x14ac:dyDescent="0.2">
      <c r="D14" s="93">
        <v>13</v>
      </c>
      <c r="E14" s="94" t="s">
        <v>197</v>
      </c>
      <c r="F14" s="93">
        <v>0.995</v>
      </c>
      <c r="G14" s="155">
        <v>0.8</v>
      </c>
      <c r="H14" s="156">
        <v>0.5</v>
      </c>
      <c r="I14" s="156">
        <v>0.5</v>
      </c>
      <c r="J14" s="155">
        <v>0.3</v>
      </c>
      <c r="K14" s="155">
        <v>0.05</v>
      </c>
    </row>
    <row r="15" spans="1:42" x14ac:dyDescent="0.2">
      <c r="D15" s="93">
        <v>14</v>
      </c>
      <c r="E15" s="94" t="s">
        <v>198</v>
      </c>
      <c r="F15" s="93">
        <v>0.995</v>
      </c>
      <c r="G15" s="155">
        <v>0.8</v>
      </c>
      <c r="H15" s="156">
        <v>0.5</v>
      </c>
      <c r="I15" s="156">
        <v>0.5</v>
      </c>
      <c r="J15" s="155">
        <v>0.3</v>
      </c>
      <c r="K15" s="155">
        <v>0.05</v>
      </c>
    </row>
    <row r="16" spans="1:42" x14ac:dyDescent="0.2">
      <c r="D16" s="93">
        <v>15</v>
      </c>
      <c r="E16" s="94" t="s">
        <v>199</v>
      </c>
      <c r="F16" s="93">
        <v>0.995</v>
      </c>
      <c r="G16" s="155">
        <v>0.8</v>
      </c>
      <c r="H16" s="156">
        <v>0.5</v>
      </c>
      <c r="I16" s="156">
        <v>0.5</v>
      </c>
      <c r="J16" s="155">
        <v>0.3</v>
      </c>
      <c r="K16" s="155">
        <v>0.05</v>
      </c>
    </row>
    <row r="17" spans="4:33" x14ac:dyDescent="0.2">
      <c r="D17" s="93">
        <v>16</v>
      </c>
      <c r="E17" s="94" t="s">
        <v>200</v>
      </c>
      <c r="F17" s="93">
        <v>0.995</v>
      </c>
      <c r="G17" s="155">
        <v>0.8</v>
      </c>
      <c r="H17" s="156">
        <v>0.5</v>
      </c>
      <c r="I17" s="156">
        <v>0.5</v>
      </c>
      <c r="J17" s="155">
        <v>0.3</v>
      </c>
      <c r="K17" s="155">
        <v>0.05</v>
      </c>
    </row>
    <row r="18" spans="4:33" x14ac:dyDescent="0.2">
      <c r="D18" s="93">
        <v>17</v>
      </c>
      <c r="E18" s="94" t="s">
        <v>201</v>
      </c>
      <c r="F18" s="93">
        <v>0.995</v>
      </c>
      <c r="G18" s="155">
        <v>0.8</v>
      </c>
      <c r="H18" s="156">
        <v>0.5</v>
      </c>
      <c r="I18" s="156">
        <v>0.5</v>
      </c>
      <c r="J18" s="155">
        <v>0.3</v>
      </c>
      <c r="K18" s="155">
        <v>0.05</v>
      </c>
    </row>
    <row r="19" spans="4:33" ht="15" customHeight="1" x14ac:dyDescent="0.2">
      <c r="D19" s="93">
        <v>18</v>
      </c>
      <c r="E19" s="94" t="s">
        <v>202</v>
      </c>
      <c r="F19" s="93">
        <v>0.995</v>
      </c>
      <c r="G19" s="155">
        <v>0.8</v>
      </c>
      <c r="H19" s="156">
        <v>0.5</v>
      </c>
      <c r="I19" s="156">
        <v>0.5</v>
      </c>
      <c r="J19" s="155">
        <v>0.3</v>
      </c>
      <c r="K19" s="155">
        <v>0.05</v>
      </c>
    </row>
    <row r="20" spans="4:33" ht="15" customHeight="1" x14ac:dyDescent="0.2">
      <c r="D20" s="93">
        <v>19</v>
      </c>
      <c r="E20" s="94" t="s">
        <v>203</v>
      </c>
      <c r="F20" s="93">
        <v>0.995</v>
      </c>
      <c r="G20" s="155">
        <v>0.8</v>
      </c>
      <c r="H20" s="156">
        <v>0.5</v>
      </c>
      <c r="I20" s="156">
        <v>0.5</v>
      </c>
      <c r="J20" s="155">
        <v>0.3</v>
      </c>
      <c r="K20" s="155">
        <v>0.05</v>
      </c>
    </row>
    <row r="21" spans="4:33" ht="15" customHeight="1" x14ac:dyDescent="0.2">
      <c r="D21" s="93">
        <v>20</v>
      </c>
      <c r="E21" s="94" t="s">
        <v>204</v>
      </c>
      <c r="F21" s="93">
        <v>0.995</v>
      </c>
      <c r="G21" s="155">
        <v>0.8</v>
      </c>
      <c r="H21" s="156">
        <v>0.5</v>
      </c>
      <c r="I21" s="156">
        <v>0.5</v>
      </c>
      <c r="J21" s="155">
        <v>0.3</v>
      </c>
      <c r="K21" s="155">
        <v>0.05</v>
      </c>
    </row>
    <row r="22" spans="4:33" ht="15" customHeight="1" x14ac:dyDescent="0.2">
      <c r="D22" s="93">
        <v>21</v>
      </c>
      <c r="E22" s="94" t="s">
        <v>205</v>
      </c>
      <c r="F22" s="93">
        <v>0.995</v>
      </c>
      <c r="G22" s="155">
        <v>0.8</v>
      </c>
      <c r="H22" s="156">
        <v>0.5</v>
      </c>
      <c r="I22" s="156">
        <v>0.5</v>
      </c>
      <c r="J22" s="155">
        <v>0.3</v>
      </c>
      <c r="K22" s="155">
        <v>0.05</v>
      </c>
    </row>
    <row r="23" spans="4:33" ht="15" customHeight="1" x14ac:dyDescent="0.2">
      <c r="D23" s="93">
        <v>22</v>
      </c>
      <c r="E23" s="94" t="s">
        <v>206</v>
      </c>
      <c r="F23" s="93">
        <v>0.995</v>
      </c>
      <c r="G23" s="155">
        <v>0.8</v>
      </c>
      <c r="H23" s="156">
        <v>0.5</v>
      </c>
      <c r="I23" s="156">
        <v>0.5</v>
      </c>
      <c r="J23" s="155">
        <v>0.3</v>
      </c>
      <c r="K23" s="155">
        <v>0.05</v>
      </c>
    </row>
    <row r="24" spans="4:33" ht="15" customHeight="1" x14ac:dyDescent="0.2">
      <c r="D24" s="93">
        <v>23</v>
      </c>
      <c r="E24" s="94" t="s">
        <v>207</v>
      </c>
      <c r="F24" s="93">
        <v>0.995</v>
      </c>
      <c r="G24" s="155">
        <v>0.8</v>
      </c>
      <c r="H24" s="156">
        <v>0.5</v>
      </c>
      <c r="I24" s="156">
        <v>0.5</v>
      </c>
      <c r="J24" s="155">
        <v>0.3</v>
      </c>
      <c r="K24" s="155">
        <v>0.05</v>
      </c>
    </row>
    <row r="25" spans="4:33" ht="15" customHeight="1" x14ac:dyDescent="0.2">
      <c r="D25" s="93">
        <v>24</v>
      </c>
      <c r="E25" s="94" t="s">
        <v>208</v>
      </c>
      <c r="F25" s="93">
        <v>0.995</v>
      </c>
      <c r="G25" s="155">
        <v>0.8</v>
      </c>
      <c r="H25" s="156">
        <v>0.5</v>
      </c>
      <c r="I25" s="156">
        <v>0.5</v>
      </c>
      <c r="J25" s="155">
        <v>0.3</v>
      </c>
      <c r="K25" s="155">
        <v>0.05</v>
      </c>
    </row>
    <row r="26" spans="4:33" ht="15" customHeight="1" x14ac:dyDescent="0.2">
      <c r="D26" s="93">
        <v>25</v>
      </c>
      <c r="E26" s="94" t="s">
        <v>209</v>
      </c>
      <c r="F26" s="93">
        <v>0.995</v>
      </c>
      <c r="G26" s="155">
        <v>0.8</v>
      </c>
      <c r="H26" s="156">
        <v>0.5</v>
      </c>
      <c r="I26" s="156">
        <v>0.5</v>
      </c>
      <c r="J26" s="155">
        <v>0.3</v>
      </c>
      <c r="K26" s="155">
        <v>0.05</v>
      </c>
    </row>
    <row r="27" spans="4:33" ht="15" customHeight="1" x14ac:dyDescent="0.2">
      <c r="D27" s="93">
        <v>26</v>
      </c>
      <c r="E27" s="94" t="s">
        <v>210</v>
      </c>
      <c r="F27" s="93">
        <v>0.995</v>
      </c>
      <c r="G27" s="155">
        <v>0.8</v>
      </c>
      <c r="H27" s="156">
        <v>0.5</v>
      </c>
      <c r="I27" s="156">
        <v>0.5</v>
      </c>
      <c r="J27" s="155">
        <v>0.3</v>
      </c>
      <c r="K27" s="155">
        <v>0.05</v>
      </c>
    </row>
    <row r="28" spans="4:33" ht="15" customHeight="1" x14ac:dyDescent="0.2">
      <c r="D28" s="93">
        <v>27</v>
      </c>
      <c r="E28" s="94" t="s">
        <v>211</v>
      </c>
      <c r="F28" s="93">
        <v>0.995</v>
      </c>
      <c r="G28" s="155">
        <v>0.8</v>
      </c>
      <c r="H28" s="156">
        <v>0.5</v>
      </c>
      <c r="I28" s="156">
        <v>0.5</v>
      </c>
      <c r="J28" s="155">
        <v>0.3</v>
      </c>
      <c r="K28" s="155">
        <v>0.05</v>
      </c>
    </row>
    <row r="29" spans="4:33" ht="15" customHeight="1" x14ac:dyDescent="0.2">
      <c r="D29" s="93">
        <v>28</v>
      </c>
      <c r="E29" s="94" t="s">
        <v>212</v>
      </c>
      <c r="F29" s="93">
        <v>0.995</v>
      </c>
      <c r="G29" s="155">
        <v>0.8</v>
      </c>
      <c r="H29" s="156">
        <v>0.5</v>
      </c>
      <c r="I29" s="156">
        <v>0.5</v>
      </c>
      <c r="J29" s="155">
        <v>0.3</v>
      </c>
      <c r="K29" s="155">
        <v>0.05</v>
      </c>
    </row>
    <row r="30" spans="4:33" ht="15" customHeight="1" x14ac:dyDescent="0.2">
      <c r="D30" s="93">
        <v>29</v>
      </c>
      <c r="E30" s="94" t="s">
        <v>213</v>
      </c>
      <c r="F30" s="93">
        <v>0.995</v>
      </c>
      <c r="G30" s="155">
        <v>0.8</v>
      </c>
      <c r="H30" s="156">
        <v>0.5</v>
      </c>
      <c r="I30" s="156">
        <v>0.5</v>
      </c>
      <c r="J30" s="155">
        <v>0.3</v>
      </c>
      <c r="K30" s="155">
        <v>0.05</v>
      </c>
    </row>
    <row r="31" spans="4:33" ht="15" customHeight="1" x14ac:dyDescent="0.2">
      <c r="D31" s="93">
        <v>30</v>
      </c>
      <c r="E31" s="94" t="s">
        <v>214</v>
      </c>
      <c r="F31" s="93">
        <v>0.995</v>
      </c>
      <c r="G31" s="155">
        <v>0.8</v>
      </c>
      <c r="H31" s="156">
        <v>0.5</v>
      </c>
      <c r="I31" s="156">
        <v>0.5</v>
      </c>
      <c r="J31" s="155">
        <v>0.3</v>
      </c>
      <c r="K31" s="155">
        <v>0.05</v>
      </c>
      <c r="Y31" s="93"/>
      <c r="AC31" s="93"/>
      <c r="AG31" s="93"/>
    </row>
    <row r="32" spans="4:33" ht="15" customHeight="1" x14ac:dyDescent="0.2">
      <c r="D32" s="93">
        <v>31</v>
      </c>
      <c r="E32" s="94" t="s">
        <v>215</v>
      </c>
      <c r="F32" s="93">
        <v>0.995</v>
      </c>
      <c r="G32" s="155">
        <v>0.8</v>
      </c>
      <c r="H32" s="156">
        <v>0.5</v>
      </c>
      <c r="I32" s="156">
        <v>0.5</v>
      </c>
      <c r="J32" s="155">
        <v>0.3</v>
      </c>
      <c r="K32" s="155">
        <v>0.05</v>
      </c>
      <c r="Y32" s="93"/>
      <c r="AC32" s="93"/>
      <c r="AG32" s="93"/>
    </row>
    <row r="33" spans="4:33" ht="15" customHeight="1" x14ac:dyDescent="0.2">
      <c r="D33" s="93">
        <v>32</v>
      </c>
      <c r="E33" s="94" t="s">
        <v>216</v>
      </c>
      <c r="F33" s="93">
        <v>0.995</v>
      </c>
      <c r="G33" s="155">
        <v>0.8</v>
      </c>
      <c r="H33" s="156">
        <v>0.5</v>
      </c>
      <c r="I33" s="156">
        <v>0.5</v>
      </c>
      <c r="J33" s="155">
        <v>0.3</v>
      </c>
      <c r="K33" s="155">
        <v>0.05</v>
      </c>
      <c r="Y33" s="93"/>
      <c r="AC33" s="93"/>
      <c r="AG33" s="93"/>
    </row>
    <row r="34" spans="4:33" ht="15" customHeight="1" x14ac:dyDescent="0.2">
      <c r="D34" s="93">
        <v>33</v>
      </c>
      <c r="E34" s="94" t="s">
        <v>217</v>
      </c>
      <c r="F34" s="93">
        <v>0.995</v>
      </c>
      <c r="G34" s="155">
        <v>0.8</v>
      </c>
      <c r="H34" s="156">
        <v>0.5</v>
      </c>
      <c r="I34" s="156">
        <v>0.5</v>
      </c>
      <c r="J34" s="155">
        <v>0.3</v>
      </c>
      <c r="K34" s="155">
        <v>0.05</v>
      </c>
      <c r="Y34" s="93"/>
      <c r="AC34" s="93"/>
      <c r="AG34" s="93"/>
    </row>
    <row r="35" spans="4:33" ht="15" customHeight="1" x14ac:dyDescent="0.2">
      <c r="D35" s="93">
        <v>34</v>
      </c>
      <c r="E35" s="94" t="s">
        <v>218</v>
      </c>
      <c r="F35" s="93">
        <v>0.995</v>
      </c>
      <c r="G35" s="155">
        <v>0.8</v>
      </c>
      <c r="H35" s="156">
        <v>0.5</v>
      </c>
      <c r="I35" s="156">
        <v>0.5</v>
      </c>
      <c r="J35" s="155">
        <v>0.3</v>
      </c>
      <c r="K35" s="155">
        <v>0.05</v>
      </c>
      <c r="Y35" s="93"/>
      <c r="AC35" s="93"/>
      <c r="AG35" s="93"/>
    </row>
    <row r="36" spans="4:33" ht="15" customHeight="1" x14ac:dyDescent="0.2">
      <c r="D36" s="93">
        <v>35</v>
      </c>
      <c r="E36" s="94" t="s">
        <v>219</v>
      </c>
      <c r="F36" s="93">
        <v>0.995</v>
      </c>
      <c r="G36" s="155">
        <v>0.8</v>
      </c>
      <c r="H36" s="156">
        <v>0.5</v>
      </c>
      <c r="I36" s="156">
        <v>0.5</v>
      </c>
      <c r="J36" s="155">
        <v>0.3</v>
      </c>
      <c r="K36" s="155">
        <v>0.05</v>
      </c>
      <c r="Y36" s="93"/>
      <c r="AC36" s="93"/>
      <c r="AG36" s="93"/>
    </row>
    <row r="37" spans="4:33" ht="15" customHeight="1" x14ac:dyDescent="0.2">
      <c r="D37" s="93">
        <v>36</v>
      </c>
      <c r="E37" s="94" t="s">
        <v>220</v>
      </c>
      <c r="F37" s="93">
        <v>0.995</v>
      </c>
      <c r="G37" s="155">
        <v>0.8</v>
      </c>
      <c r="H37" s="156">
        <v>0</v>
      </c>
      <c r="I37" s="156">
        <v>0</v>
      </c>
      <c r="J37" s="155">
        <v>0</v>
      </c>
      <c r="K37" s="155">
        <v>0</v>
      </c>
      <c r="Y37" s="93"/>
      <c r="AC37" s="93"/>
      <c r="AG37" s="93"/>
    </row>
    <row r="38" spans="4:33" ht="15" customHeight="1" x14ac:dyDescent="0.2">
      <c r="D38" s="93">
        <v>37</v>
      </c>
      <c r="E38" s="94" t="s">
        <v>221</v>
      </c>
      <c r="F38" s="93">
        <v>0.995</v>
      </c>
      <c r="G38" s="155">
        <v>0.8</v>
      </c>
      <c r="H38" s="156">
        <v>0</v>
      </c>
      <c r="I38" s="156">
        <v>0</v>
      </c>
      <c r="J38" s="155">
        <v>0</v>
      </c>
      <c r="K38" s="155">
        <v>0</v>
      </c>
      <c r="Y38" s="93"/>
      <c r="AC38" s="93"/>
      <c r="AG38" s="93"/>
    </row>
    <row r="39" spans="4:33" ht="15" customHeight="1" x14ac:dyDescent="0.2">
      <c r="D39" s="93">
        <v>38</v>
      </c>
      <c r="E39" s="94" t="s">
        <v>222</v>
      </c>
      <c r="F39" s="93">
        <v>0.995</v>
      </c>
      <c r="G39" s="155">
        <v>0.8</v>
      </c>
      <c r="H39" s="156">
        <v>0</v>
      </c>
      <c r="I39" s="156">
        <v>0</v>
      </c>
      <c r="J39" s="155">
        <v>0</v>
      </c>
      <c r="K39" s="155">
        <v>0</v>
      </c>
      <c r="Y39" s="93"/>
      <c r="AC39" s="93"/>
      <c r="AG39" s="93"/>
    </row>
    <row r="40" spans="4:33" ht="15" customHeight="1" x14ac:dyDescent="0.2">
      <c r="D40" s="93">
        <v>39</v>
      </c>
      <c r="E40" s="94" t="s">
        <v>223</v>
      </c>
      <c r="F40" s="93">
        <v>0.995</v>
      </c>
      <c r="G40" s="155">
        <v>0.8</v>
      </c>
      <c r="H40" s="156">
        <v>0</v>
      </c>
      <c r="I40" s="156">
        <v>0</v>
      </c>
      <c r="J40" s="155">
        <v>0</v>
      </c>
      <c r="K40" s="155">
        <v>0</v>
      </c>
      <c r="Y40" s="93"/>
      <c r="AC40" s="93"/>
      <c r="AG40" s="93"/>
    </row>
    <row r="41" spans="4:33" ht="15" customHeight="1" x14ac:dyDescent="0.2">
      <c r="D41" s="93">
        <v>40</v>
      </c>
      <c r="E41" s="94" t="s">
        <v>224</v>
      </c>
      <c r="F41" s="93">
        <v>0.995</v>
      </c>
      <c r="G41" s="155">
        <v>0.8</v>
      </c>
      <c r="H41" s="156">
        <v>0</v>
      </c>
      <c r="I41" s="156">
        <v>0</v>
      </c>
      <c r="J41" s="155">
        <v>0</v>
      </c>
      <c r="K41" s="155">
        <v>0</v>
      </c>
    </row>
    <row r="42" spans="4:33" ht="15" customHeight="1" x14ac:dyDescent="0.2">
      <c r="D42" s="93">
        <v>41</v>
      </c>
      <c r="E42" s="94" t="s">
        <v>225</v>
      </c>
      <c r="F42" s="93">
        <v>0.995</v>
      </c>
      <c r="G42" s="155">
        <v>0.8</v>
      </c>
      <c r="H42" s="156">
        <v>0</v>
      </c>
      <c r="I42" s="156">
        <v>0</v>
      </c>
      <c r="J42" s="155">
        <v>0</v>
      </c>
      <c r="K42" s="155">
        <v>0</v>
      </c>
      <c r="Y42" s="93"/>
      <c r="AC42" s="93"/>
      <c r="AG42" s="93"/>
    </row>
    <row r="43" spans="4:33" ht="15" customHeight="1" x14ac:dyDescent="0.2">
      <c r="D43" s="93">
        <v>42</v>
      </c>
      <c r="E43" s="94" t="s">
        <v>227</v>
      </c>
      <c r="F43" s="93">
        <v>0.995</v>
      </c>
      <c r="G43" s="155">
        <v>0.8</v>
      </c>
      <c r="H43" s="156">
        <v>0</v>
      </c>
      <c r="I43" s="156">
        <v>0</v>
      </c>
      <c r="J43" s="155">
        <v>0</v>
      </c>
      <c r="K43" s="155">
        <v>0</v>
      </c>
      <c r="Y43" s="93"/>
      <c r="AC43" s="93"/>
      <c r="AG43" s="93"/>
    </row>
    <row r="44" spans="4:33" ht="15" customHeight="1" x14ac:dyDescent="0.2">
      <c r="D44" s="93">
        <v>43</v>
      </c>
      <c r="E44" s="94" t="s">
        <v>125</v>
      </c>
      <c r="F44" s="93">
        <v>0.995</v>
      </c>
      <c r="G44" s="155">
        <v>0.8</v>
      </c>
      <c r="H44" s="156">
        <v>0</v>
      </c>
      <c r="I44" s="156">
        <v>0</v>
      </c>
      <c r="J44" s="155">
        <v>0</v>
      </c>
      <c r="K44" s="155">
        <v>0</v>
      </c>
      <c r="Y44" s="93"/>
      <c r="AC44" s="93"/>
      <c r="AG44" s="93"/>
    </row>
    <row r="45" spans="4:33" ht="15" customHeight="1" x14ac:dyDescent="0.2">
      <c r="Y45" s="93"/>
      <c r="AC45" s="93"/>
      <c r="AG45" s="93"/>
    </row>
    <row r="46" spans="4:33" ht="15" customHeight="1" x14ac:dyDescent="0.2">
      <c r="J46" s="93"/>
      <c r="K46" s="93"/>
      <c r="Y46" s="93"/>
      <c r="AC46" s="93"/>
      <c r="AG46" s="93"/>
    </row>
    <row r="47" spans="4:33" ht="15" customHeight="1" x14ac:dyDescent="0.2">
      <c r="J47" s="93"/>
      <c r="K47" s="93"/>
      <c r="Y47" s="93"/>
      <c r="AC47" s="93"/>
      <c r="AG47" s="93"/>
    </row>
    <row r="48" spans="4:33" ht="15" customHeight="1" x14ac:dyDescent="0.2">
      <c r="J48" s="93"/>
      <c r="K48" s="93"/>
      <c r="Y48" s="93"/>
      <c r="AC48" s="93"/>
      <c r="AG48" s="93"/>
    </row>
    <row r="49" spans="10:33" ht="15" customHeight="1" x14ac:dyDescent="0.2">
      <c r="J49" s="93"/>
      <c r="K49" s="93"/>
      <c r="Y49" s="93"/>
      <c r="AC49" s="93"/>
      <c r="AG49" s="93"/>
    </row>
    <row r="50" spans="10:33" ht="15" customHeight="1" x14ac:dyDescent="0.2">
      <c r="J50" s="93"/>
      <c r="K50" s="93"/>
      <c r="Y50" s="93"/>
      <c r="AC50" s="93"/>
      <c r="AG50" s="93"/>
    </row>
    <row r="51" spans="10:33" ht="15" customHeight="1" x14ac:dyDescent="0.2">
      <c r="J51" s="93"/>
      <c r="K51" s="93"/>
      <c r="Y51" s="93"/>
      <c r="AC51" s="93"/>
      <c r="AG51" s="93"/>
    </row>
    <row r="52" spans="10:33" ht="15" customHeight="1" x14ac:dyDescent="0.2">
      <c r="J52" s="93"/>
      <c r="K52" s="93"/>
      <c r="Y52" s="93"/>
      <c r="AC52" s="93"/>
      <c r="AG52" s="93"/>
    </row>
    <row r="53" spans="10:33" ht="15" customHeight="1" x14ac:dyDescent="0.2">
      <c r="J53" s="93"/>
      <c r="K53" s="93"/>
      <c r="Y53" s="93"/>
      <c r="AC53" s="93"/>
      <c r="AG53" s="93"/>
    </row>
    <row r="54" spans="10:33" ht="15" customHeight="1" x14ac:dyDescent="0.2">
      <c r="J54" s="93"/>
      <c r="K54" s="93"/>
      <c r="Y54" s="93"/>
      <c r="AC54" s="93"/>
      <c r="AG54" s="93"/>
    </row>
    <row r="55" spans="10:33" ht="15" customHeight="1" x14ac:dyDescent="0.2">
      <c r="J55" s="93"/>
      <c r="K55" s="93"/>
      <c r="Y55" s="93"/>
      <c r="AC55" s="93"/>
      <c r="AG55" s="93"/>
    </row>
    <row r="56" spans="10:33" ht="15" customHeight="1" x14ac:dyDescent="0.2">
      <c r="J56" s="93"/>
      <c r="K56" s="93"/>
      <c r="Y56" s="93"/>
      <c r="AC56" s="93"/>
      <c r="AG56" s="93"/>
    </row>
    <row r="57" spans="10:33" ht="15" customHeight="1" x14ac:dyDescent="0.2">
      <c r="J57" s="93"/>
      <c r="K57" s="93"/>
      <c r="Y57" s="93"/>
      <c r="AC57" s="93"/>
      <c r="AG57" s="93"/>
    </row>
    <row r="58" spans="10:33" ht="15" customHeight="1" x14ac:dyDescent="0.2">
      <c r="J58" s="93"/>
      <c r="K58" s="93"/>
      <c r="Y58" s="93"/>
      <c r="AC58" s="93"/>
      <c r="AG58" s="93"/>
    </row>
    <row r="59" spans="10:33" ht="15" customHeight="1" x14ac:dyDescent="0.2">
      <c r="J59" s="93"/>
      <c r="K59" s="93"/>
      <c r="Y59" s="93"/>
      <c r="AC59" s="93"/>
      <c r="AG59" s="93"/>
    </row>
    <row r="60" spans="10:33" ht="15" customHeight="1" x14ac:dyDescent="0.2">
      <c r="J60" s="93"/>
      <c r="K60" s="93"/>
      <c r="Y60" s="93"/>
      <c r="AC60" s="93"/>
      <c r="AG60" s="93"/>
    </row>
    <row r="61" spans="10:33" ht="15" customHeight="1" x14ac:dyDescent="0.2">
      <c r="J61" s="93"/>
      <c r="K61" s="93"/>
      <c r="Y61" s="93"/>
      <c r="AC61" s="93"/>
      <c r="AG61" s="93"/>
    </row>
    <row r="62" spans="10:33" ht="15" customHeight="1" x14ac:dyDescent="0.2">
      <c r="J62" s="93"/>
      <c r="K62" s="93"/>
      <c r="Y62" s="93"/>
      <c r="AC62" s="93"/>
      <c r="AG62" s="93"/>
    </row>
    <row r="63" spans="10:33" ht="15" customHeight="1" x14ac:dyDescent="0.2">
      <c r="J63" s="93"/>
      <c r="K63" s="93"/>
      <c r="Y63" s="93"/>
      <c r="AC63" s="93"/>
      <c r="AG63" s="93"/>
    </row>
    <row r="64" spans="10:33" ht="15" customHeight="1" x14ac:dyDescent="0.2">
      <c r="J64" s="93"/>
      <c r="K64" s="93"/>
      <c r="Y64" s="93"/>
      <c r="AC64" s="93"/>
      <c r="AG64" s="93"/>
    </row>
    <row r="65" spans="10:33" ht="15" customHeight="1" x14ac:dyDescent="0.2">
      <c r="J65" s="93"/>
      <c r="K65" s="93"/>
      <c r="Y65" s="93"/>
      <c r="AC65" s="93"/>
      <c r="AG65" s="93"/>
    </row>
    <row r="66" spans="10:33" ht="15" customHeight="1" x14ac:dyDescent="0.2">
      <c r="J66" s="93"/>
      <c r="K66" s="93"/>
      <c r="Y66" s="93"/>
      <c r="AC66" s="93"/>
      <c r="AG66" s="93"/>
    </row>
    <row r="67" spans="10:33" ht="15" customHeight="1" x14ac:dyDescent="0.2">
      <c r="J67" s="93"/>
      <c r="K67" s="93"/>
      <c r="Y67" s="93"/>
      <c r="AC67" s="93"/>
      <c r="AG67" s="93"/>
    </row>
    <row r="68" spans="10:33" ht="15" customHeight="1" x14ac:dyDescent="0.2">
      <c r="J68" s="93"/>
      <c r="K68" s="93"/>
      <c r="Y68" s="93"/>
      <c r="AC68" s="93"/>
      <c r="AG68" s="93"/>
    </row>
    <row r="69" spans="10:33" ht="15" customHeight="1" x14ac:dyDescent="0.2">
      <c r="J69" s="93"/>
      <c r="K69" s="93"/>
      <c r="Y69" s="93"/>
      <c r="AC69" s="93"/>
      <c r="AG69" s="93"/>
    </row>
    <row r="70" spans="10:33" ht="15" customHeight="1" x14ac:dyDescent="0.2">
      <c r="J70" s="93"/>
      <c r="K70" s="93"/>
      <c r="Y70" s="93"/>
      <c r="AC70" s="93"/>
      <c r="AG70" s="93"/>
    </row>
    <row r="71" spans="10:33" ht="15" customHeight="1" x14ac:dyDescent="0.2">
      <c r="J71" s="93"/>
      <c r="K71" s="93"/>
    </row>
    <row r="72" spans="10:33" ht="15" customHeight="1" x14ac:dyDescent="0.2">
      <c r="J72" s="93"/>
      <c r="K72" s="93"/>
    </row>
    <row r="73" spans="10:33" ht="15" customHeight="1" x14ac:dyDescent="0.2">
      <c r="J73" s="93"/>
      <c r="K73" s="93"/>
    </row>
    <row r="74" spans="10:33" ht="15" customHeight="1" x14ac:dyDescent="0.2">
      <c r="J74" s="93"/>
      <c r="K74" s="93"/>
    </row>
    <row r="75" spans="10:33" ht="15" customHeight="1" x14ac:dyDescent="0.2">
      <c r="J75" s="93"/>
      <c r="K75" s="93"/>
    </row>
    <row r="76" spans="10:33" ht="15" customHeight="1" x14ac:dyDescent="0.2">
      <c r="J76" s="93"/>
      <c r="K76" s="93"/>
    </row>
    <row r="77" spans="10:33" ht="15" customHeight="1" x14ac:dyDescent="0.2">
      <c r="J77" s="93"/>
      <c r="K77" s="93"/>
    </row>
    <row r="78" spans="10:33" ht="15" customHeight="1" x14ac:dyDescent="0.2">
      <c r="J78" s="93"/>
      <c r="K78" s="93"/>
      <c r="Y78" s="93"/>
      <c r="AC78" s="93"/>
      <c r="AG78" s="93"/>
    </row>
    <row r="79" spans="10:33" ht="15" customHeight="1" x14ac:dyDescent="0.2">
      <c r="J79" s="93"/>
      <c r="K79" s="93"/>
      <c r="Y79" s="93"/>
      <c r="AC79" s="93"/>
      <c r="AG79" s="93"/>
    </row>
    <row r="80" spans="10:33" ht="15" customHeight="1" x14ac:dyDescent="0.2">
      <c r="J80" s="93"/>
      <c r="K80" s="93"/>
      <c r="Y80" s="93"/>
      <c r="AC80" s="93"/>
      <c r="AG80" s="93"/>
    </row>
    <row r="81" spans="10:33" ht="15" customHeight="1" x14ac:dyDescent="0.2">
      <c r="J81" s="93"/>
      <c r="K81" s="93"/>
      <c r="Y81" s="93"/>
      <c r="AC81" s="93"/>
      <c r="AG81" s="93"/>
    </row>
    <row r="82" spans="10:33" ht="15" customHeight="1" x14ac:dyDescent="0.2">
      <c r="J82" s="93"/>
      <c r="K82" s="93"/>
      <c r="Y82" s="93"/>
      <c r="AC82" s="93"/>
      <c r="AG82" s="93"/>
    </row>
    <row r="83" spans="10:33" ht="15" customHeight="1" x14ac:dyDescent="0.2">
      <c r="J83" s="93"/>
      <c r="K83" s="93"/>
      <c r="Y83" s="93"/>
      <c r="AC83" s="93"/>
      <c r="AG83" s="93"/>
    </row>
    <row r="84" spans="10:33" ht="15" customHeight="1" x14ac:dyDescent="0.2">
      <c r="J84" s="93"/>
      <c r="K84" s="93"/>
      <c r="Y84" s="93"/>
      <c r="AC84" s="93"/>
      <c r="AG84" s="93"/>
    </row>
    <row r="85" spans="10:33" ht="15" customHeight="1" x14ac:dyDescent="0.2">
      <c r="J85" s="93"/>
      <c r="K85" s="93"/>
      <c r="Y85" s="93"/>
      <c r="AC85" s="93"/>
      <c r="AG85" s="93"/>
    </row>
    <row r="86" spans="10:33" ht="15" customHeight="1" x14ac:dyDescent="0.2">
      <c r="J86" s="93"/>
      <c r="K86" s="93"/>
      <c r="Y86" s="93"/>
      <c r="AC86" s="93"/>
      <c r="AG86" s="93"/>
    </row>
    <row r="87" spans="10:33" ht="15" customHeight="1" x14ac:dyDescent="0.2">
      <c r="J87" s="93"/>
      <c r="K87" s="93"/>
      <c r="Y87" s="93"/>
      <c r="AC87" s="93"/>
      <c r="AG87" s="93"/>
    </row>
    <row r="88" spans="10:33" ht="15" customHeight="1" x14ac:dyDescent="0.2">
      <c r="J88" s="93"/>
      <c r="K88" s="93"/>
      <c r="Y88" s="93"/>
      <c r="AC88" s="93"/>
      <c r="AG88" s="93"/>
    </row>
    <row r="89" spans="10:33" ht="15" customHeight="1" x14ac:dyDescent="0.2">
      <c r="J89" s="93"/>
      <c r="K89" s="93"/>
      <c r="Y89" s="93"/>
      <c r="AC89" s="93"/>
      <c r="AG89" s="93"/>
    </row>
    <row r="90" spans="10:33" ht="15" customHeight="1" x14ac:dyDescent="0.2">
      <c r="J90" s="93"/>
      <c r="K90" s="93"/>
      <c r="Y90" s="93"/>
      <c r="AC90" s="93"/>
      <c r="AG90" s="93"/>
    </row>
    <row r="91" spans="10:33" ht="15" customHeight="1" x14ac:dyDescent="0.2">
      <c r="J91" s="93"/>
      <c r="K91" s="93"/>
      <c r="Y91" s="93"/>
      <c r="AC91" s="93"/>
      <c r="AG91" s="93"/>
    </row>
    <row r="92" spans="10:33" ht="15" customHeight="1" x14ac:dyDescent="0.2">
      <c r="J92" s="93"/>
      <c r="K92" s="93"/>
      <c r="Y92" s="93"/>
      <c r="AC92" s="93"/>
      <c r="AG92" s="93"/>
    </row>
    <row r="93" spans="10:33" ht="15" customHeight="1" x14ac:dyDescent="0.2">
      <c r="J93" s="93"/>
      <c r="K93" s="93"/>
      <c r="Y93" s="93"/>
      <c r="AC93" s="93"/>
      <c r="AG93" s="93"/>
    </row>
    <row r="94" spans="10:33" ht="15" customHeight="1" x14ac:dyDescent="0.2">
      <c r="J94" s="93"/>
      <c r="K94" s="93"/>
      <c r="Y94" s="93"/>
      <c r="AC94" s="93"/>
      <c r="AG94" s="93"/>
    </row>
    <row r="95" spans="10:33" ht="15" customHeight="1" x14ac:dyDescent="0.2">
      <c r="J95" s="93"/>
      <c r="K95" s="93"/>
      <c r="Y95" s="93"/>
      <c r="AC95" s="93"/>
      <c r="AG95" s="93"/>
    </row>
    <row r="96" spans="10:33" ht="15" customHeight="1" x14ac:dyDescent="0.2">
      <c r="J96" s="93"/>
      <c r="K96" s="93"/>
      <c r="Y96" s="93"/>
      <c r="AC96" s="93"/>
      <c r="AG96" s="93"/>
    </row>
    <row r="97" spans="10:33" ht="15" customHeight="1" x14ac:dyDescent="0.2">
      <c r="J97" s="93"/>
      <c r="K97" s="93"/>
      <c r="Y97" s="93"/>
      <c r="AC97" s="93"/>
      <c r="AG97" s="93"/>
    </row>
    <row r="98" spans="10:33" ht="15" customHeight="1" x14ac:dyDescent="0.2">
      <c r="J98" s="93"/>
      <c r="K98" s="93"/>
      <c r="Y98" s="93"/>
      <c r="AC98" s="93"/>
      <c r="AG98" s="93"/>
    </row>
    <row r="99" spans="10:33" ht="15" customHeight="1" x14ac:dyDescent="0.2">
      <c r="J99" s="93"/>
      <c r="K99" s="93"/>
      <c r="Y99" s="93"/>
      <c r="AC99" s="93"/>
      <c r="AG99" s="93"/>
    </row>
    <row r="100" spans="10:33" ht="15" customHeight="1" x14ac:dyDescent="0.2">
      <c r="J100" s="93"/>
      <c r="K100" s="93"/>
      <c r="Y100" s="93"/>
      <c r="AC100" s="93"/>
      <c r="AG100" s="93"/>
    </row>
    <row r="101" spans="10:33" ht="15" customHeight="1" x14ac:dyDescent="0.2">
      <c r="J101" s="93"/>
      <c r="K101" s="93"/>
      <c r="Y101" s="93"/>
      <c r="AC101" s="93"/>
      <c r="AG101" s="93"/>
    </row>
    <row r="102" spans="10:33" ht="15" customHeight="1" x14ac:dyDescent="0.2">
      <c r="J102" s="93"/>
      <c r="K102" s="93"/>
      <c r="Y102" s="93"/>
      <c r="AC102" s="93"/>
      <c r="AG102" s="93"/>
    </row>
    <row r="103" spans="10:33" ht="15" customHeight="1" x14ac:dyDescent="0.2">
      <c r="J103" s="93"/>
      <c r="K103" s="93"/>
      <c r="Y103" s="93"/>
      <c r="AC103" s="93"/>
      <c r="AG103" s="93"/>
    </row>
    <row r="104" spans="10:33" ht="15" customHeight="1" x14ac:dyDescent="0.2">
      <c r="J104" s="93"/>
      <c r="K104" s="93"/>
      <c r="Y104" s="93"/>
      <c r="AC104" s="93"/>
      <c r="AG104" s="93"/>
    </row>
    <row r="105" spans="10:33" ht="15" customHeight="1" x14ac:dyDescent="0.2">
      <c r="J105" s="93"/>
      <c r="K105" s="93"/>
      <c r="Y105" s="93"/>
      <c r="AC105" s="93"/>
      <c r="AG105" s="93"/>
    </row>
    <row r="106" spans="10:33" ht="15" customHeight="1" x14ac:dyDescent="0.2">
      <c r="J106" s="93"/>
      <c r="K106" s="93"/>
      <c r="Y106" s="93"/>
      <c r="AC106" s="93"/>
      <c r="AG106" s="93"/>
    </row>
    <row r="107" spans="10:33" ht="15" customHeight="1" x14ac:dyDescent="0.2">
      <c r="J107" s="93"/>
      <c r="K107" s="93"/>
      <c r="Y107" s="93"/>
      <c r="AC107" s="93"/>
      <c r="AG107" s="93"/>
    </row>
    <row r="108" spans="10:33" ht="15" customHeight="1" x14ac:dyDescent="0.2">
      <c r="J108" s="93"/>
      <c r="K108" s="93"/>
      <c r="Y108" s="93"/>
      <c r="AC108" s="93"/>
      <c r="AG108" s="93"/>
    </row>
    <row r="109" spans="10:33" ht="15" customHeight="1" x14ac:dyDescent="0.2">
      <c r="J109" s="93"/>
      <c r="K109" s="93"/>
      <c r="Y109" s="93"/>
      <c r="AC109" s="93"/>
      <c r="AG109" s="93"/>
    </row>
    <row r="110" spans="10:33" ht="15" customHeight="1" x14ac:dyDescent="0.2">
      <c r="J110" s="93"/>
      <c r="K110" s="93"/>
      <c r="Y110" s="93"/>
      <c r="AC110" s="93"/>
      <c r="AG110" s="93"/>
    </row>
    <row r="111" spans="10:33" ht="15" customHeight="1" x14ac:dyDescent="0.2">
      <c r="J111" s="93"/>
      <c r="K111" s="93"/>
      <c r="Y111" s="93"/>
      <c r="AC111" s="93"/>
      <c r="AG111" s="93"/>
    </row>
    <row r="112" spans="10:33" ht="15" customHeight="1" x14ac:dyDescent="0.2">
      <c r="J112" s="93"/>
      <c r="K112" s="93"/>
      <c r="Y112" s="93"/>
      <c r="AC112" s="93"/>
      <c r="AG112" s="93"/>
    </row>
    <row r="113" spans="10:33" ht="15" customHeight="1" x14ac:dyDescent="0.2">
      <c r="J113" s="93"/>
      <c r="K113" s="93"/>
      <c r="Y113" s="93"/>
      <c r="AC113" s="93"/>
      <c r="AG113" s="93"/>
    </row>
    <row r="114" spans="10:33" ht="15" customHeight="1" x14ac:dyDescent="0.2">
      <c r="J114" s="93"/>
      <c r="K114" s="93"/>
      <c r="Y114" s="93"/>
      <c r="AC114" s="93"/>
      <c r="AG114" s="93"/>
    </row>
    <row r="115" spans="10:33" ht="15" customHeight="1" x14ac:dyDescent="0.2">
      <c r="J115" s="93"/>
      <c r="K115" s="93"/>
      <c r="Y115" s="93"/>
      <c r="AC115" s="93"/>
      <c r="AG115" s="93"/>
    </row>
    <row r="116" spans="10:33" ht="15" customHeight="1" x14ac:dyDescent="0.2">
      <c r="J116" s="93"/>
      <c r="K116" s="93"/>
      <c r="Y116" s="93"/>
      <c r="AC116" s="93"/>
      <c r="AG116" s="93"/>
    </row>
    <row r="117" spans="10:33" ht="15" customHeight="1" x14ac:dyDescent="0.2">
      <c r="J117" s="93"/>
      <c r="K117" s="93"/>
      <c r="Y117" s="93"/>
      <c r="AC117" s="93"/>
      <c r="AG117" s="93"/>
    </row>
    <row r="118" spans="10:33" ht="15" customHeight="1" x14ac:dyDescent="0.2">
      <c r="J118" s="93"/>
      <c r="K118" s="93"/>
      <c r="Y118" s="93"/>
      <c r="AC118" s="93"/>
      <c r="AG118" s="93"/>
    </row>
    <row r="119" spans="10:33" ht="15" customHeight="1" x14ac:dyDescent="0.2">
      <c r="J119" s="93"/>
      <c r="K119" s="93"/>
      <c r="Y119" s="93"/>
      <c r="AC119" s="93"/>
      <c r="AG119" s="93"/>
    </row>
    <row r="120" spans="10:33" ht="15" customHeight="1" x14ac:dyDescent="0.2">
      <c r="J120" s="93"/>
      <c r="K120" s="93"/>
      <c r="Y120" s="93"/>
      <c r="AC120" s="93"/>
      <c r="AG120" s="93"/>
    </row>
    <row r="121" spans="10:33" ht="15" customHeight="1" x14ac:dyDescent="0.2">
      <c r="J121" s="93"/>
      <c r="K121" s="93"/>
      <c r="Y121" s="93"/>
      <c r="AC121" s="93"/>
      <c r="AG121" s="93"/>
    </row>
    <row r="122" spans="10:33" ht="15" customHeight="1" x14ac:dyDescent="0.2">
      <c r="J122" s="93"/>
      <c r="K122" s="93"/>
      <c r="Y122" s="93"/>
      <c r="AC122" s="93"/>
      <c r="AG122" s="93"/>
    </row>
    <row r="123" spans="10:33" ht="15" customHeight="1" x14ac:dyDescent="0.2">
      <c r="J123" s="93"/>
      <c r="K123" s="93"/>
      <c r="Y123" s="93"/>
      <c r="AC123" s="93"/>
      <c r="AG123" s="93"/>
    </row>
    <row r="124" spans="10:33" ht="15" customHeight="1" x14ac:dyDescent="0.2">
      <c r="J124" s="93"/>
      <c r="K124" s="93"/>
      <c r="Y124" s="93"/>
      <c r="AC124" s="93"/>
      <c r="AG124" s="93"/>
    </row>
    <row r="125" spans="10:33" ht="15" customHeight="1" x14ac:dyDescent="0.2">
      <c r="J125" s="93"/>
      <c r="K125" s="93"/>
      <c r="Y125" s="93"/>
      <c r="AC125" s="93"/>
      <c r="AG125" s="93"/>
    </row>
    <row r="126" spans="10:33" ht="15" customHeight="1" x14ac:dyDescent="0.2">
      <c r="J126" s="93"/>
      <c r="K126" s="93"/>
      <c r="Y126" s="93"/>
      <c r="AC126" s="93"/>
      <c r="AG126" s="93"/>
    </row>
    <row r="127" spans="10:33" ht="15" customHeight="1" x14ac:dyDescent="0.2">
      <c r="J127" s="93"/>
      <c r="K127" s="93"/>
      <c r="Y127" s="93"/>
      <c r="AC127" s="93"/>
      <c r="AG127" s="93"/>
    </row>
    <row r="128" spans="10:33" ht="15" customHeight="1" x14ac:dyDescent="0.2">
      <c r="J128" s="93"/>
      <c r="K128" s="93"/>
      <c r="Y128" s="93"/>
      <c r="AC128" s="93"/>
      <c r="AG128" s="93"/>
    </row>
    <row r="129" spans="10:33" ht="15" customHeight="1" x14ac:dyDescent="0.2">
      <c r="J129" s="93"/>
      <c r="K129" s="93"/>
      <c r="Y129" s="93"/>
      <c r="AC129" s="93"/>
      <c r="AG129" s="93"/>
    </row>
    <row r="130" spans="10:33" ht="15" customHeight="1" x14ac:dyDescent="0.2">
      <c r="J130" s="93"/>
      <c r="K130" s="93"/>
      <c r="Y130" s="93"/>
      <c r="AC130" s="93"/>
      <c r="AG130" s="93"/>
    </row>
    <row r="131" spans="10:33" ht="15" customHeight="1" x14ac:dyDescent="0.2">
      <c r="J131" s="93"/>
      <c r="K131" s="93"/>
      <c r="Y131" s="93"/>
      <c r="AC131" s="93"/>
      <c r="AG131" s="93"/>
    </row>
    <row r="132" spans="10:33" ht="15" customHeight="1" x14ac:dyDescent="0.2">
      <c r="J132" s="93"/>
      <c r="K132" s="93"/>
      <c r="Y132" s="93"/>
      <c r="AC132" s="93"/>
      <c r="AG132" s="93"/>
    </row>
    <row r="133" spans="10:33" ht="15" customHeight="1" x14ac:dyDescent="0.2">
      <c r="J133" s="93"/>
      <c r="K133" s="93"/>
      <c r="Y133" s="93"/>
      <c r="AC133" s="93"/>
      <c r="AG133" s="93"/>
    </row>
    <row r="134" spans="10:33" ht="15" customHeight="1" x14ac:dyDescent="0.2">
      <c r="J134" s="93"/>
      <c r="K134" s="93"/>
      <c r="Y134" s="93"/>
      <c r="AC134" s="93"/>
      <c r="AG134" s="93"/>
    </row>
    <row r="135" spans="10:33" ht="15" customHeight="1" x14ac:dyDescent="0.2">
      <c r="J135" s="93"/>
      <c r="K135" s="93"/>
      <c r="Y135" s="93"/>
      <c r="AC135" s="93"/>
      <c r="AG135" s="93"/>
    </row>
    <row r="136" spans="10:33" ht="15" customHeight="1" x14ac:dyDescent="0.2">
      <c r="J136" s="93"/>
      <c r="K136" s="93"/>
      <c r="Y136" s="93"/>
      <c r="AC136" s="93"/>
      <c r="AG136" s="93"/>
    </row>
    <row r="137" spans="10:33" ht="15" customHeight="1" x14ac:dyDescent="0.2">
      <c r="J137" s="93"/>
      <c r="K137" s="93"/>
      <c r="Y137" s="93"/>
      <c r="AC137" s="93"/>
      <c r="AG137" s="93"/>
    </row>
    <row r="138" spans="10:33" ht="15" customHeight="1" x14ac:dyDescent="0.2">
      <c r="J138" s="93"/>
      <c r="K138" s="93"/>
      <c r="Y138" s="93"/>
      <c r="AC138" s="93"/>
      <c r="AG138" s="93"/>
    </row>
    <row r="139" spans="10:33" ht="15" customHeight="1" x14ac:dyDescent="0.2">
      <c r="J139" s="93"/>
      <c r="K139" s="93"/>
      <c r="Y139" s="93"/>
      <c r="AC139" s="93"/>
      <c r="AG139" s="93"/>
    </row>
    <row r="140" spans="10:33" ht="15" customHeight="1" x14ac:dyDescent="0.2">
      <c r="J140" s="93"/>
      <c r="K140" s="93"/>
      <c r="Y140" s="93"/>
      <c r="AC140" s="93"/>
      <c r="AG140" s="93"/>
    </row>
    <row r="141" spans="10:33" ht="15" customHeight="1" x14ac:dyDescent="0.2">
      <c r="J141" s="93"/>
      <c r="K141" s="93"/>
      <c r="Y141" s="93"/>
      <c r="AC141" s="93"/>
      <c r="AG141" s="93"/>
    </row>
    <row r="142" spans="10:33" ht="15" customHeight="1" x14ac:dyDescent="0.2">
      <c r="J142" s="93"/>
      <c r="K142" s="93"/>
      <c r="Y142" s="93"/>
      <c r="AC142" s="93"/>
      <c r="AG142" s="93"/>
    </row>
    <row r="143" spans="10:33" ht="15" customHeight="1" x14ac:dyDescent="0.2">
      <c r="J143" s="93"/>
      <c r="K143" s="93"/>
      <c r="Y143" s="93"/>
      <c r="AC143" s="93"/>
      <c r="AG143" s="93"/>
    </row>
    <row r="144" spans="10:33" ht="15" customHeight="1" x14ac:dyDescent="0.2">
      <c r="J144" s="93"/>
      <c r="K144" s="93"/>
      <c r="Y144" s="93"/>
      <c r="AC144" s="93"/>
      <c r="AG144" s="93"/>
    </row>
    <row r="145" spans="10:33" ht="15" customHeight="1" x14ac:dyDescent="0.2">
      <c r="J145" s="93"/>
      <c r="K145" s="93"/>
      <c r="Y145" s="93"/>
      <c r="AC145" s="93"/>
      <c r="AG145" s="93"/>
    </row>
    <row r="146" spans="10:33" ht="15" customHeight="1" x14ac:dyDescent="0.2">
      <c r="J146" s="93"/>
      <c r="K146" s="93"/>
      <c r="Y146" s="93"/>
      <c r="AC146" s="93"/>
      <c r="AG146" s="93"/>
    </row>
    <row r="147" spans="10:33" ht="15" customHeight="1" x14ac:dyDescent="0.2">
      <c r="J147" s="93"/>
      <c r="K147" s="93"/>
      <c r="Y147" s="93"/>
      <c r="AC147" s="93"/>
      <c r="AG147" s="93"/>
    </row>
    <row r="148" spans="10:33" ht="15" customHeight="1" x14ac:dyDescent="0.2">
      <c r="J148" s="93"/>
      <c r="K148" s="93"/>
      <c r="Y148" s="93"/>
      <c r="AC148" s="93"/>
      <c r="AG148" s="93"/>
    </row>
    <row r="149" spans="10:33" ht="15" customHeight="1" x14ac:dyDescent="0.2">
      <c r="J149" s="93"/>
      <c r="K149" s="93"/>
      <c r="Y149" s="93"/>
      <c r="AC149" s="93"/>
      <c r="AG149" s="93"/>
    </row>
    <row r="150" spans="10:33" ht="15" customHeight="1" x14ac:dyDescent="0.2">
      <c r="J150" s="93"/>
      <c r="K150" s="93"/>
      <c r="Y150" s="93"/>
      <c r="AC150" s="93"/>
      <c r="AG150" s="93"/>
    </row>
    <row r="151" spans="10:33" ht="15" customHeight="1" x14ac:dyDescent="0.2">
      <c r="J151" s="93"/>
      <c r="K151" s="93"/>
      <c r="Y151" s="93"/>
      <c r="AC151" s="93"/>
      <c r="AG151" s="93"/>
    </row>
    <row r="152" spans="10:33" ht="15" customHeight="1" x14ac:dyDescent="0.2">
      <c r="J152" s="93"/>
      <c r="K152" s="93"/>
      <c r="Y152" s="93"/>
      <c r="AC152" s="93"/>
      <c r="AG152" s="93"/>
    </row>
    <row r="153" spans="10:33" ht="15" customHeight="1" x14ac:dyDescent="0.2">
      <c r="J153" s="93"/>
      <c r="K153" s="93"/>
      <c r="Y153" s="93"/>
      <c r="AC153" s="93"/>
      <c r="AG153" s="93"/>
    </row>
    <row r="154" spans="10:33" ht="15" customHeight="1" x14ac:dyDescent="0.2">
      <c r="J154" s="93"/>
      <c r="K154" s="93"/>
      <c r="Y154" s="93"/>
      <c r="AC154" s="93"/>
      <c r="AG154" s="93"/>
    </row>
    <row r="155" spans="10:33" ht="15" customHeight="1" x14ac:dyDescent="0.2">
      <c r="J155" s="93"/>
      <c r="K155" s="93"/>
      <c r="Y155" s="93"/>
      <c r="AC155" s="93"/>
      <c r="AG155" s="93"/>
    </row>
    <row r="156" spans="10:33" ht="15" customHeight="1" x14ac:dyDescent="0.2">
      <c r="J156" s="93"/>
      <c r="K156" s="93"/>
      <c r="Y156" s="93"/>
      <c r="AC156" s="93"/>
      <c r="AG156" s="93"/>
    </row>
    <row r="157" spans="10:33" ht="15" customHeight="1" x14ac:dyDescent="0.2">
      <c r="J157" s="93"/>
      <c r="K157" s="93"/>
      <c r="Y157" s="93"/>
      <c r="AC157" s="93"/>
      <c r="AG157" s="93"/>
    </row>
    <row r="158" spans="10:33" ht="15" customHeight="1" x14ac:dyDescent="0.2">
      <c r="J158" s="93"/>
      <c r="K158" s="93"/>
      <c r="Y158" s="93"/>
      <c r="AC158" s="93"/>
      <c r="AG158" s="93"/>
    </row>
    <row r="159" spans="10:33" ht="15" customHeight="1" x14ac:dyDescent="0.2">
      <c r="J159" s="93"/>
      <c r="K159" s="93"/>
      <c r="Y159" s="93"/>
      <c r="AC159" s="93"/>
      <c r="AG159" s="93"/>
    </row>
    <row r="160" spans="10:33" ht="15" customHeight="1" x14ac:dyDescent="0.2">
      <c r="J160" s="93"/>
      <c r="K160" s="93"/>
      <c r="Y160" s="93"/>
      <c r="AC160" s="93"/>
      <c r="AG160" s="93"/>
    </row>
    <row r="161" spans="10:33" ht="15" customHeight="1" x14ac:dyDescent="0.2">
      <c r="J161" s="93"/>
      <c r="K161" s="93"/>
      <c r="Y161" s="93"/>
      <c r="AC161" s="93"/>
      <c r="AG161" s="93"/>
    </row>
    <row r="162" spans="10:33" ht="15" customHeight="1" x14ac:dyDescent="0.2">
      <c r="J162" s="93"/>
      <c r="K162" s="93"/>
      <c r="Y162" s="93"/>
      <c r="AC162" s="93"/>
      <c r="AG162" s="93"/>
    </row>
    <row r="163" spans="10:33" ht="15" customHeight="1" x14ac:dyDescent="0.2">
      <c r="J163" s="93"/>
      <c r="K163" s="93"/>
      <c r="Y163" s="93"/>
      <c r="AC163" s="93"/>
      <c r="AG163" s="93"/>
    </row>
    <row r="164" spans="10:33" ht="15" customHeight="1" x14ac:dyDescent="0.2">
      <c r="J164" s="93"/>
      <c r="K164" s="93"/>
      <c r="Y164" s="93"/>
      <c r="AC164" s="93"/>
      <c r="AG164" s="93"/>
    </row>
    <row r="165" spans="10:33" ht="15" customHeight="1" x14ac:dyDescent="0.2">
      <c r="J165" s="93"/>
      <c r="K165" s="93"/>
      <c r="Y165" s="93"/>
      <c r="AC165" s="93"/>
      <c r="AG165" s="93"/>
    </row>
    <row r="166" spans="10:33" ht="15" customHeight="1" x14ac:dyDescent="0.2">
      <c r="J166" s="93"/>
      <c r="K166" s="93"/>
      <c r="Y166" s="93"/>
      <c r="AC166" s="93"/>
      <c r="AG166" s="93"/>
    </row>
    <row r="167" spans="10:33" ht="15" customHeight="1" x14ac:dyDescent="0.2">
      <c r="J167" s="93"/>
      <c r="K167" s="93"/>
      <c r="Y167" s="93"/>
      <c r="AC167" s="93"/>
      <c r="AG167" s="93"/>
    </row>
    <row r="168" spans="10:33" ht="15" customHeight="1" x14ac:dyDescent="0.2">
      <c r="J168" s="93"/>
      <c r="K168" s="93"/>
      <c r="Y168" s="93"/>
      <c r="AC168" s="93"/>
      <c r="AG168" s="93"/>
    </row>
    <row r="169" spans="10:33" ht="15" customHeight="1" x14ac:dyDescent="0.2">
      <c r="J169" s="93"/>
      <c r="K169" s="93"/>
      <c r="Y169" s="93"/>
      <c r="AC169" s="93"/>
      <c r="AG169" s="93"/>
    </row>
    <row r="170" spans="10:33" ht="15" customHeight="1" x14ac:dyDescent="0.2">
      <c r="J170" s="93"/>
      <c r="K170" s="93"/>
      <c r="Y170" s="93"/>
      <c r="AC170" s="93"/>
      <c r="AG170" s="93"/>
    </row>
    <row r="171" spans="10:33" ht="15" customHeight="1" x14ac:dyDescent="0.2">
      <c r="J171" s="93"/>
      <c r="K171" s="93"/>
      <c r="Y171" s="93"/>
      <c r="AC171" s="93"/>
      <c r="AG171" s="93"/>
    </row>
    <row r="172" spans="10:33" ht="15" customHeight="1" x14ac:dyDescent="0.2">
      <c r="J172" s="93"/>
      <c r="K172" s="93"/>
      <c r="Y172" s="93"/>
      <c r="AC172" s="93"/>
      <c r="AG172" s="93"/>
    </row>
    <row r="173" spans="10:33" ht="15" customHeight="1" x14ac:dyDescent="0.2">
      <c r="J173" s="93"/>
      <c r="K173" s="93"/>
      <c r="Y173" s="93"/>
      <c r="AC173" s="93"/>
      <c r="AG173" s="93"/>
    </row>
    <row r="174" spans="10:33" ht="15" customHeight="1" x14ac:dyDescent="0.2">
      <c r="J174" s="93"/>
      <c r="K174" s="93"/>
      <c r="Y174" s="93"/>
      <c r="AC174" s="93"/>
      <c r="AG174" s="93"/>
    </row>
    <row r="175" spans="10:33" ht="15" customHeight="1" x14ac:dyDescent="0.2">
      <c r="J175" s="93"/>
      <c r="K175" s="93"/>
      <c r="Y175" s="93"/>
      <c r="AC175" s="93"/>
      <c r="AG175" s="93"/>
    </row>
    <row r="176" spans="10:33" ht="15" customHeight="1" x14ac:dyDescent="0.2">
      <c r="J176" s="93"/>
      <c r="K176" s="93"/>
      <c r="Y176" s="93"/>
      <c r="AC176" s="93"/>
      <c r="AG176" s="93"/>
    </row>
    <row r="177" spans="10:33" ht="15" customHeight="1" x14ac:dyDescent="0.2">
      <c r="J177" s="93"/>
      <c r="K177" s="93"/>
      <c r="Y177" s="93"/>
      <c r="AC177" s="93"/>
      <c r="AG177" s="93"/>
    </row>
    <row r="178" spans="10:33" ht="15" customHeight="1" x14ac:dyDescent="0.2">
      <c r="J178" s="93"/>
      <c r="K178" s="93"/>
      <c r="Y178" s="93"/>
      <c r="AC178" s="93"/>
      <c r="AG178" s="93"/>
    </row>
    <row r="179" spans="10:33" ht="15" customHeight="1" x14ac:dyDescent="0.2">
      <c r="J179" s="93"/>
      <c r="K179" s="93"/>
      <c r="Y179" s="93"/>
      <c r="AC179" s="93"/>
      <c r="AG179" s="93"/>
    </row>
    <row r="180" spans="10:33" ht="15" customHeight="1" x14ac:dyDescent="0.2">
      <c r="J180" s="93"/>
      <c r="K180" s="93"/>
      <c r="Y180" s="93"/>
      <c r="AC180" s="93"/>
      <c r="AG180" s="9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N55"/>
  <sheetViews>
    <sheetView workbookViewId="0">
      <selection activeCell="A2" sqref="A2:XFD45"/>
    </sheetView>
  </sheetViews>
  <sheetFormatPr baseColWidth="10" defaultRowHeight="14" customHeight="1" x14ac:dyDescent="0.2"/>
  <cols>
    <col min="1" max="1" width="39.83203125" style="156" bestFit="1" customWidth="1"/>
    <col min="2" max="44" width="10.83203125" style="156"/>
    <col min="67" max="16384" width="10.83203125" style="156"/>
  </cols>
  <sheetData>
    <row r="1" spans="1:66" ht="16" x14ac:dyDescent="0.2">
      <c r="A1" s="159" t="s">
        <v>120</v>
      </c>
      <c r="B1" s="118" t="s">
        <v>185</v>
      </c>
      <c r="C1" s="118" t="s">
        <v>186</v>
      </c>
      <c r="D1" s="118" t="s">
        <v>187</v>
      </c>
      <c r="E1" s="118" t="s">
        <v>188</v>
      </c>
      <c r="F1" s="118" t="s">
        <v>189</v>
      </c>
      <c r="G1" s="160" t="s">
        <v>190</v>
      </c>
      <c r="H1" s="160" t="s">
        <v>191</v>
      </c>
      <c r="I1" s="160" t="s">
        <v>192</v>
      </c>
      <c r="J1" s="160" t="s">
        <v>193</v>
      </c>
      <c r="K1" s="160" t="s">
        <v>194</v>
      </c>
      <c r="L1" s="160" t="s">
        <v>195</v>
      </c>
      <c r="M1" s="160" t="s">
        <v>196</v>
      </c>
      <c r="N1" s="160" t="s">
        <v>197</v>
      </c>
      <c r="O1" s="160" t="s">
        <v>198</v>
      </c>
      <c r="P1" s="160" t="s">
        <v>199</v>
      </c>
      <c r="Q1" s="118" t="s">
        <v>200</v>
      </c>
      <c r="R1" s="118" t="s">
        <v>201</v>
      </c>
      <c r="S1" s="118" t="s">
        <v>202</v>
      </c>
      <c r="T1" s="118" t="s">
        <v>203</v>
      </c>
      <c r="U1" s="118" t="s">
        <v>204</v>
      </c>
      <c r="V1" s="118" t="s">
        <v>205</v>
      </c>
      <c r="W1" s="118" t="s">
        <v>206</v>
      </c>
      <c r="X1" s="118" t="s">
        <v>207</v>
      </c>
      <c r="Y1" s="118" t="s">
        <v>208</v>
      </c>
      <c r="Z1" s="118" t="s">
        <v>209</v>
      </c>
      <c r="AA1" s="118" t="s">
        <v>210</v>
      </c>
      <c r="AB1" s="118" t="s">
        <v>211</v>
      </c>
      <c r="AC1" s="118" t="s">
        <v>212</v>
      </c>
      <c r="AD1" s="118" t="s">
        <v>213</v>
      </c>
      <c r="AE1" s="118" t="s">
        <v>214</v>
      </c>
      <c r="AF1" s="118" t="s">
        <v>215</v>
      </c>
      <c r="AG1" s="118" t="s">
        <v>216</v>
      </c>
      <c r="AH1" s="118" t="s">
        <v>217</v>
      </c>
      <c r="AI1" s="118" t="s">
        <v>218</v>
      </c>
      <c r="AJ1" s="118" t="s">
        <v>219</v>
      </c>
      <c r="AK1" s="118" t="s">
        <v>220</v>
      </c>
      <c r="AL1" s="118" t="s">
        <v>221</v>
      </c>
      <c r="AM1" s="118" t="s">
        <v>222</v>
      </c>
      <c r="AN1" s="118" t="s">
        <v>223</v>
      </c>
      <c r="AO1" s="118" t="s">
        <v>224</v>
      </c>
      <c r="AP1" s="118" t="s">
        <v>225</v>
      </c>
      <c r="AQ1" s="118" t="s">
        <v>227</v>
      </c>
      <c r="AR1" s="118" t="s">
        <v>125</v>
      </c>
    </row>
    <row r="2" spans="1:66" s="93" customFormat="1" ht="16" x14ac:dyDescent="0.2">
      <c r="A2" s="94" t="s">
        <v>185</v>
      </c>
      <c r="B2" s="115">
        <v>0.8</v>
      </c>
      <c r="C2" s="115">
        <v>0.8</v>
      </c>
      <c r="D2" s="115">
        <v>0.8</v>
      </c>
      <c r="E2" s="115">
        <v>0.8</v>
      </c>
      <c r="F2" s="115">
        <v>0.8</v>
      </c>
      <c r="G2" s="115">
        <v>0.8</v>
      </c>
      <c r="H2" s="115">
        <v>0.8</v>
      </c>
      <c r="I2" s="115">
        <v>0.8</v>
      </c>
      <c r="J2" s="115">
        <v>0.8</v>
      </c>
      <c r="K2" s="115">
        <v>0.8</v>
      </c>
      <c r="L2" s="115">
        <v>0.8</v>
      </c>
      <c r="M2" s="115">
        <v>0.8</v>
      </c>
      <c r="N2" s="115">
        <v>0.8</v>
      </c>
      <c r="O2" s="115">
        <v>0.8</v>
      </c>
      <c r="P2" s="115">
        <v>0.8</v>
      </c>
      <c r="Q2" s="115">
        <v>0.8</v>
      </c>
      <c r="R2" s="115">
        <v>0.8</v>
      </c>
      <c r="S2" s="115">
        <v>0.8</v>
      </c>
      <c r="T2" s="115">
        <v>0.8</v>
      </c>
      <c r="U2" s="115">
        <v>0.8</v>
      </c>
      <c r="V2" s="115">
        <v>0.8</v>
      </c>
      <c r="W2" s="115">
        <v>0.8</v>
      </c>
      <c r="X2" s="115">
        <v>0.8</v>
      </c>
      <c r="Y2" s="115">
        <v>0.8</v>
      </c>
      <c r="Z2" s="115">
        <v>0.8</v>
      </c>
      <c r="AA2" s="115">
        <v>0.8</v>
      </c>
      <c r="AB2" s="115">
        <v>0.8</v>
      </c>
      <c r="AC2" s="115">
        <v>0.8</v>
      </c>
      <c r="AD2" s="115">
        <v>0.8</v>
      </c>
      <c r="AE2" s="115">
        <v>0.8</v>
      </c>
      <c r="AF2" s="115">
        <v>0.8</v>
      </c>
      <c r="AG2" s="115">
        <v>0.8</v>
      </c>
      <c r="AH2" s="115">
        <v>0.8</v>
      </c>
      <c r="AI2" s="115">
        <v>0.8</v>
      </c>
      <c r="AJ2" s="115">
        <v>0.8</v>
      </c>
      <c r="AK2" s="115">
        <v>0.8</v>
      </c>
      <c r="AL2" s="115">
        <v>0.8</v>
      </c>
      <c r="AM2" s="115">
        <v>0.8</v>
      </c>
      <c r="AN2" s="115">
        <v>0.8</v>
      </c>
      <c r="AO2" s="115">
        <v>0.8</v>
      </c>
      <c r="AP2" s="115">
        <v>0.8</v>
      </c>
      <c r="AQ2" s="115">
        <v>0.8</v>
      </c>
      <c r="AR2" s="115">
        <v>0.8</v>
      </c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6" s="93" customFormat="1" ht="16" x14ac:dyDescent="0.2">
      <c r="A3" s="94" t="s">
        <v>186</v>
      </c>
      <c r="B3" s="115">
        <v>0.8</v>
      </c>
      <c r="C3" s="115">
        <v>0.8</v>
      </c>
      <c r="D3" s="115">
        <v>0.8</v>
      </c>
      <c r="E3" s="115">
        <v>0.8</v>
      </c>
      <c r="F3" s="115">
        <v>0.8</v>
      </c>
      <c r="G3" s="115">
        <v>0.8</v>
      </c>
      <c r="H3" s="115">
        <v>0.8</v>
      </c>
      <c r="I3" s="115">
        <v>0.8</v>
      </c>
      <c r="J3" s="115">
        <v>0.8</v>
      </c>
      <c r="K3" s="115">
        <v>0.8</v>
      </c>
      <c r="L3" s="115">
        <v>0.8</v>
      </c>
      <c r="M3" s="115">
        <v>0.8</v>
      </c>
      <c r="N3" s="115">
        <v>0.8</v>
      </c>
      <c r="O3" s="115">
        <v>0.8</v>
      </c>
      <c r="P3" s="115">
        <v>0.8</v>
      </c>
      <c r="Q3" s="115">
        <v>0.8</v>
      </c>
      <c r="R3" s="115">
        <v>0.8</v>
      </c>
      <c r="S3" s="115">
        <v>0.8</v>
      </c>
      <c r="T3" s="115">
        <v>0.8</v>
      </c>
      <c r="U3" s="115">
        <v>0.8</v>
      </c>
      <c r="V3" s="115">
        <v>0.8</v>
      </c>
      <c r="W3" s="115">
        <v>0.8</v>
      </c>
      <c r="X3" s="115">
        <v>0.8</v>
      </c>
      <c r="Y3" s="115">
        <v>0.8</v>
      </c>
      <c r="Z3" s="115">
        <v>0.8</v>
      </c>
      <c r="AA3" s="115">
        <v>0.8</v>
      </c>
      <c r="AB3" s="115">
        <v>0.8</v>
      </c>
      <c r="AC3" s="115">
        <v>0.8</v>
      </c>
      <c r="AD3" s="115">
        <v>0.8</v>
      </c>
      <c r="AE3" s="115">
        <v>0.8</v>
      </c>
      <c r="AF3" s="115">
        <v>0.8</v>
      </c>
      <c r="AG3" s="115">
        <v>0.8</v>
      </c>
      <c r="AH3" s="115">
        <v>0.8</v>
      </c>
      <c r="AI3" s="115">
        <v>0.8</v>
      </c>
      <c r="AJ3" s="115">
        <v>0.8</v>
      </c>
      <c r="AK3" s="115">
        <v>0.8</v>
      </c>
      <c r="AL3" s="115">
        <v>0.8</v>
      </c>
      <c r="AM3" s="115">
        <v>0.8</v>
      </c>
      <c r="AN3" s="115">
        <v>0.8</v>
      </c>
      <c r="AO3" s="115">
        <v>0.8</v>
      </c>
      <c r="AP3" s="115">
        <v>0.8</v>
      </c>
      <c r="AQ3" s="115">
        <v>0.8</v>
      </c>
      <c r="AR3" s="115">
        <v>0.8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6" s="93" customFormat="1" ht="16" x14ac:dyDescent="0.2">
      <c r="A4" s="94" t="s">
        <v>187</v>
      </c>
      <c r="B4" s="115">
        <v>0.8</v>
      </c>
      <c r="C4" s="115">
        <v>0.8</v>
      </c>
      <c r="D4" s="115">
        <v>0.8</v>
      </c>
      <c r="E4" s="115">
        <v>0.8</v>
      </c>
      <c r="F4" s="115">
        <v>0.8</v>
      </c>
      <c r="G4" s="115">
        <v>0.8</v>
      </c>
      <c r="H4" s="115">
        <v>0.8</v>
      </c>
      <c r="I4" s="115">
        <v>0.8</v>
      </c>
      <c r="J4" s="115">
        <v>0.8</v>
      </c>
      <c r="K4" s="115">
        <v>0.8</v>
      </c>
      <c r="L4" s="115">
        <v>0.8</v>
      </c>
      <c r="M4" s="115">
        <v>0.8</v>
      </c>
      <c r="N4" s="115">
        <v>0.8</v>
      </c>
      <c r="O4" s="115">
        <v>0.8</v>
      </c>
      <c r="P4" s="115">
        <v>0.8</v>
      </c>
      <c r="Q4" s="115">
        <v>0.8</v>
      </c>
      <c r="R4" s="115">
        <v>0.8</v>
      </c>
      <c r="S4" s="115">
        <v>0.8</v>
      </c>
      <c r="T4" s="115">
        <v>0.8</v>
      </c>
      <c r="U4" s="115">
        <v>0.8</v>
      </c>
      <c r="V4" s="115">
        <v>0.8</v>
      </c>
      <c r="W4" s="115">
        <v>0.8</v>
      </c>
      <c r="X4" s="115">
        <v>0.8</v>
      </c>
      <c r="Y4" s="115">
        <v>0.8</v>
      </c>
      <c r="Z4" s="115">
        <v>0.8</v>
      </c>
      <c r="AA4" s="115">
        <v>0.8</v>
      </c>
      <c r="AB4" s="115">
        <v>0.8</v>
      </c>
      <c r="AC4" s="115">
        <v>0.8</v>
      </c>
      <c r="AD4" s="115">
        <v>0.8</v>
      </c>
      <c r="AE4" s="115">
        <v>0.8</v>
      </c>
      <c r="AF4" s="115">
        <v>0.8</v>
      </c>
      <c r="AG4" s="115">
        <v>0.8</v>
      </c>
      <c r="AH4" s="115">
        <v>0.8</v>
      </c>
      <c r="AI4" s="115">
        <v>0.8</v>
      </c>
      <c r="AJ4" s="115">
        <v>0.8</v>
      </c>
      <c r="AK4" s="115">
        <v>0.8</v>
      </c>
      <c r="AL4" s="115">
        <v>0.8</v>
      </c>
      <c r="AM4" s="115">
        <v>0.8</v>
      </c>
      <c r="AN4" s="115">
        <v>0.8</v>
      </c>
      <c r="AO4" s="115">
        <v>0.8</v>
      </c>
      <c r="AP4" s="115">
        <v>0.8</v>
      </c>
      <c r="AQ4" s="115">
        <v>0.8</v>
      </c>
      <c r="AR4" s="115">
        <v>0.8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s="93" customFormat="1" ht="16" x14ac:dyDescent="0.2">
      <c r="A5" s="94" t="s">
        <v>188</v>
      </c>
      <c r="B5" s="115">
        <v>0.8</v>
      </c>
      <c r="C5" s="115">
        <v>0.8</v>
      </c>
      <c r="D5" s="115">
        <v>0.8</v>
      </c>
      <c r="E5" s="115">
        <v>0.8</v>
      </c>
      <c r="F5" s="115">
        <v>0.8</v>
      </c>
      <c r="G5" s="115">
        <v>0.8</v>
      </c>
      <c r="H5" s="115">
        <v>0.8</v>
      </c>
      <c r="I5" s="115">
        <v>0.8</v>
      </c>
      <c r="J5" s="115">
        <v>0.8</v>
      </c>
      <c r="K5" s="115">
        <v>0.8</v>
      </c>
      <c r="L5" s="115">
        <v>0.8</v>
      </c>
      <c r="M5" s="115">
        <v>0.8</v>
      </c>
      <c r="N5" s="115">
        <v>0.8</v>
      </c>
      <c r="O5" s="115">
        <v>0.8</v>
      </c>
      <c r="P5" s="115">
        <v>0.8</v>
      </c>
      <c r="Q5" s="115">
        <v>0.8</v>
      </c>
      <c r="R5" s="115">
        <v>0.8</v>
      </c>
      <c r="S5" s="115">
        <v>0.8</v>
      </c>
      <c r="T5" s="115">
        <v>0.8</v>
      </c>
      <c r="U5" s="115">
        <v>0.8</v>
      </c>
      <c r="V5" s="115">
        <v>0.8</v>
      </c>
      <c r="W5" s="115">
        <v>0.8</v>
      </c>
      <c r="X5" s="115">
        <v>0.8</v>
      </c>
      <c r="Y5" s="115">
        <v>0.8</v>
      </c>
      <c r="Z5" s="115">
        <v>0.8</v>
      </c>
      <c r="AA5" s="115">
        <v>0.8</v>
      </c>
      <c r="AB5" s="115">
        <v>0.8</v>
      </c>
      <c r="AC5" s="115">
        <v>0.8</v>
      </c>
      <c r="AD5" s="115">
        <v>0.8</v>
      </c>
      <c r="AE5" s="115">
        <v>0.8</v>
      </c>
      <c r="AF5" s="115">
        <v>0.8</v>
      </c>
      <c r="AG5" s="115">
        <v>0.8</v>
      </c>
      <c r="AH5" s="115">
        <v>0.8</v>
      </c>
      <c r="AI5" s="115">
        <v>0.8</v>
      </c>
      <c r="AJ5" s="115">
        <v>0.8</v>
      </c>
      <c r="AK5" s="115">
        <v>0.8</v>
      </c>
      <c r="AL5" s="115">
        <v>0.8</v>
      </c>
      <c r="AM5" s="115">
        <v>0.8</v>
      </c>
      <c r="AN5" s="115">
        <v>0.8</v>
      </c>
      <c r="AO5" s="115">
        <v>0.8</v>
      </c>
      <c r="AP5" s="115">
        <v>0.8</v>
      </c>
      <c r="AQ5" s="115">
        <v>0.8</v>
      </c>
      <c r="AR5" s="115">
        <v>0.8</v>
      </c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s="93" customFormat="1" ht="16" x14ac:dyDescent="0.2">
      <c r="A6" s="94" t="s">
        <v>189</v>
      </c>
      <c r="B6" s="115">
        <v>0.8</v>
      </c>
      <c r="C6" s="115">
        <v>0.8</v>
      </c>
      <c r="D6" s="115">
        <v>0.8</v>
      </c>
      <c r="E6" s="115">
        <v>0.8</v>
      </c>
      <c r="F6" s="115">
        <v>0.8</v>
      </c>
      <c r="G6" s="115">
        <v>0.8</v>
      </c>
      <c r="H6" s="115">
        <v>0.8</v>
      </c>
      <c r="I6" s="115">
        <v>0.8</v>
      </c>
      <c r="J6" s="115">
        <v>0.8</v>
      </c>
      <c r="K6" s="115">
        <v>0.8</v>
      </c>
      <c r="L6" s="115">
        <v>0.8</v>
      </c>
      <c r="M6" s="115">
        <v>0.8</v>
      </c>
      <c r="N6" s="115">
        <v>0.8</v>
      </c>
      <c r="O6" s="115">
        <v>0.8</v>
      </c>
      <c r="P6" s="115">
        <v>0.8</v>
      </c>
      <c r="Q6" s="115">
        <v>0.8</v>
      </c>
      <c r="R6" s="115">
        <v>0.8</v>
      </c>
      <c r="S6" s="115">
        <v>0.8</v>
      </c>
      <c r="T6" s="115">
        <v>0.8</v>
      </c>
      <c r="U6" s="115">
        <v>0.8</v>
      </c>
      <c r="V6" s="115">
        <v>0.8</v>
      </c>
      <c r="W6" s="115">
        <v>0.8</v>
      </c>
      <c r="X6" s="115">
        <v>0.8</v>
      </c>
      <c r="Y6" s="115">
        <v>0.8</v>
      </c>
      <c r="Z6" s="115">
        <v>0.8</v>
      </c>
      <c r="AA6" s="115">
        <v>0.8</v>
      </c>
      <c r="AB6" s="115">
        <v>0.8</v>
      </c>
      <c r="AC6" s="115">
        <v>0.8</v>
      </c>
      <c r="AD6" s="115">
        <v>0.8</v>
      </c>
      <c r="AE6" s="115">
        <v>0.8</v>
      </c>
      <c r="AF6" s="115">
        <v>0.8</v>
      </c>
      <c r="AG6" s="115">
        <v>0.8</v>
      </c>
      <c r="AH6" s="115">
        <v>0.8</v>
      </c>
      <c r="AI6" s="115">
        <v>0.8</v>
      </c>
      <c r="AJ6" s="115">
        <v>0.8</v>
      </c>
      <c r="AK6" s="115">
        <v>0.8</v>
      </c>
      <c r="AL6" s="115">
        <v>0.8</v>
      </c>
      <c r="AM6" s="115">
        <v>0.8</v>
      </c>
      <c r="AN6" s="115">
        <v>0.8</v>
      </c>
      <c r="AO6" s="115">
        <v>0.8</v>
      </c>
      <c r="AP6" s="115">
        <v>0.8</v>
      </c>
      <c r="AQ6" s="115">
        <v>0.8</v>
      </c>
      <c r="AR6" s="115">
        <v>0.8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s="93" customFormat="1" ht="16" x14ac:dyDescent="0.2">
      <c r="A7" s="94" t="s">
        <v>190</v>
      </c>
      <c r="B7" s="115">
        <v>0.8</v>
      </c>
      <c r="C7" s="115">
        <v>0.8</v>
      </c>
      <c r="D7" s="115">
        <v>0.8</v>
      </c>
      <c r="E7" s="115">
        <v>0.8</v>
      </c>
      <c r="F7" s="115">
        <v>0.8</v>
      </c>
      <c r="G7" s="115">
        <v>0.8</v>
      </c>
      <c r="H7" s="115">
        <v>0.8</v>
      </c>
      <c r="I7" s="115">
        <v>0.8</v>
      </c>
      <c r="J7" s="115">
        <v>0.8</v>
      </c>
      <c r="K7" s="115">
        <v>0.8</v>
      </c>
      <c r="L7" s="115">
        <v>0.8</v>
      </c>
      <c r="M7" s="115">
        <v>0.8</v>
      </c>
      <c r="N7" s="115">
        <v>0.8</v>
      </c>
      <c r="O7" s="115">
        <v>0.8</v>
      </c>
      <c r="P7" s="115">
        <v>0.8</v>
      </c>
      <c r="Q7" s="115">
        <v>0.8</v>
      </c>
      <c r="R7" s="115">
        <v>0.8</v>
      </c>
      <c r="S7" s="115">
        <v>0.8</v>
      </c>
      <c r="T7" s="115">
        <v>0.8</v>
      </c>
      <c r="U7" s="115">
        <v>0.8</v>
      </c>
      <c r="V7" s="115">
        <v>0.8</v>
      </c>
      <c r="W7" s="115">
        <v>0.8</v>
      </c>
      <c r="X7" s="115">
        <v>0.8</v>
      </c>
      <c r="Y7" s="115">
        <v>0.8</v>
      </c>
      <c r="Z7" s="115">
        <v>0.8</v>
      </c>
      <c r="AA7" s="115">
        <v>0.8</v>
      </c>
      <c r="AB7" s="115">
        <v>0.8</v>
      </c>
      <c r="AC7" s="115">
        <v>0.8</v>
      </c>
      <c r="AD7" s="115">
        <v>0.8</v>
      </c>
      <c r="AE7" s="115">
        <v>0.8</v>
      </c>
      <c r="AF7" s="115">
        <v>0.8</v>
      </c>
      <c r="AG7" s="115">
        <v>0.8</v>
      </c>
      <c r="AH7" s="115">
        <v>0.8</v>
      </c>
      <c r="AI7" s="115">
        <v>0.8</v>
      </c>
      <c r="AJ7" s="115">
        <v>0.8</v>
      </c>
      <c r="AK7" s="115">
        <v>0.8</v>
      </c>
      <c r="AL7" s="115">
        <v>0.8</v>
      </c>
      <c r="AM7" s="115">
        <v>0.8</v>
      </c>
      <c r="AN7" s="115">
        <v>0.8</v>
      </c>
      <c r="AO7" s="115">
        <v>0.8</v>
      </c>
      <c r="AP7" s="115">
        <v>0.8</v>
      </c>
      <c r="AQ7" s="115">
        <v>0.8</v>
      </c>
      <c r="AR7" s="115">
        <v>0.8</v>
      </c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s="93" customFormat="1" ht="16" x14ac:dyDescent="0.2">
      <c r="A8" s="94" t="s">
        <v>191</v>
      </c>
      <c r="B8" s="115">
        <v>0.8</v>
      </c>
      <c r="C8" s="115">
        <v>0.8</v>
      </c>
      <c r="D8" s="115">
        <v>0.8</v>
      </c>
      <c r="E8" s="115">
        <v>0.8</v>
      </c>
      <c r="F8" s="115">
        <v>0.8</v>
      </c>
      <c r="G8" s="115">
        <v>0.8</v>
      </c>
      <c r="H8" s="115">
        <v>0.8</v>
      </c>
      <c r="I8" s="115">
        <v>0.8</v>
      </c>
      <c r="J8" s="115">
        <v>0.8</v>
      </c>
      <c r="K8" s="115">
        <v>0.8</v>
      </c>
      <c r="L8" s="115">
        <v>0.8</v>
      </c>
      <c r="M8" s="115">
        <v>0.8</v>
      </c>
      <c r="N8" s="115">
        <v>0.8</v>
      </c>
      <c r="O8" s="115">
        <v>0.8</v>
      </c>
      <c r="P8" s="115">
        <v>0.8</v>
      </c>
      <c r="Q8" s="115">
        <v>0.8</v>
      </c>
      <c r="R8" s="115">
        <v>0.8</v>
      </c>
      <c r="S8" s="115">
        <v>0.8</v>
      </c>
      <c r="T8" s="115">
        <v>0.8</v>
      </c>
      <c r="U8" s="115">
        <v>0.8</v>
      </c>
      <c r="V8" s="115">
        <v>0.8</v>
      </c>
      <c r="W8" s="115">
        <v>0.8</v>
      </c>
      <c r="X8" s="115">
        <v>0.8</v>
      </c>
      <c r="Y8" s="115">
        <v>0.8</v>
      </c>
      <c r="Z8" s="115">
        <v>0.8</v>
      </c>
      <c r="AA8" s="115">
        <v>0.8</v>
      </c>
      <c r="AB8" s="115">
        <v>0.8</v>
      </c>
      <c r="AC8" s="115">
        <v>0.8</v>
      </c>
      <c r="AD8" s="115">
        <v>0.8</v>
      </c>
      <c r="AE8" s="115">
        <v>0.8</v>
      </c>
      <c r="AF8" s="115">
        <v>0.8</v>
      </c>
      <c r="AG8" s="115">
        <v>0.8</v>
      </c>
      <c r="AH8" s="115">
        <v>0.8</v>
      </c>
      <c r="AI8" s="115">
        <v>0.8</v>
      </c>
      <c r="AJ8" s="115">
        <v>0.8</v>
      </c>
      <c r="AK8" s="115">
        <v>0.8</v>
      </c>
      <c r="AL8" s="115">
        <v>0.8</v>
      </c>
      <c r="AM8" s="115">
        <v>0.8</v>
      </c>
      <c r="AN8" s="115">
        <v>0.8</v>
      </c>
      <c r="AO8" s="115">
        <v>0.8</v>
      </c>
      <c r="AP8" s="115">
        <v>0.8</v>
      </c>
      <c r="AQ8" s="115">
        <v>0.8</v>
      </c>
      <c r="AR8" s="115">
        <v>0.8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s="93" customFormat="1" ht="16" x14ac:dyDescent="0.2">
      <c r="A9" s="94" t="s">
        <v>192</v>
      </c>
      <c r="B9" s="115">
        <v>0.8</v>
      </c>
      <c r="C9" s="115">
        <v>0.8</v>
      </c>
      <c r="D9" s="115">
        <v>0.8</v>
      </c>
      <c r="E9" s="115">
        <v>0.8</v>
      </c>
      <c r="F9" s="115">
        <v>0.8</v>
      </c>
      <c r="G9" s="115">
        <v>0.8</v>
      </c>
      <c r="H9" s="115">
        <v>0.8</v>
      </c>
      <c r="I9" s="115">
        <v>0.8</v>
      </c>
      <c r="J9" s="115">
        <v>0.8</v>
      </c>
      <c r="K9" s="115">
        <v>0.8</v>
      </c>
      <c r="L9" s="115">
        <v>0.8</v>
      </c>
      <c r="M9" s="115">
        <v>0.8</v>
      </c>
      <c r="N9" s="115">
        <v>0.8</v>
      </c>
      <c r="O9" s="115">
        <v>0.8</v>
      </c>
      <c r="P9" s="115">
        <v>0.8</v>
      </c>
      <c r="Q9" s="115">
        <v>0.8</v>
      </c>
      <c r="R9" s="115">
        <v>0.8</v>
      </c>
      <c r="S9" s="115">
        <v>0.8</v>
      </c>
      <c r="T9" s="115">
        <v>0.8</v>
      </c>
      <c r="U9" s="115">
        <v>0.8</v>
      </c>
      <c r="V9" s="115">
        <v>0.8</v>
      </c>
      <c r="W9" s="115">
        <v>0.8</v>
      </c>
      <c r="X9" s="115">
        <v>0.8</v>
      </c>
      <c r="Y9" s="115">
        <v>0.8</v>
      </c>
      <c r="Z9" s="115">
        <v>0.8</v>
      </c>
      <c r="AA9" s="115">
        <v>0.8</v>
      </c>
      <c r="AB9" s="115">
        <v>0.8</v>
      </c>
      <c r="AC9" s="115">
        <v>0.8</v>
      </c>
      <c r="AD9" s="115">
        <v>0.8</v>
      </c>
      <c r="AE9" s="115">
        <v>0.8</v>
      </c>
      <c r="AF9" s="115">
        <v>0.8</v>
      </c>
      <c r="AG9" s="115">
        <v>0.8</v>
      </c>
      <c r="AH9" s="115">
        <v>0.8</v>
      </c>
      <c r="AI9" s="115">
        <v>0.8</v>
      </c>
      <c r="AJ9" s="115">
        <v>0.8</v>
      </c>
      <c r="AK9" s="115">
        <v>0.8</v>
      </c>
      <c r="AL9" s="115">
        <v>0.8</v>
      </c>
      <c r="AM9" s="115">
        <v>0.8</v>
      </c>
      <c r="AN9" s="115">
        <v>0.8</v>
      </c>
      <c r="AO9" s="115">
        <v>0.8</v>
      </c>
      <c r="AP9" s="115">
        <v>0.8</v>
      </c>
      <c r="AQ9" s="115">
        <v>0.8</v>
      </c>
      <c r="AR9" s="115">
        <v>0.8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s="93" customFormat="1" ht="16" x14ac:dyDescent="0.2">
      <c r="A10" s="94" t="s">
        <v>193</v>
      </c>
      <c r="B10" s="115">
        <v>0.8</v>
      </c>
      <c r="C10" s="115">
        <v>0.8</v>
      </c>
      <c r="D10" s="115">
        <v>0.8</v>
      </c>
      <c r="E10" s="115">
        <v>0.8</v>
      </c>
      <c r="F10" s="115">
        <v>0.8</v>
      </c>
      <c r="G10" s="115">
        <v>0.8</v>
      </c>
      <c r="H10" s="115">
        <v>0.8</v>
      </c>
      <c r="I10" s="115">
        <v>0.8</v>
      </c>
      <c r="J10" s="115">
        <v>0.8</v>
      </c>
      <c r="K10" s="115">
        <v>0.8</v>
      </c>
      <c r="L10" s="115">
        <v>0.8</v>
      </c>
      <c r="M10" s="115">
        <v>0.8</v>
      </c>
      <c r="N10" s="115">
        <v>0.8</v>
      </c>
      <c r="O10" s="115">
        <v>0.8</v>
      </c>
      <c r="P10" s="115">
        <v>0.8</v>
      </c>
      <c r="Q10" s="115">
        <v>0.8</v>
      </c>
      <c r="R10" s="115">
        <v>0.8</v>
      </c>
      <c r="S10" s="115">
        <v>0.8</v>
      </c>
      <c r="T10" s="115">
        <v>0.8</v>
      </c>
      <c r="U10" s="115">
        <v>0.8</v>
      </c>
      <c r="V10" s="115">
        <v>0.8</v>
      </c>
      <c r="W10" s="115">
        <v>0.8</v>
      </c>
      <c r="X10" s="115">
        <v>0.8</v>
      </c>
      <c r="Y10" s="115">
        <v>0.8</v>
      </c>
      <c r="Z10" s="115">
        <v>0.8</v>
      </c>
      <c r="AA10" s="115">
        <v>0.8</v>
      </c>
      <c r="AB10" s="115">
        <v>0.8</v>
      </c>
      <c r="AC10" s="115">
        <v>0.8</v>
      </c>
      <c r="AD10" s="115">
        <v>0.8</v>
      </c>
      <c r="AE10" s="115">
        <v>0.8</v>
      </c>
      <c r="AF10" s="115">
        <v>0.8</v>
      </c>
      <c r="AG10" s="115">
        <v>0.8</v>
      </c>
      <c r="AH10" s="115">
        <v>0.8</v>
      </c>
      <c r="AI10" s="115">
        <v>0.8</v>
      </c>
      <c r="AJ10" s="115">
        <v>0.8</v>
      </c>
      <c r="AK10" s="115">
        <v>0.8</v>
      </c>
      <c r="AL10" s="115">
        <v>0.8</v>
      </c>
      <c r="AM10" s="115">
        <v>0.8</v>
      </c>
      <c r="AN10" s="115">
        <v>0.8</v>
      </c>
      <c r="AO10" s="115">
        <v>0.8</v>
      </c>
      <c r="AP10" s="115">
        <v>0.8</v>
      </c>
      <c r="AQ10" s="115">
        <v>0.8</v>
      </c>
      <c r="AR10" s="115">
        <v>0.8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93" customFormat="1" ht="16" x14ac:dyDescent="0.2">
      <c r="A11" s="94" t="s">
        <v>194</v>
      </c>
      <c r="B11" s="115">
        <v>0.8</v>
      </c>
      <c r="C11" s="115">
        <v>0.8</v>
      </c>
      <c r="D11" s="115">
        <v>0.8</v>
      </c>
      <c r="E11" s="115">
        <v>0.8</v>
      </c>
      <c r="F11" s="115">
        <v>0.8</v>
      </c>
      <c r="G11" s="115">
        <v>0.8</v>
      </c>
      <c r="H11" s="115">
        <v>0.8</v>
      </c>
      <c r="I11" s="115">
        <v>0.8</v>
      </c>
      <c r="J11" s="115">
        <v>0.8</v>
      </c>
      <c r="K11" s="115">
        <v>0.8</v>
      </c>
      <c r="L11" s="115">
        <v>0.8</v>
      </c>
      <c r="M11" s="115">
        <v>0.8</v>
      </c>
      <c r="N11" s="115">
        <v>0.8</v>
      </c>
      <c r="O11" s="115">
        <v>0.8</v>
      </c>
      <c r="P11" s="115">
        <v>0.8</v>
      </c>
      <c r="Q11" s="115">
        <v>0.8</v>
      </c>
      <c r="R11" s="115">
        <v>0.8</v>
      </c>
      <c r="S11" s="115">
        <v>0.8</v>
      </c>
      <c r="T11" s="115">
        <v>0.8</v>
      </c>
      <c r="U11" s="115">
        <v>0.8</v>
      </c>
      <c r="V11" s="115">
        <v>0.8</v>
      </c>
      <c r="W11" s="115">
        <v>0.8</v>
      </c>
      <c r="X11" s="115">
        <v>0.8</v>
      </c>
      <c r="Y11" s="115">
        <v>0.8</v>
      </c>
      <c r="Z11" s="115">
        <v>0.8</v>
      </c>
      <c r="AA11" s="115">
        <v>0.8</v>
      </c>
      <c r="AB11" s="115">
        <v>0.8</v>
      </c>
      <c r="AC11" s="115">
        <v>0.8</v>
      </c>
      <c r="AD11" s="115">
        <v>0.8</v>
      </c>
      <c r="AE11" s="115">
        <v>0.8</v>
      </c>
      <c r="AF11" s="115">
        <v>0.8</v>
      </c>
      <c r="AG11" s="115">
        <v>0.8</v>
      </c>
      <c r="AH11" s="115">
        <v>0.8</v>
      </c>
      <c r="AI11" s="115">
        <v>0.8</v>
      </c>
      <c r="AJ11" s="115">
        <v>0.8</v>
      </c>
      <c r="AK11" s="115">
        <v>0.8</v>
      </c>
      <c r="AL11" s="115">
        <v>0.8</v>
      </c>
      <c r="AM11" s="115">
        <v>0.8</v>
      </c>
      <c r="AN11" s="115">
        <v>0.8</v>
      </c>
      <c r="AO11" s="115">
        <v>0.8</v>
      </c>
      <c r="AP11" s="115">
        <v>0.8</v>
      </c>
      <c r="AQ11" s="115">
        <v>0.8</v>
      </c>
      <c r="AR11" s="115">
        <v>0.8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s="93" customFormat="1" ht="16" x14ac:dyDescent="0.2">
      <c r="A12" s="94" t="s">
        <v>195</v>
      </c>
      <c r="B12" s="115">
        <v>0.8</v>
      </c>
      <c r="C12" s="115">
        <v>0.8</v>
      </c>
      <c r="D12" s="115">
        <v>0.8</v>
      </c>
      <c r="E12" s="115">
        <v>0.8</v>
      </c>
      <c r="F12" s="115">
        <v>0.8</v>
      </c>
      <c r="G12" s="115">
        <v>0.8</v>
      </c>
      <c r="H12" s="115">
        <v>0.8</v>
      </c>
      <c r="I12" s="115">
        <v>0.8</v>
      </c>
      <c r="J12" s="115">
        <v>0.8</v>
      </c>
      <c r="K12" s="115">
        <v>0.8</v>
      </c>
      <c r="L12" s="115">
        <v>0.8</v>
      </c>
      <c r="M12" s="115">
        <v>0.8</v>
      </c>
      <c r="N12" s="115">
        <v>0.8</v>
      </c>
      <c r="O12" s="115">
        <v>0.8</v>
      </c>
      <c r="P12" s="115">
        <v>0.8</v>
      </c>
      <c r="Q12" s="115">
        <v>0.8</v>
      </c>
      <c r="R12" s="115">
        <v>0.8</v>
      </c>
      <c r="S12" s="115">
        <v>0.8</v>
      </c>
      <c r="T12" s="115">
        <v>0.8</v>
      </c>
      <c r="U12" s="115">
        <v>0.8</v>
      </c>
      <c r="V12" s="115">
        <v>0.8</v>
      </c>
      <c r="W12" s="115">
        <v>0.8</v>
      </c>
      <c r="X12" s="115">
        <v>0.8</v>
      </c>
      <c r="Y12" s="115">
        <v>0.8</v>
      </c>
      <c r="Z12" s="115">
        <v>0.8</v>
      </c>
      <c r="AA12" s="115">
        <v>0.8</v>
      </c>
      <c r="AB12" s="115">
        <v>0.8</v>
      </c>
      <c r="AC12" s="115">
        <v>0.8</v>
      </c>
      <c r="AD12" s="115">
        <v>0.8</v>
      </c>
      <c r="AE12" s="115">
        <v>0.8</v>
      </c>
      <c r="AF12" s="115">
        <v>0.8</v>
      </c>
      <c r="AG12" s="115">
        <v>0.8</v>
      </c>
      <c r="AH12" s="115">
        <v>0.8</v>
      </c>
      <c r="AI12" s="115">
        <v>0.8</v>
      </c>
      <c r="AJ12" s="115">
        <v>0.8</v>
      </c>
      <c r="AK12" s="115">
        <v>0.8</v>
      </c>
      <c r="AL12" s="115">
        <v>0.8</v>
      </c>
      <c r="AM12" s="115">
        <v>0.8</v>
      </c>
      <c r="AN12" s="115">
        <v>0.8</v>
      </c>
      <c r="AO12" s="115">
        <v>0.8</v>
      </c>
      <c r="AP12" s="115">
        <v>0.8</v>
      </c>
      <c r="AQ12" s="115">
        <v>0.8</v>
      </c>
      <c r="AR12" s="115">
        <v>0.8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93" customFormat="1" ht="16" x14ac:dyDescent="0.2">
      <c r="A13" s="94" t="s">
        <v>196</v>
      </c>
      <c r="B13" s="115">
        <v>0.8</v>
      </c>
      <c r="C13" s="115">
        <v>0.8</v>
      </c>
      <c r="D13" s="115">
        <v>0.8</v>
      </c>
      <c r="E13" s="115">
        <v>0.8</v>
      </c>
      <c r="F13" s="115">
        <v>0.8</v>
      </c>
      <c r="G13" s="115">
        <v>0.8</v>
      </c>
      <c r="H13" s="115">
        <v>0.8</v>
      </c>
      <c r="I13" s="115">
        <v>0.8</v>
      </c>
      <c r="J13" s="115">
        <v>0.8</v>
      </c>
      <c r="K13" s="115">
        <v>0.8</v>
      </c>
      <c r="L13" s="115">
        <v>0.8</v>
      </c>
      <c r="M13" s="115">
        <v>0.8</v>
      </c>
      <c r="N13" s="115">
        <v>0.8</v>
      </c>
      <c r="O13" s="115">
        <v>0.8</v>
      </c>
      <c r="P13" s="115">
        <v>0.8</v>
      </c>
      <c r="Q13" s="115">
        <v>0.8</v>
      </c>
      <c r="R13" s="115">
        <v>0.8</v>
      </c>
      <c r="S13" s="115">
        <v>0.8</v>
      </c>
      <c r="T13" s="115">
        <v>0.8</v>
      </c>
      <c r="U13" s="115">
        <v>0.8</v>
      </c>
      <c r="V13" s="115">
        <v>0.8</v>
      </c>
      <c r="W13" s="115">
        <v>0.8</v>
      </c>
      <c r="X13" s="115">
        <v>0.8</v>
      </c>
      <c r="Y13" s="115">
        <v>0.8</v>
      </c>
      <c r="Z13" s="115">
        <v>0.8</v>
      </c>
      <c r="AA13" s="115">
        <v>0.8</v>
      </c>
      <c r="AB13" s="115">
        <v>0.8</v>
      </c>
      <c r="AC13" s="115">
        <v>0.8</v>
      </c>
      <c r="AD13" s="115">
        <v>0.8</v>
      </c>
      <c r="AE13" s="115">
        <v>0.8</v>
      </c>
      <c r="AF13" s="115">
        <v>0.8</v>
      </c>
      <c r="AG13" s="115">
        <v>0.8</v>
      </c>
      <c r="AH13" s="115">
        <v>0.8</v>
      </c>
      <c r="AI13" s="115">
        <v>0.8</v>
      </c>
      <c r="AJ13" s="115">
        <v>0.8</v>
      </c>
      <c r="AK13" s="115">
        <v>0.8</v>
      </c>
      <c r="AL13" s="115">
        <v>0.8</v>
      </c>
      <c r="AM13" s="115">
        <v>0.8</v>
      </c>
      <c r="AN13" s="115">
        <v>0.8</v>
      </c>
      <c r="AO13" s="115">
        <v>0.8</v>
      </c>
      <c r="AP13" s="115">
        <v>0.8</v>
      </c>
      <c r="AQ13" s="115">
        <v>0.8</v>
      </c>
      <c r="AR13" s="115">
        <v>0.8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s="93" customFormat="1" ht="16" x14ac:dyDescent="0.2">
      <c r="A14" s="94" t="s">
        <v>197</v>
      </c>
      <c r="B14" s="115">
        <v>0.8</v>
      </c>
      <c r="C14" s="115">
        <v>0.8</v>
      </c>
      <c r="D14" s="115">
        <v>0.8</v>
      </c>
      <c r="E14" s="115">
        <v>0.8</v>
      </c>
      <c r="F14" s="115">
        <v>0.8</v>
      </c>
      <c r="G14" s="115">
        <v>0.8</v>
      </c>
      <c r="H14" s="115">
        <v>0.8</v>
      </c>
      <c r="I14" s="115">
        <v>0.8</v>
      </c>
      <c r="J14" s="115">
        <v>0.8</v>
      </c>
      <c r="K14" s="115">
        <v>0.8</v>
      </c>
      <c r="L14" s="115">
        <v>0.8</v>
      </c>
      <c r="M14" s="115">
        <v>0.8</v>
      </c>
      <c r="N14" s="115">
        <v>0.8</v>
      </c>
      <c r="O14" s="115">
        <v>0.8</v>
      </c>
      <c r="P14" s="115">
        <v>0.8</v>
      </c>
      <c r="Q14" s="115">
        <v>0.8</v>
      </c>
      <c r="R14" s="115">
        <v>0.8</v>
      </c>
      <c r="S14" s="115">
        <v>0.8</v>
      </c>
      <c r="T14" s="115">
        <v>0.8</v>
      </c>
      <c r="U14" s="115">
        <v>0.8</v>
      </c>
      <c r="V14" s="115">
        <v>0.8</v>
      </c>
      <c r="W14" s="115">
        <v>0.8</v>
      </c>
      <c r="X14" s="115">
        <v>0.8</v>
      </c>
      <c r="Y14" s="115">
        <v>0.8</v>
      </c>
      <c r="Z14" s="115">
        <v>0.8</v>
      </c>
      <c r="AA14" s="115">
        <v>0.8</v>
      </c>
      <c r="AB14" s="115">
        <v>0.8</v>
      </c>
      <c r="AC14" s="115">
        <v>0.8</v>
      </c>
      <c r="AD14" s="115">
        <v>0.8</v>
      </c>
      <c r="AE14" s="115">
        <v>0.8</v>
      </c>
      <c r="AF14" s="115">
        <v>0.8</v>
      </c>
      <c r="AG14" s="115">
        <v>0.8</v>
      </c>
      <c r="AH14" s="115">
        <v>0.8</v>
      </c>
      <c r="AI14" s="115">
        <v>0.8</v>
      </c>
      <c r="AJ14" s="115">
        <v>0.8</v>
      </c>
      <c r="AK14" s="115">
        <v>0.8</v>
      </c>
      <c r="AL14" s="115">
        <v>0.8</v>
      </c>
      <c r="AM14" s="115">
        <v>0.8</v>
      </c>
      <c r="AN14" s="115">
        <v>0.8</v>
      </c>
      <c r="AO14" s="115">
        <v>0.8</v>
      </c>
      <c r="AP14" s="115">
        <v>0.8</v>
      </c>
      <c r="AQ14" s="115">
        <v>0.8</v>
      </c>
      <c r="AR14" s="115">
        <v>0.8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s="93" customFormat="1" ht="16" x14ac:dyDescent="0.2">
      <c r="A15" s="94" t="s">
        <v>198</v>
      </c>
      <c r="B15" s="115">
        <v>0.8</v>
      </c>
      <c r="C15" s="115">
        <v>0.8</v>
      </c>
      <c r="D15" s="115">
        <v>0.8</v>
      </c>
      <c r="E15" s="115">
        <v>0.8</v>
      </c>
      <c r="F15" s="115">
        <v>0.8</v>
      </c>
      <c r="G15" s="115">
        <v>0.8</v>
      </c>
      <c r="H15" s="115">
        <v>0.8</v>
      </c>
      <c r="I15" s="115">
        <v>0.8</v>
      </c>
      <c r="J15" s="115">
        <v>0.8</v>
      </c>
      <c r="K15" s="115">
        <v>0.8</v>
      </c>
      <c r="L15" s="115">
        <v>0.8</v>
      </c>
      <c r="M15" s="115">
        <v>0.8</v>
      </c>
      <c r="N15" s="115">
        <v>0.8</v>
      </c>
      <c r="O15" s="115">
        <v>0.8</v>
      </c>
      <c r="P15" s="115">
        <v>0.8</v>
      </c>
      <c r="Q15" s="115">
        <v>0.8</v>
      </c>
      <c r="R15" s="115">
        <v>0.8</v>
      </c>
      <c r="S15" s="115">
        <v>0.8</v>
      </c>
      <c r="T15" s="115">
        <v>0.8</v>
      </c>
      <c r="U15" s="115">
        <v>0.8</v>
      </c>
      <c r="V15" s="115">
        <v>0.8</v>
      </c>
      <c r="W15" s="115">
        <v>0.8</v>
      </c>
      <c r="X15" s="115">
        <v>0.8</v>
      </c>
      <c r="Y15" s="115">
        <v>0.8</v>
      </c>
      <c r="Z15" s="115">
        <v>0.8</v>
      </c>
      <c r="AA15" s="115">
        <v>0.8</v>
      </c>
      <c r="AB15" s="115">
        <v>0.8</v>
      </c>
      <c r="AC15" s="115">
        <v>0.8</v>
      </c>
      <c r="AD15" s="115">
        <v>0.8</v>
      </c>
      <c r="AE15" s="115">
        <v>0.8</v>
      </c>
      <c r="AF15" s="115">
        <v>0.8</v>
      </c>
      <c r="AG15" s="115">
        <v>0.8</v>
      </c>
      <c r="AH15" s="115">
        <v>0.8</v>
      </c>
      <c r="AI15" s="115">
        <v>0.8</v>
      </c>
      <c r="AJ15" s="115">
        <v>0.8</v>
      </c>
      <c r="AK15" s="115">
        <v>0.8</v>
      </c>
      <c r="AL15" s="115">
        <v>0.8</v>
      </c>
      <c r="AM15" s="115">
        <v>0.8</v>
      </c>
      <c r="AN15" s="115">
        <v>0.8</v>
      </c>
      <c r="AO15" s="115">
        <v>0.8</v>
      </c>
      <c r="AP15" s="115">
        <v>0.8</v>
      </c>
      <c r="AQ15" s="115">
        <v>0.8</v>
      </c>
      <c r="AR15" s="115">
        <v>0.8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s="93" customFormat="1" ht="16" x14ac:dyDescent="0.2">
      <c r="A16" s="94" t="s">
        <v>199</v>
      </c>
      <c r="B16" s="115">
        <v>0.8</v>
      </c>
      <c r="C16" s="115">
        <v>0.8</v>
      </c>
      <c r="D16" s="115">
        <v>0.8</v>
      </c>
      <c r="E16" s="115">
        <v>0.8</v>
      </c>
      <c r="F16" s="115">
        <v>0.8</v>
      </c>
      <c r="G16" s="115">
        <v>0.8</v>
      </c>
      <c r="H16" s="115">
        <v>0.8</v>
      </c>
      <c r="I16" s="115">
        <v>0.8</v>
      </c>
      <c r="J16" s="115">
        <v>0.8</v>
      </c>
      <c r="K16" s="115">
        <v>0.8</v>
      </c>
      <c r="L16" s="115">
        <v>0.8</v>
      </c>
      <c r="M16" s="115">
        <v>0.8</v>
      </c>
      <c r="N16" s="115">
        <v>0.8</v>
      </c>
      <c r="O16" s="115">
        <v>0.8</v>
      </c>
      <c r="P16" s="115">
        <v>0.8</v>
      </c>
      <c r="Q16" s="115">
        <v>0.8</v>
      </c>
      <c r="R16" s="115">
        <v>0.8</v>
      </c>
      <c r="S16" s="115">
        <v>0.8</v>
      </c>
      <c r="T16" s="115">
        <v>0.8</v>
      </c>
      <c r="U16" s="115">
        <v>0.8</v>
      </c>
      <c r="V16" s="115">
        <v>0.8</v>
      </c>
      <c r="W16" s="115">
        <v>0.8</v>
      </c>
      <c r="X16" s="115">
        <v>0.8</v>
      </c>
      <c r="Y16" s="115">
        <v>0.8</v>
      </c>
      <c r="Z16" s="115">
        <v>0.8</v>
      </c>
      <c r="AA16" s="115">
        <v>0.8</v>
      </c>
      <c r="AB16" s="115">
        <v>0.8</v>
      </c>
      <c r="AC16" s="115">
        <v>0.8</v>
      </c>
      <c r="AD16" s="115">
        <v>0.8</v>
      </c>
      <c r="AE16" s="115">
        <v>0.8</v>
      </c>
      <c r="AF16" s="115">
        <v>0.8</v>
      </c>
      <c r="AG16" s="115">
        <v>0.8</v>
      </c>
      <c r="AH16" s="115">
        <v>0.8</v>
      </c>
      <c r="AI16" s="115">
        <v>0.8</v>
      </c>
      <c r="AJ16" s="115">
        <v>0.8</v>
      </c>
      <c r="AK16" s="115">
        <v>0.8</v>
      </c>
      <c r="AL16" s="115">
        <v>0.8</v>
      </c>
      <c r="AM16" s="115">
        <v>0.8</v>
      </c>
      <c r="AN16" s="115">
        <v>0.8</v>
      </c>
      <c r="AO16" s="115">
        <v>0.8</v>
      </c>
      <c r="AP16" s="115">
        <v>0.8</v>
      </c>
      <c r="AQ16" s="115">
        <v>0.8</v>
      </c>
      <c r="AR16" s="115">
        <v>0.8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s="93" customFormat="1" ht="16" x14ac:dyDescent="0.2">
      <c r="A17" s="94" t="s">
        <v>200</v>
      </c>
      <c r="B17" s="115">
        <v>0.8</v>
      </c>
      <c r="C17" s="115">
        <v>0.8</v>
      </c>
      <c r="D17" s="115">
        <v>0.8</v>
      </c>
      <c r="E17" s="115">
        <v>0.8</v>
      </c>
      <c r="F17" s="115">
        <v>0.8</v>
      </c>
      <c r="G17" s="115">
        <v>0.8</v>
      </c>
      <c r="H17" s="115">
        <v>0.8</v>
      </c>
      <c r="I17" s="115">
        <v>0.8</v>
      </c>
      <c r="J17" s="115">
        <v>0.8</v>
      </c>
      <c r="K17" s="115">
        <v>0.8</v>
      </c>
      <c r="L17" s="115">
        <v>0.8</v>
      </c>
      <c r="M17" s="115">
        <v>0.8</v>
      </c>
      <c r="N17" s="115">
        <v>0.8</v>
      </c>
      <c r="O17" s="115">
        <v>0.8</v>
      </c>
      <c r="P17" s="115">
        <v>0.8</v>
      </c>
      <c r="Q17" s="115">
        <v>0.8</v>
      </c>
      <c r="R17" s="115">
        <v>0.8</v>
      </c>
      <c r="S17" s="115">
        <v>0.8</v>
      </c>
      <c r="T17" s="115">
        <v>0.8</v>
      </c>
      <c r="U17" s="115">
        <v>0.8</v>
      </c>
      <c r="V17" s="115">
        <v>0.8</v>
      </c>
      <c r="W17" s="115">
        <v>0.8</v>
      </c>
      <c r="X17" s="115">
        <v>0.8</v>
      </c>
      <c r="Y17" s="115">
        <v>0.8</v>
      </c>
      <c r="Z17" s="115">
        <v>0.8</v>
      </c>
      <c r="AA17" s="115">
        <v>0.8</v>
      </c>
      <c r="AB17" s="115">
        <v>0.8</v>
      </c>
      <c r="AC17" s="115">
        <v>0.8</v>
      </c>
      <c r="AD17" s="115">
        <v>0.8</v>
      </c>
      <c r="AE17" s="115">
        <v>0.8</v>
      </c>
      <c r="AF17" s="115">
        <v>0.8</v>
      </c>
      <c r="AG17" s="115">
        <v>0.8</v>
      </c>
      <c r="AH17" s="115">
        <v>0.8</v>
      </c>
      <c r="AI17" s="115">
        <v>0.8</v>
      </c>
      <c r="AJ17" s="115">
        <v>0.8</v>
      </c>
      <c r="AK17" s="115">
        <v>0.8</v>
      </c>
      <c r="AL17" s="115">
        <v>0.8</v>
      </c>
      <c r="AM17" s="115">
        <v>0.8</v>
      </c>
      <c r="AN17" s="115">
        <v>0.8</v>
      </c>
      <c r="AO17" s="115">
        <v>0.8</v>
      </c>
      <c r="AP17" s="115">
        <v>0.8</v>
      </c>
      <c r="AQ17" s="115">
        <v>0.8</v>
      </c>
      <c r="AR17" s="115">
        <v>0.8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s="93" customFormat="1" ht="16" x14ac:dyDescent="0.2">
      <c r="A18" s="94" t="s">
        <v>201</v>
      </c>
      <c r="B18" s="115">
        <v>0.8</v>
      </c>
      <c r="C18" s="115">
        <v>0.8</v>
      </c>
      <c r="D18" s="115">
        <v>0.8</v>
      </c>
      <c r="E18" s="115">
        <v>0.8</v>
      </c>
      <c r="F18" s="115">
        <v>0.8</v>
      </c>
      <c r="G18" s="115">
        <v>0.8</v>
      </c>
      <c r="H18" s="115">
        <v>0.8</v>
      </c>
      <c r="I18" s="115">
        <v>0.8</v>
      </c>
      <c r="J18" s="115">
        <v>0.8</v>
      </c>
      <c r="K18" s="115">
        <v>0.8</v>
      </c>
      <c r="L18" s="115">
        <v>0.8</v>
      </c>
      <c r="M18" s="115">
        <v>0.8</v>
      </c>
      <c r="N18" s="115">
        <v>0.8</v>
      </c>
      <c r="O18" s="115">
        <v>0.8</v>
      </c>
      <c r="P18" s="115">
        <v>0.8</v>
      </c>
      <c r="Q18" s="115">
        <v>0.8</v>
      </c>
      <c r="R18" s="115">
        <v>0.8</v>
      </c>
      <c r="S18" s="115">
        <v>0.8</v>
      </c>
      <c r="T18" s="115">
        <v>0.8</v>
      </c>
      <c r="U18" s="115">
        <v>0.8</v>
      </c>
      <c r="V18" s="115">
        <v>0.8</v>
      </c>
      <c r="W18" s="115">
        <v>0.8</v>
      </c>
      <c r="X18" s="115">
        <v>0.8</v>
      </c>
      <c r="Y18" s="115">
        <v>0.8</v>
      </c>
      <c r="Z18" s="115">
        <v>0.8</v>
      </c>
      <c r="AA18" s="115">
        <v>0.8</v>
      </c>
      <c r="AB18" s="115">
        <v>0.8</v>
      </c>
      <c r="AC18" s="115">
        <v>0.8</v>
      </c>
      <c r="AD18" s="115">
        <v>0.8</v>
      </c>
      <c r="AE18" s="115">
        <v>0.8</v>
      </c>
      <c r="AF18" s="115">
        <v>0.8</v>
      </c>
      <c r="AG18" s="115">
        <v>0.8</v>
      </c>
      <c r="AH18" s="115">
        <v>0.8</v>
      </c>
      <c r="AI18" s="115">
        <v>0.8</v>
      </c>
      <c r="AJ18" s="115">
        <v>0.8</v>
      </c>
      <c r="AK18" s="115">
        <v>0.8</v>
      </c>
      <c r="AL18" s="115">
        <v>0.8</v>
      </c>
      <c r="AM18" s="115">
        <v>0.8</v>
      </c>
      <c r="AN18" s="115">
        <v>0.8</v>
      </c>
      <c r="AO18" s="115">
        <v>0.8</v>
      </c>
      <c r="AP18" s="115">
        <v>0.8</v>
      </c>
      <c r="AQ18" s="115">
        <v>0.8</v>
      </c>
      <c r="AR18" s="115">
        <v>0.8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s="93" customFormat="1" ht="16" x14ac:dyDescent="0.2">
      <c r="A19" s="94" t="s">
        <v>202</v>
      </c>
      <c r="B19" s="115">
        <v>0.8</v>
      </c>
      <c r="C19" s="115">
        <v>0.8</v>
      </c>
      <c r="D19" s="115">
        <v>0.8</v>
      </c>
      <c r="E19" s="115">
        <v>0.8</v>
      </c>
      <c r="F19" s="115">
        <v>0.8</v>
      </c>
      <c r="G19" s="115">
        <v>0.8</v>
      </c>
      <c r="H19" s="115">
        <v>0.8</v>
      </c>
      <c r="I19" s="115">
        <v>0.8</v>
      </c>
      <c r="J19" s="115">
        <v>0.8</v>
      </c>
      <c r="K19" s="115">
        <v>0.8</v>
      </c>
      <c r="L19" s="115">
        <v>0.8</v>
      </c>
      <c r="M19" s="115">
        <v>0.8</v>
      </c>
      <c r="N19" s="115">
        <v>0.8</v>
      </c>
      <c r="O19" s="115">
        <v>0.8</v>
      </c>
      <c r="P19" s="115">
        <v>0.8</v>
      </c>
      <c r="Q19" s="115">
        <v>0.8</v>
      </c>
      <c r="R19" s="115">
        <v>0.8</v>
      </c>
      <c r="S19" s="115">
        <v>0.8</v>
      </c>
      <c r="T19" s="115">
        <v>0.8</v>
      </c>
      <c r="U19" s="115">
        <v>0.8</v>
      </c>
      <c r="V19" s="115">
        <v>0.8</v>
      </c>
      <c r="W19" s="115">
        <v>0.8</v>
      </c>
      <c r="X19" s="115">
        <v>0.8</v>
      </c>
      <c r="Y19" s="115">
        <v>0.8</v>
      </c>
      <c r="Z19" s="115">
        <v>0.8</v>
      </c>
      <c r="AA19" s="115">
        <v>0.8</v>
      </c>
      <c r="AB19" s="115">
        <v>0.8</v>
      </c>
      <c r="AC19" s="115">
        <v>0.8</v>
      </c>
      <c r="AD19" s="115">
        <v>0.8</v>
      </c>
      <c r="AE19" s="115">
        <v>0.8</v>
      </c>
      <c r="AF19" s="115">
        <v>0.8</v>
      </c>
      <c r="AG19" s="115">
        <v>0.8</v>
      </c>
      <c r="AH19" s="115">
        <v>0.8</v>
      </c>
      <c r="AI19" s="115">
        <v>0.8</v>
      </c>
      <c r="AJ19" s="115">
        <v>0.8</v>
      </c>
      <c r="AK19" s="115">
        <v>0.8</v>
      </c>
      <c r="AL19" s="115">
        <v>0.8</v>
      </c>
      <c r="AM19" s="115">
        <v>0.8</v>
      </c>
      <c r="AN19" s="115">
        <v>0.8</v>
      </c>
      <c r="AO19" s="115">
        <v>0.8</v>
      </c>
      <c r="AP19" s="115">
        <v>0.8</v>
      </c>
      <c r="AQ19" s="115">
        <v>0.8</v>
      </c>
      <c r="AR19" s="115">
        <v>0.8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s="93" customFormat="1" ht="16" x14ac:dyDescent="0.2">
      <c r="A20" s="94" t="s">
        <v>203</v>
      </c>
      <c r="B20" s="115">
        <v>0.8</v>
      </c>
      <c r="C20" s="115">
        <v>0.8</v>
      </c>
      <c r="D20" s="115">
        <v>0.8</v>
      </c>
      <c r="E20" s="115">
        <v>0.8</v>
      </c>
      <c r="F20" s="115">
        <v>0.8</v>
      </c>
      <c r="G20" s="115">
        <v>0.8</v>
      </c>
      <c r="H20" s="115">
        <v>0.8</v>
      </c>
      <c r="I20" s="115">
        <v>0.8</v>
      </c>
      <c r="J20" s="115">
        <v>0.8</v>
      </c>
      <c r="K20" s="115">
        <v>0.8</v>
      </c>
      <c r="L20" s="115">
        <v>0.8</v>
      </c>
      <c r="M20" s="115">
        <v>0.8</v>
      </c>
      <c r="N20" s="115">
        <v>0.8</v>
      </c>
      <c r="O20" s="115">
        <v>0.8</v>
      </c>
      <c r="P20" s="115">
        <v>0.8</v>
      </c>
      <c r="Q20" s="115">
        <v>0.8</v>
      </c>
      <c r="R20" s="115">
        <v>0.8</v>
      </c>
      <c r="S20" s="115">
        <v>0.8</v>
      </c>
      <c r="T20" s="115">
        <v>0.8</v>
      </c>
      <c r="U20" s="115">
        <v>0.8</v>
      </c>
      <c r="V20" s="115">
        <v>0.8</v>
      </c>
      <c r="W20" s="115">
        <v>0.8</v>
      </c>
      <c r="X20" s="115">
        <v>0.8</v>
      </c>
      <c r="Y20" s="115">
        <v>0.8</v>
      </c>
      <c r="Z20" s="115">
        <v>0.8</v>
      </c>
      <c r="AA20" s="115">
        <v>0.8</v>
      </c>
      <c r="AB20" s="115">
        <v>0.8</v>
      </c>
      <c r="AC20" s="115">
        <v>0.8</v>
      </c>
      <c r="AD20" s="115">
        <v>0.8</v>
      </c>
      <c r="AE20" s="115">
        <v>0.8</v>
      </c>
      <c r="AF20" s="115">
        <v>0.8</v>
      </c>
      <c r="AG20" s="115">
        <v>0.8</v>
      </c>
      <c r="AH20" s="115">
        <v>0.8</v>
      </c>
      <c r="AI20" s="115">
        <v>0.8</v>
      </c>
      <c r="AJ20" s="115">
        <v>0.8</v>
      </c>
      <c r="AK20" s="115">
        <v>0.8</v>
      </c>
      <c r="AL20" s="115">
        <v>0.8</v>
      </c>
      <c r="AM20" s="115">
        <v>0.8</v>
      </c>
      <c r="AN20" s="115">
        <v>0.8</v>
      </c>
      <c r="AO20" s="115">
        <v>0.8</v>
      </c>
      <c r="AP20" s="115">
        <v>0.8</v>
      </c>
      <c r="AQ20" s="115">
        <v>0.8</v>
      </c>
      <c r="AR20" s="115">
        <v>0.8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s="93" customFormat="1" ht="16" x14ac:dyDescent="0.2">
      <c r="A21" s="94" t="s">
        <v>204</v>
      </c>
      <c r="B21" s="115">
        <v>0.8</v>
      </c>
      <c r="C21" s="115">
        <v>0.8</v>
      </c>
      <c r="D21" s="115">
        <v>0.8</v>
      </c>
      <c r="E21" s="115">
        <v>0.8</v>
      </c>
      <c r="F21" s="115">
        <v>0.8</v>
      </c>
      <c r="G21" s="115">
        <v>0.8</v>
      </c>
      <c r="H21" s="115">
        <v>0.8</v>
      </c>
      <c r="I21" s="115">
        <v>0.8</v>
      </c>
      <c r="J21" s="115">
        <v>0.8</v>
      </c>
      <c r="K21" s="115">
        <v>0.8</v>
      </c>
      <c r="L21" s="115">
        <v>0.8</v>
      </c>
      <c r="M21" s="115">
        <v>0.8</v>
      </c>
      <c r="N21" s="115">
        <v>0.8</v>
      </c>
      <c r="O21" s="115">
        <v>0.8</v>
      </c>
      <c r="P21" s="115">
        <v>0.8</v>
      </c>
      <c r="Q21" s="115">
        <v>0.8</v>
      </c>
      <c r="R21" s="115">
        <v>0.8</v>
      </c>
      <c r="S21" s="115">
        <v>0.8</v>
      </c>
      <c r="T21" s="115">
        <v>0.8</v>
      </c>
      <c r="U21" s="115">
        <v>0.8</v>
      </c>
      <c r="V21" s="115">
        <v>0.8</v>
      </c>
      <c r="W21" s="115">
        <v>0.8</v>
      </c>
      <c r="X21" s="115">
        <v>0.8</v>
      </c>
      <c r="Y21" s="115">
        <v>0.8</v>
      </c>
      <c r="Z21" s="115">
        <v>0.8</v>
      </c>
      <c r="AA21" s="115">
        <v>0.8</v>
      </c>
      <c r="AB21" s="115">
        <v>0.8</v>
      </c>
      <c r="AC21" s="115">
        <v>0.8</v>
      </c>
      <c r="AD21" s="115">
        <v>0.8</v>
      </c>
      <c r="AE21" s="115">
        <v>0.8</v>
      </c>
      <c r="AF21" s="115">
        <v>0.8</v>
      </c>
      <c r="AG21" s="115">
        <v>0.8</v>
      </c>
      <c r="AH21" s="115">
        <v>0.8</v>
      </c>
      <c r="AI21" s="115">
        <v>0.8</v>
      </c>
      <c r="AJ21" s="115">
        <v>0.8</v>
      </c>
      <c r="AK21" s="115">
        <v>0.8</v>
      </c>
      <c r="AL21" s="115">
        <v>0.8</v>
      </c>
      <c r="AM21" s="115">
        <v>0.8</v>
      </c>
      <c r="AN21" s="115">
        <v>0.8</v>
      </c>
      <c r="AO21" s="115">
        <v>0.8</v>
      </c>
      <c r="AP21" s="115">
        <v>0.8</v>
      </c>
      <c r="AQ21" s="115">
        <v>0.8</v>
      </c>
      <c r="AR21" s="115">
        <v>0.8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s="93" customFormat="1" ht="16" x14ac:dyDescent="0.2">
      <c r="A22" s="94" t="s">
        <v>205</v>
      </c>
      <c r="B22" s="115">
        <v>0.8</v>
      </c>
      <c r="C22" s="115">
        <v>0.8</v>
      </c>
      <c r="D22" s="115">
        <v>0.8</v>
      </c>
      <c r="E22" s="115">
        <v>0.8</v>
      </c>
      <c r="F22" s="115">
        <v>0.8</v>
      </c>
      <c r="G22" s="115">
        <v>0.8</v>
      </c>
      <c r="H22" s="115">
        <v>0.8</v>
      </c>
      <c r="I22" s="115">
        <v>0.8</v>
      </c>
      <c r="J22" s="115">
        <v>0.8</v>
      </c>
      <c r="K22" s="115">
        <v>0.8</v>
      </c>
      <c r="L22" s="115">
        <v>0.8</v>
      </c>
      <c r="M22" s="115">
        <v>0.8</v>
      </c>
      <c r="N22" s="115">
        <v>0.8</v>
      </c>
      <c r="O22" s="115">
        <v>0.8</v>
      </c>
      <c r="P22" s="115">
        <v>0.8</v>
      </c>
      <c r="Q22" s="115">
        <v>0.8</v>
      </c>
      <c r="R22" s="115">
        <v>0.8</v>
      </c>
      <c r="S22" s="115">
        <v>0.8</v>
      </c>
      <c r="T22" s="115">
        <v>0.8</v>
      </c>
      <c r="U22" s="115">
        <v>0.8</v>
      </c>
      <c r="V22" s="115">
        <v>0.8</v>
      </c>
      <c r="W22" s="115">
        <v>0.8</v>
      </c>
      <c r="X22" s="115">
        <v>0.8</v>
      </c>
      <c r="Y22" s="115">
        <v>0.8</v>
      </c>
      <c r="Z22" s="115">
        <v>0.8</v>
      </c>
      <c r="AA22" s="115">
        <v>0.8</v>
      </c>
      <c r="AB22" s="115">
        <v>0.8</v>
      </c>
      <c r="AC22" s="115">
        <v>0.8</v>
      </c>
      <c r="AD22" s="115">
        <v>0.8</v>
      </c>
      <c r="AE22" s="115">
        <v>0.8</v>
      </c>
      <c r="AF22" s="115">
        <v>0.8</v>
      </c>
      <c r="AG22" s="115">
        <v>0.8</v>
      </c>
      <c r="AH22" s="115">
        <v>0.8</v>
      </c>
      <c r="AI22" s="115">
        <v>0.8</v>
      </c>
      <c r="AJ22" s="115">
        <v>0.8</v>
      </c>
      <c r="AK22" s="115">
        <v>0.8</v>
      </c>
      <c r="AL22" s="115">
        <v>0.8</v>
      </c>
      <c r="AM22" s="115">
        <v>0.8</v>
      </c>
      <c r="AN22" s="115">
        <v>0.8</v>
      </c>
      <c r="AO22" s="115">
        <v>0.8</v>
      </c>
      <c r="AP22" s="115">
        <v>0.8</v>
      </c>
      <c r="AQ22" s="115">
        <v>0.8</v>
      </c>
      <c r="AR22" s="115">
        <v>0.8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s="93" customFormat="1" ht="16" x14ac:dyDescent="0.2">
      <c r="A23" s="94" t="s">
        <v>206</v>
      </c>
      <c r="B23" s="115">
        <v>0.8</v>
      </c>
      <c r="C23" s="115">
        <v>0.8</v>
      </c>
      <c r="D23" s="115">
        <v>0.8</v>
      </c>
      <c r="E23" s="115">
        <v>0.8</v>
      </c>
      <c r="F23" s="115">
        <v>0.8</v>
      </c>
      <c r="G23" s="115">
        <v>0.8</v>
      </c>
      <c r="H23" s="115">
        <v>0.8</v>
      </c>
      <c r="I23" s="115">
        <v>0.8</v>
      </c>
      <c r="J23" s="115">
        <v>0.8</v>
      </c>
      <c r="K23" s="115">
        <v>0.8</v>
      </c>
      <c r="L23" s="115">
        <v>0.8</v>
      </c>
      <c r="M23" s="115">
        <v>0.8</v>
      </c>
      <c r="N23" s="115">
        <v>0.8</v>
      </c>
      <c r="O23" s="115">
        <v>0.8</v>
      </c>
      <c r="P23" s="115">
        <v>0.8</v>
      </c>
      <c r="Q23" s="115">
        <v>0.8</v>
      </c>
      <c r="R23" s="115">
        <v>0.8</v>
      </c>
      <c r="S23" s="115">
        <v>0.8</v>
      </c>
      <c r="T23" s="115">
        <v>0.8</v>
      </c>
      <c r="U23" s="115">
        <v>0.8</v>
      </c>
      <c r="V23" s="115">
        <v>0.8</v>
      </c>
      <c r="W23" s="115">
        <v>0.8</v>
      </c>
      <c r="X23" s="115">
        <v>0.8</v>
      </c>
      <c r="Y23" s="115">
        <v>0.8</v>
      </c>
      <c r="Z23" s="115">
        <v>0.8</v>
      </c>
      <c r="AA23" s="115">
        <v>0.8</v>
      </c>
      <c r="AB23" s="115">
        <v>0.8</v>
      </c>
      <c r="AC23" s="115">
        <v>0.8</v>
      </c>
      <c r="AD23" s="115">
        <v>0.8</v>
      </c>
      <c r="AE23" s="115">
        <v>0.8</v>
      </c>
      <c r="AF23" s="115">
        <v>0.8</v>
      </c>
      <c r="AG23" s="115">
        <v>0.8</v>
      </c>
      <c r="AH23" s="115">
        <v>0.8</v>
      </c>
      <c r="AI23" s="115">
        <v>0.8</v>
      </c>
      <c r="AJ23" s="115">
        <v>0.8</v>
      </c>
      <c r="AK23" s="115">
        <v>0.8</v>
      </c>
      <c r="AL23" s="115">
        <v>0.8</v>
      </c>
      <c r="AM23" s="115">
        <v>0.8</v>
      </c>
      <c r="AN23" s="115">
        <v>0.8</v>
      </c>
      <c r="AO23" s="115">
        <v>0.8</v>
      </c>
      <c r="AP23" s="115">
        <v>0.8</v>
      </c>
      <c r="AQ23" s="115">
        <v>0.8</v>
      </c>
      <c r="AR23" s="115">
        <v>0.8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s="93" customFormat="1" ht="16" x14ac:dyDescent="0.2">
      <c r="A24" s="94" t="s">
        <v>207</v>
      </c>
      <c r="B24" s="115">
        <v>0.8</v>
      </c>
      <c r="C24" s="115">
        <v>0.8</v>
      </c>
      <c r="D24" s="115">
        <v>0.8</v>
      </c>
      <c r="E24" s="115">
        <v>0.8</v>
      </c>
      <c r="F24" s="115">
        <v>0.8</v>
      </c>
      <c r="G24" s="115">
        <v>0.8</v>
      </c>
      <c r="H24" s="115">
        <v>0.8</v>
      </c>
      <c r="I24" s="115">
        <v>0.8</v>
      </c>
      <c r="J24" s="115">
        <v>0.8</v>
      </c>
      <c r="K24" s="115">
        <v>0.8</v>
      </c>
      <c r="L24" s="115">
        <v>0.8</v>
      </c>
      <c r="M24" s="115">
        <v>0.8</v>
      </c>
      <c r="N24" s="115">
        <v>0.8</v>
      </c>
      <c r="O24" s="115">
        <v>0.8</v>
      </c>
      <c r="P24" s="115">
        <v>0.8</v>
      </c>
      <c r="Q24" s="115">
        <v>0.8</v>
      </c>
      <c r="R24" s="115">
        <v>0.8</v>
      </c>
      <c r="S24" s="115">
        <v>0.8</v>
      </c>
      <c r="T24" s="115">
        <v>0.8</v>
      </c>
      <c r="U24" s="115">
        <v>0.8</v>
      </c>
      <c r="V24" s="115">
        <v>0.8</v>
      </c>
      <c r="W24" s="115">
        <v>0.8</v>
      </c>
      <c r="X24" s="115">
        <v>0.8</v>
      </c>
      <c r="Y24" s="115">
        <v>0.8</v>
      </c>
      <c r="Z24" s="115">
        <v>0.8</v>
      </c>
      <c r="AA24" s="115">
        <v>0.8</v>
      </c>
      <c r="AB24" s="115">
        <v>0.8</v>
      </c>
      <c r="AC24" s="115">
        <v>0.8</v>
      </c>
      <c r="AD24" s="115">
        <v>0.8</v>
      </c>
      <c r="AE24" s="115">
        <v>0.8</v>
      </c>
      <c r="AF24" s="115">
        <v>0.8</v>
      </c>
      <c r="AG24" s="115">
        <v>0.8</v>
      </c>
      <c r="AH24" s="115">
        <v>0.8</v>
      </c>
      <c r="AI24" s="115">
        <v>0.8</v>
      </c>
      <c r="AJ24" s="115">
        <v>0.8</v>
      </c>
      <c r="AK24" s="115">
        <v>0.8</v>
      </c>
      <c r="AL24" s="115">
        <v>0.8</v>
      </c>
      <c r="AM24" s="115">
        <v>0.8</v>
      </c>
      <c r="AN24" s="115">
        <v>0.8</v>
      </c>
      <c r="AO24" s="115">
        <v>0.8</v>
      </c>
      <c r="AP24" s="115">
        <v>0.8</v>
      </c>
      <c r="AQ24" s="115">
        <v>0.8</v>
      </c>
      <c r="AR24" s="115">
        <v>0.8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s="93" customFormat="1" ht="16" x14ac:dyDescent="0.2">
      <c r="A25" s="94" t="s">
        <v>208</v>
      </c>
      <c r="B25" s="115">
        <v>0.8</v>
      </c>
      <c r="C25" s="115">
        <v>0.8</v>
      </c>
      <c r="D25" s="115">
        <v>0.8</v>
      </c>
      <c r="E25" s="115">
        <v>0.8</v>
      </c>
      <c r="F25" s="115">
        <v>0.8</v>
      </c>
      <c r="G25" s="115">
        <v>0.8</v>
      </c>
      <c r="H25" s="115">
        <v>0.8</v>
      </c>
      <c r="I25" s="115">
        <v>0.8</v>
      </c>
      <c r="J25" s="115">
        <v>0.8</v>
      </c>
      <c r="K25" s="115">
        <v>0.8</v>
      </c>
      <c r="L25" s="115">
        <v>0.8</v>
      </c>
      <c r="M25" s="115">
        <v>0.8</v>
      </c>
      <c r="N25" s="115">
        <v>0.8</v>
      </c>
      <c r="O25" s="115">
        <v>0.8</v>
      </c>
      <c r="P25" s="115">
        <v>0.8</v>
      </c>
      <c r="Q25" s="115">
        <v>0.8</v>
      </c>
      <c r="R25" s="115">
        <v>0.8</v>
      </c>
      <c r="S25" s="115">
        <v>0.8</v>
      </c>
      <c r="T25" s="115">
        <v>0.8</v>
      </c>
      <c r="U25" s="115">
        <v>0.8</v>
      </c>
      <c r="V25" s="115">
        <v>0.8</v>
      </c>
      <c r="W25" s="115">
        <v>0.8</v>
      </c>
      <c r="X25" s="115">
        <v>0.8</v>
      </c>
      <c r="Y25" s="115">
        <v>0.8</v>
      </c>
      <c r="Z25" s="115">
        <v>0.8</v>
      </c>
      <c r="AA25" s="115">
        <v>0.8</v>
      </c>
      <c r="AB25" s="115">
        <v>0.8</v>
      </c>
      <c r="AC25" s="115">
        <v>0.8</v>
      </c>
      <c r="AD25" s="115">
        <v>0.8</v>
      </c>
      <c r="AE25" s="115">
        <v>0.8</v>
      </c>
      <c r="AF25" s="115">
        <v>0.8</v>
      </c>
      <c r="AG25" s="115">
        <v>0.8</v>
      </c>
      <c r="AH25" s="115">
        <v>0.8</v>
      </c>
      <c r="AI25" s="115">
        <v>0.8</v>
      </c>
      <c r="AJ25" s="115">
        <v>0.8</v>
      </c>
      <c r="AK25" s="115">
        <v>0.8</v>
      </c>
      <c r="AL25" s="115">
        <v>0.8</v>
      </c>
      <c r="AM25" s="115">
        <v>0.8</v>
      </c>
      <c r="AN25" s="115">
        <v>0.8</v>
      </c>
      <c r="AO25" s="115">
        <v>0.8</v>
      </c>
      <c r="AP25" s="115">
        <v>0.8</v>
      </c>
      <c r="AQ25" s="115">
        <v>0.8</v>
      </c>
      <c r="AR25" s="115">
        <v>0.8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s="93" customFormat="1" ht="16" x14ac:dyDescent="0.2">
      <c r="A26" s="94" t="s">
        <v>209</v>
      </c>
      <c r="B26" s="115">
        <v>0.8</v>
      </c>
      <c r="C26" s="115">
        <v>0.8</v>
      </c>
      <c r="D26" s="115">
        <v>0.8</v>
      </c>
      <c r="E26" s="115">
        <v>0.8</v>
      </c>
      <c r="F26" s="115">
        <v>0.8</v>
      </c>
      <c r="G26" s="115">
        <v>0.8</v>
      </c>
      <c r="H26" s="115">
        <v>0.8</v>
      </c>
      <c r="I26" s="115">
        <v>0.8</v>
      </c>
      <c r="J26" s="115">
        <v>0.8</v>
      </c>
      <c r="K26" s="115">
        <v>0.8</v>
      </c>
      <c r="L26" s="115">
        <v>0.8</v>
      </c>
      <c r="M26" s="115">
        <v>0.8</v>
      </c>
      <c r="N26" s="115">
        <v>0.8</v>
      </c>
      <c r="O26" s="115">
        <v>0.8</v>
      </c>
      <c r="P26" s="115">
        <v>0.8</v>
      </c>
      <c r="Q26" s="115">
        <v>0.8</v>
      </c>
      <c r="R26" s="115">
        <v>0.8</v>
      </c>
      <c r="S26" s="115">
        <v>0.8</v>
      </c>
      <c r="T26" s="115">
        <v>0.8</v>
      </c>
      <c r="U26" s="115">
        <v>0.8</v>
      </c>
      <c r="V26" s="115">
        <v>0.8</v>
      </c>
      <c r="W26" s="115">
        <v>0.8</v>
      </c>
      <c r="X26" s="115">
        <v>0.8</v>
      </c>
      <c r="Y26" s="115">
        <v>0.8</v>
      </c>
      <c r="Z26" s="115">
        <v>0.8</v>
      </c>
      <c r="AA26" s="115">
        <v>0.8</v>
      </c>
      <c r="AB26" s="115">
        <v>0.8</v>
      </c>
      <c r="AC26" s="115">
        <v>0.8</v>
      </c>
      <c r="AD26" s="115">
        <v>0.8</v>
      </c>
      <c r="AE26" s="115">
        <v>0.8</v>
      </c>
      <c r="AF26" s="115">
        <v>0.8</v>
      </c>
      <c r="AG26" s="115">
        <v>0.8</v>
      </c>
      <c r="AH26" s="115">
        <v>0.8</v>
      </c>
      <c r="AI26" s="115">
        <v>0.8</v>
      </c>
      <c r="AJ26" s="115">
        <v>0.8</v>
      </c>
      <c r="AK26" s="115">
        <v>0.8</v>
      </c>
      <c r="AL26" s="115">
        <v>0.8</v>
      </c>
      <c r="AM26" s="115">
        <v>0.8</v>
      </c>
      <c r="AN26" s="115">
        <v>0.8</v>
      </c>
      <c r="AO26" s="115">
        <v>0.8</v>
      </c>
      <c r="AP26" s="115">
        <v>0.8</v>
      </c>
      <c r="AQ26" s="115">
        <v>0.8</v>
      </c>
      <c r="AR26" s="115">
        <v>0.8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s="93" customFormat="1" ht="16" x14ac:dyDescent="0.2">
      <c r="A27" s="94" t="s">
        <v>210</v>
      </c>
      <c r="B27" s="115">
        <v>0.8</v>
      </c>
      <c r="C27" s="115">
        <v>0.8</v>
      </c>
      <c r="D27" s="115">
        <v>0.8</v>
      </c>
      <c r="E27" s="115">
        <v>0.8</v>
      </c>
      <c r="F27" s="115">
        <v>0.8</v>
      </c>
      <c r="G27" s="115">
        <v>0.8</v>
      </c>
      <c r="H27" s="115">
        <v>0.8</v>
      </c>
      <c r="I27" s="115">
        <v>0.8</v>
      </c>
      <c r="J27" s="115">
        <v>0.8</v>
      </c>
      <c r="K27" s="115">
        <v>0.8</v>
      </c>
      <c r="L27" s="115">
        <v>0.8</v>
      </c>
      <c r="M27" s="115">
        <v>0.8</v>
      </c>
      <c r="N27" s="115">
        <v>0.8</v>
      </c>
      <c r="O27" s="115">
        <v>0.8</v>
      </c>
      <c r="P27" s="115">
        <v>0.8</v>
      </c>
      <c r="Q27" s="115">
        <v>0.8</v>
      </c>
      <c r="R27" s="115">
        <v>0.8</v>
      </c>
      <c r="S27" s="115">
        <v>0.8</v>
      </c>
      <c r="T27" s="115">
        <v>0.8</v>
      </c>
      <c r="U27" s="115">
        <v>0.8</v>
      </c>
      <c r="V27" s="115">
        <v>0.8</v>
      </c>
      <c r="W27" s="115">
        <v>0.8</v>
      </c>
      <c r="X27" s="115">
        <v>0.8</v>
      </c>
      <c r="Y27" s="115">
        <v>0.8</v>
      </c>
      <c r="Z27" s="115">
        <v>0.8</v>
      </c>
      <c r="AA27" s="115">
        <v>0.8</v>
      </c>
      <c r="AB27" s="115">
        <v>0.8</v>
      </c>
      <c r="AC27" s="115">
        <v>0.8</v>
      </c>
      <c r="AD27" s="115">
        <v>0.8</v>
      </c>
      <c r="AE27" s="115">
        <v>0.8</v>
      </c>
      <c r="AF27" s="115">
        <v>0.8</v>
      </c>
      <c r="AG27" s="115">
        <v>0.8</v>
      </c>
      <c r="AH27" s="115">
        <v>0.8</v>
      </c>
      <c r="AI27" s="115">
        <v>0.8</v>
      </c>
      <c r="AJ27" s="115">
        <v>0.8</v>
      </c>
      <c r="AK27" s="115">
        <v>0.8</v>
      </c>
      <c r="AL27" s="115">
        <v>0.8</v>
      </c>
      <c r="AM27" s="115">
        <v>0.8</v>
      </c>
      <c r="AN27" s="115">
        <v>0.8</v>
      </c>
      <c r="AO27" s="115">
        <v>0.8</v>
      </c>
      <c r="AP27" s="115">
        <v>0.8</v>
      </c>
      <c r="AQ27" s="115">
        <v>0.8</v>
      </c>
      <c r="AR27" s="115">
        <v>0.8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s="93" customFormat="1" ht="16" x14ac:dyDescent="0.2">
      <c r="A28" s="94" t="s">
        <v>211</v>
      </c>
      <c r="B28" s="115">
        <v>0.8</v>
      </c>
      <c r="C28" s="115">
        <v>0.8</v>
      </c>
      <c r="D28" s="115">
        <v>0.8</v>
      </c>
      <c r="E28" s="115">
        <v>0.8</v>
      </c>
      <c r="F28" s="115">
        <v>0.8</v>
      </c>
      <c r="G28" s="115">
        <v>0.8</v>
      </c>
      <c r="H28" s="115">
        <v>0.8</v>
      </c>
      <c r="I28" s="115">
        <v>0.8</v>
      </c>
      <c r="J28" s="115">
        <v>0.8</v>
      </c>
      <c r="K28" s="115">
        <v>0.8</v>
      </c>
      <c r="L28" s="115">
        <v>0.8</v>
      </c>
      <c r="M28" s="115">
        <v>0.8</v>
      </c>
      <c r="N28" s="115">
        <v>0.8</v>
      </c>
      <c r="O28" s="115">
        <v>0.8</v>
      </c>
      <c r="P28" s="115">
        <v>0.8</v>
      </c>
      <c r="Q28" s="115">
        <v>0.8</v>
      </c>
      <c r="R28" s="115">
        <v>0.8</v>
      </c>
      <c r="S28" s="115">
        <v>0.8</v>
      </c>
      <c r="T28" s="115">
        <v>0.8</v>
      </c>
      <c r="U28" s="115">
        <v>0.8</v>
      </c>
      <c r="V28" s="115">
        <v>0.8</v>
      </c>
      <c r="W28" s="115">
        <v>0.8</v>
      </c>
      <c r="X28" s="115">
        <v>0.8</v>
      </c>
      <c r="Y28" s="115">
        <v>0.8</v>
      </c>
      <c r="Z28" s="115">
        <v>0.8</v>
      </c>
      <c r="AA28" s="115">
        <v>0.8</v>
      </c>
      <c r="AB28" s="115">
        <v>0.8</v>
      </c>
      <c r="AC28" s="115">
        <v>0.8</v>
      </c>
      <c r="AD28" s="115">
        <v>0.8</v>
      </c>
      <c r="AE28" s="115">
        <v>0.8</v>
      </c>
      <c r="AF28" s="115">
        <v>0.8</v>
      </c>
      <c r="AG28" s="115">
        <v>0.8</v>
      </c>
      <c r="AH28" s="115">
        <v>0.8</v>
      </c>
      <c r="AI28" s="115">
        <v>0.8</v>
      </c>
      <c r="AJ28" s="115">
        <v>0.8</v>
      </c>
      <c r="AK28" s="115">
        <v>0.8</v>
      </c>
      <c r="AL28" s="115">
        <v>0.8</v>
      </c>
      <c r="AM28" s="115">
        <v>0.8</v>
      </c>
      <c r="AN28" s="115">
        <v>0.8</v>
      </c>
      <c r="AO28" s="115">
        <v>0.8</v>
      </c>
      <c r="AP28" s="115">
        <v>0.8</v>
      </c>
      <c r="AQ28" s="115">
        <v>0.8</v>
      </c>
      <c r="AR28" s="115">
        <v>0.8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s="93" customFormat="1" ht="16" x14ac:dyDescent="0.2">
      <c r="A29" s="94" t="s">
        <v>212</v>
      </c>
      <c r="B29" s="115">
        <v>0.8</v>
      </c>
      <c r="C29" s="115">
        <v>0.8</v>
      </c>
      <c r="D29" s="115">
        <v>0.8</v>
      </c>
      <c r="E29" s="115">
        <v>0.8</v>
      </c>
      <c r="F29" s="115">
        <v>0.8</v>
      </c>
      <c r="G29" s="115">
        <v>0.8</v>
      </c>
      <c r="H29" s="115">
        <v>0.8</v>
      </c>
      <c r="I29" s="115">
        <v>0.8</v>
      </c>
      <c r="J29" s="115">
        <v>0.8</v>
      </c>
      <c r="K29" s="115">
        <v>0.8</v>
      </c>
      <c r="L29" s="115">
        <v>0.8</v>
      </c>
      <c r="M29" s="115">
        <v>0.8</v>
      </c>
      <c r="N29" s="115">
        <v>0.8</v>
      </c>
      <c r="O29" s="115">
        <v>0.8</v>
      </c>
      <c r="P29" s="115">
        <v>0.8</v>
      </c>
      <c r="Q29" s="115">
        <v>0.8</v>
      </c>
      <c r="R29" s="115">
        <v>0.8</v>
      </c>
      <c r="S29" s="115">
        <v>0.8</v>
      </c>
      <c r="T29" s="115">
        <v>0.8</v>
      </c>
      <c r="U29" s="115">
        <v>0.8</v>
      </c>
      <c r="V29" s="115">
        <v>0.8</v>
      </c>
      <c r="W29" s="115">
        <v>0.8</v>
      </c>
      <c r="X29" s="115">
        <v>0.8</v>
      </c>
      <c r="Y29" s="115">
        <v>0.8</v>
      </c>
      <c r="Z29" s="115">
        <v>0.8</v>
      </c>
      <c r="AA29" s="115">
        <v>0.8</v>
      </c>
      <c r="AB29" s="115">
        <v>0.8</v>
      </c>
      <c r="AC29" s="115">
        <v>0.8</v>
      </c>
      <c r="AD29" s="115">
        <v>0.8</v>
      </c>
      <c r="AE29" s="115">
        <v>0.8</v>
      </c>
      <c r="AF29" s="115">
        <v>0.8</v>
      </c>
      <c r="AG29" s="115">
        <v>0.8</v>
      </c>
      <c r="AH29" s="115">
        <v>0.8</v>
      </c>
      <c r="AI29" s="115">
        <v>0.8</v>
      </c>
      <c r="AJ29" s="115">
        <v>0.8</v>
      </c>
      <c r="AK29" s="115">
        <v>0.8</v>
      </c>
      <c r="AL29" s="115">
        <v>0.8</v>
      </c>
      <c r="AM29" s="115">
        <v>0.8</v>
      </c>
      <c r="AN29" s="115">
        <v>0.8</v>
      </c>
      <c r="AO29" s="115">
        <v>0.8</v>
      </c>
      <c r="AP29" s="115">
        <v>0.8</v>
      </c>
      <c r="AQ29" s="115">
        <v>0.8</v>
      </c>
      <c r="AR29" s="115">
        <v>0.8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s="93" customFormat="1" ht="16" x14ac:dyDescent="0.2">
      <c r="A30" s="94" t="s">
        <v>213</v>
      </c>
      <c r="B30" s="115">
        <v>0.8</v>
      </c>
      <c r="C30" s="115">
        <v>0.8</v>
      </c>
      <c r="D30" s="115">
        <v>0.8</v>
      </c>
      <c r="E30" s="115">
        <v>0.8</v>
      </c>
      <c r="F30" s="115">
        <v>0.8</v>
      </c>
      <c r="G30" s="115">
        <v>0.8</v>
      </c>
      <c r="H30" s="115">
        <v>0.8</v>
      </c>
      <c r="I30" s="115">
        <v>0.8</v>
      </c>
      <c r="J30" s="115">
        <v>0.8</v>
      </c>
      <c r="K30" s="115">
        <v>0.8</v>
      </c>
      <c r="L30" s="115">
        <v>0.8</v>
      </c>
      <c r="M30" s="115">
        <v>0.8</v>
      </c>
      <c r="N30" s="115">
        <v>0.8</v>
      </c>
      <c r="O30" s="115">
        <v>0.8</v>
      </c>
      <c r="P30" s="115">
        <v>0.8</v>
      </c>
      <c r="Q30" s="115">
        <v>0.8</v>
      </c>
      <c r="R30" s="115">
        <v>0.8</v>
      </c>
      <c r="S30" s="115">
        <v>0.8</v>
      </c>
      <c r="T30" s="115">
        <v>0.8</v>
      </c>
      <c r="U30" s="115">
        <v>0.8</v>
      </c>
      <c r="V30" s="115">
        <v>0.8</v>
      </c>
      <c r="W30" s="115">
        <v>0.8</v>
      </c>
      <c r="X30" s="115">
        <v>0.8</v>
      </c>
      <c r="Y30" s="115">
        <v>0.8</v>
      </c>
      <c r="Z30" s="115">
        <v>0.8</v>
      </c>
      <c r="AA30" s="115">
        <v>0.8</v>
      </c>
      <c r="AB30" s="115">
        <v>0.8</v>
      </c>
      <c r="AC30" s="115">
        <v>0.8</v>
      </c>
      <c r="AD30" s="115">
        <v>0.8</v>
      </c>
      <c r="AE30" s="115">
        <v>0.8</v>
      </c>
      <c r="AF30" s="115">
        <v>0.8</v>
      </c>
      <c r="AG30" s="115">
        <v>0.8</v>
      </c>
      <c r="AH30" s="115">
        <v>0.8</v>
      </c>
      <c r="AI30" s="115">
        <v>0.8</v>
      </c>
      <c r="AJ30" s="115">
        <v>0.8</v>
      </c>
      <c r="AK30" s="115">
        <v>0.8</v>
      </c>
      <c r="AL30" s="115">
        <v>0.8</v>
      </c>
      <c r="AM30" s="115">
        <v>0.8</v>
      </c>
      <c r="AN30" s="115">
        <v>0.8</v>
      </c>
      <c r="AO30" s="115">
        <v>0.8</v>
      </c>
      <c r="AP30" s="115">
        <v>0.8</v>
      </c>
      <c r="AQ30" s="115">
        <v>0.8</v>
      </c>
      <c r="AR30" s="115">
        <v>0.8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s="93" customFormat="1" ht="16" x14ac:dyDescent="0.2">
      <c r="A31" s="94" t="s">
        <v>214</v>
      </c>
      <c r="B31" s="115">
        <v>0.8</v>
      </c>
      <c r="C31" s="115">
        <v>0.8</v>
      </c>
      <c r="D31" s="115">
        <v>0.8</v>
      </c>
      <c r="E31" s="115">
        <v>0.8</v>
      </c>
      <c r="F31" s="115">
        <v>0.8</v>
      </c>
      <c r="G31" s="115">
        <v>0.8</v>
      </c>
      <c r="H31" s="115">
        <v>0.8</v>
      </c>
      <c r="I31" s="115">
        <v>0.8</v>
      </c>
      <c r="J31" s="115">
        <v>0.8</v>
      </c>
      <c r="K31" s="115">
        <v>0.8</v>
      </c>
      <c r="L31" s="115">
        <v>0.8</v>
      </c>
      <c r="M31" s="115">
        <v>0.8</v>
      </c>
      <c r="N31" s="115">
        <v>0.8</v>
      </c>
      <c r="O31" s="115">
        <v>0.8</v>
      </c>
      <c r="P31" s="115">
        <v>0.8</v>
      </c>
      <c r="Q31" s="115">
        <v>0.8</v>
      </c>
      <c r="R31" s="115">
        <v>0.8</v>
      </c>
      <c r="S31" s="115">
        <v>0.8</v>
      </c>
      <c r="T31" s="115">
        <v>0.8</v>
      </c>
      <c r="U31" s="115">
        <v>0.8</v>
      </c>
      <c r="V31" s="115">
        <v>0.8</v>
      </c>
      <c r="W31" s="115">
        <v>0.8</v>
      </c>
      <c r="X31" s="115">
        <v>0.8</v>
      </c>
      <c r="Y31" s="115">
        <v>0.8</v>
      </c>
      <c r="Z31" s="115">
        <v>0.8</v>
      </c>
      <c r="AA31" s="115">
        <v>0.8</v>
      </c>
      <c r="AB31" s="115">
        <v>0.8</v>
      </c>
      <c r="AC31" s="115">
        <v>0.8</v>
      </c>
      <c r="AD31" s="115">
        <v>0.8</v>
      </c>
      <c r="AE31" s="115">
        <v>0.8</v>
      </c>
      <c r="AF31" s="115">
        <v>0.8</v>
      </c>
      <c r="AG31" s="115">
        <v>0.8</v>
      </c>
      <c r="AH31" s="115">
        <v>0.8</v>
      </c>
      <c r="AI31" s="115">
        <v>0.8</v>
      </c>
      <c r="AJ31" s="115">
        <v>0.8</v>
      </c>
      <c r="AK31" s="115">
        <v>0.8</v>
      </c>
      <c r="AL31" s="115">
        <v>0.8</v>
      </c>
      <c r="AM31" s="115">
        <v>0.8</v>
      </c>
      <c r="AN31" s="115">
        <v>0.8</v>
      </c>
      <c r="AO31" s="115">
        <v>0.8</v>
      </c>
      <c r="AP31" s="115">
        <v>0.8</v>
      </c>
      <c r="AQ31" s="115">
        <v>0.8</v>
      </c>
      <c r="AR31" s="115">
        <v>0.8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s="93" customFormat="1" ht="16" x14ac:dyDescent="0.2">
      <c r="A32" s="94" t="s">
        <v>215</v>
      </c>
      <c r="B32" s="115">
        <v>0.8</v>
      </c>
      <c r="C32" s="115">
        <v>0.8</v>
      </c>
      <c r="D32" s="115">
        <v>0.8</v>
      </c>
      <c r="E32" s="115">
        <v>0.8</v>
      </c>
      <c r="F32" s="115">
        <v>0.8</v>
      </c>
      <c r="G32" s="115">
        <v>0.8</v>
      </c>
      <c r="H32" s="115">
        <v>0.8</v>
      </c>
      <c r="I32" s="115">
        <v>0.8</v>
      </c>
      <c r="J32" s="115">
        <v>0.8</v>
      </c>
      <c r="K32" s="115">
        <v>0.8</v>
      </c>
      <c r="L32" s="115">
        <v>0.8</v>
      </c>
      <c r="M32" s="115">
        <v>0.8</v>
      </c>
      <c r="N32" s="115">
        <v>0.8</v>
      </c>
      <c r="O32" s="115">
        <v>0.8</v>
      </c>
      <c r="P32" s="115">
        <v>0.8</v>
      </c>
      <c r="Q32" s="115">
        <v>0.8</v>
      </c>
      <c r="R32" s="115">
        <v>0.8</v>
      </c>
      <c r="S32" s="115">
        <v>0.8</v>
      </c>
      <c r="T32" s="115">
        <v>0.8</v>
      </c>
      <c r="U32" s="115">
        <v>0.8</v>
      </c>
      <c r="V32" s="115">
        <v>0.8</v>
      </c>
      <c r="W32" s="115">
        <v>0.8</v>
      </c>
      <c r="X32" s="115">
        <v>0.8</v>
      </c>
      <c r="Y32" s="115">
        <v>0.8</v>
      </c>
      <c r="Z32" s="115">
        <v>0.8</v>
      </c>
      <c r="AA32" s="115">
        <v>0.8</v>
      </c>
      <c r="AB32" s="115">
        <v>0.8</v>
      </c>
      <c r="AC32" s="115">
        <v>0.8</v>
      </c>
      <c r="AD32" s="115">
        <v>0.8</v>
      </c>
      <c r="AE32" s="115">
        <v>0.8</v>
      </c>
      <c r="AF32" s="115">
        <v>0.8</v>
      </c>
      <c r="AG32" s="115">
        <v>0.8</v>
      </c>
      <c r="AH32" s="115">
        <v>0.8</v>
      </c>
      <c r="AI32" s="115">
        <v>0.8</v>
      </c>
      <c r="AJ32" s="115">
        <v>0.8</v>
      </c>
      <c r="AK32" s="115">
        <v>0.8</v>
      </c>
      <c r="AL32" s="115">
        <v>0.8</v>
      </c>
      <c r="AM32" s="115">
        <v>0.8</v>
      </c>
      <c r="AN32" s="115">
        <v>0.8</v>
      </c>
      <c r="AO32" s="115">
        <v>0.8</v>
      </c>
      <c r="AP32" s="115">
        <v>0.8</v>
      </c>
      <c r="AQ32" s="115">
        <v>0.8</v>
      </c>
      <c r="AR32" s="115">
        <v>0.8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s="93" customFormat="1" ht="16" x14ac:dyDescent="0.2">
      <c r="A33" s="94" t="s">
        <v>216</v>
      </c>
      <c r="B33" s="115">
        <v>0.8</v>
      </c>
      <c r="C33" s="115">
        <v>0.8</v>
      </c>
      <c r="D33" s="115">
        <v>0.8</v>
      </c>
      <c r="E33" s="115">
        <v>0.8</v>
      </c>
      <c r="F33" s="115">
        <v>0.8</v>
      </c>
      <c r="G33" s="115">
        <v>0.8</v>
      </c>
      <c r="H33" s="115">
        <v>0.8</v>
      </c>
      <c r="I33" s="115">
        <v>0.8</v>
      </c>
      <c r="J33" s="115">
        <v>0.8</v>
      </c>
      <c r="K33" s="115">
        <v>0.8</v>
      </c>
      <c r="L33" s="115">
        <v>0.8</v>
      </c>
      <c r="M33" s="115">
        <v>0.8</v>
      </c>
      <c r="N33" s="115">
        <v>0.8</v>
      </c>
      <c r="O33" s="115">
        <v>0.8</v>
      </c>
      <c r="P33" s="115">
        <v>0.8</v>
      </c>
      <c r="Q33" s="115">
        <v>0.8</v>
      </c>
      <c r="R33" s="115">
        <v>0.8</v>
      </c>
      <c r="S33" s="115">
        <v>0.8</v>
      </c>
      <c r="T33" s="115">
        <v>0.8</v>
      </c>
      <c r="U33" s="115">
        <v>0.8</v>
      </c>
      <c r="V33" s="115">
        <v>0.8</v>
      </c>
      <c r="W33" s="115">
        <v>0.8</v>
      </c>
      <c r="X33" s="115">
        <v>0.8</v>
      </c>
      <c r="Y33" s="115">
        <v>0.8</v>
      </c>
      <c r="Z33" s="115">
        <v>0.8</v>
      </c>
      <c r="AA33" s="115">
        <v>0.8</v>
      </c>
      <c r="AB33" s="115">
        <v>0.8</v>
      </c>
      <c r="AC33" s="115">
        <v>0.8</v>
      </c>
      <c r="AD33" s="115">
        <v>0.8</v>
      </c>
      <c r="AE33" s="115">
        <v>0.8</v>
      </c>
      <c r="AF33" s="115">
        <v>0.8</v>
      </c>
      <c r="AG33" s="115">
        <v>0.8</v>
      </c>
      <c r="AH33" s="115">
        <v>0.8</v>
      </c>
      <c r="AI33" s="115">
        <v>0.8</v>
      </c>
      <c r="AJ33" s="115">
        <v>0.8</v>
      </c>
      <c r="AK33" s="115">
        <v>0.8</v>
      </c>
      <c r="AL33" s="115">
        <v>0.8</v>
      </c>
      <c r="AM33" s="115">
        <v>0.8</v>
      </c>
      <c r="AN33" s="115">
        <v>0.8</v>
      </c>
      <c r="AO33" s="115">
        <v>0.8</v>
      </c>
      <c r="AP33" s="115">
        <v>0.8</v>
      </c>
      <c r="AQ33" s="115">
        <v>0.8</v>
      </c>
      <c r="AR33" s="115">
        <v>0.8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s="93" customFormat="1" ht="16" x14ac:dyDescent="0.2">
      <c r="A34" s="94" t="s">
        <v>217</v>
      </c>
      <c r="B34" s="115">
        <v>0.8</v>
      </c>
      <c r="C34" s="115">
        <v>0.8</v>
      </c>
      <c r="D34" s="115">
        <v>0.8</v>
      </c>
      <c r="E34" s="115">
        <v>0.8</v>
      </c>
      <c r="F34" s="115">
        <v>0.8</v>
      </c>
      <c r="G34" s="115">
        <v>0.8</v>
      </c>
      <c r="H34" s="115">
        <v>0.8</v>
      </c>
      <c r="I34" s="115">
        <v>0.8</v>
      </c>
      <c r="J34" s="115">
        <v>0.8</v>
      </c>
      <c r="K34" s="115">
        <v>0.8</v>
      </c>
      <c r="L34" s="115">
        <v>0.8</v>
      </c>
      <c r="M34" s="115">
        <v>0.8</v>
      </c>
      <c r="N34" s="115">
        <v>0.8</v>
      </c>
      <c r="O34" s="115">
        <v>0.8</v>
      </c>
      <c r="P34" s="115">
        <v>0.8</v>
      </c>
      <c r="Q34" s="115">
        <v>0.8</v>
      </c>
      <c r="R34" s="115">
        <v>0.8</v>
      </c>
      <c r="S34" s="115">
        <v>0.8</v>
      </c>
      <c r="T34" s="115">
        <v>0.8</v>
      </c>
      <c r="U34" s="115">
        <v>0.8</v>
      </c>
      <c r="V34" s="115">
        <v>0.8</v>
      </c>
      <c r="W34" s="115">
        <v>0.8</v>
      </c>
      <c r="X34" s="115">
        <v>0.8</v>
      </c>
      <c r="Y34" s="115">
        <v>0.8</v>
      </c>
      <c r="Z34" s="115">
        <v>0.8</v>
      </c>
      <c r="AA34" s="115">
        <v>0.8</v>
      </c>
      <c r="AB34" s="115">
        <v>0.8</v>
      </c>
      <c r="AC34" s="115">
        <v>0.8</v>
      </c>
      <c r="AD34" s="115">
        <v>0.8</v>
      </c>
      <c r="AE34" s="115">
        <v>0.8</v>
      </c>
      <c r="AF34" s="115">
        <v>0.8</v>
      </c>
      <c r="AG34" s="115">
        <v>0.8</v>
      </c>
      <c r="AH34" s="115">
        <v>0.8</v>
      </c>
      <c r="AI34" s="115">
        <v>0.8</v>
      </c>
      <c r="AJ34" s="115">
        <v>0.8</v>
      </c>
      <c r="AK34" s="115">
        <v>0.8</v>
      </c>
      <c r="AL34" s="115">
        <v>0.8</v>
      </c>
      <c r="AM34" s="115">
        <v>0.8</v>
      </c>
      <c r="AN34" s="115">
        <v>0.8</v>
      </c>
      <c r="AO34" s="115">
        <v>0.8</v>
      </c>
      <c r="AP34" s="115">
        <v>0.8</v>
      </c>
      <c r="AQ34" s="115">
        <v>0.8</v>
      </c>
      <c r="AR34" s="115">
        <v>0.8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s="93" customFormat="1" ht="16" x14ac:dyDescent="0.2">
      <c r="A35" s="94" t="s">
        <v>218</v>
      </c>
      <c r="B35" s="115">
        <v>0.8</v>
      </c>
      <c r="C35" s="115">
        <v>0.8</v>
      </c>
      <c r="D35" s="115">
        <v>0.8</v>
      </c>
      <c r="E35" s="115">
        <v>0.8</v>
      </c>
      <c r="F35" s="115">
        <v>0.8</v>
      </c>
      <c r="G35" s="115">
        <v>0.8</v>
      </c>
      <c r="H35" s="115">
        <v>0.8</v>
      </c>
      <c r="I35" s="115">
        <v>0.8</v>
      </c>
      <c r="J35" s="115">
        <v>0.8</v>
      </c>
      <c r="K35" s="115">
        <v>0.8</v>
      </c>
      <c r="L35" s="115">
        <v>0.8</v>
      </c>
      <c r="M35" s="115">
        <v>0.8</v>
      </c>
      <c r="N35" s="115">
        <v>0.8</v>
      </c>
      <c r="O35" s="115">
        <v>0.8</v>
      </c>
      <c r="P35" s="115">
        <v>0.8</v>
      </c>
      <c r="Q35" s="115">
        <v>0.8</v>
      </c>
      <c r="R35" s="115">
        <v>0.8</v>
      </c>
      <c r="S35" s="115">
        <v>0.8</v>
      </c>
      <c r="T35" s="115">
        <v>0.8</v>
      </c>
      <c r="U35" s="115">
        <v>0.8</v>
      </c>
      <c r="V35" s="115">
        <v>0.8</v>
      </c>
      <c r="W35" s="115">
        <v>0.8</v>
      </c>
      <c r="X35" s="115">
        <v>0.8</v>
      </c>
      <c r="Y35" s="115">
        <v>0.8</v>
      </c>
      <c r="Z35" s="115">
        <v>0.8</v>
      </c>
      <c r="AA35" s="115">
        <v>0.8</v>
      </c>
      <c r="AB35" s="115">
        <v>0.8</v>
      </c>
      <c r="AC35" s="115">
        <v>0.8</v>
      </c>
      <c r="AD35" s="115">
        <v>0.8</v>
      </c>
      <c r="AE35" s="115">
        <v>0.8</v>
      </c>
      <c r="AF35" s="115">
        <v>0.8</v>
      </c>
      <c r="AG35" s="115">
        <v>0.8</v>
      </c>
      <c r="AH35" s="115">
        <v>0.8</v>
      </c>
      <c r="AI35" s="115">
        <v>0.8</v>
      </c>
      <c r="AJ35" s="115">
        <v>0.8</v>
      </c>
      <c r="AK35" s="115">
        <v>0.8</v>
      </c>
      <c r="AL35" s="115">
        <v>0.8</v>
      </c>
      <c r="AM35" s="115">
        <v>0.8</v>
      </c>
      <c r="AN35" s="115">
        <v>0.8</v>
      </c>
      <c r="AO35" s="115">
        <v>0.8</v>
      </c>
      <c r="AP35" s="115">
        <v>0.8</v>
      </c>
      <c r="AQ35" s="115">
        <v>0.8</v>
      </c>
      <c r="AR35" s="115">
        <v>0.8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s="93" customFormat="1" ht="16" x14ac:dyDescent="0.2">
      <c r="A36" s="94" t="s">
        <v>219</v>
      </c>
      <c r="B36" s="115">
        <v>0.8</v>
      </c>
      <c r="C36" s="115">
        <v>0.8</v>
      </c>
      <c r="D36" s="115">
        <v>0.8</v>
      </c>
      <c r="E36" s="115">
        <v>0.8</v>
      </c>
      <c r="F36" s="115">
        <v>0.8</v>
      </c>
      <c r="G36" s="115">
        <v>0.8</v>
      </c>
      <c r="H36" s="115">
        <v>0.8</v>
      </c>
      <c r="I36" s="115">
        <v>0.8</v>
      </c>
      <c r="J36" s="115">
        <v>0.8</v>
      </c>
      <c r="K36" s="115">
        <v>0.8</v>
      </c>
      <c r="L36" s="115">
        <v>0.8</v>
      </c>
      <c r="M36" s="115">
        <v>0.8</v>
      </c>
      <c r="N36" s="115">
        <v>0.8</v>
      </c>
      <c r="O36" s="115">
        <v>0.8</v>
      </c>
      <c r="P36" s="115">
        <v>0.8</v>
      </c>
      <c r="Q36" s="115">
        <v>0.8</v>
      </c>
      <c r="R36" s="115">
        <v>0.8</v>
      </c>
      <c r="S36" s="115">
        <v>0.8</v>
      </c>
      <c r="T36" s="115">
        <v>0.8</v>
      </c>
      <c r="U36" s="115">
        <v>0.8</v>
      </c>
      <c r="V36" s="115">
        <v>0.8</v>
      </c>
      <c r="W36" s="115">
        <v>0.8</v>
      </c>
      <c r="X36" s="115">
        <v>0.8</v>
      </c>
      <c r="Y36" s="115">
        <v>0.8</v>
      </c>
      <c r="Z36" s="115">
        <v>0.8</v>
      </c>
      <c r="AA36" s="115">
        <v>0.8</v>
      </c>
      <c r="AB36" s="115">
        <v>0.8</v>
      </c>
      <c r="AC36" s="115">
        <v>0.8</v>
      </c>
      <c r="AD36" s="115">
        <v>0.8</v>
      </c>
      <c r="AE36" s="115">
        <v>0.8</v>
      </c>
      <c r="AF36" s="115">
        <v>0.8</v>
      </c>
      <c r="AG36" s="115">
        <v>0.8</v>
      </c>
      <c r="AH36" s="115">
        <v>0.8</v>
      </c>
      <c r="AI36" s="115">
        <v>0.8</v>
      </c>
      <c r="AJ36" s="115">
        <v>0.8</v>
      </c>
      <c r="AK36" s="115">
        <v>0.8</v>
      </c>
      <c r="AL36" s="115">
        <v>0.8</v>
      </c>
      <c r="AM36" s="115">
        <v>0.8</v>
      </c>
      <c r="AN36" s="115">
        <v>0.8</v>
      </c>
      <c r="AO36" s="115">
        <v>0.8</v>
      </c>
      <c r="AP36" s="115">
        <v>0.8</v>
      </c>
      <c r="AQ36" s="115">
        <v>0.8</v>
      </c>
      <c r="AR36" s="115">
        <v>0.8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s="93" customFormat="1" ht="16" x14ac:dyDescent="0.2">
      <c r="A37" s="94" t="s">
        <v>220</v>
      </c>
      <c r="B37" s="115">
        <v>0.8</v>
      </c>
      <c r="C37" s="115">
        <v>0.8</v>
      </c>
      <c r="D37" s="115">
        <v>0.8</v>
      </c>
      <c r="E37" s="115">
        <v>0.8</v>
      </c>
      <c r="F37" s="115">
        <v>0.8</v>
      </c>
      <c r="G37" s="115">
        <v>0.8</v>
      </c>
      <c r="H37" s="115">
        <v>0.8</v>
      </c>
      <c r="I37" s="115">
        <v>0.8</v>
      </c>
      <c r="J37" s="115">
        <v>0.8</v>
      </c>
      <c r="K37" s="115">
        <v>0.8</v>
      </c>
      <c r="L37" s="115">
        <v>0.8</v>
      </c>
      <c r="M37" s="115">
        <v>0.8</v>
      </c>
      <c r="N37" s="115">
        <v>0.8</v>
      </c>
      <c r="O37" s="115">
        <v>0.8</v>
      </c>
      <c r="P37" s="115">
        <v>0.8</v>
      </c>
      <c r="Q37" s="115">
        <v>0.8</v>
      </c>
      <c r="R37" s="115">
        <v>0.8</v>
      </c>
      <c r="S37" s="115">
        <v>0.8</v>
      </c>
      <c r="T37" s="115">
        <v>0.8</v>
      </c>
      <c r="U37" s="115">
        <v>0.8</v>
      </c>
      <c r="V37" s="115">
        <v>0.8</v>
      </c>
      <c r="W37" s="115">
        <v>0.8</v>
      </c>
      <c r="X37" s="115">
        <v>0.8</v>
      </c>
      <c r="Y37" s="115">
        <v>0.8</v>
      </c>
      <c r="Z37" s="115">
        <v>0.8</v>
      </c>
      <c r="AA37" s="115">
        <v>0.8</v>
      </c>
      <c r="AB37" s="115">
        <v>0.8</v>
      </c>
      <c r="AC37" s="115">
        <v>0.8</v>
      </c>
      <c r="AD37" s="115">
        <v>0.8</v>
      </c>
      <c r="AE37" s="115">
        <v>0.8</v>
      </c>
      <c r="AF37" s="115">
        <v>0.8</v>
      </c>
      <c r="AG37" s="115">
        <v>0.8</v>
      </c>
      <c r="AH37" s="115">
        <v>0.8</v>
      </c>
      <c r="AI37" s="115">
        <v>0.8</v>
      </c>
      <c r="AJ37" s="115">
        <v>0.8</v>
      </c>
      <c r="AK37" s="115">
        <v>0.8</v>
      </c>
      <c r="AL37" s="115">
        <v>0.8</v>
      </c>
      <c r="AM37" s="115">
        <v>0.8</v>
      </c>
      <c r="AN37" s="115">
        <v>0.8</v>
      </c>
      <c r="AO37" s="115">
        <v>0.8</v>
      </c>
      <c r="AP37" s="115">
        <v>0.8</v>
      </c>
      <c r="AQ37" s="115">
        <v>0.8</v>
      </c>
      <c r="AR37" s="115">
        <v>0.8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s="93" customFormat="1" ht="16" x14ac:dyDescent="0.2">
      <c r="A38" s="94" t="s">
        <v>221</v>
      </c>
      <c r="B38" s="115">
        <v>0.8</v>
      </c>
      <c r="C38" s="115">
        <v>0.8</v>
      </c>
      <c r="D38" s="115">
        <v>0.8</v>
      </c>
      <c r="E38" s="115">
        <v>0.8</v>
      </c>
      <c r="F38" s="115">
        <v>0.8</v>
      </c>
      <c r="G38" s="115">
        <v>0.8</v>
      </c>
      <c r="H38" s="115">
        <v>0.8</v>
      </c>
      <c r="I38" s="115">
        <v>0.8</v>
      </c>
      <c r="J38" s="115">
        <v>0.8</v>
      </c>
      <c r="K38" s="115">
        <v>0.8</v>
      </c>
      <c r="L38" s="115">
        <v>0.8</v>
      </c>
      <c r="M38" s="115">
        <v>0.8</v>
      </c>
      <c r="N38" s="115">
        <v>0.8</v>
      </c>
      <c r="O38" s="115">
        <v>0.8</v>
      </c>
      <c r="P38" s="115">
        <v>0.8</v>
      </c>
      <c r="Q38" s="115">
        <v>0.8</v>
      </c>
      <c r="R38" s="115">
        <v>0.8</v>
      </c>
      <c r="S38" s="115">
        <v>0.8</v>
      </c>
      <c r="T38" s="115">
        <v>0.8</v>
      </c>
      <c r="U38" s="115">
        <v>0.8</v>
      </c>
      <c r="V38" s="115">
        <v>0.8</v>
      </c>
      <c r="W38" s="115">
        <v>0.8</v>
      </c>
      <c r="X38" s="115">
        <v>0.8</v>
      </c>
      <c r="Y38" s="115">
        <v>0.8</v>
      </c>
      <c r="Z38" s="115">
        <v>0.8</v>
      </c>
      <c r="AA38" s="115">
        <v>0.8</v>
      </c>
      <c r="AB38" s="115">
        <v>0.8</v>
      </c>
      <c r="AC38" s="115">
        <v>0.8</v>
      </c>
      <c r="AD38" s="115">
        <v>0.8</v>
      </c>
      <c r="AE38" s="115">
        <v>0.8</v>
      </c>
      <c r="AF38" s="115">
        <v>0.8</v>
      </c>
      <c r="AG38" s="115">
        <v>0.8</v>
      </c>
      <c r="AH38" s="115">
        <v>0.8</v>
      </c>
      <c r="AI38" s="115">
        <v>0.8</v>
      </c>
      <c r="AJ38" s="115">
        <v>0.8</v>
      </c>
      <c r="AK38" s="115">
        <v>0.8</v>
      </c>
      <c r="AL38" s="115">
        <v>0.8</v>
      </c>
      <c r="AM38" s="115">
        <v>0.8</v>
      </c>
      <c r="AN38" s="115">
        <v>0.8</v>
      </c>
      <c r="AO38" s="115">
        <v>0.8</v>
      </c>
      <c r="AP38" s="115">
        <v>0.8</v>
      </c>
      <c r="AQ38" s="115">
        <v>0.8</v>
      </c>
      <c r="AR38" s="115">
        <v>0.8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s="93" customFormat="1" ht="16" x14ac:dyDescent="0.2">
      <c r="A39" s="94" t="s">
        <v>222</v>
      </c>
      <c r="B39" s="115">
        <v>0.8</v>
      </c>
      <c r="C39" s="115">
        <v>0.8</v>
      </c>
      <c r="D39" s="115">
        <v>0.8</v>
      </c>
      <c r="E39" s="115">
        <v>0.8</v>
      </c>
      <c r="F39" s="115">
        <v>0.8</v>
      </c>
      <c r="G39" s="115">
        <v>0.8</v>
      </c>
      <c r="H39" s="115">
        <v>0.8</v>
      </c>
      <c r="I39" s="115">
        <v>0.8</v>
      </c>
      <c r="J39" s="115">
        <v>0.8</v>
      </c>
      <c r="K39" s="115">
        <v>0.8</v>
      </c>
      <c r="L39" s="115">
        <v>0.8</v>
      </c>
      <c r="M39" s="115">
        <v>0.8</v>
      </c>
      <c r="N39" s="115">
        <v>0.8</v>
      </c>
      <c r="O39" s="115">
        <v>0.8</v>
      </c>
      <c r="P39" s="115">
        <v>0.8</v>
      </c>
      <c r="Q39" s="115">
        <v>0.8</v>
      </c>
      <c r="R39" s="115">
        <v>0.8</v>
      </c>
      <c r="S39" s="115">
        <v>0.8</v>
      </c>
      <c r="T39" s="115">
        <v>0.8</v>
      </c>
      <c r="U39" s="115">
        <v>0.8</v>
      </c>
      <c r="V39" s="115">
        <v>0.8</v>
      </c>
      <c r="W39" s="115">
        <v>0.8</v>
      </c>
      <c r="X39" s="115">
        <v>0.8</v>
      </c>
      <c r="Y39" s="115">
        <v>0.8</v>
      </c>
      <c r="Z39" s="115">
        <v>0.8</v>
      </c>
      <c r="AA39" s="115">
        <v>0.8</v>
      </c>
      <c r="AB39" s="115">
        <v>0.8</v>
      </c>
      <c r="AC39" s="115">
        <v>0.8</v>
      </c>
      <c r="AD39" s="115">
        <v>0.8</v>
      </c>
      <c r="AE39" s="115">
        <v>0.8</v>
      </c>
      <c r="AF39" s="115">
        <v>0.8</v>
      </c>
      <c r="AG39" s="115">
        <v>0.8</v>
      </c>
      <c r="AH39" s="115">
        <v>0.8</v>
      </c>
      <c r="AI39" s="115">
        <v>0.8</v>
      </c>
      <c r="AJ39" s="115">
        <v>0.8</v>
      </c>
      <c r="AK39" s="115">
        <v>0.8</v>
      </c>
      <c r="AL39" s="115">
        <v>0.8</v>
      </c>
      <c r="AM39" s="115">
        <v>0.8</v>
      </c>
      <c r="AN39" s="115">
        <v>0.8</v>
      </c>
      <c r="AO39" s="115">
        <v>0.8</v>
      </c>
      <c r="AP39" s="115">
        <v>0.8</v>
      </c>
      <c r="AQ39" s="115">
        <v>0.8</v>
      </c>
      <c r="AR39" s="115">
        <v>0.8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s="93" customFormat="1" ht="16" x14ac:dyDescent="0.2">
      <c r="A40" s="94" t="s">
        <v>223</v>
      </c>
      <c r="B40" s="115">
        <v>0.8</v>
      </c>
      <c r="C40" s="115">
        <v>0.8</v>
      </c>
      <c r="D40" s="115">
        <v>0.8</v>
      </c>
      <c r="E40" s="115">
        <v>0.8</v>
      </c>
      <c r="F40" s="115">
        <v>0.8</v>
      </c>
      <c r="G40" s="115">
        <v>0.8</v>
      </c>
      <c r="H40" s="115">
        <v>0.8</v>
      </c>
      <c r="I40" s="115">
        <v>0.8</v>
      </c>
      <c r="J40" s="115">
        <v>0.8</v>
      </c>
      <c r="K40" s="115">
        <v>0.8</v>
      </c>
      <c r="L40" s="115">
        <v>0.8</v>
      </c>
      <c r="M40" s="115">
        <v>0.8</v>
      </c>
      <c r="N40" s="115">
        <v>0.8</v>
      </c>
      <c r="O40" s="115">
        <v>0.8</v>
      </c>
      <c r="P40" s="115">
        <v>0.8</v>
      </c>
      <c r="Q40" s="115">
        <v>0.8</v>
      </c>
      <c r="R40" s="115">
        <v>0.8</v>
      </c>
      <c r="S40" s="115">
        <v>0.8</v>
      </c>
      <c r="T40" s="115">
        <v>0.8</v>
      </c>
      <c r="U40" s="115">
        <v>0.8</v>
      </c>
      <c r="V40" s="115">
        <v>0.8</v>
      </c>
      <c r="W40" s="115">
        <v>0.8</v>
      </c>
      <c r="X40" s="115">
        <v>0.8</v>
      </c>
      <c r="Y40" s="115">
        <v>0.8</v>
      </c>
      <c r="Z40" s="115">
        <v>0.8</v>
      </c>
      <c r="AA40" s="115">
        <v>0.8</v>
      </c>
      <c r="AB40" s="115">
        <v>0.8</v>
      </c>
      <c r="AC40" s="115">
        <v>0.8</v>
      </c>
      <c r="AD40" s="115">
        <v>0.8</v>
      </c>
      <c r="AE40" s="115">
        <v>0.8</v>
      </c>
      <c r="AF40" s="115">
        <v>0.8</v>
      </c>
      <c r="AG40" s="115">
        <v>0.8</v>
      </c>
      <c r="AH40" s="115">
        <v>0.8</v>
      </c>
      <c r="AI40" s="115">
        <v>0.8</v>
      </c>
      <c r="AJ40" s="115">
        <v>0.8</v>
      </c>
      <c r="AK40" s="115">
        <v>0.8</v>
      </c>
      <c r="AL40" s="115">
        <v>0.8</v>
      </c>
      <c r="AM40" s="115">
        <v>0.8</v>
      </c>
      <c r="AN40" s="115">
        <v>0.8</v>
      </c>
      <c r="AO40" s="115">
        <v>0.8</v>
      </c>
      <c r="AP40" s="115">
        <v>0.8</v>
      </c>
      <c r="AQ40" s="115">
        <v>0.8</v>
      </c>
      <c r="AR40" s="115">
        <v>0.8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s="93" customFormat="1" ht="16" x14ac:dyDescent="0.2">
      <c r="A41" s="94" t="s">
        <v>224</v>
      </c>
      <c r="B41" s="115">
        <v>0.8</v>
      </c>
      <c r="C41" s="115">
        <v>0.8</v>
      </c>
      <c r="D41" s="115">
        <v>0.8</v>
      </c>
      <c r="E41" s="115">
        <v>0.8</v>
      </c>
      <c r="F41" s="115">
        <v>0.8</v>
      </c>
      <c r="G41" s="115">
        <v>0.8</v>
      </c>
      <c r="H41" s="115">
        <v>0.8</v>
      </c>
      <c r="I41" s="115">
        <v>0.8</v>
      </c>
      <c r="J41" s="115">
        <v>0.8</v>
      </c>
      <c r="K41" s="115">
        <v>0.8</v>
      </c>
      <c r="L41" s="115">
        <v>0.8</v>
      </c>
      <c r="M41" s="115">
        <v>0.8</v>
      </c>
      <c r="N41" s="115">
        <v>0.8</v>
      </c>
      <c r="O41" s="115">
        <v>0.8</v>
      </c>
      <c r="P41" s="115">
        <v>0.8</v>
      </c>
      <c r="Q41" s="115">
        <v>0.8</v>
      </c>
      <c r="R41" s="115">
        <v>0.8</v>
      </c>
      <c r="S41" s="115">
        <v>0.8</v>
      </c>
      <c r="T41" s="115">
        <v>0.8</v>
      </c>
      <c r="U41" s="115">
        <v>0.8</v>
      </c>
      <c r="V41" s="115">
        <v>0.8</v>
      </c>
      <c r="W41" s="115">
        <v>0.8</v>
      </c>
      <c r="X41" s="115">
        <v>0.8</v>
      </c>
      <c r="Y41" s="115">
        <v>0.8</v>
      </c>
      <c r="Z41" s="115">
        <v>0.8</v>
      </c>
      <c r="AA41" s="115">
        <v>0.8</v>
      </c>
      <c r="AB41" s="115">
        <v>0.8</v>
      </c>
      <c r="AC41" s="115">
        <v>0.8</v>
      </c>
      <c r="AD41" s="115">
        <v>0.8</v>
      </c>
      <c r="AE41" s="115">
        <v>0.8</v>
      </c>
      <c r="AF41" s="115">
        <v>0.8</v>
      </c>
      <c r="AG41" s="115">
        <v>0.8</v>
      </c>
      <c r="AH41" s="115">
        <v>0.8</v>
      </c>
      <c r="AI41" s="115">
        <v>0.8</v>
      </c>
      <c r="AJ41" s="115">
        <v>0.8</v>
      </c>
      <c r="AK41" s="115">
        <v>0.8</v>
      </c>
      <c r="AL41" s="115">
        <v>0.8</v>
      </c>
      <c r="AM41" s="115">
        <v>0.8</v>
      </c>
      <c r="AN41" s="115">
        <v>0.8</v>
      </c>
      <c r="AO41" s="115">
        <v>0.8</v>
      </c>
      <c r="AP41" s="115">
        <v>0.8</v>
      </c>
      <c r="AQ41" s="115">
        <v>0.8</v>
      </c>
      <c r="AR41" s="115">
        <v>0.8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s="93" customFormat="1" ht="16" x14ac:dyDescent="0.2">
      <c r="A42" s="94" t="s">
        <v>225</v>
      </c>
      <c r="B42" s="115">
        <v>0.8</v>
      </c>
      <c r="C42" s="115">
        <v>0.8</v>
      </c>
      <c r="D42" s="115">
        <v>0.8</v>
      </c>
      <c r="E42" s="115">
        <v>0.8</v>
      </c>
      <c r="F42" s="115">
        <v>0.8</v>
      </c>
      <c r="G42" s="115">
        <v>0.8</v>
      </c>
      <c r="H42" s="115">
        <v>0.8</v>
      </c>
      <c r="I42" s="115">
        <v>0.8</v>
      </c>
      <c r="J42" s="115">
        <v>0.8</v>
      </c>
      <c r="K42" s="115">
        <v>0.8</v>
      </c>
      <c r="L42" s="115">
        <v>0.8</v>
      </c>
      <c r="M42" s="115">
        <v>0.8</v>
      </c>
      <c r="N42" s="115">
        <v>0.8</v>
      </c>
      <c r="O42" s="115">
        <v>0.8</v>
      </c>
      <c r="P42" s="115">
        <v>0.8</v>
      </c>
      <c r="Q42" s="115">
        <v>0.8</v>
      </c>
      <c r="R42" s="115">
        <v>0.8</v>
      </c>
      <c r="S42" s="115">
        <v>0.8</v>
      </c>
      <c r="T42" s="115">
        <v>0.8</v>
      </c>
      <c r="U42" s="115">
        <v>0.8</v>
      </c>
      <c r="V42" s="115">
        <v>0.8</v>
      </c>
      <c r="W42" s="115">
        <v>0.8</v>
      </c>
      <c r="X42" s="115">
        <v>0.8</v>
      </c>
      <c r="Y42" s="115">
        <v>0.8</v>
      </c>
      <c r="Z42" s="115">
        <v>0.8</v>
      </c>
      <c r="AA42" s="115">
        <v>0.8</v>
      </c>
      <c r="AB42" s="115">
        <v>0.8</v>
      </c>
      <c r="AC42" s="115">
        <v>0.8</v>
      </c>
      <c r="AD42" s="115">
        <v>0.8</v>
      </c>
      <c r="AE42" s="115">
        <v>0.8</v>
      </c>
      <c r="AF42" s="115">
        <v>0.8</v>
      </c>
      <c r="AG42" s="115">
        <v>0.8</v>
      </c>
      <c r="AH42" s="115">
        <v>0.8</v>
      </c>
      <c r="AI42" s="115">
        <v>0.8</v>
      </c>
      <c r="AJ42" s="115">
        <v>0.8</v>
      </c>
      <c r="AK42" s="115">
        <v>0.8</v>
      </c>
      <c r="AL42" s="115">
        <v>0.8</v>
      </c>
      <c r="AM42" s="115">
        <v>0.8</v>
      </c>
      <c r="AN42" s="115">
        <v>0.8</v>
      </c>
      <c r="AO42" s="115">
        <v>0.8</v>
      </c>
      <c r="AP42" s="115">
        <v>0.8</v>
      </c>
      <c r="AQ42" s="115">
        <v>0.8</v>
      </c>
      <c r="AR42" s="115">
        <v>0.8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s="93" customFormat="1" ht="16" x14ac:dyDescent="0.2">
      <c r="A43" s="94" t="s">
        <v>227</v>
      </c>
      <c r="B43" s="115">
        <v>0.8</v>
      </c>
      <c r="C43" s="115">
        <v>0.8</v>
      </c>
      <c r="D43" s="115">
        <v>0.8</v>
      </c>
      <c r="E43" s="115">
        <v>0.8</v>
      </c>
      <c r="F43" s="115">
        <v>0.8</v>
      </c>
      <c r="G43" s="115">
        <v>0.8</v>
      </c>
      <c r="H43" s="115">
        <v>0.8</v>
      </c>
      <c r="I43" s="115">
        <v>0.8</v>
      </c>
      <c r="J43" s="115">
        <v>0.8</v>
      </c>
      <c r="K43" s="115">
        <v>0.8</v>
      </c>
      <c r="L43" s="115">
        <v>0.8</v>
      </c>
      <c r="M43" s="115">
        <v>0.8</v>
      </c>
      <c r="N43" s="115">
        <v>0.8</v>
      </c>
      <c r="O43" s="115">
        <v>0.8</v>
      </c>
      <c r="P43" s="115">
        <v>0.8</v>
      </c>
      <c r="Q43" s="115">
        <v>0.8</v>
      </c>
      <c r="R43" s="115">
        <v>0.8</v>
      </c>
      <c r="S43" s="115">
        <v>0.8</v>
      </c>
      <c r="T43" s="115">
        <v>0.8</v>
      </c>
      <c r="U43" s="115">
        <v>0.8</v>
      </c>
      <c r="V43" s="115">
        <v>0.8</v>
      </c>
      <c r="W43" s="115">
        <v>0.8</v>
      </c>
      <c r="X43" s="115">
        <v>0.8</v>
      </c>
      <c r="Y43" s="115">
        <v>0.8</v>
      </c>
      <c r="Z43" s="115">
        <v>0.8</v>
      </c>
      <c r="AA43" s="115">
        <v>0.8</v>
      </c>
      <c r="AB43" s="115">
        <v>0.8</v>
      </c>
      <c r="AC43" s="115">
        <v>0.8</v>
      </c>
      <c r="AD43" s="115">
        <v>0.8</v>
      </c>
      <c r="AE43" s="115">
        <v>0.8</v>
      </c>
      <c r="AF43" s="115">
        <v>0.8</v>
      </c>
      <c r="AG43" s="115">
        <v>0.8</v>
      </c>
      <c r="AH43" s="115">
        <v>0.8</v>
      </c>
      <c r="AI43" s="115">
        <v>0.8</v>
      </c>
      <c r="AJ43" s="115">
        <v>0.8</v>
      </c>
      <c r="AK43" s="115">
        <v>0.8</v>
      </c>
      <c r="AL43" s="115">
        <v>0.8</v>
      </c>
      <c r="AM43" s="115">
        <v>0.8</v>
      </c>
      <c r="AN43" s="115">
        <v>0.8</v>
      </c>
      <c r="AO43" s="115">
        <v>0.8</v>
      </c>
      <c r="AP43" s="115">
        <v>0.8</v>
      </c>
      <c r="AQ43" s="115">
        <v>0.8</v>
      </c>
      <c r="AR43" s="115">
        <v>0.8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s="93" customFormat="1" ht="16" x14ac:dyDescent="0.2">
      <c r="A44" s="94" t="s">
        <v>125</v>
      </c>
      <c r="B44" s="115">
        <v>0.8</v>
      </c>
      <c r="C44" s="115">
        <v>0.8</v>
      </c>
      <c r="D44" s="115">
        <v>0.8</v>
      </c>
      <c r="E44" s="115">
        <v>0.8</v>
      </c>
      <c r="F44" s="115">
        <v>0.8</v>
      </c>
      <c r="G44" s="115">
        <v>0.8</v>
      </c>
      <c r="H44" s="115">
        <v>0.8</v>
      </c>
      <c r="I44" s="115">
        <v>0.8</v>
      </c>
      <c r="J44" s="115">
        <v>0.8</v>
      </c>
      <c r="K44" s="115">
        <v>0.8</v>
      </c>
      <c r="L44" s="115">
        <v>0.8</v>
      </c>
      <c r="M44" s="115">
        <v>0.8</v>
      </c>
      <c r="N44" s="115">
        <v>0.8</v>
      </c>
      <c r="O44" s="115">
        <v>0.8</v>
      </c>
      <c r="P44" s="115">
        <v>0.8</v>
      </c>
      <c r="Q44" s="115">
        <v>0.8</v>
      </c>
      <c r="R44" s="115">
        <v>0.8</v>
      </c>
      <c r="S44" s="115">
        <v>0.8</v>
      </c>
      <c r="T44" s="115">
        <v>0.8</v>
      </c>
      <c r="U44" s="115">
        <v>0.8</v>
      </c>
      <c r="V44" s="115">
        <v>0.8</v>
      </c>
      <c r="W44" s="115">
        <v>0.8</v>
      </c>
      <c r="X44" s="115">
        <v>0.8</v>
      </c>
      <c r="Y44" s="115">
        <v>0.8</v>
      </c>
      <c r="Z44" s="115">
        <v>0.8</v>
      </c>
      <c r="AA44" s="115">
        <v>0.8</v>
      </c>
      <c r="AB44" s="115">
        <v>0.8</v>
      </c>
      <c r="AC44" s="115">
        <v>0.8</v>
      </c>
      <c r="AD44" s="115">
        <v>0.8</v>
      </c>
      <c r="AE44" s="115">
        <v>0.8</v>
      </c>
      <c r="AF44" s="115">
        <v>0.8</v>
      </c>
      <c r="AG44" s="115">
        <v>0.8</v>
      </c>
      <c r="AH44" s="115">
        <v>0.8</v>
      </c>
      <c r="AI44" s="115">
        <v>0.8</v>
      </c>
      <c r="AJ44" s="115">
        <v>0.8</v>
      </c>
      <c r="AK44" s="115">
        <v>0.8</v>
      </c>
      <c r="AL44" s="115">
        <v>0.8</v>
      </c>
      <c r="AM44" s="115">
        <v>0.8</v>
      </c>
      <c r="AN44" s="115">
        <v>0.8</v>
      </c>
      <c r="AO44" s="115">
        <v>0.8</v>
      </c>
      <c r="AP44" s="115">
        <v>0.8</v>
      </c>
      <c r="AQ44" s="115">
        <v>0.8</v>
      </c>
      <c r="AR44" s="115">
        <v>0.8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s="115" customFormat="1" ht="16" x14ac:dyDescent="0.2">
      <c r="A45" s="117" t="s">
        <v>167</v>
      </c>
      <c r="B45" s="115">
        <v>0.8</v>
      </c>
      <c r="C45" s="115">
        <v>0.8</v>
      </c>
      <c r="D45" s="115">
        <v>0.8</v>
      </c>
      <c r="E45" s="115">
        <v>0.8</v>
      </c>
      <c r="F45" s="115">
        <v>0.8</v>
      </c>
      <c r="G45" s="115">
        <v>0.8</v>
      </c>
      <c r="H45" s="115">
        <v>0.8</v>
      </c>
      <c r="I45" s="115">
        <v>0.8</v>
      </c>
      <c r="J45" s="115">
        <v>0.8</v>
      </c>
      <c r="K45" s="115">
        <v>0.8</v>
      </c>
      <c r="L45" s="115">
        <v>0.8</v>
      </c>
      <c r="M45" s="115">
        <v>0.8</v>
      </c>
      <c r="N45" s="115">
        <v>0.8</v>
      </c>
      <c r="O45" s="115">
        <v>0.8</v>
      </c>
      <c r="P45" s="115">
        <v>0.8</v>
      </c>
      <c r="Q45" s="115">
        <v>0.8</v>
      </c>
      <c r="R45" s="115">
        <v>0.8</v>
      </c>
      <c r="S45" s="115">
        <v>0.8</v>
      </c>
      <c r="T45" s="115">
        <v>0.8</v>
      </c>
      <c r="U45" s="115">
        <v>0.8</v>
      </c>
      <c r="V45" s="115">
        <v>0.8</v>
      </c>
      <c r="W45" s="115">
        <v>0.8</v>
      </c>
      <c r="X45" s="115">
        <v>0.8</v>
      </c>
      <c r="Y45" s="115">
        <v>0.8</v>
      </c>
      <c r="Z45" s="115">
        <v>0.8</v>
      </c>
      <c r="AA45" s="115">
        <v>0.8</v>
      </c>
      <c r="AB45" s="115">
        <v>0.8</v>
      </c>
      <c r="AC45" s="115">
        <v>0.8</v>
      </c>
      <c r="AD45" s="115">
        <v>0.8</v>
      </c>
      <c r="AE45" s="115">
        <v>0.8</v>
      </c>
      <c r="AF45" s="115">
        <v>0.8</v>
      </c>
      <c r="AG45" s="115">
        <v>0.8</v>
      </c>
      <c r="AH45" s="115">
        <v>0.8</v>
      </c>
      <c r="AI45" s="115">
        <v>0.8</v>
      </c>
      <c r="AJ45" s="115">
        <v>0.8</v>
      </c>
      <c r="AK45" s="115">
        <v>0.8</v>
      </c>
      <c r="AL45" s="115">
        <v>0.8</v>
      </c>
      <c r="AM45" s="115">
        <v>0.8</v>
      </c>
      <c r="AN45" s="115">
        <v>0.8</v>
      </c>
      <c r="AO45" s="115">
        <v>0.8</v>
      </c>
      <c r="AP45" s="115">
        <v>0.8</v>
      </c>
      <c r="AQ45" s="115">
        <v>0.8</v>
      </c>
      <c r="AR45" s="115">
        <v>0.8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customFormat="1" ht="14" customHeight="1" x14ac:dyDescent="0.15"/>
    <row r="47" spans="1:66" customFormat="1" ht="14" customHeight="1" x14ac:dyDescent="0.15"/>
    <row r="48" spans="1:66" customFormat="1" ht="14" customHeight="1" x14ac:dyDescent="0.15"/>
    <row r="49" customFormat="1" ht="14" customHeight="1" x14ac:dyDescent="0.15"/>
    <row r="50" customFormat="1" ht="14" customHeight="1" x14ac:dyDescent="0.15"/>
    <row r="51" customFormat="1" ht="14" customHeight="1" x14ac:dyDescent="0.15"/>
    <row r="52" customFormat="1" ht="14" customHeight="1" x14ac:dyDescent="0.15"/>
    <row r="53" customFormat="1" ht="14" customHeight="1" x14ac:dyDescent="0.15"/>
    <row r="54" customFormat="1" ht="14" customHeight="1" x14ac:dyDescent="0.15"/>
    <row r="55" customFormat="1" ht="14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N56"/>
  <sheetViews>
    <sheetView topLeftCell="A31" workbookViewId="0">
      <selection activeCell="A50" sqref="A50"/>
    </sheetView>
  </sheetViews>
  <sheetFormatPr baseColWidth="10" defaultRowHeight="14" customHeight="1" x14ac:dyDescent="0.2"/>
  <cols>
    <col min="1" max="1" width="39.83203125" style="156" bestFit="1" customWidth="1"/>
    <col min="2" max="44" width="10.83203125" style="156"/>
    <col min="54" max="16384" width="10.83203125" style="156"/>
  </cols>
  <sheetData>
    <row r="1" spans="1:66" ht="16" x14ac:dyDescent="0.2">
      <c r="A1" s="159" t="s">
        <v>141</v>
      </c>
      <c r="B1" s="137" t="s">
        <v>185</v>
      </c>
      <c r="C1" s="137" t="s">
        <v>186</v>
      </c>
      <c r="D1" s="137" t="s">
        <v>187</v>
      </c>
      <c r="E1" s="137" t="s">
        <v>188</v>
      </c>
      <c r="F1" s="137" t="s">
        <v>189</v>
      </c>
      <c r="G1" s="117" t="s">
        <v>190</v>
      </c>
      <c r="H1" s="137" t="s">
        <v>191</v>
      </c>
      <c r="I1" s="137" t="s">
        <v>192</v>
      </c>
      <c r="J1" s="137" t="s">
        <v>193</v>
      </c>
      <c r="K1" s="137" t="s">
        <v>194</v>
      </c>
      <c r="L1" s="137" t="s">
        <v>195</v>
      </c>
      <c r="M1" s="137" t="s">
        <v>196</v>
      </c>
      <c r="N1" s="137" t="s">
        <v>197</v>
      </c>
      <c r="O1" s="137" t="s">
        <v>198</v>
      </c>
      <c r="P1" s="137" t="s">
        <v>199</v>
      </c>
      <c r="Q1" s="137" t="s">
        <v>200</v>
      </c>
      <c r="R1" s="137" t="s">
        <v>201</v>
      </c>
      <c r="S1" s="137" t="s">
        <v>202</v>
      </c>
      <c r="T1" s="137" t="s">
        <v>203</v>
      </c>
      <c r="U1" s="137" t="s">
        <v>204</v>
      </c>
      <c r="V1" s="137" t="s">
        <v>205</v>
      </c>
      <c r="W1" s="137" t="s">
        <v>206</v>
      </c>
      <c r="X1" s="137" t="s">
        <v>207</v>
      </c>
      <c r="Y1" s="137" t="s">
        <v>208</v>
      </c>
      <c r="Z1" s="137" t="s">
        <v>209</v>
      </c>
      <c r="AA1" s="137" t="s">
        <v>210</v>
      </c>
      <c r="AB1" s="137" t="s">
        <v>211</v>
      </c>
      <c r="AC1" s="137" t="s">
        <v>212</v>
      </c>
      <c r="AD1" s="137" t="s">
        <v>213</v>
      </c>
      <c r="AE1" s="137" t="s">
        <v>214</v>
      </c>
      <c r="AF1" s="137" t="s">
        <v>215</v>
      </c>
      <c r="AG1" s="137" t="s">
        <v>216</v>
      </c>
      <c r="AH1" s="137" t="s">
        <v>217</v>
      </c>
      <c r="AI1" s="137" t="s">
        <v>218</v>
      </c>
      <c r="AJ1" s="137" t="s">
        <v>219</v>
      </c>
      <c r="AK1" s="137" t="s">
        <v>220</v>
      </c>
      <c r="AL1" s="137" t="s">
        <v>221</v>
      </c>
      <c r="AM1" s="137" t="s">
        <v>222</v>
      </c>
      <c r="AN1" s="137" t="s">
        <v>223</v>
      </c>
      <c r="AO1" s="137" t="s">
        <v>224</v>
      </c>
      <c r="AP1" s="137" t="s">
        <v>225</v>
      </c>
      <c r="AQ1" s="137" t="s">
        <v>227</v>
      </c>
      <c r="AR1" s="137" t="s">
        <v>125</v>
      </c>
    </row>
    <row r="2" spans="1:66" s="93" customFormat="1" ht="16" x14ac:dyDescent="0.2">
      <c r="A2" s="94" t="s">
        <v>185</v>
      </c>
      <c r="B2" s="115">
        <v>0</v>
      </c>
      <c r="C2" s="115">
        <v>0</v>
      </c>
      <c r="D2" s="115">
        <v>0</v>
      </c>
      <c r="E2" s="115">
        <v>0</v>
      </c>
      <c r="F2" s="115">
        <v>0</v>
      </c>
      <c r="G2" s="115">
        <v>0</v>
      </c>
      <c r="H2" s="115">
        <v>0</v>
      </c>
      <c r="I2" s="115">
        <v>0</v>
      </c>
      <c r="J2" s="115">
        <v>0</v>
      </c>
      <c r="K2" s="115">
        <v>0</v>
      </c>
      <c r="L2" s="115">
        <v>0</v>
      </c>
      <c r="M2" s="115">
        <v>0</v>
      </c>
      <c r="N2" s="115">
        <v>0</v>
      </c>
      <c r="O2" s="115">
        <v>0</v>
      </c>
      <c r="P2" s="115">
        <v>0</v>
      </c>
      <c r="Q2" s="115">
        <v>0</v>
      </c>
      <c r="R2" s="115">
        <v>0</v>
      </c>
      <c r="S2" s="115">
        <v>0</v>
      </c>
      <c r="T2" s="115">
        <v>0</v>
      </c>
      <c r="U2" s="115">
        <v>0</v>
      </c>
      <c r="V2" s="115">
        <v>0</v>
      </c>
      <c r="W2" s="115">
        <v>0</v>
      </c>
      <c r="X2" s="115">
        <v>0</v>
      </c>
      <c r="Y2" s="115">
        <v>0</v>
      </c>
      <c r="Z2" s="115">
        <v>0</v>
      </c>
      <c r="AA2" s="115">
        <v>0</v>
      </c>
      <c r="AB2" s="115">
        <v>0</v>
      </c>
      <c r="AC2" s="115">
        <v>0</v>
      </c>
      <c r="AD2" s="115">
        <v>0</v>
      </c>
      <c r="AE2" s="115">
        <v>0</v>
      </c>
      <c r="AF2" s="115">
        <v>0</v>
      </c>
      <c r="AG2" s="115">
        <v>0</v>
      </c>
      <c r="AH2" s="115">
        <v>0</v>
      </c>
      <c r="AI2" s="115">
        <v>0</v>
      </c>
      <c r="AJ2" s="115">
        <v>0</v>
      </c>
      <c r="AK2" s="115">
        <v>0</v>
      </c>
      <c r="AL2" s="115">
        <v>0</v>
      </c>
      <c r="AM2" s="115">
        <v>0</v>
      </c>
      <c r="AN2" s="115">
        <v>0</v>
      </c>
      <c r="AO2" s="115">
        <v>0</v>
      </c>
      <c r="AP2" s="115">
        <v>0</v>
      </c>
      <c r="AQ2" s="115">
        <v>0</v>
      </c>
      <c r="AR2" s="115">
        <v>0</v>
      </c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6" s="93" customFormat="1" ht="16" x14ac:dyDescent="0.2">
      <c r="A3" s="94" t="s">
        <v>186</v>
      </c>
      <c r="B3" s="115">
        <v>0</v>
      </c>
      <c r="C3" s="115">
        <v>0</v>
      </c>
      <c r="D3" s="115">
        <v>0</v>
      </c>
      <c r="E3" s="115">
        <v>0</v>
      </c>
      <c r="F3" s="115">
        <v>0</v>
      </c>
      <c r="G3" s="115">
        <v>0</v>
      </c>
      <c r="H3" s="115">
        <v>0</v>
      </c>
      <c r="I3" s="115">
        <v>0</v>
      </c>
      <c r="J3" s="115">
        <v>0</v>
      </c>
      <c r="K3" s="115">
        <v>0</v>
      </c>
      <c r="L3" s="115">
        <v>0</v>
      </c>
      <c r="M3" s="115">
        <v>0</v>
      </c>
      <c r="N3" s="115">
        <v>0</v>
      </c>
      <c r="O3" s="115">
        <v>0</v>
      </c>
      <c r="P3" s="115">
        <v>0</v>
      </c>
      <c r="Q3" s="115">
        <v>0</v>
      </c>
      <c r="R3" s="115">
        <v>0</v>
      </c>
      <c r="S3" s="115">
        <v>0</v>
      </c>
      <c r="T3" s="115">
        <v>0</v>
      </c>
      <c r="U3" s="115">
        <v>0</v>
      </c>
      <c r="V3" s="115">
        <v>0</v>
      </c>
      <c r="W3" s="115">
        <v>0</v>
      </c>
      <c r="X3" s="115">
        <v>0</v>
      </c>
      <c r="Y3" s="115">
        <v>0</v>
      </c>
      <c r="Z3" s="115">
        <v>0</v>
      </c>
      <c r="AA3" s="115">
        <v>0</v>
      </c>
      <c r="AB3" s="115">
        <v>0</v>
      </c>
      <c r="AC3" s="115">
        <v>0</v>
      </c>
      <c r="AD3" s="115">
        <v>0</v>
      </c>
      <c r="AE3" s="115">
        <v>0</v>
      </c>
      <c r="AF3" s="115">
        <v>0</v>
      </c>
      <c r="AG3" s="115">
        <v>0</v>
      </c>
      <c r="AH3" s="115">
        <v>0</v>
      </c>
      <c r="AI3" s="115">
        <v>0</v>
      </c>
      <c r="AJ3" s="115">
        <v>0</v>
      </c>
      <c r="AK3" s="115">
        <v>0</v>
      </c>
      <c r="AL3" s="115">
        <v>0</v>
      </c>
      <c r="AM3" s="115">
        <v>0</v>
      </c>
      <c r="AN3" s="115">
        <v>0</v>
      </c>
      <c r="AO3" s="115">
        <v>0</v>
      </c>
      <c r="AP3" s="115">
        <v>0</v>
      </c>
      <c r="AQ3" s="115">
        <v>0</v>
      </c>
      <c r="AR3" s="115">
        <v>0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6" s="93" customFormat="1" ht="16" x14ac:dyDescent="0.2">
      <c r="A4" s="94" t="s">
        <v>187</v>
      </c>
      <c r="B4" s="115">
        <v>0</v>
      </c>
      <c r="C4" s="115">
        <v>0</v>
      </c>
      <c r="D4" s="115">
        <v>0</v>
      </c>
      <c r="E4" s="115">
        <v>0</v>
      </c>
      <c r="F4" s="115">
        <v>0</v>
      </c>
      <c r="G4" s="115">
        <v>0</v>
      </c>
      <c r="H4" s="115">
        <v>0</v>
      </c>
      <c r="I4" s="115">
        <v>0</v>
      </c>
      <c r="J4" s="115">
        <v>0</v>
      </c>
      <c r="K4" s="115">
        <v>0</v>
      </c>
      <c r="L4" s="115">
        <v>0</v>
      </c>
      <c r="M4" s="115">
        <v>0</v>
      </c>
      <c r="N4" s="115">
        <v>0</v>
      </c>
      <c r="O4" s="115">
        <v>0</v>
      </c>
      <c r="P4" s="115">
        <v>0</v>
      </c>
      <c r="Q4" s="115">
        <v>0</v>
      </c>
      <c r="R4" s="115">
        <v>0</v>
      </c>
      <c r="S4" s="115">
        <v>0</v>
      </c>
      <c r="T4" s="115">
        <v>0</v>
      </c>
      <c r="U4" s="115">
        <v>0</v>
      </c>
      <c r="V4" s="115">
        <v>0</v>
      </c>
      <c r="W4" s="115">
        <v>0</v>
      </c>
      <c r="X4" s="115">
        <v>0</v>
      </c>
      <c r="Y4" s="115">
        <v>0</v>
      </c>
      <c r="Z4" s="115">
        <v>0</v>
      </c>
      <c r="AA4" s="115">
        <v>0</v>
      </c>
      <c r="AB4" s="115">
        <v>0</v>
      </c>
      <c r="AC4" s="115">
        <v>0</v>
      </c>
      <c r="AD4" s="115">
        <v>0</v>
      </c>
      <c r="AE4" s="115">
        <v>0</v>
      </c>
      <c r="AF4" s="115">
        <v>0</v>
      </c>
      <c r="AG4" s="115">
        <v>0</v>
      </c>
      <c r="AH4" s="115">
        <v>0</v>
      </c>
      <c r="AI4" s="115">
        <v>0</v>
      </c>
      <c r="AJ4" s="115">
        <v>0</v>
      </c>
      <c r="AK4" s="115">
        <v>0</v>
      </c>
      <c r="AL4" s="115">
        <v>0</v>
      </c>
      <c r="AM4" s="115">
        <v>0</v>
      </c>
      <c r="AN4" s="115">
        <v>0</v>
      </c>
      <c r="AO4" s="115">
        <v>0</v>
      </c>
      <c r="AP4" s="115">
        <v>0</v>
      </c>
      <c r="AQ4" s="115">
        <v>0</v>
      </c>
      <c r="AR4" s="115">
        <v>0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s="93" customFormat="1" ht="16" x14ac:dyDescent="0.2">
      <c r="A5" s="94" t="s">
        <v>188</v>
      </c>
      <c r="B5" s="115">
        <v>0</v>
      </c>
      <c r="C5" s="115">
        <v>0</v>
      </c>
      <c r="D5" s="115">
        <v>0</v>
      </c>
      <c r="E5" s="115">
        <v>0</v>
      </c>
      <c r="F5" s="115">
        <v>0</v>
      </c>
      <c r="G5" s="115">
        <v>0</v>
      </c>
      <c r="H5" s="115">
        <v>0</v>
      </c>
      <c r="I5" s="115">
        <v>0</v>
      </c>
      <c r="J5" s="115">
        <v>0</v>
      </c>
      <c r="K5" s="115">
        <v>0</v>
      </c>
      <c r="L5" s="115">
        <v>0</v>
      </c>
      <c r="M5" s="115">
        <v>0</v>
      </c>
      <c r="N5" s="115">
        <v>0</v>
      </c>
      <c r="O5" s="115">
        <v>0</v>
      </c>
      <c r="P5" s="115">
        <v>0</v>
      </c>
      <c r="Q5" s="115">
        <v>0</v>
      </c>
      <c r="R5" s="115">
        <v>0</v>
      </c>
      <c r="S5" s="115">
        <v>0</v>
      </c>
      <c r="T5" s="115">
        <v>0</v>
      </c>
      <c r="U5" s="115">
        <v>0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>
        <v>0</v>
      </c>
      <c r="AC5" s="115">
        <v>0</v>
      </c>
      <c r="AD5" s="115">
        <v>0</v>
      </c>
      <c r="AE5" s="115">
        <v>0</v>
      </c>
      <c r="AF5" s="115">
        <v>0</v>
      </c>
      <c r="AG5" s="115">
        <v>0</v>
      </c>
      <c r="AH5" s="115">
        <v>0</v>
      </c>
      <c r="AI5" s="115">
        <v>0</v>
      </c>
      <c r="AJ5" s="115">
        <v>0</v>
      </c>
      <c r="AK5" s="115">
        <v>0</v>
      </c>
      <c r="AL5" s="115">
        <v>0</v>
      </c>
      <c r="AM5" s="115">
        <v>0</v>
      </c>
      <c r="AN5" s="115">
        <v>0</v>
      </c>
      <c r="AO5" s="115">
        <v>0</v>
      </c>
      <c r="AP5" s="115">
        <v>0</v>
      </c>
      <c r="AQ5" s="115">
        <v>0</v>
      </c>
      <c r="AR5" s="115">
        <v>0</v>
      </c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s="93" customFormat="1" ht="16" x14ac:dyDescent="0.2">
      <c r="A6" s="94" t="s">
        <v>189</v>
      </c>
      <c r="B6" s="115">
        <v>0</v>
      </c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s="93" customFormat="1" ht="16" x14ac:dyDescent="0.2">
      <c r="A7" s="94" t="s">
        <v>190</v>
      </c>
      <c r="B7" s="115">
        <v>0</v>
      </c>
      <c r="C7" s="115">
        <v>0</v>
      </c>
      <c r="D7" s="115">
        <v>0</v>
      </c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  <c r="Y7" s="115">
        <v>0</v>
      </c>
      <c r="Z7" s="115">
        <v>0</v>
      </c>
      <c r="AA7" s="115">
        <v>0</v>
      </c>
      <c r="AB7" s="115">
        <v>0</v>
      </c>
      <c r="AC7" s="115">
        <v>0</v>
      </c>
      <c r="AD7" s="115">
        <v>0</v>
      </c>
      <c r="AE7" s="115">
        <v>0</v>
      </c>
      <c r="AF7" s="115">
        <v>0</v>
      </c>
      <c r="AG7" s="115">
        <v>0</v>
      </c>
      <c r="AH7" s="115">
        <v>0</v>
      </c>
      <c r="AI7" s="115">
        <v>0</v>
      </c>
      <c r="AJ7" s="115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0</v>
      </c>
      <c r="AP7" s="115">
        <v>0</v>
      </c>
      <c r="AQ7" s="115">
        <v>0</v>
      </c>
      <c r="AR7" s="115">
        <v>0</v>
      </c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s="93" customFormat="1" ht="16" x14ac:dyDescent="0.2">
      <c r="A8" s="94" t="s">
        <v>191</v>
      </c>
      <c r="B8" s="115">
        <v>0</v>
      </c>
      <c r="C8" s="115">
        <v>0</v>
      </c>
      <c r="D8" s="115">
        <v>0</v>
      </c>
      <c r="E8" s="115">
        <v>0</v>
      </c>
      <c r="F8" s="115">
        <v>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5">
        <v>0</v>
      </c>
      <c r="R8" s="115">
        <v>0</v>
      </c>
      <c r="S8" s="115">
        <v>0</v>
      </c>
      <c r="T8" s="115">
        <v>0</v>
      </c>
      <c r="U8" s="115">
        <v>0</v>
      </c>
      <c r="V8" s="115">
        <v>0</v>
      </c>
      <c r="W8" s="115">
        <v>0</v>
      </c>
      <c r="X8" s="115">
        <v>0</v>
      </c>
      <c r="Y8" s="115">
        <v>0</v>
      </c>
      <c r="Z8" s="115">
        <v>0</v>
      </c>
      <c r="AA8" s="115">
        <v>0</v>
      </c>
      <c r="AB8" s="115">
        <v>0</v>
      </c>
      <c r="AC8" s="115">
        <v>0</v>
      </c>
      <c r="AD8" s="115">
        <v>0</v>
      </c>
      <c r="AE8" s="115">
        <v>0</v>
      </c>
      <c r="AF8" s="115">
        <v>0</v>
      </c>
      <c r="AG8" s="115">
        <v>0</v>
      </c>
      <c r="AH8" s="115">
        <v>0</v>
      </c>
      <c r="AI8" s="115">
        <v>0</v>
      </c>
      <c r="AJ8" s="115">
        <v>0</v>
      </c>
      <c r="AK8" s="115">
        <v>0</v>
      </c>
      <c r="AL8" s="115">
        <v>0</v>
      </c>
      <c r="AM8" s="115">
        <v>0</v>
      </c>
      <c r="AN8" s="115">
        <v>0</v>
      </c>
      <c r="AO8" s="115">
        <v>0</v>
      </c>
      <c r="AP8" s="115">
        <v>0</v>
      </c>
      <c r="AQ8" s="115">
        <v>0</v>
      </c>
      <c r="AR8" s="115">
        <v>0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s="93" customFormat="1" ht="16" x14ac:dyDescent="0.2">
      <c r="A9" s="94" t="s">
        <v>192</v>
      </c>
      <c r="B9" s="115">
        <v>0</v>
      </c>
      <c r="C9" s="115">
        <v>0</v>
      </c>
      <c r="D9" s="115">
        <v>0</v>
      </c>
      <c r="E9" s="115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5">
        <v>0</v>
      </c>
      <c r="R9" s="115">
        <v>0</v>
      </c>
      <c r="S9" s="115">
        <v>0</v>
      </c>
      <c r="T9" s="115">
        <v>0</v>
      </c>
      <c r="U9" s="115">
        <v>0</v>
      </c>
      <c r="V9" s="115">
        <v>0</v>
      </c>
      <c r="W9" s="115">
        <v>0</v>
      </c>
      <c r="X9" s="115">
        <v>0</v>
      </c>
      <c r="Y9" s="115">
        <v>0</v>
      </c>
      <c r="Z9" s="115">
        <v>0</v>
      </c>
      <c r="AA9" s="115">
        <v>0</v>
      </c>
      <c r="AB9" s="115">
        <v>0</v>
      </c>
      <c r="AC9" s="115">
        <v>0</v>
      </c>
      <c r="AD9" s="115">
        <v>0</v>
      </c>
      <c r="AE9" s="115">
        <v>0</v>
      </c>
      <c r="AF9" s="115">
        <v>0</v>
      </c>
      <c r="AG9" s="115">
        <v>0</v>
      </c>
      <c r="AH9" s="115">
        <v>0</v>
      </c>
      <c r="AI9" s="115">
        <v>0</v>
      </c>
      <c r="AJ9" s="115">
        <v>0</v>
      </c>
      <c r="AK9" s="115">
        <v>0</v>
      </c>
      <c r="AL9" s="115">
        <v>0</v>
      </c>
      <c r="AM9" s="115">
        <v>0</v>
      </c>
      <c r="AN9" s="115">
        <v>0</v>
      </c>
      <c r="AO9" s="115">
        <v>0</v>
      </c>
      <c r="AP9" s="115">
        <v>0</v>
      </c>
      <c r="AQ9" s="115">
        <v>0</v>
      </c>
      <c r="AR9" s="115">
        <v>0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s="93" customFormat="1" ht="16" x14ac:dyDescent="0.2">
      <c r="A10" s="94" t="s">
        <v>193</v>
      </c>
      <c r="B10" s="115">
        <v>0</v>
      </c>
      <c r="C10" s="115">
        <v>0</v>
      </c>
      <c r="D10" s="115">
        <v>0</v>
      </c>
      <c r="E10" s="115">
        <v>0</v>
      </c>
      <c r="F10" s="115">
        <v>0</v>
      </c>
      <c r="G10" s="115">
        <v>0</v>
      </c>
      <c r="H10" s="115">
        <v>0</v>
      </c>
      <c r="I10" s="115">
        <v>0</v>
      </c>
      <c r="J10" s="115">
        <v>0</v>
      </c>
      <c r="K10" s="115">
        <v>0</v>
      </c>
      <c r="L10" s="115">
        <v>0</v>
      </c>
      <c r="M10" s="115">
        <v>0</v>
      </c>
      <c r="N10" s="115">
        <v>0</v>
      </c>
      <c r="O10" s="115">
        <v>0</v>
      </c>
      <c r="P10" s="115">
        <v>0</v>
      </c>
      <c r="Q10" s="115">
        <v>0</v>
      </c>
      <c r="R10" s="115">
        <v>0</v>
      </c>
      <c r="S10" s="115">
        <v>0</v>
      </c>
      <c r="T10" s="115">
        <v>0</v>
      </c>
      <c r="U10" s="115">
        <v>0</v>
      </c>
      <c r="V10" s="115">
        <v>0</v>
      </c>
      <c r="W10" s="115">
        <v>0</v>
      </c>
      <c r="X10" s="115">
        <v>0</v>
      </c>
      <c r="Y10" s="115">
        <v>0</v>
      </c>
      <c r="Z10" s="115">
        <v>0</v>
      </c>
      <c r="AA10" s="115">
        <v>0</v>
      </c>
      <c r="AB10" s="115">
        <v>0</v>
      </c>
      <c r="AC10" s="115">
        <v>0</v>
      </c>
      <c r="AD10" s="115">
        <v>0</v>
      </c>
      <c r="AE10" s="115">
        <v>0</v>
      </c>
      <c r="AF10" s="115">
        <v>0</v>
      </c>
      <c r="AG10" s="115">
        <v>0</v>
      </c>
      <c r="AH10" s="115">
        <v>0</v>
      </c>
      <c r="AI10" s="115">
        <v>0</v>
      </c>
      <c r="AJ10" s="115">
        <v>0</v>
      </c>
      <c r="AK10" s="115">
        <v>0</v>
      </c>
      <c r="AL10" s="115">
        <v>0</v>
      </c>
      <c r="AM10" s="115">
        <v>0</v>
      </c>
      <c r="AN10" s="115">
        <v>0</v>
      </c>
      <c r="AO10" s="115">
        <v>0</v>
      </c>
      <c r="AP10" s="115">
        <v>0</v>
      </c>
      <c r="AQ10" s="115">
        <v>0</v>
      </c>
      <c r="AR10" s="115">
        <v>0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93" customFormat="1" ht="16" x14ac:dyDescent="0.2">
      <c r="A11" s="94" t="s">
        <v>194</v>
      </c>
      <c r="B11" s="115">
        <v>0</v>
      </c>
      <c r="C11" s="115">
        <v>0</v>
      </c>
      <c r="D11" s="115">
        <v>0</v>
      </c>
      <c r="E11" s="115">
        <v>0</v>
      </c>
      <c r="F11" s="115">
        <v>0</v>
      </c>
      <c r="G11" s="115">
        <v>0</v>
      </c>
      <c r="H11" s="115">
        <v>0</v>
      </c>
      <c r="I11" s="115">
        <v>0</v>
      </c>
      <c r="J11" s="115">
        <v>0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15">
        <v>0</v>
      </c>
      <c r="Q11" s="115">
        <v>0</v>
      </c>
      <c r="R11" s="115">
        <v>0</v>
      </c>
      <c r="S11" s="115">
        <v>0</v>
      </c>
      <c r="T11" s="115">
        <v>0</v>
      </c>
      <c r="U11" s="115">
        <v>0</v>
      </c>
      <c r="V11" s="115">
        <v>0</v>
      </c>
      <c r="W11" s="115">
        <v>0</v>
      </c>
      <c r="X11" s="115">
        <v>0</v>
      </c>
      <c r="Y11" s="115">
        <v>0</v>
      </c>
      <c r="Z11" s="115">
        <v>0</v>
      </c>
      <c r="AA11" s="115">
        <v>0</v>
      </c>
      <c r="AB11" s="115">
        <v>0</v>
      </c>
      <c r="AC11" s="115">
        <v>0</v>
      </c>
      <c r="AD11" s="115">
        <v>0</v>
      </c>
      <c r="AE11" s="115">
        <v>0</v>
      </c>
      <c r="AF11" s="115">
        <v>0</v>
      </c>
      <c r="AG11" s="115">
        <v>0</v>
      </c>
      <c r="AH11" s="115">
        <v>0</v>
      </c>
      <c r="AI11" s="115">
        <v>0</v>
      </c>
      <c r="AJ11" s="115">
        <v>0</v>
      </c>
      <c r="AK11" s="115">
        <v>0</v>
      </c>
      <c r="AL11" s="115">
        <v>0</v>
      </c>
      <c r="AM11" s="115">
        <v>0</v>
      </c>
      <c r="AN11" s="115">
        <v>0</v>
      </c>
      <c r="AO11" s="115">
        <v>0</v>
      </c>
      <c r="AP11" s="115">
        <v>0</v>
      </c>
      <c r="AQ11" s="115">
        <v>0</v>
      </c>
      <c r="AR11" s="115">
        <v>0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s="93" customFormat="1" ht="16" x14ac:dyDescent="0.2">
      <c r="A12" s="94" t="s">
        <v>195</v>
      </c>
      <c r="B12" s="115">
        <v>0</v>
      </c>
      <c r="C12" s="115">
        <v>0</v>
      </c>
      <c r="D12" s="115">
        <v>0</v>
      </c>
      <c r="E12" s="115">
        <v>0</v>
      </c>
      <c r="F12" s="115">
        <v>0</v>
      </c>
      <c r="G12" s="115">
        <v>0</v>
      </c>
      <c r="H12" s="115">
        <v>0</v>
      </c>
      <c r="I12" s="115">
        <v>0</v>
      </c>
      <c r="J12" s="115">
        <v>0</v>
      </c>
      <c r="K12" s="115">
        <v>0</v>
      </c>
      <c r="L12" s="115">
        <v>0</v>
      </c>
      <c r="M12" s="115">
        <v>0</v>
      </c>
      <c r="N12" s="115">
        <v>0</v>
      </c>
      <c r="O12" s="115">
        <v>0</v>
      </c>
      <c r="P12" s="115">
        <v>0</v>
      </c>
      <c r="Q12" s="115">
        <v>0</v>
      </c>
      <c r="R12" s="115">
        <v>0</v>
      </c>
      <c r="S12" s="115">
        <v>0</v>
      </c>
      <c r="T12" s="115">
        <v>0</v>
      </c>
      <c r="U12" s="115">
        <v>0</v>
      </c>
      <c r="V12" s="115">
        <v>0</v>
      </c>
      <c r="W12" s="115">
        <v>0</v>
      </c>
      <c r="X12" s="115">
        <v>0</v>
      </c>
      <c r="Y12" s="115">
        <v>0</v>
      </c>
      <c r="Z12" s="115">
        <v>0</v>
      </c>
      <c r="AA12" s="115">
        <v>0</v>
      </c>
      <c r="AB12" s="115">
        <v>0</v>
      </c>
      <c r="AC12" s="115">
        <v>0</v>
      </c>
      <c r="AD12" s="115">
        <v>0</v>
      </c>
      <c r="AE12" s="115">
        <v>0</v>
      </c>
      <c r="AF12" s="115">
        <v>0</v>
      </c>
      <c r="AG12" s="115">
        <v>0</v>
      </c>
      <c r="AH12" s="115">
        <v>0</v>
      </c>
      <c r="AI12" s="115">
        <v>0</v>
      </c>
      <c r="AJ12" s="115">
        <v>0</v>
      </c>
      <c r="AK12" s="115">
        <v>0</v>
      </c>
      <c r="AL12" s="115">
        <v>0</v>
      </c>
      <c r="AM12" s="115">
        <v>0</v>
      </c>
      <c r="AN12" s="115">
        <v>0</v>
      </c>
      <c r="AO12" s="115">
        <v>0</v>
      </c>
      <c r="AP12" s="115">
        <v>0</v>
      </c>
      <c r="AQ12" s="115">
        <v>0</v>
      </c>
      <c r="AR12" s="115">
        <v>0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93" customFormat="1" ht="16" x14ac:dyDescent="0.2">
      <c r="A13" s="94" t="s">
        <v>196</v>
      </c>
      <c r="B13" s="115">
        <v>0</v>
      </c>
      <c r="C13" s="115">
        <v>0</v>
      </c>
      <c r="D13" s="115">
        <v>0</v>
      </c>
      <c r="E13" s="115">
        <v>0</v>
      </c>
      <c r="F13" s="115">
        <v>0</v>
      </c>
      <c r="G13" s="115">
        <v>0</v>
      </c>
      <c r="H13" s="115">
        <v>0</v>
      </c>
      <c r="I13" s="115">
        <v>0</v>
      </c>
      <c r="J13" s="115">
        <v>0</v>
      </c>
      <c r="K13" s="115">
        <v>0</v>
      </c>
      <c r="L13" s="115">
        <v>0</v>
      </c>
      <c r="M13" s="115">
        <v>0</v>
      </c>
      <c r="N13" s="115">
        <v>0</v>
      </c>
      <c r="O13" s="115">
        <v>0</v>
      </c>
      <c r="P13" s="115">
        <v>0</v>
      </c>
      <c r="Q13" s="115">
        <v>0</v>
      </c>
      <c r="R13" s="115">
        <v>0</v>
      </c>
      <c r="S13" s="115">
        <v>0</v>
      </c>
      <c r="T13" s="115">
        <v>0</v>
      </c>
      <c r="U13" s="115">
        <v>0</v>
      </c>
      <c r="V13" s="115">
        <v>0</v>
      </c>
      <c r="W13" s="115">
        <v>0</v>
      </c>
      <c r="X13" s="115">
        <v>0</v>
      </c>
      <c r="Y13" s="115">
        <v>0</v>
      </c>
      <c r="Z13" s="115">
        <v>0</v>
      </c>
      <c r="AA13" s="115">
        <v>0</v>
      </c>
      <c r="AB13" s="115">
        <v>0</v>
      </c>
      <c r="AC13" s="115">
        <v>0</v>
      </c>
      <c r="AD13" s="115">
        <v>0</v>
      </c>
      <c r="AE13" s="115">
        <v>0</v>
      </c>
      <c r="AF13" s="115">
        <v>0</v>
      </c>
      <c r="AG13" s="115">
        <v>0</v>
      </c>
      <c r="AH13" s="115">
        <v>0</v>
      </c>
      <c r="AI13" s="115">
        <v>0</v>
      </c>
      <c r="AJ13" s="115">
        <v>0</v>
      </c>
      <c r="AK13" s="115">
        <v>0</v>
      </c>
      <c r="AL13" s="115">
        <v>0</v>
      </c>
      <c r="AM13" s="115">
        <v>0</v>
      </c>
      <c r="AN13" s="115">
        <v>0</v>
      </c>
      <c r="AO13" s="115">
        <v>0</v>
      </c>
      <c r="AP13" s="115">
        <v>0</v>
      </c>
      <c r="AQ13" s="115">
        <v>0</v>
      </c>
      <c r="AR13" s="115">
        <v>0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s="93" customFormat="1" ht="16" x14ac:dyDescent="0.2">
      <c r="A14" s="94" t="s">
        <v>197</v>
      </c>
      <c r="B14" s="115">
        <v>0</v>
      </c>
      <c r="C14" s="115">
        <v>0</v>
      </c>
      <c r="D14" s="115">
        <v>0</v>
      </c>
      <c r="E14" s="115">
        <v>0</v>
      </c>
      <c r="F14" s="115">
        <v>0</v>
      </c>
      <c r="G14" s="115">
        <v>0</v>
      </c>
      <c r="H14" s="115">
        <v>0</v>
      </c>
      <c r="I14" s="115">
        <v>0</v>
      </c>
      <c r="J14" s="115">
        <v>0</v>
      </c>
      <c r="K14" s="115">
        <v>0</v>
      </c>
      <c r="L14" s="115">
        <v>0</v>
      </c>
      <c r="M14" s="115">
        <v>0</v>
      </c>
      <c r="N14" s="115">
        <v>0</v>
      </c>
      <c r="O14" s="115">
        <v>0</v>
      </c>
      <c r="P14" s="115">
        <v>0</v>
      </c>
      <c r="Q14" s="115">
        <v>0</v>
      </c>
      <c r="R14" s="115">
        <v>0</v>
      </c>
      <c r="S14" s="115">
        <v>0</v>
      </c>
      <c r="T14" s="115">
        <v>0</v>
      </c>
      <c r="U14" s="115">
        <v>0</v>
      </c>
      <c r="V14" s="115">
        <v>0</v>
      </c>
      <c r="W14" s="115">
        <v>0</v>
      </c>
      <c r="X14" s="115">
        <v>0</v>
      </c>
      <c r="Y14" s="115">
        <v>0</v>
      </c>
      <c r="Z14" s="115">
        <v>0</v>
      </c>
      <c r="AA14" s="115">
        <v>0</v>
      </c>
      <c r="AB14" s="115">
        <v>0</v>
      </c>
      <c r="AC14" s="115">
        <v>0</v>
      </c>
      <c r="AD14" s="115">
        <v>0</v>
      </c>
      <c r="AE14" s="115">
        <v>0</v>
      </c>
      <c r="AF14" s="115">
        <v>0</v>
      </c>
      <c r="AG14" s="115">
        <v>0</v>
      </c>
      <c r="AH14" s="115">
        <v>0</v>
      </c>
      <c r="AI14" s="115">
        <v>0</v>
      </c>
      <c r="AJ14" s="115">
        <v>0</v>
      </c>
      <c r="AK14" s="115">
        <v>0</v>
      </c>
      <c r="AL14" s="115">
        <v>0</v>
      </c>
      <c r="AM14" s="115">
        <v>0</v>
      </c>
      <c r="AN14" s="115">
        <v>0</v>
      </c>
      <c r="AO14" s="115">
        <v>0</v>
      </c>
      <c r="AP14" s="115">
        <v>0</v>
      </c>
      <c r="AQ14" s="115">
        <v>0</v>
      </c>
      <c r="AR14" s="115">
        <v>0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s="93" customFormat="1" ht="16" x14ac:dyDescent="0.2">
      <c r="A15" s="94" t="s">
        <v>198</v>
      </c>
      <c r="B15" s="115">
        <v>0</v>
      </c>
      <c r="C15" s="115">
        <v>0</v>
      </c>
      <c r="D15" s="115">
        <v>0</v>
      </c>
      <c r="E15" s="115">
        <v>0</v>
      </c>
      <c r="F15" s="115">
        <v>0</v>
      </c>
      <c r="G15" s="115">
        <v>0</v>
      </c>
      <c r="H15" s="115">
        <v>0</v>
      </c>
      <c r="I15" s="115">
        <v>0</v>
      </c>
      <c r="J15" s="115">
        <v>0</v>
      </c>
      <c r="K15" s="115">
        <v>0</v>
      </c>
      <c r="L15" s="115">
        <v>0</v>
      </c>
      <c r="M15" s="115">
        <v>0</v>
      </c>
      <c r="N15" s="115">
        <v>0</v>
      </c>
      <c r="O15" s="115">
        <v>0</v>
      </c>
      <c r="P15" s="115">
        <v>0</v>
      </c>
      <c r="Q15" s="115">
        <v>0</v>
      </c>
      <c r="R15" s="115">
        <v>0</v>
      </c>
      <c r="S15" s="115">
        <v>0</v>
      </c>
      <c r="T15" s="115">
        <v>0</v>
      </c>
      <c r="U15" s="115">
        <v>0</v>
      </c>
      <c r="V15" s="115">
        <v>0</v>
      </c>
      <c r="W15" s="115">
        <v>0</v>
      </c>
      <c r="X15" s="115">
        <v>0</v>
      </c>
      <c r="Y15" s="115">
        <v>0</v>
      </c>
      <c r="Z15" s="115">
        <v>0</v>
      </c>
      <c r="AA15" s="115">
        <v>0</v>
      </c>
      <c r="AB15" s="115">
        <v>0</v>
      </c>
      <c r="AC15" s="115">
        <v>0</v>
      </c>
      <c r="AD15" s="115">
        <v>0</v>
      </c>
      <c r="AE15" s="115">
        <v>0</v>
      </c>
      <c r="AF15" s="115">
        <v>0</v>
      </c>
      <c r="AG15" s="115">
        <v>0</v>
      </c>
      <c r="AH15" s="115">
        <v>0</v>
      </c>
      <c r="AI15" s="115">
        <v>0</v>
      </c>
      <c r="AJ15" s="115">
        <v>0</v>
      </c>
      <c r="AK15" s="115">
        <v>0</v>
      </c>
      <c r="AL15" s="115">
        <v>0</v>
      </c>
      <c r="AM15" s="115">
        <v>0</v>
      </c>
      <c r="AN15" s="115">
        <v>0</v>
      </c>
      <c r="AO15" s="115">
        <v>0</v>
      </c>
      <c r="AP15" s="115">
        <v>0</v>
      </c>
      <c r="AQ15" s="115">
        <v>0</v>
      </c>
      <c r="AR15" s="115">
        <v>0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s="93" customFormat="1" ht="16" x14ac:dyDescent="0.2">
      <c r="A16" s="94" t="s">
        <v>199</v>
      </c>
      <c r="B16" s="115">
        <v>0</v>
      </c>
      <c r="C16" s="115">
        <v>0</v>
      </c>
      <c r="D16" s="115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s="93" customFormat="1" ht="16" x14ac:dyDescent="0.2">
      <c r="A17" s="94" t="s">
        <v>200</v>
      </c>
      <c r="B17" s="115">
        <v>0</v>
      </c>
      <c r="C17" s="115">
        <v>0</v>
      </c>
      <c r="D17" s="115">
        <v>0</v>
      </c>
      <c r="E17" s="115">
        <v>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</v>
      </c>
      <c r="L17" s="115">
        <v>0</v>
      </c>
      <c r="M17" s="115">
        <v>0</v>
      </c>
      <c r="N17" s="115">
        <v>0</v>
      </c>
      <c r="O17" s="115">
        <v>0</v>
      </c>
      <c r="P17" s="115">
        <v>0</v>
      </c>
      <c r="Q17" s="115">
        <v>0</v>
      </c>
      <c r="R17" s="115">
        <v>0</v>
      </c>
      <c r="S17" s="115">
        <v>0</v>
      </c>
      <c r="T17" s="115">
        <v>0</v>
      </c>
      <c r="U17" s="115">
        <v>0</v>
      </c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>
        <v>0</v>
      </c>
      <c r="AB17" s="115">
        <v>0</v>
      </c>
      <c r="AC17" s="115">
        <v>0</v>
      </c>
      <c r="AD17" s="115">
        <v>0</v>
      </c>
      <c r="AE17" s="115">
        <v>0</v>
      </c>
      <c r="AF17" s="115">
        <v>0</v>
      </c>
      <c r="AG17" s="115">
        <v>0</v>
      </c>
      <c r="AH17" s="115">
        <v>0</v>
      </c>
      <c r="AI17" s="115">
        <v>0</v>
      </c>
      <c r="AJ17" s="115">
        <v>0</v>
      </c>
      <c r="AK17" s="115">
        <v>0</v>
      </c>
      <c r="AL17" s="115">
        <v>0</v>
      </c>
      <c r="AM17" s="115">
        <v>0</v>
      </c>
      <c r="AN17" s="115">
        <v>0</v>
      </c>
      <c r="AO17" s="115">
        <v>0</v>
      </c>
      <c r="AP17" s="115">
        <v>0</v>
      </c>
      <c r="AQ17" s="115">
        <v>0</v>
      </c>
      <c r="AR17" s="115">
        <v>0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s="93" customFormat="1" ht="16" x14ac:dyDescent="0.2">
      <c r="A18" s="94" t="s">
        <v>201</v>
      </c>
      <c r="B18" s="115">
        <v>0</v>
      </c>
      <c r="C18" s="115">
        <v>0</v>
      </c>
      <c r="D18" s="115">
        <v>0</v>
      </c>
      <c r="E18" s="115">
        <v>0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0</v>
      </c>
      <c r="Q18" s="115">
        <v>0</v>
      </c>
      <c r="R18" s="115">
        <v>0</v>
      </c>
      <c r="S18" s="115">
        <v>0</v>
      </c>
      <c r="T18" s="115">
        <v>0</v>
      </c>
      <c r="U18" s="115">
        <v>0</v>
      </c>
      <c r="V18" s="115">
        <v>0</v>
      </c>
      <c r="W18" s="115">
        <v>0</v>
      </c>
      <c r="X18" s="115">
        <v>0</v>
      </c>
      <c r="Y18" s="115">
        <v>0</v>
      </c>
      <c r="Z18" s="115">
        <v>0</v>
      </c>
      <c r="AA18" s="115">
        <v>0</v>
      </c>
      <c r="AB18" s="115">
        <v>0</v>
      </c>
      <c r="AC18" s="115">
        <v>0</v>
      </c>
      <c r="AD18" s="115">
        <v>0</v>
      </c>
      <c r="AE18" s="115">
        <v>0</v>
      </c>
      <c r="AF18" s="115">
        <v>0</v>
      </c>
      <c r="AG18" s="115">
        <v>0</v>
      </c>
      <c r="AH18" s="115">
        <v>0</v>
      </c>
      <c r="AI18" s="115">
        <v>0</v>
      </c>
      <c r="AJ18" s="115">
        <v>0</v>
      </c>
      <c r="AK18" s="115">
        <v>0</v>
      </c>
      <c r="AL18" s="115">
        <v>0</v>
      </c>
      <c r="AM18" s="115">
        <v>0</v>
      </c>
      <c r="AN18" s="115">
        <v>0</v>
      </c>
      <c r="AO18" s="115">
        <v>0</v>
      </c>
      <c r="AP18" s="115">
        <v>0</v>
      </c>
      <c r="AQ18" s="115">
        <v>0</v>
      </c>
      <c r="AR18" s="115">
        <v>0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s="93" customFormat="1" ht="16" x14ac:dyDescent="0.2">
      <c r="A19" s="94" t="s">
        <v>202</v>
      </c>
      <c r="B19" s="115">
        <v>0</v>
      </c>
      <c r="C19" s="115">
        <v>0</v>
      </c>
      <c r="D19" s="115">
        <v>0</v>
      </c>
      <c r="E19" s="115">
        <v>0</v>
      </c>
      <c r="F19" s="115">
        <v>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0</v>
      </c>
      <c r="N19" s="115">
        <v>0</v>
      </c>
      <c r="O19" s="115">
        <v>0</v>
      </c>
      <c r="P19" s="115">
        <v>0</v>
      </c>
      <c r="Q19" s="115">
        <v>0</v>
      </c>
      <c r="R19" s="115">
        <v>0</v>
      </c>
      <c r="S19" s="115">
        <v>0</v>
      </c>
      <c r="T19" s="115">
        <v>0</v>
      </c>
      <c r="U19" s="115">
        <v>0</v>
      </c>
      <c r="V19" s="115">
        <v>0</v>
      </c>
      <c r="W19" s="115">
        <v>0</v>
      </c>
      <c r="X19" s="115">
        <v>0</v>
      </c>
      <c r="Y19" s="115">
        <v>0</v>
      </c>
      <c r="Z19" s="115">
        <v>0</v>
      </c>
      <c r="AA19" s="115">
        <v>0</v>
      </c>
      <c r="AB19" s="115">
        <v>0</v>
      </c>
      <c r="AC19" s="115">
        <v>0</v>
      </c>
      <c r="AD19" s="115">
        <v>0</v>
      </c>
      <c r="AE19" s="115">
        <v>0</v>
      </c>
      <c r="AF19" s="115">
        <v>0</v>
      </c>
      <c r="AG19" s="115">
        <v>0</v>
      </c>
      <c r="AH19" s="115">
        <v>0</v>
      </c>
      <c r="AI19" s="115">
        <v>0</v>
      </c>
      <c r="AJ19" s="115">
        <v>0</v>
      </c>
      <c r="AK19" s="115">
        <v>0</v>
      </c>
      <c r="AL19" s="115">
        <v>0</v>
      </c>
      <c r="AM19" s="115">
        <v>0</v>
      </c>
      <c r="AN19" s="115">
        <v>0</v>
      </c>
      <c r="AO19" s="115">
        <v>0</v>
      </c>
      <c r="AP19" s="115">
        <v>0</v>
      </c>
      <c r="AQ19" s="115">
        <v>0</v>
      </c>
      <c r="AR19" s="115">
        <v>0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s="93" customFormat="1" ht="16" x14ac:dyDescent="0.2">
      <c r="A20" s="94" t="s">
        <v>203</v>
      </c>
      <c r="B20" s="115">
        <v>0</v>
      </c>
      <c r="C20" s="115">
        <v>0</v>
      </c>
      <c r="D20" s="115">
        <v>0</v>
      </c>
      <c r="E20" s="115">
        <v>0</v>
      </c>
      <c r="F20" s="115">
        <v>0</v>
      </c>
      <c r="G20" s="115">
        <v>0</v>
      </c>
      <c r="H20" s="115">
        <v>0</v>
      </c>
      <c r="I20" s="115">
        <v>0</v>
      </c>
      <c r="J20" s="115">
        <v>0</v>
      </c>
      <c r="K20" s="115">
        <v>0</v>
      </c>
      <c r="L20" s="115">
        <v>0</v>
      </c>
      <c r="M20" s="115">
        <v>0</v>
      </c>
      <c r="N20" s="115">
        <v>0</v>
      </c>
      <c r="O20" s="115">
        <v>0</v>
      </c>
      <c r="P20" s="115">
        <v>0</v>
      </c>
      <c r="Q20" s="115">
        <v>0</v>
      </c>
      <c r="R20" s="115">
        <v>0</v>
      </c>
      <c r="S20" s="115">
        <v>0</v>
      </c>
      <c r="T20" s="115">
        <v>0</v>
      </c>
      <c r="U20" s="115">
        <v>0</v>
      </c>
      <c r="V20" s="115">
        <v>0</v>
      </c>
      <c r="W20" s="115">
        <v>0</v>
      </c>
      <c r="X20" s="115">
        <v>0</v>
      </c>
      <c r="Y20" s="115">
        <v>0</v>
      </c>
      <c r="Z20" s="115">
        <v>0</v>
      </c>
      <c r="AA20" s="115">
        <v>0</v>
      </c>
      <c r="AB20" s="115">
        <v>0</v>
      </c>
      <c r="AC20" s="115">
        <v>0</v>
      </c>
      <c r="AD20" s="115">
        <v>0</v>
      </c>
      <c r="AE20" s="115">
        <v>0</v>
      </c>
      <c r="AF20" s="115">
        <v>0</v>
      </c>
      <c r="AG20" s="115">
        <v>0</v>
      </c>
      <c r="AH20" s="115">
        <v>0</v>
      </c>
      <c r="AI20" s="115">
        <v>0</v>
      </c>
      <c r="AJ20" s="115">
        <v>0</v>
      </c>
      <c r="AK20" s="115">
        <v>0</v>
      </c>
      <c r="AL20" s="115">
        <v>0</v>
      </c>
      <c r="AM20" s="115">
        <v>0</v>
      </c>
      <c r="AN20" s="115">
        <v>0</v>
      </c>
      <c r="AO20" s="115">
        <v>0</v>
      </c>
      <c r="AP20" s="115">
        <v>0</v>
      </c>
      <c r="AQ20" s="115">
        <v>0</v>
      </c>
      <c r="AR20" s="115">
        <v>0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s="93" customFormat="1" ht="16" x14ac:dyDescent="0.2">
      <c r="A21" s="94" t="s">
        <v>204</v>
      </c>
      <c r="B21" s="115">
        <v>0</v>
      </c>
      <c r="C21" s="115">
        <v>0</v>
      </c>
      <c r="D21" s="115">
        <v>0</v>
      </c>
      <c r="E21" s="115">
        <v>0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0</v>
      </c>
      <c r="O21" s="115">
        <v>0</v>
      </c>
      <c r="P21" s="115">
        <v>0</v>
      </c>
      <c r="Q21" s="115">
        <v>0</v>
      </c>
      <c r="R21" s="115">
        <v>0</v>
      </c>
      <c r="S21" s="115">
        <v>0</v>
      </c>
      <c r="T21" s="115">
        <v>0</v>
      </c>
      <c r="U21" s="115">
        <v>0</v>
      </c>
      <c r="V21" s="115">
        <v>0</v>
      </c>
      <c r="W21" s="115">
        <v>0</v>
      </c>
      <c r="X21" s="115">
        <v>0</v>
      </c>
      <c r="Y21" s="115">
        <v>0</v>
      </c>
      <c r="Z21" s="115">
        <v>0</v>
      </c>
      <c r="AA21" s="115">
        <v>0</v>
      </c>
      <c r="AB21" s="115">
        <v>0</v>
      </c>
      <c r="AC21" s="115">
        <v>0</v>
      </c>
      <c r="AD21" s="115">
        <v>0</v>
      </c>
      <c r="AE21" s="115">
        <v>0</v>
      </c>
      <c r="AF21" s="115">
        <v>0</v>
      </c>
      <c r="AG21" s="115">
        <v>0</v>
      </c>
      <c r="AH21" s="115">
        <v>0</v>
      </c>
      <c r="AI21" s="115">
        <v>0</v>
      </c>
      <c r="AJ21" s="115">
        <v>0</v>
      </c>
      <c r="AK21" s="115">
        <v>0</v>
      </c>
      <c r="AL21" s="115">
        <v>0</v>
      </c>
      <c r="AM21" s="115">
        <v>0</v>
      </c>
      <c r="AN21" s="115">
        <v>0</v>
      </c>
      <c r="AO21" s="115">
        <v>0</v>
      </c>
      <c r="AP21" s="115">
        <v>0</v>
      </c>
      <c r="AQ21" s="115">
        <v>0</v>
      </c>
      <c r="AR21" s="115">
        <v>0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s="93" customFormat="1" ht="16" x14ac:dyDescent="0.2">
      <c r="A22" s="94" t="s">
        <v>205</v>
      </c>
      <c r="B22" s="115">
        <v>0</v>
      </c>
      <c r="C22" s="115">
        <v>0</v>
      </c>
      <c r="D22" s="115">
        <v>0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>
        <v>0</v>
      </c>
      <c r="AC22" s="115">
        <v>0</v>
      </c>
      <c r="AD22" s="115">
        <v>0</v>
      </c>
      <c r="AE22" s="115">
        <v>0</v>
      </c>
      <c r="AF22" s="115">
        <v>0</v>
      </c>
      <c r="AG22" s="115">
        <v>0</v>
      </c>
      <c r="AH22" s="115">
        <v>0</v>
      </c>
      <c r="AI22" s="115">
        <v>0</v>
      </c>
      <c r="AJ22" s="115">
        <v>0</v>
      </c>
      <c r="AK22" s="115">
        <v>0</v>
      </c>
      <c r="AL22" s="115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0</v>
      </c>
      <c r="AR22" s="115">
        <v>0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s="93" customFormat="1" ht="16" x14ac:dyDescent="0.2">
      <c r="A23" s="94" t="s">
        <v>206</v>
      </c>
      <c r="B23" s="115">
        <v>0</v>
      </c>
      <c r="C23" s="115">
        <v>0</v>
      </c>
      <c r="D23" s="115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5">
        <v>0</v>
      </c>
      <c r="O23" s="115">
        <v>0</v>
      </c>
      <c r="P23" s="115">
        <v>0</v>
      </c>
      <c r="Q23" s="115">
        <v>0</v>
      </c>
      <c r="R23" s="115">
        <v>0</v>
      </c>
      <c r="S23" s="115">
        <v>0</v>
      </c>
      <c r="T23" s="115">
        <v>0</v>
      </c>
      <c r="U23" s="115">
        <v>0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>
        <v>0</v>
      </c>
      <c r="AC23" s="115">
        <v>0</v>
      </c>
      <c r="AD23" s="115">
        <v>0</v>
      </c>
      <c r="AE23" s="115">
        <v>0</v>
      </c>
      <c r="AF23" s="115">
        <v>0</v>
      </c>
      <c r="AG23" s="115">
        <v>0</v>
      </c>
      <c r="AH23" s="115">
        <v>0</v>
      </c>
      <c r="AI23" s="115">
        <v>0</v>
      </c>
      <c r="AJ23" s="115">
        <v>0</v>
      </c>
      <c r="AK23" s="115">
        <v>0</v>
      </c>
      <c r="AL23" s="115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0</v>
      </c>
      <c r="AR23" s="115">
        <v>0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s="93" customFormat="1" ht="16" x14ac:dyDescent="0.2">
      <c r="A24" s="94" t="s">
        <v>207</v>
      </c>
      <c r="B24" s="115">
        <v>0</v>
      </c>
      <c r="C24" s="115">
        <v>0</v>
      </c>
      <c r="D24" s="115">
        <v>0</v>
      </c>
      <c r="E24" s="115">
        <v>0</v>
      </c>
      <c r="F24" s="115">
        <v>0</v>
      </c>
      <c r="G24" s="115">
        <v>0</v>
      </c>
      <c r="H24" s="115">
        <v>0</v>
      </c>
      <c r="I24" s="115">
        <v>0</v>
      </c>
      <c r="J24" s="115">
        <v>0</v>
      </c>
      <c r="K24" s="115">
        <v>0</v>
      </c>
      <c r="L24" s="115">
        <v>0</v>
      </c>
      <c r="M24" s="115">
        <v>0</v>
      </c>
      <c r="N24" s="115">
        <v>0</v>
      </c>
      <c r="O24" s="115">
        <v>0</v>
      </c>
      <c r="P24" s="115">
        <v>0</v>
      </c>
      <c r="Q24" s="115">
        <v>0</v>
      </c>
      <c r="R24" s="115">
        <v>0</v>
      </c>
      <c r="S24" s="115">
        <v>0</v>
      </c>
      <c r="T24" s="115">
        <v>0</v>
      </c>
      <c r="U24" s="115">
        <v>0</v>
      </c>
      <c r="V24" s="115">
        <v>0</v>
      </c>
      <c r="W24" s="115">
        <v>0</v>
      </c>
      <c r="X24" s="115">
        <v>0</v>
      </c>
      <c r="Y24" s="115">
        <v>0</v>
      </c>
      <c r="Z24" s="115">
        <v>0</v>
      </c>
      <c r="AA24" s="115">
        <v>0</v>
      </c>
      <c r="AB24" s="115">
        <v>0</v>
      </c>
      <c r="AC24" s="115">
        <v>0</v>
      </c>
      <c r="AD24" s="115">
        <v>0</v>
      </c>
      <c r="AE24" s="115">
        <v>0</v>
      </c>
      <c r="AF24" s="115">
        <v>0</v>
      </c>
      <c r="AG24" s="115">
        <v>0</v>
      </c>
      <c r="AH24" s="115">
        <v>0</v>
      </c>
      <c r="AI24" s="115">
        <v>0</v>
      </c>
      <c r="AJ24" s="115">
        <v>0</v>
      </c>
      <c r="AK24" s="115">
        <v>0</v>
      </c>
      <c r="AL24" s="115">
        <v>0</v>
      </c>
      <c r="AM24" s="115">
        <v>0</v>
      </c>
      <c r="AN24" s="115">
        <v>0</v>
      </c>
      <c r="AO24" s="115">
        <v>0</v>
      </c>
      <c r="AP24" s="115">
        <v>0</v>
      </c>
      <c r="AQ24" s="115">
        <v>0</v>
      </c>
      <c r="AR24" s="115">
        <v>0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s="93" customFormat="1" ht="16" x14ac:dyDescent="0.2">
      <c r="A25" s="94" t="s">
        <v>208</v>
      </c>
      <c r="B25" s="115">
        <v>0</v>
      </c>
      <c r="C25" s="115">
        <v>0</v>
      </c>
      <c r="D25" s="115">
        <v>0</v>
      </c>
      <c r="E25" s="115">
        <v>0</v>
      </c>
      <c r="F25" s="115">
        <v>0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115">
        <v>0</v>
      </c>
      <c r="Z25" s="115">
        <v>0</v>
      </c>
      <c r="AA25" s="115">
        <v>0</v>
      </c>
      <c r="AB25" s="115">
        <v>0</v>
      </c>
      <c r="AC25" s="115">
        <v>0</v>
      </c>
      <c r="AD25" s="115">
        <v>0</v>
      </c>
      <c r="AE25" s="115">
        <v>0</v>
      </c>
      <c r="AF25" s="115">
        <v>0</v>
      </c>
      <c r="AG25" s="115">
        <v>0</v>
      </c>
      <c r="AH25" s="115">
        <v>0</v>
      </c>
      <c r="AI25" s="115">
        <v>0</v>
      </c>
      <c r="AJ25" s="115">
        <v>0</v>
      </c>
      <c r="AK25" s="115">
        <v>0</v>
      </c>
      <c r="AL25" s="115">
        <v>0</v>
      </c>
      <c r="AM25" s="115">
        <v>0</v>
      </c>
      <c r="AN25" s="115">
        <v>0</v>
      </c>
      <c r="AO25" s="115">
        <v>0</v>
      </c>
      <c r="AP25" s="115">
        <v>0</v>
      </c>
      <c r="AQ25" s="115">
        <v>0</v>
      </c>
      <c r="AR25" s="115">
        <v>0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s="93" customFormat="1" ht="16" x14ac:dyDescent="0.2">
      <c r="A26" s="94" t="s">
        <v>209</v>
      </c>
      <c r="B26" s="115">
        <v>0</v>
      </c>
      <c r="C26" s="115">
        <v>0</v>
      </c>
      <c r="D26" s="115">
        <v>0</v>
      </c>
      <c r="E26" s="115">
        <v>0</v>
      </c>
      <c r="F26" s="115">
        <v>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  <c r="N26" s="115">
        <v>0</v>
      </c>
      <c r="O26" s="115">
        <v>0</v>
      </c>
      <c r="P26" s="115">
        <v>0</v>
      </c>
      <c r="Q26" s="115">
        <v>0</v>
      </c>
      <c r="R26" s="115">
        <v>0</v>
      </c>
      <c r="S26" s="115">
        <v>0</v>
      </c>
      <c r="T26" s="115">
        <v>0</v>
      </c>
      <c r="U26" s="115">
        <v>0</v>
      </c>
      <c r="V26" s="115">
        <v>0</v>
      </c>
      <c r="W26" s="115">
        <v>0</v>
      </c>
      <c r="X26" s="115">
        <v>0</v>
      </c>
      <c r="Y26" s="115">
        <v>0</v>
      </c>
      <c r="Z26" s="115">
        <v>0</v>
      </c>
      <c r="AA26" s="115">
        <v>0</v>
      </c>
      <c r="AB26" s="115">
        <v>0</v>
      </c>
      <c r="AC26" s="115">
        <v>0</v>
      </c>
      <c r="AD26" s="115">
        <v>0</v>
      </c>
      <c r="AE26" s="115">
        <v>0</v>
      </c>
      <c r="AF26" s="115">
        <v>0</v>
      </c>
      <c r="AG26" s="115">
        <v>0</v>
      </c>
      <c r="AH26" s="115">
        <v>0</v>
      </c>
      <c r="AI26" s="115">
        <v>0</v>
      </c>
      <c r="AJ26" s="115">
        <v>0</v>
      </c>
      <c r="AK26" s="115">
        <v>0</v>
      </c>
      <c r="AL26" s="115">
        <v>0</v>
      </c>
      <c r="AM26" s="115">
        <v>0</v>
      </c>
      <c r="AN26" s="115">
        <v>0</v>
      </c>
      <c r="AO26" s="115">
        <v>0</v>
      </c>
      <c r="AP26" s="115">
        <v>0</v>
      </c>
      <c r="AQ26" s="115">
        <v>0</v>
      </c>
      <c r="AR26" s="115">
        <v>0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s="93" customFormat="1" ht="16" x14ac:dyDescent="0.2">
      <c r="A27" s="94" t="s">
        <v>210</v>
      </c>
      <c r="B27" s="115">
        <v>0</v>
      </c>
      <c r="C27" s="115">
        <v>0</v>
      </c>
      <c r="D27" s="115">
        <v>0</v>
      </c>
      <c r="E27" s="115">
        <v>0</v>
      </c>
      <c r="F27" s="115">
        <v>0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>
        <v>0</v>
      </c>
      <c r="Q27" s="115">
        <v>0</v>
      </c>
      <c r="R27" s="115">
        <v>0</v>
      </c>
      <c r="S27" s="115">
        <v>0</v>
      </c>
      <c r="T27" s="115">
        <v>0</v>
      </c>
      <c r="U27" s="115">
        <v>0</v>
      </c>
      <c r="V27" s="115">
        <v>0</v>
      </c>
      <c r="W27" s="115">
        <v>0</v>
      </c>
      <c r="X27" s="115">
        <v>0</v>
      </c>
      <c r="Y27" s="115">
        <v>0</v>
      </c>
      <c r="Z27" s="115">
        <v>0</v>
      </c>
      <c r="AA27" s="115">
        <v>0</v>
      </c>
      <c r="AB27" s="115">
        <v>0</v>
      </c>
      <c r="AC27" s="115">
        <v>0</v>
      </c>
      <c r="AD27" s="115">
        <v>0</v>
      </c>
      <c r="AE27" s="115">
        <v>0</v>
      </c>
      <c r="AF27" s="115">
        <v>0</v>
      </c>
      <c r="AG27" s="115">
        <v>0</v>
      </c>
      <c r="AH27" s="115">
        <v>0</v>
      </c>
      <c r="AI27" s="115">
        <v>0</v>
      </c>
      <c r="AJ27" s="115">
        <v>0</v>
      </c>
      <c r="AK27" s="115">
        <v>0</v>
      </c>
      <c r="AL27" s="115">
        <v>0</v>
      </c>
      <c r="AM27" s="115">
        <v>0</v>
      </c>
      <c r="AN27" s="115">
        <v>0</v>
      </c>
      <c r="AO27" s="115">
        <v>0</v>
      </c>
      <c r="AP27" s="115">
        <v>0</v>
      </c>
      <c r="AQ27" s="115">
        <v>0</v>
      </c>
      <c r="AR27" s="115">
        <v>0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s="93" customFormat="1" ht="16" x14ac:dyDescent="0.2">
      <c r="A28" s="94" t="s">
        <v>211</v>
      </c>
      <c r="B28" s="115">
        <v>0</v>
      </c>
      <c r="C28" s="115">
        <v>0</v>
      </c>
      <c r="D28" s="115">
        <v>0</v>
      </c>
      <c r="E28" s="115">
        <v>0</v>
      </c>
      <c r="F28" s="115">
        <v>0</v>
      </c>
      <c r="G28" s="115">
        <v>0</v>
      </c>
      <c r="H28" s="115">
        <v>0</v>
      </c>
      <c r="I28" s="115">
        <v>0</v>
      </c>
      <c r="J28" s="115">
        <v>0</v>
      </c>
      <c r="K28" s="115">
        <v>0</v>
      </c>
      <c r="L28" s="115">
        <v>0</v>
      </c>
      <c r="M28" s="115">
        <v>0</v>
      </c>
      <c r="N28" s="115">
        <v>0</v>
      </c>
      <c r="O28" s="115">
        <v>0</v>
      </c>
      <c r="P28" s="115">
        <v>0</v>
      </c>
      <c r="Q28" s="115">
        <v>0</v>
      </c>
      <c r="R28" s="115">
        <v>0</v>
      </c>
      <c r="S28" s="115">
        <v>0</v>
      </c>
      <c r="T28" s="115">
        <v>0</v>
      </c>
      <c r="U28" s="115">
        <v>0</v>
      </c>
      <c r="V28" s="115">
        <v>0</v>
      </c>
      <c r="W28" s="115">
        <v>0</v>
      </c>
      <c r="X28" s="115">
        <v>0</v>
      </c>
      <c r="Y28" s="115">
        <v>0</v>
      </c>
      <c r="Z28" s="115">
        <v>0</v>
      </c>
      <c r="AA28" s="115">
        <v>0</v>
      </c>
      <c r="AB28" s="115">
        <v>0</v>
      </c>
      <c r="AC28" s="115">
        <v>0</v>
      </c>
      <c r="AD28" s="115">
        <v>0</v>
      </c>
      <c r="AE28" s="115">
        <v>0</v>
      </c>
      <c r="AF28" s="115">
        <v>0</v>
      </c>
      <c r="AG28" s="115">
        <v>0</v>
      </c>
      <c r="AH28" s="115">
        <v>0</v>
      </c>
      <c r="AI28" s="115">
        <v>0</v>
      </c>
      <c r="AJ28" s="115">
        <v>0</v>
      </c>
      <c r="AK28" s="115">
        <v>0</v>
      </c>
      <c r="AL28" s="115">
        <v>0</v>
      </c>
      <c r="AM28" s="115">
        <v>0</v>
      </c>
      <c r="AN28" s="115">
        <v>0</v>
      </c>
      <c r="AO28" s="115">
        <v>0</v>
      </c>
      <c r="AP28" s="115">
        <v>0</v>
      </c>
      <c r="AQ28" s="115">
        <v>0</v>
      </c>
      <c r="AR28" s="115">
        <v>0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s="93" customFormat="1" ht="16" x14ac:dyDescent="0.2">
      <c r="A29" s="94" t="s">
        <v>212</v>
      </c>
      <c r="B29" s="115">
        <v>0</v>
      </c>
      <c r="C29" s="115">
        <v>0</v>
      </c>
      <c r="D29" s="115">
        <v>0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0</v>
      </c>
      <c r="R29" s="115">
        <v>0</v>
      </c>
      <c r="S29" s="115">
        <v>0</v>
      </c>
      <c r="T29" s="115">
        <v>0</v>
      </c>
      <c r="U29" s="115">
        <v>0</v>
      </c>
      <c r="V29" s="115">
        <v>0</v>
      </c>
      <c r="W29" s="115">
        <v>0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15">
        <v>0</v>
      </c>
      <c r="AG29" s="115">
        <v>0</v>
      </c>
      <c r="AH29" s="115">
        <v>0</v>
      </c>
      <c r="AI29" s="115">
        <v>0</v>
      </c>
      <c r="AJ29" s="115">
        <v>0</v>
      </c>
      <c r="AK29" s="115">
        <v>0</v>
      </c>
      <c r="AL29" s="115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0</v>
      </c>
      <c r="AR29" s="115">
        <v>0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s="93" customFormat="1" ht="16" x14ac:dyDescent="0.2">
      <c r="A30" s="94" t="s">
        <v>213</v>
      </c>
      <c r="B30" s="115">
        <v>0</v>
      </c>
      <c r="C30" s="115">
        <v>0</v>
      </c>
      <c r="D30" s="115">
        <v>0</v>
      </c>
      <c r="E30" s="115">
        <v>0</v>
      </c>
      <c r="F30" s="115">
        <v>0</v>
      </c>
      <c r="G30" s="115">
        <v>0</v>
      </c>
      <c r="H30" s="115">
        <v>0</v>
      </c>
      <c r="I30" s="115">
        <v>0</v>
      </c>
      <c r="J30" s="115">
        <v>0</v>
      </c>
      <c r="K30" s="115">
        <v>0</v>
      </c>
      <c r="L30" s="115">
        <v>0</v>
      </c>
      <c r="M30" s="115">
        <v>0</v>
      </c>
      <c r="N30" s="115">
        <v>0</v>
      </c>
      <c r="O30" s="115">
        <v>0</v>
      </c>
      <c r="P30" s="115">
        <v>0</v>
      </c>
      <c r="Q30" s="115">
        <v>0</v>
      </c>
      <c r="R30" s="115">
        <v>0</v>
      </c>
      <c r="S30" s="115">
        <v>0</v>
      </c>
      <c r="T30" s="115">
        <v>0</v>
      </c>
      <c r="U30" s="115">
        <v>0</v>
      </c>
      <c r="V30" s="115">
        <v>0</v>
      </c>
      <c r="W30" s="115">
        <v>0</v>
      </c>
      <c r="X30" s="115">
        <v>0</v>
      </c>
      <c r="Y30" s="115">
        <v>0</v>
      </c>
      <c r="Z30" s="115">
        <v>0</v>
      </c>
      <c r="AA30" s="115">
        <v>0</v>
      </c>
      <c r="AB30" s="115">
        <v>0</v>
      </c>
      <c r="AC30" s="115">
        <v>0</v>
      </c>
      <c r="AD30" s="115">
        <v>0</v>
      </c>
      <c r="AE30" s="115">
        <v>0</v>
      </c>
      <c r="AF30" s="115">
        <v>0</v>
      </c>
      <c r="AG30" s="115">
        <v>0</v>
      </c>
      <c r="AH30" s="115">
        <v>0</v>
      </c>
      <c r="AI30" s="115">
        <v>0</v>
      </c>
      <c r="AJ30" s="115">
        <v>0</v>
      </c>
      <c r="AK30" s="115">
        <v>0</v>
      </c>
      <c r="AL30" s="115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0</v>
      </c>
      <c r="AR30" s="115">
        <v>0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s="93" customFormat="1" ht="16" x14ac:dyDescent="0.2">
      <c r="A31" s="94" t="s">
        <v>214</v>
      </c>
      <c r="B31" s="115">
        <v>0</v>
      </c>
      <c r="C31" s="115">
        <v>0</v>
      </c>
      <c r="D31" s="115">
        <v>0</v>
      </c>
      <c r="E31" s="115">
        <v>0</v>
      </c>
      <c r="F31" s="115">
        <v>0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  <c r="Q31" s="115">
        <v>0</v>
      </c>
      <c r="R31" s="115">
        <v>0</v>
      </c>
      <c r="S31" s="115">
        <v>0</v>
      </c>
      <c r="T31" s="115">
        <v>0</v>
      </c>
      <c r="U31" s="115">
        <v>0</v>
      </c>
      <c r="V31" s="115">
        <v>0</v>
      </c>
      <c r="W31" s="115">
        <v>0</v>
      </c>
      <c r="X31" s="115">
        <v>0</v>
      </c>
      <c r="Y31" s="115">
        <v>0</v>
      </c>
      <c r="Z31" s="115">
        <v>0</v>
      </c>
      <c r="AA31" s="115">
        <v>0</v>
      </c>
      <c r="AB31" s="115">
        <v>0</v>
      </c>
      <c r="AC31" s="115">
        <v>0</v>
      </c>
      <c r="AD31" s="115">
        <v>0</v>
      </c>
      <c r="AE31" s="115">
        <v>0</v>
      </c>
      <c r="AF31" s="115">
        <v>0</v>
      </c>
      <c r="AG31" s="115">
        <v>0</v>
      </c>
      <c r="AH31" s="115">
        <v>0</v>
      </c>
      <c r="AI31" s="115">
        <v>0</v>
      </c>
      <c r="AJ31" s="115">
        <v>0</v>
      </c>
      <c r="AK31" s="115">
        <v>0</v>
      </c>
      <c r="AL31" s="115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s="93" customFormat="1" ht="16" x14ac:dyDescent="0.2">
      <c r="A32" s="94" t="s">
        <v>215</v>
      </c>
      <c r="B32" s="115">
        <v>0</v>
      </c>
      <c r="C32" s="115">
        <v>0</v>
      </c>
      <c r="D32" s="115">
        <v>0</v>
      </c>
      <c r="E32" s="115">
        <v>0</v>
      </c>
      <c r="F32" s="115">
        <v>0</v>
      </c>
      <c r="G32" s="115">
        <v>0</v>
      </c>
      <c r="H32" s="115">
        <v>0</v>
      </c>
      <c r="I32" s="115">
        <v>0</v>
      </c>
      <c r="J32" s="115">
        <v>0</v>
      </c>
      <c r="K32" s="115">
        <v>0</v>
      </c>
      <c r="L32" s="115">
        <v>0</v>
      </c>
      <c r="M32" s="115">
        <v>0</v>
      </c>
      <c r="N32" s="115">
        <v>0</v>
      </c>
      <c r="O32" s="115">
        <v>0</v>
      </c>
      <c r="P32" s="115">
        <v>0</v>
      </c>
      <c r="Q32" s="115">
        <v>0</v>
      </c>
      <c r="R32" s="115">
        <v>0</v>
      </c>
      <c r="S32" s="115">
        <v>0</v>
      </c>
      <c r="T32" s="115">
        <v>0</v>
      </c>
      <c r="U32" s="115">
        <v>0</v>
      </c>
      <c r="V32" s="115">
        <v>0</v>
      </c>
      <c r="W32" s="115">
        <v>0</v>
      </c>
      <c r="X32" s="115">
        <v>0</v>
      </c>
      <c r="Y32" s="115">
        <v>0</v>
      </c>
      <c r="Z32" s="115">
        <v>0</v>
      </c>
      <c r="AA32" s="115">
        <v>0</v>
      </c>
      <c r="AB32" s="115">
        <v>0</v>
      </c>
      <c r="AC32" s="115">
        <v>0</v>
      </c>
      <c r="AD32" s="115">
        <v>0</v>
      </c>
      <c r="AE32" s="115">
        <v>0</v>
      </c>
      <c r="AF32" s="115">
        <v>0</v>
      </c>
      <c r="AG32" s="115">
        <v>0</v>
      </c>
      <c r="AH32" s="115">
        <v>0</v>
      </c>
      <c r="AI32" s="115">
        <v>0</v>
      </c>
      <c r="AJ32" s="115">
        <v>0</v>
      </c>
      <c r="AK32" s="115">
        <v>0</v>
      </c>
      <c r="AL32" s="115">
        <v>0</v>
      </c>
      <c r="AM32" s="115">
        <v>0</v>
      </c>
      <c r="AN32" s="115">
        <v>0</v>
      </c>
      <c r="AO32" s="115">
        <v>0</v>
      </c>
      <c r="AP32" s="115">
        <v>0</v>
      </c>
      <c r="AQ32" s="115">
        <v>0</v>
      </c>
      <c r="AR32" s="115">
        <v>0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s="93" customFormat="1" ht="16" x14ac:dyDescent="0.2">
      <c r="A33" s="94" t="s">
        <v>216</v>
      </c>
      <c r="B33" s="115">
        <v>0</v>
      </c>
      <c r="C33" s="115">
        <v>0</v>
      </c>
      <c r="D33" s="115">
        <v>0</v>
      </c>
      <c r="E33" s="115">
        <v>0</v>
      </c>
      <c r="F33" s="115">
        <v>0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  <c r="Q33" s="115">
        <v>0</v>
      </c>
      <c r="R33" s="115">
        <v>0</v>
      </c>
      <c r="S33" s="115">
        <v>0</v>
      </c>
      <c r="T33" s="115">
        <v>0</v>
      </c>
      <c r="U33" s="115">
        <v>0</v>
      </c>
      <c r="V33" s="115">
        <v>0</v>
      </c>
      <c r="W33" s="115">
        <v>0</v>
      </c>
      <c r="X33" s="115">
        <v>0</v>
      </c>
      <c r="Y33" s="115">
        <v>0</v>
      </c>
      <c r="Z33" s="115">
        <v>0</v>
      </c>
      <c r="AA33" s="115">
        <v>0</v>
      </c>
      <c r="AB33" s="115">
        <v>0</v>
      </c>
      <c r="AC33" s="115">
        <v>0</v>
      </c>
      <c r="AD33" s="115">
        <v>0</v>
      </c>
      <c r="AE33" s="115">
        <v>0</v>
      </c>
      <c r="AF33" s="115">
        <v>0</v>
      </c>
      <c r="AG33" s="115">
        <v>0</v>
      </c>
      <c r="AH33" s="115">
        <v>0</v>
      </c>
      <c r="AI33" s="115">
        <v>0</v>
      </c>
      <c r="AJ33" s="115">
        <v>0</v>
      </c>
      <c r="AK33" s="115">
        <v>0</v>
      </c>
      <c r="AL33" s="115">
        <v>0</v>
      </c>
      <c r="AM33" s="115">
        <v>0</v>
      </c>
      <c r="AN33" s="115">
        <v>0</v>
      </c>
      <c r="AO33" s="115">
        <v>0</v>
      </c>
      <c r="AP33" s="115">
        <v>0</v>
      </c>
      <c r="AQ33" s="115">
        <v>0</v>
      </c>
      <c r="AR33" s="115">
        <v>0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s="93" customFormat="1" ht="16" x14ac:dyDescent="0.2">
      <c r="A34" s="94" t="s">
        <v>217</v>
      </c>
      <c r="B34" s="115">
        <v>0</v>
      </c>
      <c r="C34" s="115">
        <v>0</v>
      </c>
      <c r="D34" s="115">
        <v>0</v>
      </c>
      <c r="E34" s="115">
        <v>0</v>
      </c>
      <c r="F34" s="115">
        <v>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15">
        <v>0</v>
      </c>
      <c r="M34" s="115">
        <v>0</v>
      </c>
      <c r="N34" s="115">
        <v>0</v>
      </c>
      <c r="O34" s="115">
        <v>0</v>
      </c>
      <c r="P34" s="115">
        <v>0</v>
      </c>
      <c r="Q34" s="115">
        <v>0</v>
      </c>
      <c r="R34" s="115">
        <v>0</v>
      </c>
      <c r="S34" s="115">
        <v>0</v>
      </c>
      <c r="T34" s="115">
        <v>0</v>
      </c>
      <c r="U34" s="115">
        <v>0</v>
      </c>
      <c r="V34" s="115">
        <v>0</v>
      </c>
      <c r="W34" s="115">
        <v>0</v>
      </c>
      <c r="X34" s="115">
        <v>0</v>
      </c>
      <c r="Y34" s="115">
        <v>0</v>
      </c>
      <c r="Z34" s="115">
        <v>0</v>
      </c>
      <c r="AA34" s="115">
        <v>0</v>
      </c>
      <c r="AB34" s="115">
        <v>0</v>
      </c>
      <c r="AC34" s="115">
        <v>0</v>
      </c>
      <c r="AD34" s="115">
        <v>0</v>
      </c>
      <c r="AE34" s="115">
        <v>0</v>
      </c>
      <c r="AF34" s="115">
        <v>0</v>
      </c>
      <c r="AG34" s="115">
        <v>0</v>
      </c>
      <c r="AH34" s="115">
        <v>0</v>
      </c>
      <c r="AI34" s="115">
        <v>0</v>
      </c>
      <c r="AJ34" s="115">
        <v>0</v>
      </c>
      <c r="AK34" s="115">
        <v>0</v>
      </c>
      <c r="AL34" s="115">
        <v>0</v>
      </c>
      <c r="AM34" s="115">
        <v>0</v>
      </c>
      <c r="AN34" s="115">
        <v>0</v>
      </c>
      <c r="AO34" s="115">
        <v>0</v>
      </c>
      <c r="AP34" s="115">
        <v>0</v>
      </c>
      <c r="AQ34" s="115">
        <v>0</v>
      </c>
      <c r="AR34" s="115">
        <v>0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s="93" customFormat="1" ht="16" x14ac:dyDescent="0.2">
      <c r="A35" s="94" t="s">
        <v>218</v>
      </c>
      <c r="B35" s="115">
        <v>0</v>
      </c>
      <c r="C35" s="115">
        <v>0</v>
      </c>
      <c r="D35" s="115">
        <v>0</v>
      </c>
      <c r="E35" s="115">
        <v>0</v>
      </c>
      <c r="F35" s="115">
        <v>0</v>
      </c>
      <c r="G35" s="115">
        <v>0</v>
      </c>
      <c r="H35" s="115">
        <v>0</v>
      </c>
      <c r="I35" s="115">
        <v>0</v>
      </c>
      <c r="J35" s="115">
        <v>0</v>
      </c>
      <c r="K35" s="115">
        <v>0</v>
      </c>
      <c r="L35" s="115">
        <v>0</v>
      </c>
      <c r="M35" s="115">
        <v>0</v>
      </c>
      <c r="N35" s="115">
        <v>0</v>
      </c>
      <c r="O35" s="115">
        <v>0</v>
      </c>
      <c r="P35" s="115">
        <v>0</v>
      </c>
      <c r="Q35" s="115">
        <v>0</v>
      </c>
      <c r="R35" s="115">
        <v>0</v>
      </c>
      <c r="S35" s="115">
        <v>0</v>
      </c>
      <c r="T35" s="115">
        <v>0</v>
      </c>
      <c r="U35" s="115">
        <v>0</v>
      </c>
      <c r="V35" s="115">
        <v>0</v>
      </c>
      <c r="W35" s="115">
        <v>0</v>
      </c>
      <c r="X35" s="115">
        <v>0</v>
      </c>
      <c r="Y35" s="115">
        <v>0</v>
      </c>
      <c r="Z35" s="115">
        <v>0</v>
      </c>
      <c r="AA35" s="115">
        <v>0</v>
      </c>
      <c r="AB35" s="115">
        <v>0</v>
      </c>
      <c r="AC35" s="115">
        <v>0</v>
      </c>
      <c r="AD35" s="115">
        <v>0</v>
      </c>
      <c r="AE35" s="115">
        <v>0</v>
      </c>
      <c r="AF35" s="115">
        <v>0</v>
      </c>
      <c r="AG35" s="115">
        <v>0</v>
      </c>
      <c r="AH35" s="115">
        <v>0</v>
      </c>
      <c r="AI35" s="115">
        <v>0</v>
      </c>
      <c r="AJ35" s="115">
        <v>0</v>
      </c>
      <c r="AK35" s="115">
        <v>0</v>
      </c>
      <c r="AL35" s="115">
        <v>0</v>
      </c>
      <c r="AM35" s="115">
        <v>0</v>
      </c>
      <c r="AN35" s="115">
        <v>0</v>
      </c>
      <c r="AO35" s="115">
        <v>0</v>
      </c>
      <c r="AP35" s="115">
        <v>0</v>
      </c>
      <c r="AQ35" s="115">
        <v>0</v>
      </c>
      <c r="AR35" s="115">
        <v>0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s="93" customFormat="1" ht="16" x14ac:dyDescent="0.2">
      <c r="A36" s="94" t="s">
        <v>219</v>
      </c>
      <c r="B36" s="115">
        <v>0</v>
      </c>
      <c r="C36" s="115">
        <v>0</v>
      </c>
      <c r="D36" s="115">
        <v>0</v>
      </c>
      <c r="E36" s="115">
        <v>0</v>
      </c>
      <c r="F36" s="115">
        <v>0</v>
      </c>
      <c r="G36" s="115">
        <v>0</v>
      </c>
      <c r="H36" s="115">
        <v>0</v>
      </c>
      <c r="I36" s="115">
        <v>0</v>
      </c>
      <c r="J36" s="115">
        <v>0</v>
      </c>
      <c r="K36" s="115">
        <v>0</v>
      </c>
      <c r="L36" s="115">
        <v>0</v>
      </c>
      <c r="M36" s="115">
        <v>0</v>
      </c>
      <c r="N36" s="115">
        <v>0</v>
      </c>
      <c r="O36" s="115">
        <v>0</v>
      </c>
      <c r="P36" s="115">
        <v>0</v>
      </c>
      <c r="Q36" s="115">
        <v>0</v>
      </c>
      <c r="R36" s="115">
        <v>0</v>
      </c>
      <c r="S36" s="115">
        <v>0</v>
      </c>
      <c r="T36" s="115">
        <v>0</v>
      </c>
      <c r="U36" s="115">
        <v>0</v>
      </c>
      <c r="V36" s="115">
        <v>0</v>
      </c>
      <c r="W36" s="115">
        <v>0</v>
      </c>
      <c r="X36" s="115">
        <v>0</v>
      </c>
      <c r="Y36" s="115">
        <v>0</v>
      </c>
      <c r="Z36" s="115">
        <v>0</v>
      </c>
      <c r="AA36" s="115">
        <v>0</v>
      </c>
      <c r="AB36" s="115">
        <v>0</v>
      </c>
      <c r="AC36" s="115">
        <v>0</v>
      </c>
      <c r="AD36" s="115">
        <v>0</v>
      </c>
      <c r="AE36" s="115">
        <v>0</v>
      </c>
      <c r="AF36" s="115">
        <v>0</v>
      </c>
      <c r="AG36" s="115">
        <v>0</v>
      </c>
      <c r="AH36" s="115">
        <v>0</v>
      </c>
      <c r="AI36" s="115">
        <v>0</v>
      </c>
      <c r="AJ36" s="115">
        <v>0</v>
      </c>
      <c r="AK36" s="115">
        <v>0</v>
      </c>
      <c r="AL36" s="115">
        <v>0</v>
      </c>
      <c r="AM36" s="115">
        <v>0</v>
      </c>
      <c r="AN36" s="115">
        <v>0</v>
      </c>
      <c r="AO36" s="115">
        <v>0</v>
      </c>
      <c r="AP36" s="115">
        <v>0</v>
      </c>
      <c r="AQ36" s="115">
        <v>0</v>
      </c>
      <c r="AR36" s="115">
        <v>0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s="93" customFormat="1" ht="16" x14ac:dyDescent="0.2">
      <c r="A37" s="94" t="s">
        <v>220</v>
      </c>
      <c r="B37" s="115">
        <v>0</v>
      </c>
      <c r="C37" s="115">
        <v>0</v>
      </c>
      <c r="D37" s="115">
        <v>0</v>
      </c>
      <c r="E37" s="115">
        <v>0</v>
      </c>
      <c r="F37" s="115">
        <v>0</v>
      </c>
      <c r="G37" s="115">
        <v>0</v>
      </c>
      <c r="H37" s="115">
        <v>0</v>
      </c>
      <c r="I37" s="115">
        <v>0</v>
      </c>
      <c r="J37" s="115">
        <v>0</v>
      </c>
      <c r="K37" s="115">
        <v>0</v>
      </c>
      <c r="L37" s="115">
        <v>0</v>
      </c>
      <c r="M37" s="115">
        <v>0</v>
      </c>
      <c r="N37" s="115">
        <v>0</v>
      </c>
      <c r="O37" s="115">
        <v>0</v>
      </c>
      <c r="P37" s="115">
        <v>0</v>
      </c>
      <c r="Q37" s="115">
        <v>0</v>
      </c>
      <c r="R37" s="115">
        <v>0</v>
      </c>
      <c r="S37" s="115">
        <v>0</v>
      </c>
      <c r="T37" s="115">
        <v>0</v>
      </c>
      <c r="U37" s="115">
        <v>0</v>
      </c>
      <c r="V37" s="115">
        <v>0</v>
      </c>
      <c r="W37" s="115">
        <v>0</v>
      </c>
      <c r="X37" s="115">
        <v>0</v>
      </c>
      <c r="Y37" s="115">
        <v>0</v>
      </c>
      <c r="Z37" s="115">
        <v>0</v>
      </c>
      <c r="AA37" s="115">
        <v>0</v>
      </c>
      <c r="AB37" s="115">
        <v>0</v>
      </c>
      <c r="AC37" s="115">
        <v>0</v>
      </c>
      <c r="AD37" s="115">
        <v>0</v>
      </c>
      <c r="AE37" s="115">
        <v>0</v>
      </c>
      <c r="AF37" s="115">
        <v>0</v>
      </c>
      <c r="AG37" s="115">
        <v>0</v>
      </c>
      <c r="AH37" s="115">
        <v>0</v>
      </c>
      <c r="AI37" s="115">
        <v>0</v>
      </c>
      <c r="AJ37" s="115">
        <v>0</v>
      </c>
      <c r="AK37" s="115">
        <v>0</v>
      </c>
      <c r="AL37" s="115">
        <v>0</v>
      </c>
      <c r="AM37" s="115">
        <v>0</v>
      </c>
      <c r="AN37" s="115">
        <v>0</v>
      </c>
      <c r="AO37" s="115">
        <v>0</v>
      </c>
      <c r="AP37" s="115">
        <v>0</v>
      </c>
      <c r="AQ37" s="115">
        <v>0</v>
      </c>
      <c r="AR37" s="115">
        <v>0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s="93" customFormat="1" ht="16" x14ac:dyDescent="0.2">
      <c r="A38" s="94" t="s">
        <v>221</v>
      </c>
      <c r="B38" s="115">
        <v>0</v>
      </c>
      <c r="C38" s="115">
        <v>0</v>
      </c>
      <c r="D38" s="115">
        <v>0</v>
      </c>
      <c r="E38" s="115">
        <v>0</v>
      </c>
      <c r="F38" s="115">
        <v>0</v>
      </c>
      <c r="G38" s="115">
        <v>0</v>
      </c>
      <c r="H38" s="115">
        <v>0</v>
      </c>
      <c r="I38" s="115">
        <v>0</v>
      </c>
      <c r="J38" s="115">
        <v>0</v>
      </c>
      <c r="K38" s="115">
        <v>0</v>
      </c>
      <c r="L38" s="115">
        <v>0</v>
      </c>
      <c r="M38" s="115">
        <v>0</v>
      </c>
      <c r="N38" s="115">
        <v>0</v>
      </c>
      <c r="O38" s="115">
        <v>0</v>
      </c>
      <c r="P38" s="115">
        <v>0</v>
      </c>
      <c r="Q38" s="115">
        <v>0</v>
      </c>
      <c r="R38" s="115">
        <v>0</v>
      </c>
      <c r="S38" s="115">
        <v>0</v>
      </c>
      <c r="T38" s="115">
        <v>0</v>
      </c>
      <c r="U38" s="115">
        <v>0</v>
      </c>
      <c r="V38" s="115">
        <v>0</v>
      </c>
      <c r="W38" s="115">
        <v>0</v>
      </c>
      <c r="X38" s="115">
        <v>0</v>
      </c>
      <c r="Y38" s="115">
        <v>0</v>
      </c>
      <c r="Z38" s="115">
        <v>0</v>
      </c>
      <c r="AA38" s="115">
        <v>0</v>
      </c>
      <c r="AB38" s="115">
        <v>0</v>
      </c>
      <c r="AC38" s="115">
        <v>0</v>
      </c>
      <c r="AD38" s="115">
        <v>0</v>
      </c>
      <c r="AE38" s="115">
        <v>0</v>
      </c>
      <c r="AF38" s="115">
        <v>0</v>
      </c>
      <c r="AG38" s="115">
        <v>0</v>
      </c>
      <c r="AH38" s="115">
        <v>0</v>
      </c>
      <c r="AI38" s="115">
        <v>0</v>
      </c>
      <c r="AJ38" s="115">
        <v>0</v>
      </c>
      <c r="AK38" s="115">
        <v>0</v>
      </c>
      <c r="AL38" s="115">
        <v>0</v>
      </c>
      <c r="AM38" s="115">
        <v>0</v>
      </c>
      <c r="AN38" s="115">
        <v>0</v>
      </c>
      <c r="AO38" s="115">
        <v>0</v>
      </c>
      <c r="AP38" s="115">
        <v>0</v>
      </c>
      <c r="AQ38" s="115">
        <v>0</v>
      </c>
      <c r="AR38" s="115">
        <v>0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s="93" customFormat="1" ht="16" x14ac:dyDescent="0.2">
      <c r="A39" s="94" t="s">
        <v>222</v>
      </c>
      <c r="B39" s="115">
        <v>0</v>
      </c>
      <c r="C39" s="115">
        <v>0</v>
      </c>
      <c r="D39" s="115">
        <v>0</v>
      </c>
      <c r="E39" s="115">
        <v>0</v>
      </c>
      <c r="F39" s="115">
        <v>0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15">
        <v>0</v>
      </c>
      <c r="M39" s="115">
        <v>0</v>
      </c>
      <c r="N39" s="115">
        <v>0</v>
      </c>
      <c r="O39" s="115">
        <v>0</v>
      </c>
      <c r="P39" s="115">
        <v>0</v>
      </c>
      <c r="Q39" s="115">
        <v>0</v>
      </c>
      <c r="R39" s="115">
        <v>0</v>
      </c>
      <c r="S39" s="115">
        <v>0</v>
      </c>
      <c r="T39" s="115">
        <v>0</v>
      </c>
      <c r="U39" s="115">
        <v>0</v>
      </c>
      <c r="V39" s="115">
        <v>0</v>
      </c>
      <c r="W39" s="115">
        <v>0</v>
      </c>
      <c r="X39" s="115">
        <v>0</v>
      </c>
      <c r="Y39" s="115">
        <v>0</v>
      </c>
      <c r="Z39" s="115">
        <v>0</v>
      </c>
      <c r="AA39" s="115">
        <v>0</v>
      </c>
      <c r="AB39" s="115">
        <v>0</v>
      </c>
      <c r="AC39" s="115">
        <v>0</v>
      </c>
      <c r="AD39" s="115">
        <v>0</v>
      </c>
      <c r="AE39" s="115">
        <v>0</v>
      </c>
      <c r="AF39" s="115">
        <v>0</v>
      </c>
      <c r="AG39" s="115">
        <v>0</v>
      </c>
      <c r="AH39" s="115">
        <v>0</v>
      </c>
      <c r="AI39" s="115">
        <v>0</v>
      </c>
      <c r="AJ39" s="115">
        <v>0</v>
      </c>
      <c r="AK39" s="115">
        <v>0</v>
      </c>
      <c r="AL39" s="115">
        <v>0</v>
      </c>
      <c r="AM39" s="115">
        <v>0</v>
      </c>
      <c r="AN39" s="115">
        <v>0</v>
      </c>
      <c r="AO39" s="115">
        <v>0</v>
      </c>
      <c r="AP39" s="115">
        <v>0</v>
      </c>
      <c r="AQ39" s="115">
        <v>0</v>
      </c>
      <c r="AR39" s="115">
        <v>0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s="93" customFormat="1" ht="16" x14ac:dyDescent="0.2">
      <c r="A40" s="94" t="s">
        <v>223</v>
      </c>
      <c r="B40" s="115">
        <v>0</v>
      </c>
      <c r="C40" s="115">
        <v>0</v>
      </c>
      <c r="D40" s="115">
        <v>0</v>
      </c>
      <c r="E40" s="115">
        <v>0</v>
      </c>
      <c r="F40" s="115">
        <v>0</v>
      </c>
      <c r="G40" s="115">
        <v>0</v>
      </c>
      <c r="H40" s="115">
        <v>0</v>
      </c>
      <c r="I40" s="115">
        <v>0</v>
      </c>
      <c r="J40" s="115">
        <v>0</v>
      </c>
      <c r="K40" s="115">
        <v>0</v>
      </c>
      <c r="L40" s="115">
        <v>0</v>
      </c>
      <c r="M40" s="115">
        <v>0</v>
      </c>
      <c r="N40" s="115">
        <v>0</v>
      </c>
      <c r="O40" s="115">
        <v>0</v>
      </c>
      <c r="P40" s="115">
        <v>0</v>
      </c>
      <c r="Q40" s="115">
        <v>0</v>
      </c>
      <c r="R40" s="115">
        <v>0</v>
      </c>
      <c r="S40" s="115">
        <v>0</v>
      </c>
      <c r="T40" s="115">
        <v>0</v>
      </c>
      <c r="U40" s="115">
        <v>0</v>
      </c>
      <c r="V40" s="115">
        <v>0</v>
      </c>
      <c r="W40" s="115">
        <v>0</v>
      </c>
      <c r="X40" s="115">
        <v>0</v>
      </c>
      <c r="Y40" s="115">
        <v>0</v>
      </c>
      <c r="Z40" s="115">
        <v>0</v>
      </c>
      <c r="AA40" s="115">
        <v>0</v>
      </c>
      <c r="AB40" s="115">
        <v>0</v>
      </c>
      <c r="AC40" s="115">
        <v>0</v>
      </c>
      <c r="AD40" s="115">
        <v>0</v>
      </c>
      <c r="AE40" s="115">
        <v>0</v>
      </c>
      <c r="AF40" s="115">
        <v>0</v>
      </c>
      <c r="AG40" s="115">
        <v>0</v>
      </c>
      <c r="AH40" s="115">
        <v>0</v>
      </c>
      <c r="AI40" s="115">
        <v>0</v>
      </c>
      <c r="AJ40" s="115">
        <v>0</v>
      </c>
      <c r="AK40" s="115">
        <v>0</v>
      </c>
      <c r="AL40" s="115">
        <v>0</v>
      </c>
      <c r="AM40" s="115">
        <v>0</v>
      </c>
      <c r="AN40" s="115">
        <v>0</v>
      </c>
      <c r="AO40" s="115">
        <v>0</v>
      </c>
      <c r="AP40" s="115">
        <v>0</v>
      </c>
      <c r="AQ40" s="115">
        <v>0</v>
      </c>
      <c r="AR40" s="115">
        <v>0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s="93" customFormat="1" ht="16" x14ac:dyDescent="0.2">
      <c r="A41" s="94" t="s">
        <v>224</v>
      </c>
      <c r="B41" s="115">
        <v>0</v>
      </c>
      <c r="C41" s="115">
        <v>0</v>
      </c>
      <c r="D41" s="115">
        <v>0</v>
      </c>
      <c r="E41" s="115">
        <v>0</v>
      </c>
      <c r="F41" s="115">
        <v>0</v>
      </c>
      <c r="G41" s="115">
        <v>0</v>
      </c>
      <c r="H41" s="115">
        <v>0</v>
      </c>
      <c r="I41" s="115">
        <v>0</v>
      </c>
      <c r="J41" s="115">
        <v>0</v>
      </c>
      <c r="K41" s="115">
        <v>0</v>
      </c>
      <c r="L41" s="115">
        <v>0</v>
      </c>
      <c r="M41" s="115">
        <v>0</v>
      </c>
      <c r="N41" s="115">
        <v>0</v>
      </c>
      <c r="O41" s="115">
        <v>0</v>
      </c>
      <c r="P41" s="115">
        <v>0</v>
      </c>
      <c r="Q41" s="115">
        <v>0</v>
      </c>
      <c r="R41" s="115">
        <v>0</v>
      </c>
      <c r="S41" s="115">
        <v>0</v>
      </c>
      <c r="T41" s="115">
        <v>0</v>
      </c>
      <c r="U41" s="115">
        <v>0</v>
      </c>
      <c r="V41" s="115">
        <v>0</v>
      </c>
      <c r="W41" s="115">
        <v>0</v>
      </c>
      <c r="X41" s="115">
        <v>0</v>
      </c>
      <c r="Y41" s="115">
        <v>0</v>
      </c>
      <c r="Z41" s="115">
        <v>0</v>
      </c>
      <c r="AA41" s="115">
        <v>0</v>
      </c>
      <c r="AB41" s="115">
        <v>0</v>
      </c>
      <c r="AC41" s="115">
        <v>0</v>
      </c>
      <c r="AD41" s="115">
        <v>0</v>
      </c>
      <c r="AE41" s="115">
        <v>0</v>
      </c>
      <c r="AF41" s="115">
        <v>0</v>
      </c>
      <c r="AG41" s="115">
        <v>0</v>
      </c>
      <c r="AH41" s="115">
        <v>0</v>
      </c>
      <c r="AI41" s="115">
        <v>0</v>
      </c>
      <c r="AJ41" s="115">
        <v>0</v>
      </c>
      <c r="AK41" s="115">
        <v>0</v>
      </c>
      <c r="AL41" s="115">
        <v>0</v>
      </c>
      <c r="AM41" s="115">
        <v>0</v>
      </c>
      <c r="AN41" s="115">
        <v>0</v>
      </c>
      <c r="AO41" s="115">
        <v>0</v>
      </c>
      <c r="AP41" s="115">
        <v>0</v>
      </c>
      <c r="AQ41" s="115">
        <v>0</v>
      </c>
      <c r="AR41" s="115">
        <v>0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s="93" customFormat="1" ht="16" x14ac:dyDescent="0.2">
      <c r="A42" s="94" t="s">
        <v>225</v>
      </c>
      <c r="B42" s="115">
        <v>0</v>
      </c>
      <c r="C42" s="115">
        <v>0</v>
      </c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s="93" customFormat="1" ht="16" x14ac:dyDescent="0.2">
      <c r="A43" s="94" t="s">
        <v>227</v>
      </c>
      <c r="B43" s="115">
        <v>0</v>
      </c>
      <c r="C43" s="115">
        <v>0</v>
      </c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s="93" customFormat="1" ht="16" x14ac:dyDescent="0.2">
      <c r="A44" s="94" t="s">
        <v>125</v>
      </c>
      <c r="B44" s="115">
        <v>0</v>
      </c>
      <c r="C44" s="115">
        <v>0</v>
      </c>
      <c r="D44" s="115">
        <v>0</v>
      </c>
      <c r="E44" s="115">
        <v>0</v>
      </c>
      <c r="F44" s="115">
        <v>0</v>
      </c>
      <c r="G44" s="115">
        <v>0</v>
      </c>
      <c r="H44" s="115">
        <v>0</v>
      </c>
      <c r="I44" s="115">
        <v>0</v>
      </c>
      <c r="J44" s="115">
        <v>0</v>
      </c>
      <c r="K44" s="115">
        <v>0</v>
      </c>
      <c r="L44" s="115">
        <v>0</v>
      </c>
      <c r="M44" s="115">
        <v>0</v>
      </c>
      <c r="N44" s="115">
        <v>0</v>
      </c>
      <c r="O44" s="115">
        <v>0</v>
      </c>
      <c r="P44" s="115">
        <v>0</v>
      </c>
      <c r="Q44" s="115">
        <v>0</v>
      </c>
      <c r="R44" s="115">
        <v>0</v>
      </c>
      <c r="S44" s="115">
        <v>0</v>
      </c>
      <c r="T44" s="115">
        <v>0</v>
      </c>
      <c r="U44" s="115">
        <v>0</v>
      </c>
      <c r="V44" s="115">
        <v>0</v>
      </c>
      <c r="W44" s="115">
        <v>0</v>
      </c>
      <c r="X44" s="115">
        <v>0</v>
      </c>
      <c r="Y44" s="115">
        <v>0</v>
      </c>
      <c r="Z44" s="115">
        <v>0</v>
      </c>
      <c r="AA44" s="115">
        <v>0</v>
      </c>
      <c r="AB44" s="115">
        <v>0</v>
      </c>
      <c r="AC44" s="115">
        <v>0</v>
      </c>
      <c r="AD44" s="115">
        <v>0</v>
      </c>
      <c r="AE44" s="115">
        <v>0</v>
      </c>
      <c r="AF44" s="115">
        <v>0</v>
      </c>
      <c r="AG44" s="115">
        <v>0</v>
      </c>
      <c r="AH44" s="115">
        <v>0</v>
      </c>
      <c r="AI44" s="115">
        <v>0</v>
      </c>
      <c r="AJ44" s="115">
        <v>0</v>
      </c>
      <c r="AK44" s="115">
        <v>0</v>
      </c>
      <c r="AL44" s="115">
        <v>0</v>
      </c>
      <c r="AM44" s="115">
        <v>0</v>
      </c>
      <c r="AN44" s="115">
        <v>0</v>
      </c>
      <c r="AO44" s="115">
        <v>0</v>
      </c>
      <c r="AP44" s="115">
        <v>0</v>
      </c>
      <c r="AQ44" s="115">
        <v>0</v>
      </c>
      <c r="AR44" s="115">
        <v>0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s="115" customFormat="1" ht="16" x14ac:dyDescent="0.2">
      <c r="A45" s="117" t="s">
        <v>167</v>
      </c>
      <c r="B45" s="115">
        <v>0</v>
      </c>
      <c r="C45" s="115">
        <v>0</v>
      </c>
      <c r="D45" s="115">
        <v>0</v>
      </c>
      <c r="E45" s="115">
        <v>0</v>
      </c>
      <c r="F45" s="115">
        <v>0</v>
      </c>
      <c r="G45" s="115">
        <v>0</v>
      </c>
      <c r="H45" s="115">
        <v>0</v>
      </c>
      <c r="I45" s="115">
        <v>0</v>
      </c>
      <c r="J45" s="115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15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5">
        <v>0</v>
      </c>
      <c r="AG45" s="115">
        <v>0</v>
      </c>
      <c r="AH45" s="115">
        <v>0</v>
      </c>
      <c r="AI45" s="115">
        <v>0</v>
      </c>
      <c r="AJ45" s="115">
        <v>0</v>
      </c>
      <c r="AK45" s="115">
        <v>0</v>
      </c>
      <c r="AL45" s="115">
        <v>0</v>
      </c>
      <c r="AM45" s="115">
        <v>0</v>
      </c>
      <c r="AN45" s="115">
        <v>0</v>
      </c>
      <c r="AO45" s="115">
        <v>0</v>
      </c>
      <c r="AP45" s="115">
        <v>0</v>
      </c>
      <c r="AQ45" s="115">
        <v>0</v>
      </c>
      <c r="AR45" s="115">
        <v>0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customFormat="1" ht="14" customHeight="1" x14ac:dyDescent="0.15"/>
    <row r="47" spans="1:66" customFormat="1" ht="14" customHeight="1" x14ac:dyDescent="0.15"/>
    <row r="48" spans="1:66" customFormat="1" ht="14" customHeight="1" x14ac:dyDescent="0.15"/>
    <row r="49" customFormat="1" ht="14" customHeight="1" x14ac:dyDescent="0.15"/>
    <row r="50" customFormat="1" ht="14" customHeight="1" x14ac:dyDescent="0.15"/>
    <row r="51" customFormat="1" ht="14" customHeight="1" x14ac:dyDescent="0.15"/>
    <row r="52" customFormat="1" ht="14" customHeight="1" x14ac:dyDescent="0.15"/>
    <row r="53" customFormat="1" ht="14" customHeight="1" x14ac:dyDescent="0.15"/>
    <row r="54" customFormat="1" ht="14" customHeight="1" x14ac:dyDescent="0.15"/>
    <row r="55" customFormat="1" ht="14" customHeight="1" x14ac:dyDescent="0.15"/>
    <row r="56" customFormat="1" ht="14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53"/>
  <sheetViews>
    <sheetView workbookViewId="0">
      <selection activeCell="C1" sqref="C1"/>
    </sheetView>
  </sheetViews>
  <sheetFormatPr baseColWidth="10" defaultRowHeight="14" customHeight="1" x14ac:dyDescent="0.2"/>
  <cols>
    <col min="1" max="1" width="12.6640625" style="93" customWidth="1"/>
    <col min="2" max="2" width="46.5" style="93" bestFit="1" customWidth="1"/>
    <col min="3" max="3" width="27.6640625" style="93" customWidth="1"/>
    <col min="4" max="16384" width="10.83203125" style="93"/>
  </cols>
  <sheetData>
    <row r="1" spans="1:3" ht="34" x14ac:dyDescent="0.2">
      <c r="A1" s="139" t="s">
        <v>85</v>
      </c>
      <c r="B1" s="143" t="s">
        <v>0</v>
      </c>
      <c r="C1" s="140" t="s">
        <v>226</v>
      </c>
    </row>
    <row r="2" spans="1:3" ht="14" customHeight="1" x14ac:dyDescent="0.2">
      <c r="A2" s="115">
        <v>1</v>
      </c>
      <c r="B2" s="94" t="s">
        <v>185</v>
      </c>
      <c r="C2" s="93">
        <v>0.8</v>
      </c>
    </row>
    <row r="3" spans="1:3" ht="14" customHeight="1" x14ac:dyDescent="0.2">
      <c r="A3" s="115">
        <v>2</v>
      </c>
      <c r="B3" s="94" t="s">
        <v>186</v>
      </c>
      <c r="C3" s="93">
        <v>0.8</v>
      </c>
    </row>
    <row r="4" spans="1:3" ht="14" customHeight="1" x14ac:dyDescent="0.2">
      <c r="A4" s="115">
        <v>3</v>
      </c>
      <c r="B4" s="94" t="s">
        <v>187</v>
      </c>
      <c r="C4" s="93">
        <v>0.8</v>
      </c>
    </row>
    <row r="5" spans="1:3" ht="14" customHeight="1" x14ac:dyDescent="0.2">
      <c r="A5" s="115">
        <v>4</v>
      </c>
      <c r="B5" s="94" t="s">
        <v>188</v>
      </c>
      <c r="C5" s="93">
        <v>0.8</v>
      </c>
    </row>
    <row r="6" spans="1:3" ht="14" customHeight="1" x14ac:dyDescent="0.2">
      <c r="A6" s="115">
        <v>5</v>
      </c>
      <c r="B6" s="94" t="s">
        <v>189</v>
      </c>
      <c r="C6" s="93">
        <v>0.8</v>
      </c>
    </row>
    <row r="7" spans="1:3" ht="14" customHeight="1" x14ac:dyDescent="0.2">
      <c r="A7" s="115">
        <v>6</v>
      </c>
      <c r="B7" s="94" t="s">
        <v>190</v>
      </c>
      <c r="C7" s="93">
        <v>0.8</v>
      </c>
    </row>
    <row r="8" spans="1:3" ht="14" customHeight="1" x14ac:dyDescent="0.2">
      <c r="A8" s="115">
        <v>7</v>
      </c>
      <c r="B8" s="94" t="s">
        <v>191</v>
      </c>
      <c r="C8" s="93">
        <v>0.8</v>
      </c>
    </row>
    <row r="9" spans="1:3" ht="14" customHeight="1" x14ac:dyDescent="0.2">
      <c r="A9" s="115">
        <v>8</v>
      </c>
      <c r="B9" s="94" t="s">
        <v>192</v>
      </c>
      <c r="C9" s="93">
        <v>0.8</v>
      </c>
    </row>
    <row r="10" spans="1:3" ht="14" customHeight="1" x14ac:dyDescent="0.2">
      <c r="A10" s="115">
        <v>9</v>
      </c>
      <c r="B10" s="94" t="s">
        <v>193</v>
      </c>
      <c r="C10" s="93">
        <v>0.8</v>
      </c>
    </row>
    <row r="11" spans="1:3" ht="14" customHeight="1" x14ac:dyDescent="0.2">
      <c r="A11" s="115">
        <v>10</v>
      </c>
      <c r="B11" s="94" t="s">
        <v>194</v>
      </c>
      <c r="C11" s="93">
        <v>0.8</v>
      </c>
    </row>
    <row r="12" spans="1:3" ht="14" customHeight="1" x14ac:dyDescent="0.2">
      <c r="A12" s="115">
        <v>11</v>
      </c>
      <c r="B12" s="94" t="s">
        <v>195</v>
      </c>
      <c r="C12" s="93">
        <v>0.8</v>
      </c>
    </row>
    <row r="13" spans="1:3" ht="14" customHeight="1" x14ac:dyDescent="0.2">
      <c r="A13" s="115">
        <v>12</v>
      </c>
      <c r="B13" s="94" t="s">
        <v>196</v>
      </c>
      <c r="C13" s="93">
        <v>0.8</v>
      </c>
    </row>
    <row r="14" spans="1:3" ht="14" customHeight="1" x14ac:dyDescent="0.2">
      <c r="A14" s="115">
        <v>13</v>
      </c>
      <c r="B14" s="94" t="s">
        <v>197</v>
      </c>
      <c r="C14" s="93">
        <v>0.8</v>
      </c>
    </row>
    <row r="15" spans="1:3" ht="14" customHeight="1" x14ac:dyDescent="0.2">
      <c r="A15" s="115">
        <v>14</v>
      </c>
      <c r="B15" s="94" t="s">
        <v>198</v>
      </c>
      <c r="C15" s="93">
        <v>0.8</v>
      </c>
    </row>
    <row r="16" spans="1:3" ht="14" customHeight="1" x14ac:dyDescent="0.2">
      <c r="A16" s="115">
        <v>15</v>
      </c>
      <c r="B16" s="94" t="s">
        <v>199</v>
      </c>
      <c r="C16" s="93">
        <v>0.8</v>
      </c>
    </row>
    <row r="17" spans="1:3" ht="14" customHeight="1" x14ac:dyDescent="0.2">
      <c r="A17" s="115">
        <v>16</v>
      </c>
      <c r="B17" s="94" t="s">
        <v>200</v>
      </c>
      <c r="C17" s="93">
        <v>0.8</v>
      </c>
    </row>
    <row r="18" spans="1:3" ht="14" customHeight="1" x14ac:dyDescent="0.2">
      <c r="A18" s="115">
        <v>17</v>
      </c>
      <c r="B18" s="94" t="s">
        <v>201</v>
      </c>
      <c r="C18" s="93">
        <v>0.8</v>
      </c>
    </row>
    <row r="19" spans="1:3" ht="14" customHeight="1" x14ac:dyDescent="0.2">
      <c r="A19" s="115">
        <v>18</v>
      </c>
      <c r="B19" s="94" t="s">
        <v>202</v>
      </c>
      <c r="C19" s="93">
        <v>0.8</v>
      </c>
    </row>
    <row r="20" spans="1:3" ht="14" customHeight="1" x14ac:dyDescent="0.2">
      <c r="A20" s="115">
        <v>19</v>
      </c>
      <c r="B20" s="94" t="s">
        <v>203</v>
      </c>
      <c r="C20" s="93">
        <v>0.8</v>
      </c>
    </row>
    <row r="21" spans="1:3" ht="14" customHeight="1" x14ac:dyDescent="0.2">
      <c r="A21" s="115">
        <v>20</v>
      </c>
      <c r="B21" s="94" t="s">
        <v>204</v>
      </c>
      <c r="C21" s="93">
        <v>0.8</v>
      </c>
    </row>
    <row r="22" spans="1:3" ht="14" customHeight="1" x14ac:dyDescent="0.2">
      <c r="A22" s="115">
        <v>21</v>
      </c>
      <c r="B22" s="94" t="s">
        <v>205</v>
      </c>
      <c r="C22" s="93">
        <v>0.8</v>
      </c>
    </row>
    <row r="23" spans="1:3" ht="14" customHeight="1" x14ac:dyDescent="0.2">
      <c r="A23" s="115">
        <v>22</v>
      </c>
      <c r="B23" s="94" t="s">
        <v>206</v>
      </c>
      <c r="C23" s="93">
        <v>0.8</v>
      </c>
    </row>
    <row r="24" spans="1:3" ht="14" customHeight="1" x14ac:dyDescent="0.2">
      <c r="A24" s="115">
        <v>23</v>
      </c>
      <c r="B24" s="94" t="s">
        <v>207</v>
      </c>
      <c r="C24" s="93">
        <v>0.8</v>
      </c>
    </row>
    <row r="25" spans="1:3" ht="14" customHeight="1" x14ac:dyDescent="0.2">
      <c r="A25" s="115">
        <v>24</v>
      </c>
      <c r="B25" s="94" t="s">
        <v>208</v>
      </c>
      <c r="C25" s="93">
        <v>0.8</v>
      </c>
    </row>
    <row r="26" spans="1:3" ht="14" customHeight="1" x14ac:dyDescent="0.2">
      <c r="A26" s="115">
        <v>25</v>
      </c>
      <c r="B26" s="94" t="s">
        <v>209</v>
      </c>
      <c r="C26" s="93">
        <v>0.8</v>
      </c>
    </row>
    <row r="27" spans="1:3" ht="14" customHeight="1" x14ac:dyDescent="0.2">
      <c r="A27" s="115">
        <v>26</v>
      </c>
      <c r="B27" s="94" t="s">
        <v>210</v>
      </c>
      <c r="C27" s="93">
        <v>0.8</v>
      </c>
    </row>
    <row r="28" spans="1:3" ht="14" customHeight="1" x14ac:dyDescent="0.2">
      <c r="A28" s="115">
        <v>27</v>
      </c>
      <c r="B28" s="94" t="s">
        <v>211</v>
      </c>
      <c r="C28" s="93">
        <v>0.8</v>
      </c>
    </row>
    <row r="29" spans="1:3" ht="14" customHeight="1" x14ac:dyDescent="0.2">
      <c r="A29" s="115">
        <v>28</v>
      </c>
      <c r="B29" s="94" t="s">
        <v>212</v>
      </c>
      <c r="C29" s="93">
        <v>0.8</v>
      </c>
    </row>
    <row r="30" spans="1:3" ht="14" customHeight="1" x14ac:dyDescent="0.2">
      <c r="A30" s="115">
        <v>29</v>
      </c>
      <c r="B30" s="94" t="s">
        <v>213</v>
      </c>
      <c r="C30" s="93">
        <v>0.8</v>
      </c>
    </row>
    <row r="31" spans="1:3" ht="14" customHeight="1" x14ac:dyDescent="0.2">
      <c r="A31" s="115">
        <v>30</v>
      </c>
      <c r="B31" s="94" t="s">
        <v>214</v>
      </c>
      <c r="C31" s="93">
        <v>0.8</v>
      </c>
    </row>
    <row r="32" spans="1:3" ht="14" customHeight="1" x14ac:dyDescent="0.2">
      <c r="A32" s="115">
        <v>31</v>
      </c>
      <c r="B32" s="94" t="s">
        <v>215</v>
      </c>
      <c r="C32" s="93">
        <v>0.8</v>
      </c>
    </row>
    <row r="33" spans="1:3" ht="14" customHeight="1" x14ac:dyDescent="0.2">
      <c r="A33" s="115">
        <v>32</v>
      </c>
      <c r="B33" s="94" t="s">
        <v>216</v>
      </c>
      <c r="C33" s="93">
        <v>0.8</v>
      </c>
    </row>
    <row r="34" spans="1:3" ht="14" customHeight="1" x14ac:dyDescent="0.2">
      <c r="A34" s="115">
        <v>33</v>
      </c>
      <c r="B34" s="94" t="s">
        <v>217</v>
      </c>
      <c r="C34" s="93">
        <v>0.8</v>
      </c>
    </row>
    <row r="35" spans="1:3" ht="14" customHeight="1" x14ac:dyDescent="0.2">
      <c r="A35" s="115">
        <v>34</v>
      </c>
      <c r="B35" s="94" t="s">
        <v>218</v>
      </c>
      <c r="C35" s="93">
        <v>0.8</v>
      </c>
    </row>
    <row r="36" spans="1:3" ht="14" customHeight="1" x14ac:dyDescent="0.2">
      <c r="A36" s="115">
        <v>35</v>
      </c>
      <c r="B36" s="94" t="s">
        <v>219</v>
      </c>
      <c r="C36" s="93">
        <v>0.8</v>
      </c>
    </row>
    <row r="37" spans="1:3" ht="14" customHeight="1" x14ac:dyDescent="0.2">
      <c r="A37" s="115">
        <v>36</v>
      </c>
      <c r="B37" s="94" t="s">
        <v>220</v>
      </c>
      <c r="C37" s="93">
        <v>0.8</v>
      </c>
    </row>
    <row r="38" spans="1:3" ht="14" customHeight="1" x14ac:dyDescent="0.2">
      <c r="A38" s="115">
        <v>37</v>
      </c>
      <c r="B38" s="94" t="s">
        <v>221</v>
      </c>
      <c r="C38" s="93">
        <v>0.8</v>
      </c>
    </row>
    <row r="39" spans="1:3" ht="14" customHeight="1" x14ac:dyDescent="0.2">
      <c r="A39" s="115">
        <v>38</v>
      </c>
      <c r="B39" s="94" t="s">
        <v>222</v>
      </c>
      <c r="C39" s="93">
        <v>0.8</v>
      </c>
    </row>
    <row r="40" spans="1:3" ht="14" customHeight="1" x14ac:dyDescent="0.2">
      <c r="A40" s="115">
        <v>39</v>
      </c>
      <c r="B40" s="94" t="s">
        <v>223</v>
      </c>
      <c r="C40" s="93">
        <v>0.8</v>
      </c>
    </row>
    <row r="41" spans="1:3" ht="14" customHeight="1" x14ac:dyDescent="0.2">
      <c r="A41" s="115">
        <v>40</v>
      </c>
      <c r="B41" s="94" t="s">
        <v>224</v>
      </c>
      <c r="C41" s="93">
        <v>0.8</v>
      </c>
    </row>
    <row r="42" spans="1:3" ht="14" customHeight="1" x14ac:dyDescent="0.2">
      <c r="A42" s="115">
        <v>41</v>
      </c>
      <c r="B42" s="94" t="s">
        <v>225</v>
      </c>
      <c r="C42" s="93">
        <v>0.8</v>
      </c>
    </row>
    <row r="43" spans="1:3" ht="14" customHeight="1" x14ac:dyDescent="0.2">
      <c r="A43" s="115">
        <v>42</v>
      </c>
      <c r="B43" s="94" t="s">
        <v>227</v>
      </c>
      <c r="C43" s="93">
        <v>0.8</v>
      </c>
    </row>
    <row r="44" spans="1:3" ht="14" customHeight="1" x14ac:dyDescent="0.2">
      <c r="A44" s="115">
        <v>43</v>
      </c>
      <c r="B44" s="94" t="s">
        <v>125</v>
      </c>
      <c r="C44" s="93">
        <v>0.8</v>
      </c>
    </row>
    <row r="45" spans="1:3" customFormat="1" ht="14" customHeight="1" x14ac:dyDescent="0.15"/>
    <row r="46" spans="1:3" customFormat="1" ht="14" customHeight="1" x14ac:dyDescent="0.15"/>
    <row r="47" spans="1:3" customFormat="1" ht="14" customHeight="1" x14ac:dyDescent="0.15"/>
    <row r="48" spans="1:3" customFormat="1" ht="14" customHeight="1" x14ac:dyDescent="0.15"/>
    <row r="49" customFormat="1" ht="14" customHeight="1" x14ac:dyDescent="0.15"/>
    <row r="50" customFormat="1" ht="14" customHeight="1" x14ac:dyDescent="0.15"/>
    <row r="51" customFormat="1" ht="14" customHeight="1" x14ac:dyDescent="0.15"/>
    <row r="52" customFormat="1" ht="14" customHeight="1" x14ac:dyDescent="0.15"/>
    <row r="53" customFormat="1" ht="14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53"/>
  <sheetViews>
    <sheetView topLeftCell="A29" workbookViewId="0">
      <selection activeCell="A47" sqref="A47"/>
    </sheetView>
  </sheetViews>
  <sheetFormatPr baseColWidth="10" defaultRowHeight="14" customHeight="1" x14ac:dyDescent="0.2"/>
  <cols>
    <col min="1" max="1" width="12.6640625" style="93" customWidth="1"/>
    <col min="2" max="2" width="46.5" style="93" bestFit="1" customWidth="1"/>
    <col min="3" max="7" width="27.6640625" style="93" customWidth="1"/>
    <col min="8" max="16384" width="10.83203125" style="93"/>
  </cols>
  <sheetData>
    <row r="1" spans="1:7" ht="34" x14ac:dyDescent="0.2">
      <c r="A1" s="139" t="s">
        <v>84</v>
      </c>
      <c r="B1" s="143" t="s">
        <v>0</v>
      </c>
      <c r="C1" s="140" t="s">
        <v>226</v>
      </c>
      <c r="D1" s="161"/>
      <c r="E1" s="161"/>
      <c r="F1" s="141"/>
      <c r="G1" s="141"/>
    </row>
    <row r="2" spans="1:7" ht="14" customHeight="1" x14ac:dyDescent="0.2">
      <c r="A2" s="115">
        <v>1</v>
      </c>
      <c r="B2" s="94" t="s">
        <v>185</v>
      </c>
      <c r="C2" s="93">
        <v>0.8</v>
      </c>
    </row>
    <row r="3" spans="1:7" ht="14" customHeight="1" x14ac:dyDescent="0.2">
      <c r="A3" s="115">
        <v>2</v>
      </c>
      <c r="B3" s="94" t="s">
        <v>186</v>
      </c>
      <c r="C3" s="93">
        <v>0.8</v>
      </c>
    </row>
    <row r="4" spans="1:7" ht="14" customHeight="1" x14ac:dyDescent="0.2">
      <c r="A4" s="115">
        <v>3</v>
      </c>
      <c r="B4" s="94" t="s">
        <v>187</v>
      </c>
      <c r="C4" s="93">
        <v>0.8</v>
      </c>
    </row>
    <row r="5" spans="1:7" ht="14" customHeight="1" x14ac:dyDescent="0.2">
      <c r="A5" s="115">
        <v>4</v>
      </c>
      <c r="B5" s="94" t="s">
        <v>188</v>
      </c>
      <c r="C5" s="93">
        <v>0.8</v>
      </c>
    </row>
    <row r="6" spans="1:7" ht="14" customHeight="1" x14ac:dyDescent="0.2">
      <c r="A6" s="115">
        <v>5</v>
      </c>
      <c r="B6" s="94" t="s">
        <v>189</v>
      </c>
      <c r="C6" s="93">
        <v>0.8</v>
      </c>
    </row>
    <row r="7" spans="1:7" ht="14" customHeight="1" x14ac:dyDescent="0.2">
      <c r="A7" s="115">
        <v>6</v>
      </c>
      <c r="B7" s="94" t="s">
        <v>190</v>
      </c>
      <c r="C7" s="93">
        <v>0.8</v>
      </c>
    </row>
    <row r="8" spans="1:7" ht="14" customHeight="1" x14ac:dyDescent="0.2">
      <c r="A8" s="115">
        <v>7</v>
      </c>
      <c r="B8" s="94" t="s">
        <v>191</v>
      </c>
      <c r="C8" s="93">
        <v>0.8</v>
      </c>
    </row>
    <row r="9" spans="1:7" ht="14" customHeight="1" x14ac:dyDescent="0.2">
      <c r="A9" s="115">
        <v>8</v>
      </c>
      <c r="B9" s="94" t="s">
        <v>192</v>
      </c>
      <c r="C9" s="93">
        <v>0.8</v>
      </c>
    </row>
    <row r="10" spans="1:7" ht="14" customHeight="1" x14ac:dyDescent="0.2">
      <c r="A10" s="115">
        <v>9</v>
      </c>
      <c r="B10" s="94" t="s">
        <v>193</v>
      </c>
      <c r="C10" s="93">
        <v>0.8</v>
      </c>
    </row>
    <row r="11" spans="1:7" ht="14" customHeight="1" x14ac:dyDescent="0.2">
      <c r="A11" s="115">
        <v>10</v>
      </c>
      <c r="B11" s="94" t="s">
        <v>194</v>
      </c>
      <c r="C11" s="93">
        <v>0.8</v>
      </c>
    </row>
    <row r="12" spans="1:7" ht="14" customHeight="1" x14ac:dyDescent="0.2">
      <c r="A12" s="115">
        <v>11</v>
      </c>
      <c r="B12" s="94" t="s">
        <v>195</v>
      </c>
      <c r="C12" s="93">
        <v>0.8</v>
      </c>
    </row>
    <row r="13" spans="1:7" ht="14" customHeight="1" x14ac:dyDescent="0.2">
      <c r="A13" s="115">
        <v>12</v>
      </c>
      <c r="B13" s="94" t="s">
        <v>196</v>
      </c>
      <c r="C13" s="93">
        <v>0.8</v>
      </c>
    </row>
    <row r="14" spans="1:7" ht="14" customHeight="1" x14ac:dyDescent="0.2">
      <c r="A14" s="115">
        <v>13</v>
      </c>
      <c r="B14" s="94" t="s">
        <v>197</v>
      </c>
      <c r="C14" s="93">
        <v>0.8</v>
      </c>
    </row>
    <row r="15" spans="1:7" ht="14" customHeight="1" x14ac:dyDescent="0.2">
      <c r="A15" s="115">
        <v>14</v>
      </c>
      <c r="B15" s="94" t="s">
        <v>198</v>
      </c>
      <c r="C15" s="93">
        <v>0.8</v>
      </c>
    </row>
    <row r="16" spans="1:7" ht="14" customHeight="1" x14ac:dyDescent="0.2">
      <c r="A16" s="115">
        <v>15</v>
      </c>
      <c r="B16" s="94" t="s">
        <v>199</v>
      </c>
      <c r="C16" s="93">
        <v>0.8</v>
      </c>
    </row>
    <row r="17" spans="1:3" ht="14" customHeight="1" x14ac:dyDescent="0.2">
      <c r="A17" s="115">
        <v>16</v>
      </c>
      <c r="B17" s="94" t="s">
        <v>200</v>
      </c>
      <c r="C17" s="93">
        <v>0.8</v>
      </c>
    </row>
    <row r="18" spans="1:3" ht="14" customHeight="1" x14ac:dyDescent="0.2">
      <c r="A18" s="115">
        <v>17</v>
      </c>
      <c r="B18" s="94" t="s">
        <v>201</v>
      </c>
      <c r="C18" s="93">
        <v>0.8</v>
      </c>
    </row>
    <row r="19" spans="1:3" ht="14" customHeight="1" x14ac:dyDescent="0.2">
      <c r="A19" s="115">
        <v>18</v>
      </c>
      <c r="B19" s="94" t="s">
        <v>202</v>
      </c>
      <c r="C19" s="93">
        <v>0.8</v>
      </c>
    </row>
    <row r="20" spans="1:3" ht="14" customHeight="1" x14ac:dyDescent="0.2">
      <c r="A20" s="115">
        <v>19</v>
      </c>
      <c r="B20" s="94" t="s">
        <v>203</v>
      </c>
      <c r="C20" s="93">
        <v>0.8</v>
      </c>
    </row>
    <row r="21" spans="1:3" ht="14" customHeight="1" x14ac:dyDescent="0.2">
      <c r="A21" s="115">
        <v>20</v>
      </c>
      <c r="B21" s="94" t="s">
        <v>204</v>
      </c>
      <c r="C21" s="93">
        <v>0.8</v>
      </c>
    </row>
    <row r="22" spans="1:3" ht="14" customHeight="1" x14ac:dyDescent="0.2">
      <c r="A22" s="115">
        <v>21</v>
      </c>
      <c r="B22" s="94" t="s">
        <v>205</v>
      </c>
      <c r="C22" s="93">
        <v>0.8</v>
      </c>
    </row>
    <row r="23" spans="1:3" ht="14" customHeight="1" x14ac:dyDescent="0.2">
      <c r="A23" s="115">
        <v>22</v>
      </c>
      <c r="B23" s="94" t="s">
        <v>206</v>
      </c>
      <c r="C23" s="93">
        <v>0.8</v>
      </c>
    </row>
    <row r="24" spans="1:3" ht="14" customHeight="1" x14ac:dyDescent="0.2">
      <c r="A24" s="115">
        <v>23</v>
      </c>
      <c r="B24" s="94" t="s">
        <v>207</v>
      </c>
      <c r="C24" s="93">
        <v>0.8</v>
      </c>
    </row>
    <row r="25" spans="1:3" ht="14" customHeight="1" x14ac:dyDescent="0.2">
      <c r="A25" s="115">
        <v>24</v>
      </c>
      <c r="B25" s="94" t="s">
        <v>208</v>
      </c>
      <c r="C25" s="93">
        <v>0.8</v>
      </c>
    </row>
    <row r="26" spans="1:3" ht="14" customHeight="1" x14ac:dyDescent="0.2">
      <c r="A26" s="115">
        <v>25</v>
      </c>
      <c r="B26" s="94" t="s">
        <v>209</v>
      </c>
      <c r="C26" s="93">
        <v>0.8</v>
      </c>
    </row>
    <row r="27" spans="1:3" ht="14" customHeight="1" x14ac:dyDescent="0.2">
      <c r="A27" s="115">
        <v>26</v>
      </c>
      <c r="B27" s="94" t="s">
        <v>210</v>
      </c>
      <c r="C27" s="93">
        <v>0.8</v>
      </c>
    </row>
    <row r="28" spans="1:3" ht="14" customHeight="1" x14ac:dyDescent="0.2">
      <c r="A28" s="115">
        <v>27</v>
      </c>
      <c r="B28" s="94" t="s">
        <v>211</v>
      </c>
      <c r="C28" s="93">
        <v>0.8</v>
      </c>
    </row>
    <row r="29" spans="1:3" ht="14" customHeight="1" x14ac:dyDescent="0.2">
      <c r="A29" s="115">
        <v>28</v>
      </c>
      <c r="B29" s="94" t="s">
        <v>212</v>
      </c>
      <c r="C29" s="93">
        <v>0.8</v>
      </c>
    </row>
    <row r="30" spans="1:3" ht="14" customHeight="1" x14ac:dyDescent="0.2">
      <c r="A30" s="115">
        <v>29</v>
      </c>
      <c r="B30" s="94" t="s">
        <v>213</v>
      </c>
      <c r="C30" s="93">
        <v>0.8</v>
      </c>
    </row>
    <row r="31" spans="1:3" ht="14" customHeight="1" x14ac:dyDescent="0.2">
      <c r="A31" s="115">
        <v>30</v>
      </c>
      <c r="B31" s="94" t="s">
        <v>214</v>
      </c>
      <c r="C31" s="93">
        <v>0.8</v>
      </c>
    </row>
    <row r="32" spans="1:3" ht="14" customHeight="1" x14ac:dyDescent="0.2">
      <c r="A32" s="115">
        <v>31</v>
      </c>
      <c r="B32" s="94" t="s">
        <v>215</v>
      </c>
      <c r="C32" s="93">
        <v>0.8</v>
      </c>
    </row>
    <row r="33" spans="1:3" ht="14" customHeight="1" x14ac:dyDescent="0.2">
      <c r="A33" s="115">
        <v>32</v>
      </c>
      <c r="B33" s="94" t="s">
        <v>216</v>
      </c>
      <c r="C33" s="93">
        <v>0.8</v>
      </c>
    </row>
    <row r="34" spans="1:3" ht="14" customHeight="1" x14ac:dyDescent="0.2">
      <c r="A34" s="115">
        <v>33</v>
      </c>
      <c r="B34" s="94" t="s">
        <v>217</v>
      </c>
      <c r="C34" s="93">
        <v>0.8</v>
      </c>
    </row>
    <row r="35" spans="1:3" ht="14" customHeight="1" x14ac:dyDescent="0.2">
      <c r="A35" s="115">
        <v>34</v>
      </c>
      <c r="B35" s="94" t="s">
        <v>218</v>
      </c>
      <c r="C35" s="93">
        <v>0.8</v>
      </c>
    </row>
    <row r="36" spans="1:3" ht="14" customHeight="1" x14ac:dyDescent="0.2">
      <c r="A36" s="115">
        <v>35</v>
      </c>
      <c r="B36" s="94" t="s">
        <v>219</v>
      </c>
      <c r="C36" s="93">
        <v>0.8</v>
      </c>
    </row>
    <row r="37" spans="1:3" ht="14" customHeight="1" x14ac:dyDescent="0.2">
      <c r="A37" s="115">
        <v>36</v>
      </c>
      <c r="B37" s="94" t="s">
        <v>220</v>
      </c>
      <c r="C37" s="93">
        <v>0.8</v>
      </c>
    </row>
    <row r="38" spans="1:3" ht="14" customHeight="1" x14ac:dyDescent="0.2">
      <c r="A38" s="115">
        <v>37</v>
      </c>
      <c r="B38" s="94" t="s">
        <v>221</v>
      </c>
      <c r="C38" s="93">
        <v>0.8</v>
      </c>
    </row>
    <row r="39" spans="1:3" ht="14" customHeight="1" x14ac:dyDescent="0.2">
      <c r="A39" s="115">
        <v>38</v>
      </c>
      <c r="B39" s="94" t="s">
        <v>222</v>
      </c>
      <c r="C39" s="93">
        <v>0.8</v>
      </c>
    </row>
    <row r="40" spans="1:3" ht="14" customHeight="1" x14ac:dyDescent="0.2">
      <c r="A40" s="115">
        <v>39</v>
      </c>
      <c r="B40" s="94" t="s">
        <v>223</v>
      </c>
      <c r="C40" s="93">
        <v>0.8</v>
      </c>
    </row>
    <row r="41" spans="1:3" ht="14" customHeight="1" x14ac:dyDescent="0.2">
      <c r="A41" s="115">
        <v>40</v>
      </c>
      <c r="B41" s="94" t="s">
        <v>224</v>
      </c>
      <c r="C41" s="93">
        <v>0.8</v>
      </c>
    </row>
    <row r="42" spans="1:3" ht="14" customHeight="1" x14ac:dyDescent="0.2">
      <c r="A42" s="115">
        <v>41</v>
      </c>
      <c r="B42" s="94" t="s">
        <v>225</v>
      </c>
      <c r="C42" s="93">
        <v>0.8</v>
      </c>
    </row>
    <row r="43" spans="1:3" ht="14" customHeight="1" x14ac:dyDescent="0.2">
      <c r="A43" s="115">
        <v>42</v>
      </c>
      <c r="B43" s="94" t="s">
        <v>227</v>
      </c>
      <c r="C43" s="93">
        <v>0.8</v>
      </c>
    </row>
    <row r="44" spans="1:3" ht="14" customHeight="1" x14ac:dyDescent="0.2">
      <c r="A44" s="115">
        <v>43</v>
      </c>
      <c r="B44" s="94" t="s">
        <v>125</v>
      </c>
      <c r="C44" s="93">
        <v>0.8</v>
      </c>
    </row>
    <row r="45" spans="1:3" customFormat="1" ht="14" customHeight="1" x14ac:dyDescent="0.15"/>
    <row r="46" spans="1:3" customFormat="1" ht="14" customHeight="1" x14ac:dyDescent="0.15"/>
    <row r="47" spans="1:3" customFormat="1" ht="14" customHeight="1" x14ac:dyDescent="0.15"/>
    <row r="48" spans="1:3" customFormat="1" ht="14" customHeight="1" x14ac:dyDescent="0.15"/>
    <row r="49" customFormat="1" ht="14" customHeight="1" x14ac:dyDescent="0.15"/>
    <row r="50" customFormat="1" ht="14" customHeight="1" x14ac:dyDescent="0.15"/>
    <row r="51" customFormat="1" ht="14" customHeight="1" x14ac:dyDescent="0.15"/>
    <row r="52" customFormat="1" ht="14" customHeight="1" x14ac:dyDescent="0.15"/>
    <row r="53" customFormat="1" ht="14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19" activePane="bottomRight" state="frozen"/>
      <selection pane="topRight" activeCell="C1" sqref="C1"/>
      <selection pane="bottomLeft" activeCell="A3" sqref="A3"/>
      <selection pane="bottomRight" activeCell="Q38" sqref="Q38"/>
    </sheetView>
  </sheetViews>
  <sheetFormatPr baseColWidth="10" defaultColWidth="8.83203125" defaultRowHeight="15" customHeight="1" x14ac:dyDescent="0.15"/>
  <cols>
    <col min="1" max="1" width="8.83203125" style="64"/>
    <col min="2" max="2" width="41.83203125" style="64" bestFit="1" customWidth="1"/>
    <col min="3" max="3" width="9.33203125" style="64" bestFit="1" customWidth="1"/>
    <col min="4" max="4" width="13" style="64" bestFit="1" customWidth="1"/>
    <col min="5" max="6" width="9.33203125" style="64" bestFit="1" customWidth="1"/>
    <col min="7" max="7" width="9.33203125" style="65" bestFit="1" customWidth="1"/>
    <col min="8" max="8" width="9.33203125" style="64" bestFit="1" customWidth="1"/>
    <col min="9" max="9" width="11" style="64" customWidth="1"/>
    <col min="10" max="10" width="8.83203125" style="64"/>
    <col min="15" max="16384" width="8.83203125" style="64"/>
  </cols>
  <sheetData>
    <row r="1" spans="1:10" ht="15" customHeight="1" x14ac:dyDescent="0.15">
      <c r="A1" s="2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2" t="s">
        <v>15</v>
      </c>
      <c r="H1" s="1" t="s">
        <v>27</v>
      </c>
      <c r="I1" s="1" t="s">
        <v>25</v>
      </c>
    </row>
    <row r="2" spans="1:10" ht="15" customHeight="1" x14ac:dyDescent="0.15">
      <c r="A2" s="242">
        <v>1</v>
      </c>
      <c r="B2" s="242" t="s">
        <v>185</v>
      </c>
      <c r="C2" s="5">
        <v>3.1944751739501953</v>
      </c>
      <c r="D2" s="6">
        <v>0.12999999523162842</v>
      </c>
      <c r="E2" s="6">
        <v>7.0000000298023224E-2</v>
      </c>
      <c r="F2" s="6">
        <v>5.0999999046325684</v>
      </c>
      <c r="G2" s="4">
        <v>0.43956047296524048</v>
      </c>
      <c r="H2" s="4">
        <v>1.3725490309298038E-2</v>
      </c>
      <c r="I2">
        <v>4.0000001899898052E-3</v>
      </c>
      <c r="J2"/>
    </row>
    <row r="3" spans="1:10" ht="15" customHeight="1" x14ac:dyDescent="0.15">
      <c r="A3" s="243">
        <v>2</v>
      </c>
      <c r="B3" s="243" t="s">
        <v>186</v>
      </c>
      <c r="C3" s="5">
        <v>4.0785188674926758</v>
      </c>
      <c r="D3" s="6">
        <v>0.25</v>
      </c>
      <c r="E3" s="6">
        <v>7.9999998211860657E-2</v>
      </c>
      <c r="F3" s="6">
        <v>8.1599998474121094</v>
      </c>
      <c r="G3" s="4">
        <v>0.20000001788139343</v>
      </c>
      <c r="H3" s="4">
        <v>9.8039219155907631E-3</v>
      </c>
      <c r="I3">
        <v>4.0000001899898052E-3</v>
      </c>
      <c r="J3"/>
    </row>
    <row r="4" spans="1:10" ht="15" customHeight="1" x14ac:dyDescent="0.15">
      <c r="A4" s="244">
        <v>3</v>
      </c>
      <c r="B4" s="244" t="s">
        <v>187</v>
      </c>
      <c r="C4" s="5">
        <v>4.1322240829467773</v>
      </c>
      <c r="D4" s="6">
        <v>4.0000001899898052E-3</v>
      </c>
      <c r="E4" s="6">
        <v>0.11999999731779099</v>
      </c>
      <c r="F4" s="6">
        <v>36.669998168945312</v>
      </c>
      <c r="G4" s="4">
        <v>0</v>
      </c>
      <c r="H4" s="4">
        <v>3.2724298071116209E-3</v>
      </c>
      <c r="I4">
        <v>0</v>
      </c>
      <c r="J4"/>
    </row>
    <row r="5" spans="1:10" ht="15" customHeight="1" x14ac:dyDescent="0.15">
      <c r="A5" s="245">
        <v>4</v>
      </c>
      <c r="B5" s="245" t="s">
        <v>188</v>
      </c>
      <c r="C5" s="5">
        <v>4.2675743103027344</v>
      </c>
      <c r="D5" s="6">
        <v>0.20000000298023224</v>
      </c>
      <c r="E5" s="6">
        <v>0.38999998569488525</v>
      </c>
      <c r="F5" s="6">
        <v>2.190000057220459</v>
      </c>
      <c r="G5" s="4">
        <v>0.12820513546466827</v>
      </c>
      <c r="H5" s="4">
        <v>0.1780821830034256</v>
      </c>
      <c r="I5">
        <v>9.9999997764825821E-3</v>
      </c>
      <c r="J5"/>
    </row>
    <row r="6" spans="1:10" ht="15" customHeight="1" x14ac:dyDescent="0.15">
      <c r="A6" s="246">
        <v>5</v>
      </c>
      <c r="B6" s="246" t="s">
        <v>189</v>
      </c>
      <c r="C6" s="5">
        <v>4.2123689651489258</v>
      </c>
      <c r="D6" s="6">
        <v>3.9999999105930328E-2</v>
      </c>
      <c r="E6" s="6">
        <v>0.33000001311302185</v>
      </c>
      <c r="F6" s="6">
        <v>6.75</v>
      </c>
      <c r="G6" s="4">
        <v>0.88848483562469482</v>
      </c>
      <c r="H6" s="4">
        <v>4.8888891935348511E-2</v>
      </c>
      <c r="I6">
        <v>9.9999997764825821E-3</v>
      </c>
      <c r="J6"/>
    </row>
    <row r="7" spans="1:10" ht="15" customHeight="1" x14ac:dyDescent="0.15">
      <c r="A7" s="247">
        <v>6</v>
      </c>
      <c r="B7" s="247" t="s">
        <v>190</v>
      </c>
      <c r="C7" s="5">
        <v>4.2207303047180176</v>
      </c>
      <c r="D7" s="6">
        <v>9.0000003576278687E-2</v>
      </c>
      <c r="E7" s="6">
        <v>0.46000000834465027</v>
      </c>
      <c r="F7" s="6">
        <v>16.200000762939453</v>
      </c>
      <c r="G7" s="4">
        <v>0.76637673377990723</v>
      </c>
      <c r="H7" s="4">
        <v>2.8395060449838638E-2</v>
      </c>
      <c r="I7">
        <v>2.9999999329447746E-2</v>
      </c>
      <c r="J7"/>
    </row>
    <row r="8" spans="1:10" ht="15" customHeight="1" x14ac:dyDescent="0.15">
      <c r="A8" s="248">
        <v>7</v>
      </c>
      <c r="B8" s="248" t="s">
        <v>191</v>
      </c>
      <c r="C8" s="5">
        <v>4.0008630752563477</v>
      </c>
      <c r="D8" s="6">
        <v>0.52999997138977051</v>
      </c>
      <c r="E8" s="6">
        <v>0.51999998092651367</v>
      </c>
      <c r="F8" s="6">
        <v>5</v>
      </c>
      <c r="G8" s="4">
        <v>0.6464805006980896</v>
      </c>
      <c r="H8" s="4">
        <v>0.10399999469518661</v>
      </c>
      <c r="I8">
        <v>1.9999999552965164E-2</v>
      </c>
      <c r="J8"/>
    </row>
    <row r="9" spans="1:10" ht="15" customHeight="1" x14ac:dyDescent="0.15">
      <c r="A9" s="249">
        <v>8</v>
      </c>
      <c r="B9" s="249" t="s">
        <v>192</v>
      </c>
      <c r="C9" s="5">
        <v>3.9922125339508057</v>
      </c>
      <c r="D9" s="6">
        <v>0.10999999940395355</v>
      </c>
      <c r="E9" s="6">
        <v>0.93000000715255737</v>
      </c>
      <c r="F9" s="6">
        <v>3.0999999046325684</v>
      </c>
      <c r="G9" s="4">
        <v>0.58651024103164673</v>
      </c>
      <c r="H9" s="4">
        <v>0.30000001192092896</v>
      </c>
      <c r="I9">
        <v>5.9999998658895493E-2</v>
      </c>
      <c r="J9"/>
    </row>
    <row r="10" spans="1:10" ht="15" customHeight="1" x14ac:dyDescent="0.15">
      <c r="A10" s="250">
        <v>9</v>
      </c>
      <c r="B10" s="250" t="s">
        <v>193</v>
      </c>
      <c r="C10" s="5">
        <v>2.880000114440918</v>
      </c>
      <c r="D10" s="6">
        <v>0.77999997138977051</v>
      </c>
      <c r="E10" s="6">
        <v>0.68999999761581421</v>
      </c>
      <c r="F10" s="6">
        <v>2.2999999523162842</v>
      </c>
      <c r="G10" s="4">
        <v>0.98510932922363281</v>
      </c>
      <c r="H10" s="4">
        <v>0.30000001192092896</v>
      </c>
      <c r="I10">
        <v>0.13500000536441803</v>
      </c>
      <c r="J10"/>
    </row>
    <row r="11" spans="1:10" ht="15" customHeight="1" x14ac:dyDescent="0.15">
      <c r="A11" s="251">
        <v>10</v>
      </c>
      <c r="B11" s="251" t="s">
        <v>194</v>
      </c>
      <c r="C11" s="5">
        <v>3.0199999809265137</v>
      </c>
      <c r="D11" s="6">
        <v>0.68000000715255737</v>
      </c>
      <c r="E11" s="6">
        <v>2.9600000381469727</v>
      </c>
      <c r="F11" s="6">
        <v>9.869999885559082</v>
      </c>
      <c r="G11" s="4">
        <v>0.97817331552505493</v>
      </c>
      <c r="H11" s="4">
        <v>0.29989868402481079</v>
      </c>
      <c r="I11">
        <v>0.20000000298023224</v>
      </c>
      <c r="J11"/>
    </row>
    <row r="12" spans="1:10" ht="15" customHeight="1" x14ac:dyDescent="0.15">
      <c r="A12" s="252">
        <v>11</v>
      </c>
      <c r="B12" s="252" t="s">
        <v>195</v>
      </c>
      <c r="C12" s="5">
        <v>3.0200002193450928</v>
      </c>
      <c r="D12" s="6">
        <v>0.93999999761581421</v>
      </c>
      <c r="E12" s="6">
        <v>1.25</v>
      </c>
      <c r="F12" s="6">
        <v>4.1700000762939453</v>
      </c>
      <c r="G12" s="4">
        <v>0.8037218451499939</v>
      </c>
      <c r="H12" s="4">
        <v>0.29976019263267517</v>
      </c>
      <c r="I12">
        <v>0.46000000834465027</v>
      </c>
      <c r="J12"/>
    </row>
    <row r="13" spans="1:10" ht="15" customHeight="1" x14ac:dyDescent="0.15">
      <c r="A13" s="253">
        <v>12</v>
      </c>
      <c r="B13" s="253" t="s">
        <v>196</v>
      </c>
      <c r="C13" s="5">
        <v>3.3101117610931396</v>
      </c>
      <c r="D13" s="6">
        <v>1.4900000095367432</v>
      </c>
      <c r="E13" s="6">
        <v>0.6600000262260437</v>
      </c>
      <c r="F13" s="6">
        <v>2.2000000476837158</v>
      </c>
      <c r="G13" s="4">
        <v>0.74821120500564575</v>
      </c>
      <c r="H13" s="4">
        <v>0.30000001192092896</v>
      </c>
      <c r="I13">
        <v>0.25</v>
      </c>
      <c r="J13"/>
    </row>
    <row r="14" spans="1:10" ht="15" customHeight="1" x14ac:dyDescent="0.15">
      <c r="A14" s="254">
        <v>13</v>
      </c>
      <c r="B14" s="254" t="s">
        <v>197</v>
      </c>
      <c r="C14" s="5">
        <v>3.3101115226745605</v>
      </c>
      <c r="D14" s="6">
        <v>0.86000001430511475</v>
      </c>
      <c r="E14" s="6">
        <v>0.63999998569488525</v>
      </c>
      <c r="F14" s="6">
        <v>2.130000114440918</v>
      </c>
      <c r="G14" s="4">
        <v>0.98617535829544067</v>
      </c>
      <c r="H14" s="4">
        <v>0.30046945810317993</v>
      </c>
      <c r="I14">
        <v>0.10999999940395355</v>
      </c>
      <c r="J14"/>
    </row>
    <row r="15" spans="1:10" ht="15" customHeight="1" x14ac:dyDescent="0.15">
      <c r="A15" s="255">
        <v>14</v>
      </c>
      <c r="B15" s="255" t="s">
        <v>198</v>
      </c>
      <c r="C15" s="5">
        <v>3</v>
      </c>
      <c r="D15" s="6">
        <v>7.0000000298023224E-2</v>
      </c>
      <c r="E15" s="6">
        <v>3.5999999046325684</v>
      </c>
      <c r="F15" s="6">
        <v>12</v>
      </c>
      <c r="G15" s="4">
        <v>0.46310830116271973</v>
      </c>
      <c r="H15" s="4">
        <v>0.29999998211860657</v>
      </c>
      <c r="I15">
        <v>3.9999999105930328E-2</v>
      </c>
      <c r="J15"/>
    </row>
    <row r="16" spans="1:10" ht="15" customHeight="1" x14ac:dyDescent="0.15">
      <c r="A16" s="256">
        <v>15</v>
      </c>
      <c r="B16" s="256" t="s">
        <v>199</v>
      </c>
      <c r="C16" s="5">
        <v>3.4877142906188965</v>
      </c>
      <c r="D16" s="6">
        <v>7.0000000298023224E-2</v>
      </c>
      <c r="E16" s="6">
        <v>1.5199999809265137</v>
      </c>
      <c r="F16" s="6">
        <v>5.070000171661377</v>
      </c>
      <c r="G16" s="4">
        <v>0.87882137298583984</v>
      </c>
      <c r="H16" s="4">
        <v>0.2998027503490448</v>
      </c>
      <c r="I16">
        <v>3.9999999105930328E-2</v>
      </c>
      <c r="J16"/>
    </row>
    <row r="17" spans="1:10" ht="15" customHeight="1" x14ac:dyDescent="0.15">
      <c r="A17" s="257">
        <v>16</v>
      </c>
      <c r="B17" s="257" t="s">
        <v>200</v>
      </c>
      <c r="C17" s="5">
        <v>3.6594479084014893</v>
      </c>
      <c r="D17" s="6">
        <v>0.15999999642372131</v>
      </c>
      <c r="E17" s="6">
        <v>0.41999998688697815</v>
      </c>
      <c r="F17" s="6">
        <v>1.3999999761581421</v>
      </c>
      <c r="G17" s="4">
        <v>0.98306643962860107</v>
      </c>
      <c r="H17" s="4">
        <v>0.29999998211860657</v>
      </c>
      <c r="I17">
        <v>1.7000000923871994E-2</v>
      </c>
      <c r="J17"/>
    </row>
    <row r="18" spans="1:10" ht="15" customHeight="1" x14ac:dyDescent="0.15">
      <c r="A18" s="258">
        <v>17</v>
      </c>
      <c r="B18" s="258" t="s">
        <v>201</v>
      </c>
      <c r="C18" s="5">
        <v>3.3403787612915039</v>
      </c>
      <c r="D18" s="6">
        <v>0.98000001907348633</v>
      </c>
      <c r="E18" s="6">
        <v>0.43999999761581421</v>
      </c>
      <c r="F18" s="6">
        <v>1.4700000286102295</v>
      </c>
      <c r="G18" s="4">
        <v>0.24678120017051697</v>
      </c>
      <c r="H18" s="4">
        <v>0.29931971430778503</v>
      </c>
      <c r="I18">
        <v>7.9999998211860657E-2</v>
      </c>
      <c r="J18"/>
    </row>
    <row r="19" spans="1:10" ht="15" customHeight="1" x14ac:dyDescent="0.15">
      <c r="A19" s="259">
        <v>18</v>
      </c>
      <c r="B19" s="259" t="s">
        <v>202</v>
      </c>
      <c r="C19" s="5">
        <v>3.9072539806365967</v>
      </c>
      <c r="D19" s="6">
        <v>0.30000001192092896</v>
      </c>
      <c r="E19" s="6">
        <v>0.44999998807907104</v>
      </c>
      <c r="F19" s="6">
        <v>1.5099999904632568</v>
      </c>
      <c r="G19" s="4">
        <v>0.79517650604248047</v>
      </c>
      <c r="H19" s="4">
        <v>0.29801324009895325</v>
      </c>
      <c r="I19">
        <v>2.9999999329447746E-2</v>
      </c>
      <c r="J19"/>
    </row>
    <row r="20" spans="1:10" ht="15" customHeight="1" x14ac:dyDescent="0.15">
      <c r="A20" s="260">
        <v>19</v>
      </c>
      <c r="B20" s="260" t="s">
        <v>203</v>
      </c>
      <c r="C20" s="5">
        <v>3.0966668128967285</v>
      </c>
      <c r="D20" s="6">
        <v>0.61000001430511475</v>
      </c>
      <c r="E20" s="6">
        <v>0.44999998807907104</v>
      </c>
      <c r="F20" s="6">
        <v>1.5099999904632568</v>
      </c>
      <c r="G20" s="4">
        <v>0.86849313974380493</v>
      </c>
      <c r="H20" s="4">
        <v>0.29801324009895325</v>
      </c>
      <c r="I20">
        <v>2.9999999329447746E-2</v>
      </c>
      <c r="J20"/>
    </row>
    <row r="21" spans="1:10" ht="15" customHeight="1" x14ac:dyDescent="0.15">
      <c r="A21" s="261">
        <v>20</v>
      </c>
      <c r="B21" s="261" t="s">
        <v>204</v>
      </c>
      <c r="C21" s="5">
        <v>3.6595590114593506</v>
      </c>
      <c r="D21" s="4">
        <v>1.5793250873684883E-2</v>
      </c>
      <c r="E21" s="6">
        <v>0.56000000238418579</v>
      </c>
      <c r="F21" s="6">
        <v>1.8700000047683716</v>
      </c>
      <c r="G21" s="6">
        <v>0.95000004768371582</v>
      </c>
      <c r="H21" s="4">
        <v>0.29946523904800415</v>
      </c>
      <c r="I21">
        <v>4.0000001899898052E-3</v>
      </c>
      <c r="J21"/>
    </row>
    <row r="22" spans="1:10" ht="15" customHeight="1" x14ac:dyDescent="0.15">
      <c r="A22" s="262">
        <v>21</v>
      </c>
      <c r="B22" s="262" t="s">
        <v>205</v>
      </c>
      <c r="C22" s="5">
        <v>3.782651424407959</v>
      </c>
      <c r="D22" s="6">
        <v>1.9999999552965164E-2</v>
      </c>
      <c r="E22" s="6">
        <v>0.40999999642372131</v>
      </c>
      <c r="F22" s="6">
        <v>1.3600000143051147</v>
      </c>
      <c r="G22" s="4">
        <v>0.48780491948127747</v>
      </c>
      <c r="H22" s="4">
        <v>0.30147057771682739</v>
      </c>
      <c r="I22">
        <v>4.0000001899898052E-3</v>
      </c>
      <c r="J22"/>
    </row>
    <row r="23" spans="1:10" ht="15" customHeight="1" x14ac:dyDescent="0.15">
      <c r="A23" s="263">
        <v>22</v>
      </c>
      <c r="B23" s="263" t="s">
        <v>206</v>
      </c>
      <c r="C23" s="5">
        <v>3.7951869964599609</v>
      </c>
      <c r="D23" s="6">
        <v>5.9999998658895493E-2</v>
      </c>
      <c r="E23" s="6">
        <v>0.69999998807907104</v>
      </c>
      <c r="F23" s="6">
        <v>2.3199999332427979</v>
      </c>
      <c r="G23" s="4">
        <v>0.89933466911315918</v>
      </c>
      <c r="H23" s="4">
        <v>0.3017241358757019</v>
      </c>
      <c r="I23">
        <v>9.9999997764825821E-3</v>
      </c>
      <c r="J23"/>
    </row>
    <row r="24" spans="1:10" ht="15" customHeight="1" x14ac:dyDescent="0.15">
      <c r="A24" s="264">
        <v>23</v>
      </c>
      <c r="B24" s="264" t="s">
        <v>207</v>
      </c>
      <c r="C24" s="5">
        <v>3.1111111640930176</v>
      </c>
      <c r="D24" s="6">
        <v>0.41999998688697815</v>
      </c>
      <c r="E24" s="6">
        <v>0.69999998807907104</v>
      </c>
      <c r="F24" s="6">
        <v>2.3199999332427979</v>
      </c>
      <c r="G24" s="4">
        <v>0.9628061056137085</v>
      </c>
      <c r="H24" s="4">
        <v>0.3017241358757019</v>
      </c>
      <c r="I24">
        <v>1.9999999552965164E-2</v>
      </c>
      <c r="J24"/>
    </row>
    <row r="25" spans="1:10" ht="15" customHeight="1" x14ac:dyDescent="0.15">
      <c r="A25" s="265">
        <v>24</v>
      </c>
      <c r="B25" s="265" t="s">
        <v>208</v>
      </c>
      <c r="C25" s="5">
        <v>3.105555534362793</v>
      </c>
      <c r="D25" s="6">
        <v>1.190000057220459</v>
      </c>
      <c r="E25" s="6">
        <v>1.5</v>
      </c>
      <c r="F25" s="6">
        <v>6</v>
      </c>
      <c r="G25" s="4">
        <v>0.90416938066482544</v>
      </c>
      <c r="H25" s="4">
        <v>0.25</v>
      </c>
      <c r="I25">
        <v>0</v>
      </c>
      <c r="J25"/>
    </row>
    <row r="26" spans="1:10" ht="15" customHeight="1" x14ac:dyDescent="0.15">
      <c r="A26" s="266">
        <v>25</v>
      </c>
      <c r="B26" s="266" t="s">
        <v>209</v>
      </c>
      <c r="C26" s="5">
        <v>3.0555555820465088</v>
      </c>
      <c r="D26" s="6">
        <v>1</v>
      </c>
      <c r="E26" s="6">
        <v>1.5</v>
      </c>
      <c r="F26" s="6">
        <v>6</v>
      </c>
      <c r="G26" s="4">
        <v>0.90742522478103638</v>
      </c>
      <c r="H26" s="4">
        <v>0.25</v>
      </c>
      <c r="I26">
        <v>4.0000001899898052E-3</v>
      </c>
      <c r="J26"/>
    </row>
    <row r="27" spans="1:10" ht="15" customHeight="1" x14ac:dyDescent="0.15">
      <c r="A27" s="267">
        <v>26</v>
      </c>
      <c r="B27" s="267" t="s">
        <v>210</v>
      </c>
      <c r="C27" s="5">
        <v>3.0190000534057617</v>
      </c>
      <c r="D27" s="6">
        <v>0.87000000476837158</v>
      </c>
      <c r="E27" s="6">
        <v>1.5</v>
      </c>
      <c r="F27" s="6">
        <v>6</v>
      </c>
      <c r="G27" s="4">
        <v>0.90800356864929199</v>
      </c>
      <c r="H27" s="4">
        <v>0.25</v>
      </c>
      <c r="I27">
        <v>0</v>
      </c>
      <c r="J27"/>
    </row>
    <row r="28" spans="1:10" ht="15" customHeight="1" x14ac:dyDescent="0.15">
      <c r="A28" s="268">
        <v>27</v>
      </c>
      <c r="B28" s="268" t="s">
        <v>211</v>
      </c>
      <c r="C28" s="5">
        <v>3.3195796012878418</v>
      </c>
      <c r="D28" s="6">
        <v>0.68000000715255737</v>
      </c>
      <c r="E28" s="6">
        <v>2.559999942779541</v>
      </c>
      <c r="F28" s="6">
        <v>7.3000001907348633</v>
      </c>
      <c r="G28" s="4">
        <v>0.96342223882675171</v>
      </c>
      <c r="H28" s="4">
        <v>0.35068491101264954</v>
      </c>
      <c r="I28">
        <v>0.10999999940395355</v>
      </c>
      <c r="J28"/>
    </row>
    <row r="29" spans="1:10" ht="15" customHeight="1" x14ac:dyDescent="0.15">
      <c r="A29" s="269">
        <v>28</v>
      </c>
      <c r="B29" s="269" t="s">
        <v>212</v>
      </c>
      <c r="C29" s="5">
        <v>3.3315622806549072</v>
      </c>
      <c r="D29" s="6">
        <v>0.51999998092651367</v>
      </c>
      <c r="E29" s="6">
        <v>3.5</v>
      </c>
      <c r="F29" s="6">
        <v>13.640000343322754</v>
      </c>
      <c r="G29" s="4">
        <v>0.962391197681427</v>
      </c>
      <c r="H29" s="4">
        <v>0.25659823417663574</v>
      </c>
      <c r="I29">
        <v>0</v>
      </c>
      <c r="J29"/>
    </row>
    <row r="30" spans="1:10" ht="15" customHeight="1" x14ac:dyDescent="0.15">
      <c r="A30" s="270">
        <v>29</v>
      </c>
      <c r="B30" s="270" t="s">
        <v>213</v>
      </c>
      <c r="C30" s="5">
        <v>2.2222223281860352</v>
      </c>
      <c r="D30" s="6">
        <v>1.5399999618530273</v>
      </c>
      <c r="E30" s="6">
        <v>3.440000057220459</v>
      </c>
      <c r="F30" s="6">
        <v>11.470000267028809</v>
      </c>
      <c r="G30" s="4">
        <v>0.90358144044876099</v>
      </c>
      <c r="H30" s="4">
        <v>0.29991281032562256</v>
      </c>
      <c r="I30">
        <v>9.9999997764825821E-3</v>
      </c>
      <c r="J30"/>
    </row>
    <row r="31" spans="1:10" ht="15" customHeight="1" x14ac:dyDescent="0.15">
      <c r="A31" s="271">
        <v>30</v>
      </c>
      <c r="B31" s="271" t="s">
        <v>214</v>
      </c>
      <c r="C31" s="5">
        <v>2.2222223281860352</v>
      </c>
      <c r="D31" s="6">
        <v>2.7400000095367432</v>
      </c>
      <c r="E31" s="6">
        <v>3.2200000286102295</v>
      </c>
      <c r="F31" s="6">
        <v>10.729999542236328</v>
      </c>
      <c r="G31" s="4">
        <v>0.61118751764297485</v>
      </c>
      <c r="H31" s="4">
        <v>0.30009320378303528</v>
      </c>
      <c r="I31">
        <v>9.9999997764825821E-3</v>
      </c>
      <c r="J31"/>
    </row>
    <row r="32" spans="1:10" ht="15" customHeight="1" x14ac:dyDescent="0.15">
      <c r="A32" s="272">
        <v>31</v>
      </c>
      <c r="B32" s="272" t="s">
        <v>215</v>
      </c>
      <c r="C32" s="5">
        <v>2.1000001430511475</v>
      </c>
      <c r="D32" s="6">
        <v>3.8599998950958252</v>
      </c>
      <c r="E32" s="6">
        <v>2.559999942779541</v>
      </c>
      <c r="F32" s="6">
        <v>12.050000190734863</v>
      </c>
      <c r="G32" s="4">
        <v>0.88119471073150635</v>
      </c>
      <c r="H32" s="4">
        <v>0.2124481201171875</v>
      </c>
      <c r="I32">
        <v>2.9999999329447746E-2</v>
      </c>
      <c r="J32"/>
    </row>
    <row r="33" spans="1:10" ht="15" customHeight="1" x14ac:dyDescent="0.15">
      <c r="A33" s="273">
        <v>32</v>
      </c>
      <c r="B33" s="273" t="s">
        <v>216</v>
      </c>
      <c r="C33" s="5">
        <v>2.1000001430511475</v>
      </c>
      <c r="D33" s="6">
        <v>4.8299999237060547</v>
      </c>
      <c r="E33" s="6">
        <v>2.559999942779541</v>
      </c>
      <c r="F33" s="6">
        <v>12.050000190734863</v>
      </c>
      <c r="G33" s="4">
        <v>0.49987655878067017</v>
      </c>
      <c r="H33" s="4">
        <v>0.2124481201171875</v>
      </c>
      <c r="I33">
        <v>0</v>
      </c>
      <c r="J33"/>
    </row>
    <row r="34" spans="1:10" ht="15" customHeight="1" x14ac:dyDescent="0.15">
      <c r="A34" s="274">
        <v>33</v>
      </c>
      <c r="B34" s="274" t="s">
        <v>217</v>
      </c>
      <c r="C34" s="5">
        <v>2</v>
      </c>
      <c r="D34" s="6">
        <v>7.130000114440918</v>
      </c>
      <c r="E34" s="6">
        <v>5.8000001907348633</v>
      </c>
      <c r="F34" s="6">
        <v>19.329999923706055</v>
      </c>
      <c r="G34" s="4">
        <v>0.31416559219360352</v>
      </c>
      <c r="H34" s="4">
        <v>0.30005174875259399</v>
      </c>
      <c r="I34">
        <v>0</v>
      </c>
      <c r="J34"/>
    </row>
    <row r="35" spans="1:10" ht="15" customHeight="1" x14ac:dyDescent="0.15">
      <c r="A35" s="275">
        <v>34</v>
      </c>
      <c r="B35" s="275" t="s">
        <v>218</v>
      </c>
      <c r="C35" s="5">
        <v>2</v>
      </c>
      <c r="D35" s="6">
        <v>5.8000001907348633</v>
      </c>
      <c r="E35" s="6">
        <v>5.8000001907348633</v>
      </c>
      <c r="F35" s="6">
        <v>19.329999923706055</v>
      </c>
      <c r="G35" s="4">
        <v>0.35839977860450745</v>
      </c>
      <c r="H35" s="4">
        <v>0.30005174875259399</v>
      </c>
      <c r="I35">
        <v>0</v>
      </c>
      <c r="J35"/>
    </row>
    <row r="36" spans="1:10" ht="15" customHeight="1" x14ac:dyDescent="0.15">
      <c r="A36" s="276">
        <v>35</v>
      </c>
      <c r="B36" s="276" t="s">
        <v>219</v>
      </c>
      <c r="C36" s="5">
        <v>2</v>
      </c>
      <c r="D36" s="6">
        <v>25.129999160766602</v>
      </c>
      <c r="E36" s="6">
        <v>5.8000001907348633</v>
      </c>
      <c r="F36" s="6">
        <v>19.329999923706055</v>
      </c>
      <c r="G36" s="4">
        <v>0.12981803715229034</v>
      </c>
      <c r="H36" s="4">
        <v>0.30005174875259399</v>
      </c>
      <c r="I36">
        <v>0</v>
      </c>
      <c r="J36"/>
    </row>
    <row r="37" spans="1:10" ht="15" customHeight="1" x14ac:dyDescent="0.15">
      <c r="A37" s="277">
        <v>36</v>
      </c>
      <c r="B37" s="277" t="s">
        <v>220</v>
      </c>
      <c r="C37" s="5">
        <v>1</v>
      </c>
      <c r="D37" s="6">
        <v>2.7100000381469727</v>
      </c>
      <c r="E37" s="6">
        <v>153.77999877929688</v>
      </c>
      <c r="F37" s="7"/>
      <c r="G37" s="4">
        <v>0.41329488158226013</v>
      </c>
      <c r="H37" s="7"/>
      <c r="I37">
        <v>0</v>
      </c>
      <c r="J37"/>
    </row>
    <row r="38" spans="1:10" ht="15" customHeight="1" x14ac:dyDescent="0.15">
      <c r="A38" s="278">
        <v>37</v>
      </c>
      <c r="B38" s="278" t="s">
        <v>221</v>
      </c>
      <c r="C38" s="5">
        <v>1</v>
      </c>
      <c r="D38" s="6">
        <v>2</v>
      </c>
      <c r="E38" s="6">
        <v>128.27000427246094</v>
      </c>
      <c r="F38" s="7"/>
      <c r="G38" s="4">
        <v>0.4488334059715271</v>
      </c>
      <c r="H38" s="7"/>
      <c r="I38">
        <v>0</v>
      </c>
      <c r="J38"/>
    </row>
    <row r="39" spans="1:10" ht="15" customHeight="1" x14ac:dyDescent="0.15">
      <c r="A39" s="279">
        <v>38</v>
      </c>
      <c r="B39" s="279" t="s">
        <v>222</v>
      </c>
      <c r="C39" s="5">
        <v>1</v>
      </c>
      <c r="D39" s="6">
        <v>5.4200000762939453</v>
      </c>
      <c r="E39" s="6">
        <v>153.77999877929688</v>
      </c>
      <c r="F39" s="7"/>
      <c r="G39" s="4">
        <v>0.63179540634155273</v>
      </c>
      <c r="H39" s="7"/>
      <c r="I39">
        <v>0</v>
      </c>
      <c r="J39"/>
    </row>
    <row r="40" spans="1:10" ht="15" customHeight="1" x14ac:dyDescent="0.15">
      <c r="A40" s="280">
        <v>39</v>
      </c>
      <c r="B40" s="280" t="s">
        <v>223</v>
      </c>
      <c r="C40" s="5">
        <v>1</v>
      </c>
      <c r="D40" s="6">
        <v>9.5799999237060547</v>
      </c>
      <c r="E40" s="7"/>
      <c r="F40" s="7"/>
      <c r="G40" s="4">
        <v>6.7616730928421021E-2</v>
      </c>
      <c r="H40" s="7"/>
      <c r="I40">
        <v>0</v>
      </c>
      <c r="J40"/>
    </row>
    <row r="41" spans="1:10" ht="15" customHeight="1" x14ac:dyDescent="0.15">
      <c r="A41" s="281">
        <v>40</v>
      </c>
      <c r="B41" s="281" t="s">
        <v>224</v>
      </c>
      <c r="C41" s="5">
        <v>1</v>
      </c>
      <c r="D41" s="6">
        <v>6.0399999618530273</v>
      </c>
      <c r="E41" s="7"/>
      <c r="F41" s="7"/>
      <c r="G41" s="4">
        <v>0.10319299250841141</v>
      </c>
      <c r="H41" s="7"/>
      <c r="I41">
        <v>0</v>
      </c>
      <c r="J41"/>
    </row>
    <row r="42" spans="1:10" ht="15" customHeight="1" x14ac:dyDescent="0.15">
      <c r="A42" s="282">
        <v>41</v>
      </c>
      <c r="B42" s="282" t="s">
        <v>225</v>
      </c>
      <c r="C42" s="5">
        <v>1</v>
      </c>
      <c r="D42" s="6">
        <v>28.5</v>
      </c>
      <c r="E42" s="7"/>
      <c r="F42" s="7"/>
      <c r="G42" s="4">
        <v>2.1062184125185013E-2</v>
      </c>
      <c r="H42" s="7"/>
      <c r="I42">
        <v>0</v>
      </c>
      <c r="J42"/>
    </row>
    <row r="43" spans="1:10" ht="15" customHeight="1" x14ac:dyDescent="0.15">
      <c r="A43" s="283">
        <v>42</v>
      </c>
      <c r="B43" s="283" t="s">
        <v>227</v>
      </c>
      <c r="C43" s="5">
        <v>1</v>
      </c>
      <c r="D43" s="6">
        <v>5</v>
      </c>
      <c r="E43" s="7"/>
      <c r="F43" s="7"/>
      <c r="G43" s="4">
        <v>0</v>
      </c>
      <c r="H43" s="7"/>
      <c r="I43">
        <v>0</v>
      </c>
      <c r="J43"/>
    </row>
    <row r="44" spans="1:10" ht="15" customHeight="1" x14ac:dyDescent="0.15">
      <c r="A44" s="284">
        <v>43</v>
      </c>
      <c r="B44" s="284" t="s">
        <v>125</v>
      </c>
      <c r="C44" s="5">
        <v>1</v>
      </c>
      <c r="D44" s="6">
        <v>10</v>
      </c>
      <c r="E44" s="7"/>
      <c r="F44" s="7"/>
      <c r="G44" s="4">
        <v>65535</v>
      </c>
      <c r="H44" s="7"/>
      <c r="I44">
        <v>0</v>
      </c>
      <c r="J44"/>
    </row>
    <row r="45" spans="1:10" ht="15" customHeight="1" x14ac:dyDescent="0.15">
      <c r="A45" s="285">
        <v>44</v>
      </c>
      <c r="B45" s="285" t="s">
        <v>226</v>
      </c>
      <c r="C45" s="5">
        <v>4.2029647827148438</v>
      </c>
      <c r="D45" s="7"/>
      <c r="E45" s="7"/>
      <c r="F45" s="7"/>
      <c r="G45" s="7"/>
      <c r="H45" s="7"/>
      <c r="I45">
        <v>1.7319996356964111</v>
      </c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0" sqref="A10:XFD10"/>
    </sheetView>
  </sheetViews>
  <sheetFormatPr baseColWidth="10" defaultColWidth="8.83203125" defaultRowHeight="15" customHeight="1" x14ac:dyDescent="0.15"/>
  <cols>
    <col min="1" max="1" width="40.33203125" style="64" bestFit="1" customWidth="1"/>
    <col min="2" max="4" width="9.5" style="64" bestFit="1" customWidth="1"/>
    <col min="5" max="7" width="9" style="64" bestFit="1" customWidth="1"/>
    <col min="8" max="16" width="12.6640625" style="64" bestFit="1" customWidth="1"/>
    <col min="17" max="17" width="12.33203125" style="64" bestFit="1" customWidth="1"/>
    <col min="18" max="18" width="8.83203125" style="64"/>
    <col min="19" max="21" width="9.33203125" style="64" bestFit="1" customWidth="1"/>
    <col min="22" max="23" width="8.83203125" style="64"/>
    <col min="24" max="24" width="9.33203125" style="64" bestFit="1" customWidth="1"/>
    <col min="25" max="27" width="8.83203125" style="64"/>
    <col min="28" max="58" width="9" style="64" bestFit="1" customWidth="1"/>
    <col min="59" max="59" width="12.33203125" style="64" bestFit="1" customWidth="1"/>
    <col min="60" max="60" width="9" style="64" bestFit="1" customWidth="1"/>
    <col min="61" max="61" width="11.33203125" style="64" bestFit="1" customWidth="1"/>
    <col min="62" max="77" width="9" style="64" bestFit="1" customWidth="1"/>
    <col min="78" max="78" width="12.33203125" style="64" bestFit="1" customWidth="1"/>
    <col min="79" max="79" width="9" style="64" bestFit="1" customWidth="1"/>
    <col min="80" max="80" width="12.33203125" style="64" bestFit="1" customWidth="1"/>
    <col min="81" max="107" width="9" style="64" bestFit="1" customWidth="1"/>
    <col min="108" max="108" width="11.33203125" style="64" bestFit="1" customWidth="1"/>
    <col min="109" max="124" width="9" style="64" bestFit="1" customWidth="1"/>
    <col min="125" max="125" width="10.33203125" style="64" bestFit="1" customWidth="1"/>
    <col min="126" max="129" width="9.33203125" style="64" bestFit="1" customWidth="1"/>
    <col min="130" max="130" width="9" style="64" bestFit="1" customWidth="1"/>
    <col min="131" max="134" width="9.33203125" style="64" bestFit="1" customWidth="1"/>
    <col min="135" max="165" width="9" style="64" bestFit="1" customWidth="1"/>
    <col min="166" max="166" width="12.33203125" style="64" bestFit="1" customWidth="1"/>
    <col min="167" max="170" width="9" style="64" bestFit="1" customWidth="1"/>
    <col min="171" max="176" width="8.83203125" style="64"/>
    <col min="177" max="177" width="13.83203125" style="64" bestFit="1" customWidth="1"/>
    <col min="178" max="16384" width="8.83203125" style="64"/>
  </cols>
  <sheetData>
    <row r="1" spans="1:209" ht="15" customHeight="1" x14ac:dyDescent="0.15">
      <c r="A1" t="s">
        <v>16</v>
      </c>
      <c r="B1" t="s">
        <v>1</v>
      </c>
      <c r="C1" t="s">
        <v>17</v>
      </c>
      <c r="D1" t="s">
        <v>228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t="s">
        <v>203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185</v>
      </c>
      <c r="B2">
        <v>7.0000000298023224E-2</v>
      </c>
      <c r="C2">
        <v>3.9230767637491226E-2</v>
      </c>
      <c r="D2" s="203">
        <v>3.0769232660531998E-2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186</v>
      </c>
      <c r="B3">
        <v>7.9999998211860657E-2</v>
      </c>
      <c r="C3">
        <v>6.3999995589256287E-2</v>
      </c>
      <c r="D3" s="72">
        <v>1.6000000759959221E-2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187</v>
      </c>
      <c r="B4">
        <v>0.11999999731779099</v>
      </c>
      <c r="C4">
        <v>0.11999999731779099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188</v>
      </c>
      <c r="B5">
        <v>0.38999998569488525</v>
      </c>
      <c r="C5">
        <v>0.3399999737739563</v>
      </c>
      <c r="D5" s="86">
        <v>4.9999997019767761E-2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189</v>
      </c>
      <c r="B6">
        <v>0.33000001311302185</v>
      </c>
      <c r="C6">
        <v>3.6800004541873932E-2</v>
      </c>
      <c r="D6" s="204">
        <v>0.25</v>
      </c>
      <c r="E6"/>
      <c r="F6"/>
      <c r="G6"/>
      <c r="H6"/>
      <c r="I6" s="18">
        <v>6.7500006407499313E-3</v>
      </c>
      <c r="J6" s="212">
        <v>3.6450006067752838E-2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190</v>
      </c>
      <c r="B7">
        <v>0.46000000834465027</v>
      </c>
      <c r="C7">
        <v>0.10746670514345169</v>
      </c>
      <c r="D7" s="205">
        <v>0.33333331346511841</v>
      </c>
      <c r="E7"/>
      <c r="F7"/>
      <c r="G7"/>
      <c r="H7"/>
      <c r="I7" s="20">
        <v>3.0000000260770321E-3</v>
      </c>
      <c r="J7" s="25">
        <v>1.6200000420212746E-2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191</v>
      </c>
      <c r="B8">
        <v>0.51999998092651367</v>
      </c>
      <c r="C8">
        <v>0.18383012712001801</v>
      </c>
      <c r="D8" s="82">
        <v>3.7735849618911743E-2</v>
      </c>
      <c r="E8"/>
      <c r="F8"/>
      <c r="G8"/>
      <c r="H8"/>
      <c r="I8" s="62">
        <v>4.5849058777093887E-2</v>
      </c>
      <c r="J8" s="241">
        <v>0.24758493900299072</v>
      </c>
      <c r="K8" s="12">
        <v>5.0000003539025784E-3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192</v>
      </c>
      <c r="B9">
        <v>0.93000000715255737</v>
      </c>
      <c r="C9">
        <v>0.38454547524452209</v>
      </c>
      <c r="D9" s="206">
        <v>0.54545456171035767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193</v>
      </c>
      <c r="B10">
        <v>0.68999999761581421</v>
      </c>
      <c r="C10">
        <v>1.0274562984704971E-2</v>
      </c>
      <c r="D10" s="88">
        <v>0.17307694256305695</v>
      </c>
      <c r="E10" s="15">
        <v>8.4999995306134224E-3</v>
      </c>
      <c r="F10" s="10">
        <v>2.6285272091627121E-2</v>
      </c>
      <c r="G10" s="21">
        <v>1.8582144752144814E-2</v>
      </c>
      <c r="H10" s="69">
        <v>3.1039811670780182E-2</v>
      </c>
      <c r="I10" s="69">
        <v>3.0461540445685387E-2</v>
      </c>
      <c r="J10" s="240">
        <v>8.9723087847232819E-2</v>
      </c>
      <c r="K10" s="101">
        <v>0.1358974277973175</v>
      </c>
      <c r="L10" s="22">
        <v>2.1750222891569138E-2</v>
      </c>
      <c r="M10"/>
      <c r="N10"/>
      <c r="O10"/>
      <c r="P10" s="216">
        <v>4.2025640606880188E-2</v>
      </c>
      <c r="Q10" s="78">
        <v>2.3484617471694946E-2</v>
      </c>
      <c r="R10"/>
      <c r="S10" s="20">
        <v>4.550000187009573E-3</v>
      </c>
      <c r="T10"/>
      <c r="U10"/>
      <c r="V10"/>
      <c r="W10"/>
      <c r="X10"/>
      <c r="Y10"/>
      <c r="Z10" s="13">
        <v>1.0707692243158817E-2</v>
      </c>
      <c r="AA10"/>
      <c r="AB10"/>
      <c r="AC10"/>
      <c r="AD10"/>
      <c r="AE10" s="218">
        <v>6.3641026616096497E-2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194</v>
      </c>
      <c r="B11">
        <v>2.9600000381469727</v>
      </c>
      <c r="C11">
        <v>6.4606986939907074E-2</v>
      </c>
      <c r="D11" s="207">
        <v>0.29411765933036804</v>
      </c>
      <c r="E11" s="13">
        <v>4.8749998211860657E-2</v>
      </c>
      <c r="F11" s="61">
        <v>0.15075376629829407</v>
      </c>
      <c r="G11" s="19">
        <v>2.1314812824130058E-2</v>
      </c>
      <c r="H11" s="14">
        <v>3.8841258734464645E-2</v>
      </c>
      <c r="I11" s="15">
        <v>3.5735294222831726E-2</v>
      </c>
      <c r="J11" s="25">
        <v>0.10720589011907578</v>
      </c>
      <c r="K11" s="71">
        <v>0.1558823436498642</v>
      </c>
      <c r="L11" s="16">
        <v>5.4887324571609497E-2</v>
      </c>
      <c r="M11"/>
      <c r="N11"/>
      <c r="O11"/>
      <c r="P11" s="217">
        <v>1.1569411754608154</v>
      </c>
      <c r="Q11" s="230">
        <v>0.64651769399642944</v>
      </c>
      <c r="R11"/>
      <c r="S11" s="78">
        <v>9.9163241684436798E-2</v>
      </c>
      <c r="T11"/>
      <c r="U11"/>
      <c r="V11"/>
      <c r="W11"/>
      <c r="X11"/>
      <c r="Y11"/>
      <c r="Z11" s="9">
        <v>1.2282351963222027E-2</v>
      </c>
      <c r="AA11"/>
      <c r="AB11"/>
      <c r="AC11"/>
      <c r="AD11"/>
      <c r="AE11" s="23">
        <v>7.2999998927116394E-2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195</v>
      </c>
      <c r="B12">
        <v>1.25</v>
      </c>
      <c r="C12">
        <v>0.24534769356250763</v>
      </c>
      <c r="D12" s="208">
        <v>0.48936170339584351</v>
      </c>
      <c r="E12" s="15">
        <v>1.4106381684541702E-2</v>
      </c>
      <c r="F12" s="25">
        <v>4.3622363358736038E-2</v>
      </c>
      <c r="G12" s="15">
        <v>1.5419226139783859E-2</v>
      </c>
      <c r="H12" s="58">
        <v>2.8097933158278465E-2</v>
      </c>
      <c r="I12" s="58">
        <v>2.5851063430309296E-2</v>
      </c>
      <c r="J12" s="212">
        <v>0.13804468512535095</v>
      </c>
      <c r="K12" s="90">
        <v>0.19734042882919312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17">
        <v>5.2808512002229691E-2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196</v>
      </c>
      <c r="B13">
        <v>0.6600000262260437</v>
      </c>
      <c r="C13">
        <v>0.16618061065673828</v>
      </c>
      <c r="D13" s="162">
        <v>0.16778522729873657</v>
      </c>
      <c r="E13" s="20">
        <v>4.4496636837720871E-3</v>
      </c>
      <c r="F13" s="68">
        <v>1.5136083588004112E-2</v>
      </c>
      <c r="G13" s="13">
        <v>9.7275655716657639E-3</v>
      </c>
      <c r="H13" s="21">
        <v>1.7726212739944458E-2</v>
      </c>
      <c r="I13" s="23">
        <v>1.6308724880218506E-2</v>
      </c>
      <c r="J13" s="221">
        <v>8.7088592350482941E-2</v>
      </c>
      <c r="K13" s="226">
        <v>0.14228186011314392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 s="61">
        <v>3.331543505191803E-2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197</v>
      </c>
      <c r="B14">
        <v>0.63999998569488525</v>
      </c>
      <c r="C14">
        <v>8.8477702811360359E-3</v>
      </c>
      <c r="D14" s="72">
        <v>0.12790697813034058</v>
      </c>
      <c r="E14" s="15">
        <v>7.7093015424907207E-3</v>
      </c>
      <c r="F14" s="59">
        <v>2.6224143803119659E-2</v>
      </c>
      <c r="G14" s="23">
        <v>1.6853572800755501E-2</v>
      </c>
      <c r="H14" s="26">
        <v>3.0711693689227104E-2</v>
      </c>
      <c r="I14" s="69">
        <v>2.825581282377243E-2</v>
      </c>
      <c r="J14" s="222">
        <v>0.15088605880737305</v>
      </c>
      <c r="K14" s="223">
        <v>0.184883713722229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73">
        <v>5.7720929384231567E-2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198</v>
      </c>
      <c r="B15">
        <v>3.5999999046325684</v>
      </c>
      <c r="C15">
        <v>1.9328100681304932</v>
      </c>
      <c r="D15" s="90">
        <v>0.57142853736877441</v>
      </c>
      <c r="E15"/>
      <c r="F15"/>
      <c r="G15" s="11">
        <v>8.2823270931839943E-3</v>
      </c>
      <c r="H15" s="19">
        <v>3.1442925333976746E-2</v>
      </c>
      <c r="I15" s="20">
        <v>1.9285712391138077E-2</v>
      </c>
      <c r="J15" s="76">
        <v>0.10414286702871323</v>
      </c>
      <c r="K15" s="71">
        <v>0.18928569555282593</v>
      </c>
      <c r="L15" s="20">
        <v>2.4235961958765984E-2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 s="11">
        <v>9.9428566172719002E-3</v>
      </c>
      <c r="AA15"/>
      <c r="AB15"/>
      <c r="AC15"/>
      <c r="AD15"/>
      <c r="AE15" s="101">
        <v>0.70914286375045776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199</v>
      </c>
      <c r="B16">
        <v>1.5199999809265137</v>
      </c>
      <c r="C16">
        <v>0.1841915100812912</v>
      </c>
      <c r="D16" s="209">
        <v>0.57142853736877441</v>
      </c>
      <c r="E16" s="60">
        <v>9.4714276492595673E-2</v>
      </c>
      <c r="F16" s="18">
        <v>2.9289303347468376E-2</v>
      </c>
      <c r="G16" s="9">
        <v>6.2117460183799267E-3</v>
      </c>
      <c r="H16" s="58">
        <v>3.1442925333976746E-2</v>
      </c>
      <c r="I16" s="11">
        <v>3.857143223285675E-3</v>
      </c>
      <c r="J16" s="14">
        <v>2.0828573033213615E-2</v>
      </c>
      <c r="K16" s="99">
        <v>0.18928569555282593</v>
      </c>
      <c r="L16" s="13">
        <v>2.4235961958765984E-2</v>
      </c>
      <c r="M16"/>
      <c r="N16"/>
      <c r="O16"/>
      <c r="P16"/>
      <c r="Q16"/>
      <c r="R16"/>
      <c r="S16"/>
      <c r="T16"/>
      <c r="U16"/>
      <c r="V16"/>
      <c r="W16"/>
      <c r="X16"/>
      <c r="Y16"/>
      <c r="Z16" s="20">
        <v>9.9428566172719002E-3</v>
      </c>
      <c r="AA16"/>
      <c r="AB16"/>
      <c r="AC16"/>
      <c r="AD16"/>
      <c r="AE16" s="215">
        <v>0.35457143187522888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200</v>
      </c>
      <c r="B17">
        <v>0.41999998688697815</v>
      </c>
      <c r="C17">
        <v>7.1120951324701309E-3</v>
      </c>
      <c r="D17" s="237">
        <v>0.10625001043081284</v>
      </c>
      <c r="E17"/>
      <c r="F17"/>
      <c r="G17"/>
      <c r="H17" s="208">
        <v>0.16507536172866821</v>
      </c>
      <c r="I17"/>
      <c r="J17"/>
      <c r="K17"/>
      <c r="L17"/>
      <c r="M17"/>
      <c r="N17"/>
      <c r="O17"/>
      <c r="P17"/>
      <c r="Q17"/>
      <c r="R17"/>
      <c r="S17"/>
      <c r="T17"/>
      <c r="U17"/>
      <c r="V17" s="66">
        <v>0.14156250655651093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201</v>
      </c>
      <c r="B18">
        <v>0.43999999761581421</v>
      </c>
      <c r="C18">
        <v>0.33141627907752991</v>
      </c>
      <c r="D18" s="211">
        <v>8.1632651388645172E-2</v>
      </c>
      <c r="E18"/>
      <c r="F18"/>
      <c r="G18"/>
      <c r="H18" s="216">
        <v>2.6951078325510025E-2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202</v>
      </c>
      <c r="B19">
        <v>0.44999998807907104</v>
      </c>
      <c r="C19">
        <v>9.2170566320419312E-2</v>
      </c>
      <c r="D19" s="100">
        <v>9.9999994039535522E-2</v>
      </c>
      <c r="E19"/>
      <c r="F19"/>
      <c r="G19"/>
      <c r="H19" s="74">
        <v>8.5105516016483307E-2</v>
      </c>
      <c r="I19"/>
      <c r="J19"/>
      <c r="K19" s="101">
        <v>8.833332359790802E-2</v>
      </c>
      <c r="L19" s="99">
        <v>5.655057355761528E-2</v>
      </c>
      <c r="M19"/>
      <c r="N19"/>
      <c r="O19"/>
      <c r="P19"/>
      <c r="Q19"/>
      <c r="R19"/>
      <c r="S19"/>
      <c r="T19"/>
      <c r="U19"/>
      <c r="V19"/>
      <c r="W19"/>
      <c r="X19"/>
      <c r="Y19"/>
      <c r="Z19" s="60">
        <v>2.7839995920658112E-2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203</v>
      </c>
      <c r="B20">
        <v>0.44999998807907104</v>
      </c>
      <c r="C20">
        <v>5.9178084135055542E-2</v>
      </c>
      <c r="D20" s="212">
        <v>4.9180325120687485E-2</v>
      </c>
      <c r="E20"/>
      <c r="F20"/>
      <c r="G20"/>
      <c r="H20" s="200">
        <v>4.3298453092575073E-2</v>
      </c>
      <c r="I20"/>
      <c r="J20"/>
      <c r="K20" s="220">
        <v>8.6885236203670502E-2</v>
      </c>
      <c r="L20" s="96">
        <v>5.0061170011758804E-2</v>
      </c>
      <c r="M20"/>
      <c r="N20"/>
      <c r="O20"/>
      <c r="P20"/>
      <c r="Q20"/>
      <c r="R20"/>
      <c r="S20"/>
      <c r="T20" s="70">
        <v>7.3442615568637848E-2</v>
      </c>
      <c r="U20"/>
      <c r="V20" s="219">
        <v>7.426229864358902E-2</v>
      </c>
      <c r="W20"/>
      <c r="X20"/>
      <c r="Y20"/>
      <c r="Z20" s="22">
        <v>1.3691801577806473E-2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204</v>
      </c>
      <c r="B21">
        <v>0.56000000238418579</v>
      </c>
      <c r="C21">
        <v>2.7999972924590111E-2</v>
      </c>
      <c r="D21" s="236">
        <v>0.25327277183532715</v>
      </c>
      <c r="E21"/>
      <c r="F21"/>
      <c r="G21"/>
      <c r="H21" s="238">
        <v>0.27872726321220398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205</v>
      </c>
      <c r="B22">
        <v>0.40999999642372131</v>
      </c>
      <c r="C22">
        <v>0.20999997854232788</v>
      </c>
      <c r="D22" s="213">
        <v>0.20000001788139343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206</v>
      </c>
      <c r="B23">
        <v>0.69999998807907104</v>
      </c>
      <c r="C23">
        <v>7.0465728640556335E-2</v>
      </c>
      <c r="D23" s="214">
        <v>0.1666666716337204</v>
      </c>
      <c r="E23"/>
      <c r="F23"/>
      <c r="G23"/>
      <c r="H23" s="239">
        <v>0.44020095467567444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78">
        <v>2.2666666656732559E-2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207</v>
      </c>
      <c r="B24">
        <v>0.69999998807907104</v>
      </c>
      <c r="C24">
        <v>2.6035726070404053E-2</v>
      </c>
      <c r="D24" s="80">
        <v>4.76190485060215E-2</v>
      </c>
      <c r="E24"/>
      <c r="F24"/>
      <c r="G24"/>
      <c r="H24" s="73">
        <v>6.2885850667953491E-2</v>
      </c>
      <c r="I24"/>
      <c r="J24"/>
      <c r="K24" s="224">
        <v>0.43535712361335754</v>
      </c>
      <c r="L24" s="218">
        <v>6.4629234373569489E-2</v>
      </c>
      <c r="M24"/>
      <c r="N24"/>
      <c r="O24"/>
      <c r="P24"/>
      <c r="Q24"/>
      <c r="R24"/>
      <c r="S24"/>
      <c r="T24"/>
      <c r="U24"/>
      <c r="V24"/>
      <c r="W24"/>
      <c r="X24" s="18">
        <v>1.4063514769077301E-2</v>
      </c>
      <c r="Y24" s="16">
        <v>1.2952381744980812E-2</v>
      </c>
      <c r="Z24" s="71">
        <v>3.6457143723964691E-2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208</v>
      </c>
      <c r="B25">
        <v>1.5</v>
      </c>
      <c r="C25">
        <v>0.14374592900276184</v>
      </c>
      <c r="D25"/>
      <c r="E25"/>
      <c r="F25" s="84">
        <v>0.17229001224040985</v>
      </c>
      <c r="G25" s="19">
        <v>1.2179892510175705E-2</v>
      </c>
      <c r="H25" s="13">
        <v>2.3674672469496727E-2</v>
      </c>
      <c r="I25" s="14">
        <v>2.0647058263421059E-2</v>
      </c>
      <c r="J25" s="98">
        <v>0.14702519774436951</v>
      </c>
      <c r="K25" s="227">
        <v>0.26722687482833862</v>
      </c>
      <c r="L25" s="18">
        <v>2.8512895107269287E-2</v>
      </c>
      <c r="M25"/>
      <c r="N25"/>
      <c r="O25"/>
      <c r="P25"/>
      <c r="Q25"/>
      <c r="R25"/>
      <c r="S25"/>
      <c r="T25" s="15">
        <v>1.8823528662323952E-2</v>
      </c>
      <c r="U25" s="85">
        <v>0.12105882167816162</v>
      </c>
      <c r="V25" s="71">
        <v>7.9941168427467346E-2</v>
      </c>
      <c r="W25"/>
      <c r="X25"/>
      <c r="Y25"/>
      <c r="Z25"/>
      <c r="AA25"/>
      <c r="AB25"/>
      <c r="AC25"/>
      <c r="AD25"/>
      <c r="AE25" s="96">
        <v>0.16685713827610016</v>
      </c>
      <c r="AF25" s="91">
        <v>0.29801678657531738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209</v>
      </c>
      <c r="B26">
        <v>1.5</v>
      </c>
      <c r="C26">
        <v>0.13886216282844543</v>
      </c>
      <c r="D26" s="11">
        <v>4.0000001899898052E-3</v>
      </c>
      <c r="E26"/>
      <c r="F26" s="75">
        <v>0.20502512156963348</v>
      </c>
      <c r="G26" s="12">
        <v>1.4494072645902634E-2</v>
      </c>
      <c r="H26" s="18">
        <v>2.8172861784696579E-2</v>
      </c>
      <c r="I26" s="13">
        <v>2.2949999198317528E-2</v>
      </c>
      <c r="J26" s="83">
        <v>0.16038000583648682</v>
      </c>
      <c r="K26" s="228">
        <v>0.31799998879432678</v>
      </c>
      <c r="L26" s="68">
        <v>3.3930346369743347E-2</v>
      </c>
      <c r="M26"/>
      <c r="N26"/>
      <c r="O26"/>
      <c r="P26"/>
      <c r="Q26"/>
      <c r="R26"/>
      <c r="S26"/>
      <c r="T26"/>
      <c r="U26"/>
      <c r="V26"/>
      <c r="W26"/>
      <c r="X26" s="11">
        <v>2.9533379711210728E-3</v>
      </c>
      <c r="Y26" s="11">
        <v>2.7199999894946814E-3</v>
      </c>
      <c r="Z26" s="12">
        <v>1.5311999246478081E-2</v>
      </c>
      <c r="AA26"/>
      <c r="AB26"/>
      <c r="AC26"/>
      <c r="AD26"/>
      <c r="AE26" s="87">
        <v>0.19855999946594238</v>
      </c>
      <c r="AF26" s="214">
        <v>0.35464000701904297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210</v>
      </c>
      <c r="B27">
        <v>1.5</v>
      </c>
      <c r="C27">
        <v>0.13799464702606201</v>
      </c>
      <c r="D27"/>
      <c r="E27"/>
      <c r="F27" s="210">
        <v>0.44775602221488953</v>
      </c>
      <c r="G27" s="15">
        <v>1.6659853979945183E-2</v>
      </c>
      <c r="H27" s="58">
        <v>3.2382600009441376E-2</v>
      </c>
      <c r="I27" s="18">
        <v>2.824137918651104E-2</v>
      </c>
      <c r="J27" s="87">
        <v>0.20110344886779785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 s="225">
        <v>0.22822988033294678</v>
      </c>
      <c r="AF27" s="198">
        <v>0.40763220191001892</v>
      </c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211</v>
      </c>
      <c r="B28">
        <v>2.559999942779541</v>
      </c>
      <c r="C28">
        <v>9.3639068305492401E-2</v>
      </c>
      <c r="D28" s="60">
        <v>0.16176469624042511</v>
      </c>
      <c r="E28" s="9">
        <v>9.7499992698431015E-3</v>
      </c>
      <c r="F28" s="222">
        <v>0.60301506519317627</v>
      </c>
      <c r="G28" s="19">
        <v>2.1314812824130058E-2</v>
      </c>
      <c r="H28" s="13">
        <v>4.1430678218603134E-2</v>
      </c>
      <c r="I28" s="14">
        <v>3.6132350564002991E-2</v>
      </c>
      <c r="J28" s="24">
        <v>0.19511470198631287</v>
      </c>
      <c r="K28" s="75">
        <v>0.35073527693748474</v>
      </c>
      <c r="L28" s="18">
        <v>5.2392445504665375E-2</v>
      </c>
      <c r="M28"/>
      <c r="N28"/>
      <c r="O28"/>
      <c r="P28" s="18">
        <v>4.820588231086731E-2</v>
      </c>
      <c r="Q28" s="12">
        <v>2.6938237249851227E-2</v>
      </c>
      <c r="R28"/>
      <c r="S28" s="18">
        <v>5.2191179245710373E-2</v>
      </c>
      <c r="T28" s="14">
        <v>3.2941173762083054E-2</v>
      </c>
      <c r="U28"/>
      <c r="V28" s="76">
        <v>7.3279410600662231E-2</v>
      </c>
      <c r="W28"/>
      <c r="X28" s="11">
        <v>4.343144129961729E-3</v>
      </c>
      <c r="Y28" s="11">
        <v>3.9999997243285179E-3</v>
      </c>
      <c r="Z28" s="9">
        <v>1.2282351963222027E-2</v>
      </c>
      <c r="AA28"/>
      <c r="AB28"/>
      <c r="AC28"/>
      <c r="AD28"/>
      <c r="AE28" s="199">
        <v>0.21899999678134918</v>
      </c>
      <c r="AF28" s="97">
        <v>0.5215294361114502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212</v>
      </c>
      <c r="B29">
        <v>3.5</v>
      </c>
      <c r="C29">
        <v>0.13163080811500549</v>
      </c>
      <c r="D29"/>
      <c r="E29"/>
      <c r="F29" s="89">
        <v>0.78855818510055542</v>
      </c>
      <c r="G29" s="19">
        <v>2.7873218059539795E-2</v>
      </c>
      <c r="H29" s="13">
        <v>5.4178580641746521E-2</v>
      </c>
      <c r="I29" s="14">
        <v>4.7249998897314072E-2</v>
      </c>
      <c r="J29" s="82">
        <v>0.25515002012252808</v>
      </c>
      <c r="K29" s="221">
        <v>0.45865386724472046</v>
      </c>
      <c r="L29" s="18">
        <v>7.1775734424591064E-2</v>
      </c>
      <c r="M29"/>
      <c r="N29"/>
      <c r="O29"/>
      <c r="P29" s="16">
        <v>6.3038460910320282E-2</v>
      </c>
      <c r="Q29" s="12">
        <v>3.5226926207542419E-2</v>
      </c>
      <c r="R29"/>
      <c r="S29" s="18">
        <v>6.8250007927417755E-2</v>
      </c>
      <c r="T29" s="15">
        <v>4.3076924979686737E-2</v>
      </c>
      <c r="U29" s="63">
        <v>0.27703848481178284</v>
      </c>
      <c r="V29" s="71">
        <v>0.18294230103492737</v>
      </c>
      <c r="W29"/>
      <c r="X29" s="11">
        <v>5.6794960983097553E-3</v>
      </c>
      <c r="Y29" s="11">
        <v>5.2307695150375366E-3</v>
      </c>
      <c r="Z29" s="9">
        <v>1.6061536967754364E-2</v>
      </c>
      <c r="AA29"/>
      <c r="AB29"/>
      <c r="AC29"/>
      <c r="AD29"/>
      <c r="AE29" s="81">
        <v>0.28638461232185364</v>
      </c>
      <c r="AF29" s="229">
        <v>0.68200004100799561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213</v>
      </c>
      <c r="B30">
        <v>3.440000057220459</v>
      </c>
      <c r="C30">
        <v>0.33167985081672668</v>
      </c>
      <c r="D30" s="11">
        <v>6.4935064874589443E-3</v>
      </c>
      <c r="E30"/>
      <c r="F30" s="18">
        <v>6.789793074131012E-2</v>
      </c>
      <c r="G30"/>
      <c r="H30"/>
      <c r="I30"/>
      <c r="J30"/>
      <c r="K30" s="69">
        <v>0.15487013757228851</v>
      </c>
      <c r="L30" s="20">
        <v>2.2032693028450012E-2</v>
      </c>
      <c r="M30"/>
      <c r="N30"/>
      <c r="O30"/>
      <c r="P30"/>
      <c r="Q30"/>
      <c r="R30"/>
      <c r="S30"/>
      <c r="T30" s="19">
        <v>2.9090909287333488E-2</v>
      </c>
      <c r="U30" s="81">
        <v>0.28063639998435974</v>
      </c>
      <c r="V30" s="16">
        <v>6.1772726476192474E-2</v>
      </c>
      <c r="W30" s="71">
        <v>0.17943508923053741</v>
      </c>
      <c r="X30"/>
      <c r="Y30"/>
      <c r="Z30"/>
      <c r="AA30"/>
      <c r="AB30" s="66">
        <v>1.1590909957885742</v>
      </c>
      <c r="AC30"/>
      <c r="AD30"/>
      <c r="AE30"/>
      <c r="AF30"/>
      <c r="AG30" s="197">
        <v>1.1470000743865967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214</v>
      </c>
      <c r="B31">
        <v>3.2200000286102295</v>
      </c>
      <c r="C31">
        <v>1.2519762516021729</v>
      </c>
      <c r="D31" s="11">
        <v>3.6496350076049566E-3</v>
      </c>
      <c r="E31"/>
      <c r="F31" s="15">
        <v>3.8161609321832657E-2</v>
      </c>
      <c r="G31"/>
      <c r="H31"/>
      <c r="I31"/>
      <c r="J31"/>
      <c r="K31" s="21">
        <v>8.7043792009353638E-2</v>
      </c>
      <c r="L31" s="9">
        <v>1.2383338063955307E-2</v>
      </c>
      <c r="M31"/>
      <c r="N31"/>
      <c r="O31"/>
      <c r="P31"/>
      <c r="Q31"/>
      <c r="R31"/>
      <c r="S31"/>
      <c r="T31"/>
      <c r="U31"/>
      <c r="V31"/>
      <c r="W31"/>
      <c r="X31" s="11">
        <v>3.2335817813873291E-3</v>
      </c>
      <c r="Y31" s="11">
        <v>4.4671529904007912E-3</v>
      </c>
      <c r="Z31" s="20">
        <v>2.0829195156693459E-2</v>
      </c>
      <c r="AA31" s="57">
        <v>0.17781020700931549</v>
      </c>
      <c r="AB31"/>
      <c r="AC31" s="231">
        <v>0.54744523763656616</v>
      </c>
      <c r="AD31"/>
      <c r="AE31"/>
      <c r="AF31"/>
      <c r="AG31"/>
      <c r="AH31" s="197">
        <v>1.0729999542236328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215</v>
      </c>
      <c r="B32">
        <v>2.559999942779541</v>
      </c>
      <c r="C32">
        <v>0.30414152145385742</v>
      </c>
      <c r="D32" s="9">
        <v>7.7720209956169128E-3</v>
      </c>
      <c r="E32" s="20">
        <v>1.7176166176795959E-2</v>
      </c>
      <c r="F32"/>
      <c r="G32" s="8">
        <v>3.7549412809312344E-5</v>
      </c>
      <c r="H32" s="8">
        <v>1.1404170072637498E-4</v>
      </c>
      <c r="I32" s="8">
        <v>6.9948189775459468E-5</v>
      </c>
      <c r="J32" s="8">
        <v>3.7772025098092854E-4</v>
      </c>
      <c r="K32"/>
      <c r="L32"/>
      <c r="M32" s="16">
        <v>4.6476684510707855E-2</v>
      </c>
      <c r="N32" s="80">
        <v>0.17387564480304718</v>
      </c>
      <c r="O32" s="77">
        <v>0.10154923051595688</v>
      </c>
      <c r="P32" s="78">
        <v>8.4922283887863159E-2</v>
      </c>
      <c r="Q32" s="16">
        <v>4.7455966472625732E-2</v>
      </c>
      <c r="R32"/>
      <c r="S32" s="19">
        <v>1.8388602882623672E-2</v>
      </c>
      <c r="T32" s="9">
        <v>1.1606217361986637E-2</v>
      </c>
      <c r="U32" s="17">
        <v>0.11196374893188477</v>
      </c>
      <c r="V32" s="20">
        <v>1.2909326702356339E-2</v>
      </c>
      <c r="W32" s="21">
        <v>7.1588091552257538E-2</v>
      </c>
      <c r="X32"/>
      <c r="Y32"/>
      <c r="Z32"/>
      <c r="AA32"/>
      <c r="AB32" s="232">
        <v>0.92487055063247681</v>
      </c>
      <c r="AC32"/>
      <c r="AD32"/>
      <c r="AE32" s="207">
        <v>0.25720208883285522</v>
      </c>
      <c r="AF32" s="67">
        <v>0.3675025999546051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216</v>
      </c>
      <c r="B33">
        <v>2.559999942779541</v>
      </c>
      <c r="C33">
        <v>1.2803159952163696</v>
      </c>
      <c r="D33"/>
      <c r="E33" s="21">
        <v>6.8633541464805603E-2</v>
      </c>
      <c r="F33"/>
      <c r="G33" s="8">
        <v>3.0008432077011093E-5</v>
      </c>
      <c r="H33" s="8">
        <v>9.1138914285693318E-5</v>
      </c>
      <c r="I33" s="8">
        <v>5.5900625739013776E-5</v>
      </c>
      <c r="J33" s="8">
        <v>3.0186338699422777E-4</v>
      </c>
      <c r="K33"/>
      <c r="L33"/>
      <c r="M33" s="76">
        <v>7.4285715818405151E-2</v>
      </c>
      <c r="N33" s="57">
        <v>0.13895651698112488</v>
      </c>
      <c r="O33" s="22">
        <v>8.1155285239219666E-2</v>
      </c>
      <c r="P33" s="71">
        <v>0.13573499023914337</v>
      </c>
      <c r="Q33" s="76">
        <v>7.5850941240787506E-2</v>
      </c>
      <c r="R33"/>
      <c r="S33"/>
      <c r="T33"/>
      <c r="U33"/>
      <c r="V33"/>
      <c r="W33"/>
      <c r="X33"/>
      <c r="Y33"/>
      <c r="Z33"/>
      <c r="AA33"/>
      <c r="AB33"/>
      <c r="AC33"/>
      <c r="AD33" s="85">
        <v>0.20534162223339081</v>
      </c>
      <c r="AE33" s="85">
        <v>0.20554867386817932</v>
      </c>
      <c r="AF33" s="84">
        <v>0.29369774460792542</v>
      </c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217</v>
      </c>
      <c r="B34">
        <v>5.8000001907348633</v>
      </c>
      <c r="C34">
        <v>3.9778397083282471</v>
      </c>
      <c r="D34"/>
      <c r="E34" s="11">
        <v>1.3018231838941574E-2</v>
      </c>
      <c r="F34"/>
      <c r="G34" s="8">
        <v>2.0328292521298863E-5</v>
      </c>
      <c r="H34"/>
      <c r="I34" s="8">
        <v>3.7868165236432105E-5</v>
      </c>
      <c r="J34" s="8">
        <v>2.0448809664230794E-4</v>
      </c>
      <c r="K34"/>
      <c r="L34"/>
      <c r="M34" s="9">
        <v>2.5161288678646088E-2</v>
      </c>
      <c r="N34" s="68">
        <v>0.14119777083396912</v>
      </c>
      <c r="O34" s="14">
        <v>8.2464240491390228E-2</v>
      </c>
      <c r="P34" s="19">
        <v>4.5974753797054291E-2</v>
      </c>
      <c r="Q34" s="9">
        <v>2.5691447779536247E-2</v>
      </c>
      <c r="R34"/>
      <c r="S34" s="11">
        <v>9.9551193416118622E-3</v>
      </c>
      <c r="T34" s="8">
        <v>3.1416548881679773E-3</v>
      </c>
      <c r="U34" s="19">
        <v>4.040953516960144E-2</v>
      </c>
      <c r="V34"/>
      <c r="W34" s="12">
        <v>5.167461559176445E-2</v>
      </c>
      <c r="X34"/>
      <c r="Y34"/>
      <c r="Z34"/>
      <c r="AA34"/>
      <c r="AB34" s="17">
        <v>0.25035062432289124</v>
      </c>
      <c r="AC34"/>
      <c r="AD34"/>
      <c r="AE34" s="14">
        <v>8.3545580506324768E-2</v>
      </c>
      <c r="AF34" s="23">
        <v>0.1492173969745636</v>
      </c>
      <c r="AG34" s="17">
        <v>0.24773913621902466</v>
      </c>
      <c r="AH34"/>
      <c r="AI34" s="96">
        <v>0.65235620737075806</v>
      </c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218</v>
      </c>
      <c r="B35">
        <v>5.8000001907348633</v>
      </c>
      <c r="C35">
        <v>3.7212812900543213</v>
      </c>
      <c r="D35"/>
      <c r="E35"/>
      <c r="F35"/>
      <c r="G35" s="8">
        <v>2.4989780285977758E-5</v>
      </c>
      <c r="H35"/>
      <c r="I35" s="8">
        <v>4.655172597267665E-5</v>
      </c>
      <c r="J35" s="8">
        <v>2.5137932971119881E-4</v>
      </c>
      <c r="K35"/>
      <c r="L35"/>
      <c r="M35" s="20">
        <v>3.0931033194065094E-2</v>
      </c>
      <c r="N35" s="76">
        <v>0.17357587814331055</v>
      </c>
      <c r="O35" s="16">
        <v>0.10137413442134857</v>
      </c>
      <c r="P35" s="12">
        <v>5.6517239660024643E-2</v>
      </c>
      <c r="Q35" s="20">
        <v>3.158276155591011E-2</v>
      </c>
      <c r="R35" s="23">
        <v>0.14482758939266205</v>
      </c>
      <c r="S35" s="11">
        <v>1.2237931601703167E-2</v>
      </c>
      <c r="T35"/>
      <c r="U35"/>
      <c r="V35"/>
      <c r="W35"/>
      <c r="X35" s="8">
        <v>1.0183923877775669E-3</v>
      </c>
      <c r="Y35"/>
      <c r="Z35"/>
      <c r="AA35" s="14">
        <v>8.3999991416931152E-2</v>
      </c>
      <c r="AB35"/>
      <c r="AC35" s="87">
        <v>0.77586203813552856</v>
      </c>
      <c r="AD35"/>
      <c r="AE35" s="16">
        <v>9.8424136638641357E-2</v>
      </c>
      <c r="AF35" s="12">
        <v>6.114482507109642E-2</v>
      </c>
      <c r="AG35"/>
      <c r="AH35" s="62">
        <v>0.50689995288848877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219</v>
      </c>
      <c r="B36">
        <v>5.8000001907348633</v>
      </c>
      <c r="C36">
        <v>5.047055721282959</v>
      </c>
      <c r="D36"/>
      <c r="E36" s="8">
        <v>3.6935932002961636E-3</v>
      </c>
      <c r="F36"/>
      <c r="G36" s="8">
        <v>5.7676375035953242E-6</v>
      </c>
      <c r="H36"/>
      <c r="I36" s="8">
        <v>1.074413194146473E-5</v>
      </c>
      <c r="J36" s="8">
        <v>5.8018311392515898E-5</v>
      </c>
      <c r="K36"/>
      <c r="L36"/>
      <c r="M36" s="9">
        <v>2.4986071512103081E-2</v>
      </c>
      <c r="N36" s="68">
        <v>0.13353760540485382</v>
      </c>
      <c r="O36" s="14">
        <v>7.7990449965000153E-2</v>
      </c>
      <c r="P36" s="20">
        <v>3.0001593753695488E-2</v>
      </c>
      <c r="Q36" s="11">
        <v>1.6765382140874863E-2</v>
      </c>
      <c r="R36"/>
      <c r="S36"/>
      <c r="T36"/>
      <c r="U36"/>
      <c r="V36"/>
      <c r="W36"/>
      <c r="X36"/>
      <c r="Y36"/>
      <c r="Z36"/>
      <c r="AA36"/>
      <c r="AB36"/>
      <c r="AC36"/>
      <c r="AD36" s="76">
        <v>0.168253093957901</v>
      </c>
      <c r="AE36" s="9">
        <v>2.3703940212726593E-2</v>
      </c>
      <c r="AF36" s="19">
        <v>4.2336650192737579E-2</v>
      </c>
      <c r="AG36"/>
      <c r="AH36"/>
      <c r="AI36"/>
      <c r="AJ36" s="77">
        <v>0.23160167038440704</v>
      </c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220</v>
      </c>
      <c r="B37">
        <v>153.77999877929688</v>
      </c>
      <c r="C37">
        <v>90.2235107421875</v>
      </c>
      <c r="D37"/>
      <c r="E37"/>
      <c r="F37"/>
      <c r="G37"/>
      <c r="H37"/>
      <c r="I37"/>
      <c r="J37"/>
      <c r="K37"/>
      <c r="L37"/>
      <c r="M37" s="8">
        <v>3.3099628984928131E-2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 s="9">
        <v>0.65180075168609619</v>
      </c>
      <c r="AH37"/>
      <c r="AI37" s="63">
        <v>12.014427185058594</v>
      </c>
      <c r="AJ37"/>
      <c r="AK37" s="234">
        <v>50.857158660888672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221</v>
      </c>
      <c r="B38">
        <v>128.27000427246094</v>
      </c>
      <c r="C38">
        <v>70.698143005371094</v>
      </c>
      <c r="D38"/>
      <c r="E38"/>
      <c r="F38"/>
      <c r="G38"/>
      <c r="H38"/>
      <c r="I38"/>
      <c r="J38"/>
      <c r="K38"/>
      <c r="L38"/>
      <c r="M38" s="8">
        <v>4.4849999248981476E-2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 s="15">
        <v>1.4700099229812622</v>
      </c>
      <c r="AI38"/>
      <c r="AJ38"/>
      <c r="AK38"/>
      <c r="AL38" s="233">
        <v>56.057003021240234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222</v>
      </c>
      <c r="B39">
        <v>153.77999877929688</v>
      </c>
      <c r="C39">
        <v>56.622501373291016</v>
      </c>
      <c r="D39"/>
      <c r="E39"/>
      <c r="F39"/>
      <c r="G39"/>
      <c r="H39"/>
      <c r="I39"/>
      <c r="J39"/>
      <c r="K39"/>
      <c r="L39"/>
      <c r="M39" s="8">
        <v>1.6549814492464066E-2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 s="79">
        <v>7.5167989730834961</v>
      </c>
      <c r="AK39"/>
      <c r="AL39"/>
      <c r="AM39" s="235">
        <v>89.6241455078125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223</v>
      </c>
      <c r="B40"/>
      <c r="C40">
        <v>6.7616730928421021E-2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 s="6">
        <v>12.364659309387207</v>
      </c>
      <c r="AH40"/>
      <c r="AI40" s="6">
        <v>9.3025999069213867</v>
      </c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224</v>
      </c>
      <c r="B41"/>
      <c r="C41">
        <v>0.10319299250841141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 s="6">
        <v>20.58013916015625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225</v>
      </c>
      <c r="B42"/>
      <c r="C42">
        <v>2.1062184125185013E-2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 s="6">
        <v>11.640299797058105</v>
      </c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227</v>
      </c>
      <c r="B43"/>
      <c r="C43">
        <v>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125</v>
      </c>
      <c r="B44"/>
      <c r="C44">
        <v>65535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3" workbookViewId="0">
      <selection activeCell="D52" sqref="D52"/>
    </sheetView>
  </sheetViews>
  <sheetFormatPr baseColWidth="10" defaultRowHeight="16" x14ac:dyDescent="0.2"/>
  <cols>
    <col min="1" max="1" width="33.6640625" bestFit="1" customWidth="1"/>
    <col min="2" max="2" width="5.83203125" customWidth="1"/>
    <col min="3" max="3" width="9" style="3" customWidth="1"/>
    <col min="4" max="4" width="31" style="104" bestFit="1" customWidth="1"/>
    <col min="5" max="5" width="13.83203125" style="104" bestFit="1" customWidth="1"/>
    <col min="6" max="6" width="5.33203125" style="104" bestFit="1" customWidth="1"/>
    <col min="7" max="7" width="15.33203125" style="104" bestFit="1" customWidth="1"/>
    <col min="8" max="8" width="31" style="104" bestFit="1" customWidth="1"/>
    <col min="9" max="9" width="10.83203125" style="104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7" thickBot="1" x14ac:dyDescent="0.25">
      <c r="C1" s="50"/>
      <c r="D1" s="103" t="s">
        <v>33</v>
      </c>
      <c r="E1" s="103" t="s">
        <v>34</v>
      </c>
      <c r="F1" s="103" t="s">
        <v>35</v>
      </c>
      <c r="G1" s="103" t="s">
        <v>36</v>
      </c>
      <c r="H1" s="103" t="s">
        <v>37</v>
      </c>
      <c r="I1" s="103"/>
      <c r="J1" s="1" t="s">
        <v>132</v>
      </c>
      <c r="K1" s="1" t="s">
        <v>133</v>
      </c>
      <c r="L1" s="56" t="s">
        <v>175</v>
      </c>
    </row>
    <row r="2" spans="1:12" x14ac:dyDescent="0.2">
      <c r="A2" s="1" t="s">
        <v>38</v>
      </c>
      <c r="B2" s="36">
        <v>3</v>
      </c>
      <c r="C2" s="34"/>
      <c r="D2" s="102" t="s">
        <v>39</v>
      </c>
      <c r="E2">
        <v>1</v>
      </c>
      <c r="F2" s="107">
        <v>1</v>
      </c>
      <c r="G2">
        <v>1</v>
      </c>
      <c r="H2" s="106" t="s">
        <v>39</v>
      </c>
      <c r="J2" s="51"/>
      <c r="K2" s="114"/>
      <c r="L2" s="56" t="s">
        <v>176</v>
      </c>
    </row>
    <row r="3" spans="1:12" ht="17" thickBot="1" x14ac:dyDescent="0.25">
      <c r="A3" s="1" t="s">
        <v>40</v>
      </c>
      <c r="B3" s="37">
        <v>0</v>
      </c>
      <c r="C3" s="34"/>
      <c r="D3" s="102" t="s">
        <v>41</v>
      </c>
      <c r="E3">
        <v>2</v>
      </c>
      <c r="F3" s="108">
        <v>1.1000000000000001</v>
      </c>
      <c r="G3">
        <v>2</v>
      </c>
      <c r="H3" s="106" t="s">
        <v>41</v>
      </c>
      <c r="J3" s="52"/>
      <c r="K3" s="53"/>
    </row>
    <row r="4" spans="1:12" x14ac:dyDescent="0.2">
      <c r="D4" s="102" t="s">
        <v>42</v>
      </c>
      <c r="E4">
        <v>3</v>
      </c>
      <c r="F4" s="109">
        <v>1.2</v>
      </c>
      <c r="G4">
        <v>3</v>
      </c>
      <c r="H4" s="106" t="s">
        <v>42</v>
      </c>
      <c r="J4" s="52"/>
      <c r="K4" s="53"/>
    </row>
    <row r="5" spans="1:12" x14ac:dyDescent="0.2">
      <c r="D5" s="94" t="s">
        <v>185</v>
      </c>
      <c r="E5">
        <v>4</v>
      </c>
      <c r="F5" s="110">
        <v>3.16</v>
      </c>
      <c r="G5">
        <v>4</v>
      </c>
      <c r="H5" s="164" t="s">
        <v>185</v>
      </c>
      <c r="J5" s="52"/>
      <c r="K5" s="53"/>
    </row>
    <row r="6" spans="1:12" ht="17" thickBot="1" x14ac:dyDescent="0.25">
      <c r="A6" s="38" t="s">
        <v>123</v>
      </c>
      <c r="D6" s="94" t="s">
        <v>186</v>
      </c>
      <c r="E6">
        <v>5</v>
      </c>
      <c r="F6" s="110">
        <v>3.16</v>
      </c>
      <c r="G6">
        <v>5</v>
      </c>
      <c r="H6" s="164" t="s">
        <v>186</v>
      </c>
      <c r="J6" s="52"/>
      <c r="K6" s="53"/>
    </row>
    <row r="7" spans="1:12" x14ac:dyDescent="0.2">
      <c r="A7" s="33" t="s">
        <v>128</v>
      </c>
      <c r="B7" s="40">
        <v>1</v>
      </c>
      <c r="C7" s="35"/>
      <c r="D7" s="94" t="s">
        <v>187</v>
      </c>
      <c r="E7">
        <v>6</v>
      </c>
      <c r="F7" s="110">
        <v>3.16</v>
      </c>
      <c r="G7">
        <v>6</v>
      </c>
      <c r="H7" s="164" t="s">
        <v>187</v>
      </c>
      <c r="J7" s="52"/>
      <c r="K7" s="53"/>
    </row>
    <row r="8" spans="1:12" x14ac:dyDescent="0.2">
      <c r="A8" s="33" t="s">
        <v>39</v>
      </c>
      <c r="B8" s="41">
        <v>1</v>
      </c>
      <c r="C8" s="35"/>
      <c r="D8" s="94" t="s">
        <v>188</v>
      </c>
      <c r="E8">
        <v>7</v>
      </c>
      <c r="F8" s="110">
        <v>3.14</v>
      </c>
      <c r="G8">
        <v>7</v>
      </c>
      <c r="H8" s="164" t="s">
        <v>188</v>
      </c>
      <c r="J8" s="52"/>
      <c r="K8" s="53"/>
    </row>
    <row r="9" spans="1:12" x14ac:dyDescent="0.2">
      <c r="A9" s="33" t="s">
        <v>41</v>
      </c>
      <c r="B9" s="41">
        <v>1.1000000000000001</v>
      </c>
      <c r="C9" s="35"/>
      <c r="D9" s="94" t="s">
        <v>189</v>
      </c>
      <c r="E9">
        <v>8</v>
      </c>
      <c r="F9" s="110">
        <v>3.14</v>
      </c>
      <c r="G9">
        <v>8</v>
      </c>
      <c r="H9" s="164" t="s">
        <v>189</v>
      </c>
      <c r="J9" s="52"/>
      <c r="K9" s="53"/>
    </row>
    <row r="10" spans="1:12" x14ac:dyDescent="0.2">
      <c r="A10" s="33" t="s">
        <v>42</v>
      </c>
      <c r="B10" s="41">
        <v>1.2</v>
      </c>
      <c r="C10" s="35"/>
      <c r="D10" s="94" t="s">
        <v>190</v>
      </c>
      <c r="E10">
        <v>9</v>
      </c>
      <c r="F10" s="110">
        <v>3.14</v>
      </c>
      <c r="G10">
        <v>9</v>
      </c>
      <c r="H10" s="164" t="s">
        <v>190</v>
      </c>
      <c r="J10" s="52"/>
      <c r="K10" s="53"/>
    </row>
    <row r="11" spans="1:12" ht="16" customHeight="1" x14ac:dyDescent="0.2">
      <c r="A11" s="39" t="s">
        <v>129</v>
      </c>
      <c r="B11" s="41">
        <v>2</v>
      </c>
      <c r="C11" s="35"/>
      <c r="D11" s="94" t="s">
        <v>191</v>
      </c>
      <c r="E11">
        <v>10</v>
      </c>
      <c r="F11" s="110">
        <v>3.14</v>
      </c>
      <c r="G11">
        <v>10</v>
      </c>
      <c r="H11" s="164" t="s">
        <v>191</v>
      </c>
      <c r="J11" s="52"/>
      <c r="K11" s="53"/>
    </row>
    <row r="12" spans="1:12" x14ac:dyDescent="0.2">
      <c r="A12" s="33" t="s">
        <v>43</v>
      </c>
      <c r="B12" s="41">
        <v>2.12</v>
      </c>
      <c r="C12" s="35"/>
      <c r="D12" s="94" t="s">
        <v>192</v>
      </c>
      <c r="E12">
        <v>11</v>
      </c>
      <c r="F12" s="110">
        <v>3.14</v>
      </c>
      <c r="G12">
        <v>11</v>
      </c>
      <c r="H12" s="164" t="s">
        <v>192</v>
      </c>
      <c r="J12" s="52"/>
      <c r="K12" s="53"/>
    </row>
    <row r="13" spans="1:12" x14ac:dyDescent="0.2">
      <c r="A13" s="33" t="s">
        <v>44</v>
      </c>
      <c r="B13" s="41">
        <v>2.11</v>
      </c>
      <c r="C13" s="35"/>
      <c r="D13" s="94" t="s">
        <v>193</v>
      </c>
      <c r="E13">
        <v>12</v>
      </c>
      <c r="F13" s="110">
        <v>3.14</v>
      </c>
      <c r="G13">
        <v>12</v>
      </c>
      <c r="H13" s="164" t="s">
        <v>193</v>
      </c>
      <c r="J13" s="52"/>
      <c r="K13" s="53"/>
    </row>
    <row r="14" spans="1:12" x14ac:dyDescent="0.2">
      <c r="A14" s="33" t="s">
        <v>69</v>
      </c>
      <c r="B14" s="41">
        <v>2.2200000000000002</v>
      </c>
      <c r="C14" s="35"/>
      <c r="D14" s="94" t="s">
        <v>194</v>
      </c>
      <c r="E14">
        <v>13</v>
      </c>
      <c r="F14" s="110">
        <v>3.14</v>
      </c>
      <c r="G14">
        <v>13</v>
      </c>
      <c r="H14" s="164" t="s">
        <v>194</v>
      </c>
      <c r="J14" s="52"/>
      <c r="K14" s="53"/>
    </row>
    <row r="15" spans="1:12" x14ac:dyDescent="0.2">
      <c r="A15" s="39" t="s">
        <v>130</v>
      </c>
      <c r="B15" s="41">
        <v>3</v>
      </c>
      <c r="C15" s="35"/>
      <c r="D15" s="94" t="s">
        <v>195</v>
      </c>
      <c r="E15">
        <v>14</v>
      </c>
      <c r="F15" s="110">
        <v>3.14</v>
      </c>
      <c r="G15">
        <v>14</v>
      </c>
      <c r="H15" s="164" t="s">
        <v>195</v>
      </c>
      <c r="J15" s="52"/>
      <c r="K15" s="53"/>
    </row>
    <row r="16" spans="1:12" x14ac:dyDescent="0.2">
      <c r="A16" s="33" t="s">
        <v>64</v>
      </c>
      <c r="B16" s="41">
        <v>3.11</v>
      </c>
      <c r="C16" s="35"/>
      <c r="D16" s="94" t="s">
        <v>196</v>
      </c>
      <c r="E16">
        <v>15</v>
      </c>
      <c r="F16" s="110">
        <v>3.14</v>
      </c>
      <c r="G16">
        <v>15</v>
      </c>
      <c r="H16" s="164" t="s">
        <v>196</v>
      </c>
      <c r="J16" s="52"/>
      <c r="K16" s="53"/>
    </row>
    <row r="17" spans="1:12" x14ac:dyDescent="0.2">
      <c r="A17" s="33" t="s">
        <v>63</v>
      </c>
      <c r="B17" s="41">
        <v>3.14</v>
      </c>
      <c r="C17" s="35"/>
      <c r="D17" s="94" t="s">
        <v>197</v>
      </c>
      <c r="E17">
        <v>16</v>
      </c>
      <c r="F17" s="110">
        <v>3.14</v>
      </c>
      <c r="G17">
        <v>16</v>
      </c>
      <c r="H17" s="164" t="s">
        <v>197</v>
      </c>
      <c r="J17" s="52"/>
      <c r="K17" s="53"/>
    </row>
    <row r="18" spans="1:12" x14ac:dyDescent="0.2">
      <c r="A18" s="33" t="s">
        <v>70</v>
      </c>
      <c r="B18" s="41">
        <v>3.16</v>
      </c>
      <c r="C18" s="35"/>
      <c r="D18" s="94" t="s">
        <v>198</v>
      </c>
      <c r="E18">
        <v>17</v>
      </c>
      <c r="F18" s="110">
        <v>3.14</v>
      </c>
      <c r="G18">
        <v>17</v>
      </c>
      <c r="H18" s="164" t="s">
        <v>198</v>
      </c>
      <c r="J18" s="52"/>
      <c r="K18" s="53"/>
    </row>
    <row r="19" spans="1:12" x14ac:dyDescent="0.2">
      <c r="A19" s="33" t="s">
        <v>68</v>
      </c>
      <c r="B19" s="41">
        <v>3.21</v>
      </c>
      <c r="C19" s="35"/>
      <c r="D19" s="94" t="s">
        <v>199</v>
      </c>
      <c r="E19">
        <v>18</v>
      </c>
      <c r="F19" s="110">
        <v>3.14</v>
      </c>
      <c r="G19">
        <v>18</v>
      </c>
      <c r="H19" s="164" t="s">
        <v>199</v>
      </c>
      <c r="J19" s="52"/>
      <c r="K19" s="53"/>
    </row>
    <row r="20" spans="1:12" x14ac:dyDescent="0.2">
      <c r="A20" s="33" t="s">
        <v>65</v>
      </c>
      <c r="B20" s="41">
        <v>3.24</v>
      </c>
      <c r="C20" s="35"/>
      <c r="D20" s="94" t="s">
        <v>200</v>
      </c>
      <c r="E20">
        <v>19</v>
      </c>
      <c r="F20" s="110">
        <v>3.24</v>
      </c>
      <c r="G20">
        <v>19</v>
      </c>
      <c r="H20" s="164" t="s">
        <v>200</v>
      </c>
      <c r="J20" s="52"/>
      <c r="K20" s="53"/>
    </row>
    <row r="21" spans="1:12" ht="17" thickBot="1" x14ac:dyDescent="0.25">
      <c r="A21" s="33" t="s">
        <v>71</v>
      </c>
      <c r="B21" s="41">
        <v>3.26</v>
      </c>
      <c r="C21" s="35"/>
      <c r="D21" s="94" t="s">
        <v>201</v>
      </c>
      <c r="E21">
        <v>20</v>
      </c>
      <c r="F21" s="110">
        <v>3.24</v>
      </c>
      <c r="G21">
        <v>20</v>
      </c>
      <c r="H21" s="164" t="s">
        <v>201</v>
      </c>
      <c r="J21" s="54"/>
      <c r="K21" s="55"/>
      <c r="L21" s="56" t="s">
        <v>154</v>
      </c>
    </row>
    <row r="22" spans="1:12" x14ac:dyDescent="0.2">
      <c r="A22" s="33" t="s">
        <v>66</v>
      </c>
      <c r="B22" s="41">
        <v>8</v>
      </c>
      <c r="C22" s="35"/>
      <c r="D22" s="94" t="s">
        <v>202</v>
      </c>
      <c r="E22">
        <v>21</v>
      </c>
      <c r="F22" s="110">
        <v>3.24</v>
      </c>
      <c r="G22">
        <v>21</v>
      </c>
      <c r="H22" s="164" t="s">
        <v>202</v>
      </c>
    </row>
    <row r="23" spans="1:12" x14ac:dyDescent="0.2">
      <c r="A23" s="33" t="s">
        <v>131</v>
      </c>
      <c r="B23" s="41">
        <v>4</v>
      </c>
      <c r="C23" s="35"/>
      <c r="D23" s="94" t="s">
        <v>203</v>
      </c>
      <c r="E23">
        <v>22</v>
      </c>
      <c r="F23" s="110">
        <v>3.24</v>
      </c>
      <c r="G23">
        <v>22</v>
      </c>
      <c r="H23" s="164" t="s">
        <v>203</v>
      </c>
    </row>
    <row r="24" spans="1:12" x14ac:dyDescent="0.2">
      <c r="A24" s="33" t="s">
        <v>124</v>
      </c>
      <c r="B24" s="41">
        <v>4.0999999999999996</v>
      </c>
      <c r="C24" s="35"/>
      <c r="D24" s="94" t="s">
        <v>204</v>
      </c>
      <c r="E24">
        <v>23</v>
      </c>
      <c r="F24" s="110">
        <v>3.24</v>
      </c>
      <c r="G24">
        <v>23</v>
      </c>
      <c r="H24" s="164" t="s">
        <v>204</v>
      </c>
    </row>
    <row r="25" spans="1:12" x14ac:dyDescent="0.2">
      <c r="A25" s="33" t="s">
        <v>72</v>
      </c>
      <c r="B25" s="41">
        <v>4.2</v>
      </c>
      <c r="C25" s="35"/>
      <c r="D25" s="94" t="s">
        <v>205</v>
      </c>
      <c r="E25">
        <v>24</v>
      </c>
      <c r="F25" s="110">
        <v>3.24</v>
      </c>
      <c r="G25">
        <v>24</v>
      </c>
      <c r="H25" s="164" t="s">
        <v>205</v>
      </c>
    </row>
    <row r="26" spans="1:12" x14ac:dyDescent="0.2">
      <c r="A26" s="33" t="s">
        <v>125</v>
      </c>
      <c r="B26" s="41">
        <v>4.3</v>
      </c>
      <c r="C26" s="35"/>
      <c r="D26" s="94" t="s">
        <v>206</v>
      </c>
      <c r="E26">
        <v>25</v>
      </c>
      <c r="F26" s="110">
        <v>3.24</v>
      </c>
      <c r="G26">
        <v>25</v>
      </c>
      <c r="H26" s="164" t="s">
        <v>206</v>
      </c>
    </row>
    <row r="27" spans="1:12" x14ac:dyDescent="0.2">
      <c r="A27" s="33" t="s">
        <v>127</v>
      </c>
      <c r="B27" s="41">
        <v>6.1</v>
      </c>
      <c r="D27" s="94" t="s">
        <v>207</v>
      </c>
      <c r="E27">
        <v>26</v>
      </c>
      <c r="F27" s="110">
        <v>3.24</v>
      </c>
      <c r="G27">
        <v>26</v>
      </c>
      <c r="H27" s="164" t="s">
        <v>207</v>
      </c>
    </row>
    <row r="28" spans="1:12" x14ac:dyDescent="0.2">
      <c r="A28" s="33" t="s">
        <v>126</v>
      </c>
      <c r="B28" s="41">
        <v>6.2</v>
      </c>
      <c r="D28" s="94" t="s">
        <v>208</v>
      </c>
      <c r="E28">
        <v>27</v>
      </c>
      <c r="F28" s="110">
        <v>3.14</v>
      </c>
      <c r="G28">
        <v>27</v>
      </c>
      <c r="H28" s="164" t="s">
        <v>208</v>
      </c>
    </row>
    <row r="29" spans="1:12" x14ac:dyDescent="0.2">
      <c r="A29" s="33" t="s">
        <v>45</v>
      </c>
      <c r="B29" s="41">
        <v>5</v>
      </c>
      <c r="D29" s="94" t="s">
        <v>209</v>
      </c>
      <c r="E29">
        <v>28</v>
      </c>
      <c r="F29" s="110">
        <v>3.14</v>
      </c>
      <c r="G29">
        <v>28</v>
      </c>
      <c r="H29" s="164" t="s">
        <v>209</v>
      </c>
    </row>
    <row r="30" spans="1:12" x14ac:dyDescent="0.2">
      <c r="A30" s="33" t="s">
        <v>75</v>
      </c>
      <c r="B30" s="41">
        <v>7</v>
      </c>
      <c r="D30" s="94" t="s">
        <v>210</v>
      </c>
      <c r="E30">
        <v>29</v>
      </c>
      <c r="F30" s="110">
        <v>3.14</v>
      </c>
      <c r="G30">
        <v>29</v>
      </c>
      <c r="H30" s="164" t="s">
        <v>210</v>
      </c>
    </row>
    <row r="31" spans="1:12" ht="16" customHeight="1" x14ac:dyDescent="0.2">
      <c r="A31" s="33" t="s">
        <v>178</v>
      </c>
      <c r="B31" s="41">
        <v>3.1110000000000002</v>
      </c>
      <c r="D31" s="94" t="s">
        <v>211</v>
      </c>
      <c r="E31">
        <v>30</v>
      </c>
      <c r="F31" s="110">
        <v>3.13</v>
      </c>
      <c r="G31">
        <v>30</v>
      </c>
      <c r="H31" s="164" t="s">
        <v>211</v>
      </c>
    </row>
    <row r="32" spans="1:12" ht="16" customHeight="1" thickBot="1" x14ac:dyDescent="0.25">
      <c r="A32" s="39" t="s">
        <v>179</v>
      </c>
      <c r="B32" s="42">
        <v>9</v>
      </c>
      <c r="D32" s="94" t="s">
        <v>212</v>
      </c>
      <c r="E32">
        <v>31</v>
      </c>
      <c r="F32" s="110">
        <v>3.13</v>
      </c>
      <c r="G32">
        <v>31</v>
      </c>
      <c r="H32" s="164" t="s">
        <v>212</v>
      </c>
    </row>
    <row r="33" spans="4:9" customFormat="1" ht="16" customHeight="1" x14ac:dyDescent="0.2">
      <c r="D33" s="94" t="s">
        <v>213</v>
      </c>
      <c r="E33">
        <v>32</v>
      </c>
      <c r="F33" s="110">
        <v>3.21</v>
      </c>
      <c r="G33">
        <v>32</v>
      </c>
      <c r="H33" s="164" t="s">
        <v>213</v>
      </c>
      <c r="I33" s="104"/>
    </row>
    <row r="34" spans="4:9" customFormat="1" ht="16" customHeight="1" x14ac:dyDescent="0.2">
      <c r="D34" s="94" t="s">
        <v>214</v>
      </c>
      <c r="E34">
        <v>33</v>
      </c>
      <c r="F34" s="110">
        <v>3.21</v>
      </c>
      <c r="G34">
        <v>33</v>
      </c>
      <c r="H34" s="164" t="s">
        <v>214</v>
      </c>
      <c r="I34" s="104"/>
    </row>
    <row r="35" spans="4:9" customFormat="1" ht="16" customHeight="1" x14ac:dyDescent="0.2">
      <c r="D35" s="94" t="s">
        <v>215</v>
      </c>
      <c r="E35">
        <v>34</v>
      </c>
      <c r="F35" s="110">
        <v>3.12</v>
      </c>
      <c r="G35">
        <v>34</v>
      </c>
      <c r="H35" s="164" t="s">
        <v>215</v>
      </c>
      <c r="I35" s="104"/>
    </row>
    <row r="36" spans="4:9" customFormat="1" ht="16" customHeight="1" x14ac:dyDescent="0.2">
      <c r="D36" s="94" t="s">
        <v>216</v>
      </c>
      <c r="E36">
        <v>35</v>
      </c>
      <c r="F36" s="110">
        <v>3.12</v>
      </c>
      <c r="G36">
        <v>35</v>
      </c>
      <c r="H36" s="164" t="s">
        <v>216</v>
      </c>
      <c r="I36" s="104"/>
    </row>
    <row r="37" spans="4:9" customFormat="1" ht="16" customHeight="1" x14ac:dyDescent="0.2">
      <c r="D37" s="94" t="s">
        <v>217</v>
      </c>
      <c r="E37">
        <v>36</v>
      </c>
      <c r="F37" s="110">
        <v>3.11</v>
      </c>
      <c r="G37">
        <v>36</v>
      </c>
      <c r="H37" s="164" t="s">
        <v>217</v>
      </c>
      <c r="I37" s="104"/>
    </row>
    <row r="38" spans="4:9" customFormat="1" x14ac:dyDescent="0.2">
      <c r="D38" s="94" t="s">
        <v>218</v>
      </c>
      <c r="E38">
        <v>37</v>
      </c>
      <c r="F38" s="110">
        <v>3.11</v>
      </c>
      <c r="G38">
        <v>37</v>
      </c>
      <c r="H38" s="164" t="s">
        <v>218</v>
      </c>
      <c r="I38" s="104"/>
    </row>
    <row r="39" spans="4:9" customFormat="1" x14ac:dyDescent="0.2">
      <c r="D39" s="94" t="s">
        <v>219</v>
      </c>
      <c r="E39">
        <v>38</v>
      </c>
      <c r="F39" s="110">
        <v>3.11</v>
      </c>
      <c r="G39">
        <v>38</v>
      </c>
      <c r="H39" s="164" t="s">
        <v>219</v>
      </c>
      <c r="I39" s="104"/>
    </row>
    <row r="40" spans="4:9" customFormat="1" x14ac:dyDescent="0.2">
      <c r="D40" s="94" t="s">
        <v>220</v>
      </c>
      <c r="E40">
        <v>39</v>
      </c>
      <c r="F40" s="111">
        <v>2.1</v>
      </c>
      <c r="G40">
        <v>39</v>
      </c>
      <c r="H40" s="164" t="s">
        <v>220</v>
      </c>
      <c r="I40" s="104"/>
    </row>
    <row r="41" spans="4:9" customFormat="1" x14ac:dyDescent="0.2">
      <c r="D41" s="94" t="s">
        <v>221</v>
      </c>
      <c r="E41">
        <v>40</v>
      </c>
      <c r="F41" s="111">
        <v>2.1</v>
      </c>
      <c r="G41">
        <v>40</v>
      </c>
      <c r="H41" s="164" t="s">
        <v>221</v>
      </c>
      <c r="I41" s="104"/>
    </row>
    <row r="42" spans="4:9" customFormat="1" x14ac:dyDescent="0.2">
      <c r="D42" s="94" t="s">
        <v>222</v>
      </c>
      <c r="E42">
        <v>41</v>
      </c>
      <c r="F42" s="111">
        <v>2.1</v>
      </c>
      <c r="G42">
        <v>41</v>
      </c>
      <c r="H42" s="164" t="s">
        <v>222</v>
      </c>
      <c r="I42" s="104"/>
    </row>
    <row r="43" spans="4:9" customFormat="1" x14ac:dyDescent="0.2">
      <c r="D43" s="94" t="s">
        <v>223</v>
      </c>
      <c r="E43">
        <v>42</v>
      </c>
      <c r="F43" s="111">
        <v>4</v>
      </c>
      <c r="G43">
        <v>42</v>
      </c>
      <c r="H43" s="164" t="s">
        <v>223</v>
      </c>
      <c r="I43" s="104"/>
    </row>
    <row r="44" spans="4:9" customFormat="1" x14ac:dyDescent="0.2">
      <c r="D44" s="94" t="s">
        <v>224</v>
      </c>
      <c r="E44">
        <v>43</v>
      </c>
      <c r="F44" s="111">
        <v>4</v>
      </c>
      <c r="G44">
        <v>43</v>
      </c>
      <c r="H44" s="164" t="s">
        <v>224</v>
      </c>
      <c r="I44" s="104"/>
    </row>
    <row r="45" spans="4:9" customFormat="1" x14ac:dyDescent="0.2">
      <c r="D45" s="94" t="s">
        <v>225</v>
      </c>
      <c r="E45">
        <v>44</v>
      </c>
      <c r="F45" s="111">
        <v>4</v>
      </c>
      <c r="G45">
        <v>44</v>
      </c>
      <c r="H45" s="164" t="s">
        <v>225</v>
      </c>
      <c r="I45" s="104"/>
    </row>
    <row r="46" spans="4:9" customFormat="1" x14ac:dyDescent="0.2">
      <c r="D46" s="94" t="s">
        <v>227</v>
      </c>
      <c r="E46">
        <v>45</v>
      </c>
      <c r="F46" s="111">
        <v>4.0999999999999996</v>
      </c>
      <c r="G46">
        <v>45</v>
      </c>
      <c r="H46" s="164" t="s">
        <v>227</v>
      </c>
      <c r="I46" s="104"/>
    </row>
    <row r="47" spans="4:9" customFormat="1" ht="16" customHeight="1" x14ac:dyDescent="0.2">
      <c r="D47" s="94" t="s">
        <v>125</v>
      </c>
      <c r="E47">
        <v>46</v>
      </c>
      <c r="F47" s="112">
        <v>4.3</v>
      </c>
      <c r="G47">
        <v>46</v>
      </c>
      <c r="H47" s="164" t="s">
        <v>125</v>
      </c>
      <c r="I47" s="104"/>
    </row>
    <row r="48" spans="4:9" customFormat="1" ht="16" customHeight="1" x14ac:dyDescent="0.2">
      <c r="D48" s="94" t="s">
        <v>226</v>
      </c>
      <c r="E48">
        <v>47</v>
      </c>
      <c r="F48" s="112">
        <v>5</v>
      </c>
      <c r="G48">
        <v>47</v>
      </c>
      <c r="H48" s="164" t="s">
        <v>226</v>
      </c>
      <c r="I48" s="104"/>
    </row>
    <row r="49" spans="4:9" customFormat="1" ht="16" customHeight="1" x14ac:dyDescent="0.2">
      <c r="D49" s="102" t="s">
        <v>140</v>
      </c>
      <c r="E49" s="104">
        <v>59</v>
      </c>
      <c r="F49" s="113">
        <v>6.1</v>
      </c>
      <c r="G49" s="104">
        <v>59</v>
      </c>
      <c r="H49" s="106" t="s">
        <v>140</v>
      </c>
      <c r="I49" s="105" t="s">
        <v>157</v>
      </c>
    </row>
    <row r="50" spans="4:9" customFormat="1" ht="16" customHeight="1" x14ac:dyDescent="0.2">
      <c r="D50" s="102" t="s">
        <v>46</v>
      </c>
      <c r="E50" s="104">
        <v>60</v>
      </c>
      <c r="F50" s="113">
        <v>6.2</v>
      </c>
      <c r="G50" s="104">
        <v>60</v>
      </c>
      <c r="H50" s="106" t="s">
        <v>46</v>
      </c>
      <c r="I50" s="105" t="s">
        <v>157</v>
      </c>
    </row>
    <row r="51" spans="4:9" customFormat="1" ht="16" customHeight="1" x14ac:dyDescent="0.2">
      <c r="D51" s="104"/>
      <c r="E51" s="104"/>
      <c r="F51" s="104"/>
      <c r="G51" s="104"/>
      <c r="H51" s="104"/>
      <c r="I51" s="104"/>
    </row>
    <row r="52" spans="4:9" customFormat="1" ht="16" customHeight="1" x14ac:dyDescent="0.2">
      <c r="D52" s="104"/>
      <c r="E52" s="104"/>
      <c r="F52" s="104"/>
      <c r="G52" s="104"/>
      <c r="H52" s="104"/>
      <c r="I52" s="104"/>
    </row>
    <row r="53" spans="4:9" customFormat="1" ht="16" customHeight="1" x14ac:dyDescent="0.2">
      <c r="D53" s="104"/>
      <c r="E53" s="104"/>
      <c r="F53" s="104"/>
      <c r="G53" s="104"/>
      <c r="H53" s="104"/>
      <c r="I53" s="104"/>
    </row>
    <row r="54" spans="4:9" customFormat="1" ht="16" customHeight="1" x14ac:dyDescent="0.2">
      <c r="D54" s="104"/>
      <c r="E54" s="104"/>
      <c r="F54" s="104"/>
      <c r="G54" s="104"/>
      <c r="H54" s="104"/>
      <c r="I54" s="104"/>
    </row>
    <row r="55" spans="4:9" customFormat="1" ht="16" customHeight="1" x14ac:dyDescent="0.2">
      <c r="D55" s="104"/>
      <c r="E55" s="104"/>
      <c r="F55" s="104"/>
      <c r="G55" s="104"/>
      <c r="H55" s="104"/>
      <c r="I55" s="104"/>
    </row>
    <row r="56" spans="4:9" customFormat="1" ht="16" customHeight="1" x14ac:dyDescent="0.2">
      <c r="D56" s="104"/>
      <c r="E56" s="104"/>
      <c r="F56" s="104"/>
      <c r="G56" s="104"/>
      <c r="H56" s="104"/>
      <c r="I56" s="104"/>
    </row>
    <row r="57" spans="4:9" customFormat="1" ht="16" customHeight="1" x14ac:dyDescent="0.2">
      <c r="D57" s="104"/>
      <c r="E57" s="104"/>
      <c r="F57" s="104"/>
      <c r="G57" s="104"/>
      <c r="H57" s="104"/>
      <c r="I57" s="104"/>
    </row>
    <row r="58" spans="4:9" customFormat="1" x14ac:dyDescent="0.2">
      <c r="D58" s="104"/>
      <c r="E58" s="104"/>
      <c r="F58" s="104"/>
      <c r="G58" s="104"/>
      <c r="H58" s="104"/>
      <c r="I58" s="104"/>
    </row>
    <row r="59" spans="4:9" customFormat="1" x14ac:dyDescent="0.2">
      <c r="D59" s="104"/>
      <c r="E59" s="104"/>
      <c r="F59" s="104"/>
      <c r="G59" s="104"/>
      <c r="H59" s="104"/>
      <c r="I59" s="104"/>
    </row>
    <row r="60" spans="4:9" customFormat="1" x14ac:dyDescent="0.2">
      <c r="D60" s="104"/>
      <c r="E60" s="104"/>
      <c r="F60" s="104"/>
      <c r="G60" s="104"/>
      <c r="H60" s="104"/>
      <c r="I60" s="104"/>
    </row>
    <row r="61" spans="4:9" customFormat="1" x14ac:dyDescent="0.2">
      <c r="D61" s="104"/>
      <c r="E61" s="104"/>
      <c r="F61" s="104"/>
      <c r="G61" s="104"/>
      <c r="H61" s="104"/>
      <c r="I61" s="104"/>
    </row>
    <row r="62" spans="4:9" customFormat="1" x14ac:dyDescent="0.2">
      <c r="D62" s="104"/>
      <c r="E62" s="104"/>
      <c r="F62" s="104"/>
      <c r="G62" s="104"/>
      <c r="H62" s="104"/>
      <c r="I62" s="104"/>
    </row>
    <row r="63" spans="4:9" customFormat="1" x14ac:dyDescent="0.2">
      <c r="D63" s="104"/>
      <c r="E63" s="104"/>
      <c r="F63" s="104"/>
      <c r="G63" s="104"/>
      <c r="H63" s="104"/>
      <c r="I63" s="104"/>
    </row>
    <row r="64" spans="4:9" customFormat="1" x14ac:dyDescent="0.2">
      <c r="D64" s="104"/>
      <c r="E64" s="104"/>
      <c r="F64" s="104"/>
      <c r="G64" s="104"/>
      <c r="H64" s="104"/>
      <c r="I64" s="104"/>
    </row>
    <row r="65" spans="4:9" customFormat="1" x14ac:dyDescent="0.2">
      <c r="D65" s="104"/>
      <c r="E65" s="104"/>
      <c r="F65" s="104"/>
      <c r="G65" s="104"/>
      <c r="H65" s="104"/>
      <c r="I65" s="104"/>
    </row>
    <row r="66" spans="4:9" customFormat="1" x14ac:dyDescent="0.2">
      <c r="D66" s="104"/>
      <c r="E66" s="104"/>
      <c r="F66" s="104"/>
      <c r="G66" s="104"/>
      <c r="H66" s="104"/>
      <c r="I66" s="104"/>
    </row>
    <row r="67" spans="4:9" customFormat="1" x14ac:dyDescent="0.2">
      <c r="D67" s="104"/>
      <c r="E67" s="104"/>
      <c r="F67" s="104"/>
      <c r="G67" s="104"/>
      <c r="H67" s="104"/>
      <c r="I67" s="104"/>
    </row>
    <row r="68" spans="4:9" customFormat="1" x14ac:dyDescent="0.2">
      <c r="D68" s="104"/>
      <c r="E68" s="104"/>
      <c r="F68" s="104"/>
      <c r="G68" s="104"/>
      <c r="H68" s="104"/>
      <c r="I68" s="104"/>
    </row>
    <row r="69" spans="4:9" customFormat="1" x14ac:dyDescent="0.2">
      <c r="D69" s="104"/>
      <c r="E69" s="104"/>
      <c r="F69" s="104"/>
      <c r="G69" s="104"/>
      <c r="H69" s="104"/>
      <c r="I69" s="104"/>
    </row>
    <row r="70" spans="4:9" customFormat="1" x14ac:dyDescent="0.2">
      <c r="D70" s="104"/>
      <c r="E70" s="104"/>
      <c r="F70" s="104"/>
      <c r="G70" s="104"/>
      <c r="H70" s="104"/>
      <c r="I70" s="104"/>
    </row>
    <row r="71" spans="4:9" customFormat="1" x14ac:dyDescent="0.2">
      <c r="D71" s="104"/>
      <c r="E71" s="104"/>
      <c r="F71" s="104"/>
      <c r="G71" s="104"/>
      <c r="H71" s="104"/>
      <c r="I71" s="104"/>
    </row>
    <row r="72" spans="4:9" customFormat="1" x14ac:dyDescent="0.2">
      <c r="D72" s="104"/>
      <c r="E72" s="104"/>
      <c r="F72" s="104"/>
      <c r="G72" s="104"/>
      <c r="H72" s="104"/>
      <c r="I72" s="104"/>
    </row>
    <row r="73" spans="4:9" customFormat="1" x14ac:dyDescent="0.2">
      <c r="D73" s="104"/>
      <c r="E73" s="104"/>
      <c r="F73" s="104"/>
      <c r="G73" s="104"/>
      <c r="H73" s="104"/>
      <c r="I73" s="104"/>
    </row>
    <row r="74" spans="4:9" customFormat="1" x14ac:dyDescent="0.2">
      <c r="D74" s="104"/>
      <c r="E74" s="104"/>
      <c r="F74" s="104"/>
      <c r="G74" s="104"/>
      <c r="H74" s="104"/>
      <c r="I74" s="104"/>
    </row>
    <row r="75" spans="4:9" customFormat="1" x14ac:dyDescent="0.2">
      <c r="D75" s="104"/>
      <c r="E75" s="104"/>
      <c r="F75" s="104"/>
      <c r="G75" s="104"/>
      <c r="H75" s="104"/>
      <c r="I75" s="104"/>
    </row>
    <row r="76" spans="4:9" customFormat="1" x14ac:dyDescent="0.2">
      <c r="D76" s="104"/>
      <c r="E76" s="104"/>
      <c r="F76" s="104"/>
      <c r="G76" s="104"/>
      <c r="H76" s="104"/>
      <c r="I76" s="104"/>
    </row>
    <row r="77" spans="4:9" customFormat="1" x14ac:dyDescent="0.2">
      <c r="D77" s="104"/>
      <c r="E77" s="104"/>
      <c r="F77" s="104"/>
      <c r="G77" s="104"/>
      <c r="H77" s="104"/>
      <c r="I77" s="104"/>
    </row>
    <row r="78" spans="4:9" customFormat="1" x14ac:dyDescent="0.2">
      <c r="D78" s="104"/>
      <c r="E78" s="104"/>
      <c r="F78" s="104"/>
      <c r="G78" s="104"/>
      <c r="H78" s="104"/>
      <c r="I78" s="104"/>
    </row>
    <row r="79" spans="4:9" customFormat="1" x14ac:dyDescent="0.2">
      <c r="D79" s="104"/>
      <c r="E79" s="104"/>
      <c r="F79" s="104"/>
      <c r="G79" s="104"/>
      <c r="H79" s="104"/>
      <c r="I79" s="104"/>
    </row>
    <row r="80" spans="4:9" customFormat="1" x14ac:dyDescent="0.2">
      <c r="D80" s="104"/>
      <c r="E80" s="104"/>
      <c r="F80" s="104"/>
      <c r="G80" s="104"/>
      <c r="H80" s="104"/>
      <c r="I80" s="104"/>
    </row>
    <row r="81" spans="4:9" customFormat="1" x14ac:dyDescent="0.2">
      <c r="D81" s="104"/>
      <c r="E81" s="104"/>
      <c r="F81" s="104"/>
      <c r="G81" s="104"/>
      <c r="H81" s="104"/>
      <c r="I81" s="104"/>
    </row>
    <row r="82" spans="4:9" customFormat="1" x14ac:dyDescent="0.2">
      <c r="D82" s="104"/>
      <c r="E82" s="104"/>
      <c r="F82" s="104"/>
      <c r="G82" s="104"/>
      <c r="H82" s="104"/>
      <c r="I82" s="104"/>
    </row>
    <row r="83" spans="4:9" customFormat="1" x14ac:dyDescent="0.2">
      <c r="D83" s="104"/>
      <c r="E83" s="104"/>
      <c r="F83" s="104"/>
      <c r="G83" s="104"/>
      <c r="H83" s="104"/>
      <c r="I83" s="104"/>
    </row>
    <row r="84" spans="4:9" customFormat="1" x14ac:dyDescent="0.2">
      <c r="D84" s="104"/>
      <c r="E84" s="104"/>
      <c r="F84" s="104"/>
      <c r="G84" s="104"/>
      <c r="H84" s="104"/>
      <c r="I84" s="104"/>
    </row>
    <row r="85" spans="4:9" customFormat="1" x14ac:dyDescent="0.2">
      <c r="D85" s="104"/>
      <c r="E85" s="104"/>
      <c r="F85" s="104"/>
      <c r="G85" s="104"/>
      <c r="H85" s="104"/>
      <c r="I85" s="104"/>
    </row>
    <row r="86" spans="4:9" customFormat="1" x14ac:dyDescent="0.2">
      <c r="D86" s="104"/>
      <c r="E86" s="104"/>
      <c r="F86" s="104"/>
      <c r="G86" s="104"/>
      <c r="H86" s="104"/>
      <c r="I86" s="104"/>
    </row>
    <row r="87" spans="4:9" customFormat="1" x14ac:dyDescent="0.2">
      <c r="D87" s="104"/>
      <c r="E87" s="104"/>
      <c r="F87" s="104"/>
      <c r="G87" s="104"/>
      <c r="H87" s="104"/>
      <c r="I87" s="104"/>
    </row>
    <row r="88" spans="4:9" customFormat="1" x14ac:dyDescent="0.2">
      <c r="D88" s="104"/>
      <c r="E88" s="104"/>
      <c r="F88" s="104"/>
      <c r="G88" s="104"/>
      <c r="H88" s="104"/>
      <c r="I88" s="104"/>
    </row>
    <row r="89" spans="4:9" customFormat="1" x14ac:dyDescent="0.2">
      <c r="D89" s="104"/>
      <c r="E89" s="104"/>
      <c r="F89" s="104"/>
      <c r="G89" s="104"/>
      <c r="H89" s="104"/>
      <c r="I89" s="104"/>
    </row>
    <row r="90" spans="4:9" customFormat="1" x14ac:dyDescent="0.2">
      <c r="D90" s="104"/>
      <c r="E90" s="104"/>
      <c r="F90" s="104"/>
      <c r="G90" s="104"/>
      <c r="H90" s="104"/>
      <c r="I90" s="104"/>
    </row>
    <row r="91" spans="4:9" customFormat="1" x14ac:dyDescent="0.2">
      <c r="D91" s="104"/>
      <c r="E91" s="104"/>
      <c r="F91" s="104"/>
      <c r="G91" s="104"/>
      <c r="H91" s="104"/>
      <c r="I91" s="104"/>
    </row>
    <row r="92" spans="4:9" customFormat="1" x14ac:dyDescent="0.2">
      <c r="D92" s="104"/>
      <c r="E92" s="104"/>
      <c r="F92" s="104"/>
      <c r="G92" s="104"/>
      <c r="H92" s="104"/>
      <c r="I92" s="104"/>
    </row>
    <row r="93" spans="4:9" customFormat="1" x14ac:dyDescent="0.2">
      <c r="D93" s="104"/>
      <c r="E93" s="104"/>
      <c r="F93" s="104"/>
      <c r="G93" s="104"/>
      <c r="H93" s="104"/>
      <c r="I93" s="104"/>
    </row>
    <row r="94" spans="4:9" customFormat="1" x14ac:dyDescent="0.2">
      <c r="D94" s="104"/>
      <c r="E94" s="104"/>
      <c r="F94" s="104"/>
      <c r="G94" s="104"/>
      <c r="H94" s="104"/>
      <c r="I94" s="104"/>
    </row>
    <row r="95" spans="4:9" customFormat="1" x14ac:dyDescent="0.2">
      <c r="D95" s="104"/>
      <c r="E95" s="104"/>
      <c r="F95" s="104"/>
      <c r="G95" s="104"/>
      <c r="H95" s="104"/>
      <c r="I95" s="104"/>
    </row>
    <row r="96" spans="4:9" customFormat="1" x14ac:dyDescent="0.2">
      <c r="D96" s="104"/>
      <c r="E96" s="104"/>
      <c r="F96" s="104"/>
      <c r="G96" s="104"/>
      <c r="H96" s="104"/>
      <c r="I96" s="104"/>
    </row>
    <row r="97" spans="4:9" customFormat="1" x14ac:dyDescent="0.2">
      <c r="D97" s="104"/>
      <c r="E97" s="104"/>
      <c r="F97" s="104"/>
      <c r="G97" s="104"/>
      <c r="H97" s="104"/>
      <c r="I97" s="104"/>
    </row>
    <row r="98" spans="4:9" customFormat="1" x14ac:dyDescent="0.2">
      <c r="D98" s="104"/>
      <c r="E98" s="104"/>
      <c r="F98" s="104"/>
      <c r="G98" s="104"/>
      <c r="H98" s="104"/>
      <c r="I98" s="104"/>
    </row>
    <row r="99" spans="4:9" customFormat="1" x14ac:dyDescent="0.2">
      <c r="D99" s="104"/>
      <c r="E99" s="104"/>
      <c r="F99" s="104"/>
      <c r="G99" s="104"/>
      <c r="H99" s="104"/>
      <c r="I99" s="104"/>
    </row>
    <row r="100" spans="4:9" customFormat="1" x14ac:dyDescent="0.2">
      <c r="D100" s="104"/>
      <c r="E100" s="104"/>
      <c r="F100" s="104"/>
      <c r="G100" s="104"/>
      <c r="H100" s="104"/>
      <c r="I100" s="104"/>
    </row>
    <row r="101" spans="4:9" customFormat="1" x14ac:dyDescent="0.2">
      <c r="D101" s="104"/>
      <c r="E101" s="104"/>
      <c r="F101" s="104"/>
      <c r="G101" s="104"/>
      <c r="H101" s="104"/>
      <c r="I101" s="104"/>
    </row>
    <row r="102" spans="4:9" customFormat="1" x14ac:dyDescent="0.2">
      <c r="D102" s="104"/>
      <c r="E102" s="104"/>
      <c r="F102" s="104"/>
      <c r="G102" s="104"/>
      <c r="H102" s="104"/>
      <c r="I102" s="104"/>
    </row>
    <row r="103" spans="4:9" customFormat="1" x14ac:dyDescent="0.2">
      <c r="D103" s="104"/>
      <c r="E103" s="104"/>
      <c r="F103" s="104"/>
      <c r="G103" s="104"/>
      <c r="H103" s="104"/>
      <c r="I103" s="104"/>
    </row>
    <row r="104" spans="4:9" customFormat="1" x14ac:dyDescent="0.2">
      <c r="D104" s="104"/>
      <c r="E104" s="104"/>
      <c r="F104" s="104"/>
      <c r="G104" s="104"/>
      <c r="H104" s="104"/>
      <c r="I104" s="104"/>
    </row>
    <row r="105" spans="4:9" customFormat="1" x14ac:dyDescent="0.2">
      <c r="D105" s="104"/>
      <c r="E105" s="104"/>
      <c r="F105" s="104"/>
      <c r="G105" s="104"/>
      <c r="H105" s="104"/>
      <c r="I105" s="104"/>
    </row>
    <row r="106" spans="4:9" customFormat="1" x14ac:dyDescent="0.2">
      <c r="D106" s="104"/>
      <c r="E106" s="104"/>
      <c r="F106" s="104"/>
      <c r="G106" s="104"/>
      <c r="H106" s="104"/>
      <c r="I106" s="104"/>
    </row>
    <row r="107" spans="4:9" customFormat="1" x14ac:dyDescent="0.2">
      <c r="D107" s="104"/>
      <c r="E107" s="104"/>
      <c r="F107" s="104"/>
      <c r="G107" s="104"/>
      <c r="H107" s="104"/>
      <c r="I107" s="104"/>
    </row>
    <row r="108" spans="4:9" customFormat="1" x14ac:dyDescent="0.2">
      <c r="D108" s="104"/>
      <c r="E108" s="104"/>
      <c r="F108" s="104"/>
      <c r="G108" s="104"/>
      <c r="H108" s="104"/>
      <c r="I108" s="104"/>
    </row>
    <row r="109" spans="4:9" customFormat="1" x14ac:dyDescent="0.2">
      <c r="D109" s="104"/>
      <c r="E109" s="104"/>
      <c r="F109" s="104"/>
      <c r="G109" s="104"/>
      <c r="H109" s="104"/>
      <c r="I109" s="104"/>
    </row>
    <row r="110" spans="4:9" customFormat="1" x14ac:dyDescent="0.2">
      <c r="D110" s="104"/>
      <c r="E110" s="104"/>
      <c r="F110" s="104"/>
      <c r="G110" s="104"/>
      <c r="H110" s="104"/>
      <c r="I110" s="104"/>
    </row>
    <row r="111" spans="4:9" customFormat="1" x14ac:dyDescent="0.2">
      <c r="D111" s="104"/>
      <c r="E111" s="104"/>
      <c r="F111" s="104"/>
      <c r="G111" s="104"/>
      <c r="H111" s="104"/>
      <c r="I111" s="104"/>
    </row>
    <row r="112" spans="4:9" customFormat="1" x14ac:dyDescent="0.2">
      <c r="D112" s="104"/>
      <c r="E112" s="104"/>
      <c r="F112" s="104"/>
      <c r="G112" s="104"/>
      <c r="H112" s="104"/>
      <c r="I112" s="104"/>
    </row>
    <row r="113" spans="4:9" customFormat="1" x14ac:dyDescent="0.2">
      <c r="D113" s="104"/>
      <c r="E113" s="104"/>
      <c r="F113" s="104"/>
      <c r="G113" s="104"/>
      <c r="H113" s="104"/>
      <c r="I113" s="104"/>
    </row>
    <row r="114" spans="4:9" customFormat="1" x14ac:dyDescent="0.2">
      <c r="D114" s="104"/>
      <c r="E114" s="104"/>
      <c r="F114" s="104"/>
      <c r="G114" s="104"/>
      <c r="H114" s="104"/>
      <c r="I114" s="104"/>
    </row>
    <row r="115" spans="4:9" customFormat="1" x14ac:dyDescent="0.2">
      <c r="D115" s="104"/>
      <c r="E115" s="104"/>
      <c r="F115" s="104"/>
      <c r="G115" s="104"/>
      <c r="H115" s="104"/>
      <c r="I115" s="104"/>
    </row>
    <row r="116" spans="4:9" customFormat="1" x14ac:dyDescent="0.2">
      <c r="D116" s="104"/>
      <c r="E116" s="104"/>
      <c r="F116" s="104"/>
      <c r="G116" s="104"/>
      <c r="H116" s="104"/>
      <c r="I116" s="104"/>
    </row>
    <row r="117" spans="4:9" customFormat="1" x14ac:dyDescent="0.2">
      <c r="D117" s="104"/>
      <c r="E117" s="104"/>
      <c r="F117" s="104"/>
      <c r="G117" s="104"/>
      <c r="H117" s="104"/>
      <c r="I117" s="104"/>
    </row>
    <row r="118" spans="4:9" customFormat="1" x14ac:dyDescent="0.2">
      <c r="D118" s="104"/>
      <c r="E118" s="104"/>
      <c r="F118" s="104"/>
      <c r="G118" s="104"/>
      <c r="H118" s="104"/>
      <c r="I118" s="104"/>
    </row>
    <row r="119" spans="4:9" customFormat="1" x14ac:dyDescent="0.2">
      <c r="D119" s="104"/>
      <c r="E119" s="104"/>
      <c r="F119" s="104"/>
      <c r="G119" s="104"/>
      <c r="H119" s="104"/>
      <c r="I119" s="104"/>
    </row>
    <row r="120" spans="4:9" customFormat="1" x14ac:dyDescent="0.2">
      <c r="D120" s="104"/>
      <c r="E120" s="104"/>
      <c r="F120" s="104"/>
      <c r="G120" s="104"/>
      <c r="H120" s="104"/>
      <c r="I120" s="104"/>
    </row>
    <row r="121" spans="4:9" customFormat="1" x14ac:dyDescent="0.2">
      <c r="D121" s="104"/>
      <c r="E121" s="104"/>
      <c r="F121" s="104"/>
      <c r="G121" s="104"/>
      <c r="H121" s="104"/>
      <c r="I121" s="104"/>
    </row>
    <row r="122" spans="4:9" customFormat="1" x14ac:dyDescent="0.2">
      <c r="D122" s="104"/>
      <c r="E122" s="104"/>
      <c r="F122" s="104"/>
      <c r="G122" s="104"/>
      <c r="H122" s="104"/>
      <c r="I122" s="104"/>
    </row>
    <row r="123" spans="4:9" customFormat="1" x14ac:dyDescent="0.2">
      <c r="D123" s="104"/>
      <c r="E123" s="104"/>
      <c r="F123" s="104"/>
      <c r="G123" s="104"/>
      <c r="H123" s="104"/>
      <c r="I123" s="104"/>
    </row>
    <row r="124" spans="4:9" customFormat="1" x14ac:dyDescent="0.2">
      <c r="D124" s="104"/>
      <c r="E124" s="104"/>
      <c r="F124" s="104"/>
      <c r="G124" s="104"/>
      <c r="H124" s="104"/>
      <c r="I124" s="104"/>
    </row>
    <row r="125" spans="4:9" customFormat="1" x14ac:dyDescent="0.2">
      <c r="D125" s="104"/>
      <c r="E125" s="104"/>
      <c r="F125" s="104"/>
      <c r="G125" s="104"/>
      <c r="H125" s="104"/>
      <c r="I125" s="104"/>
    </row>
    <row r="126" spans="4:9" customFormat="1" x14ac:dyDescent="0.2">
      <c r="D126" s="104"/>
      <c r="E126" s="104"/>
      <c r="F126" s="104"/>
      <c r="G126" s="104"/>
      <c r="H126" s="104"/>
      <c r="I126" s="104"/>
    </row>
    <row r="127" spans="4:9" customFormat="1" x14ac:dyDescent="0.2">
      <c r="D127" s="104"/>
      <c r="E127" s="104"/>
      <c r="F127" s="104"/>
      <c r="G127" s="104"/>
      <c r="H127" s="104"/>
      <c r="I127" s="104"/>
    </row>
    <row r="128" spans="4:9" customFormat="1" x14ac:dyDescent="0.2">
      <c r="D128" s="104"/>
      <c r="E128" s="104"/>
      <c r="F128" s="104"/>
      <c r="G128" s="104"/>
      <c r="H128" s="104"/>
      <c r="I128" s="104"/>
    </row>
    <row r="129" spans="4:9" customFormat="1" x14ac:dyDescent="0.2">
      <c r="D129" s="104"/>
      <c r="E129" s="104"/>
      <c r="F129" s="104"/>
      <c r="G129" s="104"/>
      <c r="H129" s="104"/>
      <c r="I129" s="104"/>
    </row>
    <row r="130" spans="4:9" customFormat="1" x14ac:dyDescent="0.2">
      <c r="D130" s="104"/>
      <c r="E130" s="104"/>
      <c r="F130" s="104"/>
      <c r="G130" s="104"/>
      <c r="H130" s="104"/>
      <c r="I130" s="104"/>
    </row>
    <row r="131" spans="4:9" customFormat="1" x14ac:dyDescent="0.2">
      <c r="D131" s="104"/>
      <c r="E131" s="104"/>
      <c r="F131" s="104"/>
      <c r="G131" s="104"/>
      <c r="H131" s="104"/>
      <c r="I131" s="104"/>
    </row>
    <row r="132" spans="4:9" customFormat="1" x14ac:dyDescent="0.2">
      <c r="D132" s="104"/>
      <c r="E132" s="104"/>
      <c r="F132" s="104"/>
      <c r="G132" s="104"/>
      <c r="H132" s="104"/>
      <c r="I132" s="104"/>
    </row>
    <row r="133" spans="4:9" customFormat="1" x14ac:dyDescent="0.2">
      <c r="D133" s="104"/>
      <c r="E133" s="104"/>
      <c r="F133" s="104"/>
      <c r="G133" s="104"/>
      <c r="H133" s="104"/>
      <c r="I133" s="104"/>
    </row>
    <row r="134" spans="4:9" customFormat="1" x14ac:dyDescent="0.2">
      <c r="D134" s="104"/>
      <c r="E134" s="104"/>
      <c r="F134" s="104"/>
      <c r="G134" s="104"/>
      <c r="H134" s="104"/>
      <c r="I134" s="104"/>
    </row>
    <row r="135" spans="4:9" customFormat="1" x14ac:dyDescent="0.2">
      <c r="D135" s="104"/>
      <c r="E135" s="104"/>
      <c r="F135" s="104"/>
      <c r="G135" s="104"/>
      <c r="H135" s="104"/>
      <c r="I135" s="104"/>
    </row>
    <row r="136" spans="4:9" customFormat="1" x14ac:dyDescent="0.2">
      <c r="D136" s="104"/>
      <c r="E136" s="104"/>
      <c r="F136" s="104"/>
      <c r="G136" s="104"/>
      <c r="H136" s="104"/>
      <c r="I136" s="104"/>
    </row>
    <row r="137" spans="4:9" customFormat="1" x14ac:dyDescent="0.2">
      <c r="D137" s="104"/>
      <c r="E137" s="104"/>
      <c r="F137" s="104"/>
      <c r="G137" s="104"/>
      <c r="H137" s="104"/>
      <c r="I137" s="104"/>
    </row>
    <row r="138" spans="4:9" customFormat="1" x14ac:dyDescent="0.2">
      <c r="D138" s="104"/>
      <c r="E138" s="104"/>
      <c r="F138" s="104"/>
      <c r="G138" s="104"/>
      <c r="H138" s="104"/>
      <c r="I138" s="104"/>
    </row>
    <row r="139" spans="4:9" customFormat="1" x14ac:dyDescent="0.2">
      <c r="D139" s="104"/>
      <c r="E139" s="104"/>
      <c r="F139" s="104"/>
      <c r="G139" s="104"/>
      <c r="H139" s="104"/>
      <c r="I139" s="104"/>
    </row>
    <row r="140" spans="4:9" customFormat="1" x14ac:dyDescent="0.2">
      <c r="D140" s="104"/>
      <c r="E140" s="104"/>
      <c r="F140" s="104"/>
      <c r="G140" s="104"/>
      <c r="H140" s="104"/>
      <c r="I140" s="104"/>
    </row>
    <row r="141" spans="4:9" customFormat="1" x14ac:dyDescent="0.2">
      <c r="D141" s="104"/>
      <c r="E141" s="104"/>
      <c r="F141" s="104"/>
      <c r="G141" s="104"/>
      <c r="H141" s="104"/>
      <c r="I141" s="104"/>
    </row>
    <row r="142" spans="4:9" customFormat="1" x14ac:dyDescent="0.2">
      <c r="D142" s="104"/>
      <c r="E142" s="104"/>
      <c r="F142" s="104"/>
      <c r="G142" s="104"/>
      <c r="H142" s="104"/>
      <c r="I142" s="104"/>
    </row>
    <row r="143" spans="4:9" customFormat="1" x14ac:dyDescent="0.2">
      <c r="D143" s="104"/>
      <c r="E143" s="104"/>
      <c r="F143" s="104"/>
      <c r="G143" s="104"/>
      <c r="H143" s="104"/>
      <c r="I143" s="104"/>
    </row>
    <row r="144" spans="4:9" customFormat="1" x14ac:dyDescent="0.2">
      <c r="D144" s="104"/>
      <c r="E144" s="104"/>
      <c r="F144" s="104"/>
      <c r="G144" s="104"/>
      <c r="H144" s="104"/>
      <c r="I144" s="104"/>
    </row>
    <row r="145" spans="4:9" customFormat="1" x14ac:dyDescent="0.2">
      <c r="D145" s="104"/>
      <c r="E145" s="104"/>
      <c r="F145" s="104"/>
      <c r="G145" s="104"/>
      <c r="H145" s="104"/>
      <c r="I145" s="104"/>
    </row>
    <row r="146" spans="4:9" customFormat="1" x14ac:dyDescent="0.2">
      <c r="D146" s="104"/>
      <c r="E146" s="104"/>
      <c r="F146" s="104"/>
      <c r="G146" s="104"/>
      <c r="H146" s="104"/>
      <c r="I146" s="104"/>
    </row>
    <row r="147" spans="4:9" customFormat="1" x14ac:dyDescent="0.2">
      <c r="D147" s="104"/>
      <c r="E147" s="104"/>
      <c r="F147" s="104"/>
      <c r="G147" s="104"/>
      <c r="H147" s="104"/>
      <c r="I147" s="104"/>
    </row>
    <row r="148" spans="4:9" customFormat="1" x14ac:dyDescent="0.2">
      <c r="D148" s="104"/>
      <c r="E148" s="104"/>
      <c r="F148" s="104"/>
      <c r="G148" s="104"/>
      <c r="H148" s="104"/>
      <c r="I148" s="104"/>
    </row>
    <row r="149" spans="4:9" customFormat="1" x14ac:dyDescent="0.2">
      <c r="D149" s="104"/>
      <c r="E149" s="104"/>
      <c r="F149" s="104"/>
      <c r="G149" s="104"/>
      <c r="H149" s="104"/>
      <c r="I149" s="104"/>
    </row>
    <row r="150" spans="4:9" customFormat="1" x14ac:dyDescent="0.2">
      <c r="D150" s="104"/>
      <c r="E150" s="104"/>
      <c r="F150" s="104"/>
      <c r="G150" s="104"/>
      <c r="H150" s="104"/>
      <c r="I150" s="104"/>
    </row>
    <row r="151" spans="4:9" customFormat="1" x14ac:dyDescent="0.2">
      <c r="D151" s="104"/>
      <c r="E151" s="104"/>
      <c r="F151" s="104"/>
      <c r="G151" s="104"/>
      <c r="H151" s="104"/>
      <c r="I151" s="104"/>
    </row>
    <row r="152" spans="4:9" customFormat="1" x14ac:dyDescent="0.2">
      <c r="D152" s="104"/>
      <c r="E152" s="104"/>
      <c r="F152" s="104"/>
      <c r="G152" s="104"/>
      <c r="H152" s="104"/>
      <c r="I152" s="104"/>
    </row>
    <row r="153" spans="4:9" customFormat="1" x14ac:dyDescent="0.2">
      <c r="D153" s="104"/>
      <c r="E153" s="104"/>
      <c r="F153" s="104"/>
      <c r="G153" s="104"/>
      <c r="H153" s="104"/>
      <c r="I153" s="104"/>
    </row>
    <row r="154" spans="4:9" customFormat="1" x14ac:dyDescent="0.2">
      <c r="D154" s="104"/>
      <c r="E154" s="104"/>
      <c r="F154" s="104"/>
      <c r="G154" s="104"/>
      <c r="H154" s="104"/>
      <c r="I154" s="104"/>
    </row>
    <row r="155" spans="4:9" customFormat="1" x14ac:dyDescent="0.2">
      <c r="D155" s="104"/>
      <c r="E155" s="104"/>
      <c r="F155" s="104"/>
      <c r="G155" s="104"/>
      <c r="H155" s="104"/>
      <c r="I155" s="104"/>
    </row>
    <row r="156" spans="4:9" customFormat="1" x14ac:dyDescent="0.2">
      <c r="D156" s="104"/>
      <c r="E156" s="104"/>
      <c r="F156" s="104"/>
      <c r="G156" s="104"/>
      <c r="H156" s="104"/>
      <c r="I156" s="104"/>
    </row>
    <row r="157" spans="4:9" customFormat="1" x14ac:dyDescent="0.2">
      <c r="D157" s="104"/>
      <c r="E157" s="104"/>
      <c r="F157" s="104"/>
      <c r="G157" s="104"/>
      <c r="H157" s="104"/>
      <c r="I157" s="104"/>
    </row>
    <row r="158" spans="4:9" customFormat="1" x14ac:dyDescent="0.2">
      <c r="D158" s="104"/>
      <c r="E158" s="104"/>
      <c r="F158" s="104"/>
      <c r="G158" s="104"/>
      <c r="H158" s="104"/>
      <c r="I158" s="104"/>
    </row>
    <row r="159" spans="4:9" customFormat="1" x14ac:dyDescent="0.2">
      <c r="D159" s="104"/>
      <c r="E159" s="104"/>
      <c r="F159" s="104"/>
      <c r="G159" s="104"/>
      <c r="H159" s="104"/>
      <c r="I159" s="104"/>
    </row>
    <row r="160" spans="4:9" customFormat="1" x14ac:dyDescent="0.2">
      <c r="D160" s="104"/>
      <c r="E160" s="104"/>
      <c r="F160" s="104"/>
      <c r="G160" s="104"/>
      <c r="H160" s="104"/>
      <c r="I160" s="104"/>
    </row>
    <row r="161" spans="4:9" customFormat="1" x14ac:dyDescent="0.2">
      <c r="D161" s="104"/>
      <c r="E161" s="104"/>
      <c r="F161" s="104"/>
      <c r="G161" s="104"/>
      <c r="H161" s="104"/>
      <c r="I161" s="104"/>
    </row>
    <row r="162" spans="4:9" customFormat="1" x14ac:dyDescent="0.2">
      <c r="D162" s="104"/>
      <c r="E162" s="104"/>
      <c r="F162" s="104"/>
      <c r="G162" s="104"/>
      <c r="H162" s="104"/>
      <c r="I162" s="104"/>
    </row>
    <row r="163" spans="4:9" customFormat="1" x14ac:dyDescent="0.2">
      <c r="D163" s="104"/>
      <c r="E163" s="104"/>
      <c r="F163" s="104"/>
      <c r="G163" s="104"/>
      <c r="H163" s="104"/>
      <c r="I163" s="104"/>
    </row>
    <row r="164" spans="4:9" customFormat="1" x14ac:dyDescent="0.2">
      <c r="D164" s="104"/>
      <c r="E164" s="104"/>
      <c r="F164" s="104"/>
      <c r="G164" s="104"/>
      <c r="H164" s="104"/>
      <c r="I164" s="104"/>
    </row>
    <row r="165" spans="4:9" customFormat="1" x14ac:dyDescent="0.2">
      <c r="D165" s="104"/>
      <c r="E165" s="104"/>
      <c r="F165" s="104"/>
      <c r="G165" s="104"/>
      <c r="H165" s="104"/>
      <c r="I165" s="104"/>
    </row>
    <row r="166" spans="4:9" customFormat="1" x14ac:dyDescent="0.2">
      <c r="D166" s="104"/>
      <c r="E166" s="104"/>
      <c r="F166" s="104"/>
      <c r="G166" s="104"/>
      <c r="H166" s="104"/>
      <c r="I166" s="104"/>
    </row>
    <row r="167" spans="4:9" customFormat="1" x14ac:dyDescent="0.2">
      <c r="D167" s="104"/>
      <c r="E167" s="104"/>
      <c r="F167" s="104"/>
      <c r="G167" s="104"/>
      <c r="H167" s="104"/>
      <c r="I167" s="104"/>
    </row>
    <row r="168" spans="4:9" customFormat="1" x14ac:dyDescent="0.2">
      <c r="D168" s="104"/>
      <c r="E168" s="104"/>
      <c r="F168" s="104"/>
      <c r="G168" s="104"/>
      <c r="H168" s="104"/>
      <c r="I168" s="104"/>
    </row>
    <row r="169" spans="4:9" customFormat="1" x14ac:dyDescent="0.2">
      <c r="D169" s="104"/>
      <c r="E169" s="104"/>
      <c r="F169" s="104"/>
      <c r="G169" s="104"/>
      <c r="H169" s="104"/>
      <c r="I169" s="104"/>
    </row>
    <row r="170" spans="4:9" customFormat="1" x14ac:dyDescent="0.2">
      <c r="D170" s="104"/>
      <c r="E170" s="104"/>
      <c r="F170" s="104"/>
      <c r="G170" s="104"/>
      <c r="H170" s="104"/>
      <c r="I170" s="104"/>
    </row>
    <row r="171" spans="4:9" customFormat="1" x14ac:dyDescent="0.2">
      <c r="D171" s="104"/>
      <c r="E171" s="104"/>
      <c r="F171" s="104"/>
      <c r="G171" s="104"/>
      <c r="H171" s="104"/>
      <c r="I171" s="104"/>
    </row>
    <row r="172" spans="4:9" customFormat="1" x14ac:dyDescent="0.2">
      <c r="D172" s="104"/>
      <c r="E172" s="104"/>
      <c r="F172" s="104"/>
      <c r="G172" s="104"/>
      <c r="H172" s="104"/>
      <c r="I172" s="104"/>
    </row>
    <row r="173" spans="4:9" customFormat="1" x14ac:dyDescent="0.2">
      <c r="D173" s="104"/>
      <c r="E173" s="104"/>
      <c r="F173" s="104"/>
      <c r="G173" s="104"/>
      <c r="H173" s="104"/>
      <c r="I173" s="104"/>
    </row>
    <row r="174" spans="4:9" customFormat="1" x14ac:dyDescent="0.2">
      <c r="D174" s="104"/>
      <c r="E174" s="104"/>
      <c r="F174" s="104"/>
      <c r="G174" s="104"/>
      <c r="H174" s="104"/>
      <c r="I174" s="104"/>
    </row>
    <row r="175" spans="4:9" customFormat="1" x14ac:dyDescent="0.2">
      <c r="D175" s="104"/>
      <c r="E175" s="104"/>
      <c r="F175" s="104"/>
      <c r="G175" s="104"/>
      <c r="H175" s="104"/>
      <c r="I175" s="104"/>
    </row>
    <row r="176" spans="4:9" customFormat="1" x14ac:dyDescent="0.2">
      <c r="D176" s="104"/>
      <c r="E176" s="104"/>
      <c r="F176" s="104"/>
      <c r="G176" s="104"/>
      <c r="H176" s="104"/>
      <c r="I176" s="104"/>
    </row>
    <row r="177" spans="4:9" customFormat="1" x14ac:dyDescent="0.2">
      <c r="D177" s="104"/>
      <c r="E177" s="104"/>
      <c r="F177" s="104"/>
      <c r="G177" s="104"/>
      <c r="H177" s="104"/>
      <c r="I177" s="104"/>
    </row>
    <row r="178" spans="4:9" customFormat="1" x14ac:dyDescent="0.2">
      <c r="D178" s="104"/>
      <c r="E178" s="104"/>
      <c r="F178" s="104"/>
      <c r="G178" s="104"/>
      <c r="H178" s="104"/>
      <c r="I178" s="104"/>
    </row>
    <row r="179" spans="4:9" customFormat="1" x14ac:dyDescent="0.2">
      <c r="D179" s="104"/>
      <c r="E179" s="104"/>
      <c r="F179" s="104"/>
      <c r="G179" s="104"/>
      <c r="H179" s="104"/>
      <c r="I179" s="104"/>
    </row>
    <row r="180" spans="4:9" customFormat="1" x14ac:dyDescent="0.2">
      <c r="D180" s="104"/>
      <c r="E180" s="104"/>
      <c r="F180" s="104"/>
      <c r="G180" s="104"/>
      <c r="H180" s="104"/>
      <c r="I180" s="104"/>
    </row>
    <row r="181" spans="4:9" customFormat="1" x14ac:dyDescent="0.2">
      <c r="D181" s="104"/>
      <c r="E181" s="104"/>
      <c r="F181" s="104"/>
      <c r="G181" s="104"/>
      <c r="H181" s="104"/>
      <c r="I181" s="104"/>
    </row>
    <row r="182" spans="4:9" customFormat="1" x14ac:dyDescent="0.2">
      <c r="D182" s="104"/>
      <c r="E182" s="104"/>
      <c r="F182" s="104"/>
      <c r="G182" s="104"/>
      <c r="H182" s="104"/>
      <c r="I182" s="104"/>
    </row>
    <row r="183" spans="4:9" customFormat="1" x14ac:dyDescent="0.2">
      <c r="D183" s="104"/>
      <c r="E183" s="104"/>
      <c r="F183" s="104"/>
      <c r="G183" s="104"/>
      <c r="H183" s="104"/>
      <c r="I183" s="104"/>
    </row>
    <row r="184" spans="4:9" customFormat="1" x14ac:dyDescent="0.2">
      <c r="D184" s="104"/>
      <c r="E184" s="104"/>
      <c r="F184" s="104"/>
      <c r="G184" s="104"/>
      <c r="H184" s="104"/>
      <c r="I184" s="104"/>
    </row>
    <row r="185" spans="4:9" customFormat="1" x14ac:dyDescent="0.2">
      <c r="D185" s="104"/>
      <c r="E185" s="104"/>
      <c r="F185" s="104"/>
      <c r="G185" s="104"/>
      <c r="H185" s="104"/>
      <c r="I185" s="104"/>
    </row>
    <row r="186" spans="4:9" customFormat="1" x14ac:dyDescent="0.2">
      <c r="D186" s="104"/>
      <c r="E186" s="104"/>
      <c r="F186" s="104"/>
      <c r="G186" s="104"/>
      <c r="H186" s="104"/>
      <c r="I186" s="104"/>
    </row>
    <row r="187" spans="4:9" customFormat="1" x14ac:dyDescent="0.2">
      <c r="D187" s="104"/>
      <c r="E187" s="104"/>
      <c r="F187" s="104"/>
      <c r="G187" s="104"/>
      <c r="H187" s="104"/>
      <c r="I187" s="10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T188"/>
  <sheetViews>
    <sheetView tabSelected="1" zoomScale="115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2"/>
  <cols>
    <col min="1" max="1" width="26.1640625" style="164" bestFit="1" customWidth="1"/>
    <col min="2" max="5" width="16.1640625" style="93" customWidth="1"/>
    <col min="6" max="6" width="45.6640625" style="93" bestFit="1" customWidth="1"/>
    <col min="7" max="9" width="11.5" style="93"/>
    <col min="10" max="10" width="12.1640625" style="93" bestFit="1" customWidth="1"/>
    <col min="11" max="11" width="11.5" style="196"/>
    <col min="12" max="12" width="11.5" style="190"/>
    <col min="13" max="13" width="11.5" style="196"/>
    <col min="14" max="14" width="11.5" style="190"/>
    <col min="15" max="15" width="11.5" style="196"/>
    <col min="16" max="16" width="11.5" style="193"/>
    <col min="17" max="17" width="14.83203125" style="93" customWidth="1"/>
    <col min="18" max="18" width="22.1640625" style="140" customWidth="1"/>
    <col min="19" max="16384" width="11.5" style="93"/>
  </cols>
  <sheetData>
    <row r="1" spans="1:20" ht="15" customHeight="1" thickBot="1" x14ac:dyDescent="0.25">
      <c r="F1" s="123"/>
      <c r="G1" s="146" t="s">
        <v>47</v>
      </c>
      <c r="H1" s="146" t="s">
        <v>48</v>
      </c>
      <c r="I1" s="146" t="s">
        <v>122</v>
      </c>
      <c r="J1" s="146" t="s">
        <v>134</v>
      </c>
      <c r="K1" s="194" t="s">
        <v>49</v>
      </c>
      <c r="L1" s="188"/>
      <c r="M1" s="194" t="s">
        <v>121</v>
      </c>
      <c r="N1" s="188"/>
      <c r="O1" s="194" t="s">
        <v>50</v>
      </c>
      <c r="P1" s="191"/>
      <c r="Q1" s="165" t="s">
        <v>51</v>
      </c>
      <c r="R1" s="146" t="s">
        <v>160</v>
      </c>
    </row>
    <row r="2" spans="1:20" ht="15" customHeight="1" x14ac:dyDescent="0.2">
      <c r="A2" s="165" t="s">
        <v>52</v>
      </c>
      <c r="B2" s="166">
        <v>0.5</v>
      </c>
      <c r="C2" s="164" t="s">
        <v>53</v>
      </c>
      <c r="D2" s="167"/>
      <c r="F2" s="123"/>
      <c r="G2" s="168"/>
      <c r="H2" s="168"/>
      <c r="I2" s="168" t="s">
        <v>135</v>
      </c>
      <c r="J2" s="168" t="s">
        <v>135</v>
      </c>
      <c r="K2" s="195" t="s">
        <v>53</v>
      </c>
      <c r="L2" s="189" t="s">
        <v>54</v>
      </c>
      <c r="M2" s="195" t="s">
        <v>53</v>
      </c>
      <c r="N2" s="189" t="s">
        <v>54</v>
      </c>
      <c r="O2" s="195" t="s">
        <v>53</v>
      </c>
      <c r="P2" s="192" t="s">
        <v>54</v>
      </c>
      <c r="Q2" s="168"/>
      <c r="R2" s="169" t="s">
        <v>161</v>
      </c>
    </row>
    <row r="3" spans="1:20" ht="15" customHeight="1" thickBot="1" x14ac:dyDescent="0.25">
      <c r="A3" s="165" t="s">
        <v>55</v>
      </c>
      <c r="B3" s="170">
        <v>0.5</v>
      </c>
      <c r="C3" s="164" t="s">
        <v>54</v>
      </c>
      <c r="D3" s="167"/>
      <c r="F3" s="94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286">
        <v>0</v>
      </c>
    </row>
    <row r="4" spans="1:20" ht="15" customHeight="1" thickBot="1" x14ac:dyDescent="0.25">
      <c r="F4" s="94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286">
        <v>0</v>
      </c>
    </row>
    <row r="5" spans="1:20" ht="15" customHeight="1" x14ac:dyDescent="0.2">
      <c r="A5" s="165" t="s">
        <v>56</v>
      </c>
      <c r="B5" s="171">
        <v>0.5</v>
      </c>
      <c r="C5" s="164" t="s">
        <v>53</v>
      </c>
      <c r="D5" s="167"/>
      <c r="F5" s="94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286">
        <v>0</v>
      </c>
    </row>
    <row r="6" spans="1:20" ht="15" customHeight="1" thickBot="1" x14ac:dyDescent="0.25">
      <c r="A6" s="165"/>
      <c r="B6" s="172">
        <v>0.5</v>
      </c>
      <c r="C6" s="164" t="s">
        <v>54</v>
      </c>
      <c r="D6" s="167"/>
      <c r="F6" s="94" t="s">
        <v>185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1</v>
      </c>
      <c r="N6">
        <v>0</v>
      </c>
      <c r="O6">
        <v>1</v>
      </c>
      <c r="P6">
        <v>0</v>
      </c>
      <c r="Q6">
        <v>0</v>
      </c>
      <c r="R6" s="286">
        <v>1</v>
      </c>
      <c r="T6" s="163" t="s">
        <v>169</v>
      </c>
    </row>
    <row r="7" spans="1:20" ht="15" customHeight="1" thickBot="1" x14ac:dyDescent="0.25">
      <c r="F7" s="94" t="s">
        <v>186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1</v>
      </c>
      <c r="P7">
        <v>0</v>
      </c>
      <c r="Q7">
        <v>0</v>
      </c>
      <c r="R7" s="286">
        <v>1</v>
      </c>
      <c r="T7" s="163" t="s">
        <v>169</v>
      </c>
    </row>
    <row r="8" spans="1:20" ht="15" customHeight="1" x14ac:dyDescent="0.2">
      <c r="A8" s="165" t="s">
        <v>57</v>
      </c>
      <c r="B8" s="171">
        <f>E32</f>
        <v>0.27658063995121179</v>
      </c>
      <c r="C8" s="138" t="str">
        <f>A32</f>
        <v>Phytoplankton (OYC)</v>
      </c>
      <c r="D8" s="167" t="s">
        <v>168</v>
      </c>
      <c r="F8" s="94" t="s">
        <v>187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0</v>
      </c>
      <c r="R8" s="286">
        <v>1</v>
      </c>
      <c r="T8" s="163" t="s">
        <v>169</v>
      </c>
    </row>
    <row r="9" spans="1:20" ht="15" customHeight="1" x14ac:dyDescent="0.2">
      <c r="A9" s="173" t="s">
        <v>177</v>
      </c>
      <c r="B9" s="174">
        <f>E33</f>
        <v>0.17025808014636457</v>
      </c>
      <c r="C9" s="138" t="str">
        <f t="shared" ref="C9:C10" si="0">A33</f>
        <v>Phytoplankton (KC)</v>
      </c>
      <c r="D9" s="167" t="s">
        <v>168</v>
      </c>
      <c r="F9" s="94" t="s">
        <v>188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1</v>
      </c>
      <c r="N9">
        <v>0</v>
      </c>
      <c r="O9">
        <v>1</v>
      </c>
      <c r="P9">
        <v>0</v>
      </c>
      <c r="Q9">
        <v>0</v>
      </c>
      <c r="R9" s="286">
        <v>1</v>
      </c>
      <c r="T9" s="163" t="s">
        <v>169</v>
      </c>
    </row>
    <row r="10" spans="1:20" ht="15" customHeight="1" x14ac:dyDescent="0.2">
      <c r="B10" s="174">
        <f t="shared" ref="B10" si="1">E34</f>
        <v>0.55316127990242359</v>
      </c>
      <c r="C10" s="138" t="str">
        <f t="shared" si="0"/>
        <v>Phytoplankton (OF)</v>
      </c>
      <c r="D10" s="167" t="s">
        <v>168</v>
      </c>
      <c r="F10" s="94" t="s">
        <v>189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>
        <v>0</v>
      </c>
      <c r="R10" s="286">
        <v>1</v>
      </c>
    </row>
    <row r="11" spans="1:20" ht="15" customHeight="1" x14ac:dyDescent="0.2">
      <c r="A11" s="165"/>
      <c r="B11" s="174"/>
      <c r="C11" s="138"/>
      <c r="D11" s="167" t="s">
        <v>168</v>
      </c>
      <c r="F11" s="94" t="s">
        <v>190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1</v>
      </c>
      <c r="P11">
        <v>0</v>
      </c>
      <c r="Q11">
        <v>0</v>
      </c>
      <c r="R11" s="286">
        <v>1</v>
      </c>
    </row>
    <row r="12" spans="1:20" ht="15" customHeight="1" x14ac:dyDescent="0.2">
      <c r="B12" s="174"/>
      <c r="C12" s="175"/>
      <c r="D12" s="167" t="s">
        <v>168</v>
      </c>
      <c r="F12" s="94" t="s">
        <v>191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1</v>
      </c>
      <c r="N12">
        <v>0</v>
      </c>
      <c r="O12">
        <v>1</v>
      </c>
      <c r="P12">
        <v>0</v>
      </c>
      <c r="Q12">
        <v>0</v>
      </c>
      <c r="R12" s="286">
        <v>1</v>
      </c>
    </row>
    <row r="13" spans="1:20" ht="15" customHeight="1" x14ac:dyDescent="0.2">
      <c r="B13" s="174"/>
      <c r="C13" s="175"/>
      <c r="D13" s="167" t="s">
        <v>168</v>
      </c>
      <c r="F13" s="94" t="s">
        <v>192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1</v>
      </c>
      <c r="N13">
        <v>0</v>
      </c>
      <c r="O13">
        <v>1</v>
      </c>
      <c r="P13">
        <v>0</v>
      </c>
      <c r="Q13">
        <v>0</v>
      </c>
      <c r="R13" s="286">
        <v>1</v>
      </c>
    </row>
    <row r="14" spans="1:20" ht="15" customHeight="1" x14ac:dyDescent="0.2">
      <c r="B14" s="174"/>
      <c r="C14" s="176"/>
      <c r="D14" s="167" t="s">
        <v>168</v>
      </c>
      <c r="F14" s="94" t="s">
        <v>193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 s="286">
        <v>1</v>
      </c>
    </row>
    <row r="15" spans="1:20" ht="15" customHeight="1" x14ac:dyDescent="0.2">
      <c r="B15" s="174"/>
      <c r="C15" s="176"/>
      <c r="D15" s="167" t="s">
        <v>168</v>
      </c>
      <c r="F15" s="94" t="s">
        <v>194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1</v>
      </c>
      <c r="N15">
        <v>0</v>
      </c>
      <c r="O15">
        <v>1</v>
      </c>
      <c r="P15">
        <v>0</v>
      </c>
      <c r="Q15">
        <v>0</v>
      </c>
      <c r="R15" s="286">
        <v>1</v>
      </c>
    </row>
    <row r="16" spans="1:20" ht="15" customHeight="1" x14ac:dyDescent="0.2">
      <c r="B16" s="174"/>
      <c r="C16" s="176"/>
      <c r="D16" s="167" t="s">
        <v>168</v>
      </c>
      <c r="F16" s="94" t="s">
        <v>195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1</v>
      </c>
      <c r="N16">
        <v>0</v>
      </c>
      <c r="O16">
        <v>1</v>
      </c>
      <c r="P16">
        <v>0</v>
      </c>
      <c r="Q16">
        <v>0</v>
      </c>
      <c r="R16" s="286">
        <v>1</v>
      </c>
    </row>
    <row r="17" spans="1:18" ht="15" customHeight="1" thickBot="1" x14ac:dyDescent="0.25">
      <c r="B17" s="172"/>
      <c r="C17" s="176"/>
      <c r="D17" s="167" t="s">
        <v>168</v>
      </c>
      <c r="F17" s="94" t="s">
        <v>196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1</v>
      </c>
      <c r="N17">
        <v>0</v>
      </c>
      <c r="O17">
        <v>1</v>
      </c>
      <c r="P17">
        <v>0</v>
      </c>
      <c r="Q17">
        <v>0</v>
      </c>
      <c r="R17" s="286">
        <v>1</v>
      </c>
    </row>
    <row r="18" spans="1:18" ht="15" customHeight="1" thickBot="1" x14ac:dyDescent="0.25">
      <c r="B18" s="156"/>
      <c r="F18" s="94" t="s">
        <v>197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1</v>
      </c>
      <c r="N18">
        <v>0</v>
      </c>
      <c r="O18">
        <v>1</v>
      </c>
      <c r="P18">
        <v>0</v>
      </c>
      <c r="Q18">
        <v>0</v>
      </c>
      <c r="R18" s="286">
        <v>1</v>
      </c>
    </row>
    <row r="19" spans="1:18" ht="15" customHeight="1" x14ac:dyDescent="0.2">
      <c r="A19" s="165" t="s">
        <v>58</v>
      </c>
      <c r="B19" s="171">
        <f>E32</f>
        <v>0.27658063995121179</v>
      </c>
      <c r="C19" s="138" t="str">
        <f>A32</f>
        <v>Phytoplankton (OYC)</v>
      </c>
      <c r="D19" s="167" t="s">
        <v>168</v>
      </c>
      <c r="F19" s="94" t="s">
        <v>198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1</v>
      </c>
      <c r="N19">
        <v>0</v>
      </c>
      <c r="O19">
        <v>1</v>
      </c>
      <c r="P19">
        <v>0</v>
      </c>
      <c r="Q19">
        <v>0</v>
      </c>
      <c r="R19" s="286">
        <v>1</v>
      </c>
    </row>
    <row r="20" spans="1:18" ht="15" customHeight="1" x14ac:dyDescent="0.2">
      <c r="A20" s="173" t="s">
        <v>177</v>
      </c>
      <c r="B20" s="174">
        <f>E33</f>
        <v>0.17025808014636457</v>
      </c>
      <c r="C20" s="138" t="str">
        <f t="shared" ref="C20:C21" si="2">A33</f>
        <v>Phytoplankton (KC)</v>
      </c>
      <c r="D20" s="167" t="s">
        <v>168</v>
      </c>
      <c r="F20" s="94" t="s">
        <v>199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1</v>
      </c>
      <c r="N20">
        <v>0</v>
      </c>
      <c r="O20">
        <v>1</v>
      </c>
      <c r="P20">
        <v>0</v>
      </c>
      <c r="Q20">
        <v>0</v>
      </c>
      <c r="R20" s="286">
        <v>1</v>
      </c>
    </row>
    <row r="21" spans="1:18" ht="15" customHeight="1" x14ac:dyDescent="0.2">
      <c r="B21" s="174">
        <f t="shared" ref="B21" si="3">E34</f>
        <v>0.55316127990242359</v>
      </c>
      <c r="C21" s="138" t="str">
        <f t="shared" si="2"/>
        <v>Phytoplankton (OF)</v>
      </c>
      <c r="D21" s="167" t="s">
        <v>168</v>
      </c>
      <c r="F21" s="94" t="s">
        <v>200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1</v>
      </c>
      <c r="N21">
        <v>0</v>
      </c>
      <c r="O21">
        <v>1</v>
      </c>
      <c r="P21">
        <v>0</v>
      </c>
      <c r="Q21">
        <v>0</v>
      </c>
      <c r="R21" s="286">
        <v>1</v>
      </c>
    </row>
    <row r="22" spans="1:18" ht="15" customHeight="1" x14ac:dyDescent="0.2">
      <c r="A22" s="93"/>
      <c r="B22" s="174"/>
      <c r="C22" s="138"/>
      <c r="D22" s="167" t="s">
        <v>168</v>
      </c>
      <c r="F22" s="94" t="s">
        <v>201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1</v>
      </c>
      <c r="N22">
        <v>0</v>
      </c>
      <c r="O22">
        <v>1</v>
      </c>
      <c r="P22">
        <v>0</v>
      </c>
      <c r="Q22">
        <v>0</v>
      </c>
      <c r="R22" s="286">
        <v>1</v>
      </c>
    </row>
    <row r="23" spans="1:18" ht="15" customHeight="1" x14ac:dyDescent="0.2">
      <c r="A23" s="93"/>
      <c r="B23" s="174"/>
      <c r="C23" s="175"/>
      <c r="D23" s="167" t="s">
        <v>168</v>
      </c>
      <c r="F23" s="94" t="s">
        <v>202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 s="286">
        <v>1</v>
      </c>
    </row>
    <row r="24" spans="1:18" ht="15" customHeight="1" x14ac:dyDescent="0.2">
      <c r="A24" s="93"/>
      <c r="B24" s="174"/>
      <c r="C24" s="175"/>
      <c r="D24" s="167" t="s">
        <v>168</v>
      </c>
      <c r="F24" s="94" t="s">
        <v>203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1</v>
      </c>
      <c r="P24">
        <v>0</v>
      </c>
      <c r="Q24">
        <v>0</v>
      </c>
      <c r="R24" s="286">
        <v>1</v>
      </c>
    </row>
    <row r="25" spans="1:18" ht="15" customHeight="1" x14ac:dyDescent="0.2">
      <c r="A25" s="93"/>
      <c r="B25" s="174"/>
      <c r="C25" s="176"/>
      <c r="D25" s="167" t="s">
        <v>168</v>
      </c>
      <c r="F25" s="94" t="s">
        <v>204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</v>
      </c>
      <c r="O25">
        <v>1</v>
      </c>
      <c r="P25">
        <v>0</v>
      </c>
      <c r="Q25">
        <v>0</v>
      </c>
      <c r="R25" s="286">
        <v>1</v>
      </c>
    </row>
    <row r="26" spans="1:18" ht="15" customHeight="1" x14ac:dyDescent="0.2">
      <c r="B26" s="174"/>
      <c r="C26" s="176"/>
      <c r="D26" s="167" t="s">
        <v>168</v>
      </c>
      <c r="F26" s="94" t="s">
        <v>205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1</v>
      </c>
      <c r="N26">
        <v>0</v>
      </c>
      <c r="O26">
        <v>1</v>
      </c>
      <c r="P26">
        <v>0</v>
      </c>
      <c r="Q26">
        <v>0</v>
      </c>
      <c r="R26" s="286">
        <v>1</v>
      </c>
    </row>
    <row r="27" spans="1:18" ht="15" customHeight="1" x14ac:dyDescent="0.2">
      <c r="B27" s="174"/>
      <c r="C27" s="176"/>
      <c r="D27" s="167" t="s">
        <v>168</v>
      </c>
      <c r="F27" s="94" t="s">
        <v>206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1</v>
      </c>
      <c r="N27">
        <v>0</v>
      </c>
      <c r="O27">
        <v>1</v>
      </c>
      <c r="P27">
        <v>0</v>
      </c>
      <c r="Q27">
        <v>0</v>
      </c>
      <c r="R27" s="286">
        <v>1</v>
      </c>
    </row>
    <row r="28" spans="1:18" ht="15" customHeight="1" thickBot="1" x14ac:dyDescent="0.25">
      <c r="B28" s="172"/>
      <c r="C28" s="176"/>
      <c r="D28" s="167" t="s">
        <v>168</v>
      </c>
      <c r="F28" s="94" t="s">
        <v>207</v>
      </c>
      <c r="G28">
        <v>0</v>
      </c>
      <c r="H28">
        <v>0</v>
      </c>
      <c r="I28">
        <v>0</v>
      </c>
      <c r="J28">
        <v>0</v>
      </c>
      <c r="K28">
        <v>1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 s="286">
        <v>1</v>
      </c>
    </row>
    <row r="29" spans="1:18" ht="15" customHeight="1" x14ac:dyDescent="0.2">
      <c r="F29" s="94" t="s">
        <v>208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1</v>
      </c>
      <c r="N29">
        <v>0</v>
      </c>
      <c r="O29">
        <v>1</v>
      </c>
      <c r="P29">
        <v>0</v>
      </c>
      <c r="Q29">
        <v>0</v>
      </c>
      <c r="R29" s="286">
        <v>1</v>
      </c>
    </row>
    <row r="30" spans="1:18" ht="15" customHeight="1" x14ac:dyDescent="0.2">
      <c r="F30" s="94" t="s">
        <v>209</v>
      </c>
      <c r="G30">
        <v>0</v>
      </c>
      <c r="H30">
        <v>0</v>
      </c>
      <c r="I30">
        <v>0</v>
      </c>
      <c r="J30">
        <v>0</v>
      </c>
      <c r="K30">
        <v>1</v>
      </c>
      <c r="L30">
        <v>0</v>
      </c>
      <c r="M30">
        <v>1</v>
      </c>
      <c r="N30">
        <v>0</v>
      </c>
      <c r="O30">
        <v>1</v>
      </c>
      <c r="P30">
        <v>0</v>
      </c>
      <c r="Q30">
        <v>0</v>
      </c>
      <c r="R30" s="286">
        <v>1</v>
      </c>
    </row>
    <row r="31" spans="1:18" ht="15" customHeight="1" x14ac:dyDescent="0.2">
      <c r="A31" s="177"/>
      <c r="B31" s="178" t="s">
        <v>18</v>
      </c>
      <c r="C31" s="178" t="s">
        <v>1</v>
      </c>
      <c r="D31" s="178" t="s">
        <v>170</v>
      </c>
      <c r="E31" s="179" t="s">
        <v>172</v>
      </c>
      <c r="F31" s="94" t="s">
        <v>210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1</v>
      </c>
      <c r="N31">
        <v>0</v>
      </c>
      <c r="O31">
        <v>1</v>
      </c>
      <c r="P31">
        <v>0</v>
      </c>
      <c r="Q31">
        <v>0</v>
      </c>
      <c r="R31" s="286">
        <v>1</v>
      </c>
    </row>
    <row r="32" spans="1:18" ht="15" customHeight="1" x14ac:dyDescent="0.2">
      <c r="A32" s="117" t="str">
        <f>MainOutputs!B37</f>
        <v>Phytoplankton (OYC)</v>
      </c>
      <c r="B32" s="156">
        <f>MainOutputs!D37</f>
        <v>2.7100000381469727</v>
      </c>
      <c r="C32" s="156">
        <f>MainOutputs!E37</f>
        <v>153.77999877929688</v>
      </c>
      <c r="D32" s="156">
        <f>B32*C32</f>
        <v>416.74380255813594</v>
      </c>
      <c r="E32" s="180">
        <f>D32/D$42</f>
        <v>0.27658063995121179</v>
      </c>
      <c r="F32" s="94" t="s">
        <v>211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1</v>
      </c>
      <c r="N32">
        <v>0</v>
      </c>
      <c r="O32">
        <v>1</v>
      </c>
      <c r="P32">
        <v>0</v>
      </c>
      <c r="Q32">
        <v>0</v>
      </c>
      <c r="R32" s="286">
        <v>1</v>
      </c>
    </row>
    <row r="33" spans="1:18" ht="15" customHeight="1" x14ac:dyDescent="0.2">
      <c r="A33" s="117" t="str">
        <f>MainOutputs!B38</f>
        <v>Phytoplankton (KC)</v>
      </c>
      <c r="B33" s="156">
        <f>MainOutputs!D38</f>
        <v>2</v>
      </c>
      <c r="C33" s="156">
        <f>MainOutputs!E38</f>
        <v>128.27000427246094</v>
      </c>
      <c r="D33" s="156">
        <f t="shared" ref="D33" si="4">B33*C33</f>
        <v>256.54000854492188</v>
      </c>
      <c r="E33" s="180">
        <f t="shared" ref="E33" si="5">D33/D$42</f>
        <v>0.17025808014636457</v>
      </c>
      <c r="F33" s="94" t="s">
        <v>212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1</v>
      </c>
      <c r="N33">
        <v>0</v>
      </c>
      <c r="O33">
        <v>1</v>
      </c>
      <c r="P33">
        <v>0</v>
      </c>
      <c r="Q33">
        <v>0</v>
      </c>
      <c r="R33" s="286">
        <v>1</v>
      </c>
    </row>
    <row r="34" spans="1:18" ht="15" customHeight="1" x14ac:dyDescent="0.2">
      <c r="A34" s="117" t="str">
        <f>MainOutputs!B39</f>
        <v>Phytoplankton (OF)</v>
      </c>
      <c r="B34" s="156">
        <f>MainOutputs!D39</f>
        <v>5.4200000762939453</v>
      </c>
      <c r="C34" s="156">
        <f>MainOutputs!E39</f>
        <v>153.77999877929688</v>
      </c>
      <c r="D34" s="156">
        <f t="shared" ref="D34" si="6">B34*C34</f>
        <v>833.48760511627188</v>
      </c>
      <c r="E34" s="180">
        <f t="shared" ref="E34" si="7">D34/D$42</f>
        <v>0.55316127990242359</v>
      </c>
      <c r="F34" s="94" t="s">
        <v>213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1</v>
      </c>
      <c r="N34">
        <v>0</v>
      </c>
      <c r="O34">
        <v>1</v>
      </c>
      <c r="P34">
        <v>0</v>
      </c>
      <c r="Q34">
        <v>0</v>
      </c>
      <c r="R34" s="286">
        <v>1</v>
      </c>
    </row>
    <row r="35" spans="1:18" ht="15" customHeight="1" x14ac:dyDescent="0.2">
      <c r="A35" s="117"/>
      <c r="B35" s="156"/>
      <c r="C35" s="156"/>
      <c r="D35" s="156"/>
      <c r="E35" s="180"/>
      <c r="F35" s="94" t="s">
        <v>214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1</v>
      </c>
      <c r="N35">
        <v>0</v>
      </c>
      <c r="O35">
        <v>1</v>
      </c>
      <c r="P35">
        <v>0</v>
      </c>
      <c r="Q35">
        <v>0</v>
      </c>
      <c r="R35" s="286">
        <v>1</v>
      </c>
    </row>
    <row r="36" spans="1:18" ht="15" customHeight="1" x14ac:dyDescent="0.2">
      <c r="A36" s="181"/>
      <c r="B36" s="156"/>
      <c r="C36" s="156"/>
      <c r="D36" s="156"/>
      <c r="E36" s="180"/>
      <c r="F36" s="94" t="s">
        <v>215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1</v>
      </c>
      <c r="P36">
        <v>0</v>
      </c>
      <c r="Q36">
        <v>0</v>
      </c>
      <c r="R36" s="286">
        <v>1</v>
      </c>
    </row>
    <row r="37" spans="1:18" ht="15" customHeight="1" x14ac:dyDescent="0.2">
      <c r="A37" s="181"/>
      <c r="B37" s="156"/>
      <c r="C37" s="156"/>
      <c r="D37" s="156"/>
      <c r="E37" s="180"/>
      <c r="F37" s="94" t="s">
        <v>216</v>
      </c>
      <c r="G37">
        <v>0</v>
      </c>
      <c r="H37">
        <v>0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1</v>
      </c>
      <c r="P37">
        <v>0</v>
      </c>
      <c r="Q37">
        <v>0</v>
      </c>
      <c r="R37" s="286">
        <v>1</v>
      </c>
    </row>
    <row r="38" spans="1:18" ht="15" customHeight="1" x14ac:dyDescent="0.2">
      <c r="A38" s="182"/>
      <c r="B38" s="156"/>
      <c r="C38" s="156"/>
      <c r="D38" s="156"/>
      <c r="E38" s="180"/>
      <c r="F38" s="94" t="s">
        <v>217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1</v>
      </c>
      <c r="N38">
        <v>0</v>
      </c>
      <c r="O38">
        <v>1</v>
      </c>
      <c r="P38">
        <v>0</v>
      </c>
      <c r="Q38">
        <v>0</v>
      </c>
      <c r="R38" s="286">
        <v>1</v>
      </c>
    </row>
    <row r="39" spans="1:18" ht="15" customHeight="1" x14ac:dyDescent="0.2">
      <c r="A39" s="182"/>
      <c r="B39" s="156"/>
      <c r="C39" s="156"/>
      <c r="D39" s="156"/>
      <c r="E39" s="180"/>
      <c r="F39" s="94" t="s">
        <v>218</v>
      </c>
      <c r="G39">
        <v>0</v>
      </c>
      <c r="H39">
        <v>0</v>
      </c>
      <c r="I39">
        <v>0</v>
      </c>
      <c r="J39">
        <v>0</v>
      </c>
      <c r="K39">
        <v>1</v>
      </c>
      <c r="L39">
        <v>0</v>
      </c>
      <c r="M39">
        <v>1</v>
      </c>
      <c r="N39">
        <v>0</v>
      </c>
      <c r="O39">
        <v>1</v>
      </c>
      <c r="P39">
        <v>0</v>
      </c>
      <c r="Q39">
        <v>0</v>
      </c>
      <c r="R39" s="286">
        <v>1</v>
      </c>
    </row>
    <row r="40" spans="1:18" ht="15" customHeight="1" x14ac:dyDescent="0.2">
      <c r="A40" s="182"/>
      <c r="B40" s="156"/>
      <c r="C40" s="156"/>
      <c r="D40" s="156"/>
      <c r="E40" s="180"/>
      <c r="F40" s="94" t="s">
        <v>219</v>
      </c>
      <c r="G40">
        <v>0</v>
      </c>
      <c r="H40">
        <v>0</v>
      </c>
      <c r="I40">
        <v>0</v>
      </c>
      <c r="J40">
        <v>0</v>
      </c>
      <c r="K40">
        <v>1</v>
      </c>
      <c r="L40">
        <v>0</v>
      </c>
      <c r="M40">
        <v>1</v>
      </c>
      <c r="N40">
        <v>0</v>
      </c>
      <c r="O40">
        <v>1</v>
      </c>
      <c r="P40">
        <v>0</v>
      </c>
      <c r="Q40">
        <v>0</v>
      </c>
      <c r="R40" s="286">
        <v>1</v>
      </c>
    </row>
    <row r="41" spans="1:18" ht="15" customHeight="1" thickBot="1" x14ac:dyDescent="0.25">
      <c r="A41" s="182"/>
      <c r="B41" s="156"/>
      <c r="C41" s="156"/>
      <c r="D41" s="183"/>
      <c r="E41" s="184"/>
      <c r="F41" s="94" t="s">
        <v>220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 s="286">
        <v>1</v>
      </c>
    </row>
    <row r="42" spans="1:18" ht="15" customHeight="1" x14ac:dyDescent="0.2">
      <c r="A42" s="185"/>
      <c r="B42" s="186"/>
      <c r="C42" s="186" t="s">
        <v>171</v>
      </c>
      <c r="D42" s="186">
        <f>SUM(D32:D41)</f>
        <v>1506.7714162193297</v>
      </c>
      <c r="E42" s="187">
        <f>SUM(E32:E41)</f>
        <v>1</v>
      </c>
      <c r="F42" s="94" t="s">
        <v>221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0</v>
      </c>
      <c r="R42" s="286">
        <v>1</v>
      </c>
    </row>
    <row r="43" spans="1:18" ht="15" customHeight="1" x14ac:dyDescent="0.2">
      <c r="A43" s="93"/>
      <c r="F43" s="94" t="s">
        <v>222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0</v>
      </c>
      <c r="R43" s="286">
        <v>1</v>
      </c>
    </row>
    <row r="44" spans="1:18" ht="15" customHeight="1" x14ac:dyDescent="0.2">
      <c r="A44" s="93"/>
      <c r="F44" s="94" t="s">
        <v>223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  <c r="P44">
        <v>1</v>
      </c>
      <c r="Q44">
        <v>0</v>
      </c>
      <c r="R44" s="286">
        <v>1</v>
      </c>
    </row>
    <row r="45" spans="1:18" ht="15" customHeight="1" x14ac:dyDescent="0.2">
      <c r="A45" s="93"/>
      <c r="F45" s="94" t="s">
        <v>224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 s="286">
        <v>1</v>
      </c>
    </row>
    <row r="46" spans="1:18" ht="15" customHeight="1" x14ac:dyDescent="0.2">
      <c r="A46" s="93"/>
      <c r="F46" s="94" t="s">
        <v>225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</v>
      </c>
      <c r="P46">
        <v>1</v>
      </c>
      <c r="Q46">
        <v>0</v>
      </c>
      <c r="R46" s="286">
        <v>1</v>
      </c>
    </row>
    <row r="47" spans="1:18" ht="15" customHeight="1" x14ac:dyDescent="0.2">
      <c r="A47" s="93"/>
      <c r="F47" s="94" t="s">
        <v>227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</v>
      </c>
      <c r="P47">
        <v>1</v>
      </c>
      <c r="Q47">
        <v>0</v>
      </c>
      <c r="R47" s="286">
        <v>1</v>
      </c>
    </row>
    <row r="48" spans="1:18" ht="15" customHeight="1" x14ac:dyDescent="0.2">
      <c r="A48" s="93"/>
      <c r="F48" s="94" t="s">
        <v>125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</v>
      </c>
      <c r="P48">
        <v>1</v>
      </c>
      <c r="Q48">
        <v>0</v>
      </c>
      <c r="R48" s="286">
        <v>1</v>
      </c>
    </row>
    <row r="49" spans="1:18" ht="15" customHeight="1" x14ac:dyDescent="0.2">
      <c r="A49" s="93"/>
      <c r="F49" s="94" t="s">
        <v>226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 s="286">
        <v>1</v>
      </c>
    </row>
    <row r="50" spans="1:18" ht="15" customHeight="1" x14ac:dyDescent="0.2">
      <c r="A50" s="93"/>
      <c r="P50" s="190"/>
      <c r="R50" s="93"/>
    </row>
    <row r="51" spans="1:18" ht="15" customHeight="1" x14ac:dyDescent="0.2">
      <c r="P51" s="190"/>
      <c r="R51" s="93"/>
    </row>
    <row r="52" spans="1:18" ht="15" customHeight="1" x14ac:dyDescent="0.2">
      <c r="K52" s="163" t="s">
        <v>158</v>
      </c>
      <c r="P52" s="190"/>
      <c r="R52" s="93"/>
    </row>
    <row r="53" spans="1:18" ht="15" customHeight="1" x14ac:dyDescent="0.2">
      <c r="A53" s="93"/>
      <c r="O53" s="163" t="s">
        <v>159</v>
      </c>
      <c r="P53" s="190"/>
      <c r="R53" s="93"/>
    </row>
    <row r="54" spans="1:18" ht="15" customHeight="1" x14ac:dyDescent="0.2">
      <c r="A54" s="93"/>
      <c r="P54" s="190"/>
      <c r="R54" s="93"/>
    </row>
    <row r="55" spans="1:18" ht="15" customHeight="1" x14ac:dyDescent="0.2">
      <c r="A55" s="93"/>
      <c r="P55" s="190"/>
      <c r="R55" s="93"/>
    </row>
    <row r="56" spans="1:18" ht="15" customHeight="1" x14ac:dyDescent="0.2">
      <c r="A56" s="93"/>
      <c r="P56" s="190"/>
      <c r="R56" s="93"/>
    </row>
    <row r="57" spans="1:18" ht="15" customHeight="1" x14ac:dyDescent="0.2">
      <c r="A57" s="93"/>
      <c r="P57" s="190"/>
      <c r="R57" s="93"/>
    </row>
    <row r="58" spans="1:18" ht="15" customHeight="1" x14ac:dyDescent="0.2">
      <c r="A58" s="93"/>
      <c r="P58" s="190"/>
      <c r="R58" s="93"/>
    </row>
    <row r="59" spans="1:18" ht="15" customHeight="1" x14ac:dyDescent="0.2">
      <c r="A59" s="93"/>
      <c r="P59" s="190"/>
      <c r="R59" s="93"/>
    </row>
    <row r="60" spans="1:18" ht="15" customHeight="1" x14ac:dyDescent="0.2">
      <c r="A60" s="93"/>
      <c r="P60" s="190"/>
      <c r="R60" s="93"/>
    </row>
    <row r="61" spans="1:18" ht="15" customHeight="1" x14ac:dyDescent="0.2">
      <c r="A61" s="93"/>
      <c r="P61" s="190"/>
      <c r="R61" s="93"/>
    </row>
    <row r="62" spans="1:18" ht="15" customHeight="1" x14ac:dyDescent="0.2">
      <c r="A62" s="93"/>
      <c r="P62" s="190"/>
      <c r="R62" s="93"/>
    </row>
    <row r="63" spans="1:18" ht="15" customHeight="1" x14ac:dyDescent="0.2">
      <c r="A63" s="93"/>
      <c r="P63" s="190"/>
      <c r="R63" s="93"/>
    </row>
    <row r="64" spans="1:18" ht="15" customHeight="1" x14ac:dyDescent="0.2">
      <c r="A64" s="93"/>
      <c r="P64" s="190"/>
      <c r="R64" s="93"/>
    </row>
    <row r="65" spans="1:18" ht="15" customHeight="1" x14ac:dyDescent="0.2">
      <c r="P65" s="190"/>
      <c r="R65" s="93"/>
    </row>
    <row r="66" spans="1:18" ht="15" customHeight="1" x14ac:dyDescent="0.2">
      <c r="P66" s="190"/>
      <c r="R66" s="93"/>
    </row>
    <row r="67" spans="1:18" ht="15" customHeight="1" x14ac:dyDescent="0.2">
      <c r="P67" s="190"/>
      <c r="R67" s="93"/>
    </row>
    <row r="68" spans="1:18" ht="15" customHeight="1" x14ac:dyDescent="0.2">
      <c r="P68" s="190"/>
      <c r="R68" s="93"/>
    </row>
    <row r="69" spans="1:18" ht="15" customHeight="1" x14ac:dyDescent="0.2">
      <c r="P69" s="190"/>
      <c r="R69" s="93"/>
    </row>
    <row r="70" spans="1:18" ht="15" customHeight="1" x14ac:dyDescent="0.2">
      <c r="P70" s="190"/>
      <c r="R70" s="93"/>
    </row>
    <row r="71" spans="1:18" ht="15" customHeight="1" x14ac:dyDescent="0.2">
      <c r="P71" s="190"/>
      <c r="R71" s="93"/>
    </row>
    <row r="72" spans="1:18" ht="15" customHeight="1" x14ac:dyDescent="0.2">
      <c r="P72" s="190"/>
      <c r="R72" s="93"/>
    </row>
    <row r="73" spans="1:18" ht="15" customHeight="1" x14ac:dyDescent="0.2">
      <c r="P73" s="190"/>
      <c r="R73" s="93"/>
    </row>
    <row r="74" spans="1:18" ht="15" customHeight="1" x14ac:dyDescent="0.2">
      <c r="P74" s="190"/>
      <c r="R74" s="93"/>
    </row>
    <row r="75" spans="1:18" ht="15" customHeight="1" x14ac:dyDescent="0.2">
      <c r="P75" s="190"/>
      <c r="R75" s="93"/>
    </row>
    <row r="76" spans="1:18" ht="15" customHeight="1" x14ac:dyDescent="0.2">
      <c r="A76" s="93"/>
      <c r="P76" s="190"/>
      <c r="R76" s="93"/>
    </row>
    <row r="77" spans="1:18" ht="15" customHeight="1" x14ac:dyDescent="0.2">
      <c r="A77" s="93"/>
      <c r="P77" s="190"/>
      <c r="R77" s="93"/>
    </row>
    <row r="78" spans="1:18" ht="15" customHeight="1" x14ac:dyDescent="0.2">
      <c r="A78" s="93"/>
      <c r="P78" s="190"/>
      <c r="R78" s="93"/>
    </row>
    <row r="79" spans="1:18" ht="15" customHeight="1" x14ac:dyDescent="0.2">
      <c r="A79" s="93"/>
      <c r="P79" s="190"/>
      <c r="R79" s="93"/>
    </row>
    <row r="80" spans="1:18" ht="15" customHeight="1" x14ac:dyDescent="0.2">
      <c r="A80" s="93"/>
      <c r="P80" s="190"/>
      <c r="R80" s="93"/>
    </row>
    <row r="81" spans="1:18" ht="15" customHeight="1" x14ac:dyDescent="0.2">
      <c r="A81" s="93"/>
      <c r="P81" s="190"/>
      <c r="R81" s="93"/>
    </row>
    <row r="82" spans="1:18" ht="15" customHeight="1" x14ac:dyDescent="0.2">
      <c r="A82" s="93"/>
      <c r="P82" s="190"/>
      <c r="R82" s="93"/>
    </row>
    <row r="83" spans="1:18" ht="15" customHeight="1" x14ac:dyDescent="0.2">
      <c r="A83" s="93"/>
      <c r="P83" s="190"/>
      <c r="R83" s="93"/>
    </row>
    <row r="84" spans="1:18" ht="15" customHeight="1" x14ac:dyDescent="0.2">
      <c r="A84" s="93"/>
      <c r="P84" s="190"/>
      <c r="R84" s="93"/>
    </row>
    <row r="85" spans="1:18" ht="15" customHeight="1" x14ac:dyDescent="0.2">
      <c r="A85" s="93"/>
      <c r="P85" s="190"/>
      <c r="R85" s="93"/>
    </row>
    <row r="86" spans="1:18" ht="15" customHeight="1" x14ac:dyDescent="0.2">
      <c r="A86" s="93"/>
      <c r="P86" s="190"/>
      <c r="R86" s="93"/>
    </row>
    <row r="87" spans="1:18" ht="15" customHeight="1" x14ac:dyDescent="0.2">
      <c r="A87" s="93"/>
      <c r="P87" s="190"/>
      <c r="R87" s="93"/>
    </row>
    <row r="88" spans="1:18" ht="15" customHeight="1" x14ac:dyDescent="0.2">
      <c r="A88" s="93"/>
      <c r="P88" s="190"/>
      <c r="R88" s="93"/>
    </row>
    <row r="89" spans="1:18" ht="15" customHeight="1" x14ac:dyDescent="0.2">
      <c r="A89" s="93"/>
      <c r="P89" s="190"/>
      <c r="R89" s="93"/>
    </row>
    <row r="90" spans="1:18" ht="15" customHeight="1" x14ac:dyDescent="0.2">
      <c r="A90" s="93"/>
      <c r="P90" s="190"/>
      <c r="R90" s="93"/>
    </row>
    <row r="91" spans="1:18" ht="15" customHeight="1" x14ac:dyDescent="0.2">
      <c r="A91" s="93"/>
      <c r="P91" s="190"/>
      <c r="R91" s="93"/>
    </row>
    <row r="92" spans="1:18" ht="15" customHeight="1" x14ac:dyDescent="0.2">
      <c r="A92" s="93"/>
      <c r="P92" s="190"/>
      <c r="R92" s="93"/>
    </row>
    <row r="93" spans="1:18" ht="15" customHeight="1" x14ac:dyDescent="0.2">
      <c r="A93" s="93"/>
      <c r="P93" s="190"/>
      <c r="R93" s="93"/>
    </row>
    <row r="94" spans="1:18" ht="15" customHeight="1" x14ac:dyDescent="0.2">
      <c r="A94" s="93"/>
      <c r="P94" s="190"/>
      <c r="R94" s="93"/>
    </row>
    <row r="95" spans="1:18" ht="15" customHeight="1" x14ac:dyDescent="0.2">
      <c r="A95" s="93"/>
      <c r="P95" s="190"/>
      <c r="R95" s="93"/>
    </row>
    <row r="96" spans="1:18" ht="15" customHeight="1" x14ac:dyDescent="0.2">
      <c r="A96" s="93"/>
      <c r="P96" s="190"/>
      <c r="R96" s="93"/>
    </row>
    <row r="97" spans="1:18" ht="15" customHeight="1" x14ac:dyDescent="0.2">
      <c r="A97" s="93"/>
      <c r="P97" s="190"/>
      <c r="R97" s="93"/>
    </row>
    <row r="98" spans="1:18" ht="15" customHeight="1" x14ac:dyDescent="0.2">
      <c r="A98" s="93"/>
      <c r="P98" s="190"/>
      <c r="R98" s="93"/>
    </row>
    <row r="99" spans="1:18" ht="15" customHeight="1" x14ac:dyDescent="0.2">
      <c r="A99" s="93"/>
      <c r="P99" s="190"/>
      <c r="R99" s="93"/>
    </row>
    <row r="100" spans="1:18" ht="15" customHeight="1" x14ac:dyDescent="0.2">
      <c r="A100" s="93"/>
      <c r="P100" s="190"/>
      <c r="R100" s="93"/>
    </row>
    <row r="101" spans="1:18" ht="15" customHeight="1" x14ac:dyDescent="0.2">
      <c r="A101" s="93"/>
      <c r="P101" s="190"/>
      <c r="R101" s="93"/>
    </row>
    <row r="102" spans="1:18" ht="15" customHeight="1" x14ac:dyDescent="0.2">
      <c r="A102" s="93"/>
      <c r="P102" s="190"/>
      <c r="R102" s="93"/>
    </row>
    <row r="103" spans="1:18" ht="15" customHeight="1" x14ac:dyDescent="0.2">
      <c r="A103" s="93"/>
      <c r="P103" s="190"/>
      <c r="R103" s="93"/>
    </row>
    <row r="104" spans="1:18" ht="15" customHeight="1" x14ac:dyDescent="0.2">
      <c r="A104" s="93"/>
      <c r="P104" s="190"/>
      <c r="R104" s="93"/>
    </row>
    <row r="105" spans="1:18" ht="15" customHeight="1" x14ac:dyDescent="0.2">
      <c r="A105" s="93"/>
      <c r="P105" s="190"/>
      <c r="R105" s="93"/>
    </row>
    <row r="106" spans="1:18" ht="15" customHeight="1" x14ac:dyDescent="0.2">
      <c r="P106" s="190"/>
      <c r="R106" s="93"/>
    </row>
    <row r="107" spans="1:18" ht="15" customHeight="1" x14ac:dyDescent="0.2">
      <c r="P107" s="190"/>
      <c r="R107" s="93"/>
    </row>
    <row r="108" spans="1:18" ht="15" customHeight="1" x14ac:dyDescent="0.2">
      <c r="P108" s="190"/>
      <c r="R108" s="93"/>
    </row>
    <row r="109" spans="1:18" ht="15" customHeight="1" x14ac:dyDescent="0.2">
      <c r="P109" s="190"/>
      <c r="R109" s="93"/>
    </row>
    <row r="110" spans="1:18" ht="15" customHeight="1" x14ac:dyDescent="0.2">
      <c r="P110" s="190"/>
      <c r="R110" s="93"/>
    </row>
    <row r="111" spans="1:18" ht="15" customHeight="1" x14ac:dyDescent="0.2">
      <c r="P111" s="190"/>
      <c r="R111" s="93"/>
    </row>
    <row r="112" spans="1:18" ht="15" customHeight="1" x14ac:dyDescent="0.2">
      <c r="P112" s="190"/>
      <c r="R112" s="93"/>
    </row>
    <row r="113" spans="11:16" s="93" customFormat="1" ht="15" customHeight="1" x14ac:dyDescent="0.2">
      <c r="K113" s="196"/>
      <c r="L113" s="190"/>
      <c r="M113" s="196"/>
      <c r="N113" s="190"/>
      <c r="O113" s="196"/>
      <c r="P113" s="190"/>
    </row>
    <row r="114" spans="11:16" s="93" customFormat="1" ht="15" customHeight="1" x14ac:dyDescent="0.2">
      <c r="K114" s="196"/>
      <c r="L114" s="190"/>
      <c r="M114" s="196"/>
      <c r="N114" s="190"/>
      <c r="O114" s="196"/>
      <c r="P114" s="190"/>
    </row>
    <row r="115" spans="11:16" s="93" customFormat="1" ht="15" customHeight="1" x14ac:dyDescent="0.2">
      <c r="K115" s="196"/>
      <c r="L115" s="190"/>
      <c r="M115" s="196"/>
      <c r="N115" s="190"/>
      <c r="O115" s="196"/>
      <c r="P115" s="190"/>
    </row>
    <row r="116" spans="11:16" s="93" customFormat="1" ht="15" customHeight="1" x14ac:dyDescent="0.2">
      <c r="K116" s="196"/>
      <c r="L116" s="190"/>
      <c r="M116" s="196"/>
      <c r="N116" s="190"/>
      <c r="O116" s="196"/>
      <c r="P116" s="190"/>
    </row>
    <row r="117" spans="11:16" s="93" customFormat="1" ht="15" customHeight="1" x14ac:dyDescent="0.2">
      <c r="K117" s="196"/>
      <c r="L117" s="190"/>
      <c r="M117" s="196"/>
      <c r="N117" s="190"/>
      <c r="O117" s="196"/>
      <c r="P117" s="190"/>
    </row>
    <row r="118" spans="11:16" s="93" customFormat="1" ht="15" customHeight="1" x14ac:dyDescent="0.2">
      <c r="K118" s="196"/>
      <c r="L118" s="190"/>
      <c r="M118" s="196"/>
      <c r="N118" s="190"/>
      <c r="O118" s="196"/>
      <c r="P118" s="190"/>
    </row>
    <row r="119" spans="11:16" s="93" customFormat="1" ht="15" customHeight="1" x14ac:dyDescent="0.2">
      <c r="K119" s="196"/>
      <c r="L119" s="190"/>
      <c r="M119" s="196"/>
      <c r="N119" s="190"/>
      <c r="O119" s="196"/>
      <c r="P119" s="190"/>
    </row>
    <row r="120" spans="11:16" s="93" customFormat="1" ht="15" customHeight="1" x14ac:dyDescent="0.2">
      <c r="K120" s="196"/>
      <c r="L120" s="190"/>
      <c r="M120" s="196"/>
      <c r="N120" s="190"/>
      <c r="O120" s="196"/>
      <c r="P120" s="190"/>
    </row>
    <row r="121" spans="11:16" s="93" customFormat="1" ht="15" customHeight="1" x14ac:dyDescent="0.2">
      <c r="K121" s="196"/>
      <c r="L121" s="190"/>
      <c r="M121" s="196"/>
      <c r="N121" s="190"/>
      <c r="O121" s="196"/>
      <c r="P121" s="190"/>
    </row>
    <row r="122" spans="11:16" s="93" customFormat="1" ht="15" customHeight="1" x14ac:dyDescent="0.2">
      <c r="K122" s="196"/>
      <c r="L122" s="190"/>
      <c r="M122" s="196"/>
      <c r="N122" s="190"/>
      <c r="O122" s="196"/>
      <c r="P122" s="190"/>
    </row>
    <row r="123" spans="11:16" s="93" customFormat="1" ht="15" customHeight="1" x14ac:dyDescent="0.2">
      <c r="K123" s="196"/>
      <c r="L123" s="190"/>
      <c r="M123" s="196"/>
      <c r="N123" s="190"/>
      <c r="O123" s="196"/>
      <c r="P123" s="190"/>
    </row>
    <row r="124" spans="11:16" s="93" customFormat="1" ht="15" customHeight="1" x14ac:dyDescent="0.2">
      <c r="K124" s="196"/>
      <c r="L124" s="190"/>
      <c r="M124" s="196"/>
      <c r="N124" s="190"/>
      <c r="O124" s="196"/>
      <c r="P124" s="190"/>
    </row>
    <row r="125" spans="11:16" s="93" customFormat="1" ht="15" customHeight="1" x14ac:dyDescent="0.2">
      <c r="K125" s="196"/>
      <c r="L125" s="190"/>
      <c r="M125" s="196"/>
      <c r="N125" s="190"/>
      <c r="O125" s="196"/>
      <c r="P125" s="190"/>
    </row>
    <row r="126" spans="11:16" s="93" customFormat="1" ht="15" customHeight="1" x14ac:dyDescent="0.2">
      <c r="K126" s="196"/>
      <c r="L126" s="190"/>
      <c r="M126" s="196"/>
      <c r="N126" s="190"/>
      <c r="O126" s="196"/>
      <c r="P126" s="190"/>
    </row>
    <row r="127" spans="11:16" s="93" customFormat="1" ht="15" customHeight="1" x14ac:dyDescent="0.2">
      <c r="K127" s="196"/>
      <c r="L127" s="190"/>
      <c r="M127" s="196"/>
      <c r="N127" s="190"/>
      <c r="O127" s="196"/>
      <c r="P127" s="190"/>
    </row>
    <row r="128" spans="11:16" s="93" customFormat="1" ht="15" customHeight="1" x14ac:dyDescent="0.2">
      <c r="K128" s="196"/>
      <c r="L128" s="190"/>
      <c r="M128" s="196"/>
      <c r="N128" s="190"/>
      <c r="O128" s="196"/>
      <c r="P128" s="190"/>
    </row>
    <row r="129" spans="11:16" s="93" customFormat="1" ht="15" customHeight="1" x14ac:dyDescent="0.2">
      <c r="K129" s="196"/>
      <c r="L129" s="190"/>
      <c r="M129" s="196"/>
      <c r="N129" s="190"/>
      <c r="O129" s="196"/>
      <c r="P129" s="190"/>
    </row>
    <row r="130" spans="11:16" s="93" customFormat="1" ht="15" customHeight="1" x14ac:dyDescent="0.2">
      <c r="K130" s="196"/>
      <c r="L130" s="190"/>
      <c r="M130" s="196"/>
      <c r="N130" s="190"/>
      <c r="O130" s="196"/>
      <c r="P130" s="190"/>
    </row>
    <row r="131" spans="11:16" s="93" customFormat="1" ht="15" customHeight="1" x14ac:dyDescent="0.2">
      <c r="K131" s="196"/>
      <c r="L131" s="190"/>
      <c r="M131" s="196"/>
      <c r="N131" s="190"/>
      <c r="O131" s="196"/>
      <c r="P131" s="190"/>
    </row>
    <row r="132" spans="11:16" s="93" customFormat="1" ht="15" customHeight="1" x14ac:dyDescent="0.2">
      <c r="K132" s="196"/>
      <c r="L132" s="190"/>
      <c r="M132" s="196"/>
      <c r="N132" s="190"/>
      <c r="O132" s="196"/>
      <c r="P132" s="190"/>
    </row>
    <row r="133" spans="11:16" s="93" customFormat="1" ht="15" customHeight="1" x14ac:dyDescent="0.2">
      <c r="K133" s="196"/>
      <c r="L133" s="190"/>
      <c r="M133" s="196"/>
      <c r="N133" s="190"/>
      <c r="O133" s="196"/>
      <c r="P133" s="190"/>
    </row>
    <row r="134" spans="11:16" s="93" customFormat="1" ht="15" customHeight="1" x14ac:dyDescent="0.2">
      <c r="K134" s="196"/>
      <c r="L134" s="190"/>
      <c r="M134" s="196"/>
      <c r="N134" s="190"/>
      <c r="O134" s="196"/>
      <c r="P134" s="190"/>
    </row>
    <row r="135" spans="11:16" s="93" customFormat="1" ht="15" customHeight="1" x14ac:dyDescent="0.2">
      <c r="K135" s="196"/>
      <c r="L135" s="190"/>
      <c r="M135" s="196"/>
      <c r="N135" s="190"/>
      <c r="O135" s="196"/>
      <c r="P135" s="190"/>
    </row>
    <row r="136" spans="11:16" s="93" customFormat="1" ht="15" customHeight="1" x14ac:dyDescent="0.2">
      <c r="K136" s="196"/>
      <c r="L136" s="190"/>
      <c r="M136" s="196"/>
      <c r="N136" s="190"/>
      <c r="O136" s="196"/>
      <c r="P136" s="190"/>
    </row>
    <row r="137" spans="11:16" s="93" customFormat="1" ht="15" customHeight="1" x14ac:dyDescent="0.2">
      <c r="K137" s="196"/>
      <c r="L137" s="190"/>
      <c r="M137" s="196"/>
      <c r="N137" s="190"/>
      <c r="O137" s="196"/>
      <c r="P137" s="190"/>
    </row>
    <row r="138" spans="11:16" s="93" customFormat="1" ht="15" customHeight="1" x14ac:dyDescent="0.2">
      <c r="K138" s="196"/>
      <c r="L138" s="190"/>
      <c r="M138" s="196"/>
      <c r="N138" s="190"/>
      <c r="O138" s="196"/>
      <c r="P138" s="190"/>
    </row>
    <row r="139" spans="11:16" s="93" customFormat="1" ht="15" customHeight="1" x14ac:dyDescent="0.2">
      <c r="K139" s="196"/>
      <c r="L139" s="190"/>
      <c r="M139" s="196"/>
      <c r="N139" s="190"/>
      <c r="O139" s="196"/>
      <c r="P139" s="190"/>
    </row>
    <row r="140" spans="11:16" s="93" customFormat="1" ht="15" customHeight="1" x14ac:dyDescent="0.2">
      <c r="K140" s="196"/>
      <c r="L140" s="190"/>
      <c r="M140" s="196"/>
      <c r="N140" s="190"/>
      <c r="O140" s="196"/>
      <c r="P140" s="190"/>
    </row>
    <row r="141" spans="11:16" s="93" customFormat="1" ht="15" customHeight="1" x14ac:dyDescent="0.2">
      <c r="K141" s="196"/>
      <c r="L141" s="190"/>
      <c r="M141" s="196"/>
      <c r="N141" s="190"/>
      <c r="O141" s="196"/>
      <c r="P141" s="190"/>
    </row>
    <row r="142" spans="11:16" s="93" customFormat="1" ht="15" customHeight="1" x14ac:dyDescent="0.2">
      <c r="K142" s="196"/>
      <c r="L142" s="190"/>
      <c r="M142" s="196"/>
      <c r="N142" s="190"/>
      <c r="O142" s="196"/>
      <c r="P142" s="190"/>
    </row>
    <row r="143" spans="11:16" s="93" customFormat="1" ht="15" customHeight="1" x14ac:dyDescent="0.2">
      <c r="K143" s="196"/>
      <c r="L143" s="190"/>
      <c r="M143" s="196"/>
      <c r="N143" s="190"/>
      <c r="O143" s="196"/>
      <c r="P143" s="190"/>
    </row>
    <row r="144" spans="11:16" s="93" customFormat="1" ht="15" customHeight="1" x14ac:dyDescent="0.2">
      <c r="K144" s="196"/>
      <c r="L144" s="190"/>
      <c r="M144" s="196"/>
      <c r="N144" s="190"/>
      <c r="O144" s="196"/>
      <c r="P144" s="190"/>
    </row>
    <row r="145" spans="11:16" s="93" customFormat="1" ht="15" customHeight="1" x14ac:dyDescent="0.2">
      <c r="K145" s="196"/>
      <c r="L145" s="190"/>
      <c r="M145" s="196"/>
      <c r="N145" s="190"/>
      <c r="O145" s="196"/>
      <c r="P145" s="190"/>
    </row>
    <row r="146" spans="11:16" s="93" customFormat="1" ht="15" customHeight="1" x14ac:dyDescent="0.2">
      <c r="K146" s="196"/>
      <c r="L146" s="190"/>
      <c r="M146" s="196"/>
      <c r="N146" s="190"/>
      <c r="O146" s="196"/>
      <c r="P146" s="190"/>
    </row>
    <row r="147" spans="11:16" s="93" customFormat="1" ht="15" customHeight="1" x14ac:dyDescent="0.2">
      <c r="K147" s="196"/>
      <c r="L147" s="190"/>
      <c r="M147" s="196"/>
      <c r="N147" s="190"/>
      <c r="O147" s="196"/>
      <c r="P147" s="190"/>
    </row>
    <row r="148" spans="11:16" s="93" customFormat="1" ht="15" customHeight="1" x14ac:dyDescent="0.2">
      <c r="K148" s="196"/>
      <c r="L148" s="190"/>
      <c r="M148" s="196"/>
      <c r="N148" s="190"/>
      <c r="O148" s="196"/>
      <c r="P148" s="190"/>
    </row>
    <row r="149" spans="11:16" s="93" customFormat="1" ht="15" customHeight="1" x14ac:dyDescent="0.2">
      <c r="K149" s="196"/>
      <c r="L149" s="190"/>
      <c r="M149" s="196"/>
      <c r="N149" s="190"/>
      <c r="O149" s="196"/>
      <c r="P149" s="190"/>
    </row>
    <row r="150" spans="11:16" s="93" customFormat="1" ht="15" customHeight="1" x14ac:dyDescent="0.2">
      <c r="K150" s="196"/>
      <c r="L150" s="190"/>
      <c r="M150" s="196"/>
      <c r="N150" s="190"/>
      <c r="O150" s="196"/>
      <c r="P150" s="190"/>
    </row>
    <row r="151" spans="11:16" s="93" customFormat="1" ht="15" customHeight="1" x14ac:dyDescent="0.2">
      <c r="K151" s="196"/>
      <c r="L151" s="190"/>
      <c r="M151" s="196"/>
      <c r="N151" s="190"/>
      <c r="O151" s="196"/>
      <c r="P151" s="190"/>
    </row>
    <row r="152" spans="11:16" s="93" customFormat="1" ht="15" customHeight="1" x14ac:dyDescent="0.2">
      <c r="K152" s="196"/>
      <c r="L152" s="190"/>
      <c r="M152" s="196"/>
      <c r="N152" s="190"/>
      <c r="O152" s="196"/>
      <c r="P152" s="190"/>
    </row>
    <row r="153" spans="11:16" s="93" customFormat="1" ht="15" customHeight="1" x14ac:dyDescent="0.2">
      <c r="K153" s="196"/>
      <c r="L153" s="190"/>
      <c r="M153" s="196"/>
      <c r="N153" s="190"/>
      <c r="O153" s="196"/>
      <c r="P153" s="190"/>
    </row>
    <row r="154" spans="11:16" s="93" customFormat="1" ht="15" customHeight="1" x14ac:dyDescent="0.2">
      <c r="K154" s="196"/>
      <c r="L154" s="190"/>
      <c r="M154" s="196"/>
      <c r="N154" s="190"/>
      <c r="O154" s="196"/>
      <c r="P154" s="190"/>
    </row>
    <row r="155" spans="11:16" s="93" customFormat="1" ht="15" customHeight="1" x14ac:dyDescent="0.2">
      <c r="K155" s="196"/>
      <c r="L155" s="190"/>
      <c r="M155" s="196"/>
      <c r="N155" s="190"/>
      <c r="O155" s="196"/>
      <c r="P155" s="190"/>
    </row>
    <row r="156" spans="11:16" s="93" customFormat="1" ht="15" customHeight="1" x14ac:dyDescent="0.2">
      <c r="K156" s="196"/>
      <c r="L156" s="190"/>
      <c r="M156" s="196"/>
      <c r="N156" s="190"/>
      <c r="O156" s="196"/>
      <c r="P156" s="190"/>
    </row>
    <row r="157" spans="11:16" s="93" customFormat="1" ht="15" customHeight="1" x14ac:dyDescent="0.2">
      <c r="K157" s="196"/>
      <c r="L157" s="190"/>
      <c r="M157" s="196"/>
      <c r="N157" s="190"/>
      <c r="O157" s="196"/>
      <c r="P157" s="190"/>
    </row>
    <row r="158" spans="11:16" s="93" customFormat="1" ht="15" customHeight="1" x14ac:dyDescent="0.2">
      <c r="K158" s="196"/>
      <c r="L158" s="190"/>
      <c r="M158" s="196"/>
      <c r="N158" s="190"/>
      <c r="O158" s="196"/>
      <c r="P158" s="190"/>
    </row>
    <row r="159" spans="11:16" s="93" customFormat="1" ht="15" customHeight="1" x14ac:dyDescent="0.2">
      <c r="K159" s="196"/>
      <c r="L159" s="190"/>
      <c r="M159" s="196"/>
      <c r="N159" s="190"/>
      <c r="O159" s="196"/>
      <c r="P159" s="190"/>
    </row>
    <row r="160" spans="11:16" s="93" customFormat="1" ht="15" customHeight="1" x14ac:dyDescent="0.2">
      <c r="K160" s="196"/>
      <c r="L160" s="190"/>
      <c r="M160" s="196"/>
      <c r="N160" s="190"/>
      <c r="O160" s="196"/>
      <c r="P160" s="190"/>
    </row>
    <row r="161" spans="11:16" s="93" customFormat="1" ht="15" customHeight="1" x14ac:dyDescent="0.2">
      <c r="K161" s="196"/>
      <c r="L161" s="190"/>
      <c r="M161" s="196"/>
      <c r="N161" s="190"/>
      <c r="O161" s="196"/>
      <c r="P161" s="190"/>
    </row>
    <row r="162" spans="11:16" s="93" customFormat="1" ht="15" customHeight="1" x14ac:dyDescent="0.2">
      <c r="K162" s="196"/>
      <c r="L162" s="190"/>
      <c r="M162" s="196"/>
      <c r="N162" s="190"/>
      <c r="O162" s="196"/>
      <c r="P162" s="190"/>
    </row>
    <row r="163" spans="11:16" s="93" customFormat="1" ht="15" customHeight="1" x14ac:dyDescent="0.2">
      <c r="K163" s="196"/>
      <c r="L163" s="190"/>
      <c r="M163" s="196"/>
      <c r="N163" s="190"/>
      <c r="O163" s="196"/>
      <c r="P163" s="190"/>
    </row>
    <row r="164" spans="11:16" s="93" customFormat="1" ht="15" customHeight="1" x14ac:dyDescent="0.2">
      <c r="K164" s="196"/>
      <c r="L164" s="190"/>
      <c r="M164" s="196"/>
      <c r="N164" s="190"/>
      <c r="O164" s="196"/>
      <c r="P164" s="190"/>
    </row>
    <row r="165" spans="11:16" s="93" customFormat="1" ht="15" customHeight="1" x14ac:dyDescent="0.2">
      <c r="K165" s="196"/>
      <c r="L165" s="190"/>
      <c r="M165" s="196"/>
      <c r="N165" s="190"/>
      <c r="O165" s="196"/>
      <c r="P165" s="190"/>
    </row>
    <row r="166" spans="11:16" s="93" customFormat="1" ht="15" customHeight="1" x14ac:dyDescent="0.2">
      <c r="K166" s="196"/>
      <c r="L166" s="190"/>
      <c r="M166" s="196"/>
      <c r="N166" s="190"/>
      <c r="O166" s="196"/>
      <c r="P166" s="190"/>
    </row>
    <row r="167" spans="11:16" s="93" customFormat="1" ht="15" customHeight="1" x14ac:dyDescent="0.2">
      <c r="K167" s="196"/>
      <c r="L167" s="190"/>
      <c r="M167" s="196"/>
      <c r="N167" s="190"/>
      <c r="O167" s="196"/>
      <c r="P167" s="190"/>
    </row>
    <row r="168" spans="11:16" s="93" customFormat="1" ht="15" customHeight="1" x14ac:dyDescent="0.2">
      <c r="K168" s="196"/>
      <c r="L168" s="190"/>
      <c r="M168" s="196"/>
      <c r="N168" s="190"/>
      <c r="O168" s="196"/>
      <c r="P168" s="190"/>
    </row>
    <row r="169" spans="11:16" s="93" customFormat="1" ht="15" customHeight="1" x14ac:dyDescent="0.2">
      <c r="K169" s="196"/>
      <c r="L169" s="190"/>
      <c r="M169" s="196"/>
      <c r="N169" s="190"/>
      <c r="O169" s="196"/>
      <c r="P169" s="190"/>
    </row>
    <row r="170" spans="11:16" s="93" customFormat="1" ht="15" customHeight="1" x14ac:dyDescent="0.2">
      <c r="K170" s="196"/>
      <c r="L170" s="190"/>
      <c r="M170" s="196"/>
      <c r="N170" s="190"/>
      <c r="O170" s="196"/>
      <c r="P170" s="190"/>
    </row>
    <row r="171" spans="11:16" s="93" customFormat="1" ht="15" customHeight="1" x14ac:dyDescent="0.2">
      <c r="K171" s="196"/>
      <c r="L171" s="190"/>
      <c r="M171" s="196"/>
      <c r="N171" s="190"/>
      <c r="O171" s="196"/>
      <c r="P171" s="190"/>
    </row>
    <row r="172" spans="11:16" s="93" customFormat="1" ht="15" customHeight="1" x14ac:dyDescent="0.2">
      <c r="K172" s="196"/>
      <c r="L172" s="190"/>
      <c r="M172" s="196"/>
      <c r="N172" s="190"/>
      <c r="O172" s="196"/>
      <c r="P172" s="190"/>
    </row>
    <row r="173" spans="11:16" s="93" customFormat="1" ht="15" customHeight="1" x14ac:dyDescent="0.2">
      <c r="K173" s="196"/>
      <c r="L173" s="190"/>
      <c r="M173" s="196"/>
      <c r="N173" s="190"/>
      <c r="O173" s="196"/>
      <c r="P173" s="190"/>
    </row>
    <row r="174" spans="11:16" s="93" customFormat="1" ht="15" customHeight="1" x14ac:dyDescent="0.2">
      <c r="K174" s="196"/>
      <c r="L174" s="190"/>
      <c r="M174" s="196"/>
      <c r="N174" s="190"/>
      <c r="O174" s="196"/>
      <c r="P174" s="190"/>
    </row>
    <row r="175" spans="11:16" s="93" customFormat="1" ht="15" customHeight="1" x14ac:dyDescent="0.2">
      <c r="K175" s="196"/>
      <c r="L175" s="190"/>
      <c r="M175" s="196"/>
      <c r="N175" s="190"/>
      <c r="O175" s="196"/>
      <c r="P175" s="190"/>
    </row>
    <row r="176" spans="11:16" s="93" customFormat="1" ht="15" customHeight="1" x14ac:dyDescent="0.2">
      <c r="K176" s="196"/>
      <c r="L176" s="190"/>
      <c r="M176" s="196"/>
      <c r="N176" s="190"/>
      <c r="O176" s="196"/>
      <c r="P176" s="190"/>
    </row>
    <row r="177" spans="11:18" s="93" customFormat="1" ht="15" customHeight="1" x14ac:dyDescent="0.2">
      <c r="K177" s="196"/>
      <c r="L177" s="190"/>
      <c r="M177" s="196"/>
      <c r="N177" s="190"/>
      <c r="O177" s="196"/>
      <c r="P177" s="193"/>
      <c r="R177" s="140"/>
    </row>
    <row r="178" spans="11:18" s="93" customFormat="1" ht="15" customHeight="1" x14ac:dyDescent="0.2">
      <c r="K178" s="196"/>
      <c r="L178" s="190"/>
      <c r="M178" s="196"/>
      <c r="N178" s="190"/>
      <c r="O178" s="196"/>
      <c r="P178" s="193"/>
      <c r="R178" s="140"/>
    </row>
    <row r="179" spans="11:18" s="93" customFormat="1" ht="15" customHeight="1" x14ac:dyDescent="0.2">
      <c r="K179" s="196"/>
      <c r="L179" s="190"/>
      <c r="M179" s="196"/>
      <c r="N179" s="190"/>
      <c r="O179" s="196"/>
      <c r="P179" s="193"/>
      <c r="R179" s="140"/>
    </row>
    <row r="180" spans="11:18" s="93" customFormat="1" ht="15" customHeight="1" x14ac:dyDescent="0.2">
      <c r="K180" s="196"/>
      <c r="L180" s="190"/>
      <c r="M180" s="196"/>
      <c r="N180" s="190"/>
      <c r="O180" s="196"/>
      <c r="P180" s="193"/>
      <c r="R180" s="140"/>
    </row>
    <row r="181" spans="11:18" s="93" customFormat="1" ht="15" customHeight="1" x14ac:dyDescent="0.2">
      <c r="K181" s="196"/>
      <c r="L181" s="190"/>
      <c r="M181" s="196"/>
      <c r="N181" s="190"/>
      <c r="O181" s="196"/>
      <c r="P181" s="193"/>
      <c r="R181" s="140"/>
    </row>
    <row r="182" spans="11:18" s="93" customFormat="1" ht="15" customHeight="1" x14ac:dyDescent="0.2">
      <c r="K182" s="196"/>
      <c r="L182" s="190"/>
      <c r="M182" s="196"/>
      <c r="N182" s="190"/>
      <c r="O182" s="196"/>
      <c r="P182" s="193"/>
      <c r="R182" s="140"/>
    </row>
    <row r="183" spans="11:18" s="93" customFormat="1" ht="15" customHeight="1" x14ac:dyDescent="0.2">
      <c r="K183" s="196"/>
      <c r="L183" s="190"/>
      <c r="M183" s="196"/>
      <c r="N183" s="190"/>
      <c r="O183" s="196"/>
      <c r="P183" s="193"/>
      <c r="R183" s="140"/>
    </row>
    <row r="184" spans="11:18" s="93" customFormat="1" ht="15" customHeight="1" x14ac:dyDescent="0.2">
      <c r="K184" s="196"/>
      <c r="L184" s="190"/>
      <c r="M184" s="196"/>
      <c r="N184" s="190"/>
      <c r="O184" s="196"/>
      <c r="P184" s="193"/>
      <c r="R184" s="140"/>
    </row>
    <row r="185" spans="11:18" s="93" customFormat="1" ht="15" customHeight="1" x14ac:dyDescent="0.2">
      <c r="K185" s="196"/>
      <c r="L185" s="190"/>
      <c r="M185" s="196"/>
      <c r="N185" s="190"/>
      <c r="O185" s="196"/>
      <c r="P185" s="193"/>
      <c r="R185" s="140"/>
    </row>
    <row r="186" spans="11:18" s="93" customFormat="1" ht="15" customHeight="1" x14ac:dyDescent="0.2">
      <c r="K186" s="196"/>
      <c r="L186" s="190"/>
      <c r="M186" s="196"/>
      <c r="N186" s="190"/>
      <c r="O186" s="196"/>
      <c r="P186" s="193"/>
      <c r="R186" s="140"/>
    </row>
    <row r="187" spans="11:18" s="93" customFormat="1" ht="15" customHeight="1" x14ac:dyDescent="0.2">
      <c r="K187" s="196"/>
      <c r="L187" s="190"/>
      <c r="M187" s="196"/>
      <c r="N187" s="190"/>
      <c r="O187" s="196"/>
      <c r="P187" s="193"/>
      <c r="R187" s="140"/>
    </row>
    <row r="188" spans="11:18" s="93" customFormat="1" ht="15" customHeight="1" x14ac:dyDescent="0.2">
      <c r="K188" s="196"/>
      <c r="L188" s="190"/>
      <c r="M188" s="196"/>
      <c r="N188" s="190"/>
      <c r="O188" s="196"/>
      <c r="P188" s="193"/>
      <c r="R188" s="14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N181"/>
  <sheetViews>
    <sheetView workbookViewId="0">
      <pane xSplit="1" ySplit="1" topLeftCell="B33" activePane="bottomRight" state="frozen"/>
      <selection pane="topRight" activeCell="B1" sqref="B1"/>
      <selection pane="bottomLeft" activeCell="A2" sqref="A2"/>
      <selection pane="bottomRight" activeCell="A51" sqref="A51"/>
    </sheetView>
  </sheetViews>
  <sheetFormatPr baseColWidth="10" defaultColWidth="8.83203125" defaultRowHeight="16" x14ac:dyDescent="0.2"/>
  <cols>
    <col min="1" max="1" width="40" style="93" bestFit="1" customWidth="1"/>
    <col min="2" max="5" width="7.83203125" style="161" customWidth="1"/>
    <col min="6" max="38" width="8.83203125" style="115"/>
    <col min="39" max="82" width="8.83203125" style="93"/>
    <col min="83" max="83" width="22.1640625" style="93" bestFit="1" customWidth="1"/>
    <col min="84" max="16384" width="8.83203125" style="93"/>
  </cols>
  <sheetData>
    <row r="1" spans="1:66" x14ac:dyDescent="0.2">
      <c r="A1" s="92" t="s">
        <v>162</v>
      </c>
      <c r="B1" s="147" t="s">
        <v>163</v>
      </c>
      <c r="C1" s="147" t="s">
        <v>18</v>
      </c>
      <c r="D1" s="147" t="s">
        <v>164</v>
      </c>
      <c r="E1" s="147" t="s">
        <v>165</v>
      </c>
      <c r="F1" s="115" t="s">
        <v>39</v>
      </c>
      <c r="G1" s="115" t="s">
        <v>41</v>
      </c>
      <c r="H1" s="115" t="s">
        <v>42</v>
      </c>
      <c r="I1" s="115" t="s">
        <v>185</v>
      </c>
      <c r="J1" s="115" t="s">
        <v>186</v>
      </c>
      <c r="K1" s="115" t="s">
        <v>187</v>
      </c>
      <c r="L1" s="115" t="s">
        <v>188</v>
      </c>
      <c r="M1" s="115" t="s">
        <v>189</v>
      </c>
      <c r="N1" s="115" t="s">
        <v>190</v>
      </c>
      <c r="O1" s="115" t="s">
        <v>191</v>
      </c>
      <c r="P1" s="115" t="s">
        <v>192</v>
      </c>
      <c r="Q1" s="115" t="s">
        <v>193</v>
      </c>
      <c r="R1" s="115" t="s">
        <v>194</v>
      </c>
      <c r="S1" s="115" t="s">
        <v>195</v>
      </c>
      <c r="T1" s="115" t="s">
        <v>196</v>
      </c>
      <c r="U1" s="115" t="s">
        <v>197</v>
      </c>
      <c r="V1" s="115" t="s">
        <v>198</v>
      </c>
      <c r="W1" s="115" t="s">
        <v>199</v>
      </c>
      <c r="X1" s="115" t="s">
        <v>200</v>
      </c>
      <c r="Y1" s="115" t="s">
        <v>201</v>
      </c>
      <c r="Z1" s="115" t="s">
        <v>202</v>
      </c>
      <c r="AA1" s="115" t="s">
        <v>203</v>
      </c>
      <c r="AB1" s="115" t="s">
        <v>204</v>
      </c>
      <c r="AC1" s="115" t="s">
        <v>205</v>
      </c>
      <c r="AD1" s="93" t="s">
        <v>206</v>
      </c>
      <c r="AE1" s="93" t="s">
        <v>207</v>
      </c>
      <c r="AF1" s="93" t="s">
        <v>208</v>
      </c>
      <c r="AG1" s="115" t="s">
        <v>209</v>
      </c>
      <c r="AH1" s="115" t="s">
        <v>210</v>
      </c>
      <c r="AI1" s="115" t="s">
        <v>211</v>
      </c>
      <c r="AJ1" s="115" t="s">
        <v>212</v>
      </c>
      <c r="AK1" s="115" t="s">
        <v>213</v>
      </c>
      <c r="AL1" s="115" t="s">
        <v>214</v>
      </c>
      <c r="AM1" s="93" t="s">
        <v>215</v>
      </c>
      <c r="AN1" s="93" t="s">
        <v>216</v>
      </c>
      <c r="AO1" s="93" t="s">
        <v>217</v>
      </c>
      <c r="AP1" s="93" t="s">
        <v>218</v>
      </c>
      <c r="AQ1" s="93" t="s">
        <v>219</v>
      </c>
      <c r="AR1" s="93" t="s">
        <v>220</v>
      </c>
      <c r="AS1" s="93" t="s">
        <v>221</v>
      </c>
      <c r="AT1" s="93" t="s">
        <v>222</v>
      </c>
      <c r="AU1" s="93" t="s">
        <v>223</v>
      </c>
      <c r="AV1" s="93" t="s">
        <v>224</v>
      </c>
      <c r="AW1" s="93" t="s">
        <v>225</v>
      </c>
      <c r="AX1" s="93" t="s">
        <v>227</v>
      </c>
      <c r="AY1" s="93" t="s">
        <v>125</v>
      </c>
      <c r="AZ1" s="93" t="s">
        <v>226</v>
      </c>
      <c r="BA1"/>
      <c r="BB1"/>
      <c r="BC1"/>
      <c r="BD1"/>
      <c r="BE1"/>
      <c r="BF1"/>
      <c r="BG1"/>
      <c r="BH1"/>
      <c r="BI1"/>
      <c r="BJ1"/>
      <c r="BK1"/>
      <c r="BL1"/>
      <c r="BM1"/>
      <c r="BN1"/>
    </row>
    <row r="2" spans="1:66" x14ac:dyDescent="0.2">
      <c r="A2" s="94" t="s">
        <v>39</v>
      </c>
      <c r="B2" s="161">
        <v>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</row>
    <row r="3" spans="1:66" x14ac:dyDescent="0.2">
      <c r="A3" s="94" t="s">
        <v>41</v>
      </c>
      <c r="B3" s="161">
        <v>0</v>
      </c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</row>
    <row r="4" spans="1:66" x14ac:dyDescent="0.2">
      <c r="A4" s="94" t="s">
        <v>42</v>
      </c>
      <c r="B4" s="161">
        <v>0</v>
      </c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</row>
    <row r="5" spans="1:66" x14ac:dyDescent="0.2">
      <c r="A5" s="94" t="s">
        <v>185</v>
      </c>
      <c r="B5" s="161">
        <v>0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</row>
    <row r="6" spans="1:66" x14ac:dyDescent="0.2">
      <c r="A6" s="94" t="s">
        <v>186</v>
      </c>
      <c r="B6" s="161">
        <v>0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</row>
    <row r="7" spans="1:66" x14ac:dyDescent="0.2">
      <c r="A7" s="94" t="s">
        <v>187</v>
      </c>
      <c r="B7" s="161">
        <v>0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</row>
    <row r="8" spans="1:66" x14ac:dyDescent="0.2">
      <c r="A8" s="94" t="s">
        <v>188</v>
      </c>
      <c r="B8" s="161">
        <v>0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</row>
    <row r="9" spans="1:66" x14ac:dyDescent="0.2">
      <c r="A9" s="94" t="s">
        <v>189</v>
      </c>
      <c r="B9" s="161">
        <v>0</v>
      </c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</row>
    <row r="10" spans="1:66" x14ac:dyDescent="0.2">
      <c r="A10" s="94" t="s">
        <v>190</v>
      </c>
      <c r="B10" s="161">
        <v>0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</row>
    <row r="11" spans="1:66" x14ac:dyDescent="0.2">
      <c r="A11" s="94" t="s">
        <v>191</v>
      </c>
      <c r="B11" s="161">
        <v>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</row>
    <row r="12" spans="1:66" x14ac:dyDescent="0.2">
      <c r="A12" s="94" t="s">
        <v>192</v>
      </c>
      <c r="B12" s="161">
        <v>0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</row>
    <row r="13" spans="1:66" x14ac:dyDescent="0.2">
      <c r="A13" s="94" t="s">
        <v>193</v>
      </c>
      <c r="B13" s="161">
        <v>0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</row>
    <row r="14" spans="1:66" x14ac:dyDescent="0.2">
      <c r="A14" s="94" t="s">
        <v>194</v>
      </c>
      <c r="B14" s="161">
        <v>0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</row>
    <row r="15" spans="1:66" x14ac:dyDescent="0.2">
      <c r="A15" s="94" t="s">
        <v>195</v>
      </c>
      <c r="B15" s="161">
        <v>0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</row>
    <row r="16" spans="1:66" x14ac:dyDescent="0.2">
      <c r="A16" s="94" t="s">
        <v>196</v>
      </c>
      <c r="B16" s="161">
        <v>0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</row>
    <row r="17" spans="1:38" ht="15" customHeight="1" x14ac:dyDescent="0.2">
      <c r="A17" s="94" t="s">
        <v>197</v>
      </c>
      <c r="B17" s="161">
        <v>0</v>
      </c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</row>
    <row r="18" spans="1:38" ht="15" customHeight="1" x14ac:dyDescent="0.2">
      <c r="A18" s="94" t="s">
        <v>198</v>
      </c>
      <c r="B18" s="161">
        <v>0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</row>
    <row r="19" spans="1:38" ht="15" customHeight="1" x14ac:dyDescent="0.2">
      <c r="A19" s="94" t="s">
        <v>199</v>
      </c>
      <c r="B19" s="161">
        <v>0</v>
      </c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</row>
    <row r="20" spans="1:38" ht="15" customHeight="1" x14ac:dyDescent="0.2">
      <c r="A20" s="94" t="s">
        <v>200</v>
      </c>
      <c r="B20" s="161">
        <v>0</v>
      </c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93"/>
      <c r="AK20" s="93"/>
      <c r="AL20" s="93"/>
    </row>
    <row r="21" spans="1:38" ht="15" customHeight="1" x14ac:dyDescent="0.2">
      <c r="A21" s="94" t="s">
        <v>201</v>
      </c>
      <c r="B21" s="161">
        <v>0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</row>
    <row r="22" spans="1:38" ht="15" customHeight="1" x14ac:dyDescent="0.2">
      <c r="A22" s="94" t="s">
        <v>202</v>
      </c>
      <c r="B22" s="161">
        <v>0</v>
      </c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</row>
    <row r="23" spans="1:38" ht="15" customHeight="1" x14ac:dyDescent="0.2">
      <c r="A23" s="94" t="s">
        <v>203</v>
      </c>
      <c r="B23" s="161">
        <v>0</v>
      </c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</row>
    <row r="24" spans="1:38" ht="15" customHeight="1" x14ac:dyDescent="0.2">
      <c r="A24" s="94" t="s">
        <v>204</v>
      </c>
      <c r="B24" s="161">
        <v>0</v>
      </c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</row>
    <row r="25" spans="1:38" ht="15" customHeight="1" x14ac:dyDescent="0.2">
      <c r="A25" s="94" t="s">
        <v>205</v>
      </c>
      <c r="B25" s="161">
        <v>0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</row>
    <row r="26" spans="1:38" ht="15" customHeight="1" x14ac:dyDescent="0.2">
      <c r="A26" s="94" t="s">
        <v>206</v>
      </c>
      <c r="B26" s="161">
        <v>0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</row>
    <row r="27" spans="1:38" ht="15" customHeight="1" x14ac:dyDescent="0.2">
      <c r="A27" s="94" t="s">
        <v>207</v>
      </c>
      <c r="B27" s="161">
        <v>0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</row>
    <row r="28" spans="1:38" ht="15" customHeight="1" x14ac:dyDescent="0.2">
      <c r="A28" s="94" t="s">
        <v>208</v>
      </c>
      <c r="B28" s="161">
        <v>0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</row>
    <row r="29" spans="1:38" ht="15" customHeight="1" x14ac:dyDescent="0.2">
      <c r="A29" s="94" t="s">
        <v>209</v>
      </c>
      <c r="B29" s="161">
        <v>0</v>
      </c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</row>
    <row r="30" spans="1:38" ht="15" customHeight="1" x14ac:dyDescent="0.2">
      <c r="A30" s="94" t="s">
        <v>210</v>
      </c>
      <c r="B30" s="161">
        <v>0</v>
      </c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</row>
    <row r="31" spans="1:38" ht="15" customHeight="1" x14ac:dyDescent="0.2">
      <c r="A31" s="94" t="s">
        <v>211</v>
      </c>
      <c r="B31" s="161">
        <v>0</v>
      </c>
      <c r="C31" s="93"/>
      <c r="D31" s="93"/>
      <c r="E31" s="93"/>
      <c r="F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</row>
    <row r="32" spans="1:38" ht="15" customHeight="1" x14ac:dyDescent="0.2">
      <c r="A32" s="94" t="s">
        <v>212</v>
      </c>
      <c r="B32" s="161">
        <v>0</v>
      </c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</row>
    <row r="33" spans="1:38" ht="15" customHeight="1" x14ac:dyDescent="0.2">
      <c r="A33" s="94" t="s">
        <v>213</v>
      </c>
      <c r="B33" s="161">
        <v>0</v>
      </c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</row>
    <row r="34" spans="1:38" ht="15" customHeight="1" x14ac:dyDescent="0.2">
      <c r="A34" s="94" t="s">
        <v>214</v>
      </c>
      <c r="B34" s="161">
        <v>0</v>
      </c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</row>
    <row r="35" spans="1:38" ht="15" customHeight="1" x14ac:dyDescent="0.2">
      <c r="A35" s="94" t="s">
        <v>215</v>
      </c>
      <c r="B35" s="161">
        <v>0</v>
      </c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</row>
    <row r="36" spans="1:38" ht="15" customHeight="1" x14ac:dyDescent="0.2">
      <c r="A36" s="94" t="s">
        <v>216</v>
      </c>
      <c r="B36" s="161">
        <v>0</v>
      </c>
    </row>
    <row r="37" spans="1:38" ht="15" customHeight="1" x14ac:dyDescent="0.2">
      <c r="A37" s="94" t="s">
        <v>217</v>
      </c>
      <c r="B37" s="161">
        <v>0</v>
      </c>
    </row>
    <row r="38" spans="1:38" ht="15" customHeight="1" x14ac:dyDescent="0.2">
      <c r="A38" s="94" t="s">
        <v>218</v>
      </c>
      <c r="B38" s="161">
        <v>0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</row>
    <row r="39" spans="1:38" ht="15" customHeight="1" x14ac:dyDescent="0.2">
      <c r="A39" s="94" t="s">
        <v>219</v>
      </c>
      <c r="B39" s="161">
        <v>0</v>
      </c>
    </row>
    <row r="40" spans="1:38" ht="15" customHeight="1" x14ac:dyDescent="0.2">
      <c r="A40" s="94" t="s">
        <v>220</v>
      </c>
      <c r="B40" s="161">
        <v>0</v>
      </c>
    </row>
    <row r="41" spans="1:38" ht="15" customHeight="1" x14ac:dyDescent="0.2">
      <c r="A41" s="94" t="s">
        <v>221</v>
      </c>
      <c r="B41" s="161">
        <v>0</v>
      </c>
    </row>
    <row r="42" spans="1:38" ht="15" customHeight="1" x14ac:dyDescent="0.2">
      <c r="A42" s="94" t="s">
        <v>222</v>
      </c>
      <c r="B42" s="161">
        <v>0</v>
      </c>
    </row>
    <row r="43" spans="1:38" ht="15" customHeight="1" x14ac:dyDescent="0.2">
      <c r="A43" s="94" t="s">
        <v>223</v>
      </c>
      <c r="B43" s="161">
        <v>0</v>
      </c>
    </row>
    <row r="44" spans="1:38" ht="15" customHeight="1" x14ac:dyDescent="0.2">
      <c r="A44" s="94" t="s">
        <v>224</v>
      </c>
      <c r="B44" s="161">
        <v>0</v>
      </c>
    </row>
    <row r="45" spans="1:38" ht="15" customHeight="1" x14ac:dyDescent="0.2">
      <c r="A45" s="94" t="s">
        <v>225</v>
      </c>
      <c r="B45" s="161">
        <v>0</v>
      </c>
    </row>
    <row r="46" spans="1:38" ht="15" customHeight="1" x14ac:dyDescent="0.2">
      <c r="A46" s="94" t="s">
        <v>227</v>
      </c>
      <c r="B46" s="161">
        <v>0</v>
      </c>
    </row>
    <row r="47" spans="1:38" ht="15" customHeight="1" x14ac:dyDescent="0.2">
      <c r="A47" s="94" t="s">
        <v>125</v>
      </c>
      <c r="B47" s="161">
        <v>0</v>
      </c>
    </row>
    <row r="48" spans="1:38" ht="15" customHeight="1" x14ac:dyDescent="0.2">
      <c r="A48" s="94" t="s">
        <v>226</v>
      </c>
      <c r="B48" s="161">
        <v>0</v>
      </c>
    </row>
    <row r="49" spans="2:38" ht="15" customHeight="1" x14ac:dyDescent="0.2"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</row>
    <row r="50" spans="2:38" ht="15" customHeight="1" x14ac:dyDescent="0.2"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</row>
    <row r="51" spans="2:38" ht="15" customHeight="1" x14ac:dyDescent="0.2"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</row>
    <row r="52" spans="2:38" ht="15" customHeight="1" x14ac:dyDescent="0.2">
      <c r="B52" s="163" t="s">
        <v>166</v>
      </c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</row>
    <row r="53" spans="2:38" ht="15" customHeight="1" x14ac:dyDescent="0.2"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</row>
    <row r="54" spans="2:38" ht="15" customHeight="1" x14ac:dyDescent="0.2"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  <c r="AL54" s="93"/>
    </row>
    <row r="55" spans="2:38" ht="15" customHeight="1" x14ac:dyDescent="0.2"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</row>
    <row r="56" spans="2:38" ht="15" customHeight="1" x14ac:dyDescent="0.2"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</row>
    <row r="57" spans="2:38" ht="15" customHeight="1" x14ac:dyDescent="0.2"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</row>
    <row r="58" spans="2:38" ht="15" customHeight="1" x14ac:dyDescent="0.2"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 s="93"/>
      <c r="AK58" s="93"/>
      <c r="AL58" s="93"/>
    </row>
    <row r="59" spans="2:38" ht="15" customHeight="1" x14ac:dyDescent="0.2"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</row>
    <row r="60" spans="2:38" ht="15" customHeight="1" x14ac:dyDescent="0.2"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  <c r="AL60" s="93"/>
    </row>
    <row r="61" spans="2:38" ht="15" customHeight="1" x14ac:dyDescent="0.2"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</row>
    <row r="62" spans="2:38" ht="15" customHeight="1" x14ac:dyDescent="0.2"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 s="93"/>
      <c r="AK62" s="93"/>
      <c r="AL62" s="93"/>
    </row>
    <row r="63" spans="2:38" ht="15" customHeight="1" x14ac:dyDescent="0.2"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</row>
    <row r="64" spans="2:38" ht="15" customHeight="1" x14ac:dyDescent="0.2"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</row>
    <row r="65" spans="2:38" ht="15" customHeight="1" x14ac:dyDescent="0.2"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</row>
    <row r="66" spans="2:38" ht="15" customHeight="1" x14ac:dyDescent="0.2"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  <c r="AJ66" s="93"/>
      <c r="AK66" s="93"/>
      <c r="AL66" s="93"/>
    </row>
    <row r="67" spans="2:38" ht="15" customHeight="1" x14ac:dyDescent="0.2"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</row>
    <row r="68" spans="2:38" ht="15" customHeight="1" x14ac:dyDescent="0.2"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</row>
    <row r="69" spans="2:38" ht="15" customHeight="1" x14ac:dyDescent="0.2"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</row>
    <row r="70" spans="2:38" ht="15" customHeight="1" x14ac:dyDescent="0.2"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</row>
    <row r="71" spans="2:38" ht="15" customHeight="1" x14ac:dyDescent="0.2"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</row>
    <row r="72" spans="2:38" ht="15" customHeight="1" x14ac:dyDescent="0.2"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 s="93"/>
      <c r="AK72" s="93"/>
      <c r="AL72" s="93"/>
    </row>
    <row r="73" spans="2:38" ht="15" customHeight="1" x14ac:dyDescent="0.2"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</row>
    <row r="74" spans="2:38" ht="15" customHeight="1" x14ac:dyDescent="0.2"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</row>
    <row r="75" spans="2:38" ht="15" customHeight="1" x14ac:dyDescent="0.2"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</row>
    <row r="76" spans="2:38" ht="15" customHeight="1" x14ac:dyDescent="0.2"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 s="93"/>
      <c r="AK76" s="93"/>
      <c r="AL76" s="93"/>
    </row>
    <row r="77" spans="2:38" ht="15" customHeight="1" x14ac:dyDescent="0.2"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</row>
    <row r="78" spans="2:38" ht="15" customHeight="1" x14ac:dyDescent="0.2"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</row>
    <row r="79" spans="2:38" ht="15" customHeight="1" x14ac:dyDescent="0.2"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</row>
    <row r="80" spans="2:38" ht="15" customHeight="1" x14ac:dyDescent="0.2"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3"/>
      <c r="AK80" s="93"/>
      <c r="AL80" s="93"/>
    </row>
    <row r="81" spans="2:38" ht="15" customHeight="1" x14ac:dyDescent="0.2"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</row>
    <row r="82" spans="2:38" ht="15" customHeight="1" x14ac:dyDescent="0.2"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 s="93"/>
      <c r="AK82" s="93"/>
      <c r="AL82" s="93"/>
    </row>
    <row r="83" spans="2:38" ht="15" customHeight="1" x14ac:dyDescent="0.2"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</row>
    <row r="84" spans="2:38" ht="15" customHeight="1" x14ac:dyDescent="0.2"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</row>
    <row r="85" spans="2:38" ht="15" customHeight="1" x14ac:dyDescent="0.2"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</row>
    <row r="86" spans="2:38" ht="15" customHeight="1" x14ac:dyDescent="0.2"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 s="93"/>
      <c r="AK86" s="93"/>
      <c r="AL86" s="93"/>
    </row>
    <row r="87" spans="2:38" ht="15" customHeight="1" x14ac:dyDescent="0.2"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</row>
    <row r="88" spans="2:38" ht="15" customHeight="1" x14ac:dyDescent="0.2"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 s="93"/>
      <c r="AK88" s="93"/>
      <c r="AL88" s="93"/>
    </row>
    <row r="89" spans="2:38" ht="15" customHeight="1" x14ac:dyDescent="0.2"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</row>
    <row r="90" spans="2:38" ht="15" customHeight="1" x14ac:dyDescent="0.2"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93"/>
      <c r="AG90" s="93"/>
      <c r="AH90" s="93"/>
      <c r="AI90" s="93"/>
      <c r="AJ90" s="93"/>
      <c r="AK90" s="93"/>
      <c r="AL90" s="93"/>
    </row>
    <row r="91" spans="2:38" ht="15" customHeight="1" x14ac:dyDescent="0.2"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</row>
    <row r="92" spans="2:38" ht="15" customHeight="1" x14ac:dyDescent="0.2"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</row>
    <row r="93" spans="2:38" ht="15" customHeight="1" x14ac:dyDescent="0.2"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</row>
    <row r="94" spans="2:38" ht="15" customHeight="1" x14ac:dyDescent="0.2"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  <c r="AF94" s="93"/>
      <c r="AG94" s="93"/>
      <c r="AH94" s="93"/>
      <c r="AI94" s="93"/>
      <c r="AJ94" s="93"/>
      <c r="AK94" s="93"/>
      <c r="AL94" s="93"/>
    </row>
    <row r="95" spans="2:38" ht="15" customHeight="1" x14ac:dyDescent="0.2"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</row>
    <row r="96" spans="2:38" ht="15" customHeight="1" x14ac:dyDescent="0.2"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93"/>
      <c r="AG96" s="93"/>
      <c r="AH96" s="93"/>
      <c r="AI96" s="93"/>
      <c r="AJ96" s="93"/>
      <c r="AK96" s="93"/>
      <c r="AL96" s="93"/>
    </row>
    <row r="97" spans="2:38" ht="15" customHeight="1" x14ac:dyDescent="0.2"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</row>
    <row r="98" spans="2:38" ht="15" customHeight="1" x14ac:dyDescent="0.2"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3"/>
      <c r="AF98" s="93"/>
      <c r="AG98" s="93"/>
      <c r="AH98" s="93"/>
      <c r="AI98" s="93"/>
      <c r="AJ98" s="93"/>
      <c r="AK98" s="93"/>
      <c r="AL98" s="93"/>
    </row>
    <row r="99" spans="2:38" ht="15" customHeight="1" x14ac:dyDescent="0.2"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</row>
    <row r="100" spans="2:38" ht="15" customHeight="1" x14ac:dyDescent="0.2"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</row>
    <row r="101" spans="2:38" ht="15" customHeight="1" x14ac:dyDescent="0.2"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</row>
    <row r="102" spans="2:38" ht="15" customHeight="1" x14ac:dyDescent="0.2"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 s="93"/>
      <c r="AK102" s="93"/>
      <c r="AL102" s="93"/>
    </row>
    <row r="103" spans="2:38" ht="15" customHeight="1" x14ac:dyDescent="0.2"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</row>
    <row r="104" spans="2:38" ht="15" customHeight="1" x14ac:dyDescent="0.2"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 s="93"/>
      <c r="AK104" s="93"/>
      <c r="AL104" s="93"/>
    </row>
    <row r="105" spans="2:38" ht="15" customHeight="1" x14ac:dyDescent="0.2"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</row>
    <row r="106" spans="2:38" ht="15" customHeight="1" x14ac:dyDescent="0.2"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</row>
    <row r="107" spans="2:38" ht="15" customHeight="1" x14ac:dyDescent="0.2"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</row>
    <row r="108" spans="2:38" ht="15" customHeight="1" x14ac:dyDescent="0.2"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</row>
    <row r="109" spans="2:38" ht="15" customHeight="1" x14ac:dyDescent="0.2"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</row>
    <row r="110" spans="2:38" ht="15" customHeight="1" x14ac:dyDescent="0.2"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</row>
    <row r="111" spans="2:38" ht="15" customHeight="1" x14ac:dyDescent="0.2"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</row>
    <row r="112" spans="2:38" ht="15" customHeight="1" x14ac:dyDescent="0.2"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</row>
    <row r="113" spans="2:38" ht="15" customHeight="1" x14ac:dyDescent="0.2"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</row>
    <row r="114" spans="2:38" ht="15" customHeight="1" x14ac:dyDescent="0.2"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</row>
    <row r="115" spans="2:38" ht="15" customHeight="1" x14ac:dyDescent="0.2"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</row>
    <row r="116" spans="2:38" ht="15" customHeight="1" x14ac:dyDescent="0.2"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</row>
    <row r="117" spans="2:38" ht="15" customHeight="1" x14ac:dyDescent="0.2"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</row>
    <row r="118" spans="2:38" ht="15" customHeight="1" x14ac:dyDescent="0.2"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</row>
    <row r="119" spans="2:38" ht="15" customHeight="1" x14ac:dyDescent="0.2"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</row>
    <row r="120" spans="2:38" ht="15" customHeight="1" x14ac:dyDescent="0.2"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</row>
    <row r="121" spans="2:38" ht="15" customHeight="1" x14ac:dyDescent="0.2"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</row>
    <row r="122" spans="2:38" ht="15" customHeight="1" x14ac:dyDescent="0.2"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</row>
    <row r="123" spans="2:38" ht="15" customHeight="1" x14ac:dyDescent="0.2"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</row>
    <row r="124" spans="2:38" ht="15" customHeight="1" x14ac:dyDescent="0.2"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</row>
    <row r="125" spans="2:38" ht="15" customHeight="1" x14ac:dyDescent="0.2"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</row>
    <row r="126" spans="2:38" ht="15" customHeight="1" x14ac:dyDescent="0.2"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</row>
    <row r="127" spans="2:38" ht="15" customHeight="1" x14ac:dyDescent="0.2"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</row>
    <row r="128" spans="2:38" ht="15" customHeight="1" x14ac:dyDescent="0.2"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</row>
    <row r="129" spans="2:38" ht="15" customHeight="1" x14ac:dyDescent="0.2"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</row>
    <row r="130" spans="2:38" ht="15" customHeight="1" x14ac:dyDescent="0.2"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</row>
    <row r="131" spans="2:38" ht="15" customHeight="1" x14ac:dyDescent="0.2"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</row>
    <row r="132" spans="2:38" ht="15" customHeight="1" x14ac:dyDescent="0.2"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</row>
    <row r="133" spans="2:38" ht="15" customHeight="1" x14ac:dyDescent="0.2"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</row>
    <row r="134" spans="2:38" ht="15" customHeight="1" x14ac:dyDescent="0.2"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</row>
    <row r="135" spans="2:38" ht="15" customHeight="1" x14ac:dyDescent="0.2"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</row>
    <row r="136" spans="2:38" ht="15" customHeight="1" x14ac:dyDescent="0.2"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</row>
    <row r="137" spans="2:38" ht="15" customHeight="1" x14ac:dyDescent="0.2"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</row>
    <row r="138" spans="2:38" ht="15" customHeight="1" x14ac:dyDescent="0.2"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</row>
    <row r="139" spans="2:38" ht="15" customHeight="1" x14ac:dyDescent="0.2"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</row>
    <row r="140" spans="2:38" ht="15" customHeight="1" x14ac:dyDescent="0.2"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</row>
    <row r="141" spans="2:38" ht="15" customHeight="1" x14ac:dyDescent="0.2"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</row>
    <row r="142" spans="2:38" ht="15" customHeight="1" x14ac:dyDescent="0.2"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</row>
    <row r="143" spans="2:38" ht="15" customHeight="1" x14ac:dyDescent="0.2"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</row>
    <row r="144" spans="2:38" ht="15" customHeight="1" x14ac:dyDescent="0.2"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</row>
    <row r="145" spans="2:38" ht="15" customHeight="1" x14ac:dyDescent="0.2"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</row>
    <row r="146" spans="2:38" ht="15" customHeight="1" x14ac:dyDescent="0.2"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</row>
    <row r="147" spans="2:38" ht="15" customHeight="1" x14ac:dyDescent="0.2"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</row>
    <row r="148" spans="2:38" ht="15" customHeight="1" x14ac:dyDescent="0.2"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</row>
    <row r="149" spans="2:38" ht="15" customHeight="1" x14ac:dyDescent="0.2"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</row>
    <row r="150" spans="2:38" ht="15" customHeight="1" x14ac:dyDescent="0.2"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</row>
    <row r="151" spans="2:38" ht="15" customHeight="1" x14ac:dyDescent="0.2"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</row>
    <row r="152" spans="2:38" ht="15" customHeight="1" x14ac:dyDescent="0.2"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</row>
    <row r="153" spans="2:38" ht="15" customHeight="1" x14ac:dyDescent="0.2"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</row>
    <row r="154" spans="2:38" ht="15" customHeight="1" x14ac:dyDescent="0.2"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</row>
    <row r="155" spans="2:38" ht="15" customHeight="1" x14ac:dyDescent="0.2"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</row>
    <row r="156" spans="2:38" ht="15" customHeight="1" x14ac:dyDescent="0.2"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</row>
    <row r="157" spans="2:38" ht="15" customHeight="1" x14ac:dyDescent="0.2"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</row>
    <row r="158" spans="2:38" ht="15" customHeight="1" x14ac:dyDescent="0.2"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</row>
    <row r="159" spans="2:38" ht="15" customHeight="1" x14ac:dyDescent="0.2"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</row>
    <row r="160" spans="2:38" ht="15" customHeight="1" x14ac:dyDescent="0.2"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</row>
    <row r="161" spans="2:38" ht="15" customHeight="1" x14ac:dyDescent="0.2"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</row>
    <row r="162" spans="2:38" ht="15" customHeight="1" x14ac:dyDescent="0.2"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</row>
    <row r="163" spans="2:38" ht="15" customHeight="1" x14ac:dyDescent="0.2"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</row>
    <row r="164" spans="2:38" ht="15" customHeight="1" x14ac:dyDescent="0.2"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</row>
    <row r="165" spans="2:38" ht="15" customHeight="1" x14ac:dyDescent="0.2"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</row>
    <row r="166" spans="2:38" ht="15" customHeight="1" x14ac:dyDescent="0.2"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</row>
    <row r="167" spans="2:38" ht="15" customHeight="1" x14ac:dyDescent="0.2"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</row>
    <row r="168" spans="2:38" ht="15" customHeight="1" x14ac:dyDescent="0.2"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</row>
    <row r="169" spans="2:38" ht="15" customHeight="1" x14ac:dyDescent="0.2"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</row>
    <row r="170" spans="2:38" ht="15" customHeight="1" x14ac:dyDescent="0.2"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</row>
    <row r="171" spans="2:38" ht="15" customHeight="1" x14ac:dyDescent="0.2"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</row>
    <row r="172" spans="2:38" ht="15" customHeight="1" x14ac:dyDescent="0.2"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</row>
    <row r="173" spans="2:38" ht="15" customHeight="1" x14ac:dyDescent="0.2"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</row>
    <row r="174" spans="2:38" ht="15" customHeight="1" x14ac:dyDescent="0.2"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</row>
    <row r="175" spans="2:38" ht="15" customHeight="1" x14ac:dyDescent="0.2"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</row>
    <row r="176" spans="2:38" ht="15" customHeight="1" x14ac:dyDescent="0.2"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</row>
    <row r="177" spans="2:38" ht="15" customHeight="1" x14ac:dyDescent="0.2"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</row>
    <row r="181" spans="2:38" ht="15" customHeight="1" x14ac:dyDescent="0.2"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2023-08-15T01:26:39Z</dcterms:modified>
</cp:coreProperties>
</file>