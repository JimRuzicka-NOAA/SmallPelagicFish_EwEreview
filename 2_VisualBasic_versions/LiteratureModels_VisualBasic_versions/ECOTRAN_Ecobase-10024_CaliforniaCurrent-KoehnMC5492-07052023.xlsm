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ManualEntries/ManualEntries_ECOTRAN_K-path_versions/"/>
    </mc:Choice>
  </mc:AlternateContent>
  <xr:revisionPtr revIDLastSave="0" documentId="13_ncr:1_{16FFF45D-96DF-2348-A223-C287C01FABB9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Main!$C$2:$N$96</definedName>
    <definedName name="matDetritus">Detritus!$C$2:$E$96</definedName>
    <definedName name="matDiet">Diets!$B$2:$CO$96</definedName>
    <definedName name="matDiscards">Discards!$C$2:$C$95</definedName>
    <definedName name="matFishery">Fishing!$C$2:$C$95</definedName>
    <definedName name="matFishing">Fishing!#REF!</definedName>
    <definedName name="matMort">Mortalities!$A$1:$CT$95</definedName>
    <definedName name="matOut">MainOutputs!$A$2:$I$96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2" i="86" l="1"/>
  <c r="D32" i="86"/>
  <c r="C32" i="86"/>
  <c r="B32" i="86"/>
  <c r="F2" i="1" l="1"/>
  <c r="B100" i="78"/>
  <c r="D95" i="3" l="1"/>
  <c r="D94" i="3"/>
  <c r="D95" i="2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2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CQ100" i="78"/>
  <c r="C96" i="75"/>
  <c r="C4" i="75" l="1"/>
  <c r="C5" i="75"/>
  <c r="C6" i="75" s="1"/>
  <c r="C7" i="75" s="1"/>
  <c r="C8" i="75" s="1"/>
  <c r="C9" i="75" s="1"/>
  <c r="C10" i="75" s="1"/>
  <c r="C11" i="75" s="1"/>
  <c r="C12" i="75" s="1"/>
  <c r="C13" i="75" s="1"/>
  <c r="C14" i="75" s="1"/>
  <c r="C15" i="75" s="1"/>
  <c r="C16" i="75" s="1"/>
  <c r="C17" i="75" s="1"/>
  <c r="C18" i="75" s="1"/>
  <c r="C19" i="75" s="1"/>
  <c r="C20" i="75" s="1"/>
  <c r="C21" i="75" s="1"/>
  <c r="C22" i="75" s="1"/>
  <c r="C23" i="75" s="1"/>
  <c r="C24" i="75" s="1"/>
  <c r="C25" i="75" s="1"/>
  <c r="C26" i="75" s="1"/>
  <c r="C27" i="75" s="1"/>
  <c r="C28" i="75" s="1"/>
  <c r="C29" i="75" s="1"/>
  <c r="C30" i="75" s="1"/>
  <c r="C31" i="75" s="1"/>
  <c r="C32" i="75" s="1"/>
  <c r="C33" i="75" s="1"/>
  <c r="C34" i="75" s="1"/>
  <c r="C35" i="75" s="1"/>
  <c r="C36" i="75" s="1"/>
  <c r="C37" i="75" s="1"/>
  <c r="C38" i="75" s="1"/>
  <c r="C39" i="75" s="1"/>
  <c r="C40" i="75" s="1"/>
  <c r="C41" i="75" s="1"/>
  <c r="C42" i="75" s="1"/>
  <c r="C43" i="75" s="1"/>
  <c r="C44" i="75" s="1"/>
  <c r="C45" i="75" s="1"/>
  <c r="C46" i="75" s="1"/>
  <c r="C47" i="75" s="1"/>
  <c r="C48" i="75" s="1"/>
  <c r="C49" i="75" s="1"/>
  <c r="C50" i="75" s="1"/>
  <c r="C51" i="75" s="1"/>
  <c r="C52" i="75" s="1"/>
  <c r="C53" i="75" s="1"/>
  <c r="C54" i="75" s="1"/>
  <c r="C55" i="75" s="1"/>
  <c r="C56" i="75" s="1"/>
  <c r="C57" i="75" s="1"/>
  <c r="C58" i="75" s="1"/>
  <c r="C59" i="75" s="1"/>
  <c r="C60" i="75" s="1"/>
  <c r="C61" i="75" s="1"/>
  <c r="C62" i="75" s="1"/>
  <c r="C63" i="75" s="1"/>
  <c r="C64" i="75" s="1"/>
  <c r="C65" i="75" s="1"/>
  <c r="C66" i="75" s="1"/>
  <c r="C67" i="75" s="1"/>
  <c r="C68" i="75" s="1"/>
  <c r="C69" i="75" s="1"/>
  <c r="C70" i="75" s="1"/>
  <c r="C71" i="75" s="1"/>
  <c r="C72" i="75" s="1"/>
  <c r="C73" i="75" s="1"/>
  <c r="C74" i="75" s="1"/>
  <c r="C75" i="75" s="1"/>
  <c r="C76" i="75" s="1"/>
  <c r="C77" i="75" s="1"/>
  <c r="C78" i="75" s="1"/>
  <c r="C79" i="75" s="1"/>
  <c r="C80" i="75" s="1"/>
  <c r="C81" i="75" s="1"/>
  <c r="C82" i="75" s="1"/>
  <c r="C83" i="75" s="1"/>
  <c r="C84" i="75" s="1"/>
  <c r="C85" i="75" s="1"/>
  <c r="C86" i="75" s="1"/>
  <c r="C87" i="75" s="1"/>
  <c r="C88" i="75" s="1"/>
  <c r="C89" i="75" s="1"/>
  <c r="C90" i="75" s="1"/>
  <c r="C91" i="75" s="1"/>
  <c r="C92" i="75" s="1"/>
  <c r="C93" i="75" s="1"/>
  <c r="C94" i="75" s="1"/>
  <c r="C95" i="75" s="1"/>
  <c r="C3" i="75"/>
  <c r="C100" i="78"/>
  <c r="D100" i="78"/>
  <c r="E100" i="78"/>
  <c r="F100" i="78"/>
  <c r="G100" i="78"/>
  <c r="H100" i="78"/>
  <c r="I100" i="78"/>
  <c r="J100" i="78"/>
  <c r="K100" i="78"/>
  <c r="L100" i="78"/>
  <c r="M100" i="78"/>
  <c r="N100" i="78"/>
  <c r="O100" i="78"/>
  <c r="P100" i="78"/>
  <c r="Q100" i="78"/>
  <c r="R100" i="78"/>
  <c r="S100" i="78"/>
  <c r="T100" i="78"/>
  <c r="U100" i="78"/>
  <c r="V100" i="78"/>
  <c r="W100" i="78"/>
  <c r="X100" i="78"/>
  <c r="Y100" i="78"/>
  <c r="Z100" i="78"/>
  <c r="AA100" i="78"/>
  <c r="AB100" i="78"/>
  <c r="AC100" i="78"/>
  <c r="AD100" i="78"/>
  <c r="AE100" i="78"/>
  <c r="AF100" i="78"/>
  <c r="AG100" i="78"/>
  <c r="AH100" i="78"/>
  <c r="AI100" i="78"/>
  <c r="AJ100" i="78"/>
  <c r="AK100" i="78"/>
  <c r="AL100" i="78"/>
  <c r="AM100" i="78"/>
  <c r="AN100" i="78"/>
  <c r="AO100" i="78"/>
  <c r="AP100" i="78"/>
  <c r="AQ100" i="78"/>
  <c r="AR100" i="78"/>
  <c r="AS100" i="78"/>
  <c r="AT100" i="78"/>
  <c r="AU100" i="78"/>
  <c r="AV100" i="78"/>
  <c r="AW100" i="78"/>
  <c r="AX100" i="78"/>
  <c r="AY100" i="78"/>
  <c r="AZ100" i="78"/>
  <c r="BA100" i="78"/>
  <c r="BB100" i="78"/>
  <c r="BC100" i="78"/>
  <c r="BD100" i="78"/>
  <c r="BE100" i="78"/>
  <c r="BF100" i="78"/>
  <c r="BG100" i="78"/>
  <c r="BH100" i="78"/>
  <c r="BI100" i="78"/>
  <c r="BJ100" i="78"/>
  <c r="BK100" i="78"/>
  <c r="BL100" i="78"/>
  <c r="BM100" i="78"/>
  <c r="BN100" i="78"/>
  <c r="BO100" i="78"/>
  <c r="BP100" i="78"/>
  <c r="BQ100" i="78"/>
  <c r="BR100" i="78"/>
  <c r="BS100" i="78"/>
  <c r="BT100" i="78"/>
  <c r="BU100" i="78"/>
  <c r="BV100" i="78"/>
  <c r="BW100" i="78"/>
  <c r="BX100" i="78"/>
  <c r="BY100" i="78"/>
  <c r="BZ100" i="78"/>
  <c r="CA100" i="78"/>
  <c r="CB100" i="78"/>
  <c r="CC100" i="78"/>
  <c r="CD100" i="78"/>
  <c r="CE100" i="78"/>
  <c r="CF100" i="78"/>
  <c r="CG100" i="78"/>
  <c r="CH100" i="78"/>
  <c r="CI100" i="78"/>
  <c r="CJ100" i="78"/>
  <c r="CK100" i="78"/>
  <c r="CL100" i="78"/>
  <c r="CM100" i="78"/>
  <c r="CN100" i="78"/>
  <c r="CO100" i="78"/>
  <c r="CP100" i="78"/>
  <c r="B10" i="87" l="1"/>
  <c r="X6" i="75"/>
  <c r="B8" i="75"/>
  <c r="B7" i="75"/>
  <c r="D42" i="86" l="1"/>
  <c r="E42" i="86" l="1"/>
</calcChain>
</file>

<file path=xl/sharedStrings.xml><?xml version="1.0" encoding="utf-8"?>
<sst xmlns="http://schemas.openxmlformats.org/spreadsheetml/2006/main" count="2258" uniqueCount="275">
  <si>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</si>
  <si>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</si>
  <si>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</si>
  <si>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</si>
  <si>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</si>
  <si>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</si>
  <si>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</si>
  <si>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</si>
  <si>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</si>
  <si>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</si>
  <si>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</si>
  <si>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</si>
  <si>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</si>
  <si>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</si>
  <si>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</si>
  <si>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</si>
  <si>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</si>
  <si>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</si>
  <si>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</si>
  <si>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</si>
  <si>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</si>
  <si>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</si>
  <si>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</si>
  <si>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</si>
  <si>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</si>
  <si>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</si>
  <si>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</si>
  <si>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</si>
  <si>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</si>
  <si>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</si>
  <si>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</si>
  <si>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</si>
  <si>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</si>
  <si>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</si>
  <si>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</si>
  <si>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</si>
  <si>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</si>
  <si>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</si>
  <si>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</si>
  <si>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</si>
  <si>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</si>
  <si>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</si>
  <si>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</si>
  <si>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</si>
  <si>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</si>
  <si>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</si>
  <si>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</si>
  <si>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</si>
  <si>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</si>
  <si>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</si>
  <si>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</si>
  <si>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</si>
  <si>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</si>
  <si>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</si>
  <si>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</si>
  <si>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</si>
  <si>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</si>
  <si>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</si>
  <si>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</si>
  <si>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</si>
  <si>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</si>
  <si>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</si>
  <si>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</si>
  <si>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</si>
  <si>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</si>
  <si>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</si>
  <si>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</si>
  <si>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</si>
  <si>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</si>
  <si>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</si>
  <si>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</si>
  <si>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</si>
  <si>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</si>
  <si>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</si>
  <si>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</si>
  <si>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</si>
  <si>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</si>
  <si>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</si>
  <si>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</si>
  <si>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</si>
  <si>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</si>
  <si>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</si>
  <si>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</si>
  <si>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</si>
  <si>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</si>
  <si>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</si>
  <si>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</si>
  <si>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</si>
  <si>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</si>
  <si>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</si>
  <si>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</si>
  <si>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</si>
  <si>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</si>
  <si>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</si>
  <si>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</si>
  <si>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</si>
  <si>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</si>
  <si>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</si>
  <si>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</si>
  <si>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</si>
  <si>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</si>
  <si>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</si>
  <si>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</si>
  <si>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</si>
  <si>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</si>
  <si>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</si>
  <si>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</si>
  <si>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</si>
  <si>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</si>
  <si>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</si>
  <si>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</si>
  <si>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</si>
  <si>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</si>
  <si>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</si>
  <si>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</si>
  <si>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</si>
  <si>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</si>
  <si>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</si>
  <si>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</si>
  <si>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</si>
  <si>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</si>
  <si>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</si>
  <si>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</si>
  <si>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</si>
  <si>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</si>
  <si>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</si>
  <si>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</si>
  <si>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</si>
  <si>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</si>
  <si>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</si>
  <si>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</si>
  <si>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</si>
  <si>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</si>
  <si>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</si>
  <si>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</si>
  <si>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</si>
  <si>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</si>
  <si>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</si>
  <si>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</si>
  <si>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</si>
  <si>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</si>
  <si>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</si>
  <si>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</si>
  <si>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</si>
  <si>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</si>
  <si>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</si>
  <si>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</si>
  <si>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</si>
  <si>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</si>
  <si>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</si>
  <si>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</si>
  <si>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</si>
  <si>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</si>
  <si>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</si>
  <si>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</si>
  <si>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</si>
  <si>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</si>
  <si>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</si>
  <si>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</si>
  <si>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</si>
  <si>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</si>
  <si>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euphausiids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</si>
  <si>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</si>
  <si>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</si>
  <si>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</si>
  <si>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</si>
  <si>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</si>
  <si>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</si>
  <si>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</si>
  <si>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</si>
  <si>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</si>
  <si>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</si>
  <si>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phytoplankton</t>
  </si>
  <si>
    <t>infauna</t>
  </si>
  <si>
    <t>amphipods</t>
  </si>
  <si>
    <t>epibenthic</t>
  </si>
  <si>
    <t>micro-zoop</t>
  </si>
  <si>
    <t>copepods</t>
  </si>
  <si>
    <t>carniv-zoops</t>
  </si>
  <si>
    <t>small jellies</t>
  </si>
  <si>
    <t>large jellies</t>
  </si>
  <si>
    <t>pandalid shp</t>
  </si>
  <si>
    <t>benthic shp</t>
  </si>
  <si>
    <t>tanner crb</t>
  </si>
  <si>
    <t>mesopelagics</t>
  </si>
  <si>
    <t>surf perch</t>
  </si>
  <si>
    <t>Sardine</t>
  </si>
  <si>
    <t>Anchovy</t>
  </si>
  <si>
    <t>Herring</t>
  </si>
  <si>
    <t>Pacific Mackerel</t>
  </si>
  <si>
    <t>Sandlance</t>
  </si>
  <si>
    <t>White bait smelt</t>
  </si>
  <si>
    <t>Other smelt</t>
  </si>
  <si>
    <t>Saury</t>
  </si>
  <si>
    <t>Greenstriped</t>
  </si>
  <si>
    <t>Shortbelly</t>
  </si>
  <si>
    <t>Petrale sole</t>
  </si>
  <si>
    <t>Halibut</t>
  </si>
  <si>
    <t>Hake</t>
  </si>
  <si>
    <t>Lingcod</t>
  </si>
  <si>
    <t>Sablefish</t>
  </si>
  <si>
    <t>Albacore</t>
  </si>
  <si>
    <t>Salmon</t>
  </si>
  <si>
    <t>Grenadiers</t>
  </si>
  <si>
    <t>Dogfish</t>
  </si>
  <si>
    <t>Flatfish</t>
  </si>
  <si>
    <t>Skates</t>
  </si>
  <si>
    <t>Sharks</t>
  </si>
  <si>
    <t>Cassin's auklet</t>
  </si>
  <si>
    <t>Tufted Puffin</t>
  </si>
  <si>
    <t>Western Gull</t>
  </si>
  <si>
    <t>Albatross</t>
  </si>
  <si>
    <t>Shearwater</t>
  </si>
  <si>
    <t>Leach's S. Petrel</t>
  </si>
  <si>
    <t>Porpoises</t>
  </si>
  <si>
    <t>Sperm whale</t>
  </si>
  <si>
    <t>Harbor seals</t>
  </si>
  <si>
    <t>Sea Lions</t>
  </si>
  <si>
    <t>Fur seals</t>
  </si>
  <si>
    <t>Blue whale</t>
  </si>
  <si>
    <t>Gray whale</t>
  </si>
  <si>
    <t>Dolphins</t>
  </si>
  <si>
    <t>Pelagic cormorant</t>
  </si>
  <si>
    <t>Pigeon Guillemot</t>
  </si>
  <si>
    <t>Caspian tern</t>
  </si>
  <si>
    <t>Brown Pelican</t>
  </si>
  <si>
    <t>Detritus</t>
  </si>
  <si>
    <t>sum--&gt;&gt;</t>
  </si>
  <si>
    <t>Benthic fish</t>
  </si>
  <si>
    <t>Market squid</t>
  </si>
  <si>
    <t>Sand lance</t>
  </si>
  <si>
    <t>Whitebait smelt</t>
  </si>
  <si>
    <t>Arrowtooth</t>
  </si>
  <si>
    <t>Shortspine thorny.</t>
  </si>
  <si>
    <t>Longspine thorny.</t>
  </si>
  <si>
    <t>Kittiwake</t>
  </si>
  <si>
    <t>Transient Orcas</t>
  </si>
  <si>
    <t>Resident Orcas</t>
  </si>
  <si>
    <t>Humpback whale</t>
  </si>
  <si>
    <t>Minke whale</t>
  </si>
  <si>
    <t>Fin whale</t>
  </si>
  <si>
    <t>&lt;&lt;--Jim added this group to be able to run through ECOTRAN</t>
  </si>
  <si>
    <t>export</t>
  </si>
  <si>
    <t>sum</t>
  </si>
  <si>
    <t>TOTAL</t>
  </si>
  <si>
    <t>Dungeness</t>
  </si>
  <si>
    <t>Other cephal.</t>
  </si>
  <si>
    <t>Juv. rock.</t>
  </si>
  <si>
    <t>Juv. hake</t>
  </si>
  <si>
    <t>Juv. flat.</t>
  </si>
  <si>
    <t>Juv. round.</t>
  </si>
  <si>
    <t>Juv. thorny.</t>
  </si>
  <si>
    <t>Yellowtail rock.</t>
  </si>
  <si>
    <t>Black rock.</t>
  </si>
  <si>
    <t>Nearshore rock.</t>
  </si>
  <si>
    <t>Yelloweye rock.</t>
  </si>
  <si>
    <t>Shelf rock.</t>
  </si>
  <si>
    <t>Canary rock.</t>
  </si>
  <si>
    <t>P. Ocean Perch</t>
  </si>
  <si>
    <t>Widow rock.</t>
  </si>
  <si>
    <t>Splitnose rock.</t>
  </si>
  <si>
    <t>Slope rock.</t>
  </si>
  <si>
    <t>Common murre</t>
  </si>
  <si>
    <t>Rhino. auklet</t>
  </si>
  <si>
    <t>Cali. gull</t>
  </si>
  <si>
    <t>Fulmar</t>
  </si>
  <si>
    <t>Juv. Ele. Seal</t>
  </si>
  <si>
    <t>Adult N. Ele. Seal</t>
  </si>
  <si>
    <t>Brandt's corm.</t>
  </si>
  <si>
    <t>Double corm.</t>
  </si>
  <si>
    <t>Murrelet</t>
  </si>
  <si>
    <t>Fleet1</t>
  </si>
  <si>
    <t>Import</t>
  </si>
  <si>
    <t>Koehn NCC Monte Carlo #5492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</si>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</sst>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rgb="FFFF0000"/>
      <name val="Arial"/>
      <family val="2"/>
    </font>
  </fonts>
  <fills count="22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B6888F"/>
        <bgColor indexed="64"/>
      </patternFill>
    </fill>
    <fill>
      <patternFill patternType="solid">
        <fgColor rgb="FF3777BE"/>
        <bgColor indexed="64"/>
      </patternFill>
    </fill>
    <fill>
      <patternFill patternType="solid">
        <fgColor rgb="FFC066E6"/>
        <bgColor indexed="64"/>
      </patternFill>
    </fill>
    <fill>
      <patternFill patternType="solid">
        <fgColor rgb="FFBE17A2"/>
        <bgColor indexed="64"/>
      </patternFill>
    </fill>
    <fill>
      <patternFill patternType="solid">
        <fgColor rgb="FFB6046E"/>
        <bgColor indexed="64"/>
      </patternFill>
    </fill>
    <fill>
      <patternFill patternType="solid">
        <fgColor rgb="FF6746FB"/>
        <bgColor indexed="64"/>
      </patternFill>
    </fill>
    <fill>
      <patternFill patternType="solid">
        <fgColor rgb="FFCDB26A"/>
        <bgColor indexed="64"/>
      </patternFill>
    </fill>
    <fill>
      <patternFill patternType="solid">
        <fgColor rgb="FFBB475B"/>
        <bgColor indexed="64"/>
      </patternFill>
    </fill>
    <fill>
      <patternFill patternType="solid">
        <fgColor rgb="FF6FF11F"/>
        <bgColor indexed="64"/>
      </patternFill>
    </fill>
    <fill>
      <patternFill patternType="solid">
        <fgColor rgb="FFA5591B"/>
        <bgColor indexed="64"/>
      </patternFill>
    </fill>
    <fill>
      <patternFill patternType="solid">
        <fgColor rgb="FF2F146E"/>
        <bgColor indexed="64"/>
      </patternFill>
    </fill>
    <fill>
      <patternFill patternType="solid">
        <fgColor rgb="FFF58A7E"/>
        <bgColor indexed="64"/>
      </patternFill>
    </fill>
    <fill>
      <patternFill patternType="solid">
        <fgColor rgb="FFF83861"/>
        <bgColor indexed="64"/>
      </patternFill>
    </fill>
    <fill>
      <patternFill patternType="solid">
        <fgColor rgb="FF65488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FF97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FF61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FFF7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34">
    <xf numFmtId="0" fontId="0" fillId="0" borderId="0" xfId="0"/>
    <xf numFmtId="0" fontId="1" fillId="0" borderId="0" xfId="0" applyFont="1"/>
    <xf numFmtId="0" fontId="3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13" fillId="0" borderId="0" xfId="0" applyFont="1"/>
    <xf numFmtId="0" fontId="13" fillId="0" borderId="0" xfId="0" applyFont="1" applyAlignment="1"/>
    <xf numFmtId="0" fontId="13" fillId="0" borderId="0" xfId="0" applyFont="1" applyFill="1"/>
    <xf numFmtId="0" fontId="13" fillId="83" borderId="0" xfId="0" applyFont="1" applyFill="1"/>
    <xf numFmtId="0" fontId="14" fillId="2" borderId="0" xfId="0" applyNumberFormat="1" applyFont="1" applyFill="1"/>
    <xf numFmtId="0" fontId="13" fillId="0" borderId="0" xfId="0" applyNumberFormat="1" applyFont="1"/>
    <xf numFmtId="0" fontId="15" fillId="0" borderId="0" xfId="0" applyNumberFormat="1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center" wrapText="1"/>
    </xf>
    <xf numFmtId="0" fontId="0" fillId="83" borderId="0" xfId="0" applyFill="1" applyAlignment="1">
      <alignment horizontal="center"/>
    </xf>
    <xf numFmtId="0" fontId="14" fillId="2" borderId="0" xfId="0" applyFont="1" applyFill="1" applyAlignment="1">
      <alignment wrapText="1"/>
    </xf>
    <xf numFmtId="0" fontId="14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3" fillId="83" borderId="0" xfId="0" applyFont="1" applyFill="1" applyAlignment="1">
      <alignment horizontal="center"/>
    </xf>
    <xf numFmtId="0" fontId="14" fillId="2" borderId="0" xfId="0" applyFont="1" applyFill="1" applyBorder="1"/>
    <xf numFmtId="0" fontId="13" fillId="0" borderId="0" xfId="0" applyFont="1" applyBorder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 applyAlignment="1">
      <alignment horizontal="center"/>
    </xf>
    <xf numFmtId="49" fontId="13" fillId="0" borderId="0" xfId="0" applyNumberFormat="1" applyFont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34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165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166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3" x14ac:dyDescent="0.15">
      <c r="B49" s="48" t="s">
        <v>44</v>
      </c>
      <c r="C49" s="32">
        <v>5</v>
      </c>
    </row>
    <row r="50" spans="2:3" x14ac:dyDescent="0.15">
      <c r="B50" s="48"/>
      <c r="C50" s="32"/>
    </row>
    <row r="51" spans="2:3" ht="14" thickBot="1" x14ac:dyDescent="0.2">
      <c r="B51" s="49" t="s">
        <v>73</v>
      </c>
      <c r="C51" s="33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E95" sqref="E2:E95"/>
    </sheetView>
  </sheetViews>
  <sheetFormatPr baseColWidth="10" defaultColWidth="8.83203125" defaultRowHeight="15" customHeight="1" x14ac:dyDescent="0.15"/>
  <cols>
    <col min="1" max="1" width="22.5" style="84" customWidth="1"/>
    <col min="2" max="2" width="7.6640625" style="84" customWidth="1"/>
    <col min="3" max="3" width="8.83203125" style="84"/>
    <col min="4" max="4" width="14.33203125" style="84" customWidth="1"/>
    <col min="5" max="5" width="41.83203125" style="84" bestFit="1" customWidth="1"/>
    <col min="6" max="6" width="9.5" style="84" bestFit="1" customWidth="1"/>
    <col min="7" max="7" width="8.1640625" style="84" bestFit="1" customWidth="1"/>
    <col min="8" max="14" width="8.83203125" style="84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2">
      <c r="C2" s="176">
        <v>1</v>
      </c>
      <c r="D2"/>
      <c r="E2" s="175" t="s">
        <v>172</v>
      </c>
      <c r="F2" s="175">
        <v>1</v>
      </c>
      <c r="G2" s="175"/>
      <c r="H2" s="175">
        <v>106.831782940305</v>
      </c>
      <c r="I2" s="178"/>
      <c r="J2" s="177">
        <v>0.36875690007582301</v>
      </c>
      <c r="K2" s="178"/>
      <c r="L2" s="177">
        <v>0</v>
      </c>
      <c r="M2" s="175">
        <v>0</v>
      </c>
      <c r="N2" s="175">
        <v>0</v>
      </c>
    </row>
    <row r="3" spans="1:46" ht="15" customHeight="1" x14ac:dyDescent="0.2">
      <c r="A3" s="1" t="s">
        <v>9</v>
      </c>
      <c r="B3" s="3">
        <v>92</v>
      </c>
      <c r="C3" s="175">
        <f>C2+1</f>
        <v>2</v>
      </c>
      <c r="D3"/>
      <c r="E3" s="175" t="s">
        <v>173</v>
      </c>
      <c r="F3" s="175">
        <v>0</v>
      </c>
      <c r="G3" s="175"/>
      <c r="H3" s="175">
        <v>2.2815573074188999</v>
      </c>
      <c r="I3" s="175">
        <v>11.4746811967897</v>
      </c>
      <c r="J3" s="175">
        <v>0.57530860081315005</v>
      </c>
      <c r="K3" s="175"/>
      <c r="L3" s="175">
        <v>0</v>
      </c>
      <c r="M3" s="175">
        <v>0.2</v>
      </c>
      <c r="N3" s="175">
        <v>0</v>
      </c>
    </row>
    <row r="4" spans="1:46" ht="15" customHeight="1" x14ac:dyDescent="0.2">
      <c r="A4" s="1" t="s">
        <v>10</v>
      </c>
      <c r="B4" s="3">
        <v>2</v>
      </c>
      <c r="C4" s="175">
        <f t="shared" ref="C4:C67" si="0">C3+1</f>
        <v>3</v>
      </c>
      <c r="D4"/>
      <c r="E4" s="175" t="s">
        <v>174</v>
      </c>
      <c r="F4" s="175">
        <v>0</v>
      </c>
      <c r="G4" s="175"/>
      <c r="H4" s="175">
        <v>3.80735607222607</v>
      </c>
      <c r="I4" s="175">
        <v>18.493612480758301</v>
      </c>
      <c r="J4" s="175">
        <v>0.89723211294040095</v>
      </c>
      <c r="K4" s="175"/>
      <c r="L4" s="175">
        <v>0</v>
      </c>
      <c r="M4" s="175">
        <v>0.2</v>
      </c>
      <c r="N4" s="175">
        <v>0</v>
      </c>
      <c r="V4" s="1" t="s">
        <v>29</v>
      </c>
    </row>
    <row r="5" spans="1:46" ht="15" customHeight="1" thickBot="1" x14ac:dyDescent="0.25">
      <c r="A5" s="1" t="s">
        <v>11</v>
      </c>
      <c r="B5" s="3">
        <v>1</v>
      </c>
      <c r="C5" s="175">
        <f t="shared" si="0"/>
        <v>4</v>
      </c>
      <c r="D5"/>
      <c r="E5" s="175" t="s">
        <v>175</v>
      </c>
      <c r="F5" s="175">
        <v>0</v>
      </c>
      <c r="G5" s="175"/>
      <c r="H5" s="175">
        <v>1.7040609676917899</v>
      </c>
      <c r="I5" s="175">
        <v>5.5573587994671101</v>
      </c>
      <c r="J5" s="175">
        <v>0.54624754087999505</v>
      </c>
      <c r="K5" s="175"/>
      <c r="L5" s="175">
        <v>0</v>
      </c>
      <c r="M5" s="175">
        <v>0.2</v>
      </c>
      <c r="N5" s="175">
        <v>0</v>
      </c>
      <c r="P5" s="72"/>
      <c r="Q5" s="72"/>
      <c r="R5" s="72"/>
    </row>
    <row r="6" spans="1:46" ht="15" customHeight="1" thickBot="1" x14ac:dyDescent="0.25">
      <c r="B6" s="1"/>
      <c r="C6" s="175">
        <f t="shared" si="0"/>
        <v>5</v>
      </c>
      <c r="D6"/>
      <c r="E6" s="175" t="s">
        <v>176</v>
      </c>
      <c r="F6" s="175">
        <v>0</v>
      </c>
      <c r="G6" s="175"/>
      <c r="H6" s="175">
        <v>84.796235890082599</v>
      </c>
      <c r="I6" s="175">
        <v>219.05420643465399</v>
      </c>
      <c r="J6" s="175">
        <v>0.62075899140909296</v>
      </c>
      <c r="K6" s="175"/>
      <c r="L6" s="175">
        <v>0</v>
      </c>
      <c r="M6" s="175">
        <v>0.2</v>
      </c>
      <c r="N6" s="175">
        <v>0</v>
      </c>
      <c r="P6" s="72"/>
      <c r="Q6" s="72"/>
      <c r="R6" s="72"/>
      <c r="W6" s="35" t="s">
        <v>31</v>
      </c>
      <c r="X6" s="51">
        <f>MAX(MainOutputs!G:G)</f>
        <v>0.89723223447799683</v>
      </c>
    </row>
    <row r="7" spans="1:46" ht="15" customHeight="1" x14ac:dyDescent="0.2">
      <c r="A7" s="2" t="s">
        <v>27</v>
      </c>
      <c r="B7" s="84">
        <f ca="1">COUNTIF(OFFSET(cornerDiets,1,1,NumLiving+NumDead+1,NumLiving+NumDead),"&gt;0")+NumLiving+NumDead+1</f>
        <v>1326</v>
      </c>
      <c r="C7" s="175">
        <f t="shared" si="0"/>
        <v>6</v>
      </c>
      <c r="D7"/>
      <c r="E7" s="175" t="s">
        <v>177</v>
      </c>
      <c r="F7" s="175">
        <v>0</v>
      </c>
      <c r="G7" s="175"/>
      <c r="H7" s="175">
        <v>14.1266974066559</v>
      </c>
      <c r="I7" s="175">
        <v>82.986642808873896</v>
      </c>
      <c r="J7" s="175">
        <v>0.51099524097517102</v>
      </c>
      <c r="K7" s="175"/>
      <c r="L7" s="175">
        <v>0</v>
      </c>
      <c r="M7" s="175">
        <v>0.2</v>
      </c>
      <c r="N7" s="175">
        <v>0</v>
      </c>
      <c r="P7" s="72"/>
      <c r="Q7" s="72"/>
      <c r="R7" s="72"/>
    </row>
    <row r="8" spans="1:46" ht="15" customHeight="1" x14ac:dyDescent="0.2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130</v>
      </c>
      <c r="C8" s="175">
        <f t="shared" si="0"/>
        <v>7</v>
      </c>
      <c r="D8"/>
      <c r="E8" s="175" t="s">
        <v>161</v>
      </c>
      <c r="F8" s="175">
        <v>0</v>
      </c>
      <c r="G8" s="175"/>
      <c r="H8" s="175">
        <v>10.614511414445801</v>
      </c>
      <c r="I8" s="175">
        <v>40.232830903981601</v>
      </c>
      <c r="J8" s="175">
        <v>0.896293584536761</v>
      </c>
      <c r="K8" s="175"/>
      <c r="L8" s="175">
        <v>0</v>
      </c>
      <c r="M8" s="175">
        <v>0.2</v>
      </c>
      <c r="N8" s="175">
        <v>0</v>
      </c>
      <c r="P8" s="72"/>
      <c r="Q8" s="72"/>
      <c r="R8" s="72"/>
    </row>
    <row r="9" spans="1:46" ht="15" customHeight="1" x14ac:dyDescent="0.2">
      <c r="B9" s="1"/>
      <c r="C9" s="175">
        <f t="shared" si="0"/>
        <v>8</v>
      </c>
      <c r="D9"/>
      <c r="E9" s="175" t="s">
        <v>178</v>
      </c>
      <c r="F9" s="175">
        <v>0</v>
      </c>
      <c r="G9" s="175"/>
      <c r="H9" s="175">
        <v>2.4824163853335399</v>
      </c>
      <c r="I9" s="175">
        <v>9.3786358862788806</v>
      </c>
      <c r="J9" s="175">
        <v>0.89429297456517798</v>
      </c>
      <c r="K9" s="175"/>
      <c r="L9" s="175">
        <v>0</v>
      </c>
      <c r="M9" s="175">
        <v>0.2</v>
      </c>
      <c r="N9" s="175">
        <v>0</v>
      </c>
      <c r="P9" s="72"/>
      <c r="Q9" s="72"/>
      <c r="R9" s="72"/>
    </row>
    <row r="10" spans="1:46" ht="15" customHeight="1" x14ac:dyDescent="0.2">
      <c r="B10" s="1"/>
      <c r="C10" s="175">
        <f t="shared" si="0"/>
        <v>9</v>
      </c>
      <c r="D10"/>
      <c r="E10" s="175" t="s">
        <v>179</v>
      </c>
      <c r="F10" s="175">
        <v>0</v>
      </c>
      <c r="G10" s="175"/>
      <c r="H10" s="175">
        <v>8.4310764288158406</v>
      </c>
      <c r="I10" s="175">
        <v>20.3102342067933</v>
      </c>
      <c r="J10" s="175">
        <v>0.54050929769873601</v>
      </c>
      <c r="K10" s="175"/>
      <c r="L10" s="175">
        <v>0</v>
      </c>
      <c r="M10" s="175">
        <v>0.2</v>
      </c>
      <c r="N10" s="175">
        <v>0</v>
      </c>
    </row>
    <row r="11" spans="1:46" ht="15" customHeight="1" x14ac:dyDescent="0.2">
      <c r="C11" s="175">
        <f t="shared" si="0"/>
        <v>10</v>
      </c>
      <c r="D11"/>
      <c r="E11" s="175" t="s">
        <v>180</v>
      </c>
      <c r="F11" s="175">
        <v>0</v>
      </c>
      <c r="G11" s="175"/>
      <c r="H11" s="175">
        <v>4.0885476654608697</v>
      </c>
      <c r="I11" s="175">
        <v>11.006743195206401</v>
      </c>
      <c r="J11" s="175">
        <v>0.70842375289648796</v>
      </c>
      <c r="K11" s="175"/>
      <c r="L11" s="175">
        <v>0</v>
      </c>
      <c r="M11" s="175">
        <v>0.2</v>
      </c>
      <c r="N11" s="175">
        <v>0</v>
      </c>
    </row>
    <row r="12" spans="1:46" ht="15" customHeight="1" x14ac:dyDescent="0.2">
      <c r="C12" s="175">
        <f t="shared" si="0"/>
        <v>11</v>
      </c>
      <c r="D12"/>
      <c r="E12" s="175" t="s">
        <v>181</v>
      </c>
      <c r="F12" s="175">
        <v>0</v>
      </c>
      <c r="G12" s="175"/>
      <c r="H12" s="175">
        <v>2.1428701487226598</v>
      </c>
      <c r="I12" s="175">
        <v>9.9657453655614905</v>
      </c>
      <c r="J12" s="175">
        <v>0.68280228450894398</v>
      </c>
      <c r="K12" s="175"/>
      <c r="L12" s="175">
        <v>0</v>
      </c>
      <c r="M12" s="175">
        <v>0.2</v>
      </c>
      <c r="N12" s="175">
        <v>0</v>
      </c>
    </row>
    <row r="13" spans="1:46" ht="15" customHeight="1" x14ac:dyDescent="0.2">
      <c r="C13" s="175">
        <f t="shared" si="0"/>
        <v>12</v>
      </c>
      <c r="D13"/>
      <c r="E13" s="175" t="s">
        <v>182</v>
      </c>
      <c r="F13" s="175">
        <v>0</v>
      </c>
      <c r="G13" s="175"/>
      <c r="H13" s="175">
        <v>2.7337419791638302</v>
      </c>
      <c r="I13" s="175">
        <v>11.754232031038599</v>
      </c>
      <c r="J13" s="175">
        <v>0.65509237367659801</v>
      </c>
      <c r="K13" s="175"/>
      <c r="L13" s="175">
        <v>0</v>
      </c>
      <c r="M13" s="175">
        <v>0.2</v>
      </c>
      <c r="N13" s="175">
        <v>0</v>
      </c>
    </row>
    <row r="14" spans="1:46" ht="15" customHeight="1" x14ac:dyDescent="0.2">
      <c r="C14" s="175">
        <f t="shared" si="0"/>
        <v>13</v>
      </c>
      <c r="D14"/>
      <c r="E14" s="175" t="s">
        <v>245</v>
      </c>
      <c r="F14" s="175">
        <v>0</v>
      </c>
      <c r="G14" s="175"/>
      <c r="H14" s="175">
        <v>0.72579258116860801</v>
      </c>
      <c r="I14" s="175">
        <v>4.4581404313848001</v>
      </c>
      <c r="J14" s="175">
        <v>0.718177468329668</v>
      </c>
      <c r="K14" s="175"/>
      <c r="L14" s="175">
        <v>0</v>
      </c>
      <c r="M14" s="175">
        <v>0.2</v>
      </c>
      <c r="N14" s="175">
        <v>0</v>
      </c>
    </row>
    <row r="15" spans="1:46" ht="15" customHeight="1" x14ac:dyDescent="0.2">
      <c r="C15" s="175">
        <f t="shared" si="0"/>
        <v>14</v>
      </c>
      <c r="D15"/>
      <c r="E15" s="175" t="s">
        <v>183</v>
      </c>
      <c r="F15" s="175">
        <v>0</v>
      </c>
      <c r="G15" s="175"/>
      <c r="H15" s="175">
        <v>0.32285459351701101</v>
      </c>
      <c r="I15" s="175">
        <v>1.22359145225581</v>
      </c>
      <c r="J15" s="175">
        <v>0.507491633854806</v>
      </c>
      <c r="K15" s="175"/>
      <c r="L15" s="175">
        <v>0</v>
      </c>
      <c r="M15" s="175">
        <v>0.2</v>
      </c>
      <c r="N15" s="175">
        <v>0</v>
      </c>
    </row>
    <row r="16" spans="1:46" ht="15" customHeight="1" x14ac:dyDescent="0.2">
      <c r="C16" s="175">
        <f t="shared" si="0"/>
        <v>15</v>
      </c>
      <c r="D16"/>
      <c r="E16" s="175" t="s">
        <v>184</v>
      </c>
      <c r="F16" s="175">
        <v>0</v>
      </c>
      <c r="G16" s="175">
        <v>6.3081979171428202</v>
      </c>
      <c r="H16" s="175">
        <v>0.607578622415615</v>
      </c>
      <c r="I16" s="175">
        <v>2.93400835696437</v>
      </c>
      <c r="J16" s="175"/>
      <c r="K16" s="175"/>
      <c r="L16" s="175">
        <v>0</v>
      </c>
      <c r="M16" s="175">
        <v>0.2</v>
      </c>
      <c r="N16" s="175">
        <v>0</v>
      </c>
    </row>
    <row r="17" spans="1:22" ht="15" customHeight="1" x14ac:dyDescent="0.2">
      <c r="C17" s="175">
        <f t="shared" si="0"/>
        <v>16</v>
      </c>
      <c r="D17"/>
      <c r="E17" s="175" t="s">
        <v>228</v>
      </c>
      <c r="F17" s="175">
        <v>0</v>
      </c>
      <c r="G17" s="175"/>
      <c r="H17" s="175">
        <v>0.483148808299735</v>
      </c>
      <c r="I17" s="175">
        <v>2.4017517111518898</v>
      </c>
      <c r="J17" s="175">
        <v>0.73751284694299102</v>
      </c>
      <c r="K17" s="175"/>
      <c r="L17" s="175">
        <v>0</v>
      </c>
      <c r="M17" s="175">
        <v>0.2</v>
      </c>
      <c r="N17" s="175">
        <v>0</v>
      </c>
      <c r="V17" s="1" t="s">
        <v>30</v>
      </c>
    </row>
    <row r="18" spans="1:22" ht="15" customHeight="1" x14ac:dyDescent="0.2">
      <c r="C18" s="175">
        <f t="shared" si="0"/>
        <v>17</v>
      </c>
      <c r="D18"/>
      <c r="E18" s="175" t="s">
        <v>185</v>
      </c>
      <c r="F18" s="175">
        <v>0</v>
      </c>
      <c r="G18" s="175"/>
      <c r="H18" s="175">
        <v>1.1189732324320201</v>
      </c>
      <c r="I18" s="175">
        <v>6.7270198729840196</v>
      </c>
      <c r="J18" s="175">
        <v>0.67360138399526504</v>
      </c>
      <c r="K18" s="175"/>
      <c r="L18" s="175">
        <v>0</v>
      </c>
      <c r="M18" s="175">
        <v>0.2</v>
      </c>
      <c r="N18" s="175">
        <v>0</v>
      </c>
      <c r="V18" s="1"/>
    </row>
    <row r="19" spans="1:22" ht="15" customHeight="1" x14ac:dyDescent="0.2">
      <c r="C19" s="175">
        <f t="shared" si="0"/>
        <v>18</v>
      </c>
      <c r="D19"/>
      <c r="E19" s="175" t="s">
        <v>246</v>
      </c>
      <c r="F19" s="175">
        <v>0</v>
      </c>
      <c r="G19" s="175"/>
      <c r="H19" s="175">
        <v>1.9958349999504501</v>
      </c>
      <c r="I19" s="175">
        <v>4.1901409245426002</v>
      </c>
      <c r="J19" s="175">
        <v>0.78427462736144704</v>
      </c>
      <c r="K19" s="175"/>
      <c r="L19" s="175">
        <v>0</v>
      </c>
      <c r="M19" s="175">
        <v>0.2</v>
      </c>
      <c r="N19" s="175">
        <v>0</v>
      </c>
    </row>
    <row r="20" spans="1:22" ht="15" customHeight="1" thickBot="1" x14ac:dyDescent="0.25">
      <c r="C20" s="175">
        <f t="shared" si="0"/>
        <v>19</v>
      </c>
      <c r="D20"/>
      <c r="E20" s="175" t="s">
        <v>229</v>
      </c>
      <c r="F20" s="175">
        <v>0</v>
      </c>
      <c r="G20" s="175"/>
      <c r="H20" s="175">
        <v>3.0879401377024802</v>
      </c>
      <c r="I20" s="175">
        <v>10.0544092190301</v>
      </c>
      <c r="J20" s="175">
        <v>0.717909341491759</v>
      </c>
      <c r="K20" s="175"/>
      <c r="L20" s="175">
        <v>0</v>
      </c>
      <c r="M20" s="175">
        <v>0.2</v>
      </c>
      <c r="N20" s="175">
        <v>0</v>
      </c>
    </row>
    <row r="21" spans="1:22" ht="15" customHeight="1" thickBot="1" x14ac:dyDescent="0.25">
      <c r="A21" s="46" t="s">
        <v>137</v>
      </c>
      <c r="B21" s="102"/>
      <c r="C21" s="175">
        <f t="shared" si="0"/>
        <v>20</v>
      </c>
      <c r="D21"/>
      <c r="E21" s="175" t="s">
        <v>186</v>
      </c>
      <c r="F21" s="175">
        <v>0</v>
      </c>
      <c r="G21" s="175">
        <v>3.02326968896024</v>
      </c>
      <c r="H21" s="175">
        <v>0.51640768205501297</v>
      </c>
      <c r="I21" s="175">
        <v>4.1903336293675899</v>
      </c>
      <c r="J21" s="175"/>
      <c r="K21" s="175"/>
      <c r="L21" s="175">
        <v>0</v>
      </c>
      <c r="M21" s="175">
        <v>0.2</v>
      </c>
      <c r="N21" s="175">
        <v>0</v>
      </c>
    </row>
    <row r="22" spans="1:22" ht="15" customHeight="1" x14ac:dyDescent="0.2">
      <c r="A22" s="103" t="s">
        <v>58</v>
      </c>
      <c r="B22" s="104">
        <v>0</v>
      </c>
      <c r="C22" s="175">
        <f t="shared" si="0"/>
        <v>21</v>
      </c>
      <c r="D22"/>
      <c r="E22" s="175" t="s">
        <v>187</v>
      </c>
      <c r="F22" s="175">
        <v>0</v>
      </c>
      <c r="G22" s="175">
        <v>2.0033054880647101</v>
      </c>
      <c r="H22" s="175">
        <v>0.93449894654268295</v>
      </c>
      <c r="I22" s="175">
        <v>6.3734081433408702</v>
      </c>
      <c r="J22" s="175"/>
      <c r="K22" s="175"/>
      <c r="L22" s="175">
        <v>0</v>
      </c>
      <c r="M22" s="175">
        <v>0.2</v>
      </c>
      <c r="N22" s="175">
        <v>0</v>
      </c>
    </row>
    <row r="23" spans="1:22" ht="15" customHeight="1" x14ac:dyDescent="0.2">
      <c r="A23" s="103" t="s">
        <v>59</v>
      </c>
      <c r="B23" s="104">
        <v>1</v>
      </c>
      <c r="C23" s="175">
        <f t="shared" si="0"/>
        <v>22</v>
      </c>
      <c r="D23"/>
      <c r="E23" s="175" t="s">
        <v>188</v>
      </c>
      <c r="F23" s="175">
        <v>0</v>
      </c>
      <c r="G23" s="175">
        <v>1.02592973676309</v>
      </c>
      <c r="H23" s="175">
        <v>1.4912084019591301</v>
      </c>
      <c r="I23" s="175">
        <v>7.3402427191401696</v>
      </c>
      <c r="J23" s="175"/>
      <c r="K23" s="175"/>
      <c r="L23" s="175">
        <v>0</v>
      </c>
      <c r="M23" s="175">
        <v>0.2</v>
      </c>
      <c r="N23" s="175">
        <v>0</v>
      </c>
    </row>
    <row r="24" spans="1:22" ht="15" customHeight="1" x14ac:dyDescent="0.2">
      <c r="A24" s="103" t="s">
        <v>60</v>
      </c>
      <c r="B24" s="104">
        <v>2</v>
      </c>
      <c r="C24" s="175">
        <f t="shared" si="0"/>
        <v>23</v>
      </c>
      <c r="D24"/>
      <c r="E24" s="175" t="s">
        <v>189</v>
      </c>
      <c r="F24" s="175">
        <v>0</v>
      </c>
      <c r="G24" s="175">
        <v>0.47766429162674801</v>
      </c>
      <c r="H24" s="175">
        <v>0.47550261246047498</v>
      </c>
      <c r="I24" s="175">
        <v>5.6298632258466696</v>
      </c>
      <c r="J24" s="175"/>
      <c r="K24" s="175"/>
      <c r="L24" s="175">
        <v>0</v>
      </c>
      <c r="M24" s="175">
        <v>0.2</v>
      </c>
      <c r="N24" s="175">
        <v>0</v>
      </c>
    </row>
    <row r="25" spans="1:22" ht="15" customHeight="1" thickBot="1" x14ac:dyDescent="0.25">
      <c r="A25" s="105" t="s">
        <v>44</v>
      </c>
      <c r="B25" s="106">
        <v>3</v>
      </c>
      <c r="C25" s="175">
        <f t="shared" si="0"/>
        <v>24</v>
      </c>
      <c r="D25"/>
      <c r="E25" s="175" t="s">
        <v>230</v>
      </c>
      <c r="F25" s="175">
        <v>0</v>
      </c>
      <c r="G25" s="175"/>
      <c r="H25" s="175">
        <v>1.3005539748524899</v>
      </c>
      <c r="I25" s="175">
        <v>2.76642044361488</v>
      </c>
      <c r="J25" s="175">
        <v>0.82358727231621698</v>
      </c>
      <c r="K25" s="175"/>
      <c r="L25" s="175">
        <v>0</v>
      </c>
      <c r="M25" s="175">
        <v>0.2</v>
      </c>
      <c r="N25" s="175">
        <v>0</v>
      </c>
    </row>
    <row r="26" spans="1:22" ht="15" customHeight="1" x14ac:dyDescent="0.2">
      <c r="A26" s="107" t="s">
        <v>140</v>
      </c>
      <c r="C26" s="175">
        <f t="shared" si="0"/>
        <v>25</v>
      </c>
      <c r="D26"/>
      <c r="E26" s="175" t="s">
        <v>231</v>
      </c>
      <c r="F26" s="175">
        <v>0</v>
      </c>
      <c r="G26" s="175">
        <v>7.4039547639308201E-2</v>
      </c>
      <c r="H26" s="175">
        <v>1.44628148733983</v>
      </c>
      <c r="I26" s="175">
        <v>5.6706019323758801</v>
      </c>
      <c r="J26" s="175"/>
      <c r="K26" s="175"/>
      <c r="L26" s="175">
        <v>0</v>
      </c>
      <c r="M26" s="175">
        <v>0.2</v>
      </c>
      <c r="N26" s="175">
        <v>0</v>
      </c>
    </row>
    <row r="27" spans="1:22" ht="15" customHeight="1" x14ac:dyDescent="0.2">
      <c r="C27" s="175">
        <f t="shared" si="0"/>
        <v>26</v>
      </c>
      <c r="D27"/>
      <c r="E27" s="175" t="s">
        <v>192</v>
      </c>
      <c r="F27" s="175">
        <v>0</v>
      </c>
      <c r="G27" s="175"/>
      <c r="H27" s="175">
        <v>1.53490660757805</v>
      </c>
      <c r="I27" s="175">
        <v>4.5358267370157197</v>
      </c>
      <c r="J27" s="175">
        <v>0.84925820007920305</v>
      </c>
      <c r="K27" s="175"/>
      <c r="L27" s="175">
        <v>0</v>
      </c>
      <c r="M27" s="175">
        <v>0.2</v>
      </c>
      <c r="N27" s="175">
        <v>0</v>
      </c>
    </row>
    <row r="28" spans="1:22" ht="15" customHeight="1" x14ac:dyDescent="0.2">
      <c r="C28" s="175">
        <f t="shared" si="0"/>
        <v>27</v>
      </c>
      <c r="D28"/>
      <c r="E28" s="175" t="s">
        <v>193</v>
      </c>
      <c r="F28" s="175">
        <v>0</v>
      </c>
      <c r="G28" s="175">
        <v>0.80802498489674701</v>
      </c>
      <c r="H28" s="175">
        <v>1.24255913072593</v>
      </c>
      <c r="I28" s="175">
        <v>3.14313997996774</v>
      </c>
      <c r="J28" s="175"/>
      <c r="K28" s="175"/>
      <c r="L28" s="175">
        <v>0</v>
      </c>
      <c r="M28" s="175">
        <v>0.2</v>
      </c>
      <c r="N28" s="175">
        <v>0</v>
      </c>
    </row>
    <row r="29" spans="1:22" customFormat="1" ht="15" customHeight="1" x14ac:dyDescent="0.2">
      <c r="C29" s="175">
        <f t="shared" si="0"/>
        <v>28</v>
      </c>
      <c r="E29" s="175" t="s">
        <v>247</v>
      </c>
      <c r="F29" s="175">
        <v>0</v>
      </c>
      <c r="G29" s="175"/>
      <c r="H29" s="175">
        <v>1.7701960955990099</v>
      </c>
      <c r="I29" s="175">
        <v>3.9355714474040999</v>
      </c>
      <c r="J29" s="175">
        <v>0.77686931127682302</v>
      </c>
      <c r="K29" s="175"/>
      <c r="L29" s="175">
        <v>0</v>
      </c>
      <c r="M29" s="175">
        <v>0.2</v>
      </c>
      <c r="N29" s="175">
        <v>0</v>
      </c>
    </row>
    <row r="30" spans="1:22" customFormat="1" ht="15" customHeight="1" x14ac:dyDescent="0.2">
      <c r="C30" s="175">
        <f t="shared" si="0"/>
        <v>29</v>
      </c>
      <c r="E30" s="175" t="s">
        <v>248</v>
      </c>
      <c r="F30" s="175">
        <v>0</v>
      </c>
      <c r="G30" s="175"/>
      <c r="H30" s="175">
        <v>1.571945847162</v>
      </c>
      <c r="I30" s="175">
        <v>6.3904302281343996</v>
      </c>
      <c r="J30" s="175">
        <v>0.72052497686818195</v>
      </c>
      <c r="K30" s="175"/>
      <c r="L30" s="175">
        <v>0</v>
      </c>
      <c r="M30" s="175">
        <v>0.2</v>
      </c>
      <c r="N30" s="175">
        <v>0</v>
      </c>
    </row>
    <row r="31" spans="1:22" customFormat="1" ht="15" customHeight="1" x14ac:dyDescent="0.2">
      <c r="C31" s="175">
        <f t="shared" si="0"/>
        <v>30</v>
      </c>
      <c r="E31" s="175" t="s">
        <v>249</v>
      </c>
      <c r="F31" s="175">
        <v>0</v>
      </c>
      <c r="G31" s="175"/>
      <c r="H31" s="175">
        <v>0.77914173356960403</v>
      </c>
      <c r="I31" s="175">
        <v>3.1964491004385298</v>
      </c>
      <c r="J31" s="175">
        <v>0.76902708597481295</v>
      </c>
      <c r="K31" s="175"/>
      <c r="L31" s="175">
        <v>0</v>
      </c>
      <c r="M31" s="175">
        <v>0.2</v>
      </c>
      <c r="N31" s="175">
        <v>0</v>
      </c>
    </row>
    <row r="32" spans="1:22" customFormat="1" ht="15" customHeight="1" x14ac:dyDescent="0.2">
      <c r="C32" s="175">
        <f t="shared" si="0"/>
        <v>31</v>
      </c>
      <c r="E32" s="175" t="s">
        <v>250</v>
      </c>
      <c r="F32" s="175">
        <v>0</v>
      </c>
      <c r="G32" s="175"/>
      <c r="H32" s="175">
        <v>1.7600543702631499</v>
      </c>
      <c r="I32" s="175">
        <v>4.3635903819263397</v>
      </c>
      <c r="J32" s="175">
        <v>0.70796060618013101</v>
      </c>
      <c r="K32" s="175"/>
      <c r="L32" s="175">
        <v>0</v>
      </c>
      <c r="M32" s="175">
        <v>0.2</v>
      </c>
      <c r="N32" s="175">
        <v>0</v>
      </c>
    </row>
    <row r="33" spans="3:14" customFormat="1" ht="15" customHeight="1" x14ac:dyDescent="0.2">
      <c r="C33" s="175">
        <f t="shared" si="0"/>
        <v>32</v>
      </c>
      <c r="E33" s="175" t="s">
        <v>251</v>
      </c>
      <c r="F33" s="175">
        <v>0</v>
      </c>
      <c r="G33" s="175"/>
      <c r="H33" s="175">
        <v>0.49563703143294502</v>
      </c>
      <c r="I33" s="175">
        <v>2.1866386016026498</v>
      </c>
      <c r="J33" s="175">
        <v>0.89678285187110296</v>
      </c>
      <c r="K33" s="175"/>
      <c r="L33" s="175">
        <v>0</v>
      </c>
      <c r="M33" s="175">
        <v>0.2</v>
      </c>
      <c r="N33" s="175">
        <v>0</v>
      </c>
    </row>
    <row r="34" spans="3:14" customFormat="1" ht="15" customHeight="1" x14ac:dyDescent="0.2">
      <c r="C34" s="175">
        <f t="shared" si="0"/>
        <v>33</v>
      </c>
      <c r="E34" s="175" t="s">
        <v>252</v>
      </c>
      <c r="F34" s="175">
        <v>0</v>
      </c>
      <c r="G34" s="175">
        <v>0.75295896607908397</v>
      </c>
      <c r="H34" s="175">
        <v>0.18264046660191699</v>
      </c>
      <c r="I34" s="175">
        <v>2.0086794592566299</v>
      </c>
      <c r="J34" s="175"/>
      <c r="K34" s="175"/>
      <c r="L34" s="175">
        <v>0</v>
      </c>
      <c r="M34" s="175">
        <v>0.2</v>
      </c>
      <c r="N34" s="175">
        <v>0</v>
      </c>
    </row>
    <row r="35" spans="3:14" customFormat="1" ht="15" customHeight="1" x14ac:dyDescent="0.2">
      <c r="C35" s="175">
        <f t="shared" si="0"/>
        <v>34</v>
      </c>
      <c r="E35" s="175" t="s">
        <v>253</v>
      </c>
      <c r="F35" s="175">
        <v>0</v>
      </c>
      <c r="G35" s="175">
        <v>0.114450220012312</v>
      </c>
      <c r="H35" s="175">
        <v>0.133313822472756</v>
      </c>
      <c r="I35" s="175">
        <v>1.89401179920679</v>
      </c>
      <c r="J35" s="175"/>
      <c r="K35" s="175"/>
      <c r="L35" s="175">
        <v>0</v>
      </c>
      <c r="M35" s="175">
        <v>0.2</v>
      </c>
      <c r="N35" s="175">
        <v>0</v>
      </c>
    </row>
    <row r="36" spans="3:14" customFormat="1" ht="15" customHeight="1" x14ac:dyDescent="0.2">
      <c r="C36" s="175">
        <f t="shared" si="0"/>
        <v>35</v>
      </c>
      <c r="E36" s="175" t="s">
        <v>254</v>
      </c>
      <c r="F36" s="175">
        <v>0</v>
      </c>
      <c r="G36" s="175">
        <v>7.9909210526408703E-2</v>
      </c>
      <c r="H36" s="175">
        <v>0.16111083216244401</v>
      </c>
      <c r="I36" s="175">
        <v>1.63457843397478</v>
      </c>
      <c r="J36" s="175"/>
      <c r="K36" s="175"/>
      <c r="L36" s="175">
        <v>0</v>
      </c>
      <c r="M36" s="175">
        <v>0.2</v>
      </c>
      <c r="N36" s="175">
        <v>0</v>
      </c>
    </row>
    <row r="37" spans="3:14" customFormat="1" ht="15" customHeight="1" x14ac:dyDescent="0.2">
      <c r="C37" s="175">
        <f t="shared" si="0"/>
        <v>36</v>
      </c>
      <c r="E37" s="175" t="s">
        <v>255</v>
      </c>
      <c r="F37" s="175">
        <v>0</v>
      </c>
      <c r="G37" s="175">
        <v>5.7087086247436802E-3</v>
      </c>
      <c r="H37" s="175">
        <v>5.3866578764496402E-2</v>
      </c>
      <c r="I37" s="175">
        <v>2.2943873991130999</v>
      </c>
      <c r="J37" s="175"/>
      <c r="K37" s="175"/>
      <c r="L37" s="175">
        <v>0</v>
      </c>
      <c r="M37" s="175">
        <v>0.2</v>
      </c>
      <c r="N37" s="175">
        <v>0</v>
      </c>
    </row>
    <row r="38" spans="3:14" customFormat="1" ht="15" customHeight="1" x14ac:dyDescent="0.2">
      <c r="C38" s="175">
        <f t="shared" si="0"/>
        <v>37</v>
      </c>
      <c r="E38" s="175" t="s">
        <v>194</v>
      </c>
      <c r="F38" s="175">
        <v>0</v>
      </c>
      <c r="G38" s="175">
        <v>0.135292334502946</v>
      </c>
      <c r="H38" s="175">
        <v>0.13401419036066101</v>
      </c>
      <c r="I38" s="175">
        <v>1.9574310518826801</v>
      </c>
      <c r="J38" s="175"/>
      <c r="K38" s="175"/>
      <c r="L38" s="175">
        <v>0</v>
      </c>
      <c r="M38" s="175">
        <v>0.2</v>
      </c>
      <c r="N38" s="175">
        <v>0</v>
      </c>
    </row>
    <row r="39" spans="3:14" customFormat="1" ht="15" customHeight="1" x14ac:dyDescent="0.2">
      <c r="C39" s="175">
        <f t="shared" si="0"/>
        <v>38</v>
      </c>
      <c r="E39" s="175" t="s">
        <v>256</v>
      </c>
      <c r="F39" s="175">
        <v>0</v>
      </c>
      <c r="G39" s="175">
        <v>0.572737456661776</v>
      </c>
      <c r="H39" s="175">
        <v>0.14474160047015999</v>
      </c>
      <c r="I39" s="175">
        <v>2.6244557277509402</v>
      </c>
      <c r="J39" s="175"/>
      <c r="K39" s="175"/>
      <c r="L39" s="175">
        <v>0</v>
      </c>
      <c r="M39" s="175">
        <v>0.2</v>
      </c>
      <c r="N39" s="175">
        <v>0</v>
      </c>
    </row>
    <row r="40" spans="3:14" customFormat="1" ht="15" customHeight="1" x14ac:dyDescent="0.2">
      <c r="C40" s="175">
        <f t="shared" si="0"/>
        <v>39</v>
      </c>
      <c r="E40" s="175" t="s">
        <v>195</v>
      </c>
      <c r="F40" s="175">
        <v>0</v>
      </c>
      <c r="G40" s="175">
        <v>0.33928920191728901</v>
      </c>
      <c r="H40" s="175">
        <v>0.26940153250603099</v>
      </c>
      <c r="I40" s="175">
        <v>1.57119497142749</v>
      </c>
      <c r="J40" s="175"/>
      <c r="K40" s="175"/>
      <c r="L40" s="175">
        <v>0</v>
      </c>
      <c r="M40" s="175">
        <v>0.2</v>
      </c>
      <c r="N40" s="175">
        <v>0</v>
      </c>
    </row>
    <row r="41" spans="3:14" customFormat="1" ht="15" customHeight="1" x14ac:dyDescent="0.2">
      <c r="C41" s="175">
        <f t="shared" si="0"/>
        <v>40</v>
      </c>
      <c r="E41" s="175" t="s">
        <v>196</v>
      </c>
      <c r="F41" s="175">
        <v>0</v>
      </c>
      <c r="G41" s="175">
        <v>0.1139368031126</v>
      </c>
      <c r="H41" s="175">
        <v>0.34395433618159699</v>
      </c>
      <c r="I41" s="175">
        <v>1.66696591343821</v>
      </c>
      <c r="J41" s="175"/>
      <c r="K41" s="175"/>
      <c r="L41" s="175">
        <v>0</v>
      </c>
      <c r="M41" s="175">
        <v>0.2</v>
      </c>
      <c r="N41" s="175">
        <v>0</v>
      </c>
    </row>
    <row r="42" spans="3:14" customFormat="1" ht="15" customHeight="1" x14ac:dyDescent="0.2">
      <c r="C42" s="175">
        <f t="shared" si="0"/>
        <v>41</v>
      </c>
      <c r="E42" s="175" t="s">
        <v>197</v>
      </c>
      <c r="F42" s="175">
        <v>0</v>
      </c>
      <c r="G42" s="175">
        <v>0.143393844003084</v>
      </c>
      <c r="H42" s="175">
        <v>0.47011855232425098</v>
      </c>
      <c r="I42" s="175">
        <v>1.64269871626668</v>
      </c>
      <c r="J42" s="175"/>
      <c r="K42" s="175"/>
      <c r="L42" s="175">
        <v>0</v>
      </c>
      <c r="M42" s="175">
        <v>0.2</v>
      </c>
      <c r="N42" s="175">
        <v>0</v>
      </c>
    </row>
    <row r="43" spans="3:14" customFormat="1" ht="15" customHeight="1" x14ac:dyDescent="0.2">
      <c r="C43" s="175">
        <f t="shared" si="0"/>
        <v>42</v>
      </c>
      <c r="E43" s="175" t="s">
        <v>198</v>
      </c>
      <c r="F43" s="175">
        <v>0</v>
      </c>
      <c r="G43" s="175">
        <v>8.2267912456795003</v>
      </c>
      <c r="H43" s="175">
        <v>0.41588151047878003</v>
      </c>
      <c r="I43" s="175">
        <v>1.83999381942485</v>
      </c>
      <c r="J43" s="175"/>
      <c r="K43" s="175"/>
      <c r="L43" s="175">
        <v>0</v>
      </c>
      <c r="M43" s="175">
        <v>0.2</v>
      </c>
      <c r="N43" s="175">
        <v>0</v>
      </c>
    </row>
    <row r="44" spans="3:14" customFormat="1" ht="15" customHeight="1" x14ac:dyDescent="0.2">
      <c r="C44" s="175">
        <f t="shared" si="0"/>
        <v>43</v>
      </c>
      <c r="E44" s="175" t="s">
        <v>199</v>
      </c>
      <c r="F44" s="175">
        <v>0</v>
      </c>
      <c r="G44" s="175">
        <v>0.221357856293351</v>
      </c>
      <c r="H44" s="175">
        <v>0.30621793132473901</v>
      </c>
      <c r="I44" s="175">
        <v>2.4909975747071602</v>
      </c>
      <c r="J44" s="175"/>
      <c r="K44" s="175"/>
      <c r="L44" s="175">
        <v>0</v>
      </c>
      <c r="M44" s="175">
        <v>0.2</v>
      </c>
      <c r="N44" s="175">
        <v>0</v>
      </c>
    </row>
    <row r="45" spans="3:14" customFormat="1" ht="15" customHeight="1" x14ac:dyDescent="0.2">
      <c r="C45" s="175">
        <f t="shared" si="0"/>
        <v>44</v>
      </c>
      <c r="E45" s="175" t="s">
        <v>232</v>
      </c>
      <c r="F45" s="175">
        <v>0</v>
      </c>
      <c r="G45" s="175">
        <v>0.32117517374605298</v>
      </c>
      <c r="H45" s="175">
        <v>0.26816775371331503</v>
      </c>
      <c r="I45" s="175">
        <v>2.0620877688391599</v>
      </c>
      <c r="J45" s="175"/>
      <c r="K45" s="175"/>
      <c r="L45" s="175">
        <v>0</v>
      </c>
      <c r="M45" s="175">
        <v>0.2</v>
      </c>
      <c r="N45" s="175">
        <v>0</v>
      </c>
    </row>
    <row r="46" spans="3:14" customFormat="1" ht="15" customHeight="1" x14ac:dyDescent="0.2">
      <c r="C46" s="175">
        <f t="shared" si="0"/>
        <v>45</v>
      </c>
      <c r="E46" s="175" t="s">
        <v>200</v>
      </c>
      <c r="F46" s="175">
        <v>0</v>
      </c>
      <c r="G46" s="175">
        <v>0.81128648398911196</v>
      </c>
      <c r="H46" s="175">
        <v>8.8901759612040096E-2</v>
      </c>
      <c r="I46" s="175">
        <v>2.0473093765185899</v>
      </c>
      <c r="J46" s="175"/>
      <c r="K46" s="175"/>
      <c r="L46" s="175">
        <v>0</v>
      </c>
      <c r="M46" s="175">
        <v>0.2</v>
      </c>
      <c r="N46" s="175">
        <v>0</v>
      </c>
    </row>
    <row r="47" spans="3:14" customFormat="1" ht="15" customHeight="1" x14ac:dyDescent="0.2">
      <c r="C47" s="175">
        <f t="shared" si="0"/>
        <v>46</v>
      </c>
      <c r="E47" s="175" t="s">
        <v>201</v>
      </c>
      <c r="F47" s="175">
        <v>0</v>
      </c>
      <c r="G47" s="175">
        <v>8.9964493444337906E-2</v>
      </c>
      <c r="H47" s="175">
        <v>0.32699025339002602</v>
      </c>
      <c r="I47" s="175">
        <v>7.1676934296085797</v>
      </c>
      <c r="J47" s="175"/>
      <c r="K47" s="175"/>
      <c r="L47" s="175">
        <v>0</v>
      </c>
      <c r="M47" s="175">
        <v>0.2</v>
      </c>
      <c r="N47" s="175">
        <v>0</v>
      </c>
    </row>
    <row r="48" spans="3:14" customFormat="1" ht="15" customHeight="1" x14ac:dyDescent="0.2">
      <c r="C48" s="175">
        <f t="shared" si="0"/>
        <v>47</v>
      </c>
      <c r="E48" s="175" t="s">
        <v>202</v>
      </c>
      <c r="F48" s="175">
        <v>0</v>
      </c>
      <c r="G48" s="175">
        <v>0.119833519191236</v>
      </c>
      <c r="H48" s="175">
        <v>2.0978114743669201</v>
      </c>
      <c r="I48" s="175">
        <v>5.4210140824855904</v>
      </c>
      <c r="J48" s="175"/>
      <c r="K48" s="175"/>
      <c r="L48" s="175">
        <v>0</v>
      </c>
      <c r="M48" s="175">
        <v>0.2</v>
      </c>
      <c r="N48" s="175">
        <v>0</v>
      </c>
    </row>
    <row r="49" spans="3:14" customFormat="1" ht="15" customHeight="1" x14ac:dyDescent="0.2">
      <c r="C49" s="175">
        <f t="shared" si="0"/>
        <v>48</v>
      </c>
      <c r="E49" s="175" t="s">
        <v>203</v>
      </c>
      <c r="F49" s="175">
        <v>0</v>
      </c>
      <c r="G49" s="175">
        <v>0.327895001765098</v>
      </c>
      <c r="H49" s="175">
        <v>0.22700766127719901</v>
      </c>
      <c r="I49" s="175">
        <v>0.94455990214522201</v>
      </c>
      <c r="J49" s="175"/>
      <c r="K49" s="175"/>
      <c r="L49" s="175">
        <v>0</v>
      </c>
      <c r="M49" s="175">
        <v>0.2</v>
      </c>
      <c r="N49" s="175">
        <v>0</v>
      </c>
    </row>
    <row r="50" spans="3:14" customFormat="1" ht="15" customHeight="1" x14ac:dyDescent="0.2">
      <c r="C50" s="175">
        <f t="shared" si="0"/>
        <v>49</v>
      </c>
      <c r="E50" s="175" t="s">
        <v>204</v>
      </c>
      <c r="F50" s="175">
        <v>0</v>
      </c>
      <c r="G50" s="175">
        <v>0.87421814308040602</v>
      </c>
      <c r="H50" s="175">
        <v>7.0704865872529707E-2</v>
      </c>
      <c r="I50" s="175">
        <v>2.69683476402174</v>
      </c>
      <c r="J50" s="175"/>
      <c r="K50" s="175"/>
      <c r="L50" s="175">
        <v>0</v>
      </c>
      <c r="M50" s="175">
        <v>0.2</v>
      </c>
      <c r="N50" s="175">
        <v>0</v>
      </c>
    </row>
    <row r="51" spans="3:14" customFormat="1" ht="15" customHeight="1" x14ac:dyDescent="0.2">
      <c r="C51" s="175">
        <f t="shared" si="0"/>
        <v>50</v>
      </c>
      <c r="E51" s="175" t="s">
        <v>257</v>
      </c>
      <c r="F51" s="175">
        <v>0</v>
      </c>
      <c r="G51" s="175">
        <v>8.1952095264638106E-2</v>
      </c>
      <c r="H51" s="175">
        <v>0.114151410293638</v>
      </c>
      <c r="I51" s="175">
        <v>1.5340959887941199</v>
      </c>
      <c r="J51" s="175"/>
      <c r="K51" s="175"/>
      <c r="L51" s="175">
        <v>0</v>
      </c>
      <c r="M51" s="175">
        <v>0.2</v>
      </c>
      <c r="N51" s="175">
        <v>0</v>
      </c>
    </row>
    <row r="52" spans="3:14" customFormat="1" ht="15" customHeight="1" x14ac:dyDescent="0.2">
      <c r="C52" s="175">
        <f t="shared" si="0"/>
        <v>51</v>
      </c>
      <c r="E52" s="175" t="s">
        <v>258</v>
      </c>
      <c r="F52" s="175">
        <v>0</v>
      </c>
      <c r="G52" s="175">
        <v>0.12061600220908</v>
      </c>
      <c r="H52" s="175">
        <v>4.92995133484673E-2</v>
      </c>
      <c r="I52" s="175">
        <v>2.2188850974219001</v>
      </c>
      <c r="J52" s="175"/>
      <c r="K52" s="175"/>
      <c r="L52" s="175">
        <v>0</v>
      </c>
      <c r="M52" s="175">
        <v>0.2</v>
      </c>
      <c r="N52" s="175">
        <v>0</v>
      </c>
    </row>
    <row r="53" spans="3:14" customFormat="1" ht="15" customHeight="1" x14ac:dyDescent="0.2">
      <c r="C53" s="175">
        <f t="shared" si="0"/>
        <v>52</v>
      </c>
      <c r="E53" s="175" t="s">
        <v>259</v>
      </c>
      <c r="F53" s="175">
        <v>0</v>
      </c>
      <c r="G53" s="175">
        <v>0.237768617713772</v>
      </c>
      <c r="H53" s="175">
        <v>0.13132975423085899</v>
      </c>
      <c r="I53" s="175">
        <v>2.2742476239033</v>
      </c>
      <c r="J53" s="175"/>
      <c r="K53" s="175"/>
      <c r="L53" s="175">
        <v>0</v>
      </c>
      <c r="M53" s="175">
        <v>0.2</v>
      </c>
      <c r="N53" s="175">
        <v>0</v>
      </c>
    </row>
    <row r="54" spans="3:14" customFormat="1" ht="15" customHeight="1" x14ac:dyDescent="0.2">
      <c r="C54" s="175">
        <f t="shared" si="0"/>
        <v>53</v>
      </c>
      <c r="E54" s="175" t="s">
        <v>260</v>
      </c>
      <c r="F54" s="175">
        <v>0</v>
      </c>
      <c r="G54" s="175">
        <v>0.268749395917186</v>
      </c>
      <c r="H54" s="175">
        <v>7.9105704902040594E-2</v>
      </c>
      <c r="I54" s="175">
        <v>1.7513038477359699</v>
      </c>
      <c r="J54" s="175"/>
      <c r="K54" s="175"/>
      <c r="L54" s="175">
        <v>0</v>
      </c>
      <c r="M54" s="175">
        <v>0.2</v>
      </c>
      <c r="N54" s="175">
        <v>0</v>
      </c>
    </row>
    <row r="55" spans="3:14" customFormat="1" ht="15" customHeight="1" x14ac:dyDescent="0.2">
      <c r="C55" s="175">
        <f t="shared" si="0"/>
        <v>54</v>
      </c>
      <c r="E55" s="175" t="s">
        <v>261</v>
      </c>
      <c r="F55" s="175">
        <v>0</v>
      </c>
      <c r="G55" s="175">
        <v>0.224901285177039</v>
      </c>
      <c r="H55" s="175">
        <v>6.3871325069455101E-2</v>
      </c>
      <c r="I55" s="175">
        <v>1.76790851199779</v>
      </c>
      <c r="J55" s="175"/>
      <c r="K55" s="175"/>
      <c r="L55" s="175">
        <v>0</v>
      </c>
      <c r="M55" s="175">
        <v>0.2</v>
      </c>
      <c r="N55" s="175">
        <v>0</v>
      </c>
    </row>
    <row r="56" spans="3:14" customFormat="1" ht="15" customHeight="1" x14ac:dyDescent="0.2">
      <c r="C56" s="175">
        <f t="shared" si="0"/>
        <v>55</v>
      </c>
      <c r="E56" s="175" t="s">
        <v>233</v>
      </c>
      <c r="F56" s="175">
        <v>0</v>
      </c>
      <c r="G56" s="175">
        <v>0.58967991843048295</v>
      </c>
      <c r="H56" s="175">
        <v>5.3029143967077197E-2</v>
      </c>
      <c r="I56" s="175">
        <v>0.35176528706742699</v>
      </c>
      <c r="J56" s="175"/>
      <c r="K56" s="175"/>
      <c r="L56" s="175">
        <v>0</v>
      </c>
      <c r="M56" s="175">
        <v>0.2</v>
      </c>
      <c r="N56" s="175">
        <v>0</v>
      </c>
    </row>
    <row r="57" spans="3:14" customFormat="1" ht="15" customHeight="1" x14ac:dyDescent="0.2">
      <c r="C57" s="175">
        <f t="shared" si="0"/>
        <v>56</v>
      </c>
      <c r="E57" s="175" t="s">
        <v>234</v>
      </c>
      <c r="F57" s="175">
        <v>0</v>
      </c>
      <c r="G57" s="175">
        <v>0.26430315469452598</v>
      </c>
      <c r="H57" s="175">
        <v>0.117441404998988</v>
      </c>
      <c r="I57" s="175">
        <v>0.46025962102888002</v>
      </c>
      <c r="J57" s="175"/>
      <c r="K57" s="175"/>
      <c r="L57" s="175">
        <v>0</v>
      </c>
      <c r="M57" s="175">
        <v>0.2</v>
      </c>
      <c r="N57" s="175">
        <v>0</v>
      </c>
    </row>
    <row r="58" spans="3:14" customFormat="1" ht="15" customHeight="1" x14ac:dyDescent="0.2">
      <c r="C58" s="175">
        <f t="shared" si="0"/>
        <v>57</v>
      </c>
      <c r="E58" s="175" t="s">
        <v>205</v>
      </c>
      <c r="F58" s="175">
        <v>0</v>
      </c>
      <c r="G58" s="175">
        <v>3.8534874393770702</v>
      </c>
      <c r="H58" s="175">
        <v>0.32471484703776998</v>
      </c>
      <c r="I58" s="175">
        <v>2.2103378994382399</v>
      </c>
      <c r="J58" s="175"/>
      <c r="K58" s="175"/>
      <c r="L58" s="175">
        <v>0</v>
      </c>
      <c r="M58" s="175">
        <v>0.2</v>
      </c>
      <c r="N58" s="175">
        <v>0</v>
      </c>
    </row>
    <row r="59" spans="3:14" customFormat="1" ht="15" customHeight="1" x14ac:dyDescent="0.2">
      <c r="C59" s="175">
        <f t="shared" si="0"/>
        <v>58</v>
      </c>
      <c r="E59" s="175" t="s">
        <v>206</v>
      </c>
      <c r="F59" s="175">
        <v>0</v>
      </c>
      <c r="G59" s="175">
        <v>0.50056066976728397</v>
      </c>
      <c r="H59" s="175">
        <v>0.208943642720054</v>
      </c>
      <c r="I59" s="175">
        <v>1.7115996997793299</v>
      </c>
      <c r="J59" s="175"/>
      <c r="K59" s="175"/>
      <c r="L59" s="175">
        <v>0</v>
      </c>
      <c r="M59" s="175">
        <v>0.2</v>
      </c>
      <c r="N59" s="175">
        <v>0</v>
      </c>
    </row>
    <row r="60" spans="3:14" customFormat="1" ht="15" customHeight="1" x14ac:dyDescent="0.2">
      <c r="C60" s="175">
        <f t="shared" si="0"/>
        <v>59</v>
      </c>
      <c r="E60" s="175" t="s">
        <v>207</v>
      </c>
      <c r="F60" s="175">
        <v>0</v>
      </c>
      <c r="G60" s="175"/>
      <c r="H60" s="175">
        <v>0.17976046839624901</v>
      </c>
      <c r="I60" s="175">
        <v>2.7011514681248099</v>
      </c>
      <c r="J60" s="175">
        <v>0.75539110079407701</v>
      </c>
      <c r="K60" s="175"/>
      <c r="L60" s="175">
        <v>0</v>
      </c>
      <c r="M60" s="175">
        <v>0.2</v>
      </c>
      <c r="N60" s="175">
        <v>0</v>
      </c>
    </row>
    <row r="61" spans="3:14" customFormat="1" ht="15" customHeight="1" x14ac:dyDescent="0.2">
      <c r="C61" s="175">
        <f t="shared" si="0"/>
        <v>60</v>
      </c>
      <c r="E61" s="175" t="s">
        <v>262</v>
      </c>
      <c r="F61" s="175">
        <v>0</v>
      </c>
      <c r="G61" s="175">
        <v>3.2655274030937999E-3</v>
      </c>
      <c r="H61" s="175">
        <v>9.8205805511490496E-2</v>
      </c>
      <c r="I61" s="175">
        <v>161.41642350398499</v>
      </c>
      <c r="J61" s="175"/>
      <c r="K61" s="175"/>
      <c r="L61" s="175">
        <v>0</v>
      </c>
      <c r="M61" s="175">
        <v>0.2</v>
      </c>
      <c r="N61" s="175">
        <v>0</v>
      </c>
    </row>
    <row r="62" spans="3:14" customFormat="1" ht="15" customHeight="1" x14ac:dyDescent="0.2">
      <c r="C62" s="175">
        <f t="shared" si="0"/>
        <v>61</v>
      </c>
      <c r="E62" s="175" t="s">
        <v>208</v>
      </c>
      <c r="F62" s="175">
        <v>0</v>
      </c>
      <c r="G62" s="175">
        <v>1.27357457053484E-3</v>
      </c>
      <c r="H62" s="175">
        <v>0.218309695123694</v>
      </c>
      <c r="I62" s="175">
        <v>249.679150857737</v>
      </c>
      <c r="J62" s="175"/>
      <c r="K62" s="175"/>
      <c r="L62" s="175">
        <v>0</v>
      </c>
      <c r="M62" s="175">
        <v>0.2</v>
      </c>
      <c r="N62" s="175">
        <v>0</v>
      </c>
    </row>
    <row r="63" spans="3:14" customFormat="1" ht="15" customHeight="1" x14ac:dyDescent="0.2">
      <c r="C63" s="175">
        <f t="shared" si="0"/>
        <v>62</v>
      </c>
      <c r="E63" s="175" t="s">
        <v>263</v>
      </c>
      <c r="F63" s="175">
        <v>0</v>
      </c>
      <c r="G63" s="175">
        <v>3.4569199337187599E-4</v>
      </c>
      <c r="H63" s="175">
        <v>0.12941284721017399</v>
      </c>
      <c r="I63" s="175">
        <v>192.373461384</v>
      </c>
      <c r="J63" s="175"/>
      <c r="K63" s="175"/>
      <c r="L63" s="175">
        <v>0</v>
      </c>
      <c r="M63" s="175">
        <v>0.2</v>
      </c>
      <c r="N63" s="175">
        <v>0</v>
      </c>
    </row>
    <row r="64" spans="3:14" customFormat="1" ht="15" customHeight="1" x14ac:dyDescent="0.2">
      <c r="C64" s="175">
        <f t="shared" si="0"/>
        <v>63</v>
      </c>
      <c r="E64" s="175" t="s">
        <v>209</v>
      </c>
      <c r="F64" s="175">
        <v>0</v>
      </c>
      <c r="G64" s="175">
        <v>1.9611201714349799E-4</v>
      </c>
      <c r="H64" s="175">
        <v>7.8962033871213505E-2</v>
      </c>
      <c r="I64" s="175">
        <v>202.301591835702</v>
      </c>
      <c r="J64" s="175"/>
      <c r="K64" s="175"/>
      <c r="L64" s="175">
        <v>0</v>
      </c>
      <c r="M64" s="175">
        <v>0.2</v>
      </c>
      <c r="N64" s="175">
        <v>0</v>
      </c>
    </row>
    <row r="65" spans="3:14" customFormat="1" ht="15" customHeight="1" x14ac:dyDescent="0.2">
      <c r="C65" s="175">
        <f t="shared" si="0"/>
        <v>64</v>
      </c>
      <c r="E65" s="175" t="s">
        <v>264</v>
      </c>
      <c r="F65" s="175">
        <v>0</v>
      </c>
      <c r="G65" s="175">
        <v>5.8713291488210603E-4</v>
      </c>
      <c r="H65" s="175">
        <v>0.117476091299574</v>
      </c>
      <c r="I65" s="175">
        <v>192.69223788289699</v>
      </c>
      <c r="J65" s="175"/>
      <c r="K65" s="175"/>
      <c r="L65" s="175">
        <v>0</v>
      </c>
      <c r="M65" s="175">
        <v>0.2</v>
      </c>
      <c r="N65" s="175">
        <v>0</v>
      </c>
    </row>
    <row r="66" spans="3:14" customFormat="1" ht="15" customHeight="1" x14ac:dyDescent="0.2">
      <c r="C66" s="175">
        <f t="shared" si="0"/>
        <v>65</v>
      </c>
      <c r="E66" s="175" t="s">
        <v>210</v>
      </c>
      <c r="F66" s="175">
        <v>0</v>
      </c>
      <c r="G66" s="175">
        <v>1.0066656070634699E-3</v>
      </c>
      <c r="H66" s="175">
        <v>0.11667721953163999</v>
      </c>
      <c r="I66" s="175">
        <v>170.11636048994899</v>
      </c>
      <c r="J66" s="175"/>
      <c r="K66" s="175"/>
      <c r="L66" s="175">
        <v>0</v>
      </c>
      <c r="M66" s="175">
        <v>0.2</v>
      </c>
      <c r="N66" s="175">
        <v>0</v>
      </c>
    </row>
    <row r="67" spans="3:14" customFormat="1" ht="15" customHeight="1" x14ac:dyDescent="0.2">
      <c r="C67" s="175">
        <f t="shared" si="0"/>
        <v>66</v>
      </c>
      <c r="E67" s="175" t="s">
        <v>235</v>
      </c>
      <c r="F67" s="175">
        <v>0</v>
      </c>
      <c r="G67" s="175">
        <v>1.4332307016803799E-4</v>
      </c>
      <c r="H67" s="175">
        <v>8.2553377499789596E-2</v>
      </c>
      <c r="I67" s="175">
        <v>227.08124396525301</v>
      </c>
      <c r="J67" s="175"/>
      <c r="K67" s="175"/>
      <c r="L67" s="175">
        <v>0</v>
      </c>
      <c r="M67" s="175">
        <v>0.2</v>
      </c>
      <c r="N67" s="175">
        <v>0</v>
      </c>
    </row>
    <row r="68" spans="3:14" customFormat="1" ht="15" customHeight="1" x14ac:dyDescent="0.2">
      <c r="C68" s="175">
        <f t="shared" ref="C68:C96" si="1">C67+1</f>
        <v>67</v>
      </c>
      <c r="E68" s="175" t="s">
        <v>211</v>
      </c>
      <c r="F68" s="175">
        <v>0</v>
      </c>
      <c r="G68" s="175">
        <v>8.3527697164324896E-4</v>
      </c>
      <c r="H68" s="175">
        <v>1.97960772889785E-2</v>
      </c>
      <c r="I68" s="175">
        <v>127.496034300532</v>
      </c>
      <c r="J68" s="175"/>
      <c r="K68" s="175"/>
      <c r="L68" s="175">
        <v>0</v>
      </c>
      <c r="M68" s="175">
        <v>0.2</v>
      </c>
      <c r="N68" s="175">
        <v>0</v>
      </c>
    </row>
    <row r="69" spans="3:14" customFormat="1" ht="15" customHeight="1" x14ac:dyDescent="0.2">
      <c r="C69" s="175">
        <f t="shared" si="1"/>
        <v>68</v>
      </c>
      <c r="E69" s="175" t="s">
        <v>265</v>
      </c>
      <c r="F69" s="175">
        <v>0</v>
      </c>
      <c r="G69" s="175">
        <v>2.8166757882113798E-4</v>
      </c>
      <c r="H69" s="175">
        <v>5.6517329675939199E-2</v>
      </c>
      <c r="I69" s="175">
        <v>194.07368715736101</v>
      </c>
      <c r="J69" s="175"/>
      <c r="K69" s="175"/>
      <c r="L69" s="175">
        <v>0</v>
      </c>
      <c r="M69" s="175">
        <v>0.2</v>
      </c>
      <c r="N69" s="175">
        <v>0</v>
      </c>
    </row>
    <row r="70" spans="3:14" customFormat="1" ht="15" customHeight="1" x14ac:dyDescent="0.2">
      <c r="C70" s="175">
        <f t="shared" si="1"/>
        <v>69</v>
      </c>
      <c r="E70" s="175" t="s">
        <v>212</v>
      </c>
      <c r="F70" s="175">
        <v>0</v>
      </c>
      <c r="G70" s="175">
        <v>4.1018804879761799E-3</v>
      </c>
      <c r="H70" s="175">
        <v>6.4736992670447802E-2</v>
      </c>
      <c r="I70" s="175">
        <v>181.74034137771301</v>
      </c>
      <c r="J70" s="175"/>
      <c r="K70" s="175"/>
      <c r="L70" s="175">
        <v>0</v>
      </c>
      <c r="M70" s="175">
        <v>0.2</v>
      </c>
      <c r="N70" s="175">
        <v>0</v>
      </c>
    </row>
    <row r="71" spans="3:14" customFormat="1" ht="15" customHeight="1" x14ac:dyDescent="0.2">
      <c r="C71" s="175">
        <f t="shared" si="1"/>
        <v>70</v>
      </c>
      <c r="E71" s="175" t="s">
        <v>213</v>
      </c>
      <c r="F71" s="175">
        <v>0</v>
      </c>
      <c r="G71" s="175">
        <v>4.1790253466077301E-4</v>
      </c>
      <c r="H71" s="175">
        <v>0.12972001203026301</v>
      </c>
      <c r="I71" s="175">
        <v>424.09882010745002</v>
      </c>
      <c r="J71" s="175"/>
      <c r="K71" s="175"/>
      <c r="L71" s="175">
        <v>0</v>
      </c>
      <c r="M71" s="175">
        <v>0.2</v>
      </c>
      <c r="N71" s="175">
        <v>0</v>
      </c>
    </row>
    <row r="72" spans="3:14" customFormat="1" ht="15" customHeight="1" x14ac:dyDescent="0.2">
      <c r="C72" s="175">
        <f t="shared" si="1"/>
        <v>71</v>
      </c>
      <c r="E72" s="175" t="s">
        <v>236</v>
      </c>
      <c r="F72" s="175">
        <v>0</v>
      </c>
      <c r="G72" s="175">
        <v>2.49696802061611E-3</v>
      </c>
      <c r="H72" s="175">
        <v>2.8718074538825598E-2</v>
      </c>
      <c r="I72" s="175">
        <v>14.074082844265</v>
      </c>
      <c r="J72" s="175"/>
      <c r="K72" s="175"/>
      <c r="L72" s="175">
        <v>0</v>
      </c>
      <c r="M72" s="175">
        <v>0.2</v>
      </c>
      <c r="N72" s="175">
        <v>0</v>
      </c>
    </row>
    <row r="73" spans="3:14" customFormat="1" ht="15" customHeight="1" x14ac:dyDescent="0.2">
      <c r="C73" s="175">
        <f t="shared" si="1"/>
        <v>72</v>
      </c>
      <c r="E73" s="175" t="s">
        <v>237</v>
      </c>
      <c r="F73" s="175">
        <v>0</v>
      </c>
      <c r="G73" s="175">
        <v>1.1646885279219599E-3</v>
      </c>
      <c r="H73" s="175">
        <v>2.0390885762215202E-2</v>
      </c>
      <c r="I73" s="175">
        <v>14.4743684494203</v>
      </c>
      <c r="J73" s="175"/>
      <c r="K73" s="175"/>
      <c r="L73" s="175">
        <v>0</v>
      </c>
      <c r="M73" s="175">
        <v>0.2</v>
      </c>
      <c r="N73" s="175">
        <v>0</v>
      </c>
    </row>
    <row r="74" spans="3:14" customFormat="1" ht="15" customHeight="1" x14ac:dyDescent="0.2">
      <c r="C74" s="175">
        <f t="shared" si="1"/>
        <v>73</v>
      </c>
      <c r="E74" s="175" t="s">
        <v>214</v>
      </c>
      <c r="F74" s="175">
        <v>0</v>
      </c>
      <c r="G74" s="175">
        <v>2.5081865067365001E-2</v>
      </c>
      <c r="H74" s="175">
        <v>8.3873315357606795E-2</v>
      </c>
      <c r="I74" s="175">
        <v>39.475127623446397</v>
      </c>
      <c r="J74" s="175"/>
      <c r="K74" s="175"/>
      <c r="L74" s="175">
        <v>0</v>
      </c>
      <c r="M74" s="175">
        <v>0.2</v>
      </c>
      <c r="N74" s="175">
        <v>0</v>
      </c>
    </row>
    <row r="75" spans="3:14" customFormat="1" ht="15" customHeight="1" x14ac:dyDescent="0.2">
      <c r="C75" s="175">
        <f t="shared" si="1"/>
        <v>74</v>
      </c>
      <c r="E75" s="175" t="s">
        <v>238</v>
      </c>
      <c r="F75" s="175">
        <v>0</v>
      </c>
      <c r="G75" s="175">
        <v>0.25246617987415898</v>
      </c>
      <c r="H75" s="175">
        <v>3.5324835848989697E-2</v>
      </c>
      <c r="I75" s="175">
        <v>7.0706700655595096</v>
      </c>
      <c r="J75" s="175"/>
      <c r="K75" s="175"/>
      <c r="L75" s="175">
        <v>0</v>
      </c>
      <c r="M75" s="175">
        <v>0.2</v>
      </c>
      <c r="N75" s="175">
        <v>0</v>
      </c>
    </row>
    <row r="76" spans="3:14" customFormat="1" ht="15" customHeight="1" x14ac:dyDescent="0.2">
      <c r="C76" s="175">
        <f t="shared" si="1"/>
        <v>75</v>
      </c>
      <c r="E76" s="175" t="s">
        <v>239</v>
      </c>
      <c r="F76" s="175">
        <v>0</v>
      </c>
      <c r="G76" s="175">
        <v>5.3732970828757097E-3</v>
      </c>
      <c r="H76" s="175">
        <v>5.0847886705177203E-2</v>
      </c>
      <c r="I76" s="175">
        <v>8.5664582792998694</v>
      </c>
      <c r="J76" s="175"/>
      <c r="K76" s="175"/>
      <c r="L76" s="175">
        <v>0</v>
      </c>
      <c r="M76" s="175">
        <v>0.2</v>
      </c>
      <c r="N76" s="175">
        <v>0</v>
      </c>
    </row>
    <row r="77" spans="3:14" customFormat="1" ht="15" customHeight="1" x14ac:dyDescent="0.2">
      <c r="C77" s="175">
        <f t="shared" si="1"/>
        <v>76</v>
      </c>
      <c r="E77" s="175" t="s">
        <v>240</v>
      </c>
      <c r="F77" s="175">
        <v>0</v>
      </c>
      <c r="G77" s="175">
        <v>0.127433290256175</v>
      </c>
      <c r="H77" s="175">
        <v>2.5158654970017302E-2</v>
      </c>
      <c r="I77" s="175">
        <v>6.6194467245270001</v>
      </c>
      <c r="J77" s="175"/>
      <c r="K77" s="175"/>
      <c r="L77" s="175">
        <v>0</v>
      </c>
      <c r="M77" s="175">
        <v>0.2</v>
      </c>
      <c r="N77" s="175">
        <v>0</v>
      </c>
    </row>
    <row r="78" spans="3:14" customFormat="1" ht="15" customHeight="1" x14ac:dyDescent="0.2">
      <c r="C78" s="175">
        <f t="shared" si="1"/>
        <v>77</v>
      </c>
      <c r="E78" s="175" t="s">
        <v>215</v>
      </c>
      <c r="F78" s="175">
        <v>0</v>
      </c>
      <c r="G78" s="175">
        <v>2.64473283022921E-2</v>
      </c>
      <c r="H78" s="175">
        <v>1.53604244625191E-2</v>
      </c>
      <c r="I78" s="175">
        <v>8.1900458396446307</v>
      </c>
      <c r="J78" s="175"/>
      <c r="K78" s="175"/>
      <c r="L78" s="175">
        <v>0</v>
      </c>
      <c r="M78" s="175">
        <v>0.2</v>
      </c>
      <c r="N78" s="175">
        <v>0</v>
      </c>
    </row>
    <row r="79" spans="3:14" customFormat="1" ht="15" customHeight="1" x14ac:dyDescent="0.2">
      <c r="C79" s="175">
        <f t="shared" si="1"/>
        <v>78</v>
      </c>
      <c r="E79" s="175" t="s">
        <v>216</v>
      </c>
      <c r="F79" s="175">
        <v>0</v>
      </c>
      <c r="G79" s="175">
        <v>1.6407147202243798E-2</v>
      </c>
      <c r="H79" s="175">
        <v>7.4656022069877495E-2</v>
      </c>
      <c r="I79" s="175">
        <v>25.1409403834686</v>
      </c>
      <c r="J79" s="175"/>
      <c r="K79" s="175"/>
      <c r="L79" s="175">
        <v>0</v>
      </c>
      <c r="M79" s="175">
        <v>0.2</v>
      </c>
      <c r="N79" s="175">
        <v>0</v>
      </c>
    </row>
    <row r="80" spans="3:14" customFormat="1" ht="15" customHeight="1" x14ac:dyDescent="0.2">
      <c r="C80" s="175">
        <f t="shared" si="1"/>
        <v>79</v>
      </c>
      <c r="E80" s="175" t="s">
        <v>217</v>
      </c>
      <c r="F80" s="175">
        <v>0</v>
      </c>
      <c r="G80" s="175">
        <v>7.1748071212281203E-2</v>
      </c>
      <c r="H80" s="175">
        <v>8.2272328793576405E-2</v>
      </c>
      <c r="I80" s="175">
        <v>14.0200783272939</v>
      </c>
      <c r="J80" s="175"/>
      <c r="K80" s="175"/>
      <c r="L80" s="175">
        <v>0</v>
      </c>
      <c r="M80" s="175">
        <v>0.2</v>
      </c>
      <c r="N80" s="175">
        <v>0</v>
      </c>
    </row>
    <row r="81" spans="3:15" customFormat="1" ht="15" customHeight="1" x14ac:dyDescent="0.2">
      <c r="C81" s="175">
        <f t="shared" si="1"/>
        <v>80</v>
      </c>
      <c r="E81" s="175" t="s">
        <v>266</v>
      </c>
      <c r="F81" s="175">
        <v>0</v>
      </c>
      <c r="G81" s="175">
        <v>4.0320919283116E-2</v>
      </c>
      <c r="H81" s="175">
        <v>0.33092029271099499</v>
      </c>
      <c r="I81" s="175">
        <v>18.695319028178499</v>
      </c>
      <c r="J81" s="175"/>
      <c r="K81" s="175"/>
      <c r="L81" s="175">
        <v>0</v>
      </c>
      <c r="M81" s="175">
        <v>0.2</v>
      </c>
      <c r="N81" s="175">
        <v>0</v>
      </c>
    </row>
    <row r="82" spans="3:15" customFormat="1" ht="15" customHeight="1" x14ac:dyDescent="0.2">
      <c r="C82" s="175">
        <f t="shared" si="1"/>
        <v>81</v>
      </c>
      <c r="E82" s="175" t="s">
        <v>267</v>
      </c>
      <c r="F82" s="175">
        <v>0</v>
      </c>
      <c r="G82" s="175">
        <v>7.1679276818107096E-2</v>
      </c>
      <c r="H82" s="175">
        <v>0.23710753375704099</v>
      </c>
      <c r="I82" s="175">
        <v>14.7696052778878</v>
      </c>
      <c r="J82" s="175"/>
      <c r="K82" s="175"/>
      <c r="L82" s="175">
        <v>0</v>
      </c>
      <c r="M82" s="175">
        <v>0.2</v>
      </c>
      <c r="N82" s="175">
        <v>0</v>
      </c>
    </row>
    <row r="83" spans="3:15" customFormat="1" ht="15" customHeight="1" x14ac:dyDescent="0.2">
      <c r="C83" s="175">
        <f t="shared" si="1"/>
        <v>82</v>
      </c>
      <c r="E83" s="175" t="s">
        <v>218</v>
      </c>
      <c r="F83" s="175">
        <v>0</v>
      </c>
      <c r="G83" s="175">
        <v>5.55149218404603E-3</v>
      </c>
      <c r="H83" s="175">
        <v>0.110975754850952</v>
      </c>
      <c r="I83" s="175">
        <v>49.306127819795599</v>
      </c>
      <c r="J83" s="175"/>
      <c r="K83" s="175"/>
      <c r="L83" s="175">
        <v>0</v>
      </c>
      <c r="M83" s="175">
        <v>0.2</v>
      </c>
      <c r="N83" s="175">
        <v>0</v>
      </c>
    </row>
    <row r="84" spans="3:15" customFormat="1" ht="15" customHeight="1" x14ac:dyDescent="0.2">
      <c r="C84" s="175">
        <f t="shared" si="1"/>
        <v>83</v>
      </c>
      <c r="E84" s="175" t="s">
        <v>219</v>
      </c>
      <c r="F84" s="175">
        <v>0</v>
      </c>
      <c r="G84" s="175">
        <v>0.54967059224992998</v>
      </c>
      <c r="H84" s="175">
        <v>4.34048928073879E-2</v>
      </c>
      <c r="I84" s="175">
        <v>5.97510111467962</v>
      </c>
      <c r="J84" s="175"/>
      <c r="K84" s="175"/>
      <c r="L84" s="175">
        <v>0</v>
      </c>
      <c r="M84" s="175">
        <v>0.2</v>
      </c>
      <c r="N84" s="175">
        <v>0</v>
      </c>
    </row>
    <row r="85" spans="3:15" customFormat="1" ht="15" customHeight="1" x14ac:dyDescent="0.2">
      <c r="C85" s="175">
        <f t="shared" si="1"/>
        <v>84</v>
      </c>
      <c r="E85" s="175" t="s">
        <v>220</v>
      </c>
      <c r="F85" s="175">
        <v>0</v>
      </c>
      <c r="G85" s="175">
        <v>1.2395022401122799</v>
      </c>
      <c r="H85" s="175">
        <v>3.6411736236162902E-2</v>
      </c>
      <c r="I85" s="175">
        <v>12.164757963794401</v>
      </c>
      <c r="J85" s="175"/>
      <c r="K85" s="175"/>
      <c r="L85" s="175">
        <v>0</v>
      </c>
      <c r="M85" s="175">
        <v>0.2</v>
      </c>
      <c r="N85" s="175">
        <v>0</v>
      </c>
    </row>
    <row r="86" spans="3:15" customFormat="1" ht="15" customHeight="1" x14ac:dyDescent="0.2">
      <c r="C86" s="175">
        <f t="shared" si="1"/>
        <v>85</v>
      </c>
      <c r="E86" s="175" t="s">
        <v>221</v>
      </c>
      <c r="F86" s="175">
        <v>0</v>
      </c>
      <c r="G86" s="175">
        <v>5.2944184019286397E-2</v>
      </c>
      <c r="H86" s="175">
        <v>7.3908488452974597E-2</v>
      </c>
      <c r="I86" s="175">
        <v>34.295886225183203</v>
      </c>
      <c r="J86" s="175"/>
      <c r="K86" s="175"/>
      <c r="L86" s="175">
        <v>0</v>
      </c>
      <c r="M86" s="175">
        <v>0.2</v>
      </c>
      <c r="N86" s="175">
        <v>0</v>
      </c>
    </row>
    <row r="87" spans="3:15" customFormat="1" ht="15" customHeight="1" x14ac:dyDescent="0.2">
      <c r="C87" s="175">
        <f t="shared" si="1"/>
        <v>86</v>
      </c>
      <c r="E87" s="175" t="s">
        <v>268</v>
      </c>
      <c r="F87" s="175">
        <v>0</v>
      </c>
      <c r="G87" s="175">
        <v>6.77459252949954E-4</v>
      </c>
      <c r="H87" s="175">
        <v>0.21852331825347299</v>
      </c>
      <c r="I87" s="175">
        <v>140.54681379878801</v>
      </c>
      <c r="J87" s="175"/>
      <c r="K87" s="175"/>
      <c r="L87" s="175">
        <v>0</v>
      </c>
      <c r="M87" s="175">
        <v>0.2</v>
      </c>
      <c r="N87" s="175">
        <v>0</v>
      </c>
    </row>
    <row r="88" spans="3:15" customFormat="1" ht="15" customHeight="1" x14ac:dyDescent="0.2">
      <c r="C88" s="175">
        <f t="shared" si="1"/>
        <v>87</v>
      </c>
      <c r="E88" s="175" t="s">
        <v>269</v>
      </c>
      <c r="F88" s="175">
        <v>0</v>
      </c>
      <c r="G88" s="175">
        <v>3.61424111956574E-4</v>
      </c>
      <c r="H88" s="175">
        <v>0.15400918648078299</v>
      </c>
      <c r="I88" s="175">
        <v>155.969336987242</v>
      </c>
      <c r="J88" s="175"/>
      <c r="K88" s="175"/>
      <c r="L88" s="175">
        <v>0</v>
      </c>
      <c r="M88" s="175">
        <v>0.2</v>
      </c>
      <c r="N88" s="175">
        <v>0</v>
      </c>
    </row>
    <row r="89" spans="3:15" customFormat="1" ht="15" customHeight="1" x14ac:dyDescent="0.2">
      <c r="C89" s="175">
        <f t="shared" si="1"/>
        <v>88</v>
      </c>
      <c r="E89" s="175" t="s">
        <v>222</v>
      </c>
      <c r="F89" s="175">
        <v>0</v>
      </c>
      <c r="G89" s="175">
        <v>2.3623651134808201E-4</v>
      </c>
      <c r="H89" s="175">
        <v>0.130626838148719</v>
      </c>
      <c r="I89" s="175">
        <v>137.68735346362399</v>
      </c>
      <c r="J89" s="175"/>
      <c r="K89" s="175"/>
      <c r="L89" s="175">
        <v>0</v>
      </c>
      <c r="M89" s="175">
        <v>0.2</v>
      </c>
      <c r="N89" s="175">
        <v>0</v>
      </c>
    </row>
    <row r="90" spans="3:15" customFormat="1" ht="15" customHeight="1" x14ac:dyDescent="0.2">
      <c r="C90" s="175">
        <f t="shared" si="1"/>
        <v>89</v>
      </c>
      <c r="E90" s="175" t="s">
        <v>270</v>
      </c>
      <c r="F90" s="175">
        <v>0</v>
      </c>
      <c r="G90" s="175">
        <v>2.8317572435616802E-5</v>
      </c>
      <c r="H90" s="175">
        <v>0.106532502227201</v>
      </c>
      <c r="I90" s="175">
        <v>242.84176491876201</v>
      </c>
      <c r="J90" s="175"/>
      <c r="K90" s="175"/>
      <c r="L90" s="175">
        <v>0</v>
      </c>
      <c r="M90" s="175">
        <v>0.2</v>
      </c>
      <c r="N90" s="175">
        <v>0</v>
      </c>
    </row>
    <row r="91" spans="3:15" customFormat="1" ht="15" customHeight="1" x14ac:dyDescent="0.2">
      <c r="C91" s="175">
        <f t="shared" si="1"/>
        <v>90</v>
      </c>
      <c r="E91" s="175" t="s">
        <v>223</v>
      </c>
      <c r="F91" s="175">
        <v>0</v>
      </c>
      <c r="G91" s="175">
        <v>8.1561351822274493E-5</v>
      </c>
      <c r="H91" s="175">
        <v>0.16738259995812901</v>
      </c>
      <c r="I91" s="175">
        <v>195.02703067995401</v>
      </c>
      <c r="J91" s="175"/>
      <c r="K91" s="175"/>
      <c r="L91" s="175">
        <v>0</v>
      </c>
      <c r="M91" s="175">
        <v>0.2</v>
      </c>
      <c r="N91" s="175">
        <v>0</v>
      </c>
    </row>
    <row r="92" spans="3:15" customFormat="1" ht="15" customHeight="1" x14ac:dyDescent="0.2">
      <c r="C92" s="175">
        <f t="shared" si="1"/>
        <v>91</v>
      </c>
      <c r="E92" s="175" t="s">
        <v>224</v>
      </c>
      <c r="F92" s="175">
        <v>0</v>
      </c>
      <c r="G92" s="175">
        <v>7.0714913200753597E-5</v>
      </c>
      <c r="H92" s="175">
        <v>8.9216199842508004E-2</v>
      </c>
      <c r="I92" s="175">
        <v>197.555423137323</v>
      </c>
      <c r="J92" s="175"/>
      <c r="K92" s="175"/>
      <c r="L92" s="175">
        <v>0</v>
      </c>
      <c r="M92" s="175">
        <v>0.2</v>
      </c>
      <c r="N92" s="175">
        <v>0</v>
      </c>
    </row>
    <row r="93" spans="3:15" customFormat="1" ht="15" customHeight="1" x14ac:dyDescent="0.2">
      <c r="C93" s="175">
        <f t="shared" si="1"/>
        <v>92</v>
      </c>
      <c r="E93" s="175" t="s">
        <v>225</v>
      </c>
      <c r="F93" s="175">
        <v>0</v>
      </c>
      <c r="G93" s="175">
        <v>2.7972308450109601E-4</v>
      </c>
      <c r="H93" s="175">
        <v>0.17676626319761099</v>
      </c>
      <c r="I93" s="175">
        <v>110.51945567967699</v>
      </c>
      <c r="J93" s="175"/>
      <c r="K93" s="175"/>
      <c r="L93" s="175">
        <v>0</v>
      </c>
      <c r="M93" s="175">
        <v>0.2</v>
      </c>
      <c r="N93" s="175">
        <v>0</v>
      </c>
    </row>
    <row r="94" spans="3:15" customFormat="1" ht="15" customHeight="1" x14ac:dyDescent="0.2">
      <c r="C94" s="175">
        <f t="shared" si="1"/>
        <v>93</v>
      </c>
      <c r="E94" s="175" t="s">
        <v>226</v>
      </c>
      <c r="F94" s="175">
        <v>2</v>
      </c>
      <c r="G94" s="175">
        <v>10</v>
      </c>
      <c r="H94" s="178">
        <v>0</v>
      </c>
      <c r="I94" s="178">
        <v>0</v>
      </c>
      <c r="J94" s="178"/>
      <c r="K94" s="178"/>
      <c r="L94" s="175">
        <v>0</v>
      </c>
      <c r="M94" s="178">
        <v>0.2</v>
      </c>
      <c r="N94" s="175">
        <v>0</v>
      </c>
    </row>
    <row r="95" spans="3:15" customFormat="1" ht="15" customHeight="1" x14ac:dyDescent="0.2">
      <c r="C95" s="175">
        <f t="shared" si="1"/>
        <v>94</v>
      </c>
      <c r="E95" s="175" t="s">
        <v>123</v>
      </c>
      <c r="F95" s="175">
        <v>2</v>
      </c>
      <c r="G95" s="175">
        <v>5</v>
      </c>
      <c r="H95" s="178"/>
      <c r="I95" s="178"/>
      <c r="J95" s="178"/>
      <c r="K95" s="178"/>
      <c r="L95" s="175">
        <v>0</v>
      </c>
      <c r="M95" s="178"/>
      <c r="N95" s="175">
        <v>0</v>
      </c>
      <c r="O95" s="60" t="s">
        <v>241</v>
      </c>
    </row>
    <row r="96" spans="3:15" customFormat="1" ht="15" customHeight="1" x14ac:dyDescent="0.2">
      <c r="C96" s="175">
        <f t="shared" si="1"/>
        <v>95</v>
      </c>
      <c r="E96" s="175" t="s">
        <v>271</v>
      </c>
      <c r="F96" s="84">
        <v>3</v>
      </c>
      <c r="G96" s="84"/>
      <c r="H96" s="84"/>
      <c r="I96" s="84"/>
      <c r="J96" s="84"/>
      <c r="K96" s="84"/>
      <c r="L96" s="84"/>
      <c r="M96" s="84"/>
      <c r="N96" s="84"/>
    </row>
    <row r="97" spans="5:14" customFormat="1" ht="15" customHeight="1" x14ac:dyDescent="0.15"/>
    <row r="98" spans="5:14" customFormat="1" ht="15" customHeight="1" x14ac:dyDescent="0.15"/>
    <row r="99" spans="5:14" customFormat="1" ht="15" customHeight="1" x14ac:dyDescent="0.15">
      <c r="E99" s="84"/>
      <c r="F99" s="84"/>
      <c r="G99" s="84"/>
      <c r="H99" s="84"/>
      <c r="I99" s="84"/>
      <c r="J99" s="84"/>
      <c r="K99" s="84"/>
      <c r="L99" s="84"/>
      <c r="M99" s="84"/>
      <c r="N99" s="84"/>
    </row>
    <row r="100" spans="5:14" customFormat="1" ht="15" customHeight="1" x14ac:dyDescent="0.15"/>
    <row r="101" spans="5:14" customFormat="1" ht="15" customHeight="1" x14ac:dyDescent="0.15"/>
    <row r="102" spans="5:14" customFormat="1" ht="15" customHeight="1" x14ac:dyDescent="0.15"/>
    <row r="103" spans="5:14" customFormat="1" ht="15" customHeight="1" x14ac:dyDescent="0.15"/>
    <row r="104" spans="5:14" customFormat="1" ht="15" customHeight="1" x14ac:dyDescent="0.15"/>
    <row r="105" spans="5:14" customFormat="1" ht="15" customHeight="1" x14ac:dyDescent="0.15"/>
    <row r="106" spans="5:14" customFormat="1" ht="15" customHeight="1" x14ac:dyDescent="0.15">
      <c r="E106" s="60" t="s">
        <v>273</v>
      </c>
    </row>
    <row r="107" spans="5:14" customFormat="1" ht="15" customHeight="1" x14ac:dyDescent="0.15"/>
    <row r="108" spans="5:14" customFormat="1" ht="15" customHeight="1" x14ac:dyDescent="0.15"/>
    <row r="109" spans="5:14" customFormat="1" ht="15" customHeight="1" x14ac:dyDescent="0.15"/>
    <row r="110" spans="5:14" customFormat="1" ht="15" customHeight="1" x14ac:dyDescent="0.15"/>
    <row r="111" spans="5:14" customFormat="1" ht="15" customHeight="1" x14ac:dyDescent="0.15"/>
    <row r="112" spans="5:14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CV37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96" sqref="A2:A96"/>
    </sheetView>
  </sheetViews>
  <sheetFormatPr baseColWidth="10" defaultColWidth="8.83203125" defaultRowHeight="16" x14ac:dyDescent="0.2"/>
  <cols>
    <col min="1" max="1" width="40.1640625" style="180" bestFit="1" customWidth="1"/>
    <col min="2" max="8" width="9.1640625" style="180" bestFit="1" customWidth="1"/>
    <col min="9" max="9" width="11.33203125" style="180" bestFit="1" customWidth="1"/>
    <col min="10" max="29" width="9.1640625" style="180" bestFit="1" customWidth="1"/>
    <col min="30" max="62" width="9" style="180" bestFit="1" customWidth="1"/>
    <col min="63" max="63" width="10" style="180" bestFit="1" customWidth="1"/>
    <col min="64" max="95" width="9" style="180" bestFit="1" customWidth="1"/>
    <col min="96" max="16384" width="8.83203125" style="180"/>
  </cols>
  <sheetData>
    <row r="1" spans="1:100" x14ac:dyDescent="0.2">
      <c r="A1" s="179" t="s">
        <v>19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161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245</v>
      </c>
      <c r="O1" t="s">
        <v>183</v>
      </c>
      <c r="P1" t="s">
        <v>184</v>
      </c>
      <c r="Q1" t="s">
        <v>228</v>
      </c>
      <c r="R1" t="s">
        <v>185</v>
      </c>
      <c r="S1" t="s">
        <v>246</v>
      </c>
      <c r="T1" t="s">
        <v>229</v>
      </c>
      <c r="U1" t="s">
        <v>186</v>
      </c>
      <c r="V1" t="s">
        <v>187</v>
      </c>
      <c r="W1" t="s">
        <v>188</v>
      </c>
      <c r="X1" t="s">
        <v>189</v>
      </c>
      <c r="Y1" t="s">
        <v>190</v>
      </c>
      <c r="Z1" t="s">
        <v>191</v>
      </c>
      <c r="AA1" t="s">
        <v>192</v>
      </c>
      <c r="AB1" t="s">
        <v>193</v>
      </c>
      <c r="AC1" t="s">
        <v>247</v>
      </c>
      <c r="AD1" t="s">
        <v>248</v>
      </c>
      <c r="AE1" t="s">
        <v>249</v>
      </c>
      <c r="AF1" t="s">
        <v>250</v>
      </c>
      <c r="AG1" t="s">
        <v>251</v>
      </c>
      <c r="AH1" t="s">
        <v>252</v>
      </c>
      <c r="AI1" t="s">
        <v>253</v>
      </c>
      <c r="AJ1" t="s">
        <v>254</v>
      </c>
      <c r="AK1" t="s">
        <v>255</v>
      </c>
      <c r="AL1" t="s">
        <v>194</v>
      </c>
      <c r="AM1" t="s">
        <v>256</v>
      </c>
      <c r="AN1" t="s">
        <v>195</v>
      </c>
      <c r="AO1" t="s">
        <v>196</v>
      </c>
      <c r="AP1" t="s">
        <v>197</v>
      </c>
      <c r="AQ1" t="s">
        <v>198</v>
      </c>
      <c r="AR1" t="s">
        <v>199</v>
      </c>
      <c r="AS1" t="s">
        <v>232</v>
      </c>
      <c r="AT1" t="s">
        <v>200</v>
      </c>
      <c r="AU1" t="s">
        <v>201</v>
      </c>
      <c r="AV1" t="s">
        <v>202</v>
      </c>
      <c r="AW1" t="s">
        <v>203</v>
      </c>
      <c r="AX1" t="s">
        <v>204</v>
      </c>
      <c r="AY1" t="s">
        <v>257</v>
      </c>
      <c r="AZ1" t="s">
        <v>258</v>
      </c>
      <c r="BA1" t="s">
        <v>259</v>
      </c>
      <c r="BB1" t="s">
        <v>260</v>
      </c>
      <c r="BC1" t="s">
        <v>261</v>
      </c>
      <c r="BD1" t="s">
        <v>233</v>
      </c>
      <c r="BE1" t="s">
        <v>234</v>
      </c>
      <c r="BF1" t="s">
        <v>205</v>
      </c>
      <c r="BG1" t="s">
        <v>206</v>
      </c>
      <c r="BH1" t="s">
        <v>207</v>
      </c>
      <c r="BI1" t="s">
        <v>262</v>
      </c>
      <c r="BJ1" t="s">
        <v>208</v>
      </c>
      <c r="BK1" t="s">
        <v>263</v>
      </c>
      <c r="BL1" t="s">
        <v>209</v>
      </c>
      <c r="BM1" t="s">
        <v>264</v>
      </c>
      <c r="BN1" t="s">
        <v>210</v>
      </c>
      <c r="BO1" t="s">
        <v>235</v>
      </c>
      <c r="BP1" t="s">
        <v>211</v>
      </c>
      <c r="BQ1" t="s">
        <v>265</v>
      </c>
      <c r="BR1" t="s">
        <v>212</v>
      </c>
      <c r="BS1" t="s">
        <v>213</v>
      </c>
      <c r="BT1" t="s">
        <v>236</v>
      </c>
      <c r="BU1" t="s">
        <v>237</v>
      </c>
      <c r="BV1" t="s">
        <v>214</v>
      </c>
      <c r="BW1" t="s">
        <v>238</v>
      </c>
      <c r="BX1" t="s">
        <v>239</v>
      </c>
      <c r="BY1" t="s">
        <v>240</v>
      </c>
      <c r="BZ1" t="s">
        <v>215</v>
      </c>
      <c r="CA1" t="s">
        <v>216</v>
      </c>
      <c r="CB1" t="s">
        <v>217</v>
      </c>
      <c r="CC1" t="s">
        <v>266</v>
      </c>
      <c r="CD1" t="s">
        <v>267</v>
      </c>
      <c r="CE1" t="s">
        <v>218</v>
      </c>
      <c r="CF1" t="s">
        <v>219</v>
      </c>
      <c r="CG1" t="s">
        <v>220</v>
      </c>
      <c r="CH1" t="s">
        <v>221</v>
      </c>
      <c r="CI1" t="s">
        <v>268</v>
      </c>
      <c r="CJ1" t="s">
        <v>269</v>
      </c>
      <c r="CK1" t="s">
        <v>222</v>
      </c>
      <c r="CL1" t="s">
        <v>270</v>
      </c>
      <c r="CM1" t="s">
        <v>223</v>
      </c>
      <c r="CN1" t="s">
        <v>224</v>
      </c>
      <c r="CO1" t="s">
        <v>225</v>
      </c>
      <c r="CP1" t="s">
        <v>226</v>
      </c>
      <c r="CQ1" t="s">
        <v>123</v>
      </c>
      <c r="CR1"/>
      <c r="CS1"/>
      <c r="CT1"/>
      <c r="CU1"/>
      <c r="CV1"/>
    </row>
    <row r="2" spans="1:100" customFormat="1" ht="13" x14ac:dyDescent="0.15">
      <c r="A2" t="s">
        <v>172</v>
      </c>
      <c r="B2">
        <v>0</v>
      </c>
      <c r="C2">
        <v>0</v>
      </c>
      <c r="D2">
        <v>0.20481362909672701</v>
      </c>
      <c r="E2">
        <v>0</v>
      </c>
      <c r="F2">
        <v>0.75523239605509795</v>
      </c>
      <c r="G2">
        <v>0.79323845707322904</v>
      </c>
      <c r="H2">
        <v>0.89702309361222898</v>
      </c>
      <c r="I2">
        <v>3.2802824830142303E-2</v>
      </c>
      <c r="J2">
        <v>0.536417041301401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0.26475014789388002</v>
      </c>
      <c r="V2">
        <v>0.32685226077122997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</row>
    <row r="3" spans="1:100" customFormat="1" ht="13" x14ac:dyDescent="0.15">
      <c r="A3" t="s">
        <v>173</v>
      </c>
      <c r="B3">
        <v>0</v>
      </c>
      <c r="C3">
        <v>0</v>
      </c>
      <c r="D3">
        <v>0</v>
      </c>
      <c r="E3">
        <v>0.407779428532697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0.25382996621918202</v>
      </c>
      <c r="M3">
        <v>0.39949376083864602</v>
      </c>
      <c r="N3">
        <v>0.41323055572828998</v>
      </c>
      <c r="O3">
        <v>0.80347848288170898</v>
      </c>
      <c r="P3">
        <v>0</v>
      </c>
      <c r="Q3">
        <v>0.31132386649395599</v>
      </c>
      <c r="R3">
        <v>0.41928644204801002</v>
      </c>
      <c r="S3">
        <v>0</v>
      </c>
      <c r="T3">
        <v>0</v>
      </c>
      <c r="U3">
        <v>4.4619252560065099E-4</v>
      </c>
      <c r="V3">
        <v>0</v>
      </c>
      <c r="W3">
        <v>0</v>
      </c>
      <c r="X3">
        <v>0</v>
      </c>
      <c r="Y3">
        <v>0</v>
      </c>
      <c r="Z3">
        <v>3.38122539748094E-2</v>
      </c>
      <c r="AA3">
        <v>2.5955828315595499E-3</v>
      </c>
      <c r="AB3">
        <v>0</v>
      </c>
      <c r="AC3">
        <v>5.4428762488176298E-3</v>
      </c>
      <c r="AD3">
        <v>0</v>
      </c>
      <c r="AE3">
        <v>0.466894274964189</v>
      </c>
      <c r="AF3">
        <v>0</v>
      </c>
      <c r="AG3">
        <v>0</v>
      </c>
      <c r="AH3">
        <v>0</v>
      </c>
      <c r="AI3">
        <v>0</v>
      </c>
      <c r="AJ3">
        <v>1.6843942558173799E-2</v>
      </c>
      <c r="AK3">
        <v>0</v>
      </c>
      <c r="AL3">
        <v>0</v>
      </c>
      <c r="AM3">
        <v>1.5194335087022599E-3</v>
      </c>
      <c r="AN3">
        <v>0</v>
      </c>
      <c r="AO3">
        <v>0</v>
      </c>
      <c r="AP3">
        <v>2.60859600058407E-3</v>
      </c>
      <c r="AQ3">
        <v>2.9431198534846498E-3</v>
      </c>
      <c r="AR3">
        <v>0</v>
      </c>
      <c r="AS3">
        <v>1.7310441148126201E-3</v>
      </c>
      <c r="AT3">
        <v>1.9061524465335999E-2</v>
      </c>
      <c r="AU3">
        <v>0</v>
      </c>
      <c r="AV3">
        <v>0</v>
      </c>
      <c r="AW3">
        <v>0.14664841455045699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5.25490146328021E-2</v>
      </c>
      <c r="BE3">
        <v>0.15681468451491901</v>
      </c>
      <c r="BF3">
        <v>0.78185005278737196</v>
      </c>
      <c r="BG3">
        <v>2.2715136030585802E-2</v>
      </c>
      <c r="BH3">
        <v>0</v>
      </c>
      <c r="BI3">
        <v>0</v>
      </c>
      <c r="BJ3">
        <v>0</v>
      </c>
      <c r="BK3">
        <v>0</v>
      </c>
      <c r="BL3">
        <v>7.0750633377654601E-3</v>
      </c>
      <c r="BM3">
        <v>0</v>
      </c>
      <c r="BN3">
        <v>1.0876315956690301E-3</v>
      </c>
      <c r="BO3">
        <v>0</v>
      </c>
      <c r="BP3">
        <v>2.9871698252040202E-3</v>
      </c>
      <c r="BQ3">
        <v>0</v>
      </c>
      <c r="BR3">
        <v>2.94032823638311E-2</v>
      </c>
      <c r="BS3">
        <v>6.85798590016238E-3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9.2029047590437094E-3</v>
      </c>
      <c r="CH3">
        <v>0</v>
      </c>
      <c r="CI3">
        <v>1.52897301433717E-2</v>
      </c>
      <c r="CJ3">
        <v>0</v>
      </c>
      <c r="CK3">
        <v>1.2941128314250001E-3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</row>
    <row r="4" spans="1:100" customFormat="1" ht="13" x14ac:dyDescent="0.15">
      <c r="A4" t="s">
        <v>174</v>
      </c>
      <c r="B4">
        <v>0</v>
      </c>
      <c r="C4">
        <v>0</v>
      </c>
      <c r="D4">
        <v>0</v>
      </c>
      <c r="E4">
        <v>2.2783294912507902E-2</v>
      </c>
      <c r="F4">
        <v>0</v>
      </c>
      <c r="G4">
        <v>0</v>
      </c>
      <c r="H4">
        <v>0</v>
      </c>
      <c r="I4">
        <v>1.58382271061378E-2</v>
      </c>
      <c r="J4">
        <v>0</v>
      </c>
      <c r="K4">
        <v>0</v>
      </c>
      <c r="L4">
        <v>2.0156415978820199E-2</v>
      </c>
      <c r="M4">
        <v>3.62704047262144E-2</v>
      </c>
      <c r="N4">
        <v>1.78795394854835E-2</v>
      </c>
      <c r="O4">
        <v>0</v>
      </c>
      <c r="P4">
        <v>2.1588118427070299E-2</v>
      </c>
      <c r="Q4">
        <v>0.16494929955444099</v>
      </c>
      <c r="R4">
        <v>0.10714291830124199</v>
      </c>
      <c r="S4">
        <v>9.3233278992728097E-2</v>
      </c>
      <c r="T4">
        <v>7.5734529450727098E-3</v>
      </c>
      <c r="U4">
        <v>8.2684046362189092E-3</v>
      </c>
      <c r="V4">
        <v>0</v>
      </c>
      <c r="W4">
        <v>4.3791327933086099E-2</v>
      </c>
      <c r="X4">
        <v>6.9820275639961397E-3</v>
      </c>
      <c r="Y4">
        <v>0.38592121039021698</v>
      </c>
      <c r="Z4">
        <v>6.3355691105362998E-3</v>
      </c>
      <c r="AA4">
        <v>0.14429915625818601</v>
      </c>
      <c r="AB4">
        <v>3.1365501228004099E-2</v>
      </c>
      <c r="AC4">
        <v>3.3565741878745902E-3</v>
      </c>
      <c r="AD4">
        <v>1.1267604122873901E-3</v>
      </c>
      <c r="AE4">
        <v>0.30677179784784098</v>
      </c>
      <c r="AF4">
        <v>7.47941568902411E-3</v>
      </c>
      <c r="AG4">
        <v>0</v>
      </c>
      <c r="AH4">
        <v>9.3073443037189796E-4</v>
      </c>
      <c r="AI4">
        <v>5.6179593611109498E-3</v>
      </c>
      <c r="AJ4">
        <v>2.4343948451439599E-3</v>
      </c>
      <c r="AK4">
        <v>0</v>
      </c>
      <c r="AL4">
        <v>5.62254970744785E-4</v>
      </c>
      <c r="AM4">
        <v>5.0469296831757802E-3</v>
      </c>
      <c r="AN4">
        <v>5.01904233804659E-2</v>
      </c>
      <c r="AO4">
        <v>7.0217421778187399E-3</v>
      </c>
      <c r="AP4">
        <v>0</v>
      </c>
      <c r="AQ4">
        <v>0</v>
      </c>
      <c r="AR4">
        <v>0</v>
      </c>
      <c r="AS4">
        <v>1.19165400143519E-4</v>
      </c>
      <c r="AT4">
        <v>2.7374426075346702E-4</v>
      </c>
      <c r="AU4">
        <v>0</v>
      </c>
      <c r="AV4">
        <v>8.8352784055695001E-3</v>
      </c>
      <c r="AW4">
        <v>4.9979453048168601E-2</v>
      </c>
      <c r="AX4">
        <v>1.4601314330154301E-3</v>
      </c>
      <c r="AY4">
        <v>1.54913181641298E-3</v>
      </c>
      <c r="AZ4">
        <v>3.8833665844443997E-2</v>
      </c>
      <c r="BA4">
        <v>2.68750367794174E-2</v>
      </c>
      <c r="BB4">
        <v>2.26546392747023E-2</v>
      </c>
      <c r="BC4">
        <v>1.6428896275241401E-2</v>
      </c>
      <c r="BD4">
        <v>6.0346571585597197E-2</v>
      </c>
      <c r="BE4">
        <v>2.7680801978946699E-2</v>
      </c>
      <c r="BF4">
        <v>4.2083959577195899E-2</v>
      </c>
      <c r="BG4">
        <v>6.70270556837709E-3</v>
      </c>
      <c r="BH4">
        <v>0</v>
      </c>
      <c r="BI4">
        <v>0</v>
      </c>
      <c r="BJ4">
        <v>2.0890230193804302E-2</v>
      </c>
      <c r="BK4">
        <v>0</v>
      </c>
      <c r="BL4">
        <v>3.4883153572939198E-3</v>
      </c>
      <c r="BM4">
        <v>6.0474513879044296E-3</v>
      </c>
      <c r="BN4">
        <v>0</v>
      </c>
      <c r="BO4">
        <v>0</v>
      </c>
      <c r="BP4">
        <v>0</v>
      </c>
      <c r="BQ4">
        <v>2.8268999272160499E-2</v>
      </c>
      <c r="BR4">
        <v>1.9035334686822701E-3</v>
      </c>
      <c r="BS4">
        <v>2.1764341783781602E-2</v>
      </c>
      <c r="BT4">
        <v>0</v>
      </c>
      <c r="BU4">
        <v>0</v>
      </c>
      <c r="BV4">
        <v>0</v>
      </c>
      <c r="BW4">
        <v>0</v>
      </c>
      <c r="BX4">
        <v>3.4880518101463899E-3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0.62123043290464497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</row>
    <row r="5" spans="1:100" customFormat="1" ht="13" x14ac:dyDescent="0.15">
      <c r="A5" t="s">
        <v>175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5.9602041927991303E-2</v>
      </c>
      <c r="M5">
        <v>0.39042533397634299</v>
      </c>
      <c r="N5">
        <v>0.21416092389685401</v>
      </c>
      <c r="O5">
        <v>0.120472070278418</v>
      </c>
      <c r="P5">
        <v>0</v>
      </c>
      <c r="Q5">
        <v>0.391724130971495</v>
      </c>
      <c r="R5">
        <v>0.21239644495623</v>
      </c>
      <c r="S5">
        <v>1.02130844038473E-2</v>
      </c>
      <c r="T5">
        <v>0</v>
      </c>
      <c r="U5">
        <v>0</v>
      </c>
      <c r="V5">
        <v>0</v>
      </c>
      <c r="W5">
        <v>4.7201984012855899E-3</v>
      </c>
      <c r="X5">
        <v>4.8578788634169902E-2</v>
      </c>
      <c r="Y5">
        <v>0</v>
      </c>
      <c r="Z5">
        <v>0.278895497050616</v>
      </c>
      <c r="AA5">
        <v>0.26011009079922798</v>
      </c>
      <c r="AB5">
        <v>0</v>
      </c>
      <c r="AC5">
        <v>1.7638069797414498E-2</v>
      </c>
      <c r="AD5">
        <v>4.5329828428280596E-3</v>
      </c>
      <c r="AE5">
        <v>0.197229856677134</v>
      </c>
      <c r="AF5">
        <v>0</v>
      </c>
      <c r="AG5">
        <v>0</v>
      </c>
      <c r="AH5">
        <v>2.8659836823821299E-3</v>
      </c>
      <c r="AI5">
        <v>2.0791769150008702E-2</v>
      </c>
      <c r="AJ5">
        <v>7.8988833924520399E-2</v>
      </c>
      <c r="AK5">
        <v>0.154500117653667</v>
      </c>
      <c r="AL5">
        <v>5.6771543377829102E-2</v>
      </c>
      <c r="AM5">
        <v>5.0762788145689602E-2</v>
      </c>
      <c r="AN5">
        <v>0</v>
      </c>
      <c r="AO5">
        <v>0.149723155008261</v>
      </c>
      <c r="AP5">
        <v>1.4717031373760301E-2</v>
      </c>
      <c r="AQ5">
        <v>3.54199786623203E-3</v>
      </c>
      <c r="AR5">
        <v>4.2027746231530397E-2</v>
      </c>
      <c r="AS5">
        <v>1.5699616319428501E-2</v>
      </c>
      <c r="AT5">
        <v>3.7532427526963799E-2</v>
      </c>
      <c r="AU5">
        <v>0</v>
      </c>
      <c r="AV5">
        <v>0</v>
      </c>
      <c r="AW5">
        <v>0.148243366402667</v>
      </c>
      <c r="AX5">
        <v>3.7011111360221602E-2</v>
      </c>
      <c r="AY5">
        <v>0</v>
      </c>
      <c r="AZ5">
        <v>5.9887866852417803E-3</v>
      </c>
      <c r="BA5">
        <v>0</v>
      </c>
      <c r="BB5">
        <v>1.5026805127513899E-3</v>
      </c>
      <c r="BC5">
        <v>1.6505870843899002E-2</v>
      </c>
      <c r="BD5">
        <v>5.7224744231550898E-2</v>
      </c>
      <c r="BE5">
        <v>0.20758294218119</v>
      </c>
      <c r="BF5">
        <v>0.14758062674394501</v>
      </c>
      <c r="BG5">
        <v>0.126104471157236</v>
      </c>
      <c r="BH5">
        <v>4.2337342911020499E-3</v>
      </c>
      <c r="BI5">
        <v>0</v>
      </c>
      <c r="BJ5">
        <v>3.7344093415193698E-3</v>
      </c>
      <c r="BK5">
        <v>0</v>
      </c>
      <c r="BL5">
        <v>0</v>
      </c>
      <c r="BM5">
        <v>0</v>
      </c>
      <c r="BN5">
        <v>3.1999292542402701E-3</v>
      </c>
      <c r="BO5">
        <v>0</v>
      </c>
      <c r="BP5">
        <v>0</v>
      </c>
      <c r="BQ5">
        <v>0</v>
      </c>
      <c r="BR5">
        <v>7.7680640102988899E-4</v>
      </c>
      <c r="BS5">
        <v>2.8796120296250101E-3</v>
      </c>
      <c r="BT5">
        <v>0</v>
      </c>
      <c r="BU5">
        <v>0</v>
      </c>
      <c r="BV5">
        <v>0</v>
      </c>
      <c r="BW5">
        <v>0</v>
      </c>
      <c r="BX5">
        <v>3.37031047631269E-4</v>
      </c>
      <c r="BY5">
        <v>0</v>
      </c>
      <c r="BZ5">
        <v>0</v>
      </c>
      <c r="CA5">
        <v>2.3213447095605098E-2</v>
      </c>
      <c r="CB5">
        <v>2.8275438262155401E-3</v>
      </c>
      <c r="CC5">
        <v>0</v>
      </c>
      <c r="CD5">
        <v>3.7151608067667999E-2</v>
      </c>
      <c r="CE5">
        <v>0</v>
      </c>
      <c r="CF5">
        <v>0</v>
      </c>
      <c r="CG5">
        <v>2.92669975382473E-2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</row>
    <row r="6" spans="1:100" customFormat="1" ht="13" x14ac:dyDescent="0.15">
      <c r="A6" t="s">
        <v>176</v>
      </c>
      <c r="B6">
        <v>0</v>
      </c>
      <c r="C6">
        <v>0</v>
      </c>
      <c r="D6">
        <v>0</v>
      </c>
      <c r="E6">
        <v>0</v>
      </c>
      <c r="F6">
        <v>0</v>
      </c>
      <c r="G6">
        <v>0.20676154292677101</v>
      </c>
      <c r="H6">
        <v>5.1775096186410803E-2</v>
      </c>
      <c r="I6">
        <v>3.6378455357929697E-2</v>
      </c>
      <c r="J6">
        <v>0.271712597635342</v>
      </c>
      <c r="K6">
        <v>4.2534673228806601E-2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1.40264387928238E-2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</row>
    <row r="7" spans="1:100" customFormat="1" ht="13" x14ac:dyDescent="0.15">
      <c r="A7" t="s">
        <v>177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5.1201810201360803E-2</v>
      </c>
      <c r="I7">
        <v>0.47610350580365202</v>
      </c>
      <c r="J7">
        <v>0</v>
      </c>
      <c r="K7">
        <v>0.35490191360553702</v>
      </c>
      <c r="L7">
        <v>0.12209906887617999</v>
      </c>
      <c r="M7">
        <v>0</v>
      </c>
      <c r="N7">
        <v>0</v>
      </c>
      <c r="O7">
        <v>0</v>
      </c>
      <c r="P7">
        <v>0.354177551533149</v>
      </c>
      <c r="Q7">
        <v>0</v>
      </c>
      <c r="R7">
        <v>0.18832707032187801</v>
      </c>
      <c r="S7">
        <v>4.2083741483991001E-2</v>
      </c>
      <c r="T7">
        <v>1.8736531165221899E-2</v>
      </c>
      <c r="U7">
        <v>0.28699557669953701</v>
      </c>
      <c r="V7">
        <v>0.12873039509825099</v>
      </c>
      <c r="W7">
        <v>0.20132000113232601</v>
      </c>
      <c r="X7">
        <v>0.133748323238882</v>
      </c>
      <c r="Y7">
        <v>0.24056107335207</v>
      </c>
      <c r="Z7">
        <v>1.55860829492852E-2</v>
      </c>
      <c r="AA7">
        <v>0.16081117712596299</v>
      </c>
      <c r="AB7">
        <v>5.2187389078720399E-2</v>
      </c>
      <c r="AC7">
        <v>0.38716815585775499</v>
      </c>
      <c r="AD7">
        <v>8.4933376977359906E-2</v>
      </c>
      <c r="AE7">
        <v>0</v>
      </c>
      <c r="AF7">
        <v>0.82131479449404099</v>
      </c>
      <c r="AG7">
        <v>0.162670073163759</v>
      </c>
      <c r="AH7">
        <v>0</v>
      </c>
      <c r="AI7">
        <v>0</v>
      </c>
      <c r="AJ7">
        <v>0</v>
      </c>
      <c r="AK7">
        <v>0</v>
      </c>
      <c r="AL7">
        <v>3.3482393132764502E-3</v>
      </c>
      <c r="AM7">
        <v>2.1006234789166401E-2</v>
      </c>
      <c r="AN7">
        <v>6.5136781216796696E-2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3.2665120333152102E-2</v>
      </c>
      <c r="AW7">
        <v>0</v>
      </c>
      <c r="AX7">
        <v>0</v>
      </c>
      <c r="AY7">
        <v>0</v>
      </c>
      <c r="AZ7">
        <v>0</v>
      </c>
      <c r="BA7">
        <v>1.69245603121884E-3</v>
      </c>
      <c r="BB7">
        <v>1.2178494221105601E-3</v>
      </c>
      <c r="BC7">
        <v>0</v>
      </c>
      <c r="BD7">
        <v>0</v>
      </c>
      <c r="BE7">
        <v>0</v>
      </c>
      <c r="BF7">
        <v>2.1509285771747098E-3</v>
      </c>
      <c r="BG7">
        <v>0</v>
      </c>
      <c r="BH7">
        <v>0</v>
      </c>
      <c r="BI7">
        <v>0</v>
      </c>
      <c r="BJ7">
        <v>0.38896622593332603</v>
      </c>
      <c r="BK7">
        <v>0</v>
      </c>
      <c r="BL7">
        <v>1.27143862178917E-3</v>
      </c>
      <c r="BM7">
        <v>0</v>
      </c>
      <c r="BN7">
        <v>0</v>
      </c>
      <c r="BO7">
        <v>0</v>
      </c>
      <c r="BP7">
        <v>0</v>
      </c>
      <c r="BQ7">
        <v>2.32832218404142E-2</v>
      </c>
      <c r="BR7">
        <v>0</v>
      </c>
      <c r="BS7">
        <v>2.59057945959519E-3</v>
      </c>
      <c r="BT7">
        <v>0</v>
      </c>
      <c r="BU7">
        <v>0</v>
      </c>
      <c r="BV7">
        <v>0</v>
      </c>
      <c r="BW7">
        <v>0</v>
      </c>
      <c r="BX7">
        <v>7.2992160148891401E-3</v>
      </c>
      <c r="BY7">
        <v>6.8188820259261103E-3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</row>
    <row r="8" spans="1:100" customFormat="1" ht="13" x14ac:dyDescent="0.15">
      <c r="A8" t="s">
        <v>161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0.35972358682351602</v>
      </c>
      <c r="J8">
        <v>0</v>
      </c>
      <c r="K8">
        <v>0.53774952600063097</v>
      </c>
      <c r="L8">
        <v>0.18732412794244899</v>
      </c>
      <c r="M8">
        <v>0</v>
      </c>
      <c r="N8">
        <v>0</v>
      </c>
      <c r="O8">
        <v>0</v>
      </c>
      <c r="P8">
        <v>0.48972299539750702</v>
      </c>
      <c r="Q8">
        <v>0</v>
      </c>
      <c r="R8">
        <v>0</v>
      </c>
      <c r="S8">
        <v>0.50552318019210996</v>
      </c>
      <c r="T8">
        <v>0.211261428884645</v>
      </c>
      <c r="U8">
        <v>0.413028855009895</v>
      </c>
      <c r="V8">
        <v>0.436237935783861</v>
      </c>
      <c r="W8">
        <v>0.63795705961511695</v>
      </c>
      <c r="X8">
        <v>0.61510166566035496</v>
      </c>
      <c r="Y8">
        <v>0.28434440666245198</v>
      </c>
      <c r="Z8">
        <v>0.310245849728917</v>
      </c>
      <c r="AA8">
        <v>0.16050985576621199</v>
      </c>
      <c r="AB8">
        <v>0.67061919837252404</v>
      </c>
      <c r="AC8">
        <v>0.46224741893695198</v>
      </c>
      <c r="AD8">
        <v>0.81027593274992904</v>
      </c>
      <c r="AE8">
        <v>0</v>
      </c>
      <c r="AF8">
        <v>0.12578154279457501</v>
      </c>
      <c r="AG8">
        <v>0.52649888382731003</v>
      </c>
      <c r="AH8">
        <v>0.56236685154829802</v>
      </c>
      <c r="AI8">
        <v>0.24684518757749099</v>
      </c>
      <c r="AJ8">
        <v>0.107408298480136</v>
      </c>
      <c r="AK8">
        <v>0</v>
      </c>
      <c r="AL8">
        <v>0.16310557557282099</v>
      </c>
      <c r="AM8">
        <v>0.50005466048064795</v>
      </c>
      <c r="AN8">
        <v>0.83284454055429702</v>
      </c>
      <c r="AO8">
        <v>2.9283777604245101E-3</v>
      </c>
      <c r="AP8">
        <v>0</v>
      </c>
      <c r="AQ8">
        <v>0.704657644686427</v>
      </c>
      <c r="AR8">
        <v>1.9625450272678902E-3</v>
      </c>
      <c r="AS8">
        <v>7.5895771129704998E-2</v>
      </c>
      <c r="AT8">
        <v>7.2422880541514703E-2</v>
      </c>
      <c r="AU8">
        <v>3.12496012602033E-3</v>
      </c>
      <c r="AV8">
        <v>0.151170370927109</v>
      </c>
      <c r="AW8">
        <v>0</v>
      </c>
      <c r="AX8">
        <v>0.22939898575184101</v>
      </c>
      <c r="AY8">
        <v>0.91814213466557604</v>
      </c>
      <c r="AZ8">
        <v>0.77677481801889003</v>
      </c>
      <c r="BA8">
        <v>0.29570814710147603</v>
      </c>
      <c r="BB8">
        <v>0.75387707673437698</v>
      </c>
      <c r="BC8">
        <v>0.70844186186979197</v>
      </c>
      <c r="BD8">
        <v>0</v>
      </c>
      <c r="BE8">
        <v>0</v>
      </c>
      <c r="BF8">
        <v>5.8130317585163597E-3</v>
      </c>
      <c r="BG8">
        <v>5.22366761612423E-2</v>
      </c>
      <c r="BH8">
        <v>1.1885239629751399E-2</v>
      </c>
      <c r="BI8">
        <v>1.00245626175529E-2</v>
      </c>
      <c r="BJ8">
        <v>0.392702103060112</v>
      </c>
      <c r="BK8">
        <v>9.1247858914050101E-2</v>
      </c>
      <c r="BL8">
        <v>5.4995023437229902E-2</v>
      </c>
      <c r="BM8">
        <v>0</v>
      </c>
      <c r="BN8">
        <v>7.1629844933515999E-3</v>
      </c>
      <c r="BO8">
        <v>8.4617757195650407E-3</v>
      </c>
      <c r="BP8">
        <v>0</v>
      </c>
      <c r="BQ8">
        <v>1.9188798350658301E-2</v>
      </c>
      <c r="BR8">
        <v>6.8123724593155896E-2</v>
      </c>
      <c r="BS8">
        <v>0.274272075486171</v>
      </c>
      <c r="BT8">
        <v>0</v>
      </c>
      <c r="BU8">
        <v>0</v>
      </c>
      <c r="BV8">
        <v>0</v>
      </c>
      <c r="BW8">
        <v>0.30815592839625</v>
      </c>
      <c r="BX8">
        <v>0.52380618712580196</v>
      </c>
      <c r="BY8">
        <v>0.77082924324639801</v>
      </c>
      <c r="BZ8">
        <v>0</v>
      </c>
      <c r="CA8">
        <v>0</v>
      </c>
      <c r="CB8">
        <v>0</v>
      </c>
      <c r="CC8">
        <v>0</v>
      </c>
      <c r="CD8">
        <v>4.0246554439200399E-3</v>
      </c>
      <c r="CE8">
        <v>0</v>
      </c>
      <c r="CF8">
        <v>0.53616648596456995</v>
      </c>
      <c r="CG8">
        <v>1.1312666234949701E-6</v>
      </c>
      <c r="CH8">
        <v>0</v>
      </c>
      <c r="CI8">
        <v>0</v>
      </c>
      <c r="CJ8">
        <v>0</v>
      </c>
      <c r="CK8">
        <v>0</v>
      </c>
      <c r="CL8">
        <v>0.165503534509501</v>
      </c>
      <c r="CM8">
        <v>0</v>
      </c>
      <c r="CN8">
        <v>0</v>
      </c>
      <c r="CO8">
        <v>0</v>
      </c>
      <c r="CP8">
        <v>0</v>
      </c>
      <c r="CQ8">
        <v>0</v>
      </c>
    </row>
    <row r="9" spans="1:100" customFormat="1" ht="13" x14ac:dyDescent="0.15">
      <c r="A9" t="s">
        <v>178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1.37658013975784E-2</v>
      </c>
      <c r="L9">
        <v>2.4161752467234201E-2</v>
      </c>
      <c r="M9">
        <v>0</v>
      </c>
      <c r="N9">
        <v>0</v>
      </c>
      <c r="O9">
        <v>0</v>
      </c>
      <c r="P9">
        <v>3.4389559034527603E-2</v>
      </c>
      <c r="Q9">
        <v>0</v>
      </c>
      <c r="R9">
        <v>0</v>
      </c>
      <c r="S9">
        <v>0.189819210566879</v>
      </c>
      <c r="T9">
        <v>0.63737386792735895</v>
      </c>
      <c r="U9">
        <v>2.5097271057180999E-3</v>
      </c>
      <c r="V9">
        <v>8.1102693319764704E-3</v>
      </c>
      <c r="W9">
        <v>7.9162701992496906E-2</v>
      </c>
      <c r="X9">
        <v>2.3741865264451802E-2</v>
      </c>
      <c r="Y9">
        <v>7.9879308037771796E-2</v>
      </c>
      <c r="Z9">
        <v>0.269580193707045</v>
      </c>
      <c r="AA9">
        <v>0.13637053384237099</v>
      </c>
      <c r="AB9">
        <v>0</v>
      </c>
      <c r="AC9">
        <v>7.5194562249373898E-3</v>
      </c>
      <c r="AD9">
        <v>1.28097414257425E-2</v>
      </c>
      <c r="AE9">
        <v>0</v>
      </c>
      <c r="AF9">
        <v>3.3328431487573203E-2</v>
      </c>
      <c r="AG9">
        <v>0.25183400566179998</v>
      </c>
      <c r="AH9">
        <v>3.0884266331098399E-2</v>
      </c>
      <c r="AI9">
        <v>0.12629564485549499</v>
      </c>
      <c r="AJ9">
        <v>9.6893915363438901E-2</v>
      </c>
      <c r="AK9">
        <v>0</v>
      </c>
      <c r="AL9">
        <v>0.35255045541255398</v>
      </c>
      <c r="AM9">
        <v>1.8398861430359299E-2</v>
      </c>
      <c r="AN9">
        <v>5.1828254848440003E-2</v>
      </c>
      <c r="AO9">
        <v>0</v>
      </c>
      <c r="AP9">
        <v>0</v>
      </c>
      <c r="AQ9">
        <v>1.7002441217574299E-2</v>
      </c>
      <c r="AR9">
        <v>8.1278716187342896E-3</v>
      </c>
      <c r="AS9">
        <v>1.69329136114557E-3</v>
      </c>
      <c r="AT9">
        <v>1.32998293604358E-2</v>
      </c>
      <c r="AU9">
        <v>2.4992309054590401E-3</v>
      </c>
      <c r="AV9">
        <v>0.175053650172908</v>
      </c>
      <c r="AW9">
        <v>0</v>
      </c>
      <c r="AX9">
        <v>1.0691695859038401E-2</v>
      </c>
      <c r="AY9">
        <v>8.3679911873664799E-3</v>
      </c>
      <c r="AZ9">
        <v>6.92099383258937E-2</v>
      </c>
      <c r="BA9">
        <v>0.21504292751587301</v>
      </c>
      <c r="BB9">
        <v>0.177224318543585</v>
      </c>
      <c r="BC9">
        <v>6.0375282590824399E-2</v>
      </c>
      <c r="BD9">
        <v>6.6533171765305304E-3</v>
      </c>
      <c r="BE9">
        <v>0</v>
      </c>
      <c r="BF9">
        <v>9.7281685220239604E-4</v>
      </c>
      <c r="BG9">
        <v>7.2575800047707702E-3</v>
      </c>
      <c r="BH9">
        <v>0</v>
      </c>
      <c r="BI9">
        <v>0</v>
      </c>
      <c r="BJ9">
        <v>3.0806859800615902E-3</v>
      </c>
      <c r="BK9">
        <v>0</v>
      </c>
      <c r="BL9">
        <v>0</v>
      </c>
      <c r="BM9">
        <v>0</v>
      </c>
      <c r="BN9">
        <v>0</v>
      </c>
      <c r="BO9">
        <v>0</v>
      </c>
      <c r="BP9">
        <v>3.85984767557859E-3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3.1024461969538799E-3</v>
      </c>
      <c r="BY9">
        <v>1.24060511048532E-2</v>
      </c>
      <c r="BZ9">
        <v>0</v>
      </c>
      <c r="CA9">
        <v>0</v>
      </c>
      <c r="CB9">
        <v>0</v>
      </c>
      <c r="CC9">
        <v>0</v>
      </c>
      <c r="CD9">
        <v>1.1877104501932099E-2</v>
      </c>
      <c r="CE9">
        <v>0</v>
      </c>
      <c r="CF9">
        <v>0</v>
      </c>
      <c r="CG9">
        <v>6.5122936295520101E-3</v>
      </c>
      <c r="CH9">
        <v>2.58504324525708E-2</v>
      </c>
      <c r="CI9">
        <v>0</v>
      </c>
      <c r="CJ9">
        <v>0</v>
      </c>
      <c r="CK9">
        <v>1.0059160304385899E-2</v>
      </c>
      <c r="CL9">
        <v>4.1656105273353498E-2</v>
      </c>
      <c r="CM9">
        <v>0</v>
      </c>
      <c r="CN9">
        <v>0</v>
      </c>
      <c r="CO9">
        <v>0</v>
      </c>
      <c r="CP9">
        <v>0</v>
      </c>
      <c r="CQ9">
        <v>0</v>
      </c>
    </row>
    <row r="10" spans="1:100" customFormat="1" ht="13" x14ac:dyDescent="0.15">
      <c r="A10" t="s">
        <v>179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6.0242744025774703E-2</v>
      </c>
      <c r="J10">
        <v>0</v>
      </c>
      <c r="K10">
        <v>5.1048085767447099E-2</v>
      </c>
      <c r="L10">
        <v>0</v>
      </c>
      <c r="M10">
        <v>0</v>
      </c>
      <c r="N10">
        <v>0</v>
      </c>
      <c r="O10">
        <v>0</v>
      </c>
      <c r="P10">
        <v>5.0001536053339603E-2</v>
      </c>
      <c r="Q10">
        <v>0</v>
      </c>
      <c r="R10">
        <v>0</v>
      </c>
      <c r="S10">
        <v>0.117074358225217</v>
      </c>
      <c r="T10">
        <v>5.4969175050018203E-3</v>
      </c>
      <c r="U10">
        <v>7.6567859828178498E-3</v>
      </c>
      <c r="V10">
        <v>9.5344886484336394E-2</v>
      </c>
      <c r="W10">
        <v>2.5361984314176702E-3</v>
      </c>
      <c r="X10">
        <v>2.0811074340731001E-2</v>
      </c>
      <c r="Y10">
        <v>0</v>
      </c>
      <c r="Z10">
        <v>0</v>
      </c>
      <c r="AA10">
        <v>5.62742037193995E-2</v>
      </c>
      <c r="AB10">
        <v>0</v>
      </c>
      <c r="AC10">
        <v>6.11914514365649E-4</v>
      </c>
      <c r="AD10">
        <v>0</v>
      </c>
      <c r="AE10">
        <v>0</v>
      </c>
      <c r="AF10">
        <v>0</v>
      </c>
      <c r="AG10">
        <v>5.8997037347131402E-2</v>
      </c>
      <c r="AH10">
        <v>5.3231950945363399E-2</v>
      </c>
      <c r="AI10">
        <v>1.84154738582296E-2</v>
      </c>
      <c r="AJ10">
        <v>0.148195728186513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4.47880536901199E-2</v>
      </c>
      <c r="AU10">
        <v>0</v>
      </c>
      <c r="AV10">
        <v>8.6473291732344203E-3</v>
      </c>
      <c r="AW10">
        <v>0</v>
      </c>
      <c r="AX10">
        <v>0</v>
      </c>
      <c r="AY10">
        <v>1.43438771658543E-3</v>
      </c>
      <c r="AZ10">
        <v>0</v>
      </c>
      <c r="BA10">
        <v>0.31363534474920401</v>
      </c>
      <c r="BB10">
        <v>0</v>
      </c>
      <c r="BC10">
        <v>0</v>
      </c>
      <c r="BD10">
        <v>2.3416574056619498E-3</v>
      </c>
      <c r="BE10">
        <v>9.1804607705624E-3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7.2091941408274499E-3</v>
      </c>
      <c r="BY10">
        <v>0</v>
      </c>
      <c r="BZ10">
        <v>0</v>
      </c>
      <c r="CA10">
        <v>0</v>
      </c>
      <c r="CB10">
        <v>0</v>
      </c>
      <c r="CC10">
        <v>2.1188576689598702E-2</v>
      </c>
      <c r="CD10">
        <v>8.2292971982998106E-3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</row>
    <row r="11" spans="1:100" customFormat="1" ht="13" x14ac:dyDescent="0.15">
      <c r="A11" t="s">
        <v>180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1.89106560528478E-2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2.2156852233295499E-2</v>
      </c>
      <c r="Q11">
        <v>0</v>
      </c>
      <c r="R11">
        <v>0</v>
      </c>
      <c r="S11">
        <v>0</v>
      </c>
      <c r="T11">
        <v>7.2501955245703201E-2</v>
      </c>
      <c r="U11">
        <v>0</v>
      </c>
      <c r="V11">
        <v>0</v>
      </c>
      <c r="W11">
        <v>0</v>
      </c>
      <c r="X11">
        <v>1.2585862062587201E-2</v>
      </c>
      <c r="Y11">
        <v>0</v>
      </c>
      <c r="Z11">
        <v>0</v>
      </c>
      <c r="AA11">
        <v>4.3252862881669497E-2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9.85208203973169E-3</v>
      </c>
      <c r="AI11">
        <v>3.8082679054889997E-2</v>
      </c>
      <c r="AJ11">
        <v>9.8785306323585897E-2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3.1278294700102703E-2</v>
      </c>
      <c r="AU11">
        <v>0</v>
      </c>
      <c r="AV11">
        <v>2.6273229692441598E-3</v>
      </c>
      <c r="AW11">
        <v>0</v>
      </c>
      <c r="AX11">
        <v>3.6200493109605797E-2</v>
      </c>
      <c r="AY11">
        <v>0</v>
      </c>
      <c r="AZ11">
        <v>0</v>
      </c>
      <c r="BA11">
        <v>4.2028685811517502E-2</v>
      </c>
      <c r="BB11">
        <v>0</v>
      </c>
      <c r="BC11">
        <v>4.2976505788709903E-3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2.2610683216757301E-3</v>
      </c>
      <c r="BS11">
        <v>0.22444995216896299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</row>
    <row r="12" spans="1:100" customFormat="1" ht="13" x14ac:dyDescent="0.15">
      <c r="A12" t="s">
        <v>181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1.1586055786788301E-2</v>
      </c>
      <c r="R12">
        <v>7.6657817988432598E-3</v>
      </c>
      <c r="S12">
        <v>3.00423538129499E-3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2.3941201525464698E-2</v>
      </c>
      <c r="AD12">
        <v>0</v>
      </c>
      <c r="AE12">
        <v>0</v>
      </c>
      <c r="AF12">
        <v>0</v>
      </c>
      <c r="AG12">
        <v>0</v>
      </c>
      <c r="AH12">
        <v>1.6604264364680502E-2</v>
      </c>
      <c r="AI12">
        <v>0</v>
      </c>
      <c r="AJ12">
        <v>1.3294851456086901E-3</v>
      </c>
      <c r="AK12">
        <v>0.115961686628736</v>
      </c>
      <c r="AL12">
        <v>0.35704919022985399</v>
      </c>
      <c r="AM12">
        <v>5.3477170687388699E-2</v>
      </c>
      <c r="AN12">
        <v>0</v>
      </c>
      <c r="AO12">
        <v>9.9401519843970703E-3</v>
      </c>
      <c r="AP12">
        <v>1.9024770772375899E-2</v>
      </c>
      <c r="AQ12">
        <v>8.8979034434779492E-3</v>
      </c>
      <c r="AR12">
        <v>7.4938373048037896E-3</v>
      </c>
      <c r="AS12">
        <v>3.8417934265193202E-2</v>
      </c>
      <c r="AT12">
        <v>1.8828603738664899E-2</v>
      </c>
      <c r="AU12">
        <v>0</v>
      </c>
      <c r="AV12">
        <v>0</v>
      </c>
      <c r="AW12">
        <v>8.0061687349900108E-3</v>
      </c>
      <c r="AX12">
        <v>1.4968151419881E-2</v>
      </c>
      <c r="AY12">
        <v>3.3060878766947403E-2</v>
      </c>
      <c r="AZ12">
        <v>1.2173763650206001E-2</v>
      </c>
      <c r="BA12">
        <v>6.1949754462782601E-4</v>
      </c>
      <c r="BB12">
        <v>0</v>
      </c>
      <c r="BC12">
        <v>7.4206136975451906E-2</v>
      </c>
      <c r="BD12">
        <v>6.3935989192726195E-2</v>
      </c>
      <c r="BE12">
        <v>7.0973561434089097E-3</v>
      </c>
      <c r="BF12">
        <v>8.0940755935163203E-3</v>
      </c>
      <c r="BG12">
        <v>1.13591822921264E-2</v>
      </c>
      <c r="BH12">
        <v>0</v>
      </c>
      <c r="BI12">
        <v>0</v>
      </c>
      <c r="BJ12">
        <v>7.0893425158478698E-3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1.05951889200928E-3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</row>
    <row r="13" spans="1:100" customFormat="1" ht="13" x14ac:dyDescent="0.15">
      <c r="A13" t="s">
        <v>182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0.186796908019145</v>
      </c>
      <c r="O13">
        <v>0</v>
      </c>
      <c r="P13">
        <v>0</v>
      </c>
      <c r="Q13">
        <v>4.3734452675639399E-2</v>
      </c>
      <c r="R13">
        <v>5.6901767673322697E-3</v>
      </c>
      <c r="S13">
        <v>7.59866382863565E-3</v>
      </c>
      <c r="T13">
        <v>0</v>
      </c>
      <c r="U13">
        <v>0</v>
      </c>
      <c r="V13">
        <v>0</v>
      </c>
      <c r="W13">
        <v>0</v>
      </c>
      <c r="X13">
        <v>2.7033647924841501E-3</v>
      </c>
      <c r="Y13">
        <v>0</v>
      </c>
      <c r="Z13">
        <v>0</v>
      </c>
      <c r="AA13">
        <v>0</v>
      </c>
      <c r="AB13">
        <v>0</v>
      </c>
      <c r="AC13">
        <v>7.2280112435633301E-2</v>
      </c>
      <c r="AD13">
        <v>1.72296972898612E-2</v>
      </c>
      <c r="AE13">
        <v>2.91040705108363E-2</v>
      </c>
      <c r="AF13">
        <v>0</v>
      </c>
      <c r="AG13">
        <v>0</v>
      </c>
      <c r="AH13">
        <v>0</v>
      </c>
      <c r="AI13">
        <v>3.8318190737842102E-2</v>
      </c>
      <c r="AJ13">
        <v>0.21563703581316401</v>
      </c>
      <c r="AK13">
        <v>1.07858012550168E-2</v>
      </c>
      <c r="AL13">
        <v>6.9288667268442902E-3</v>
      </c>
      <c r="AM13">
        <v>9.6870892448394901E-3</v>
      </c>
      <c r="AN13">
        <v>0</v>
      </c>
      <c r="AO13">
        <v>0.21045661576321201</v>
      </c>
      <c r="AP13">
        <v>2.1882608742399098E-2</v>
      </c>
      <c r="AQ13">
        <v>2.2482697352200601E-2</v>
      </c>
      <c r="AR13">
        <v>9.6782618061427607E-3</v>
      </c>
      <c r="AS13">
        <v>8.7905122637431604E-4</v>
      </c>
      <c r="AT13">
        <v>2.5804976080897098E-3</v>
      </c>
      <c r="AU13">
        <v>0</v>
      </c>
      <c r="AV13">
        <v>0</v>
      </c>
      <c r="AW13">
        <v>3.4049937183195801E-2</v>
      </c>
      <c r="AX13">
        <v>1.3730316515658E-2</v>
      </c>
      <c r="AY13">
        <v>0</v>
      </c>
      <c r="AZ13">
        <v>0</v>
      </c>
      <c r="BA13">
        <v>0</v>
      </c>
      <c r="BB13">
        <v>1.13505238939376E-3</v>
      </c>
      <c r="BC13">
        <v>7.7465649157118397E-3</v>
      </c>
      <c r="BD13">
        <v>0.13679005366446301</v>
      </c>
      <c r="BE13">
        <v>0.27095554788585602</v>
      </c>
      <c r="BF13">
        <v>1.03244066371801E-2</v>
      </c>
      <c r="BG13">
        <v>0.26854452568813098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2.5782482388372698E-3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</row>
    <row r="14" spans="1:100" customFormat="1" ht="13" x14ac:dyDescent="0.15">
      <c r="A14" t="s">
        <v>245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9.2223494974166507E-3</v>
      </c>
      <c r="O14">
        <v>0</v>
      </c>
      <c r="P14">
        <v>0</v>
      </c>
      <c r="Q14">
        <v>1.24497617065592E-2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2.8493211055923798E-4</v>
      </c>
      <c r="AK14">
        <v>0</v>
      </c>
      <c r="AL14">
        <v>0</v>
      </c>
      <c r="AM14">
        <v>0</v>
      </c>
      <c r="AN14">
        <v>0</v>
      </c>
      <c r="AO14">
        <v>2.4201989010214902E-3</v>
      </c>
      <c r="AP14">
        <v>1.65708843976549E-2</v>
      </c>
      <c r="AQ14">
        <v>0</v>
      </c>
      <c r="AR14">
        <v>4.65898662052351E-2</v>
      </c>
      <c r="AS14">
        <v>2.0307973749055198E-3</v>
      </c>
      <c r="AT14">
        <v>1.51300462749235E-4</v>
      </c>
      <c r="AU14">
        <v>0</v>
      </c>
      <c r="AV14">
        <v>0</v>
      </c>
      <c r="AW14">
        <v>0</v>
      </c>
      <c r="AX14">
        <v>2.7411865595126299E-2</v>
      </c>
      <c r="AY14">
        <v>0</v>
      </c>
      <c r="AZ14">
        <v>0</v>
      </c>
      <c r="BA14">
        <v>0</v>
      </c>
      <c r="BB14">
        <v>1.6977427500153501E-3</v>
      </c>
      <c r="BC14">
        <v>0</v>
      </c>
      <c r="BD14">
        <v>0</v>
      </c>
      <c r="BE14">
        <v>0</v>
      </c>
      <c r="BF14">
        <v>0</v>
      </c>
      <c r="BG14">
        <v>5.6430548674888399E-2</v>
      </c>
      <c r="BH14">
        <v>3.3786031990249601E-3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1.37580899217003E-3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1.8320758351945601E-2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</row>
    <row r="15" spans="1:100" customFormat="1" ht="13" x14ac:dyDescent="0.15">
      <c r="A15" t="s">
        <v>183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1.8074198750724401E-3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1.1774480021140499E-2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1.3002567849050101E-4</v>
      </c>
      <c r="AQ15">
        <v>0</v>
      </c>
      <c r="AR15">
        <v>0</v>
      </c>
      <c r="AS15">
        <v>7.0907350128032501E-5</v>
      </c>
      <c r="AT15">
        <v>1.5203094464078699E-3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0.173674950689892</v>
      </c>
      <c r="BE15">
        <v>0.103069117491928</v>
      </c>
      <c r="BF15">
        <v>0</v>
      </c>
      <c r="BG15">
        <v>5.6217305492800599E-3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</row>
    <row r="16" spans="1:100" customFormat="1" ht="13" x14ac:dyDescent="0.15">
      <c r="A16" t="s">
        <v>184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4.9317980349856102E-3</v>
      </c>
      <c r="Q16">
        <v>0</v>
      </c>
      <c r="R16">
        <v>0</v>
      </c>
      <c r="S16">
        <v>1.38205402142261E-2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2.5113601362610699E-3</v>
      </c>
      <c r="AD16">
        <v>5.36562202207009E-2</v>
      </c>
      <c r="AE16">
        <v>0</v>
      </c>
      <c r="AF16">
        <v>0</v>
      </c>
      <c r="AG16">
        <v>0</v>
      </c>
      <c r="AH16">
        <v>4.8506978061150598E-2</v>
      </c>
      <c r="AI16">
        <v>0</v>
      </c>
      <c r="AJ16">
        <v>0</v>
      </c>
      <c r="AK16">
        <v>0</v>
      </c>
      <c r="AL16">
        <v>1.35299443026211E-2</v>
      </c>
      <c r="AM16">
        <v>8.3659465458886806E-2</v>
      </c>
      <c r="AN16">
        <v>0</v>
      </c>
      <c r="AO16">
        <v>0</v>
      </c>
      <c r="AP16">
        <v>0</v>
      </c>
      <c r="AQ16">
        <v>9.2356524183288602E-2</v>
      </c>
      <c r="AR16">
        <v>1.28219138879504E-3</v>
      </c>
      <c r="AS16">
        <v>4.2551514900667498E-3</v>
      </c>
      <c r="AT16">
        <v>1.59042259668008E-2</v>
      </c>
      <c r="AU16">
        <v>2.24619815572183E-3</v>
      </c>
      <c r="AV16">
        <v>8.5921939070156307E-3</v>
      </c>
      <c r="AW16">
        <v>4.8310189245503898E-2</v>
      </c>
      <c r="AX16">
        <v>0</v>
      </c>
      <c r="AY16">
        <v>1.6553439593116E-2</v>
      </c>
      <c r="AZ16">
        <v>5.7302405487981802E-2</v>
      </c>
      <c r="BA16">
        <v>3.2770289847624499E-2</v>
      </c>
      <c r="BB16">
        <v>1.2005082263397301E-2</v>
      </c>
      <c r="BC16">
        <v>4.8763270257379303E-2</v>
      </c>
      <c r="BD16">
        <v>3.9061243332524802E-2</v>
      </c>
      <c r="BE16">
        <v>9.3268595953265795E-2</v>
      </c>
      <c r="BF16">
        <v>0</v>
      </c>
      <c r="BG16">
        <v>3.2485186290630498E-2</v>
      </c>
      <c r="BH16">
        <v>1.1723133286909101E-2</v>
      </c>
      <c r="BI16">
        <v>7.3204044140994197E-3</v>
      </c>
      <c r="BJ16">
        <v>0</v>
      </c>
      <c r="BK16">
        <v>0</v>
      </c>
      <c r="BL16">
        <v>7.4124687610171505E-2</v>
      </c>
      <c r="BM16">
        <v>0</v>
      </c>
      <c r="BN16">
        <v>3.3793886755467101E-2</v>
      </c>
      <c r="BO16">
        <v>1.7976223450321099E-2</v>
      </c>
      <c r="BP16">
        <v>3.4696050807184299E-3</v>
      </c>
      <c r="BQ16">
        <v>0</v>
      </c>
      <c r="BR16">
        <v>3.65247238732793E-4</v>
      </c>
      <c r="BS16">
        <v>0.303279908427111</v>
      </c>
      <c r="BT16">
        <v>0</v>
      </c>
      <c r="BU16">
        <v>1.35255818574718E-2</v>
      </c>
      <c r="BV16">
        <v>4.47999562280081E-2</v>
      </c>
      <c r="BW16">
        <v>0</v>
      </c>
      <c r="BX16">
        <v>0</v>
      </c>
      <c r="BY16">
        <v>5.5733808266999099E-2</v>
      </c>
      <c r="BZ16">
        <v>4.9729655033709401E-2</v>
      </c>
      <c r="CA16">
        <v>2.5473048357392499E-2</v>
      </c>
      <c r="CB16">
        <v>1.90526012256917E-2</v>
      </c>
      <c r="CC16">
        <v>2.6542016936063201E-2</v>
      </c>
      <c r="CD16">
        <v>0</v>
      </c>
      <c r="CE16">
        <v>8.9055009750155806E-3</v>
      </c>
      <c r="CF16">
        <v>0</v>
      </c>
      <c r="CG16">
        <v>0</v>
      </c>
      <c r="CH16">
        <v>0.179353592626182</v>
      </c>
      <c r="CI16">
        <v>3.59754583284118E-2</v>
      </c>
      <c r="CJ16">
        <v>1.6538135574573499E-2</v>
      </c>
      <c r="CK16">
        <v>4.9708077277387604E-4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</row>
    <row r="17" spans="1:95" customFormat="1" ht="13" x14ac:dyDescent="0.15">
      <c r="A17" t="s">
        <v>228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7.5695150627454397E-3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1.7598105432436999E-2</v>
      </c>
      <c r="Y17">
        <v>0</v>
      </c>
      <c r="Z17">
        <v>0</v>
      </c>
      <c r="AA17">
        <v>0</v>
      </c>
      <c r="AB17">
        <v>4.8991113061885902E-2</v>
      </c>
      <c r="AC17">
        <v>2.36772596450497E-3</v>
      </c>
      <c r="AD17">
        <v>0</v>
      </c>
      <c r="AE17">
        <v>0</v>
      </c>
      <c r="AF17">
        <v>0</v>
      </c>
      <c r="AG17">
        <v>0</v>
      </c>
      <c r="AH17">
        <v>8.1791172093201997E-3</v>
      </c>
      <c r="AI17">
        <v>2.9270930759450201E-2</v>
      </c>
      <c r="AJ17">
        <v>3.07095519920427E-2</v>
      </c>
      <c r="AK17">
        <v>0.14599333712545201</v>
      </c>
      <c r="AL17">
        <v>0</v>
      </c>
      <c r="AM17">
        <v>2.0888365893029798E-2</v>
      </c>
      <c r="AN17">
        <v>0</v>
      </c>
      <c r="AO17">
        <v>0.119809363609649</v>
      </c>
      <c r="AP17">
        <v>2.1320875018100101E-2</v>
      </c>
      <c r="AQ17">
        <v>5.0400652062602197E-3</v>
      </c>
      <c r="AR17">
        <v>0.27702574715785799</v>
      </c>
      <c r="AS17">
        <v>1.6203896963060099E-2</v>
      </c>
      <c r="AT17">
        <v>4.3632460392303597E-2</v>
      </c>
      <c r="AU17">
        <v>0</v>
      </c>
      <c r="AV17">
        <v>5.0196970242084296E-3</v>
      </c>
      <c r="AW17">
        <v>4.6350756710337102E-2</v>
      </c>
      <c r="AX17">
        <v>8.2489841512709106E-2</v>
      </c>
      <c r="AY17">
        <v>0</v>
      </c>
      <c r="AZ17">
        <v>8.5138074882293094E-3</v>
      </c>
      <c r="BA17">
        <v>0</v>
      </c>
      <c r="BB17">
        <v>1.62131054469935E-4</v>
      </c>
      <c r="BC17">
        <v>0</v>
      </c>
      <c r="BD17">
        <v>5.5955057316330499E-2</v>
      </c>
      <c r="BE17">
        <v>5.1521135307016998E-2</v>
      </c>
      <c r="BF17">
        <v>0</v>
      </c>
      <c r="BG17">
        <v>1.6367873083266999E-2</v>
      </c>
      <c r="BH17">
        <v>1.41977302642799E-2</v>
      </c>
      <c r="BI17">
        <v>9.4398032217441696E-2</v>
      </c>
      <c r="BJ17">
        <v>0</v>
      </c>
      <c r="BK17">
        <v>0</v>
      </c>
      <c r="BL17">
        <v>0</v>
      </c>
      <c r="BM17">
        <v>0</v>
      </c>
      <c r="BN17">
        <v>3.0034013603524299E-3</v>
      </c>
      <c r="BO17">
        <v>0</v>
      </c>
      <c r="BP17">
        <v>0</v>
      </c>
      <c r="BQ17">
        <v>0</v>
      </c>
      <c r="BR17">
        <v>0</v>
      </c>
      <c r="BS17">
        <v>6.6555422142740598E-4</v>
      </c>
      <c r="BT17">
        <v>0</v>
      </c>
      <c r="BU17">
        <v>3.0504457533056899E-2</v>
      </c>
      <c r="BV17">
        <v>2.1850671964854899E-2</v>
      </c>
      <c r="BW17">
        <v>0</v>
      </c>
      <c r="BX17">
        <v>0</v>
      </c>
      <c r="BY17">
        <v>0</v>
      </c>
      <c r="BZ17">
        <v>0</v>
      </c>
      <c r="CA17">
        <v>6.2907814716435306E-2</v>
      </c>
      <c r="CB17">
        <v>1.6181644608189501E-2</v>
      </c>
      <c r="CC17">
        <v>5.0601187961211699E-2</v>
      </c>
      <c r="CD17">
        <v>0</v>
      </c>
      <c r="CE17">
        <v>2.1487341844080199E-3</v>
      </c>
      <c r="CF17">
        <v>0</v>
      </c>
      <c r="CG17">
        <v>0</v>
      </c>
      <c r="CH17">
        <v>6.1353069043067103E-3</v>
      </c>
      <c r="CI17">
        <v>3.6965459779824697E-2</v>
      </c>
      <c r="CJ17">
        <v>3.2648713073964997E-2</v>
      </c>
      <c r="CK17">
        <v>0.406502694687154</v>
      </c>
      <c r="CL17">
        <v>0</v>
      </c>
      <c r="CM17">
        <v>0.39152179014045102</v>
      </c>
      <c r="CN17">
        <v>6.2154159801454202E-2</v>
      </c>
      <c r="CO17">
        <v>0</v>
      </c>
      <c r="CP17">
        <v>0</v>
      </c>
      <c r="CQ17">
        <v>0</v>
      </c>
    </row>
    <row r="18" spans="1:95" customFormat="1" ht="13" x14ac:dyDescent="0.15">
      <c r="A18" t="s">
        <v>185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2.37818386924574E-2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4.6590351966149203E-3</v>
      </c>
      <c r="AQ18">
        <v>0</v>
      </c>
      <c r="AR18">
        <v>4.18243231114146E-4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9.4576744714130204E-5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4.9364828585402205E-4</v>
      </c>
      <c r="BH18">
        <v>0</v>
      </c>
      <c r="BI18">
        <v>3.6615405929044102E-2</v>
      </c>
      <c r="BJ18">
        <v>0</v>
      </c>
      <c r="BK18">
        <v>0</v>
      </c>
      <c r="BL18">
        <v>0</v>
      </c>
      <c r="BM18">
        <v>0</v>
      </c>
      <c r="BN18">
        <v>3.6012626077997099E-3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2.6694966588803801E-2</v>
      </c>
      <c r="CB18">
        <v>1.00805161202906E-2</v>
      </c>
      <c r="CC18">
        <v>1.19567147239116E-3</v>
      </c>
      <c r="CD18">
        <v>0</v>
      </c>
      <c r="CE18">
        <v>0</v>
      </c>
      <c r="CF18">
        <v>0</v>
      </c>
      <c r="CG18">
        <v>0</v>
      </c>
      <c r="CH18">
        <v>2.5281179209396798E-3</v>
      </c>
      <c r="CI18">
        <v>5.4962991622586901E-2</v>
      </c>
      <c r="CJ18">
        <v>0.38856595550121797</v>
      </c>
      <c r="CK18">
        <v>0</v>
      </c>
      <c r="CL18">
        <v>6.5002327442112698E-3</v>
      </c>
      <c r="CM18">
        <v>4.4260642151186498E-3</v>
      </c>
      <c r="CN18">
        <v>0.198398531354775</v>
      </c>
      <c r="CO18">
        <v>0</v>
      </c>
      <c r="CP18">
        <v>0</v>
      </c>
      <c r="CQ18">
        <v>0</v>
      </c>
    </row>
    <row r="19" spans="1:95" customFormat="1" ht="13" x14ac:dyDescent="0.15">
      <c r="A19" t="s">
        <v>246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2.1659903410319899E-4</v>
      </c>
      <c r="O19">
        <v>0</v>
      </c>
      <c r="P19">
        <v>2.3031589286125E-2</v>
      </c>
      <c r="Q19">
        <v>8.1546146419631503E-4</v>
      </c>
      <c r="R19">
        <v>0</v>
      </c>
      <c r="S19">
        <v>3.3684225549351302E-4</v>
      </c>
      <c r="T19">
        <v>6.8360745578472798E-3</v>
      </c>
      <c r="U19">
        <v>0</v>
      </c>
      <c r="V19">
        <v>1.67437055745185E-3</v>
      </c>
      <c r="W19">
        <v>0</v>
      </c>
      <c r="X19">
        <v>3.0505435946438097E-4</v>
      </c>
      <c r="Y19">
        <v>0</v>
      </c>
      <c r="Z19">
        <v>0</v>
      </c>
      <c r="AA19">
        <v>0</v>
      </c>
      <c r="AB19">
        <v>0</v>
      </c>
      <c r="AC19">
        <v>0</v>
      </c>
      <c r="AD19">
        <v>4.7783297695802303E-4</v>
      </c>
      <c r="AE19">
        <v>0</v>
      </c>
      <c r="AF19">
        <v>0</v>
      </c>
      <c r="AG19">
        <v>0</v>
      </c>
      <c r="AH19">
        <v>2.7757455093216098E-2</v>
      </c>
      <c r="AI19">
        <v>0</v>
      </c>
      <c r="AJ19">
        <v>8.5638715641852391E-3</v>
      </c>
      <c r="AK19">
        <v>1.5462965915333199E-3</v>
      </c>
      <c r="AL19">
        <v>1.2245238109895799E-2</v>
      </c>
      <c r="AM19">
        <v>4.4155573880355001E-3</v>
      </c>
      <c r="AN19">
        <v>0</v>
      </c>
      <c r="AO19">
        <v>3.1353699215364698E-3</v>
      </c>
      <c r="AP19">
        <v>0</v>
      </c>
      <c r="AQ19">
        <v>3.7024231012116299E-2</v>
      </c>
      <c r="AR19">
        <v>0.138363076862</v>
      </c>
      <c r="AS19">
        <v>3.2742291907298998E-3</v>
      </c>
      <c r="AT19">
        <v>8.1714338299325603E-2</v>
      </c>
      <c r="AU19">
        <v>2.94950262203399E-2</v>
      </c>
      <c r="AV19">
        <v>7.3815743391029401E-4</v>
      </c>
      <c r="AW19">
        <v>0.31190646181679998</v>
      </c>
      <c r="AX19">
        <v>3.4929354998260602E-2</v>
      </c>
      <c r="AY19">
        <v>0</v>
      </c>
      <c r="AZ19">
        <v>1.78040510510739E-2</v>
      </c>
      <c r="BA19">
        <v>4.3626986127424496E-3</v>
      </c>
      <c r="BB19">
        <v>4.7856734788354E-3</v>
      </c>
      <c r="BC19">
        <v>1.4278395344874E-2</v>
      </c>
      <c r="BD19">
        <v>2.72907717867793E-2</v>
      </c>
      <c r="BE19">
        <v>4.5748810371152401E-2</v>
      </c>
      <c r="BF19">
        <v>0</v>
      </c>
      <c r="BG19">
        <v>5.7262032554377298E-2</v>
      </c>
      <c r="BH19">
        <v>0.16274476475266</v>
      </c>
      <c r="BI19">
        <v>1.8645228366401902E-2</v>
      </c>
      <c r="BJ19">
        <v>1.89858125567872E-3</v>
      </c>
      <c r="BK19">
        <v>9.8325055545809698E-3</v>
      </c>
      <c r="BL19">
        <v>1.6319960501679599E-2</v>
      </c>
      <c r="BM19">
        <v>0.13292424925701701</v>
      </c>
      <c r="BN19">
        <v>1.0284754339143901E-2</v>
      </c>
      <c r="BO19">
        <v>0</v>
      </c>
      <c r="BP19">
        <v>0.16241876814443301</v>
      </c>
      <c r="BQ19">
        <v>0.36944387035526699</v>
      </c>
      <c r="BR19">
        <v>8.4673910304951999E-2</v>
      </c>
      <c r="BS19">
        <v>4.2809096933530001E-2</v>
      </c>
      <c r="BT19">
        <v>0</v>
      </c>
      <c r="BU19">
        <v>5.5161996007719698E-2</v>
      </c>
      <c r="BV19">
        <v>0.33067772379537003</v>
      </c>
      <c r="BW19">
        <v>2.6336281421720201E-3</v>
      </c>
      <c r="BX19">
        <v>2.9417466683121399E-2</v>
      </c>
      <c r="BY19">
        <v>3.9137537361060099E-2</v>
      </c>
      <c r="BZ19">
        <v>0.59954973434619097</v>
      </c>
      <c r="CA19">
        <v>1.6532832316491601E-2</v>
      </c>
      <c r="CB19">
        <v>0.11175994610125101</v>
      </c>
      <c r="CC19">
        <v>0.166832039070024</v>
      </c>
      <c r="CD19">
        <v>0.201370310703336</v>
      </c>
      <c r="CE19">
        <v>9.4726452401549505E-2</v>
      </c>
      <c r="CF19">
        <v>0</v>
      </c>
      <c r="CG19">
        <v>0</v>
      </c>
      <c r="CH19">
        <v>0.24836470765043001</v>
      </c>
      <c r="CI19">
        <v>1.6935114887770199E-2</v>
      </c>
      <c r="CJ19">
        <v>0</v>
      </c>
      <c r="CK19">
        <v>8.9931008526063303E-4</v>
      </c>
      <c r="CL19">
        <v>0</v>
      </c>
      <c r="CM19">
        <v>3.3344725301406301E-2</v>
      </c>
      <c r="CN19">
        <v>0</v>
      </c>
      <c r="CO19">
        <v>0</v>
      </c>
      <c r="CP19">
        <v>0</v>
      </c>
      <c r="CQ19">
        <v>0</v>
      </c>
    </row>
    <row r="20" spans="1:95" customFormat="1" ht="13" x14ac:dyDescent="0.15">
      <c r="A20" t="s">
        <v>229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8.0678701672578901E-2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3.5879534622516397E-2</v>
      </c>
      <c r="AI20">
        <v>0</v>
      </c>
      <c r="AJ20">
        <v>0</v>
      </c>
      <c r="AK20">
        <v>0</v>
      </c>
      <c r="AL20">
        <v>0</v>
      </c>
      <c r="AM20">
        <v>4.6750004251206803E-3</v>
      </c>
      <c r="AN20">
        <v>0</v>
      </c>
      <c r="AO20">
        <v>0</v>
      </c>
      <c r="AP20">
        <v>6.6452269402813999E-2</v>
      </c>
      <c r="AQ20">
        <v>1.1879745308943301E-3</v>
      </c>
      <c r="AR20">
        <v>2.3316339135323202E-3</v>
      </c>
      <c r="AS20">
        <v>0</v>
      </c>
      <c r="AT20">
        <v>7.79395586808316E-3</v>
      </c>
      <c r="AU20">
        <v>9.0446869569267997E-3</v>
      </c>
      <c r="AV20">
        <v>2.8805560888684099E-2</v>
      </c>
      <c r="AW20">
        <v>0</v>
      </c>
      <c r="AX20">
        <v>1.89178156125724E-2</v>
      </c>
      <c r="AY20">
        <v>0</v>
      </c>
      <c r="AZ20">
        <v>7.8382747579085893E-3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2.6061196192262499E-2</v>
      </c>
      <c r="BH20">
        <v>9.0606977743153492E-3</v>
      </c>
      <c r="BI20">
        <v>0.13155446726650499</v>
      </c>
      <c r="BJ20">
        <v>0</v>
      </c>
      <c r="BK20">
        <v>5.6739096047568702E-2</v>
      </c>
      <c r="BL20">
        <v>1.8656568215669401E-2</v>
      </c>
      <c r="BM20">
        <v>0.21858610370204701</v>
      </c>
      <c r="BN20">
        <v>0.12576804772869599</v>
      </c>
      <c r="BO20">
        <v>0.39482890122816999</v>
      </c>
      <c r="BP20">
        <v>0</v>
      </c>
      <c r="BQ20">
        <v>5.5626203974508202E-2</v>
      </c>
      <c r="BR20">
        <v>0.19267256665948401</v>
      </c>
      <c r="BS20">
        <v>0</v>
      </c>
      <c r="BT20">
        <v>0</v>
      </c>
      <c r="BU20">
        <v>0</v>
      </c>
      <c r="BV20">
        <v>0.124510486087685</v>
      </c>
      <c r="BW20">
        <v>0</v>
      </c>
      <c r="BX20">
        <v>0</v>
      </c>
      <c r="BY20">
        <v>0</v>
      </c>
      <c r="BZ20">
        <v>0</v>
      </c>
      <c r="CA20">
        <v>2.40400146982142E-2</v>
      </c>
      <c r="CB20">
        <v>9.9333900896629898E-2</v>
      </c>
      <c r="CC20">
        <v>0.25452388334743098</v>
      </c>
      <c r="CD20">
        <v>1.9393940244545099E-3</v>
      </c>
      <c r="CE20">
        <v>4.4495648532483001E-2</v>
      </c>
      <c r="CF20">
        <v>0</v>
      </c>
      <c r="CG20">
        <v>0</v>
      </c>
      <c r="CH20">
        <v>6.3452759030413905E-2</v>
      </c>
      <c r="CI20">
        <v>9.6659860451361393E-3</v>
      </c>
      <c r="CJ20">
        <v>0</v>
      </c>
      <c r="CK20">
        <v>0</v>
      </c>
      <c r="CL20">
        <v>0.113291772705608</v>
      </c>
      <c r="CM20">
        <v>0</v>
      </c>
      <c r="CN20">
        <v>0</v>
      </c>
      <c r="CO20">
        <v>0</v>
      </c>
      <c r="CP20">
        <v>0</v>
      </c>
      <c r="CQ20">
        <v>0</v>
      </c>
    </row>
    <row r="21" spans="1:95" customFormat="1" ht="13" x14ac:dyDescent="0.15">
      <c r="A21" t="s">
        <v>186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3.14065414887848E-3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5.60982132096495E-2</v>
      </c>
      <c r="AL21">
        <v>0</v>
      </c>
      <c r="AM21">
        <v>0</v>
      </c>
      <c r="AN21">
        <v>0</v>
      </c>
      <c r="AO21">
        <v>0</v>
      </c>
      <c r="AP21">
        <v>0.145021163296363</v>
      </c>
      <c r="AQ21">
        <v>7.1781747815430202E-3</v>
      </c>
      <c r="AR21">
        <v>0</v>
      </c>
      <c r="AS21">
        <v>0</v>
      </c>
      <c r="AT21">
        <v>1.53273551315298E-2</v>
      </c>
      <c r="AU21">
        <v>7.9042832483578896E-3</v>
      </c>
      <c r="AV21">
        <v>4.9929486566042403E-2</v>
      </c>
      <c r="AW21">
        <v>0</v>
      </c>
      <c r="AX21">
        <v>4.8778557975449999E-2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5.1262157650712799E-2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3.1787719860887601E-3</v>
      </c>
      <c r="BV21">
        <v>3.1763834955126399E-2</v>
      </c>
      <c r="BW21">
        <v>9.3730618180004305E-2</v>
      </c>
      <c r="BX21">
        <v>7.8699271427262102E-2</v>
      </c>
      <c r="BY21">
        <v>2.25783196949263E-2</v>
      </c>
      <c r="BZ21">
        <v>7.6470642747931805E-2</v>
      </c>
      <c r="CA21">
        <v>0</v>
      </c>
      <c r="CB21">
        <v>0.117245371363384</v>
      </c>
      <c r="CC21">
        <v>0</v>
      </c>
      <c r="CD21">
        <v>0</v>
      </c>
      <c r="CE21">
        <v>1.36044636832801E-2</v>
      </c>
      <c r="CF21">
        <v>0</v>
      </c>
      <c r="CG21">
        <v>0</v>
      </c>
      <c r="CH21">
        <v>4.23398078748361E-2</v>
      </c>
      <c r="CI21">
        <v>0</v>
      </c>
      <c r="CJ21">
        <v>0</v>
      </c>
      <c r="CK21">
        <v>0</v>
      </c>
      <c r="CL21">
        <v>1.65491946473602E-2</v>
      </c>
      <c r="CM21">
        <v>0</v>
      </c>
      <c r="CN21">
        <v>3.1799222903981503E-2</v>
      </c>
      <c r="CO21">
        <v>0.25595746724057999</v>
      </c>
      <c r="CP21">
        <v>0</v>
      </c>
      <c r="CQ21">
        <v>0</v>
      </c>
    </row>
    <row r="22" spans="1:95" customFormat="1" ht="13" x14ac:dyDescent="0.15">
      <c r="A22" t="s">
        <v>187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4.9335842588629005E-4</v>
      </c>
      <c r="O22">
        <v>0</v>
      </c>
      <c r="P22">
        <v>0</v>
      </c>
      <c r="Q22">
        <v>0</v>
      </c>
      <c r="R22">
        <v>0</v>
      </c>
      <c r="S22">
        <v>3.32064951833606E-3</v>
      </c>
      <c r="T22">
        <v>1.18386255687994E-2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1.47297672815775E-2</v>
      </c>
      <c r="AC22">
        <v>0</v>
      </c>
      <c r="AD22">
        <v>0</v>
      </c>
      <c r="AE22">
        <v>0</v>
      </c>
      <c r="AF22">
        <v>7.0516348786960005E-4</v>
      </c>
      <c r="AG22">
        <v>0</v>
      </c>
      <c r="AH22">
        <v>0</v>
      </c>
      <c r="AI22">
        <v>0.129832958910688</v>
      </c>
      <c r="AJ22">
        <v>6.3610890536394099E-2</v>
      </c>
      <c r="AK22">
        <v>3.75150520316193E-3</v>
      </c>
      <c r="AL22">
        <v>0</v>
      </c>
      <c r="AM22">
        <v>9.0205822260612106E-2</v>
      </c>
      <c r="AN22">
        <v>0</v>
      </c>
      <c r="AO22">
        <v>4.1445908439135398E-2</v>
      </c>
      <c r="AP22">
        <v>7.7895795076599106E-2</v>
      </c>
      <c r="AQ22">
        <v>4.3405446935582404E-3</v>
      </c>
      <c r="AR22">
        <v>1.27060937846272E-2</v>
      </c>
      <c r="AS22">
        <v>0</v>
      </c>
      <c r="AT22">
        <v>1.17868714328936E-2</v>
      </c>
      <c r="AU22">
        <v>5.7602812568924397E-2</v>
      </c>
      <c r="AV22">
        <v>0.21161789365877401</v>
      </c>
      <c r="AW22">
        <v>0</v>
      </c>
      <c r="AX22">
        <v>5.4611130680300601E-2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1.0588920180471301E-3</v>
      </c>
      <c r="BG22">
        <v>1.2801122908420201E-3</v>
      </c>
      <c r="BH22">
        <v>6.7647388147948795E-2</v>
      </c>
      <c r="BI22">
        <v>0.17937706084286101</v>
      </c>
      <c r="BJ22">
        <v>0</v>
      </c>
      <c r="BK22">
        <v>0.16835316698945699</v>
      </c>
      <c r="BL22">
        <v>8.1350636037144305E-3</v>
      </c>
      <c r="BM22">
        <v>0.21617838043602999</v>
      </c>
      <c r="BN22">
        <v>0.13291818169948</v>
      </c>
      <c r="BO22">
        <v>5.7921468133245398E-2</v>
      </c>
      <c r="BP22">
        <v>0</v>
      </c>
      <c r="BQ22">
        <v>0</v>
      </c>
      <c r="BR22">
        <v>7.9575320595998797E-2</v>
      </c>
      <c r="BS22">
        <v>0</v>
      </c>
      <c r="BT22">
        <v>0</v>
      </c>
      <c r="BU22">
        <v>0</v>
      </c>
      <c r="BV22">
        <v>9.3463316373583294E-2</v>
      </c>
      <c r="BW22">
        <v>6.2151033295097899E-2</v>
      </c>
      <c r="BX22">
        <v>0.16975987193005401</v>
      </c>
      <c r="BY22">
        <v>4.27398740638101E-2</v>
      </c>
      <c r="BZ22">
        <v>0</v>
      </c>
      <c r="CA22">
        <v>8.5688213652963197E-2</v>
      </c>
      <c r="CB22">
        <v>3.29667977491176E-2</v>
      </c>
      <c r="CC22">
        <v>6.43239042862034E-5</v>
      </c>
      <c r="CD22">
        <v>0</v>
      </c>
      <c r="CE22">
        <v>0.10016602767083101</v>
      </c>
      <c r="CF22">
        <v>0</v>
      </c>
      <c r="CG22">
        <v>0</v>
      </c>
      <c r="CH22">
        <v>3.3337050861566103E-2</v>
      </c>
      <c r="CI22">
        <v>0.11010052692514299</v>
      </c>
      <c r="CJ22">
        <v>0.124073234767963</v>
      </c>
      <c r="CK22">
        <v>0</v>
      </c>
      <c r="CL22">
        <v>0.18465841390465801</v>
      </c>
      <c r="CM22">
        <v>0</v>
      </c>
      <c r="CN22">
        <v>6.6175890216095504E-2</v>
      </c>
      <c r="CO22">
        <v>0.65170111001699904</v>
      </c>
      <c r="CP22">
        <v>0</v>
      </c>
      <c r="CQ22">
        <v>0</v>
      </c>
    </row>
    <row r="23" spans="1:95" customFormat="1" ht="13" x14ac:dyDescent="0.15">
      <c r="A23" t="s">
        <v>188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2.1512444694163E-2</v>
      </c>
      <c r="O23">
        <v>0</v>
      </c>
      <c r="P23">
        <v>0</v>
      </c>
      <c r="Q23">
        <v>5.1677521773632303E-3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6.6728539108970404E-3</v>
      </c>
      <c r="AE23">
        <v>0</v>
      </c>
      <c r="AF23">
        <v>3.7912788522936701E-4</v>
      </c>
      <c r="AG23">
        <v>0</v>
      </c>
      <c r="AH23">
        <v>8.9026401317801707E-2</v>
      </c>
      <c r="AI23">
        <v>0.11848948222005801</v>
      </c>
      <c r="AJ23">
        <v>4.0208123412295901E-3</v>
      </c>
      <c r="AK23">
        <v>0.27600982682495301</v>
      </c>
      <c r="AL23">
        <v>1.37509425395008E-2</v>
      </c>
      <c r="AM23">
        <v>4.8137941376769203E-2</v>
      </c>
      <c r="AN23">
        <v>0</v>
      </c>
      <c r="AO23">
        <v>2.74510290593468E-2</v>
      </c>
      <c r="AP23">
        <v>2.33551572261054E-2</v>
      </c>
      <c r="AQ23">
        <v>8.8760437672518802E-3</v>
      </c>
      <c r="AR23">
        <v>1.8956893642531902E-2</v>
      </c>
      <c r="AS23">
        <v>0.110684883633642</v>
      </c>
      <c r="AT23">
        <v>3.7163629324335402E-2</v>
      </c>
      <c r="AU23">
        <v>6.4312945923775198E-4</v>
      </c>
      <c r="AV23">
        <v>0.14065498451181399</v>
      </c>
      <c r="AW23">
        <v>0</v>
      </c>
      <c r="AX23">
        <v>4.8021992473055899E-2</v>
      </c>
      <c r="AY23">
        <v>1.38903354863017E-2</v>
      </c>
      <c r="AZ23">
        <v>0</v>
      </c>
      <c r="BA23">
        <v>0</v>
      </c>
      <c r="BB23">
        <v>0</v>
      </c>
      <c r="BC23">
        <v>0</v>
      </c>
      <c r="BD23">
        <v>9.8213340198600608E-3</v>
      </c>
      <c r="BE23">
        <v>0</v>
      </c>
      <c r="BF23">
        <v>0</v>
      </c>
      <c r="BG23">
        <v>0</v>
      </c>
      <c r="BH23">
        <v>2.4167130826468101E-2</v>
      </c>
      <c r="BI23">
        <v>6.4018278614313404E-2</v>
      </c>
      <c r="BJ23">
        <v>0</v>
      </c>
      <c r="BK23">
        <v>5.4060853217885001E-2</v>
      </c>
      <c r="BL23">
        <v>0</v>
      </c>
      <c r="BM23">
        <v>0</v>
      </c>
      <c r="BN23">
        <v>0.13803233667190101</v>
      </c>
      <c r="BO23">
        <v>0</v>
      </c>
      <c r="BP23">
        <v>0</v>
      </c>
      <c r="BQ23">
        <v>0</v>
      </c>
      <c r="BR23">
        <v>2.8477886141339999E-4</v>
      </c>
      <c r="BS23">
        <v>0</v>
      </c>
      <c r="BT23">
        <v>0</v>
      </c>
      <c r="BU23">
        <v>5.2370453846420299E-2</v>
      </c>
      <c r="BV23">
        <v>2.6390613610348699E-2</v>
      </c>
      <c r="BW23">
        <v>2.2555608635534002E-2</v>
      </c>
      <c r="BX23">
        <v>1.47850713776506E-2</v>
      </c>
      <c r="BY23">
        <v>2.1737409990549302E-2</v>
      </c>
      <c r="BZ23">
        <v>0</v>
      </c>
      <c r="CA23">
        <v>5.2579769008098597E-2</v>
      </c>
      <c r="CB23">
        <v>2.0349102645224298E-2</v>
      </c>
      <c r="CC23">
        <v>0</v>
      </c>
      <c r="CD23">
        <v>0</v>
      </c>
      <c r="CE23">
        <v>3.7390204108260099E-2</v>
      </c>
      <c r="CF23">
        <v>0</v>
      </c>
      <c r="CG23">
        <v>0</v>
      </c>
      <c r="CH23">
        <v>0</v>
      </c>
      <c r="CI23">
        <v>2.0530397779099999E-2</v>
      </c>
      <c r="CJ23">
        <v>5.3503770269154203E-3</v>
      </c>
      <c r="CK23">
        <v>0</v>
      </c>
      <c r="CL23">
        <v>0.13054188137053899</v>
      </c>
      <c r="CM23">
        <v>0</v>
      </c>
      <c r="CN23">
        <v>4.7073418739817699E-2</v>
      </c>
      <c r="CO23">
        <v>0</v>
      </c>
      <c r="CP23">
        <v>0</v>
      </c>
      <c r="CQ23">
        <v>0</v>
      </c>
    </row>
    <row r="24" spans="1:95" customFormat="1" ht="13" x14ac:dyDescent="0.15">
      <c r="A24" t="s">
        <v>189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5.4209190458671001E-2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2.2178731749339302E-3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6.1982482348871701E-2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2.2930373940081902E-2</v>
      </c>
      <c r="BV24">
        <v>7.0991172089253103E-4</v>
      </c>
      <c r="BW24">
        <v>0</v>
      </c>
      <c r="BX24">
        <v>3.0482777105675699E-3</v>
      </c>
      <c r="BY24">
        <v>0</v>
      </c>
      <c r="BZ24">
        <v>0</v>
      </c>
      <c r="CA24">
        <v>0</v>
      </c>
      <c r="CB24">
        <v>1.52137808609701E-2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2.76559463443945E-2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2.2245528101555299E-2</v>
      </c>
      <c r="CP24">
        <v>0</v>
      </c>
      <c r="CQ24">
        <v>0</v>
      </c>
    </row>
    <row r="25" spans="1:95" customFormat="1" ht="13" x14ac:dyDescent="0.15">
      <c r="A25" t="s">
        <v>190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2.35682292537398E-2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2.6882162015935501E-2</v>
      </c>
      <c r="Y25">
        <v>0</v>
      </c>
      <c r="Z25">
        <v>0</v>
      </c>
      <c r="AA25">
        <v>0</v>
      </c>
      <c r="AB25">
        <v>4.4718036334504899E-2</v>
      </c>
      <c r="AC25">
        <v>0</v>
      </c>
      <c r="AD25">
        <v>0</v>
      </c>
      <c r="AE25">
        <v>0</v>
      </c>
      <c r="AF25">
        <v>1.1292990400674999E-3</v>
      </c>
      <c r="AG25">
        <v>0</v>
      </c>
      <c r="AH25">
        <v>6.2582964856789797E-3</v>
      </c>
      <c r="AI25">
        <v>1.2651164406544501E-2</v>
      </c>
      <c r="AJ25">
        <v>0</v>
      </c>
      <c r="AK25">
        <v>0</v>
      </c>
      <c r="AL25">
        <v>8.1874896278101E-3</v>
      </c>
      <c r="AM25">
        <v>0</v>
      </c>
      <c r="AN25">
        <v>0</v>
      </c>
      <c r="AO25">
        <v>3.4074265320995802E-4</v>
      </c>
      <c r="AP25">
        <v>2.57386040317664E-2</v>
      </c>
      <c r="AQ25">
        <v>0</v>
      </c>
      <c r="AR25">
        <v>2.1467206755620302E-2</v>
      </c>
      <c r="AS25">
        <v>5.2871785066857899E-2</v>
      </c>
      <c r="AT25">
        <v>0</v>
      </c>
      <c r="AU25">
        <v>0</v>
      </c>
      <c r="AV25">
        <v>1.7403904026717699E-2</v>
      </c>
      <c r="AW25">
        <v>0</v>
      </c>
      <c r="AX25">
        <v>4.4736553167706199E-4</v>
      </c>
      <c r="AY25">
        <v>4.31902737121489E-3</v>
      </c>
      <c r="AZ25">
        <v>0</v>
      </c>
      <c r="BA25">
        <v>0</v>
      </c>
      <c r="BB25">
        <v>1.5821919198036099E-3</v>
      </c>
      <c r="BC25">
        <v>4.8956070347955398E-2</v>
      </c>
      <c r="BD25">
        <v>0</v>
      </c>
      <c r="BE25">
        <v>0</v>
      </c>
      <c r="BF25">
        <v>7.1209454850216806E-5</v>
      </c>
      <c r="BG25">
        <v>2.9578695301579999E-2</v>
      </c>
      <c r="BH25">
        <v>0</v>
      </c>
      <c r="BI25">
        <v>3.9558410171764598E-2</v>
      </c>
      <c r="BJ25">
        <v>0</v>
      </c>
      <c r="BK25">
        <v>0.23091827294949699</v>
      </c>
      <c r="BL25">
        <v>0.34158373863979302</v>
      </c>
      <c r="BM25">
        <v>0</v>
      </c>
      <c r="BN25">
        <v>0.181624834535353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1.4907865375529201E-2</v>
      </c>
      <c r="BY25">
        <v>2.8018874245477599E-2</v>
      </c>
      <c r="BZ25">
        <v>0</v>
      </c>
      <c r="CA25">
        <v>1.99542573964453E-2</v>
      </c>
      <c r="CB25">
        <v>1.4753271560025099E-2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1.9179839279358998E-2</v>
      </c>
      <c r="CK25">
        <v>6.9868763667886205E-2</v>
      </c>
      <c r="CL25">
        <v>0.12532934092981499</v>
      </c>
      <c r="CM25">
        <v>2.0274066127767901E-2</v>
      </c>
      <c r="CN25">
        <v>3.68786857115041E-2</v>
      </c>
      <c r="CO25">
        <v>0</v>
      </c>
      <c r="CP25">
        <v>0</v>
      </c>
      <c r="CQ25">
        <v>0</v>
      </c>
    </row>
    <row r="26" spans="1:95" customFormat="1" ht="13" x14ac:dyDescent="0.15">
      <c r="A26" t="s">
        <v>191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1.07061511207628E-2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2.5206177182565299E-3</v>
      </c>
      <c r="AG26">
        <v>0</v>
      </c>
      <c r="AH26">
        <v>0</v>
      </c>
      <c r="AI26">
        <v>6.61122077293059E-2</v>
      </c>
      <c r="AJ26">
        <v>7.7594258806578095E-2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7.5361805416666601E-4</v>
      </c>
      <c r="AR26">
        <v>1.4020917904630399E-2</v>
      </c>
      <c r="AS26">
        <v>0</v>
      </c>
      <c r="AT26">
        <v>0</v>
      </c>
      <c r="AU26">
        <v>0</v>
      </c>
      <c r="AV26">
        <v>2.6089111265743901E-3</v>
      </c>
      <c r="AW26">
        <v>0</v>
      </c>
      <c r="AX26">
        <v>1.20733477395656E-4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1.7255274363842301E-2</v>
      </c>
      <c r="BJ26">
        <v>0</v>
      </c>
      <c r="BK26">
        <v>3.1798448900525402E-3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3.4496548498451299E-3</v>
      </c>
      <c r="BY26">
        <v>0</v>
      </c>
      <c r="BZ26">
        <v>0</v>
      </c>
      <c r="CA26">
        <v>5.8052443162356897E-3</v>
      </c>
      <c r="CB26">
        <v>2.0928659582488199E-3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1.00365864129694E-2</v>
      </c>
      <c r="CO26">
        <v>0</v>
      </c>
      <c r="CP26">
        <v>0</v>
      </c>
      <c r="CQ26">
        <v>0</v>
      </c>
    </row>
    <row r="27" spans="1:95" customFormat="1" ht="13" x14ac:dyDescent="0.15">
      <c r="A27" t="s">
        <v>192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3.9847589345061503E-2</v>
      </c>
      <c r="O27">
        <v>0</v>
      </c>
      <c r="P27">
        <v>0</v>
      </c>
      <c r="Q27">
        <v>0</v>
      </c>
      <c r="R27">
        <v>0</v>
      </c>
      <c r="S27">
        <v>3.4346897085763902E-3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3.56824828222477E-3</v>
      </c>
      <c r="AI27">
        <v>1.08410902838861E-2</v>
      </c>
      <c r="AJ27">
        <v>0</v>
      </c>
      <c r="AK27">
        <v>0</v>
      </c>
      <c r="AL27">
        <v>1.19702598162474E-2</v>
      </c>
      <c r="AM27">
        <v>0</v>
      </c>
      <c r="AN27">
        <v>0</v>
      </c>
      <c r="AO27">
        <v>0</v>
      </c>
      <c r="AP27">
        <v>4.3569717569475501E-3</v>
      </c>
      <c r="AQ27">
        <v>1.26403562859475E-2</v>
      </c>
      <c r="AR27">
        <v>0</v>
      </c>
      <c r="AS27">
        <v>1.29857434748966E-2</v>
      </c>
      <c r="AT27">
        <v>0</v>
      </c>
      <c r="AU27">
        <v>0</v>
      </c>
      <c r="AV27">
        <v>4.0119472333140803E-2</v>
      </c>
      <c r="AW27">
        <v>0</v>
      </c>
      <c r="AX27">
        <v>7.2864230552388302E-3</v>
      </c>
      <c r="AY27">
        <v>0</v>
      </c>
      <c r="AZ27">
        <v>3.34261551519691E-3</v>
      </c>
      <c r="BA27">
        <v>1.33501164433891E-2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4.9108153420730001E-2</v>
      </c>
      <c r="BJ27">
        <v>0</v>
      </c>
      <c r="BK27">
        <v>6.4179714277262406E-2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2.3929248502794102E-2</v>
      </c>
      <c r="BW27">
        <v>0</v>
      </c>
      <c r="BX27">
        <v>2.5839149696321301E-2</v>
      </c>
      <c r="BY27">
        <v>0</v>
      </c>
      <c r="BZ27">
        <v>0</v>
      </c>
      <c r="CA27">
        <v>9.5799968608831595E-2</v>
      </c>
      <c r="CB27">
        <v>8.7987896849637207E-3</v>
      </c>
      <c r="CC27">
        <v>0</v>
      </c>
      <c r="CD27">
        <v>0</v>
      </c>
      <c r="CE27">
        <v>6.8531402407805099E-3</v>
      </c>
      <c r="CF27">
        <v>0</v>
      </c>
      <c r="CG27">
        <v>0</v>
      </c>
      <c r="CH27">
        <v>0</v>
      </c>
      <c r="CI27">
        <v>1.0938400223955201E-2</v>
      </c>
      <c r="CJ27">
        <v>0</v>
      </c>
      <c r="CK27">
        <v>0</v>
      </c>
      <c r="CL27">
        <v>7.4676537854038605E-2</v>
      </c>
      <c r="CM27">
        <v>0</v>
      </c>
      <c r="CN27">
        <v>5.2048211555654797E-2</v>
      </c>
      <c r="CO27">
        <v>0</v>
      </c>
      <c r="CP27">
        <v>0</v>
      </c>
      <c r="CQ27">
        <v>0</v>
      </c>
    </row>
    <row r="28" spans="1:95" customFormat="1" ht="13" x14ac:dyDescent="0.15">
      <c r="A28" t="s">
        <v>193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7.3616074033637496E-3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9.8097975896488596E-3</v>
      </c>
      <c r="AR28">
        <v>5.7449095225200197E-3</v>
      </c>
      <c r="AS28">
        <v>0</v>
      </c>
      <c r="AT28">
        <v>4.7544889060268398E-3</v>
      </c>
      <c r="AU28">
        <v>4.8366010694309097E-2</v>
      </c>
      <c r="AV28">
        <v>2.0450610185966198E-2</v>
      </c>
      <c r="AW28">
        <v>0</v>
      </c>
      <c r="AX28">
        <v>1.12186304680322E-2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4.1952516539549602E-3</v>
      </c>
      <c r="BE28">
        <v>0</v>
      </c>
      <c r="BF28">
        <v>0</v>
      </c>
      <c r="BG28">
        <v>0</v>
      </c>
      <c r="BH28">
        <v>1.8747467716241101E-2</v>
      </c>
      <c r="BI28">
        <v>0</v>
      </c>
      <c r="BJ28">
        <v>0</v>
      </c>
      <c r="BK28">
        <v>5.87967106089669E-2</v>
      </c>
      <c r="BL28">
        <v>7.9582861064211696E-2</v>
      </c>
      <c r="BM28">
        <v>0</v>
      </c>
      <c r="BN28">
        <v>0.169853124495112</v>
      </c>
      <c r="BO28">
        <v>0</v>
      </c>
      <c r="BP28">
        <v>3.30722686637131E-2</v>
      </c>
      <c r="BQ28">
        <v>0</v>
      </c>
      <c r="BR28">
        <v>4.5821999251063797E-2</v>
      </c>
      <c r="BS28">
        <v>0</v>
      </c>
      <c r="BT28">
        <v>0</v>
      </c>
      <c r="BU28">
        <v>0</v>
      </c>
      <c r="BV28">
        <v>1.9994370578448301E-2</v>
      </c>
      <c r="BW28">
        <v>0</v>
      </c>
      <c r="BX28">
        <v>2.7179808680507699E-2</v>
      </c>
      <c r="BY28">
        <v>0</v>
      </c>
      <c r="BZ28">
        <v>0</v>
      </c>
      <c r="CA28">
        <v>0</v>
      </c>
      <c r="CB28">
        <v>1.44809159952784E-2</v>
      </c>
      <c r="CC28">
        <v>0</v>
      </c>
      <c r="CD28">
        <v>0</v>
      </c>
      <c r="CE28">
        <v>2.9640223172119302E-2</v>
      </c>
      <c r="CF28">
        <v>0</v>
      </c>
      <c r="CG28">
        <v>0</v>
      </c>
      <c r="CH28">
        <v>1.78679249571456E-3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3.2741055514665197E-2</v>
      </c>
      <c r="CP28">
        <v>0</v>
      </c>
      <c r="CQ28">
        <v>0</v>
      </c>
    </row>
    <row r="29" spans="1:95" customFormat="1" ht="13" x14ac:dyDescent="0.15">
      <c r="A29" t="s">
        <v>247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1.98855459476048E-3</v>
      </c>
      <c r="O29">
        <v>0</v>
      </c>
      <c r="P29">
        <v>0</v>
      </c>
      <c r="Q29">
        <v>6.2406368501874995E-4</v>
      </c>
      <c r="R29">
        <v>0</v>
      </c>
      <c r="S29">
        <v>2.5948231732225999E-3</v>
      </c>
      <c r="T29">
        <v>1.6003136061522601E-2</v>
      </c>
      <c r="U29">
        <v>0</v>
      </c>
      <c r="V29">
        <v>0</v>
      </c>
      <c r="W29">
        <v>0</v>
      </c>
      <c r="X29">
        <v>3.08406068945348E-3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2.8726641730403998E-2</v>
      </c>
      <c r="AI29">
        <v>3.0142557563414E-2</v>
      </c>
      <c r="AJ29">
        <v>7.9611263693771892E-3</v>
      </c>
      <c r="AK29">
        <v>2.4193797911466499E-2</v>
      </c>
      <c r="AL29">
        <v>0</v>
      </c>
      <c r="AM29">
        <v>1.27595649698576E-2</v>
      </c>
      <c r="AN29">
        <v>0</v>
      </c>
      <c r="AO29">
        <v>2.7620199826493101E-4</v>
      </c>
      <c r="AP29">
        <v>0</v>
      </c>
      <c r="AQ29">
        <v>2.1530271348790299E-3</v>
      </c>
      <c r="AR29">
        <v>9.9009267001387204E-3</v>
      </c>
      <c r="AS29">
        <v>1.24831004010781E-3</v>
      </c>
      <c r="AT29">
        <v>3.4331533807685798E-2</v>
      </c>
      <c r="AU29">
        <v>6.94598576628043E-4</v>
      </c>
      <c r="AV29">
        <v>5.4007483097234799E-2</v>
      </c>
      <c r="AW29">
        <v>0</v>
      </c>
      <c r="AX29">
        <v>3.3561008880637302E-2</v>
      </c>
      <c r="AY29">
        <v>0</v>
      </c>
      <c r="AZ29">
        <v>0</v>
      </c>
      <c r="BA29">
        <v>2.2258404296455699E-2</v>
      </c>
      <c r="BB29">
        <v>0</v>
      </c>
      <c r="BC29">
        <v>0</v>
      </c>
      <c r="BD29">
        <v>5.5103418134327203E-2</v>
      </c>
      <c r="BE29">
        <v>1.0868754562837099E-2</v>
      </c>
      <c r="BF29">
        <v>0</v>
      </c>
      <c r="BG29">
        <v>1.220351406099E-2</v>
      </c>
      <c r="BH29">
        <v>0</v>
      </c>
      <c r="BI29">
        <v>0.20214557156032401</v>
      </c>
      <c r="BJ29">
        <v>0</v>
      </c>
      <c r="BK29">
        <v>0.15674247266616401</v>
      </c>
      <c r="BL29">
        <v>0.33892538046578502</v>
      </c>
      <c r="BM29">
        <v>0</v>
      </c>
      <c r="BN29">
        <v>7.8216770403411406E-2</v>
      </c>
      <c r="BO29">
        <v>0</v>
      </c>
      <c r="BP29">
        <v>0</v>
      </c>
      <c r="BQ29">
        <v>1.34920447701801E-2</v>
      </c>
      <c r="BR29">
        <v>1.9769193057364898E-2</v>
      </c>
      <c r="BS29">
        <v>0.12043089358963301</v>
      </c>
      <c r="BT29">
        <v>0</v>
      </c>
      <c r="BU29">
        <v>0</v>
      </c>
      <c r="BV29">
        <v>1.0859434462583E-4</v>
      </c>
      <c r="BW29">
        <v>1.63731333164128E-2</v>
      </c>
      <c r="BX29">
        <v>4.16316948809337E-3</v>
      </c>
      <c r="BY29">
        <v>0</v>
      </c>
      <c r="BZ29">
        <v>0</v>
      </c>
      <c r="CA29">
        <v>1.3607840366760699E-2</v>
      </c>
      <c r="CB29">
        <v>0.12656751884130099</v>
      </c>
      <c r="CC29">
        <v>3.5868894624470703E-2</v>
      </c>
      <c r="CD29">
        <v>0</v>
      </c>
      <c r="CE29">
        <v>0</v>
      </c>
      <c r="CF29">
        <v>0</v>
      </c>
      <c r="CG29">
        <v>0</v>
      </c>
      <c r="CH29">
        <v>2.98446385819288E-2</v>
      </c>
      <c r="CI29">
        <v>0.43486729878535002</v>
      </c>
      <c r="CJ29">
        <v>0.109573534721443</v>
      </c>
      <c r="CK29">
        <v>0.36195391886545702</v>
      </c>
      <c r="CL29">
        <v>9.3949855628333898E-2</v>
      </c>
      <c r="CM29">
        <v>0.185551320042253</v>
      </c>
      <c r="CN29">
        <v>0</v>
      </c>
      <c r="CO29">
        <v>1.9928546636912899E-2</v>
      </c>
      <c r="CP29">
        <v>0</v>
      </c>
      <c r="CQ29">
        <v>0</v>
      </c>
    </row>
    <row r="30" spans="1:95" customFormat="1" ht="13" x14ac:dyDescent="0.15">
      <c r="A30" t="s">
        <v>248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8.2846011934355392E-3</v>
      </c>
      <c r="AE30">
        <v>0</v>
      </c>
      <c r="AF30">
        <v>0</v>
      </c>
      <c r="AG30">
        <v>0</v>
      </c>
      <c r="AH30">
        <v>1.2219551968975E-2</v>
      </c>
      <c r="AI30">
        <v>2.84493623280971E-3</v>
      </c>
      <c r="AJ30">
        <v>0</v>
      </c>
      <c r="AK30">
        <v>0</v>
      </c>
      <c r="AL30">
        <v>0</v>
      </c>
      <c r="AM30">
        <v>2.98939797148947E-2</v>
      </c>
      <c r="AN30">
        <v>0</v>
      </c>
      <c r="AO30">
        <v>1.98105986446109E-4</v>
      </c>
      <c r="AP30">
        <v>1.08892941477121E-2</v>
      </c>
      <c r="AQ30">
        <v>5.0215522363546899E-2</v>
      </c>
      <c r="AR30">
        <v>0</v>
      </c>
      <c r="AS30">
        <v>0.19749980014170401</v>
      </c>
      <c r="AT30">
        <v>1.8158979713111801E-2</v>
      </c>
      <c r="AU30">
        <v>8.1287316997806794E-2</v>
      </c>
      <c r="AV30">
        <v>7.0330552419192597E-3</v>
      </c>
      <c r="AW30">
        <v>5.60204641526858E-2</v>
      </c>
      <c r="AX30">
        <v>1.79721140360172E-2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4.5701688891651902E-2</v>
      </c>
      <c r="BI30">
        <v>6.4696867424459806E-2</v>
      </c>
      <c r="BJ30">
        <v>0</v>
      </c>
      <c r="BK30">
        <v>1.4996623891503299E-3</v>
      </c>
      <c r="BL30">
        <v>0</v>
      </c>
      <c r="BM30">
        <v>0</v>
      </c>
      <c r="BN30">
        <v>3.6274734250051802E-2</v>
      </c>
      <c r="BO30">
        <v>0</v>
      </c>
      <c r="BP30">
        <v>0</v>
      </c>
      <c r="BQ30">
        <v>0</v>
      </c>
      <c r="BR30">
        <v>2.1009478545871901E-4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1.0881904214998701E-2</v>
      </c>
      <c r="BY30">
        <v>0</v>
      </c>
      <c r="BZ30">
        <v>0</v>
      </c>
      <c r="CA30">
        <v>9.7482690494461195E-3</v>
      </c>
      <c r="CB30">
        <v>9.6152227383917502E-2</v>
      </c>
      <c r="CC30">
        <v>8.4922887303372496E-2</v>
      </c>
      <c r="CD30">
        <v>0</v>
      </c>
      <c r="CE30">
        <v>0</v>
      </c>
      <c r="CF30">
        <v>0</v>
      </c>
      <c r="CG30">
        <v>0</v>
      </c>
      <c r="CH30">
        <v>8.1047348178174994E-2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1.05210707643325E-2</v>
      </c>
      <c r="CO30">
        <v>0</v>
      </c>
      <c r="CP30">
        <v>0</v>
      </c>
      <c r="CQ30">
        <v>0</v>
      </c>
    </row>
    <row r="31" spans="1:95" customFormat="1" ht="13" x14ac:dyDescent="0.15">
      <c r="A31" t="s">
        <v>249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5.7403856021238696E-3</v>
      </c>
      <c r="N31">
        <v>5.4570434831661399E-3</v>
      </c>
      <c r="O31">
        <v>0</v>
      </c>
      <c r="P31">
        <v>0</v>
      </c>
      <c r="Q31">
        <v>2.18735738148177E-2</v>
      </c>
      <c r="R31">
        <v>0</v>
      </c>
      <c r="S31">
        <v>3.2117404535545999E-3</v>
      </c>
      <c r="T31">
        <v>1.23780101388266E-2</v>
      </c>
      <c r="U31">
        <v>0</v>
      </c>
      <c r="V31">
        <v>0</v>
      </c>
      <c r="W31">
        <v>0</v>
      </c>
      <c r="X31">
        <v>2.7053346976642998E-3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3.5086861935669299E-3</v>
      </c>
      <c r="AI31">
        <v>0</v>
      </c>
      <c r="AJ31">
        <v>0</v>
      </c>
      <c r="AK31">
        <v>0</v>
      </c>
      <c r="AL31">
        <v>0</v>
      </c>
      <c r="AM31">
        <v>3.76965514367846E-3</v>
      </c>
      <c r="AN31">
        <v>0</v>
      </c>
      <c r="AO31">
        <v>1.52931917262349E-2</v>
      </c>
      <c r="AP31">
        <v>1.00595586207473E-2</v>
      </c>
      <c r="AQ31">
        <v>0</v>
      </c>
      <c r="AR31">
        <v>2.6368377241810199E-2</v>
      </c>
      <c r="AS31">
        <v>1.3119468624372301E-2</v>
      </c>
      <c r="AT31">
        <v>1.2328729080255799E-3</v>
      </c>
      <c r="AU31">
        <v>0</v>
      </c>
      <c r="AV31">
        <v>1.17479027534371E-2</v>
      </c>
      <c r="AW31">
        <v>0</v>
      </c>
      <c r="AX31">
        <v>1.5928901355240499E-2</v>
      </c>
      <c r="AY31">
        <v>0</v>
      </c>
      <c r="AZ31">
        <v>0</v>
      </c>
      <c r="BA31">
        <v>1.3256400489384901E-3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5.0326152081119097E-2</v>
      </c>
      <c r="BH31">
        <v>0</v>
      </c>
      <c r="BI31">
        <v>3.3686796337396498E-2</v>
      </c>
      <c r="BJ31">
        <v>0</v>
      </c>
      <c r="BK31">
        <v>0</v>
      </c>
      <c r="BL31">
        <v>0</v>
      </c>
      <c r="BM31">
        <v>0</v>
      </c>
      <c r="BN31">
        <v>2.8679025087984802E-3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1.1703445215910199E-2</v>
      </c>
      <c r="CC31">
        <v>4.1222507767337104E-3</v>
      </c>
      <c r="CD31">
        <v>0</v>
      </c>
      <c r="CE31">
        <v>0</v>
      </c>
      <c r="CF31">
        <v>0</v>
      </c>
      <c r="CG31">
        <v>0</v>
      </c>
      <c r="CH31">
        <v>1.0148447066472501E-2</v>
      </c>
      <c r="CI31">
        <v>0.10591336995530699</v>
      </c>
      <c r="CJ31">
        <v>8.3637765675090708E-3</v>
      </c>
      <c r="CK31">
        <v>4.5366251326612698E-3</v>
      </c>
      <c r="CL31">
        <v>0</v>
      </c>
      <c r="CM31">
        <v>0.16346437023398999</v>
      </c>
      <c r="CN31">
        <v>1.3356631208571699E-3</v>
      </c>
      <c r="CO31">
        <v>0</v>
      </c>
      <c r="CP31">
        <v>0</v>
      </c>
      <c r="CQ31">
        <v>0</v>
      </c>
    </row>
    <row r="32" spans="1:95" customFormat="1" ht="13" x14ac:dyDescent="0.15">
      <c r="A32" t="s">
        <v>250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1.17916286897804E-3</v>
      </c>
      <c r="O32">
        <v>0</v>
      </c>
      <c r="P32">
        <v>0</v>
      </c>
      <c r="Q32">
        <v>4.5074569738513701E-4</v>
      </c>
      <c r="R32">
        <v>0</v>
      </c>
      <c r="S32">
        <v>4.7309616018872602E-3</v>
      </c>
      <c r="T32">
        <v>0</v>
      </c>
      <c r="U32">
        <v>0</v>
      </c>
      <c r="V32">
        <v>0</v>
      </c>
      <c r="W32">
        <v>0</v>
      </c>
      <c r="X32">
        <v>4.4936095748095498E-3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4.07798768226263E-3</v>
      </c>
      <c r="AI32">
        <v>0</v>
      </c>
      <c r="AJ32">
        <v>3.5462783392252901E-3</v>
      </c>
      <c r="AK32">
        <v>0</v>
      </c>
      <c r="AL32">
        <v>0</v>
      </c>
      <c r="AM32">
        <v>1.43343509610315E-2</v>
      </c>
      <c r="AN32">
        <v>0</v>
      </c>
      <c r="AO32">
        <v>0</v>
      </c>
      <c r="AP32">
        <v>1.31405048841363E-2</v>
      </c>
      <c r="AQ32">
        <v>0</v>
      </c>
      <c r="AR32">
        <v>1.75980596259772E-2</v>
      </c>
      <c r="AS32">
        <v>2.74974124200887E-3</v>
      </c>
      <c r="AT32">
        <v>2.6308174895802401E-2</v>
      </c>
      <c r="AU32">
        <v>0</v>
      </c>
      <c r="AV32">
        <v>1.0593376494910199E-2</v>
      </c>
      <c r="AW32">
        <v>0</v>
      </c>
      <c r="AX32">
        <v>9.7946222427522205E-3</v>
      </c>
      <c r="AY32">
        <v>0</v>
      </c>
      <c r="AZ32">
        <v>0</v>
      </c>
      <c r="BA32">
        <v>1.70273508456489E-3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7.50609764481509E-3</v>
      </c>
      <c r="BH32">
        <v>5.0659366637935601E-3</v>
      </c>
      <c r="BI32">
        <v>2.3808961687216901E-2</v>
      </c>
      <c r="BJ32">
        <v>0</v>
      </c>
      <c r="BK32">
        <v>6.9241509167275398E-3</v>
      </c>
      <c r="BL32">
        <v>4.7580895338929903E-2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5.4078719115316903E-3</v>
      </c>
      <c r="BS32">
        <v>0</v>
      </c>
      <c r="BT32">
        <v>0</v>
      </c>
      <c r="BU32">
        <v>0</v>
      </c>
      <c r="BV32">
        <v>7.3099600950964402E-3</v>
      </c>
      <c r="BW32">
        <v>0</v>
      </c>
      <c r="BX32">
        <v>0</v>
      </c>
      <c r="BY32">
        <v>0</v>
      </c>
      <c r="BZ32">
        <v>0</v>
      </c>
      <c r="CA32">
        <v>9.4829774391870791E-3</v>
      </c>
      <c r="CB32">
        <v>1.00502146211538E-2</v>
      </c>
      <c r="CC32">
        <v>2.65042146932024E-2</v>
      </c>
      <c r="CD32">
        <v>0</v>
      </c>
      <c r="CE32">
        <v>3.19023100546633E-3</v>
      </c>
      <c r="CF32">
        <v>0</v>
      </c>
      <c r="CG32">
        <v>0</v>
      </c>
      <c r="CH32">
        <v>0</v>
      </c>
      <c r="CI32">
        <v>5.3323201421129297E-3</v>
      </c>
      <c r="CJ32">
        <v>0</v>
      </c>
      <c r="CK32">
        <v>0</v>
      </c>
      <c r="CL32">
        <v>0</v>
      </c>
      <c r="CM32">
        <v>1.5962337183934201E-2</v>
      </c>
      <c r="CN32">
        <v>0</v>
      </c>
      <c r="CO32">
        <v>0</v>
      </c>
      <c r="CP32">
        <v>0</v>
      </c>
      <c r="CQ32">
        <v>0</v>
      </c>
    </row>
    <row r="33" spans="1:95" customFormat="1" ht="13" x14ac:dyDescent="0.15">
      <c r="A33" t="s">
        <v>251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5.76874160351405E-2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5.0083051678166998E-2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</row>
    <row r="34" spans="1:95" customFormat="1" ht="13" x14ac:dyDescent="0.15">
      <c r="A34" t="s">
        <v>252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2.2488376273366799E-2</v>
      </c>
      <c r="AL34">
        <v>0</v>
      </c>
      <c r="AM34">
        <v>2.7400545166482299E-3</v>
      </c>
      <c r="AN34">
        <v>0</v>
      </c>
      <c r="AO34">
        <v>0</v>
      </c>
      <c r="AP34">
        <v>1.4542231513734499E-3</v>
      </c>
      <c r="AQ34">
        <v>0</v>
      </c>
      <c r="AR34">
        <v>8.2080115625430793E-3</v>
      </c>
      <c r="AS34">
        <v>3.7204482023063101E-4</v>
      </c>
      <c r="AT34">
        <v>7.2895174565110502E-4</v>
      </c>
      <c r="AU34">
        <v>0</v>
      </c>
      <c r="AV34">
        <v>0</v>
      </c>
      <c r="AW34">
        <v>0</v>
      </c>
      <c r="AX34">
        <v>1.4434545316618301E-3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3.7948019009860102E-3</v>
      </c>
      <c r="BH34">
        <v>2.3174453571157801E-3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1.4597845807945899E-3</v>
      </c>
      <c r="BV34">
        <v>6.0173336268029903E-3</v>
      </c>
      <c r="BW34">
        <v>0</v>
      </c>
      <c r="BX34">
        <v>0</v>
      </c>
      <c r="BY34">
        <v>0</v>
      </c>
      <c r="BZ34">
        <v>1.46638680373023E-2</v>
      </c>
      <c r="CA34">
        <v>2.5353150692596499E-3</v>
      </c>
      <c r="CB34">
        <v>3.0782843379295599E-3</v>
      </c>
      <c r="CC34">
        <v>0</v>
      </c>
      <c r="CD34">
        <v>5.5120040072209402E-4</v>
      </c>
      <c r="CE34">
        <v>9.5716931264499504E-3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</row>
    <row r="35" spans="1:95" customFormat="1" ht="13" x14ac:dyDescent="0.15">
      <c r="A35" t="s">
        <v>253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4.0061360909048197E-3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6.9094266568230599E-4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6.3769534193154804E-4</v>
      </c>
      <c r="BH35">
        <v>1.11746356826846E-3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1.4057917146279E-3</v>
      </c>
      <c r="BW35">
        <v>0</v>
      </c>
      <c r="BX35">
        <v>0</v>
      </c>
      <c r="BY35">
        <v>0</v>
      </c>
      <c r="BZ35">
        <v>4.31345156416248E-3</v>
      </c>
      <c r="CA35">
        <v>2.5422870891271699E-3</v>
      </c>
      <c r="CB35">
        <v>3.2308999725544798E-3</v>
      </c>
      <c r="CC35">
        <v>0</v>
      </c>
      <c r="CD35">
        <v>0</v>
      </c>
      <c r="CE35">
        <v>3.32617920629657E-3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</row>
    <row r="36" spans="1:95" customFormat="1" ht="13" x14ac:dyDescent="0.15">
      <c r="A36" t="s">
        <v>254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3.7595546575663798E-3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6.0493589900351304E-4</v>
      </c>
      <c r="AS36">
        <v>0</v>
      </c>
      <c r="AT36">
        <v>7.3186435043337604E-4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1.9683019554655699E-3</v>
      </c>
      <c r="BV36">
        <v>5.4111033971868501E-5</v>
      </c>
      <c r="BW36">
        <v>0</v>
      </c>
      <c r="BX36">
        <v>0</v>
      </c>
      <c r="BY36">
        <v>0</v>
      </c>
      <c r="BZ36">
        <v>1.65296395080447E-3</v>
      </c>
      <c r="CA36">
        <v>1.99750537239239E-3</v>
      </c>
      <c r="CB36">
        <v>7.3629143066218595E-4</v>
      </c>
      <c r="CC36">
        <v>0</v>
      </c>
      <c r="CD36">
        <v>0</v>
      </c>
      <c r="CE36">
        <v>3.9037027371859102E-3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</row>
    <row r="37" spans="1:95" customFormat="1" ht="13" x14ac:dyDescent="0.15">
      <c r="A37" t="s">
        <v>255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1.14249261559349E-3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</row>
    <row r="38" spans="1:95" customFormat="1" ht="13" x14ac:dyDescent="0.15">
      <c r="A38" t="s">
        <v>194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1.8610067023078899E-3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5.7848468793766504E-4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1.6925841508199499E-5</v>
      </c>
      <c r="BW38">
        <v>0</v>
      </c>
      <c r="BX38">
        <v>0</v>
      </c>
      <c r="BY38">
        <v>0</v>
      </c>
      <c r="BZ38">
        <v>3.2373534490141198E-3</v>
      </c>
      <c r="CA38">
        <v>1.54828746168426E-3</v>
      </c>
      <c r="CB38">
        <v>6.1845305297522895E-4</v>
      </c>
      <c r="CC38">
        <v>0</v>
      </c>
      <c r="CD38">
        <v>0</v>
      </c>
      <c r="CE38">
        <v>6.3404015789907196E-4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</row>
    <row r="39" spans="1:95" customFormat="1" ht="13" x14ac:dyDescent="0.15">
      <c r="A39" t="s">
        <v>256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1.9358574028264599E-2</v>
      </c>
      <c r="AL39">
        <v>0</v>
      </c>
      <c r="AM39">
        <v>3.20764437292614E-3</v>
      </c>
      <c r="AN39">
        <v>0</v>
      </c>
      <c r="AO39">
        <v>0</v>
      </c>
      <c r="AP39">
        <v>8.1741211565593296E-4</v>
      </c>
      <c r="AQ39">
        <v>0</v>
      </c>
      <c r="AR39">
        <v>1.0218594795144699E-2</v>
      </c>
      <c r="AS39">
        <v>3.4224224641005801E-3</v>
      </c>
      <c r="AT39">
        <v>1.28147029990472E-3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1.7416132083096301E-3</v>
      </c>
      <c r="BE39">
        <v>0</v>
      </c>
      <c r="BF39">
        <v>0</v>
      </c>
      <c r="BG39">
        <v>5.8143854937514903E-3</v>
      </c>
      <c r="BH39">
        <v>4.2913559864311201E-3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2.1522525617488401E-3</v>
      </c>
      <c r="BV39">
        <v>1.87440385777642E-3</v>
      </c>
      <c r="BW39">
        <v>0</v>
      </c>
      <c r="BX39">
        <v>0</v>
      </c>
      <c r="BY39">
        <v>0</v>
      </c>
      <c r="BZ39">
        <v>5.8348667024188602E-3</v>
      </c>
      <c r="CA39">
        <v>5.5619121295528299E-3</v>
      </c>
      <c r="CB39">
        <v>5.5589365933139496E-3</v>
      </c>
      <c r="CC39">
        <v>0</v>
      </c>
      <c r="CD39">
        <v>2.67988164333523E-3</v>
      </c>
      <c r="CE39">
        <v>7.0045193825544498E-3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</row>
    <row r="40" spans="1:95" customFormat="1" ht="13" x14ac:dyDescent="0.15">
      <c r="A40" t="s">
        <v>195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8.5097802341031099E-3</v>
      </c>
      <c r="AL40">
        <v>0</v>
      </c>
      <c r="AM40">
        <v>2.2271495970380999E-4</v>
      </c>
      <c r="AN40">
        <v>0</v>
      </c>
      <c r="AO40">
        <v>0</v>
      </c>
      <c r="AP40">
        <v>4.6792344871735399E-4</v>
      </c>
      <c r="AQ40">
        <v>0</v>
      </c>
      <c r="AR40">
        <v>5.4384131593746303E-3</v>
      </c>
      <c r="AS40">
        <v>1.56323513631302E-4</v>
      </c>
      <c r="AT40">
        <v>1.5316220614897499E-2</v>
      </c>
      <c r="AU40">
        <v>0</v>
      </c>
      <c r="AV40">
        <v>0</v>
      </c>
      <c r="AW40">
        <v>0</v>
      </c>
      <c r="AX40">
        <v>3.1396165623841697E-5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4.7669827313469504E-3</v>
      </c>
      <c r="BE40">
        <v>0</v>
      </c>
      <c r="BF40">
        <v>0</v>
      </c>
      <c r="BG40">
        <v>2.45300734621418E-2</v>
      </c>
      <c r="BH40">
        <v>3.7749842374711399E-4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6.4672192714871604E-4</v>
      </c>
      <c r="BV40">
        <v>4.2512983884787203E-4</v>
      </c>
      <c r="BW40">
        <v>0</v>
      </c>
      <c r="BX40">
        <v>0</v>
      </c>
      <c r="BY40">
        <v>0</v>
      </c>
      <c r="BZ40">
        <v>9.6779559351155703E-3</v>
      </c>
      <c r="CA40">
        <v>3.3301933020860202E-3</v>
      </c>
      <c r="CB40">
        <v>1.7025732164128E-3</v>
      </c>
      <c r="CC40">
        <v>0</v>
      </c>
      <c r="CD40">
        <v>2.5027359823030699E-3</v>
      </c>
      <c r="CE40">
        <v>1.2711686590043601E-2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</row>
    <row r="41" spans="1:95" customFormat="1" ht="13" x14ac:dyDescent="0.15">
      <c r="A41" t="s">
        <v>196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3.3090067338291899E-3</v>
      </c>
      <c r="AQ41">
        <v>0</v>
      </c>
      <c r="AR41">
        <v>1.2845514238810101E-2</v>
      </c>
      <c r="AS41">
        <v>2.25135093586879E-4</v>
      </c>
      <c r="AT41">
        <v>0</v>
      </c>
      <c r="AU41">
        <v>0</v>
      </c>
      <c r="AV41">
        <v>0</v>
      </c>
      <c r="AW41">
        <v>0</v>
      </c>
      <c r="AX41">
        <v>3.0074294887617701E-4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3.2781929525664399E-3</v>
      </c>
      <c r="BH41">
        <v>4.8656508781554699E-4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7.6392292177264003E-3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</row>
    <row r="42" spans="1:95" customFormat="1" ht="13" x14ac:dyDescent="0.15">
      <c r="A42" t="s">
        <v>197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8.7350467715609798E-3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1.19961441129277E-2</v>
      </c>
      <c r="BV42">
        <v>0</v>
      </c>
      <c r="BW42">
        <v>0</v>
      </c>
      <c r="BX42">
        <v>0</v>
      </c>
      <c r="BY42">
        <v>0</v>
      </c>
      <c r="BZ42">
        <v>2.0493585532240999E-2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</row>
    <row r="43" spans="1:95" customFormat="1" ht="13" x14ac:dyDescent="0.15">
      <c r="A43" t="s">
        <v>198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1.87000501351605E-2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0.19120493862562801</v>
      </c>
      <c r="AQ43">
        <v>0</v>
      </c>
      <c r="AR43">
        <v>0.105196854430817</v>
      </c>
      <c r="AS43">
        <v>0.36865340016047599</v>
      </c>
      <c r="AT43">
        <v>0.20073136176745701</v>
      </c>
      <c r="AU43">
        <v>0</v>
      </c>
      <c r="AV43">
        <v>0</v>
      </c>
      <c r="AW43">
        <v>0</v>
      </c>
      <c r="AX43">
        <v>0.16393612397768201</v>
      </c>
      <c r="AY43">
        <v>0</v>
      </c>
      <c r="AZ43">
        <v>0</v>
      </c>
      <c r="BA43">
        <v>2.6125446162437602E-2</v>
      </c>
      <c r="BB43">
        <v>0</v>
      </c>
      <c r="BC43">
        <v>0</v>
      </c>
      <c r="BD43">
        <v>0.114680732122431</v>
      </c>
      <c r="BE43">
        <v>0</v>
      </c>
      <c r="BF43">
        <v>0</v>
      </c>
      <c r="BG43">
        <v>2.9233920868676301E-2</v>
      </c>
      <c r="BH43">
        <v>0.23523664561864999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2.5434468981983201E-2</v>
      </c>
      <c r="BV43">
        <v>0.15423095448601201</v>
      </c>
      <c r="BW43">
        <v>0</v>
      </c>
      <c r="BX43">
        <v>0</v>
      </c>
      <c r="BY43">
        <v>0</v>
      </c>
      <c r="BZ43">
        <v>4.3531668273310398E-2</v>
      </c>
      <c r="CA43">
        <v>0.11036830530846201</v>
      </c>
      <c r="CB43">
        <v>8.8448971680507499E-2</v>
      </c>
      <c r="CC43">
        <v>0</v>
      </c>
      <c r="CD43">
        <v>4.39452517670193E-2</v>
      </c>
      <c r="CE43">
        <v>9.7574560895299006E-2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</row>
    <row r="44" spans="1:95" customFormat="1" ht="13" x14ac:dyDescent="0.15">
      <c r="A44" t="s">
        <v>199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2.3007466535144802E-3</v>
      </c>
      <c r="AU44">
        <v>0</v>
      </c>
      <c r="AV44">
        <v>0</v>
      </c>
      <c r="AW44">
        <v>0</v>
      </c>
      <c r="AX44">
        <v>9.6416467138244893E-3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8.4831092531732592E-3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3.4150810607525402E-2</v>
      </c>
      <c r="BV44">
        <v>0</v>
      </c>
      <c r="BW44">
        <v>0</v>
      </c>
      <c r="BX44">
        <v>0</v>
      </c>
      <c r="BY44">
        <v>0</v>
      </c>
      <c r="BZ44">
        <v>2.5220415007880199E-2</v>
      </c>
      <c r="CA44">
        <v>2.07776073805328E-2</v>
      </c>
      <c r="CB44">
        <v>1.04968767139013E-2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</row>
    <row r="45" spans="1:95" customFormat="1" ht="13" x14ac:dyDescent="0.15">
      <c r="A45" t="s">
        <v>232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2.5724209923136399E-3</v>
      </c>
      <c r="AN45">
        <v>0</v>
      </c>
      <c r="AO45">
        <v>0</v>
      </c>
      <c r="AP45">
        <v>1.7312770667512001E-3</v>
      </c>
      <c r="AQ45">
        <v>0</v>
      </c>
      <c r="AR45">
        <v>0</v>
      </c>
      <c r="AS45">
        <v>0</v>
      </c>
      <c r="AT45">
        <v>3.0413225418877901E-5</v>
      </c>
      <c r="AU45">
        <v>0</v>
      </c>
      <c r="AV45">
        <v>0</v>
      </c>
      <c r="AW45">
        <v>0</v>
      </c>
      <c r="AX45">
        <v>1.49576846129995E-3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9.1288144898472802E-5</v>
      </c>
      <c r="BE45">
        <v>0</v>
      </c>
      <c r="BF45">
        <v>0</v>
      </c>
      <c r="BG45">
        <v>4.1090309529977498E-3</v>
      </c>
      <c r="BH45">
        <v>4.1185995981404301E-3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5.7092577501628499E-3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1.1253779230957399E-2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</row>
    <row r="46" spans="1:95" customFormat="1" ht="13" x14ac:dyDescent="0.15">
      <c r="A46" t="s">
        <v>200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9.0111863211003197E-4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5.9664055580127603E-3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2.3937028813505401E-2</v>
      </c>
      <c r="BV46">
        <v>7.9578061649204293E-3</v>
      </c>
      <c r="BW46">
        <v>0</v>
      </c>
      <c r="BX46">
        <v>0</v>
      </c>
      <c r="BY46">
        <v>0</v>
      </c>
      <c r="BZ46">
        <v>4.8086723719109201E-2</v>
      </c>
      <c r="CA46">
        <v>0</v>
      </c>
      <c r="CB46">
        <v>8.26806682709527E-3</v>
      </c>
      <c r="CC46">
        <v>0</v>
      </c>
      <c r="CD46">
        <v>0</v>
      </c>
      <c r="CE46">
        <v>1.04849135385344E-2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</row>
    <row r="47" spans="1:95" customFormat="1" ht="13" x14ac:dyDescent="0.15">
      <c r="A47" t="s">
        <v>201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2.73307910501243E-3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2.6871290516646898E-3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</row>
    <row r="48" spans="1:95" customFormat="1" ht="13" x14ac:dyDescent="0.15">
      <c r="A48" t="s">
        <v>202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6.5335850810448404E-2</v>
      </c>
      <c r="AJ48">
        <v>3.4183866973400601E-3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1.5836945054027999E-2</v>
      </c>
      <c r="AQ48">
        <v>0</v>
      </c>
      <c r="AR48">
        <v>8.07389043213231E-4</v>
      </c>
      <c r="AS48">
        <v>3.2333654021129E-4</v>
      </c>
      <c r="AT48">
        <v>1.31330387014385E-3</v>
      </c>
      <c r="AU48">
        <v>1.3253639725213601E-3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1.0430186919371601E-2</v>
      </c>
      <c r="BI48">
        <v>2.2427711332621999E-2</v>
      </c>
      <c r="BJ48">
        <v>0</v>
      </c>
      <c r="BK48">
        <v>8.1214472999353401E-2</v>
      </c>
      <c r="BL48">
        <v>0</v>
      </c>
      <c r="BM48">
        <v>0</v>
      </c>
      <c r="BN48">
        <v>4.1033965688666997E-2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0.26623330996592698</v>
      </c>
      <c r="BV48">
        <v>2.24757856889512E-2</v>
      </c>
      <c r="BW48">
        <v>0</v>
      </c>
      <c r="BX48">
        <v>2.30158693801749E-2</v>
      </c>
      <c r="BY48">
        <v>0</v>
      </c>
      <c r="BZ48">
        <v>0</v>
      </c>
      <c r="CA48">
        <v>7.1097850429647405E-2</v>
      </c>
      <c r="CB48">
        <v>2.59890316518759E-2</v>
      </c>
      <c r="CC48">
        <v>0</v>
      </c>
      <c r="CD48">
        <v>0</v>
      </c>
      <c r="CE48">
        <v>4.0261611659887599E-2</v>
      </c>
      <c r="CF48">
        <v>0</v>
      </c>
      <c r="CG48">
        <v>0</v>
      </c>
      <c r="CH48">
        <v>0</v>
      </c>
      <c r="CI48">
        <v>0</v>
      </c>
      <c r="CJ48">
        <v>2.48909988031893E-3</v>
      </c>
      <c r="CK48">
        <v>0</v>
      </c>
      <c r="CL48">
        <v>0</v>
      </c>
      <c r="CM48">
        <v>0</v>
      </c>
      <c r="CN48">
        <v>0.42025721269914901</v>
      </c>
      <c r="CO48">
        <v>0</v>
      </c>
      <c r="CP48">
        <v>0</v>
      </c>
      <c r="CQ48">
        <v>0</v>
      </c>
    </row>
    <row r="49" spans="1:95" customFormat="1" ht="13" x14ac:dyDescent="0.15">
      <c r="A49" t="s">
        <v>203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8.8305857105146594E-3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3.7640643577766899E-3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1.3207612561902201E-2</v>
      </c>
      <c r="BV49">
        <v>0</v>
      </c>
      <c r="BW49">
        <v>0</v>
      </c>
      <c r="BX49">
        <v>0</v>
      </c>
      <c r="BY49">
        <v>0</v>
      </c>
      <c r="BZ49">
        <v>2.2197980103949199E-2</v>
      </c>
      <c r="CA49">
        <v>0</v>
      </c>
      <c r="CB49">
        <v>0</v>
      </c>
      <c r="CC49">
        <v>0</v>
      </c>
      <c r="CD49">
        <v>3.2753831638984801E-3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</row>
    <row r="50" spans="1:95" customFormat="1" ht="13" x14ac:dyDescent="0.15">
      <c r="A50" t="s">
        <v>204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5.5162884189731698E-3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2.3592064905899601E-3</v>
      </c>
      <c r="AS50">
        <v>0</v>
      </c>
      <c r="AT50">
        <v>5.2184953173022497E-3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1.0272059886451201E-2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1.5763828700308902E-2</v>
      </c>
      <c r="BV50">
        <v>3.32609091079877E-3</v>
      </c>
      <c r="BW50">
        <v>0</v>
      </c>
      <c r="BX50">
        <v>0</v>
      </c>
      <c r="BY50">
        <v>0</v>
      </c>
      <c r="BZ50">
        <v>1.7175752140480199E-2</v>
      </c>
      <c r="CA50">
        <v>0</v>
      </c>
      <c r="CB50">
        <v>6.9370644606830401E-3</v>
      </c>
      <c r="CC50">
        <v>2.2423807756485701E-2</v>
      </c>
      <c r="CD50">
        <v>6.9490106261856002E-3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</row>
    <row r="51" spans="1:95" customFormat="1" ht="13" x14ac:dyDescent="0.15">
      <c r="A51" t="s">
        <v>257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5.5820676006205598E-3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3.2452532718541898E-3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2.0888634104567101E-3</v>
      </c>
      <c r="CA51">
        <v>2.72247576068731E-4</v>
      </c>
      <c r="CB51">
        <v>5.4485930672598095E-4</v>
      </c>
      <c r="CC51">
        <v>0</v>
      </c>
      <c r="CD51">
        <v>0</v>
      </c>
      <c r="CE51">
        <v>4.02741919670153E-3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</row>
    <row r="52" spans="1:95" customFormat="1" ht="13" x14ac:dyDescent="0.15">
      <c r="A52" t="s">
        <v>258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2.32497928404421E-3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1.09527769446695E-4</v>
      </c>
      <c r="BW52">
        <v>0</v>
      </c>
      <c r="BX52">
        <v>0</v>
      </c>
      <c r="BY52">
        <v>0</v>
      </c>
      <c r="BZ52">
        <v>2.5523253149084E-3</v>
      </c>
      <c r="CA52">
        <v>3.2005138176368801E-4</v>
      </c>
      <c r="CB52">
        <v>1.14618214477596E-3</v>
      </c>
      <c r="CC52">
        <v>0</v>
      </c>
      <c r="CD52">
        <v>0</v>
      </c>
      <c r="CE52">
        <v>6.7858333585658795E-4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</row>
    <row r="53" spans="1:95" customFormat="1" ht="13" x14ac:dyDescent="0.15">
      <c r="A53" t="s">
        <v>259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1.1200993424258499E-2</v>
      </c>
      <c r="AL53">
        <v>0</v>
      </c>
      <c r="AM53">
        <v>9.1847328262975201E-4</v>
      </c>
      <c r="AN53">
        <v>0</v>
      </c>
      <c r="AO53">
        <v>0</v>
      </c>
      <c r="AP53">
        <v>1.32122708414349E-4</v>
      </c>
      <c r="AQ53">
        <v>0</v>
      </c>
      <c r="AR53">
        <v>2.9756669564802601E-3</v>
      </c>
      <c r="AS53">
        <v>6.4710662425831501E-4</v>
      </c>
      <c r="AT53">
        <v>3.4877955364665003E-4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3.5957839489708801E-3</v>
      </c>
      <c r="BH53">
        <v>5.3866183651578596E-4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6.9662458569553197E-4</v>
      </c>
      <c r="BV53">
        <v>1.1047417990994899E-3</v>
      </c>
      <c r="BW53">
        <v>0</v>
      </c>
      <c r="BX53">
        <v>0</v>
      </c>
      <c r="BY53">
        <v>0</v>
      </c>
      <c r="BZ53">
        <v>1.6757848500388601E-2</v>
      </c>
      <c r="CA53">
        <v>3.5071037396939698E-3</v>
      </c>
      <c r="CB53">
        <v>3.6071087745107601E-3</v>
      </c>
      <c r="CC53">
        <v>0</v>
      </c>
      <c r="CD53">
        <v>2.8725039527780099E-3</v>
      </c>
      <c r="CE53">
        <v>7.0706119617678304E-3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</row>
    <row r="54" spans="1:95" customFormat="1" ht="13" x14ac:dyDescent="0.15">
      <c r="A54" t="s">
        <v>260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8.2614652951064505E-3</v>
      </c>
      <c r="AL54">
        <v>0</v>
      </c>
      <c r="AM54">
        <v>2.1111687719303001E-3</v>
      </c>
      <c r="AN54">
        <v>0</v>
      </c>
      <c r="AO54">
        <v>0</v>
      </c>
      <c r="AP54">
        <v>4.3316067740916899E-4</v>
      </c>
      <c r="AQ54">
        <v>0</v>
      </c>
      <c r="AR54">
        <v>0</v>
      </c>
      <c r="AS54">
        <v>6.2528167021121497E-5</v>
      </c>
      <c r="AT54">
        <v>8.6016002533782505E-4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1.6673973363544601E-3</v>
      </c>
      <c r="BE54">
        <v>0</v>
      </c>
      <c r="BF54">
        <v>0</v>
      </c>
      <c r="BG54">
        <v>4.2019550585524002E-3</v>
      </c>
      <c r="BH54">
        <v>2.5499009892634198E-3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1.93485535270111E-4</v>
      </c>
      <c r="BW54">
        <v>0</v>
      </c>
      <c r="BX54">
        <v>0</v>
      </c>
      <c r="BY54">
        <v>0</v>
      </c>
      <c r="BZ54">
        <v>6.3129205385419199E-3</v>
      </c>
      <c r="CA54">
        <v>3.37172897412482E-4</v>
      </c>
      <c r="CB54">
        <v>3.7831917719137499E-3</v>
      </c>
      <c r="CC54">
        <v>0</v>
      </c>
      <c r="CD54">
        <v>8.99687915722121E-4</v>
      </c>
      <c r="CE54">
        <v>5.0884798848009104E-3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</row>
    <row r="55" spans="1:95" customFormat="1" ht="13" x14ac:dyDescent="0.15">
      <c r="A55" t="s">
        <v>261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3.25266283747835E-3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4.89733835604831E-4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2.1141421133277099E-4</v>
      </c>
      <c r="BE55">
        <v>0</v>
      </c>
      <c r="BF55">
        <v>0</v>
      </c>
      <c r="BG55">
        <v>8.8806046646713497E-4</v>
      </c>
      <c r="BH55">
        <v>1.5181160969031E-3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2.4218681272640201E-5</v>
      </c>
      <c r="BW55">
        <v>0</v>
      </c>
      <c r="BX55">
        <v>0</v>
      </c>
      <c r="BY55">
        <v>0</v>
      </c>
      <c r="BZ55">
        <v>5.5537327199565696E-3</v>
      </c>
      <c r="CA55">
        <v>9.3763776088762503E-6</v>
      </c>
      <c r="CB55">
        <v>1.89566346831305E-4</v>
      </c>
      <c r="CC55">
        <v>0</v>
      </c>
      <c r="CD55">
        <v>2.1242568060816401E-4</v>
      </c>
      <c r="CE55">
        <v>5.4356265588762801E-3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</row>
    <row r="56" spans="1:95" customFormat="1" ht="13" x14ac:dyDescent="0.15">
      <c r="A56" t="s">
        <v>233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9.2083669999007706E-3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2.42503961443541E-3</v>
      </c>
      <c r="CA56">
        <v>0</v>
      </c>
      <c r="CB56">
        <v>0</v>
      </c>
      <c r="CC56">
        <v>0</v>
      </c>
      <c r="CD56">
        <v>4.6273772699699701E-4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</row>
    <row r="57" spans="1:95" customFormat="1" ht="13" x14ac:dyDescent="0.15">
      <c r="A57" t="s">
        <v>234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1.3153800011225601E-2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5.4173280134042099E-3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</row>
    <row r="58" spans="1:95" customFormat="1" ht="13" x14ac:dyDescent="0.15">
      <c r="A58" t="s">
        <v>205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2.0381778981299899E-2</v>
      </c>
      <c r="O58">
        <v>0</v>
      </c>
      <c r="P58">
        <v>0</v>
      </c>
      <c r="Q58">
        <v>1.5137536596758899E-2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3.0572863905241301E-2</v>
      </c>
      <c r="AI58">
        <v>6.2136997556291101E-3</v>
      </c>
      <c r="AJ58">
        <v>4.47482349135287E-3</v>
      </c>
      <c r="AK58">
        <v>0.120553821168342</v>
      </c>
      <c r="AL58">
        <v>0</v>
      </c>
      <c r="AM58">
        <v>1.55346515419621E-2</v>
      </c>
      <c r="AN58">
        <v>0</v>
      </c>
      <c r="AO58">
        <v>0.40955984501104198</v>
      </c>
      <c r="AP58">
        <v>5.7975681922780201E-2</v>
      </c>
      <c r="AQ58">
        <v>8.8983159775016096E-3</v>
      </c>
      <c r="AR58">
        <v>0.18443970926039499</v>
      </c>
      <c r="AS58">
        <v>5.5860606043439301E-2</v>
      </c>
      <c r="AT58">
        <v>5.0279705549486103E-2</v>
      </c>
      <c r="AU58">
        <v>0</v>
      </c>
      <c r="AV58">
        <v>5.4563877470866096E-3</v>
      </c>
      <c r="AW58">
        <v>0</v>
      </c>
      <c r="AX58">
        <v>6.3126520441389097E-2</v>
      </c>
      <c r="AY58">
        <v>0</v>
      </c>
      <c r="AZ58">
        <v>0</v>
      </c>
      <c r="BA58">
        <v>2.50257397051194E-3</v>
      </c>
      <c r="BB58">
        <v>0</v>
      </c>
      <c r="BC58">
        <v>0</v>
      </c>
      <c r="BD58">
        <v>8.5473216205967095E-3</v>
      </c>
      <c r="BE58">
        <v>1.73451868614859E-3</v>
      </c>
      <c r="BF58">
        <v>0</v>
      </c>
      <c r="BG58">
        <v>9.9113057939713006E-2</v>
      </c>
      <c r="BH58">
        <v>2.2468360725865201E-2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3.4372507199232502E-2</v>
      </c>
      <c r="BV58">
        <v>2.2518051326358798E-2</v>
      </c>
      <c r="BW58">
        <v>0</v>
      </c>
      <c r="BX58">
        <v>0</v>
      </c>
      <c r="BY58">
        <v>0</v>
      </c>
      <c r="BZ58">
        <v>0</v>
      </c>
      <c r="CA58">
        <v>0.215679150313274</v>
      </c>
      <c r="CB58">
        <v>2.8301810982810701E-2</v>
      </c>
      <c r="CC58">
        <v>0</v>
      </c>
      <c r="CD58">
        <v>7.5983338937662698E-4</v>
      </c>
      <c r="CE58">
        <v>3.9242938911210499E-3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</row>
    <row r="59" spans="1:95" customFormat="1" ht="13" x14ac:dyDescent="0.15">
      <c r="A59" t="s">
        <v>206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2.41776232579317E-5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1.5427816827584301E-4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7.2748354069545997E-3</v>
      </c>
      <c r="BV59">
        <v>1.93464819419632E-3</v>
      </c>
      <c r="BW59">
        <v>0</v>
      </c>
      <c r="BX59">
        <v>0</v>
      </c>
      <c r="BY59">
        <v>0</v>
      </c>
      <c r="BZ59">
        <v>2.2472653357692302E-2</v>
      </c>
      <c r="CA59">
        <v>0</v>
      </c>
      <c r="CB59">
        <v>1.6435254378908901E-2</v>
      </c>
      <c r="CC59">
        <v>1.7418901366739299E-2</v>
      </c>
      <c r="CD59">
        <v>9.5080048228130404E-3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</row>
    <row r="60" spans="1:95" customFormat="1" ht="13" x14ac:dyDescent="0.15">
      <c r="A60" t="s">
        <v>207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1.36518579372554E-2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1.2037095571453601E-3</v>
      </c>
      <c r="BU60">
        <v>6.4454292980331205E-4</v>
      </c>
      <c r="BV60">
        <v>3.85839236633197E-4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</row>
    <row r="61" spans="1:95" customFormat="1" ht="13" x14ac:dyDescent="0.15">
      <c r="A61" t="s">
        <v>262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</row>
    <row r="62" spans="1:95" customFormat="1" ht="13" x14ac:dyDescent="0.15">
      <c r="A62" t="s">
        <v>208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</row>
    <row r="63" spans="1:95" customFormat="1" ht="13" x14ac:dyDescent="0.15">
      <c r="A63" t="s">
        <v>263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</row>
    <row r="64" spans="1:95" customFormat="1" ht="13" x14ac:dyDescent="0.15">
      <c r="A64" t="s">
        <v>209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</row>
    <row r="65" spans="1:95" customFormat="1" ht="13" x14ac:dyDescent="0.15">
      <c r="A65" t="s">
        <v>264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</row>
    <row r="66" spans="1:95" customFormat="1" ht="13" x14ac:dyDescent="0.15">
      <c r="A66" t="s">
        <v>210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</row>
    <row r="67" spans="1:95" customFormat="1" ht="13" x14ac:dyDescent="0.15">
      <c r="A67" t="s">
        <v>235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</row>
    <row r="68" spans="1:95" customFormat="1" ht="13" x14ac:dyDescent="0.15">
      <c r="A68" t="s">
        <v>211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</row>
    <row r="69" spans="1:95" customFormat="1" ht="13" x14ac:dyDescent="0.15">
      <c r="A69" t="s">
        <v>265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</row>
    <row r="70" spans="1:95" customFormat="1" ht="13" x14ac:dyDescent="0.15">
      <c r="A70" t="s">
        <v>212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</row>
    <row r="71" spans="1:95" customFormat="1" ht="13" x14ac:dyDescent="0.15">
      <c r="A71" t="s">
        <v>213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</row>
    <row r="72" spans="1:95" customFormat="1" ht="13" x14ac:dyDescent="0.15">
      <c r="A72" t="s">
        <v>236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</row>
    <row r="73" spans="1:95" customFormat="1" ht="13" x14ac:dyDescent="0.15">
      <c r="A73" t="s">
        <v>237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</row>
    <row r="74" spans="1:95" customFormat="1" ht="13" x14ac:dyDescent="0.15">
      <c r="A74" t="s">
        <v>214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1.30090897100431E-2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2.3795519648869201E-3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</row>
    <row r="75" spans="1:95" customFormat="1" ht="13" x14ac:dyDescent="0.15">
      <c r="A75" t="s">
        <v>238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2.7563355179451601E-2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</row>
    <row r="76" spans="1:95" customFormat="1" ht="13" x14ac:dyDescent="0.15">
      <c r="A76" t="s">
        <v>239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3.1470464433911398E-4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</row>
    <row r="77" spans="1:95" customFormat="1" ht="13" x14ac:dyDescent="0.15">
      <c r="A77" t="s">
        <v>240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2.7027542543459199E-2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</row>
    <row r="78" spans="1:95" customFormat="1" ht="13" x14ac:dyDescent="0.15">
      <c r="A78" t="s">
        <v>215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3.9856655902739801E-3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</row>
    <row r="79" spans="1:95" customFormat="1" ht="13" x14ac:dyDescent="0.15">
      <c r="A79" t="s">
        <v>216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4.1500880476028901E-3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4.2318557232442202E-3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</row>
    <row r="80" spans="1:95" customFormat="1" ht="13" x14ac:dyDescent="0.15">
      <c r="A80" t="s">
        <v>217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2.02800349196827E-2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1.82559252309695E-2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</row>
    <row r="81" spans="1:95" customFormat="1" ht="13" x14ac:dyDescent="0.15">
      <c r="A81" t="s">
        <v>266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</row>
    <row r="82" spans="1:95" customFormat="1" ht="13" x14ac:dyDescent="0.15">
      <c r="A82" t="s">
        <v>267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2.8045309288966699E-2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5.6228201955740801E-3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</row>
    <row r="83" spans="1:95" customFormat="1" ht="13" x14ac:dyDescent="0.15">
      <c r="A83" t="s">
        <v>218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9.5564109205057801E-4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</row>
    <row r="84" spans="1:95" customFormat="1" ht="13" x14ac:dyDescent="0.15">
      <c r="A84" t="s">
        <v>219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5.4188423962542302E-2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</row>
    <row r="85" spans="1:95" customFormat="1" ht="13" x14ac:dyDescent="0.15">
      <c r="A85" t="s">
        <v>220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0.10498333924400401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</row>
    <row r="86" spans="1:95" customFormat="1" ht="13" x14ac:dyDescent="0.15">
      <c r="A86" t="s">
        <v>221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8.2175274523098602E-3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</row>
    <row r="87" spans="1:95" customFormat="1" ht="13" x14ac:dyDescent="0.15">
      <c r="A87" t="s">
        <v>268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</row>
    <row r="88" spans="1:95" customFormat="1" ht="13" x14ac:dyDescent="0.15">
      <c r="A88" t="s">
        <v>269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</row>
    <row r="89" spans="1:95" customFormat="1" ht="13" x14ac:dyDescent="0.15">
      <c r="A89" t="s">
        <v>222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</row>
    <row r="90" spans="1:95" customFormat="1" ht="13" x14ac:dyDescent="0.15">
      <c r="A90" t="s">
        <v>270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</row>
    <row r="91" spans="1:95" customFormat="1" ht="13" x14ac:dyDescent="0.15">
      <c r="A91" t="s">
        <v>223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</row>
    <row r="92" spans="1:95" customFormat="1" ht="13" x14ac:dyDescent="0.15">
      <c r="A92" t="s">
        <v>224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</row>
    <row r="93" spans="1:95" customFormat="1" ht="13" x14ac:dyDescent="0.15">
      <c r="A93" t="s">
        <v>225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</row>
    <row r="94" spans="1:95" customFormat="1" ht="13" x14ac:dyDescent="0.15">
      <c r="A94" t="s">
        <v>226</v>
      </c>
      <c r="B94">
        <v>0</v>
      </c>
      <c r="C94">
        <v>1</v>
      </c>
      <c r="D94">
        <v>0.79518637090327304</v>
      </c>
      <c r="E94">
        <v>0.56943727655479504</v>
      </c>
      <c r="F94">
        <v>0.24476760394490199</v>
      </c>
      <c r="G94">
        <v>0</v>
      </c>
      <c r="H94">
        <v>0</v>
      </c>
      <c r="I94">
        <v>0</v>
      </c>
      <c r="J94">
        <v>0.191870361063258</v>
      </c>
      <c r="K94">
        <v>0</v>
      </c>
      <c r="L94">
        <v>0.33282662658814299</v>
      </c>
      <c r="M94">
        <v>0.168070114856673</v>
      </c>
      <c r="N94">
        <v>5.1737378677917901E-3</v>
      </c>
      <c r="O94">
        <v>7.6049446839873802E-2</v>
      </c>
      <c r="P94">
        <v>0</v>
      </c>
      <c r="Q94">
        <v>1.8355879500508699E-2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1.3538733023673101E-2</v>
      </c>
      <c r="AQ94">
        <v>0</v>
      </c>
      <c r="AR94">
        <v>0</v>
      </c>
      <c r="AS94">
        <v>0</v>
      </c>
      <c r="AT94">
        <v>3.5984510509337202E-2</v>
      </c>
      <c r="AU94">
        <v>0</v>
      </c>
      <c r="AV94">
        <v>0</v>
      </c>
      <c r="AW94">
        <v>0.150484788155195</v>
      </c>
      <c r="AX94">
        <v>3.6148401869488798E-3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1.44772741527675E-2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</row>
    <row r="95" spans="1:95" x14ac:dyDescent="0.2">
      <c r="A95" s="175" t="s">
        <v>123</v>
      </c>
      <c r="B95" s="180">
        <v>0</v>
      </c>
      <c r="C95" s="180">
        <v>0</v>
      </c>
      <c r="D95" s="180">
        <v>0</v>
      </c>
      <c r="E95" s="180">
        <v>0</v>
      </c>
      <c r="F95" s="180">
        <v>0</v>
      </c>
      <c r="G95" s="180">
        <v>0</v>
      </c>
      <c r="H95" s="180">
        <v>0</v>
      </c>
      <c r="I95" s="180">
        <v>0</v>
      </c>
      <c r="J95" s="180">
        <v>0</v>
      </c>
      <c r="K95" s="180">
        <v>0</v>
      </c>
      <c r="L95" s="180">
        <v>0</v>
      </c>
      <c r="M95" s="180">
        <v>0</v>
      </c>
      <c r="N95" s="180">
        <v>0</v>
      </c>
      <c r="O95" s="180">
        <v>0</v>
      </c>
      <c r="P95" s="180">
        <v>0</v>
      </c>
      <c r="Q95" s="180">
        <v>0</v>
      </c>
      <c r="R95" s="180">
        <v>0</v>
      </c>
      <c r="S95" s="180">
        <v>0</v>
      </c>
      <c r="T95" s="180">
        <v>0</v>
      </c>
      <c r="U95" s="180">
        <v>0</v>
      </c>
      <c r="V95" s="180">
        <v>0</v>
      </c>
      <c r="W95" s="180">
        <v>0</v>
      </c>
      <c r="X95" s="180">
        <v>0</v>
      </c>
      <c r="Y95" s="180">
        <v>0</v>
      </c>
      <c r="Z95" s="180">
        <v>0</v>
      </c>
      <c r="AA95" s="180">
        <v>0</v>
      </c>
      <c r="AB95" s="180">
        <v>0</v>
      </c>
      <c r="AC95" s="180">
        <v>0</v>
      </c>
      <c r="AD95" s="180">
        <v>0</v>
      </c>
      <c r="AE95" s="180">
        <v>0</v>
      </c>
      <c r="AF95" s="180">
        <v>0</v>
      </c>
      <c r="AG95" s="180">
        <v>0</v>
      </c>
      <c r="AH95" s="180">
        <v>0</v>
      </c>
      <c r="AI95" s="180">
        <v>0</v>
      </c>
      <c r="AJ95" s="180">
        <v>0</v>
      </c>
      <c r="AK95" s="180">
        <v>0</v>
      </c>
      <c r="AL95" s="180">
        <v>0</v>
      </c>
      <c r="AM95" s="180">
        <v>0</v>
      </c>
      <c r="AN95" s="180">
        <v>0</v>
      </c>
      <c r="AO95" s="180">
        <v>0</v>
      </c>
      <c r="AP95" s="180">
        <v>0</v>
      </c>
      <c r="AQ95" s="180">
        <v>0</v>
      </c>
      <c r="AR95" s="180">
        <v>0</v>
      </c>
      <c r="AS95" s="180">
        <v>0</v>
      </c>
      <c r="AT95" s="180">
        <v>0</v>
      </c>
      <c r="AU95" s="180">
        <v>0</v>
      </c>
      <c r="AV95" s="180">
        <v>0</v>
      </c>
      <c r="AW95" s="180">
        <v>0</v>
      </c>
      <c r="AX95" s="180">
        <v>0</v>
      </c>
      <c r="AY95" s="180">
        <v>0</v>
      </c>
      <c r="AZ95" s="180">
        <v>0</v>
      </c>
      <c r="BA95" s="180">
        <v>0</v>
      </c>
      <c r="BB95" s="180">
        <v>0</v>
      </c>
      <c r="BC95" s="180">
        <v>0</v>
      </c>
      <c r="BD95" s="180">
        <v>0</v>
      </c>
      <c r="BE95" s="180">
        <v>0</v>
      </c>
      <c r="BF95" s="180">
        <v>0</v>
      </c>
      <c r="BG95" s="180">
        <v>0</v>
      </c>
      <c r="BH95" s="180">
        <v>0</v>
      </c>
      <c r="BI95" s="180">
        <v>0</v>
      </c>
      <c r="BJ95" s="180">
        <v>0</v>
      </c>
      <c r="BK95" s="180">
        <v>0</v>
      </c>
      <c r="BL95" s="180">
        <v>0</v>
      </c>
      <c r="BM95" s="180">
        <v>0</v>
      </c>
      <c r="BN95" s="180">
        <v>0</v>
      </c>
      <c r="BO95" s="180">
        <v>0</v>
      </c>
      <c r="BP95" s="180">
        <v>0</v>
      </c>
      <c r="BQ95" s="180">
        <v>0</v>
      </c>
      <c r="BR95" s="180">
        <v>0</v>
      </c>
      <c r="BS95" s="180">
        <v>0</v>
      </c>
      <c r="BT95" s="180">
        <v>0</v>
      </c>
      <c r="BU95" s="180">
        <v>0</v>
      </c>
      <c r="BV95" s="180">
        <v>0</v>
      </c>
      <c r="BW95" s="180">
        <v>0</v>
      </c>
      <c r="BX95" s="180">
        <v>0</v>
      </c>
      <c r="BY95" s="180">
        <v>0</v>
      </c>
      <c r="BZ95" s="180">
        <v>0</v>
      </c>
      <c r="CA95" s="180">
        <v>0</v>
      </c>
      <c r="CB95" s="180">
        <v>0</v>
      </c>
      <c r="CC95" s="180">
        <v>0</v>
      </c>
      <c r="CD95" s="180">
        <v>0</v>
      </c>
      <c r="CE95" s="180">
        <v>0</v>
      </c>
      <c r="CF95" s="180">
        <v>0</v>
      </c>
      <c r="CG95" s="180">
        <v>0</v>
      </c>
      <c r="CH95" s="180">
        <v>0</v>
      </c>
      <c r="CI95" s="180">
        <v>0</v>
      </c>
      <c r="CJ95" s="180">
        <v>0</v>
      </c>
      <c r="CK95" s="180">
        <v>0</v>
      </c>
      <c r="CL95" s="180">
        <v>0</v>
      </c>
      <c r="CM95" s="180">
        <v>0</v>
      </c>
      <c r="CN95" s="180">
        <v>0</v>
      </c>
      <c r="CO95" s="180">
        <v>0</v>
      </c>
      <c r="CP95" s="180">
        <v>0</v>
      </c>
      <c r="CQ95" s="180">
        <v>0</v>
      </c>
    </row>
    <row r="96" spans="1:95" customFormat="1" ht="13" x14ac:dyDescent="0.15">
      <c r="A96" t="s">
        <v>272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2.06155586403515E-2</v>
      </c>
      <c r="O96">
        <v>0</v>
      </c>
      <c r="P96">
        <v>0</v>
      </c>
      <c r="Q96">
        <v>0</v>
      </c>
      <c r="R96">
        <v>5.9491165806463998E-2</v>
      </c>
      <c r="S96">
        <v>0</v>
      </c>
      <c r="T96">
        <v>0</v>
      </c>
      <c r="U96">
        <v>2.3178713535082101E-3</v>
      </c>
      <c r="V96">
        <v>3.0498819728925898E-3</v>
      </c>
      <c r="W96">
        <v>3.05125124942708E-2</v>
      </c>
      <c r="X96">
        <v>0</v>
      </c>
      <c r="Y96">
        <v>9.2940015574882896E-3</v>
      </c>
      <c r="Z96">
        <v>8.5544553478790905E-2</v>
      </c>
      <c r="AA96">
        <v>3.5776536775411802E-2</v>
      </c>
      <c r="AB96">
        <v>0.13738899464278401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6.2820539705546402E-3</v>
      </c>
      <c r="AI96">
        <v>3.3898216732699202E-2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0.18016512075778901</v>
      </c>
      <c r="AQ96">
        <v>0</v>
      </c>
      <c r="AR96">
        <v>3.2661761328535102E-4</v>
      </c>
      <c r="AS96">
        <v>1.88465081637617E-2</v>
      </c>
      <c r="AT96">
        <v>5.5633583854762199E-2</v>
      </c>
      <c r="AU96">
        <v>0.75576638211774705</v>
      </c>
      <c r="AV96">
        <v>6.2218510213470496E-3</v>
      </c>
      <c r="AW96">
        <v>0</v>
      </c>
      <c r="AX96">
        <v>1.36368648425304E-3</v>
      </c>
      <c r="AY96">
        <v>2.6826733964789499E-3</v>
      </c>
      <c r="AZ96">
        <v>0</v>
      </c>
      <c r="BA96">
        <v>0</v>
      </c>
      <c r="BB96">
        <v>2.2155561656557899E-2</v>
      </c>
      <c r="BC96">
        <v>0</v>
      </c>
      <c r="BD96">
        <v>6.4085431752380601E-2</v>
      </c>
      <c r="BE96">
        <v>0</v>
      </c>
      <c r="BF96">
        <v>0</v>
      </c>
      <c r="BG96">
        <v>2.4299572142857499E-2</v>
      </c>
      <c r="BH96">
        <v>0.11323709126015701</v>
      </c>
      <c r="BI96">
        <v>5.35881343342461E-3</v>
      </c>
      <c r="BJ96">
        <v>0.18163842171965</v>
      </c>
      <c r="BK96">
        <v>1.63112175792853E-2</v>
      </c>
      <c r="BL96">
        <v>8.2610038059671206E-3</v>
      </c>
      <c r="BM96">
        <v>0.42626381521700102</v>
      </c>
      <c r="BN96">
        <v>2.9900442620335799E-2</v>
      </c>
      <c r="BO96">
        <v>0.52081163146869902</v>
      </c>
      <c r="BP96">
        <v>0.79419234061035204</v>
      </c>
      <c r="BQ96">
        <v>0.49069686143681102</v>
      </c>
      <c r="BR96">
        <v>0.46875060218562498</v>
      </c>
      <c r="BS96">
        <v>0</v>
      </c>
      <c r="BT96">
        <v>0.74106993761975004</v>
      </c>
      <c r="BU96">
        <v>0.37285071052081598</v>
      </c>
      <c r="BV96">
        <v>5.0436466036671602E-2</v>
      </c>
      <c r="BW96">
        <v>0.49440005003452903</v>
      </c>
      <c r="BX96">
        <v>4.96104928496236E-2</v>
      </c>
      <c r="BY96">
        <v>0</v>
      </c>
      <c r="BZ96">
        <v>0</v>
      </c>
      <c r="CA96">
        <v>5.1373203759893397E-2</v>
      </c>
      <c r="CB96">
        <v>6.1316121697849203E-2</v>
      </c>
      <c r="CC96">
        <v>0.28779134409799001</v>
      </c>
      <c r="CD96">
        <v>0.66078897298863104</v>
      </c>
      <c r="CE96">
        <v>0.447181451902531</v>
      </c>
      <c r="CF96">
        <v>0.46383351403542999</v>
      </c>
      <c r="CG96">
        <v>0.33378623990188799</v>
      </c>
      <c r="CH96">
        <v>0.248155052012069</v>
      </c>
      <c r="CI96">
        <v>0.14252294538193</v>
      </c>
      <c r="CJ96">
        <v>0.29321733360673502</v>
      </c>
      <c r="CK96">
        <v>0.14075056652214901</v>
      </c>
      <c r="CL96">
        <v>4.7343130432580899E-2</v>
      </c>
      <c r="CM96">
        <v>0.185455326755079</v>
      </c>
      <c r="CN96">
        <v>6.3321346719408894E-2</v>
      </c>
      <c r="CO96">
        <v>1.74262924892871E-2</v>
      </c>
      <c r="CP96">
        <v>0</v>
      </c>
      <c r="CQ96">
        <v>0</v>
      </c>
    </row>
    <row r="100" spans="1:95" x14ac:dyDescent="0.2">
      <c r="A100" s="181" t="s">
        <v>227</v>
      </c>
      <c r="B100" s="180">
        <f t="shared" ref="B100:AG100" si="0">SUM(B2:B96)</f>
        <v>0</v>
      </c>
      <c r="C100" s="180">
        <f t="shared" si="0"/>
        <v>1</v>
      </c>
      <c r="D100" s="180">
        <f t="shared" si="0"/>
        <v>1</v>
      </c>
      <c r="E100" s="180">
        <f t="shared" si="0"/>
        <v>1</v>
      </c>
      <c r="F100" s="180">
        <f t="shared" si="0"/>
        <v>1</v>
      </c>
      <c r="G100" s="180">
        <f t="shared" si="0"/>
        <v>1</v>
      </c>
      <c r="H100" s="180">
        <f t="shared" si="0"/>
        <v>1.0000000000000007</v>
      </c>
      <c r="I100" s="180">
        <f t="shared" si="0"/>
        <v>1.0000000000000002</v>
      </c>
      <c r="J100" s="180">
        <f t="shared" si="0"/>
        <v>1.0000000000000009</v>
      </c>
      <c r="K100" s="180">
        <f t="shared" si="0"/>
        <v>1</v>
      </c>
      <c r="L100" s="180">
        <f t="shared" si="0"/>
        <v>0.99999999999999967</v>
      </c>
      <c r="M100" s="180">
        <f t="shared" si="0"/>
        <v>1.0000000000000002</v>
      </c>
      <c r="N100" s="180">
        <f t="shared" si="0"/>
        <v>0.99999999999999867</v>
      </c>
      <c r="O100" s="180">
        <f t="shared" si="0"/>
        <v>1.0000000000000009</v>
      </c>
      <c r="P100" s="180">
        <f t="shared" si="0"/>
        <v>0.99999999999999944</v>
      </c>
      <c r="Q100" s="180">
        <f t="shared" si="0"/>
        <v>0.99999999999999989</v>
      </c>
      <c r="R100" s="180">
        <f t="shared" si="0"/>
        <v>0.99999999999999956</v>
      </c>
      <c r="S100" s="180">
        <f t="shared" si="0"/>
        <v>0.99999999999999944</v>
      </c>
      <c r="T100" s="180">
        <f t="shared" si="0"/>
        <v>0.99999999999999956</v>
      </c>
      <c r="U100" s="180">
        <f t="shared" si="0"/>
        <v>0.99999999999999956</v>
      </c>
      <c r="V100" s="180">
        <f t="shared" si="0"/>
        <v>0.99999999999999922</v>
      </c>
      <c r="W100" s="180">
        <f t="shared" si="0"/>
        <v>1</v>
      </c>
      <c r="X100" s="180">
        <f t="shared" si="0"/>
        <v>1.0000000000000002</v>
      </c>
      <c r="Y100" s="180">
        <f t="shared" si="0"/>
        <v>0.999999999999999</v>
      </c>
      <c r="Z100" s="180">
        <f t="shared" si="0"/>
        <v>0.99999999999999978</v>
      </c>
      <c r="AA100" s="180">
        <f t="shared" si="0"/>
        <v>1.0000000000000002</v>
      </c>
      <c r="AB100" s="180">
        <f t="shared" si="0"/>
        <v>1.0000000000000009</v>
      </c>
      <c r="AC100" s="180">
        <f t="shared" si="0"/>
        <v>0.99999999999999967</v>
      </c>
      <c r="AD100" s="180">
        <f t="shared" si="0"/>
        <v>0.99999999999999967</v>
      </c>
      <c r="AE100" s="180">
        <f t="shared" si="0"/>
        <v>1.0000000000000002</v>
      </c>
      <c r="AF100" s="180">
        <f t="shared" si="0"/>
        <v>1</v>
      </c>
      <c r="AG100" s="180">
        <f t="shared" si="0"/>
        <v>1.0000000000000004</v>
      </c>
      <c r="AH100" s="180">
        <f t="shared" ref="AH100:BM100" si="1">SUM(AH2:AH96)</f>
        <v>0.99999999999999967</v>
      </c>
      <c r="AI100" s="180">
        <f t="shared" si="1"/>
        <v>1.0000000000000004</v>
      </c>
      <c r="AJ100" s="180">
        <f t="shared" si="1"/>
        <v>0.99999999999999989</v>
      </c>
      <c r="AK100" s="180">
        <f t="shared" si="1"/>
        <v>0.99999999999999967</v>
      </c>
      <c r="AL100" s="180">
        <f t="shared" si="1"/>
        <v>0.99999999999999889</v>
      </c>
      <c r="AM100" s="180">
        <f t="shared" si="1"/>
        <v>0.99999999999999989</v>
      </c>
      <c r="AN100" s="180">
        <f t="shared" si="1"/>
        <v>0.99999999999999967</v>
      </c>
      <c r="AO100" s="180">
        <f t="shared" si="1"/>
        <v>1.0000000000000004</v>
      </c>
      <c r="AP100" s="180">
        <f t="shared" si="1"/>
        <v>1.0000000000000009</v>
      </c>
      <c r="AQ100" s="180">
        <f t="shared" si="1"/>
        <v>0.99999999999999989</v>
      </c>
      <c r="AR100" s="180">
        <f t="shared" si="1"/>
        <v>1.0000000000000009</v>
      </c>
      <c r="AS100" s="180">
        <f t="shared" si="1"/>
        <v>0.99999999999999978</v>
      </c>
      <c r="AT100" s="180">
        <f t="shared" si="1"/>
        <v>0.99999999999999978</v>
      </c>
      <c r="AU100" s="180">
        <f t="shared" si="1"/>
        <v>1.0000000000000002</v>
      </c>
      <c r="AV100" s="180">
        <f t="shared" si="1"/>
        <v>1</v>
      </c>
      <c r="AW100" s="180">
        <f t="shared" si="1"/>
        <v>1.0000000000000002</v>
      </c>
      <c r="AX100" s="180">
        <f t="shared" si="1"/>
        <v>1.0000000000000004</v>
      </c>
      <c r="AY100" s="180">
        <f t="shared" si="1"/>
        <v>1</v>
      </c>
      <c r="AZ100" s="180">
        <f t="shared" si="1"/>
        <v>0.99999999999999978</v>
      </c>
      <c r="BA100" s="180">
        <f t="shared" si="1"/>
        <v>0.99999999999999922</v>
      </c>
      <c r="BB100" s="180">
        <f t="shared" si="1"/>
        <v>0.99999999999999933</v>
      </c>
      <c r="BC100" s="180">
        <f t="shared" si="1"/>
        <v>1</v>
      </c>
      <c r="BD100" s="180">
        <f t="shared" si="1"/>
        <v>0.99999999999999911</v>
      </c>
      <c r="BE100" s="180">
        <f t="shared" si="1"/>
        <v>0.99999999999999933</v>
      </c>
      <c r="BF100" s="180">
        <f t="shared" si="1"/>
        <v>1</v>
      </c>
      <c r="BG100" s="180">
        <f t="shared" si="1"/>
        <v>1.0000000000000004</v>
      </c>
      <c r="BH100" s="180">
        <f t="shared" si="1"/>
        <v>0.99999999999999967</v>
      </c>
      <c r="BI100" s="180">
        <f t="shared" si="1"/>
        <v>1.0000000000000002</v>
      </c>
      <c r="BJ100" s="180">
        <f t="shared" si="1"/>
        <v>1</v>
      </c>
      <c r="BK100" s="180">
        <f t="shared" si="1"/>
        <v>1.0000000000000011</v>
      </c>
      <c r="BL100" s="180">
        <f t="shared" si="1"/>
        <v>1.0000000000000002</v>
      </c>
      <c r="BM100" s="180">
        <f t="shared" si="1"/>
        <v>0.99999999999999956</v>
      </c>
      <c r="BN100" s="180">
        <f t="shared" ref="BN100:CQ100" si="2">SUM(BN2:BN96)</f>
        <v>1.0000000000000004</v>
      </c>
      <c r="BO100" s="180">
        <f t="shared" si="2"/>
        <v>1.0000000000000004</v>
      </c>
      <c r="BP100" s="180">
        <f t="shared" si="2"/>
        <v>0.99999999999999922</v>
      </c>
      <c r="BQ100" s="180">
        <f t="shared" si="2"/>
        <v>0.99999999999999933</v>
      </c>
      <c r="BR100" s="180">
        <f t="shared" si="2"/>
        <v>1</v>
      </c>
      <c r="BS100" s="180">
        <f t="shared" si="2"/>
        <v>0.99999999999999967</v>
      </c>
      <c r="BT100" s="180">
        <f t="shared" si="2"/>
        <v>1.0000000000000009</v>
      </c>
      <c r="BU100" s="180">
        <f t="shared" si="2"/>
        <v>0.99999999999999978</v>
      </c>
      <c r="BV100" s="180">
        <f t="shared" si="2"/>
        <v>1</v>
      </c>
      <c r="BW100" s="180">
        <f t="shared" si="2"/>
        <v>1</v>
      </c>
      <c r="BX100" s="180">
        <f t="shared" si="2"/>
        <v>0.99999999999999967</v>
      </c>
      <c r="BY100" s="180">
        <f t="shared" si="2"/>
        <v>0.99999999999999967</v>
      </c>
      <c r="BZ100" s="180">
        <f t="shared" si="2"/>
        <v>1</v>
      </c>
      <c r="CA100" s="180">
        <f t="shared" si="2"/>
        <v>1</v>
      </c>
      <c r="CB100" s="180">
        <f t="shared" si="2"/>
        <v>1.0000000000000007</v>
      </c>
      <c r="CC100" s="180">
        <f t="shared" si="2"/>
        <v>1.0000000000000002</v>
      </c>
      <c r="CD100" s="180">
        <f t="shared" si="2"/>
        <v>1.0000000000000002</v>
      </c>
      <c r="CE100" s="180">
        <f t="shared" si="2"/>
        <v>0.99999999999999933</v>
      </c>
      <c r="CF100" s="180">
        <f t="shared" si="2"/>
        <v>1</v>
      </c>
      <c r="CG100" s="180">
        <f t="shared" si="2"/>
        <v>0.99999999999999956</v>
      </c>
      <c r="CH100" s="180">
        <f t="shared" si="2"/>
        <v>0.99999999999999978</v>
      </c>
      <c r="CI100" s="180">
        <f t="shared" si="2"/>
        <v>0.99999999999999944</v>
      </c>
      <c r="CJ100" s="180">
        <f t="shared" si="2"/>
        <v>1</v>
      </c>
      <c r="CK100" s="180">
        <f t="shared" si="2"/>
        <v>0.99999999999999944</v>
      </c>
      <c r="CL100" s="180">
        <f t="shared" si="2"/>
        <v>0.99999999999999933</v>
      </c>
      <c r="CM100" s="180">
        <f t="shared" si="2"/>
        <v>1</v>
      </c>
      <c r="CN100" s="180">
        <f t="shared" si="2"/>
        <v>0.99999999999999978</v>
      </c>
      <c r="CO100" s="180">
        <f t="shared" si="2"/>
        <v>0.99999999999999956</v>
      </c>
      <c r="CP100" s="180">
        <f t="shared" si="2"/>
        <v>0</v>
      </c>
      <c r="CQ100" s="180">
        <f t="shared" si="2"/>
        <v>0</v>
      </c>
    </row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95" sqref="B2:B95"/>
    </sheetView>
  </sheetViews>
  <sheetFormatPr baseColWidth="10" defaultColWidth="8.83203125" defaultRowHeight="13" x14ac:dyDescent="0.15"/>
  <cols>
    <col min="1" max="1" width="12.83203125" customWidth="1"/>
    <col min="2" max="2" width="21.6640625" customWidth="1"/>
    <col min="3" max="4" width="23.83203125" style="113" customWidth="1"/>
    <col min="5" max="6" width="23.83203125" style="112" customWidth="1"/>
    <col min="7" max="8" width="8.83203125" style="113"/>
  </cols>
  <sheetData>
    <row r="1" spans="1:8" ht="17" x14ac:dyDescent="0.2">
      <c r="A1" s="4" t="s">
        <v>20</v>
      </c>
      <c r="B1" s="1" t="s">
        <v>0</v>
      </c>
      <c r="C1" s="175" t="s">
        <v>226</v>
      </c>
      <c r="D1" s="175" t="s">
        <v>123</v>
      </c>
      <c r="E1" s="182" t="s">
        <v>242</v>
      </c>
      <c r="F1" s="183" t="s">
        <v>243</v>
      </c>
      <c r="G1"/>
      <c r="H1"/>
    </row>
    <row r="2" spans="1:8" ht="16" x14ac:dyDescent="0.2">
      <c r="A2">
        <v>1</v>
      </c>
      <c r="B2" s="175" t="s">
        <v>172</v>
      </c>
      <c r="C2" s="303">
        <v>1</v>
      </c>
      <c r="D2" s="113">
        <v>0</v>
      </c>
      <c r="E2" s="113">
        <v>0</v>
      </c>
      <c r="F2" s="184">
        <f>SUM(C2:E2)</f>
        <v>1</v>
      </c>
      <c r="G2"/>
      <c r="H2"/>
    </row>
    <row r="3" spans="1:8" ht="16" x14ac:dyDescent="0.2">
      <c r="A3">
        <v>2</v>
      </c>
      <c r="B3" s="175" t="s">
        <v>173</v>
      </c>
      <c r="C3" s="303">
        <v>1</v>
      </c>
      <c r="D3" s="113">
        <v>0</v>
      </c>
      <c r="E3" s="113">
        <v>0</v>
      </c>
      <c r="F3" s="184">
        <f t="shared" ref="F3:F66" si="0">SUM(C3:E3)</f>
        <v>1</v>
      </c>
      <c r="G3"/>
      <c r="H3"/>
    </row>
    <row r="4" spans="1:8" ht="16" x14ac:dyDescent="0.2">
      <c r="A4">
        <v>3</v>
      </c>
      <c r="B4" s="175" t="s">
        <v>174</v>
      </c>
      <c r="C4" s="303">
        <v>1</v>
      </c>
      <c r="D4" s="113">
        <v>0</v>
      </c>
      <c r="E4" s="113">
        <v>0</v>
      </c>
      <c r="F4" s="184">
        <f t="shared" si="0"/>
        <v>1</v>
      </c>
      <c r="G4"/>
      <c r="H4"/>
    </row>
    <row r="5" spans="1:8" ht="16" x14ac:dyDescent="0.2">
      <c r="A5">
        <v>4</v>
      </c>
      <c r="B5" s="175" t="s">
        <v>175</v>
      </c>
      <c r="C5" s="303">
        <v>1</v>
      </c>
      <c r="D5" s="113">
        <v>0</v>
      </c>
      <c r="E5" s="113">
        <v>0</v>
      </c>
      <c r="F5" s="184">
        <f t="shared" si="0"/>
        <v>1</v>
      </c>
      <c r="G5"/>
      <c r="H5"/>
    </row>
    <row r="6" spans="1:8" ht="16" x14ac:dyDescent="0.2">
      <c r="A6">
        <v>5</v>
      </c>
      <c r="B6" s="175" t="s">
        <v>176</v>
      </c>
      <c r="C6" s="303">
        <v>1</v>
      </c>
      <c r="D6" s="113">
        <v>0</v>
      </c>
      <c r="E6" s="113">
        <v>0</v>
      </c>
      <c r="F6" s="184">
        <f t="shared" si="0"/>
        <v>1</v>
      </c>
      <c r="G6"/>
      <c r="H6"/>
    </row>
    <row r="7" spans="1:8" ht="16" x14ac:dyDescent="0.2">
      <c r="A7">
        <v>6</v>
      </c>
      <c r="B7" s="175" t="s">
        <v>177</v>
      </c>
      <c r="C7" s="303">
        <v>1</v>
      </c>
      <c r="D7" s="113">
        <v>0</v>
      </c>
      <c r="E7" s="113">
        <v>0</v>
      </c>
      <c r="F7" s="184">
        <f t="shared" si="0"/>
        <v>1</v>
      </c>
      <c r="G7"/>
      <c r="H7"/>
    </row>
    <row r="8" spans="1:8" ht="16" x14ac:dyDescent="0.2">
      <c r="A8">
        <v>7</v>
      </c>
      <c r="B8" s="175" t="s">
        <v>161</v>
      </c>
      <c r="C8" s="303">
        <v>1</v>
      </c>
      <c r="D8" s="113">
        <v>0</v>
      </c>
      <c r="E8" s="113">
        <v>0</v>
      </c>
      <c r="F8" s="184">
        <f t="shared" si="0"/>
        <v>1</v>
      </c>
      <c r="G8"/>
      <c r="H8"/>
    </row>
    <row r="9" spans="1:8" ht="16" x14ac:dyDescent="0.2">
      <c r="A9">
        <v>8</v>
      </c>
      <c r="B9" s="175" t="s">
        <v>178</v>
      </c>
      <c r="C9" s="303">
        <v>1</v>
      </c>
      <c r="D9" s="113">
        <v>0</v>
      </c>
      <c r="E9" s="113">
        <v>0</v>
      </c>
      <c r="F9" s="184">
        <f t="shared" si="0"/>
        <v>1</v>
      </c>
      <c r="G9"/>
      <c r="H9"/>
    </row>
    <row r="10" spans="1:8" ht="16" x14ac:dyDescent="0.2">
      <c r="A10">
        <v>9</v>
      </c>
      <c r="B10" s="175" t="s">
        <v>179</v>
      </c>
      <c r="C10" s="303">
        <v>1</v>
      </c>
      <c r="D10" s="113">
        <v>0</v>
      </c>
      <c r="E10" s="113">
        <v>0</v>
      </c>
      <c r="F10" s="184">
        <f t="shared" si="0"/>
        <v>1</v>
      </c>
      <c r="G10"/>
      <c r="H10"/>
    </row>
    <row r="11" spans="1:8" ht="16" x14ac:dyDescent="0.2">
      <c r="A11">
        <v>10</v>
      </c>
      <c r="B11" s="175" t="s">
        <v>180</v>
      </c>
      <c r="C11" s="303">
        <v>1</v>
      </c>
      <c r="D11" s="113">
        <v>0</v>
      </c>
      <c r="E11" s="113">
        <v>0</v>
      </c>
      <c r="F11" s="184">
        <f t="shared" si="0"/>
        <v>1</v>
      </c>
      <c r="G11"/>
      <c r="H11"/>
    </row>
    <row r="12" spans="1:8" ht="16" x14ac:dyDescent="0.2">
      <c r="A12">
        <v>11</v>
      </c>
      <c r="B12" s="175" t="s">
        <v>181</v>
      </c>
      <c r="C12" s="303">
        <v>1</v>
      </c>
      <c r="D12" s="113">
        <v>0</v>
      </c>
      <c r="E12" s="113">
        <v>0</v>
      </c>
      <c r="F12" s="184">
        <f t="shared" si="0"/>
        <v>1</v>
      </c>
      <c r="G12"/>
      <c r="H12"/>
    </row>
    <row r="13" spans="1:8" ht="16" x14ac:dyDescent="0.2">
      <c r="A13">
        <v>12</v>
      </c>
      <c r="B13" s="175" t="s">
        <v>182</v>
      </c>
      <c r="C13" s="303">
        <v>1</v>
      </c>
      <c r="D13" s="113">
        <v>0</v>
      </c>
      <c r="E13" s="113">
        <v>0</v>
      </c>
      <c r="F13" s="184">
        <f t="shared" si="0"/>
        <v>1</v>
      </c>
      <c r="G13"/>
      <c r="H13"/>
    </row>
    <row r="14" spans="1:8" ht="16" x14ac:dyDescent="0.2">
      <c r="A14">
        <v>13</v>
      </c>
      <c r="B14" s="175" t="s">
        <v>245</v>
      </c>
      <c r="C14" s="303">
        <v>1</v>
      </c>
      <c r="D14" s="113">
        <v>0</v>
      </c>
      <c r="E14" s="113">
        <v>0</v>
      </c>
      <c r="F14" s="184">
        <f t="shared" si="0"/>
        <v>1</v>
      </c>
      <c r="G14"/>
      <c r="H14"/>
    </row>
    <row r="15" spans="1:8" ht="16" x14ac:dyDescent="0.2">
      <c r="A15">
        <v>14</v>
      </c>
      <c r="B15" s="175" t="s">
        <v>183</v>
      </c>
      <c r="C15" s="303">
        <v>1</v>
      </c>
      <c r="D15" s="113">
        <v>0</v>
      </c>
      <c r="E15" s="113">
        <v>0</v>
      </c>
      <c r="F15" s="184">
        <f t="shared" si="0"/>
        <v>1</v>
      </c>
      <c r="G15"/>
      <c r="H15"/>
    </row>
    <row r="16" spans="1:8" ht="16" x14ac:dyDescent="0.2">
      <c r="A16">
        <v>15</v>
      </c>
      <c r="B16" s="175" t="s">
        <v>184</v>
      </c>
      <c r="C16" s="303">
        <v>1</v>
      </c>
      <c r="D16" s="113">
        <v>0</v>
      </c>
      <c r="E16" s="113">
        <v>0</v>
      </c>
      <c r="F16" s="184">
        <f t="shared" si="0"/>
        <v>1</v>
      </c>
      <c r="G16"/>
      <c r="H16"/>
    </row>
    <row r="17" spans="1:8" ht="15" customHeight="1" x14ac:dyDescent="0.2">
      <c r="A17">
        <v>16</v>
      </c>
      <c r="B17" s="175" t="s">
        <v>228</v>
      </c>
      <c r="C17" s="303">
        <v>1</v>
      </c>
      <c r="D17" s="113">
        <v>0</v>
      </c>
      <c r="E17" s="113">
        <v>0</v>
      </c>
      <c r="F17" s="184">
        <f t="shared" si="0"/>
        <v>1</v>
      </c>
      <c r="G17"/>
      <c r="H17"/>
    </row>
    <row r="18" spans="1:8" ht="15" customHeight="1" x14ac:dyDescent="0.2">
      <c r="A18">
        <v>17</v>
      </c>
      <c r="B18" s="175" t="s">
        <v>185</v>
      </c>
      <c r="C18" s="303">
        <v>1</v>
      </c>
      <c r="D18" s="113">
        <v>0</v>
      </c>
      <c r="E18" s="113">
        <v>0</v>
      </c>
      <c r="F18" s="184">
        <f t="shared" si="0"/>
        <v>1</v>
      </c>
      <c r="G18"/>
      <c r="H18"/>
    </row>
    <row r="19" spans="1:8" ht="15" customHeight="1" x14ac:dyDescent="0.2">
      <c r="A19">
        <v>18</v>
      </c>
      <c r="B19" s="175" t="s">
        <v>246</v>
      </c>
      <c r="C19" s="303">
        <v>1</v>
      </c>
      <c r="D19" s="113">
        <v>0</v>
      </c>
      <c r="E19" s="113">
        <v>0</v>
      </c>
      <c r="F19" s="184">
        <f t="shared" si="0"/>
        <v>1</v>
      </c>
      <c r="G19"/>
      <c r="H19"/>
    </row>
    <row r="20" spans="1:8" ht="15" customHeight="1" x14ac:dyDescent="0.2">
      <c r="A20">
        <v>19</v>
      </c>
      <c r="B20" s="175" t="s">
        <v>229</v>
      </c>
      <c r="C20" s="303">
        <v>1</v>
      </c>
      <c r="D20" s="113">
        <v>0</v>
      </c>
      <c r="E20" s="113">
        <v>0</v>
      </c>
      <c r="F20" s="184">
        <f t="shared" si="0"/>
        <v>1</v>
      </c>
      <c r="G20"/>
      <c r="H20"/>
    </row>
    <row r="21" spans="1:8" ht="15" customHeight="1" x14ac:dyDescent="0.2">
      <c r="A21">
        <v>20</v>
      </c>
      <c r="B21" s="175" t="s">
        <v>186</v>
      </c>
      <c r="C21" s="303">
        <v>1</v>
      </c>
      <c r="D21" s="113">
        <v>0</v>
      </c>
      <c r="E21" s="113">
        <v>0</v>
      </c>
      <c r="F21" s="184">
        <f t="shared" si="0"/>
        <v>1</v>
      </c>
      <c r="G21"/>
      <c r="H21"/>
    </row>
    <row r="22" spans="1:8" ht="15" customHeight="1" x14ac:dyDescent="0.2">
      <c r="A22">
        <v>21</v>
      </c>
      <c r="B22" s="175" t="s">
        <v>187</v>
      </c>
      <c r="C22" s="303">
        <v>1</v>
      </c>
      <c r="D22" s="113">
        <v>0</v>
      </c>
      <c r="E22" s="113">
        <v>0</v>
      </c>
      <c r="F22" s="184">
        <f t="shared" si="0"/>
        <v>1</v>
      </c>
      <c r="G22"/>
      <c r="H22"/>
    </row>
    <row r="23" spans="1:8" ht="15" customHeight="1" x14ac:dyDescent="0.2">
      <c r="A23">
        <v>22</v>
      </c>
      <c r="B23" s="175" t="s">
        <v>188</v>
      </c>
      <c r="C23" s="303">
        <v>1</v>
      </c>
      <c r="D23" s="113">
        <v>0</v>
      </c>
      <c r="E23" s="113">
        <v>0</v>
      </c>
      <c r="F23" s="184">
        <f t="shared" si="0"/>
        <v>1</v>
      </c>
      <c r="G23"/>
      <c r="H23"/>
    </row>
    <row r="24" spans="1:8" ht="15" customHeight="1" x14ac:dyDescent="0.2">
      <c r="A24">
        <v>23</v>
      </c>
      <c r="B24" s="175" t="s">
        <v>189</v>
      </c>
      <c r="C24" s="303">
        <v>1</v>
      </c>
      <c r="D24" s="113">
        <v>0</v>
      </c>
      <c r="E24" s="113">
        <v>0</v>
      </c>
      <c r="F24" s="184">
        <f t="shared" si="0"/>
        <v>1</v>
      </c>
      <c r="G24"/>
      <c r="H24"/>
    </row>
    <row r="25" spans="1:8" ht="15" customHeight="1" x14ac:dyDescent="0.2">
      <c r="A25">
        <v>24</v>
      </c>
      <c r="B25" s="175" t="s">
        <v>230</v>
      </c>
      <c r="C25" s="303">
        <v>1</v>
      </c>
      <c r="D25" s="113">
        <v>0</v>
      </c>
      <c r="E25" s="113">
        <v>0</v>
      </c>
      <c r="F25" s="184">
        <f t="shared" si="0"/>
        <v>1</v>
      </c>
      <c r="G25"/>
      <c r="H25"/>
    </row>
    <row r="26" spans="1:8" ht="15" customHeight="1" x14ac:dyDescent="0.2">
      <c r="A26">
        <v>25</v>
      </c>
      <c r="B26" s="175" t="s">
        <v>231</v>
      </c>
      <c r="C26" s="303">
        <v>1</v>
      </c>
      <c r="D26" s="113">
        <v>0</v>
      </c>
      <c r="E26" s="113">
        <v>0</v>
      </c>
      <c r="F26" s="184">
        <f t="shared" si="0"/>
        <v>1</v>
      </c>
      <c r="G26"/>
      <c r="H26"/>
    </row>
    <row r="27" spans="1:8" ht="15" customHeight="1" x14ac:dyDescent="0.2">
      <c r="A27">
        <v>26</v>
      </c>
      <c r="B27" s="175" t="s">
        <v>192</v>
      </c>
      <c r="C27" s="303">
        <v>1</v>
      </c>
      <c r="D27" s="113">
        <v>0</v>
      </c>
      <c r="E27" s="113">
        <v>0</v>
      </c>
      <c r="F27" s="184">
        <f t="shared" si="0"/>
        <v>1</v>
      </c>
      <c r="G27"/>
      <c r="H27"/>
    </row>
    <row r="28" spans="1:8" ht="15" customHeight="1" x14ac:dyDescent="0.2">
      <c r="A28">
        <v>27</v>
      </c>
      <c r="B28" s="175" t="s">
        <v>193</v>
      </c>
      <c r="C28" s="303">
        <v>1</v>
      </c>
      <c r="D28" s="113">
        <v>0</v>
      </c>
      <c r="E28" s="113">
        <v>0</v>
      </c>
      <c r="F28" s="184">
        <f t="shared" si="0"/>
        <v>1</v>
      </c>
      <c r="G28"/>
      <c r="H28"/>
    </row>
    <row r="29" spans="1:8" ht="15" customHeight="1" x14ac:dyDescent="0.2">
      <c r="A29">
        <v>28</v>
      </c>
      <c r="B29" s="175" t="s">
        <v>247</v>
      </c>
      <c r="C29" s="303">
        <v>1</v>
      </c>
      <c r="D29" s="113">
        <v>0</v>
      </c>
      <c r="E29" s="113">
        <v>0</v>
      </c>
      <c r="F29" s="184">
        <f t="shared" si="0"/>
        <v>1</v>
      </c>
      <c r="G29"/>
      <c r="H29"/>
    </row>
    <row r="30" spans="1:8" ht="15" customHeight="1" x14ac:dyDescent="0.2">
      <c r="A30">
        <v>29</v>
      </c>
      <c r="B30" s="175" t="s">
        <v>248</v>
      </c>
      <c r="C30" s="303">
        <v>1</v>
      </c>
      <c r="D30" s="113">
        <v>0</v>
      </c>
      <c r="E30" s="113">
        <v>0</v>
      </c>
      <c r="F30" s="184">
        <f t="shared" si="0"/>
        <v>1</v>
      </c>
      <c r="G30"/>
      <c r="H30"/>
    </row>
    <row r="31" spans="1:8" ht="15" customHeight="1" x14ac:dyDescent="0.2">
      <c r="A31">
        <v>30</v>
      </c>
      <c r="B31" s="175" t="s">
        <v>249</v>
      </c>
      <c r="C31" s="303">
        <v>1</v>
      </c>
      <c r="D31" s="113">
        <v>0</v>
      </c>
      <c r="E31" s="113">
        <v>0</v>
      </c>
      <c r="F31" s="184">
        <f t="shared" si="0"/>
        <v>1</v>
      </c>
      <c r="G31"/>
      <c r="H31"/>
    </row>
    <row r="32" spans="1:8" ht="15" customHeight="1" x14ac:dyDescent="0.2">
      <c r="A32">
        <v>31</v>
      </c>
      <c r="B32" s="175" t="s">
        <v>250</v>
      </c>
      <c r="C32" s="303">
        <v>1</v>
      </c>
      <c r="D32" s="113">
        <v>0</v>
      </c>
      <c r="E32" s="112">
        <v>0</v>
      </c>
      <c r="F32" s="184">
        <f t="shared" si="0"/>
        <v>1</v>
      </c>
    </row>
    <row r="33" spans="1:8" ht="15" customHeight="1" x14ac:dyDescent="0.2">
      <c r="A33">
        <v>32</v>
      </c>
      <c r="B33" s="175" t="s">
        <v>251</v>
      </c>
      <c r="C33" s="303">
        <v>1</v>
      </c>
      <c r="D33" s="113">
        <v>0</v>
      </c>
      <c r="E33" s="112">
        <v>0</v>
      </c>
      <c r="F33" s="184">
        <f t="shared" si="0"/>
        <v>1</v>
      </c>
    </row>
    <row r="34" spans="1:8" ht="15" customHeight="1" x14ac:dyDescent="0.2">
      <c r="A34">
        <v>33</v>
      </c>
      <c r="B34" s="175" t="s">
        <v>252</v>
      </c>
      <c r="C34" s="303">
        <v>1</v>
      </c>
      <c r="D34" s="113">
        <v>0</v>
      </c>
      <c r="E34" s="112">
        <v>0</v>
      </c>
      <c r="F34" s="184">
        <f t="shared" si="0"/>
        <v>1</v>
      </c>
    </row>
    <row r="35" spans="1:8" ht="15" customHeight="1" x14ac:dyDescent="0.2">
      <c r="A35">
        <v>34</v>
      </c>
      <c r="B35" s="175" t="s">
        <v>253</v>
      </c>
      <c r="C35" s="303">
        <v>1</v>
      </c>
      <c r="D35" s="113">
        <v>0</v>
      </c>
      <c r="E35" s="112">
        <v>0</v>
      </c>
      <c r="F35" s="184">
        <f t="shared" si="0"/>
        <v>1</v>
      </c>
    </row>
    <row r="36" spans="1:8" ht="15" customHeight="1" x14ac:dyDescent="0.2">
      <c r="A36">
        <v>35</v>
      </c>
      <c r="B36" s="175" t="s">
        <v>254</v>
      </c>
      <c r="C36" s="303">
        <v>1</v>
      </c>
      <c r="D36" s="113">
        <v>0</v>
      </c>
      <c r="E36" s="113">
        <v>0</v>
      </c>
      <c r="F36" s="184">
        <f t="shared" si="0"/>
        <v>1</v>
      </c>
      <c r="G36"/>
      <c r="H36"/>
    </row>
    <row r="37" spans="1:8" ht="15" customHeight="1" x14ac:dyDescent="0.2">
      <c r="A37">
        <v>36</v>
      </c>
      <c r="B37" s="175" t="s">
        <v>255</v>
      </c>
      <c r="C37" s="303">
        <v>1</v>
      </c>
      <c r="D37" s="113">
        <v>0</v>
      </c>
      <c r="E37" s="113">
        <v>0</v>
      </c>
      <c r="F37" s="184">
        <f t="shared" si="0"/>
        <v>1</v>
      </c>
      <c r="G37"/>
      <c r="H37"/>
    </row>
    <row r="38" spans="1:8" ht="15" customHeight="1" x14ac:dyDescent="0.2">
      <c r="A38">
        <v>37</v>
      </c>
      <c r="B38" s="175" t="s">
        <v>194</v>
      </c>
      <c r="C38" s="303">
        <v>1</v>
      </c>
      <c r="D38" s="113">
        <v>0</v>
      </c>
      <c r="E38" s="113">
        <v>0</v>
      </c>
      <c r="F38" s="184">
        <f t="shared" si="0"/>
        <v>1</v>
      </c>
      <c r="G38"/>
      <c r="H38"/>
    </row>
    <row r="39" spans="1:8" ht="15" customHeight="1" x14ac:dyDescent="0.2">
      <c r="A39">
        <v>38</v>
      </c>
      <c r="B39" s="175" t="s">
        <v>256</v>
      </c>
      <c r="C39" s="303">
        <v>1</v>
      </c>
      <c r="D39" s="113">
        <v>0</v>
      </c>
      <c r="E39" s="113">
        <v>0</v>
      </c>
      <c r="F39" s="184">
        <f t="shared" si="0"/>
        <v>1</v>
      </c>
      <c r="G39"/>
      <c r="H39"/>
    </row>
    <row r="40" spans="1:8" ht="15" customHeight="1" x14ac:dyDescent="0.2">
      <c r="A40">
        <v>39</v>
      </c>
      <c r="B40" s="175" t="s">
        <v>195</v>
      </c>
      <c r="C40" s="303">
        <v>1</v>
      </c>
      <c r="D40" s="113">
        <v>0</v>
      </c>
      <c r="E40" s="113">
        <v>0</v>
      </c>
      <c r="F40" s="184">
        <f t="shared" si="0"/>
        <v>1</v>
      </c>
      <c r="G40"/>
      <c r="H40"/>
    </row>
    <row r="41" spans="1:8" ht="15" customHeight="1" x14ac:dyDescent="0.2">
      <c r="A41">
        <v>40</v>
      </c>
      <c r="B41" s="175" t="s">
        <v>196</v>
      </c>
      <c r="C41" s="303">
        <v>1</v>
      </c>
      <c r="D41" s="113">
        <v>0</v>
      </c>
      <c r="E41" s="113">
        <v>0</v>
      </c>
      <c r="F41" s="184">
        <f t="shared" si="0"/>
        <v>1</v>
      </c>
      <c r="G41"/>
      <c r="H41"/>
    </row>
    <row r="42" spans="1:8" ht="15" customHeight="1" x14ac:dyDescent="0.2">
      <c r="A42">
        <v>41</v>
      </c>
      <c r="B42" s="175" t="s">
        <v>197</v>
      </c>
      <c r="C42" s="303">
        <v>1</v>
      </c>
      <c r="D42" s="113">
        <v>0</v>
      </c>
      <c r="E42" s="113">
        <v>0</v>
      </c>
      <c r="F42" s="184">
        <f t="shared" si="0"/>
        <v>1</v>
      </c>
      <c r="G42"/>
      <c r="H42"/>
    </row>
    <row r="43" spans="1:8" ht="15" customHeight="1" x14ac:dyDescent="0.2">
      <c r="A43">
        <v>42</v>
      </c>
      <c r="B43" s="175" t="s">
        <v>198</v>
      </c>
      <c r="C43" s="303">
        <v>1</v>
      </c>
      <c r="D43" s="113">
        <v>0</v>
      </c>
      <c r="E43" s="113">
        <v>0</v>
      </c>
      <c r="F43" s="184">
        <f t="shared" si="0"/>
        <v>1</v>
      </c>
      <c r="G43"/>
      <c r="H43"/>
    </row>
    <row r="44" spans="1:8" ht="15" customHeight="1" x14ac:dyDescent="0.2">
      <c r="A44">
        <v>43</v>
      </c>
      <c r="B44" s="175" t="s">
        <v>199</v>
      </c>
      <c r="C44" s="303">
        <v>1</v>
      </c>
      <c r="D44" s="113">
        <v>0</v>
      </c>
      <c r="E44" s="113">
        <v>0</v>
      </c>
      <c r="F44" s="184">
        <f t="shared" si="0"/>
        <v>1</v>
      </c>
      <c r="G44"/>
      <c r="H44"/>
    </row>
    <row r="45" spans="1:8" ht="15" customHeight="1" x14ac:dyDescent="0.2">
      <c r="A45">
        <v>44</v>
      </c>
      <c r="B45" s="175" t="s">
        <v>232</v>
      </c>
      <c r="C45" s="303">
        <v>1</v>
      </c>
      <c r="D45" s="113">
        <v>0</v>
      </c>
      <c r="E45" s="113">
        <v>0</v>
      </c>
      <c r="F45" s="184">
        <f t="shared" si="0"/>
        <v>1</v>
      </c>
      <c r="G45"/>
      <c r="H45"/>
    </row>
    <row r="46" spans="1:8" ht="15" customHeight="1" x14ac:dyDescent="0.2">
      <c r="A46">
        <v>45</v>
      </c>
      <c r="B46" s="175" t="s">
        <v>200</v>
      </c>
      <c r="C46" s="303">
        <v>1</v>
      </c>
      <c r="D46" s="113">
        <v>0</v>
      </c>
      <c r="E46" s="113">
        <v>0</v>
      </c>
      <c r="F46" s="184">
        <f t="shared" si="0"/>
        <v>1</v>
      </c>
      <c r="G46"/>
      <c r="H46"/>
    </row>
    <row r="47" spans="1:8" ht="15" customHeight="1" x14ac:dyDescent="0.2">
      <c r="A47">
        <v>46</v>
      </c>
      <c r="B47" s="175" t="s">
        <v>201</v>
      </c>
      <c r="C47" s="303">
        <v>1</v>
      </c>
      <c r="D47" s="113">
        <v>0</v>
      </c>
      <c r="E47" s="113">
        <v>0</v>
      </c>
      <c r="F47" s="184">
        <f t="shared" si="0"/>
        <v>1</v>
      </c>
      <c r="G47"/>
      <c r="H47"/>
    </row>
    <row r="48" spans="1:8" ht="15" customHeight="1" x14ac:dyDescent="0.2">
      <c r="A48">
        <v>47</v>
      </c>
      <c r="B48" s="175" t="s">
        <v>202</v>
      </c>
      <c r="C48" s="303">
        <v>1</v>
      </c>
      <c r="D48" s="113">
        <v>0</v>
      </c>
      <c r="E48" s="113">
        <v>0</v>
      </c>
      <c r="F48" s="184">
        <f t="shared" si="0"/>
        <v>1</v>
      </c>
      <c r="G48"/>
      <c r="H48"/>
    </row>
    <row r="49" spans="1:8" ht="15" customHeight="1" x14ac:dyDescent="0.2">
      <c r="A49">
        <v>48</v>
      </c>
      <c r="B49" s="175" t="s">
        <v>203</v>
      </c>
      <c r="C49" s="303">
        <v>1</v>
      </c>
      <c r="D49" s="113">
        <v>0</v>
      </c>
      <c r="E49" s="113">
        <v>0</v>
      </c>
      <c r="F49" s="184">
        <f t="shared" si="0"/>
        <v>1</v>
      </c>
      <c r="G49"/>
      <c r="H49"/>
    </row>
    <row r="50" spans="1:8" ht="15" customHeight="1" x14ac:dyDescent="0.2">
      <c r="A50">
        <v>49</v>
      </c>
      <c r="B50" s="175" t="s">
        <v>204</v>
      </c>
      <c r="C50" s="303">
        <v>1</v>
      </c>
      <c r="D50" s="113">
        <v>0</v>
      </c>
      <c r="E50" s="113">
        <v>0</v>
      </c>
      <c r="F50" s="184">
        <f t="shared" si="0"/>
        <v>1</v>
      </c>
      <c r="G50"/>
      <c r="H50"/>
    </row>
    <row r="51" spans="1:8" ht="15" customHeight="1" x14ac:dyDescent="0.2">
      <c r="A51">
        <v>50</v>
      </c>
      <c r="B51" s="175" t="s">
        <v>257</v>
      </c>
      <c r="C51" s="303">
        <v>1</v>
      </c>
      <c r="D51" s="113">
        <v>0</v>
      </c>
      <c r="E51" s="113">
        <v>0</v>
      </c>
      <c r="F51" s="184">
        <f t="shared" si="0"/>
        <v>1</v>
      </c>
      <c r="G51"/>
      <c r="H51"/>
    </row>
    <row r="52" spans="1:8" ht="15" customHeight="1" x14ac:dyDescent="0.2">
      <c r="A52">
        <v>51</v>
      </c>
      <c r="B52" s="175" t="s">
        <v>258</v>
      </c>
      <c r="C52" s="303">
        <v>1</v>
      </c>
      <c r="D52" s="113">
        <v>0</v>
      </c>
      <c r="E52" s="113">
        <v>0</v>
      </c>
      <c r="F52" s="184">
        <f t="shared" si="0"/>
        <v>1</v>
      </c>
      <c r="G52"/>
      <c r="H52"/>
    </row>
    <row r="53" spans="1:8" ht="15" customHeight="1" x14ac:dyDescent="0.2">
      <c r="A53">
        <v>52</v>
      </c>
      <c r="B53" s="175" t="s">
        <v>259</v>
      </c>
      <c r="C53" s="303">
        <v>1</v>
      </c>
      <c r="D53" s="113">
        <v>0</v>
      </c>
      <c r="E53" s="113">
        <v>0</v>
      </c>
      <c r="F53" s="184">
        <f t="shared" si="0"/>
        <v>1</v>
      </c>
      <c r="G53"/>
      <c r="H53"/>
    </row>
    <row r="54" spans="1:8" ht="15" customHeight="1" x14ac:dyDescent="0.2">
      <c r="A54">
        <v>53</v>
      </c>
      <c r="B54" s="175" t="s">
        <v>260</v>
      </c>
      <c r="C54" s="303">
        <v>1</v>
      </c>
      <c r="D54" s="113">
        <v>0</v>
      </c>
      <c r="E54" s="113">
        <v>0</v>
      </c>
      <c r="F54" s="184">
        <f t="shared" si="0"/>
        <v>1</v>
      </c>
      <c r="G54"/>
      <c r="H54"/>
    </row>
    <row r="55" spans="1:8" ht="15" customHeight="1" x14ac:dyDescent="0.2">
      <c r="A55">
        <v>54</v>
      </c>
      <c r="B55" s="175" t="s">
        <v>261</v>
      </c>
      <c r="C55" s="303">
        <v>1</v>
      </c>
      <c r="D55" s="113">
        <v>0</v>
      </c>
      <c r="E55" s="113">
        <v>0</v>
      </c>
      <c r="F55" s="184">
        <f t="shared" si="0"/>
        <v>1</v>
      </c>
      <c r="G55"/>
      <c r="H55"/>
    </row>
    <row r="56" spans="1:8" ht="15" customHeight="1" x14ac:dyDescent="0.2">
      <c r="A56">
        <v>55</v>
      </c>
      <c r="B56" s="175" t="s">
        <v>233</v>
      </c>
      <c r="C56" s="303">
        <v>1</v>
      </c>
      <c r="D56" s="113">
        <v>0</v>
      </c>
      <c r="E56" s="113">
        <v>0</v>
      </c>
      <c r="F56" s="184">
        <f t="shared" si="0"/>
        <v>1</v>
      </c>
      <c r="G56"/>
      <c r="H56"/>
    </row>
    <row r="57" spans="1:8" ht="15" customHeight="1" x14ac:dyDescent="0.2">
      <c r="A57">
        <v>56</v>
      </c>
      <c r="B57" s="175" t="s">
        <v>234</v>
      </c>
      <c r="C57" s="303">
        <v>1</v>
      </c>
      <c r="D57" s="113">
        <v>0</v>
      </c>
      <c r="E57" s="113">
        <v>0</v>
      </c>
      <c r="F57" s="184">
        <f t="shared" si="0"/>
        <v>1</v>
      </c>
      <c r="G57"/>
      <c r="H57"/>
    </row>
    <row r="58" spans="1:8" ht="15" customHeight="1" x14ac:dyDescent="0.2">
      <c r="A58">
        <v>57</v>
      </c>
      <c r="B58" s="175" t="s">
        <v>205</v>
      </c>
      <c r="C58" s="303">
        <v>1</v>
      </c>
      <c r="D58" s="113">
        <v>0</v>
      </c>
      <c r="E58" s="113">
        <v>0</v>
      </c>
      <c r="F58" s="184">
        <f t="shared" si="0"/>
        <v>1</v>
      </c>
      <c r="G58"/>
      <c r="H58"/>
    </row>
    <row r="59" spans="1:8" ht="15" customHeight="1" x14ac:dyDescent="0.2">
      <c r="A59">
        <v>58</v>
      </c>
      <c r="B59" s="175" t="s">
        <v>206</v>
      </c>
      <c r="C59" s="303">
        <v>1</v>
      </c>
      <c r="D59" s="113">
        <v>0</v>
      </c>
      <c r="E59" s="113">
        <v>0</v>
      </c>
      <c r="F59" s="184">
        <f t="shared" si="0"/>
        <v>1</v>
      </c>
      <c r="G59"/>
      <c r="H59"/>
    </row>
    <row r="60" spans="1:8" ht="15" customHeight="1" x14ac:dyDescent="0.2">
      <c r="A60">
        <v>59</v>
      </c>
      <c r="B60" s="175" t="s">
        <v>207</v>
      </c>
      <c r="C60" s="303">
        <v>1</v>
      </c>
      <c r="D60" s="113">
        <v>0</v>
      </c>
      <c r="E60" s="113">
        <v>0</v>
      </c>
      <c r="F60" s="184">
        <f t="shared" si="0"/>
        <v>1</v>
      </c>
      <c r="G60"/>
      <c r="H60"/>
    </row>
    <row r="61" spans="1:8" ht="15" customHeight="1" x14ac:dyDescent="0.2">
      <c r="A61">
        <v>60</v>
      </c>
      <c r="B61" s="175" t="s">
        <v>262</v>
      </c>
      <c r="C61" s="303">
        <v>1</v>
      </c>
      <c r="D61" s="113">
        <v>0</v>
      </c>
      <c r="E61" s="113">
        <v>0</v>
      </c>
      <c r="F61" s="184">
        <f t="shared" si="0"/>
        <v>1</v>
      </c>
      <c r="G61"/>
      <c r="H61"/>
    </row>
    <row r="62" spans="1:8" ht="15" customHeight="1" x14ac:dyDescent="0.2">
      <c r="A62">
        <v>61</v>
      </c>
      <c r="B62" s="175" t="s">
        <v>208</v>
      </c>
      <c r="C62" s="303">
        <v>1</v>
      </c>
      <c r="D62" s="113">
        <v>0</v>
      </c>
      <c r="E62" s="113">
        <v>0</v>
      </c>
      <c r="F62" s="184">
        <f t="shared" si="0"/>
        <v>1</v>
      </c>
      <c r="G62"/>
      <c r="H62"/>
    </row>
    <row r="63" spans="1:8" ht="15" customHeight="1" x14ac:dyDescent="0.2">
      <c r="A63">
        <v>62</v>
      </c>
      <c r="B63" s="175" t="s">
        <v>263</v>
      </c>
      <c r="C63" s="303">
        <v>1</v>
      </c>
      <c r="D63" s="113">
        <v>0</v>
      </c>
      <c r="E63" s="113">
        <v>0</v>
      </c>
      <c r="F63" s="184">
        <f t="shared" si="0"/>
        <v>1</v>
      </c>
      <c r="G63"/>
      <c r="H63"/>
    </row>
    <row r="64" spans="1:8" ht="15" customHeight="1" x14ac:dyDescent="0.2">
      <c r="A64">
        <v>63</v>
      </c>
      <c r="B64" s="175" t="s">
        <v>209</v>
      </c>
      <c r="C64" s="303">
        <v>1</v>
      </c>
      <c r="D64" s="113">
        <v>0</v>
      </c>
      <c r="E64" s="113">
        <v>0</v>
      </c>
      <c r="F64" s="184">
        <f t="shared" si="0"/>
        <v>1</v>
      </c>
      <c r="G64"/>
      <c r="H64"/>
    </row>
    <row r="65" spans="1:8" ht="15" customHeight="1" x14ac:dyDescent="0.2">
      <c r="A65">
        <v>64</v>
      </c>
      <c r="B65" s="175" t="s">
        <v>264</v>
      </c>
      <c r="C65" s="303">
        <v>1</v>
      </c>
      <c r="D65" s="113">
        <v>0</v>
      </c>
      <c r="E65" s="113">
        <v>0</v>
      </c>
      <c r="F65" s="184">
        <f t="shared" si="0"/>
        <v>1</v>
      </c>
      <c r="G65"/>
      <c r="H65"/>
    </row>
    <row r="66" spans="1:8" ht="15" customHeight="1" x14ac:dyDescent="0.2">
      <c r="A66">
        <v>65</v>
      </c>
      <c r="B66" s="175" t="s">
        <v>210</v>
      </c>
      <c r="C66" s="303">
        <v>1</v>
      </c>
      <c r="D66" s="113">
        <v>0</v>
      </c>
      <c r="E66" s="113">
        <v>0</v>
      </c>
      <c r="F66" s="184">
        <f t="shared" si="0"/>
        <v>1</v>
      </c>
      <c r="G66"/>
      <c r="H66"/>
    </row>
    <row r="67" spans="1:8" ht="15" customHeight="1" x14ac:dyDescent="0.2">
      <c r="A67">
        <v>66</v>
      </c>
      <c r="B67" s="175" t="s">
        <v>235</v>
      </c>
      <c r="C67" s="303">
        <v>1</v>
      </c>
      <c r="D67" s="113">
        <v>0</v>
      </c>
      <c r="E67" s="113">
        <v>0</v>
      </c>
      <c r="F67" s="184">
        <f t="shared" ref="F67:F96" si="1">SUM(C67:E67)</f>
        <v>1</v>
      </c>
      <c r="G67"/>
      <c r="H67"/>
    </row>
    <row r="68" spans="1:8" ht="15" customHeight="1" x14ac:dyDescent="0.2">
      <c r="A68">
        <v>67</v>
      </c>
      <c r="B68" s="175" t="s">
        <v>211</v>
      </c>
      <c r="C68" s="303">
        <v>1</v>
      </c>
      <c r="D68" s="113">
        <v>0</v>
      </c>
      <c r="E68" s="113">
        <v>0</v>
      </c>
      <c r="F68" s="184">
        <f t="shared" si="1"/>
        <v>1</v>
      </c>
      <c r="G68"/>
      <c r="H68"/>
    </row>
    <row r="69" spans="1:8" ht="15" customHeight="1" x14ac:dyDescent="0.2">
      <c r="A69">
        <v>68</v>
      </c>
      <c r="B69" s="175" t="s">
        <v>265</v>
      </c>
      <c r="C69" s="303">
        <v>1</v>
      </c>
      <c r="D69" s="113">
        <v>0</v>
      </c>
      <c r="E69" s="113">
        <v>0</v>
      </c>
      <c r="F69" s="184">
        <f t="shared" si="1"/>
        <v>1</v>
      </c>
      <c r="G69"/>
      <c r="H69"/>
    </row>
    <row r="70" spans="1:8" ht="15" customHeight="1" x14ac:dyDescent="0.2">
      <c r="A70">
        <v>69</v>
      </c>
      <c r="B70" s="175" t="s">
        <v>212</v>
      </c>
      <c r="C70" s="303">
        <v>1</v>
      </c>
      <c r="D70" s="113">
        <v>0</v>
      </c>
      <c r="E70" s="113">
        <v>0</v>
      </c>
      <c r="F70" s="184">
        <f t="shared" si="1"/>
        <v>1</v>
      </c>
      <c r="G70"/>
      <c r="H70"/>
    </row>
    <row r="71" spans="1:8" ht="15" customHeight="1" x14ac:dyDescent="0.2">
      <c r="A71">
        <v>70</v>
      </c>
      <c r="B71" s="175" t="s">
        <v>213</v>
      </c>
      <c r="C71" s="303">
        <v>1</v>
      </c>
      <c r="D71" s="113">
        <v>0</v>
      </c>
      <c r="E71" s="113">
        <v>0</v>
      </c>
      <c r="F71" s="184">
        <f t="shared" si="1"/>
        <v>1</v>
      </c>
      <c r="G71"/>
      <c r="H71"/>
    </row>
    <row r="72" spans="1:8" ht="15" customHeight="1" x14ac:dyDescent="0.2">
      <c r="A72">
        <v>71</v>
      </c>
      <c r="B72" s="175" t="s">
        <v>236</v>
      </c>
      <c r="C72" s="303">
        <v>1</v>
      </c>
      <c r="D72" s="113">
        <v>0</v>
      </c>
      <c r="E72" s="113">
        <v>0</v>
      </c>
      <c r="F72" s="184">
        <f t="shared" si="1"/>
        <v>1</v>
      </c>
      <c r="G72"/>
      <c r="H72"/>
    </row>
    <row r="73" spans="1:8" ht="15" customHeight="1" x14ac:dyDescent="0.2">
      <c r="A73">
        <v>72</v>
      </c>
      <c r="B73" s="175" t="s">
        <v>237</v>
      </c>
      <c r="C73" s="303">
        <v>1</v>
      </c>
      <c r="D73" s="113">
        <v>0</v>
      </c>
      <c r="E73" s="113">
        <v>0</v>
      </c>
      <c r="F73" s="184">
        <f t="shared" si="1"/>
        <v>1</v>
      </c>
      <c r="G73"/>
      <c r="H73"/>
    </row>
    <row r="74" spans="1:8" ht="15" customHeight="1" x14ac:dyDescent="0.2">
      <c r="A74">
        <v>73</v>
      </c>
      <c r="B74" s="175" t="s">
        <v>214</v>
      </c>
      <c r="C74" s="303">
        <v>1</v>
      </c>
      <c r="D74" s="113">
        <v>0</v>
      </c>
      <c r="E74" s="113">
        <v>0</v>
      </c>
      <c r="F74" s="184">
        <f t="shared" si="1"/>
        <v>1</v>
      </c>
      <c r="G74"/>
      <c r="H74"/>
    </row>
    <row r="75" spans="1:8" ht="15" customHeight="1" x14ac:dyDescent="0.2">
      <c r="A75">
        <v>74</v>
      </c>
      <c r="B75" s="175" t="s">
        <v>238</v>
      </c>
      <c r="C75" s="303">
        <v>1</v>
      </c>
      <c r="D75" s="113">
        <v>0</v>
      </c>
      <c r="E75" s="113">
        <v>0</v>
      </c>
      <c r="F75" s="184">
        <f t="shared" si="1"/>
        <v>1</v>
      </c>
      <c r="G75"/>
      <c r="H75"/>
    </row>
    <row r="76" spans="1:8" ht="15" customHeight="1" x14ac:dyDescent="0.2">
      <c r="A76">
        <v>75</v>
      </c>
      <c r="B76" s="175" t="s">
        <v>239</v>
      </c>
      <c r="C76" s="303">
        <v>1</v>
      </c>
      <c r="D76" s="113">
        <v>0</v>
      </c>
      <c r="E76" s="113">
        <v>0</v>
      </c>
      <c r="F76" s="184">
        <f t="shared" si="1"/>
        <v>1</v>
      </c>
      <c r="G76"/>
      <c r="H76"/>
    </row>
    <row r="77" spans="1:8" ht="15" customHeight="1" x14ac:dyDescent="0.2">
      <c r="A77">
        <v>76</v>
      </c>
      <c r="B77" s="175" t="s">
        <v>240</v>
      </c>
      <c r="C77" s="303">
        <v>1</v>
      </c>
      <c r="D77" s="113">
        <v>0</v>
      </c>
      <c r="E77" s="113">
        <v>0</v>
      </c>
      <c r="F77" s="184">
        <f t="shared" si="1"/>
        <v>1</v>
      </c>
      <c r="G77"/>
      <c r="H77"/>
    </row>
    <row r="78" spans="1:8" ht="15" customHeight="1" x14ac:dyDescent="0.2">
      <c r="A78">
        <v>77</v>
      </c>
      <c r="B78" s="175" t="s">
        <v>215</v>
      </c>
      <c r="C78" s="303">
        <v>1</v>
      </c>
      <c r="D78" s="113">
        <v>0</v>
      </c>
      <c r="E78" s="113">
        <v>0</v>
      </c>
      <c r="F78" s="184">
        <f t="shared" si="1"/>
        <v>1</v>
      </c>
      <c r="G78"/>
      <c r="H78"/>
    </row>
    <row r="79" spans="1:8" ht="15" customHeight="1" x14ac:dyDescent="0.2">
      <c r="A79">
        <v>78</v>
      </c>
      <c r="B79" s="175" t="s">
        <v>216</v>
      </c>
      <c r="C79" s="303">
        <v>1</v>
      </c>
      <c r="D79" s="113">
        <v>0</v>
      </c>
      <c r="E79" s="113">
        <v>0</v>
      </c>
      <c r="F79" s="184">
        <f t="shared" si="1"/>
        <v>1</v>
      </c>
      <c r="G79"/>
      <c r="H79"/>
    </row>
    <row r="80" spans="1:8" ht="15" customHeight="1" x14ac:dyDescent="0.2">
      <c r="A80">
        <v>79</v>
      </c>
      <c r="B80" s="175" t="s">
        <v>217</v>
      </c>
      <c r="C80" s="303">
        <v>1</v>
      </c>
      <c r="D80" s="113">
        <v>0</v>
      </c>
      <c r="E80" s="113">
        <v>0</v>
      </c>
      <c r="F80" s="184">
        <f t="shared" si="1"/>
        <v>1</v>
      </c>
      <c r="G80"/>
      <c r="H80"/>
    </row>
    <row r="81" spans="1:8" ht="15" customHeight="1" x14ac:dyDescent="0.2">
      <c r="A81">
        <v>80</v>
      </c>
      <c r="B81" s="175" t="s">
        <v>266</v>
      </c>
      <c r="C81" s="303">
        <v>1</v>
      </c>
      <c r="D81" s="113">
        <v>0</v>
      </c>
      <c r="E81" s="113">
        <v>0</v>
      </c>
      <c r="F81" s="184">
        <f t="shared" si="1"/>
        <v>1</v>
      </c>
      <c r="G81"/>
      <c r="H81"/>
    </row>
    <row r="82" spans="1:8" ht="15" customHeight="1" x14ac:dyDescent="0.2">
      <c r="A82">
        <v>81</v>
      </c>
      <c r="B82" s="175" t="s">
        <v>267</v>
      </c>
      <c r="C82" s="303">
        <v>1</v>
      </c>
      <c r="D82" s="113">
        <v>0</v>
      </c>
      <c r="E82" s="113">
        <v>0</v>
      </c>
      <c r="F82" s="184">
        <f t="shared" si="1"/>
        <v>1</v>
      </c>
      <c r="G82"/>
      <c r="H82"/>
    </row>
    <row r="83" spans="1:8" ht="15" customHeight="1" x14ac:dyDescent="0.2">
      <c r="A83">
        <v>82</v>
      </c>
      <c r="B83" s="175" t="s">
        <v>218</v>
      </c>
      <c r="C83" s="303">
        <v>1</v>
      </c>
      <c r="D83" s="113">
        <v>0</v>
      </c>
      <c r="E83" s="113">
        <v>0</v>
      </c>
      <c r="F83" s="184">
        <f t="shared" si="1"/>
        <v>1</v>
      </c>
      <c r="G83"/>
      <c r="H83"/>
    </row>
    <row r="84" spans="1:8" ht="15" customHeight="1" x14ac:dyDescent="0.2">
      <c r="A84">
        <v>83</v>
      </c>
      <c r="B84" s="175" t="s">
        <v>219</v>
      </c>
      <c r="C84" s="303">
        <v>1</v>
      </c>
      <c r="D84" s="113">
        <v>0</v>
      </c>
      <c r="E84" s="113">
        <v>0</v>
      </c>
      <c r="F84" s="184">
        <f t="shared" si="1"/>
        <v>1</v>
      </c>
      <c r="G84"/>
      <c r="H84"/>
    </row>
    <row r="85" spans="1:8" ht="15" customHeight="1" x14ac:dyDescent="0.2">
      <c r="A85">
        <v>84</v>
      </c>
      <c r="B85" s="175" t="s">
        <v>220</v>
      </c>
      <c r="C85" s="303">
        <v>1</v>
      </c>
      <c r="D85" s="113">
        <v>0</v>
      </c>
      <c r="E85" s="113">
        <v>0</v>
      </c>
      <c r="F85" s="184">
        <f t="shared" si="1"/>
        <v>1</v>
      </c>
      <c r="G85"/>
      <c r="H85"/>
    </row>
    <row r="86" spans="1:8" ht="15" customHeight="1" x14ac:dyDescent="0.2">
      <c r="A86">
        <v>85</v>
      </c>
      <c r="B86" s="175" t="s">
        <v>221</v>
      </c>
      <c r="C86" s="303">
        <v>1</v>
      </c>
      <c r="D86" s="113">
        <v>0</v>
      </c>
      <c r="E86" s="113">
        <v>0</v>
      </c>
      <c r="F86" s="184">
        <f t="shared" si="1"/>
        <v>1</v>
      </c>
      <c r="G86"/>
      <c r="H86"/>
    </row>
    <row r="87" spans="1:8" ht="15" customHeight="1" x14ac:dyDescent="0.2">
      <c r="A87">
        <v>86</v>
      </c>
      <c r="B87" s="175" t="s">
        <v>268</v>
      </c>
      <c r="C87" s="303">
        <v>1</v>
      </c>
      <c r="D87" s="113">
        <v>0</v>
      </c>
      <c r="E87" s="113">
        <v>0</v>
      </c>
      <c r="F87" s="184">
        <f t="shared" si="1"/>
        <v>1</v>
      </c>
      <c r="G87"/>
      <c r="H87"/>
    </row>
    <row r="88" spans="1:8" ht="15" customHeight="1" x14ac:dyDescent="0.2">
      <c r="A88">
        <v>87</v>
      </c>
      <c r="B88" s="175" t="s">
        <v>269</v>
      </c>
      <c r="C88" s="303">
        <v>1</v>
      </c>
      <c r="D88" s="113">
        <v>0</v>
      </c>
      <c r="E88" s="113">
        <v>0</v>
      </c>
      <c r="F88" s="184">
        <f t="shared" si="1"/>
        <v>1</v>
      </c>
      <c r="G88"/>
      <c r="H88"/>
    </row>
    <row r="89" spans="1:8" ht="15" customHeight="1" x14ac:dyDescent="0.2">
      <c r="A89">
        <v>88</v>
      </c>
      <c r="B89" s="175" t="s">
        <v>222</v>
      </c>
      <c r="C89" s="303">
        <v>1</v>
      </c>
      <c r="D89" s="113">
        <v>0</v>
      </c>
      <c r="E89" s="113">
        <v>0</v>
      </c>
      <c r="F89" s="184">
        <f t="shared" si="1"/>
        <v>1</v>
      </c>
      <c r="G89"/>
      <c r="H89"/>
    </row>
    <row r="90" spans="1:8" ht="15" customHeight="1" x14ac:dyDescent="0.2">
      <c r="A90">
        <v>89</v>
      </c>
      <c r="B90" s="175" t="s">
        <v>270</v>
      </c>
      <c r="C90" s="303">
        <v>1</v>
      </c>
      <c r="D90" s="113">
        <v>0</v>
      </c>
      <c r="E90" s="113">
        <v>0</v>
      </c>
      <c r="F90" s="184">
        <f t="shared" si="1"/>
        <v>1</v>
      </c>
      <c r="G90"/>
      <c r="H90"/>
    </row>
    <row r="91" spans="1:8" ht="15" customHeight="1" x14ac:dyDescent="0.2">
      <c r="A91">
        <v>90</v>
      </c>
      <c r="B91" s="175" t="s">
        <v>223</v>
      </c>
      <c r="C91" s="303">
        <v>1</v>
      </c>
      <c r="D91" s="113">
        <v>0</v>
      </c>
      <c r="E91" s="113">
        <v>0</v>
      </c>
      <c r="F91" s="184">
        <f t="shared" si="1"/>
        <v>1</v>
      </c>
      <c r="G91"/>
      <c r="H91"/>
    </row>
    <row r="92" spans="1:8" ht="15" customHeight="1" x14ac:dyDescent="0.2">
      <c r="A92">
        <v>91</v>
      </c>
      <c r="B92" s="175" t="s">
        <v>224</v>
      </c>
      <c r="C92" s="303">
        <v>1</v>
      </c>
      <c r="D92" s="113">
        <v>0</v>
      </c>
      <c r="E92" s="113">
        <v>0</v>
      </c>
      <c r="F92" s="184">
        <f t="shared" si="1"/>
        <v>1</v>
      </c>
      <c r="G92"/>
      <c r="H92"/>
    </row>
    <row r="93" spans="1:8" ht="15" customHeight="1" x14ac:dyDescent="0.2">
      <c r="A93">
        <v>92</v>
      </c>
      <c r="B93" s="175" t="s">
        <v>225</v>
      </c>
      <c r="C93" s="303">
        <v>1</v>
      </c>
      <c r="D93" s="113">
        <v>0</v>
      </c>
      <c r="E93" s="113">
        <v>0</v>
      </c>
      <c r="F93" s="184">
        <f t="shared" si="1"/>
        <v>1</v>
      </c>
      <c r="G93"/>
      <c r="H93"/>
    </row>
    <row r="94" spans="1:8" ht="15" customHeight="1" x14ac:dyDescent="0.2">
      <c r="A94">
        <v>93</v>
      </c>
      <c r="B94" s="175" t="s">
        <v>226</v>
      </c>
      <c r="C94" s="303">
        <v>0</v>
      </c>
      <c r="D94" s="113">
        <v>1</v>
      </c>
      <c r="E94" s="113">
        <v>0</v>
      </c>
      <c r="F94" s="184">
        <f t="shared" si="1"/>
        <v>1</v>
      </c>
      <c r="G94"/>
      <c r="H94"/>
    </row>
    <row r="95" spans="1:8" ht="15" customHeight="1" x14ac:dyDescent="0.2">
      <c r="A95">
        <v>94</v>
      </c>
      <c r="B95" s="175" t="s">
        <v>123</v>
      </c>
      <c r="C95" s="303">
        <v>0</v>
      </c>
      <c r="D95" s="113">
        <v>0</v>
      </c>
      <c r="E95" s="113">
        <v>1</v>
      </c>
      <c r="F95" s="184">
        <f t="shared" si="1"/>
        <v>1</v>
      </c>
      <c r="G95"/>
      <c r="H95"/>
    </row>
    <row r="96" spans="1:8" ht="15" customHeight="1" x14ac:dyDescent="0.15">
      <c r="A96">
        <v>95</v>
      </c>
      <c r="B96" s="84" t="s">
        <v>271</v>
      </c>
      <c r="C96" s="113">
        <v>1</v>
      </c>
      <c r="D96" s="113">
        <v>0</v>
      </c>
      <c r="E96" s="113">
        <v>0</v>
      </c>
      <c r="F96" s="184">
        <f t="shared" si="1"/>
        <v>1</v>
      </c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85" activePane="bottomRight" state="frozen"/>
      <selection pane="topRight" activeCell="D1" sqref="D1"/>
      <selection pane="bottomLeft" activeCell="A2" sqref="A2"/>
      <selection pane="bottomRight" activeCell="D101" sqref="D101"/>
    </sheetView>
  </sheetViews>
  <sheetFormatPr baseColWidth="10" defaultColWidth="8.83203125" defaultRowHeight="16" x14ac:dyDescent="0.2"/>
  <cols>
    <col min="1" max="1" width="12.6640625" style="175" customWidth="1"/>
    <col min="2" max="2" width="23.1640625" style="175" bestFit="1" customWidth="1"/>
    <col min="3" max="3" width="15.5" style="182" bestFit="1" customWidth="1"/>
    <col min="4" max="4" width="10.6640625" style="182" bestFit="1" customWidth="1"/>
    <col min="5" max="5" width="12.1640625" style="175" bestFit="1" customWidth="1"/>
    <col min="6" max="16384" width="8.83203125" style="175"/>
  </cols>
  <sheetData>
    <row r="1" spans="1:5" s="187" customFormat="1" ht="34" x14ac:dyDescent="0.2">
      <c r="A1" s="185" t="s">
        <v>21</v>
      </c>
      <c r="B1" s="186" t="s">
        <v>0</v>
      </c>
      <c r="C1" s="84" t="s">
        <v>271</v>
      </c>
      <c r="D1" s="183" t="s">
        <v>244</v>
      </c>
      <c r="E1" s="175"/>
    </row>
    <row r="2" spans="1:5" ht="15" customHeight="1" x14ac:dyDescent="0.2">
      <c r="A2" s="175">
        <v>1</v>
      </c>
      <c r="B2" s="175" t="s">
        <v>172</v>
      </c>
      <c r="C2" s="182">
        <v>0</v>
      </c>
      <c r="D2" s="188">
        <f>C2</f>
        <v>0</v>
      </c>
    </row>
    <row r="3" spans="1:5" ht="15" customHeight="1" x14ac:dyDescent="0.2">
      <c r="A3" s="175">
        <v>2</v>
      </c>
      <c r="B3" s="175" t="s">
        <v>173</v>
      </c>
      <c r="C3" s="182">
        <v>0</v>
      </c>
      <c r="D3" s="188">
        <f t="shared" ref="D3:D66" si="0">C3</f>
        <v>0</v>
      </c>
    </row>
    <row r="4" spans="1:5" ht="15" customHeight="1" x14ac:dyDescent="0.2">
      <c r="A4" s="175">
        <v>3</v>
      </c>
      <c r="B4" s="175" t="s">
        <v>174</v>
      </c>
      <c r="C4" s="182">
        <v>0</v>
      </c>
      <c r="D4" s="188">
        <f t="shared" si="0"/>
        <v>0</v>
      </c>
    </row>
    <row r="5" spans="1:5" ht="15" customHeight="1" x14ac:dyDescent="0.2">
      <c r="A5" s="175">
        <v>4</v>
      </c>
      <c r="B5" s="175" t="s">
        <v>175</v>
      </c>
      <c r="C5" s="182">
        <v>0</v>
      </c>
      <c r="D5" s="188">
        <f t="shared" si="0"/>
        <v>0</v>
      </c>
    </row>
    <row r="6" spans="1:5" ht="15" customHeight="1" x14ac:dyDescent="0.2">
      <c r="A6" s="175">
        <v>5</v>
      </c>
      <c r="B6" s="175" t="s">
        <v>176</v>
      </c>
      <c r="C6" s="182">
        <v>0</v>
      </c>
      <c r="D6" s="188">
        <f t="shared" si="0"/>
        <v>0</v>
      </c>
    </row>
    <row r="7" spans="1:5" ht="15" customHeight="1" x14ac:dyDescent="0.2">
      <c r="A7" s="175">
        <v>6</v>
      </c>
      <c r="B7" s="175" t="s">
        <v>177</v>
      </c>
      <c r="C7" s="182">
        <v>0</v>
      </c>
      <c r="D7" s="188">
        <f t="shared" si="0"/>
        <v>0</v>
      </c>
    </row>
    <row r="8" spans="1:5" ht="15" customHeight="1" x14ac:dyDescent="0.2">
      <c r="A8" s="175">
        <v>7</v>
      </c>
      <c r="B8" s="175" t="s">
        <v>161</v>
      </c>
      <c r="C8" s="182">
        <v>0</v>
      </c>
      <c r="D8" s="188">
        <f t="shared" si="0"/>
        <v>0</v>
      </c>
    </row>
    <row r="9" spans="1:5" ht="15" customHeight="1" x14ac:dyDescent="0.2">
      <c r="A9" s="175">
        <v>8</v>
      </c>
      <c r="B9" s="175" t="s">
        <v>178</v>
      </c>
      <c r="C9" s="182">
        <v>0</v>
      </c>
      <c r="D9" s="188">
        <f t="shared" si="0"/>
        <v>0</v>
      </c>
    </row>
    <row r="10" spans="1:5" ht="15" customHeight="1" x14ac:dyDescent="0.2">
      <c r="A10" s="175">
        <v>9</v>
      </c>
      <c r="B10" s="175" t="s">
        <v>179</v>
      </c>
      <c r="C10" s="182">
        <v>0</v>
      </c>
      <c r="D10" s="188">
        <f t="shared" si="0"/>
        <v>0</v>
      </c>
    </row>
    <row r="11" spans="1:5" ht="15" customHeight="1" x14ac:dyDescent="0.2">
      <c r="A11" s="175">
        <v>10</v>
      </c>
      <c r="B11" s="175" t="s">
        <v>180</v>
      </c>
      <c r="C11" s="182">
        <v>0</v>
      </c>
      <c r="D11" s="188">
        <f t="shared" si="0"/>
        <v>0</v>
      </c>
    </row>
    <row r="12" spans="1:5" ht="15" customHeight="1" x14ac:dyDescent="0.2">
      <c r="A12" s="175">
        <v>11</v>
      </c>
      <c r="B12" s="175" t="s">
        <v>181</v>
      </c>
      <c r="C12" s="182">
        <v>8.47072089850716E-2</v>
      </c>
      <c r="D12" s="188">
        <f t="shared" si="0"/>
        <v>8.47072089850716E-2</v>
      </c>
    </row>
    <row r="13" spans="1:5" ht="15" customHeight="1" x14ac:dyDescent="0.2">
      <c r="A13" s="175">
        <v>12</v>
      </c>
      <c r="B13" s="175" t="s">
        <v>182</v>
      </c>
      <c r="C13" s="182">
        <v>9.95958914238865E-5</v>
      </c>
      <c r="D13" s="188">
        <f t="shared" si="0"/>
        <v>9.95958914238865E-5</v>
      </c>
    </row>
    <row r="14" spans="1:5" ht="15" customHeight="1" x14ac:dyDescent="0.2">
      <c r="A14" s="175">
        <v>13</v>
      </c>
      <c r="B14" s="175" t="s">
        <v>245</v>
      </c>
      <c r="C14" s="182">
        <v>8.0248448345021303E-2</v>
      </c>
      <c r="D14" s="188">
        <f t="shared" si="0"/>
        <v>8.0248448345021303E-2</v>
      </c>
    </row>
    <row r="15" spans="1:5" ht="15" customHeight="1" x14ac:dyDescent="0.2">
      <c r="A15" s="175">
        <v>14</v>
      </c>
      <c r="B15" s="175" t="s">
        <v>183</v>
      </c>
      <c r="C15" s="182">
        <v>0</v>
      </c>
      <c r="D15" s="188">
        <f t="shared" si="0"/>
        <v>0</v>
      </c>
    </row>
    <row r="16" spans="1:5" ht="15" customHeight="1" x14ac:dyDescent="0.2">
      <c r="A16" s="175">
        <v>15</v>
      </c>
      <c r="B16" s="175" t="s">
        <v>184</v>
      </c>
      <c r="C16" s="182">
        <v>0</v>
      </c>
      <c r="D16" s="188">
        <f t="shared" si="0"/>
        <v>0</v>
      </c>
    </row>
    <row r="17" spans="1:4" ht="15" customHeight="1" x14ac:dyDescent="0.2">
      <c r="A17" s="175">
        <v>16</v>
      </c>
      <c r="B17" s="175" t="s">
        <v>228</v>
      </c>
      <c r="C17" s="182">
        <v>0</v>
      </c>
      <c r="D17" s="188">
        <f t="shared" si="0"/>
        <v>0</v>
      </c>
    </row>
    <row r="18" spans="1:4" ht="15" customHeight="1" x14ac:dyDescent="0.2">
      <c r="A18" s="175">
        <v>17</v>
      </c>
      <c r="B18" s="175" t="s">
        <v>185</v>
      </c>
      <c r="C18" s="182">
        <v>0</v>
      </c>
      <c r="D18" s="188">
        <f t="shared" si="0"/>
        <v>0</v>
      </c>
    </row>
    <row r="19" spans="1:4" ht="15" customHeight="1" x14ac:dyDescent="0.2">
      <c r="A19" s="175">
        <v>18</v>
      </c>
      <c r="B19" s="175" t="s">
        <v>246</v>
      </c>
      <c r="C19" s="182">
        <v>0</v>
      </c>
      <c r="D19" s="188">
        <f t="shared" si="0"/>
        <v>0</v>
      </c>
    </row>
    <row r="20" spans="1:4" ht="15" customHeight="1" x14ac:dyDescent="0.2">
      <c r="A20" s="175">
        <v>19</v>
      </c>
      <c r="B20" s="175" t="s">
        <v>229</v>
      </c>
      <c r="C20" s="182">
        <v>0.244832036194264</v>
      </c>
      <c r="D20" s="188">
        <f t="shared" si="0"/>
        <v>0.244832036194264</v>
      </c>
    </row>
    <row r="21" spans="1:4" ht="15" customHeight="1" x14ac:dyDescent="0.2">
      <c r="A21" s="175">
        <v>20</v>
      </c>
      <c r="B21" s="175" t="s">
        <v>186</v>
      </c>
      <c r="C21" s="182">
        <v>0.50305858718298302</v>
      </c>
      <c r="D21" s="188">
        <f t="shared" si="0"/>
        <v>0.50305858718298302</v>
      </c>
    </row>
    <row r="22" spans="1:4" ht="15" customHeight="1" x14ac:dyDescent="0.2">
      <c r="A22" s="175">
        <v>21</v>
      </c>
      <c r="B22" s="175" t="s">
        <v>187</v>
      </c>
      <c r="C22" s="182">
        <v>3.4998614736031101E-2</v>
      </c>
      <c r="D22" s="188">
        <f t="shared" si="0"/>
        <v>3.4998614736031101E-2</v>
      </c>
    </row>
    <row r="23" spans="1:4" ht="15" customHeight="1" x14ac:dyDescent="0.2">
      <c r="A23" s="175">
        <v>22</v>
      </c>
      <c r="B23" s="175" t="s">
        <v>188</v>
      </c>
      <c r="C23" s="182">
        <v>6.4889120298719299E-3</v>
      </c>
      <c r="D23" s="188">
        <f t="shared" si="0"/>
        <v>6.4889120298719299E-3</v>
      </c>
    </row>
    <row r="24" spans="1:4" ht="15" customHeight="1" x14ac:dyDescent="0.2">
      <c r="A24" s="175">
        <v>23</v>
      </c>
      <c r="B24" s="175" t="s">
        <v>189</v>
      </c>
      <c r="C24" s="182">
        <v>2.60040447006522E-2</v>
      </c>
      <c r="D24" s="188">
        <f t="shared" si="0"/>
        <v>2.60040447006522E-2</v>
      </c>
    </row>
    <row r="25" spans="1:4" ht="15" customHeight="1" x14ac:dyDescent="0.2">
      <c r="A25" s="175">
        <v>24</v>
      </c>
      <c r="B25" s="175" t="s">
        <v>230</v>
      </c>
      <c r="C25" s="182">
        <v>0</v>
      </c>
      <c r="D25" s="188">
        <f t="shared" si="0"/>
        <v>0</v>
      </c>
    </row>
    <row r="26" spans="1:4" ht="15" customHeight="1" x14ac:dyDescent="0.2">
      <c r="A26" s="175">
        <v>25</v>
      </c>
      <c r="B26" s="175" t="s">
        <v>231</v>
      </c>
      <c r="C26" s="182">
        <v>0</v>
      </c>
      <c r="D26" s="188">
        <f t="shared" si="0"/>
        <v>0</v>
      </c>
    </row>
    <row r="27" spans="1:4" ht="15" customHeight="1" x14ac:dyDescent="0.2">
      <c r="A27" s="175">
        <v>26</v>
      </c>
      <c r="B27" s="175" t="s">
        <v>192</v>
      </c>
      <c r="C27" s="182">
        <v>0</v>
      </c>
      <c r="D27" s="188">
        <f t="shared" si="0"/>
        <v>0</v>
      </c>
    </row>
    <row r="28" spans="1:4" ht="15" customHeight="1" x14ac:dyDescent="0.2">
      <c r="A28" s="175">
        <v>27</v>
      </c>
      <c r="B28" s="175" t="s">
        <v>193</v>
      </c>
      <c r="C28" s="182">
        <v>0</v>
      </c>
      <c r="D28" s="188">
        <f t="shared" si="0"/>
        <v>0</v>
      </c>
    </row>
    <row r="29" spans="1:4" ht="15" customHeight="1" x14ac:dyDescent="0.2">
      <c r="A29" s="175">
        <v>28</v>
      </c>
      <c r="B29" s="175" t="s">
        <v>247</v>
      </c>
      <c r="C29" s="182">
        <v>0</v>
      </c>
      <c r="D29" s="188">
        <f t="shared" si="0"/>
        <v>0</v>
      </c>
    </row>
    <row r="30" spans="1:4" ht="15" customHeight="1" x14ac:dyDescent="0.2">
      <c r="A30" s="175">
        <v>29</v>
      </c>
      <c r="B30" s="175" t="s">
        <v>248</v>
      </c>
      <c r="C30" s="182">
        <v>0</v>
      </c>
      <c r="D30" s="188">
        <f t="shared" si="0"/>
        <v>0</v>
      </c>
    </row>
    <row r="31" spans="1:4" ht="15" customHeight="1" x14ac:dyDescent="0.2">
      <c r="A31" s="175">
        <v>30</v>
      </c>
      <c r="B31" s="175" t="s">
        <v>249</v>
      </c>
      <c r="C31" s="182">
        <v>0</v>
      </c>
      <c r="D31" s="188">
        <f t="shared" si="0"/>
        <v>0</v>
      </c>
    </row>
    <row r="32" spans="1:4" ht="15" customHeight="1" x14ac:dyDescent="0.2">
      <c r="A32" s="175">
        <v>31</v>
      </c>
      <c r="B32" s="175" t="s">
        <v>250</v>
      </c>
      <c r="C32" s="182">
        <v>0</v>
      </c>
      <c r="D32" s="188">
        <f t="shared" si="0"/>
        <v>0</v>
      </c>
    </row>
    <row r="33" spans="1:4" ht="15" customHeight="1" x14ac:dyDescent="0.2">
      <c r="A33" s="175">
        <v>32</v>
      </c>
      <c r="B33" s="175" t="s">
        <v>251</v>
      </c>
      <c r="C33" s="182">
        <v>0</v>
      </c>
      <c r="D33" s="188">
        <f t="shared" si="0"/>
        <v>0</v>
      </c>
    </row>
    <row r="34" spans="1:4" ht="15" customHeight="1" x14ac:dyDescent="0.2">
      <c r="A34" s="175">
        <v>33</v>
      </c>
      <c r="B34" s="175" t="s">
        <v>252</v>
      </c>
      <c r="C34" s="182">
        <v>1.4263040356099E-2</v>
      </c>
      <c r="D34" s="188">
        <f t="shared" si="0"/>
        <v>1.4263040356099E-2</v>
      </c>
    </row>
    <row r="35" spans="1:4" ht="15" customHeight="1" x14ac:dyDescent="0.2">
      <c r="A35" s="175">
        <v>34</v>
      </c>
      <c r="B35" s="175" t="s">
        <v>253</v>
      </c>
      <c r="C35" s="182">
        <v>3.3854762821932199E-3</v>
      </c>
      <c r="D35" s="188">
        <f t="shared" si="0"/>
        <v>3.3854762821932199E-3</v>
      </c>
    </row>
    <row r="36" spans="1:4" ht="15" customHeight="1" x14ac:dyDescent="0.2">
      <c r="A36" s="175">
        <v>35</v>
      </c>
      <c r="B36" s="175" t="s">
        <v>254</v>
      </c>
      <c r="C36" s="182">
        <v>1.43532283017537E-3</v>
      </c>
      <c r="D36" s="188">
        <f t="shared" si="0"/>
        <v>1.43532283017537E-3</v>
      </c>
    </row>
    <row r="37" spans="1:4" ht="15" customHeight="1" x14ac:dyDescent="0.2">
      <c r="A37" s="175">
        <v>36</v>
      </c>
      <c r="B37" s="175" t="s">
        <v>255</v>
      </c>
      <c r="C37" s="182">
        <v>4.4597654055762397E-5</v>
      </c>
      <c r="D37" s="188">
        <f t="shared" si="0"/>
        <v>4.4597654055762397E-5</v>
      </c>
    </row>
    <row r="38" spans="1:4" ht="15" customHeight="1" x14ac:dyDescent="0.2">
      <c r="A38" s="175">
        <v>37</v>
      </c>
      <c r="B38" s="175" t="s">
        <v>194</v>
      </c>
      <c r="C38" s="182">
        <v>1.01541664647268E-4</v>
      </c>
      <c r="D38" s="188">
        <f t="shared" si="0"/>
        <v>1.01541664647268E-4</v>
      </c>
    </row>
    <row r="39" spans="1:4" ht="15" customHeight="1" x14ac:dyDescent="0.2">
      <c r="A39" s="175">
        <v>38</v>
      </c>
      <c r="B39" s="175" t="s">
        <v>256</v>
      </c>
      <c r="C39" s="182">
        <v>1.5922357251991399E-3</v>
      </c>
      <c r="D39" s="188">
        <f t="shared" si="0"/>
        <v>1.5922357251991399E-3</v>
      </c>
    </row>
    <row r="40" spans="1:4" ht="15" customHeight="1" x14ac:dyDescent="0.2">
      <c r="A40" s="175">
        <v>39</v>
      </c>
      <c r="B40" s="175" t="s">
        <v>195</v>
      </c>
      <c r="C40" s="182">
        <v>2.9979257167503498E-8</v>
      </c>
      <c r="D40" s="188">
        <f t="shared" si="0"/>
        <v>2.9979257167503498E-8</v>
      </c>
    </row>
    <row r="41" spans="1:4" ht="15" customHeight="1" x14ac:dyDescent="0.2">
      <c r="A41" s="175">
        <v>40</v>
      </c>
      <c r="B41" s="175" t="s">
        <v>196</v>
      </c>
      <c r="C41" s="182">
        <v>5.1068726949070999E-3</v>
      </c>
      <c r="D41" s="188">
        <f t="shared" si="0"/>
        <v>5.1068726949070999E-3</v>
      </c>
    </row>
    <row r="42" spans="1:4" ht="15" customHeight="1" x14ac:dyDescent="0.2">
      <c r="A42" s="175">
        <v>41</v>
      </c>
      <c r="B42" s="175" t="s">
        <v>197</v>
      </c>
      <c r="C42" s="182">
        <v>2.7256406560584099E-3</v>
      </c>
      <c r="D42" s="188">
        <f t="shared" si="0"/>
        <v>2.7256406560584099E-3</v>
      </c>
    </row>
    <row r="43" spans="1:4" ht="15" customHeight="1" x14ac:dyDescent="0.2">
      <c r="A43" s="175">
        <v>42</v>
      </c>
      <c r="B43" s="175" t="s">
        <v>198</v>
      </c>
      <c r="C43" s="182">
        <v>0.862353535424221</v>
      </c>
      <c r="D43" s="188">
        <f t="shared" si="0"/>
        <v>0.862353535424221</v>
      </c>
    </row>
    <row r="44" spans="1:4" ht="15" customHeight="1" x14ac:dyDescent="0.2">
      <c r="A44" s="175">
        <v>43</v>
      </c>
      <c r="B44" s="175" t="s">
        <v>199</v>
      </c>
      <c r="C44" s="182">
        <v>4.1814918462671803E-3</v>
      </c>
      <c r="D44" s="188">
        <f t="shared" si="0"/>
        <v>4.1814918462671803E-3</v>
      </c>
    </row>
    <row r="45" spans="1:4" ht="15" customHeight="1" x14ac:dyDescent="0.2">
      <c r="A45" s="175">
        <v>44</v>
      </c>
      <c r="B45" s="175" t="s">
        <v>232</v>
      </c>
      <c r="C45" s="182">
        <v>3.34480813370703E-2</v>
      </c>
      <c r="D45" s="188">
        <f t="shared" si="0"/>
        <v>3.34480813370703E-2</v>
      </c>
    </row>
    <row r="46" spans="1:4" ht="15" customHeight="1" x14ac:dyDescent="0.2">
      <c r="A46" s="175">
        <v>45</v>
      </c>
      <c r="B46" s="175" t="s">
        <v>200</v>
      </c>
      <c r="C46" s="182">
        <v>2.2759495579727299E-2</v>
      </c>
      <c r="D46" s="188">
        <f t="shared" si="0"/>
        <v>2.2759495579727299E-2</v>
      </c>
    </row>
    <row r="47" spans="1:4" ht="15" customHeight="1" x14ac:dyDescent="0.2">
      <c r="A47" s="175">
        <v>46</v>
      </c>
      <c r="B47" s="175" t="s">
        <v>201</v>
      </c>
      <c r="C47" s="182">
        <v>4.4547705996850701E-3</v>
      </c>
      <c r="D47" s="188">
        <f t="shared" si="0"/>
        <v>4.4547705996850701E-3</v>
      </c>
    </row>
    <row r="48" spans="1:4" ht="15" customHeight="1" x14ac:dyDescent="0.2">
      <c r="A48" s="175">
        <v>47</v>
      </c>
      <c r="B48" s="175" t="s">
        <v>202</v>
      </c>
      <c r="C48" s="182">
        <v>2.6882883343333601E-2</v>
      </c>
      <c r="D48" s="188">
        <f t="shared" si="0"/>
        <v>2.6882883343333601E-2</v>
      </c>
    </row>
    <row r="49" spans="1:4" ht="15" customHeight="1" x14ac:dyDescent="0.2">
      <c r="A49" s="175">
        <v>48</v>
      </c>
      <c r="B49" s="175" t="s">
        <v>203</v>
      </c>
      <c r="C49" s="182">
        <v>3.5254006578298901E-4</v>
      </c>
      <c r="D49" s="188">
        <f t="shared" si="0"/>
        <v>3.5254006578298901E-4</v>
      </c>
    </row>
    <row r="50" spans="1:4" x14ac:dyDescent="0.2">
      <c r="A50" s="175">
        <v>49</v>
      </c>
      <c r="B50" s="175" t="s">
        <v>204</v>
      </c>
      <c r="C50" s="182">
        <v>5.3503665504147698E-3</v>
      </c>
      <c r="D50" s="188">
        <f t="shared" si="0"/>
        <v>5.3503665504147698E-3</v>
      </c>
    </row>
    <row r="51" spans="1:4" x14ac:dyDescent="0.2">
      <c r="A51" s="175">
        <v>50</v>
      </c>
      <c r="B51" s="175" t="s">
        <v>257</v>
      </c>
      <c r="C51" s="182">
        <v>2.3286225109718701E-3</v>
      </c>
      <c r="D51" s="188">
        <f t="shared" si="0"/>
        <v>2.3286225109718701E-3</v>
      </c>
    </row>
    <row r="52" spans="1:4" x14ac:dyDescent="0.2">
      <c r="A52" s="175">
        <v>51</v>
      </c>
      <c r="B52" s="175" t="s">
        <v>258</v>
      </c>
      <c r="C52" s="182">
        <v>2.2760182407237099E-3</v>
      </c>
      <c r="D52" s="188">
        <f t="shared" si="0"/>
        <v>2.2760182407237099E-3</v>
      </c>
    </row>
    <row r="53" spans="1:4" x14ac:dyDescent="0.2">
      <c r="A53" s="175">
        <v>52</v>
      </c>
      <c r="B53" s="175" t="s">
        <v>259</v>
      </c>
      <c r="C53" s="182">
        <v>4.8294825678974499E-3</v>
      </c>
      <c r="D53" s="188">
        <f t="shared" si="0"/>
        <v>4.8294825678974499E-3</v>
      </c>
    </row>
    <row r="54" spans="1:4" x14ac:dyDescent="0.2">
      <c r="A54" s="175">
        <v>53</v>
      </c>
      <c r="B54" s="175" t="s">
        <v>260</v>
      </c>
      <c r="C54" s="182">
        <v>1.27588510188962E-3</v>
      </c>
      <c r="D54" s="188">
        <f t="shared" si="0"/>
        <v>1.27588510188962E-3</v>
      </c>
    </row>
    <row r="55" spans="1:4" x14ac:dyDescent="0.2">
      <c r="A55" s="175">
        <v>54</v>
      </c>
      <c r="B55" s="175" t="s">
        <v>261</v>
      </c>
      <c r="C55" s="182">
        <v>3.2960141550046201E-3</v>
      </c>
      <c r="D55" s="188">
        <f t="shared" si="0"/>
        <v>3.2960141550046201E-3</v>
      </c>
    </row>
    <row r="56" spans="1:4" x14ac:dyDescent="0.2">
      <c r="A56" s="175">
        <v>55</v>
      </c>
      <c r="B56" s="175" t="s">
        <v>233</v>
      </c>
      <c r="C56" s="182">
        <v>4.2032781171373601E-3</v>
      </c>
      <c r="D56" s="188">
        <f t="shared" si="0"/>
        <v>4.2032781171373601E-3</v>
      </c>
    </row>
    <row r="57" spans="1:4" x14ac:dyDescent="0.2">
      <c r="A57" s="175">
        <v>56</v>
      </c>
      <c r="B57" s="175" t="s">
        <v>234</v>
      </c>
      <c r="C57" s="182">
        <v>3.6717963750665999E-3</v>
      </c>
      <c r="D57" s="188">
        <f t="shared" si="0"/>
        <v>3.6717963750665999E-3</v>
      </c>
    </row>
    <row r="58" spans="1:4" x14ac:dyDescent="0.2">
      <c r="A58" s="175">
        <v>57</v>
      </c>
      <c r="B58" s="175" t="s">
        <v>205</v>
      </c>
      <c r="C58" s="182">
        <v>4.6345110668611002E-2</v>
      </c>
      <c r="D58" s="188">
        <f t="shared" si="0"/>
        <v>4.6345110668611002E-2</v>
      </c>
    </row>
    <row r="59" spans="1:4" x14ac:dyDescent="0.2">
      <c r="A59" s="175">
        <v>58</v>
      </c>
      <c r="B59" s="175" t="s">
        <v>206</v>
      </c>
      <c r="C59" s="182">
        <v>4.5270595800404696E-3</v>
      </c>
      <c r="D59" s="188">
        <f t="shared" si="0"/>
        <v>4.5270595800404696E-3</v>
      </c>
    </row>
    <row r="60" spans="1:4" x14ac:dyDescent="0.2">
      <c r="A60" s="175">
        <v>59</v>
      </c>
      <c r="B60" s="175" t="s">
        <v>207</v>
      </c>
      <c r="C60" s="182">
        <v>2.61212509339499E-3</v>
      </c>
      <c r="D60" s="188">
        <f t="shared" si="0"/>
        <v>2.61212509339499E-3</v>
      </c>
    </row>
    <row r="61" spans="1:4" x14ac:dyDescent="0.2">
      <c r="A61" s="175">
        <v>60</v>
      </c>
      <c r="B61" s="175" t="s">
        <v>262</v>
      </c>
      <c r="C61" s="182">
        <v>0</v>
      </c>
      <c r="D61" s="188">
        <f t="shared" si="0"/>
        <v>0</v>
      </c>
    </row>
    <row r="62" spans="1:4" x14ac:dyDescent="0.2">
      <c r="A62" s="175">
        <v>61</v>
      </c>
      <c r="B62" s="175" t="s">
        <v>208</v>
      </c>
      <c r="C62" s="182">
        <v>0</v>
      </c>
      <c r="D62" s="188">
        <f t="shared" si="0"/>
        <v>0</v>
      </c>
    </row>
    <row r="63" spans="1:4" x14ac:dyDescent="0.2">
      <c r="A63" s="175">
        <v>62</v>
      </c>
      <c r="B63" s="175" t="s">
        <v>263</v>
      </c>
      <c r="C63" s="182">
        <v>0</v>
      </c>
      <c r="D63" s="188">
        <f t="shared" si="0"/>
        <v>0</v>
      </c>
    </row>
    <row r="64" spans="1:4" x14ac:dyDescent="0.2">
      <c r="A64" s="175">
        <v>63</v>
      </c>
      <c r="B64" s="175" t="s">
        <v>209</v>
      </c>
      <c r="C64" s="182">
        <v>0</v>
      </c>
      <c r="D64" s="188">
        <f t="shared" si="0"/>
        <v>0</v>
      </c>
    </row>
    <row r="65" spans="1:4" x14ac:dyDescent="0.2">
      <c r="A65" s="175">
        <v>64</v>
      </c>
      <c r="B65" s="175" t="s">
        <v>264</v>
      </c>
      <c r="C65" s="182">
        <v>0</v>
      </c>
      <c r="D65" s="188">
        <f t="shared" si="0"/>
        <v>0</v>
      </c>
    </row>
    <row r="66" spans="1:4" x14ac:dyDescent="0.2">
      <c r="A66" s="175">
        <v>65</v>
      </c>
      <c r="B66" s="175" t="s">
        <v>210</v>
      </c>
      <c r="C66" s="182">
        <v>0</v>
      </c>
      <c r="D66" s="188">
        <f t="shared" si="0"/>
        <v>0</v>
      </c>
    </row>
    <row r="67" spans="1:4" x14ac:dyDescent="0.2">
      <c r="A67" s="175">
        <v>66</v>
      </c>
      <c r="B67" s="175" t="s">
        <v>235</v>
      </c>
      <c r="C67" s="182">
        <v>0</v>
      </c>
      <c r="D67" s="188">
        <f t="shared" ref="D67:D95" si="1">C67</f>
        <v>0</v>
      </c>
    </row>
    <row r="68" spans="1:4" x14ac:dyDescent="0.2">
      <c r="A68" s="175">
        <v>67</v>
      </c>
      <c r="B68" s="175" t="s">
        <v>211</v>
      </c>
      <c r="C68" s="182">
        <v>0</v>
      </c>
      <c r="D68" s="188">
        <f t="shared" si="1"/>
        <v>0</v>
      </c>
    </row>
    <row r="69" spans="1:4" x14ac:dyDescent="0.2">
      <c r="A69" s="175">
        <v>68</v>
      </c>
      <c r="B69" s="175" t="s">
        <v>265</v>
      </c>
      <c r="C69" s="182">
        <v>0</v>
      </c>
      <c r="D69" s="188">
        <f t="shared" si="1"/>
        <v>0</v>
      </c>
    </row>
    <row r="70" spans="1:4" x14ac:dyDescent="0.2">
      <c r="A70" s="175">
        <v>69</v>
      </c>
      <c r="B70" s="175" t="s">
        <v>212</v>
      </c>
      <c r="C70" s="182">
        <v>0</v>
      </c>
      <c r="D70" s="188">
        <f t="shared" si="1"/>
        <v>0</v>
      </c>
    </row>
    <row r="71" spans="1:4" x14ac:dyDescent="0.2">
      <c r="A71" s="175">
        <v>70</v>
      </c>
      <c r="B71" s="175" t="s">
        <v>213</v>
      </c>
      <c r="C71" s="182">
        <v>0</v>
      </c>
      <c r="D71" s="188">
        <f t="shared" si="1"/>
        <v>0</v>
      </c>
    </row>
    <row r="72" spans="1:4" x14ac:dyDescent="0.2">
      <c r="A72" s="175">
        <v>71</v>
      </c>
      <c r="B72" s="175" t="s">
        <v>236</v>
      </c>
      <c r="C72" s="182">
        <v>0</v>
      </c>
      <c r="D72" s="188">
        <f t="shared" si="1"/>
        <v>0</v>
      </c>
    </row>
    <row r="73" spans="1:4" x14ac:dyDescent="0.2">
      <c r="A73" s="175">
        <v>72</v>
      </c>
      <c r="B73" s="175" t="s">
        <v>237</v>
      </c>
      <c r="C73" s="182">
        <v>0</v>
      </c>
      <c r="D73" s="188">
        <f t="shared" si="1"/>
        <v>0</v>
      </c>
    </row>
    <row r="74" spans="1:4" x14ac:dyDescent="0.2">
      <c r="A74" s="175">
        <v>73</v>
      </c>
      <c r="B74" s="175" t="s">
        <v>214</v>
      </c>
      <c r="C74" s="182">
        <v>0</v>
      </c>
      <c r="D74" s="188">
        <f t="shared" si="1"/>
        <v>0</v>
      </c>
    </row>
    <row r="75" spans="1:4" x14ac:dyDescent="0.2">
      <c r="A75" s="175">
        <v>74</v>
      </c>
      <c r="B75" s="175" t="s">
        <v>238</v>
      </c>
      <c r="C75" s="182">
        <v>0</v>
      </c>
      <c r="D75" s="188">
        <f t="shared" si="1"/>
        <v>0</v>
      </c>
    </row>
    <row r="76" spans="1:4" x14ac:dyDescent="0.2">
      <c r="A76" s="175">
        <v>75</v>
      </c>
      <c r="B76" s="175" t="s">
        <v>239</v>
      </c>
      <c r="C76" s="182">
        <v>0</v>
      </c>
      <c r="D76" s="188">
        <f t="shared" si="1"/>
        <v>0</v>
      </c>
    </row>
    <row r="77" spans="1:4" x14ac:dyDescent="0.2">
      <c r="A77" s="175">
        <v>76</v>
      </c>
      <c r="B77" s="175" t="s">
        <v>240</v>
      </c>
      <c r="C77" s="182">
        <v>0</v>
      </c>
      <c r="D77" s="188">
        <f t="shared" si="1"/>
        <v>0</v>
      </c>
    </row>
    <row r="78" spans="1:4" x14ac:dyDescent="0.2">
      <c r="A78" s="175">
        <v>77</v>
      </c>
      <c r="B78" s="175" t="s">
        <v>215</v>
      </c>
      <c r="C78" s="182">
        <v>0</v>
      </c>
      <c r="D78" s="188">
        <f t="shared" si="1"/>
        <v>0</v>
      </c>
    </row>
    <row r="79" spans="1:4" x14ac:dyDescent="0.2">
      <c r="A79" s="175">
        <v>78</v>
      </c>
      <c r="B79" s="175" t="s">
        <v>216</v>
      </c>
      <c r="C79" s="182">
        <v>0</v>
      </c>
      <c r="D79" s="188">
        <f t="shared" si="1"/>
        <v>0</v>
      </c>
    </row>
    <row r="80" spans="1:4" x14ac:dyDescent="0.2">
      <c r="A80" s="175">
        <v>79</v>
      </c>
      <c r="B80" s="175" t="s">
        <v>217</v>
      </c>
      <c r="C80" s="182">
        <v>0</v>
      </c>
      <c r="D80" s="188">
        <f t="shared" si="1"/>
        <v>0</v>
      </c>
    </row>
    <row r="81" spans="1:4" x14ac:dyDescent="0.2">
      <c r="A81" s="175">
        <v>80</v>
      </c>
      <c r="B81" s="175" t="s">
        <v>266</v>
      </c>
      <c r="C81" s="182">
        <v>0</v>
      </c>
      <c r="D81" s="188">
        <f t="shared" si="1"/>
        <v>0</v>
      </c>
    </row>
    <row r="82" spans="1:4" ht="15" customHeight="1" x14ac:dyDescent="0.2">
      <c r="A82" s="175">
        <v>81</v>
      </c>
      <c r="B82" s="175" t="s">
        <v>267</v>
      </c>
      <c r="C82" s="182">
        <v>0</v>
      </c>
      <c r="D82" s="188">
        <f t="shared" si="1"/>
        <v>0</v>
      </c>
    </row>
    <row r="83" spans="1:4" ht="15" customHeight="1" x14ac:dyDescent="0.2">
      <c r="A83" s="175">
        <v>82</v>
      </c>
      <c r="B83" s="175" t="s">
        <v>218</v>
      </c>
      <c r="C83" s="182">
        <v>0</v>
      </c>
      <c r="D83" s="188">
        <f t="shared" si="1"/>
        <v>0</v>
      </c>
    </row>
    <row r="84" spans="1:4" ht="15" customHeight="1" x14ac:dyDescent="0.2">
      <c r="A84" s="175">
        <v>83</v>
      </c>
      <c r="B84" s="175" t="s">
        <v>219</v>
      </c>
      <c r="C84" s="182">
        <v>0</v>
      </c>
      <c r="D84" s="188">
        <f t="shared" si="1"/>
        <v>0</v>
      </c>
    </row>
    <row r="85" spans="1:4" ht="15" customHeight="1" x14ac:dyDescent="0.2">
      <c r="A85" s="175">
        <v>84</v>
      </c>
      <c r="B85" s="175" t="s">
        <v>220</v>
      </c>
      <c r="C85" s="182">
        <v>0</v>
      </c>
      <c r="D85" s="188">
        <f t="shared" si="1"/>
        <v>0</v>
      </c>
    </row>
    <row r="86" spans="1:4" ht="15" customHeight="1" x14ac:dyDescent="0.2">
      <c r="A86" s="175">
        <v>85</v>
      </c>
      <c r="B86" s="175" t="s">
        <v>221</v>
      </c>
      <c r="C86" s="182">
        <v>0</v>
      </c>
      <c r="D86" s="188">
        <f t="shared" si="1"/>
        <v>0</v>
      </c>
    </row>
    <row r="87" spans="1:4" ht="15" customHeight="1" x14ac:dyDescent="0.2">
      <c r="A87" s="175">
        <v>86</v>
      </c>
      <c r="B87" s="175" t="s">
        <v>268</v>
      </c>
      <c r="C87" s="182">
        <v>0</v>
      </c>
      <c r="D87" s="188">
        <f t="shared" si="1"/>
        <v>0</v>
      </c>
    </row>
    <row r="88" spans="1:4" ht="15" customHeight="1" x14ac:dyDescent="0.2">
      <c r="A88" s="175">
        <v>87</v>
      </c>
      <c r="B88" s="175" t="s">
        <v>269</v>
      </c>
      <c r="C88" s="182">
        <v>0</v>
      </c>
      <c r="D88" s="188">
        <f t="shared" si="1"/>
        <v>0</v>
      </c>
    </row>
    <row r="89" spans="1:4" ht="15" customHeight="1" x14ac:dyDescent="0.2">
      <c r="A89" s="175">
        <v>88</v>
      </c>
      <c r="B89" s="175" t="s">
        <v>222</v>
      </c>
      <c r="C89" s="182">
        <v>0</v>
      </c>
      <c r="D89" s="188">
        <f t="shared" si="1"/>
        <v>0</v>
      </c>
    </row>
    <row r="90" spans="1:4" ht="15" customHeight="1" x14ac:dyDescent="0.2">
      <c r="A90" s="175">
        <v>89</v>
      </c>
      <c r="B90" s="175" t="s">
        <v>270</v>
      </c>
      <c r="C90" s="182">
        <v>0</v>
      </c>
      <c r="D90" s="188">
        <f t="shared" si="1"/>
        <v>0</v>
      </c>
    </row>
    <row r="91" spans="1:4" ht="15" customHeight="1" x14ac:dyDescent="0.2">
      <c r="A91" s="175">
        <v>90</v>
      </c>
      <c r="B91" s="175" t="s">
        <v>223</v>
      </c>
      <c r="C91" s="182">
        <v>0</v>
      </c>
      <c r="D91" s="188">
        <f t="shared" si="1"/>
        <v>0</v>
      </c>
    </row>
    <row r="92" spans="1:4" ht="15" customHeight="1" x14ac:dyDescent="0.2">
      <c r="A92" s="175">
        <v>91</v>
      </c>
      <c r="B92" s="175" t="s">
        <v>224</v>
      </c>
      <c r="C92" s="182">
        <v>0</v>
      </c>
      <c r="D92" s="188">
        <f t="shared" si="1"/>
        <v>0</v>
      </c>
    </row>
    <row r="93" spans="1:4" ht="15" customHeight="1" x14ac:dyDescent="0.2">
      <c r="A93" s="175">
        <v>92</v>
      </c>
      <c r="B93" s="175" t="s">
        <v>225</v>
      </c>
      <c r="C93" s="182">
        <v>0</v>
      </c>
      <c r="D93" s="188">
        <f t="shared" si="1"/>
        <v>0</v>
      </c>
    </row>
    <row r="94" spans="1:4" ht="15" customHeight="1" x14ac:dyDescent="0.2">
      <c r="A94" s="175">
        <v>93</v>
      </c>
      <c r="B94" s="175" t="s">
        <v>226</v>
      </c>
      <c r="C94" s="182">
        <v>0</v>
      </c>
      <c r="D94" s="188">
        <f t="shared" si="1"/>
        <v>0</v>
      </c>
    </row>
    <row r="95" spans="1:4" ht="15" customHeight="1" x14ac:dyDescent="0.2">
      <c r="A95" s="175">
        <v>94</v>
      </c>
      <c r="B95" s="175" t="s">
        <v>123</v>
      </c>
      <c r="C95" s="182">
        <v>0</v>
      </c>
      <c r="D95" s="188">
        <f t="shared" si="1"/>
        <v>0</v>
      </c>
    </row>
    <row r="96" spans="1:4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3" ht="15" customHeight="1" x14ac:dyDescent="0.2"/>
    <row r="174" ht="15" customHeight="1" x14ac:dyDescent="0.2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9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2" sqref="F2"/>
    </sheetView>
  </sheetViews>
  <sheetFormatPr baseColWidth="10" defaultColWidth="8.83203125" defaultRowHeight="16" x14ac:dyDescent="0.2"/>
  <cols>
    <col min="1" max="1" width="12.6640625" style="175" customWidth="1"/>
    <col min="2" max="2" width="23.1640625" style="175" bestFit="1" customWidth="1"/>
    <col min="3" max="3" width="16" style="182" bestFit="1" customWidth="1"/>
    <col min="4" max="4" width="16.33203125" style="182" bestFit="1" customWidth="1"/>
    <col min="5" max="5" width="12.1640625" style="175" bestFit="1" customWidth="1"/>
    <col min="6" max="16384" width="8.83203125" style="175"/>
  </cols>
  <sheetData>
    <row r="1" spans="1:4" s="187" customFormat="1" ht="34" x14ac:dyDescent="0.2">
      <c r="A1" s="185" t="s">
        <v>22</v>
      </c>
      <c r="B1" s="186" t="s">
        <v>0</v>
      </c>
      <c r="C1" s="84" t="s">
        <v>271</v>
      </c>
      <c r="D1" s="183" t="s">
        <v>244</v>
      </c>
    </row>
    <row r="2" spans="1:4" ht="15" customHeight="1" x14ac:dyDescent="0.2">
      <c r="A2" s="175">
        <v>1</v>
      </c>
      <c r="B2" s="175" t="s">
        <v>172</v>
      </c>
      <c r="C2" s="182">
        <v>0</v>
      </c>
      <c r="D2" s="188">
        <f>C2</f>
        <v>0</v>
      </c>
    </row>
    <row r="3" spans="1:4" ht="15" customHeight="1" x14ac:dyDescent="0.2">
      <c r="A3" s="175">
        <v>2</v>
      </c>
      <c r="B3" s="175" t="s">
        <v>173</v>
      </c>
      <c r="C3" s="182">
        <v>0</v>
      </c>
      <c r="D3" s="188">
        <f t="shared" ref="D3:D66" si="0">C3</f>
        <v>0</v>
      </c>
    </row>
    <row r="4" spans="1:4" ht="15" customHeight="1" x14ac:dyDescent="0.2">
      <c r="A4" s="175">
        <v>3</v>
      </c>
      <c r="B4" s="175" t="s">
        <v>174</v>
      </c>
      <c r="C4" s="182">
        <v>0</v>
      </c>
      <c r="D4" s="188">
        <f t="shared" si="0"/>
        <v>0</v>
      </c>
    </row>
    <row r="5" spans="1:4" ht="15" customHeight="1" x14ac:dyDescent="0.2">
      <c r="A5" s="175">
        <v>4</v>
      </c>
      <c r="B5" s="175" t="s">
        <v>175</v>
      </c>
      <c r="C5" s="182">
        <v>0</v>
      </c>
      <c r="D5" s="188">
        <f t="shared" si="0"/>
        <v>0</v>
      </c>
    </row>
    <row r="6" spans="1:4" ht="15" customHeight="1" x14ac:dyDescent="0.2">
      <c r="A6" s="175">
        <v>5</v>
      </c>
      <c r="B6" s="175" t="s">
        <v>176</v>
      </c>
      <c r="C6" s="182">
        <v>0</v>
      </c>
      <c r="D6" s="188">
        <f t="shared" si="0"/>
        <v>0</v>
      </c>
    </row>
    <row r="7" spans="1:4" ht="15" customHeight="1" x14ac:dyDescent="0.2">
      <c r="A7" s="175">
        <v>6</v>
      </c>
      <c r="B7" s="175" t="s">
        <v>177</v>
      </c>
      <c r="C7" s="182">
        <v>0</v>
      </c>
      <c r="D7" s="188">
        <f t="shared" si="0"/>
        <v>0</v>
      </c>
    </row>
    <row r="8" spans="1:4" ht="15" customHeight="1" x14ac:dyDescent="0.2">
      <c r="A8" s="175">
        <v>7</v>
      </c>
      <c r="B8" s="175" t="s">
        <v>161</v>
      </c>
      <c r="C8" s="182">
        <v>0</v>
      </c>
      <c r="D8" s="188">
        <f t="shared" si="0"/>
        <v>0</v>
      </c>
    </row>
    <row r="9" spans="1:4" ht="15" customHeight="1" x14ac:dyDescent="0.2">
      <c r="A9" s="175">
        <v>8</v>
      </c>
      <c r="B9" s="175" t="s">
        <v>178</v>
      </c>
      <c r="C9" s="182">
        <v>0</v>
      </c>
      <c r="D9" s="188">
        <f t="shared" si="0"/>
        <v>0</v>
      </c>
    </row>
    <row r="10" spans="1:4" ht="15" customHeight="1" x14ac:dyDescent="0.2">
      <c r="A10" s="175">
        <v>9</v>
      </c>
      <c r="B10" s="175" t="s">
        <v>179</v>
      </c>
      <c r="C10" s="182">
        <v>0</v>
      </c>
      <c r="D10" s="188">
        <f t="shared" si="0"/>
        <v>0</v>
      </c>
    </row>
    <row r="11" spans="1:4" ht="15" customHeight="1" x14ac:dyDescent="0.2">
      <c r="A11" s="175">
        <v>10</v>
      </c>
      <c r="B11" s="175" t="s">
        <v>180</v>
      </c>
      <c r="C11" s="182">
        <v>0</v>
      </c>
      <c r="D11" s="188">
        <f t="shared" si="0"/>
        <v>0</v>
      </c>
    </row>
    <row r="12" spans="1:4" ht="15" customHeight="1" x14ac:dyDescent="0.2">
      <c r="A12" s="175">
        <v>11</v>
      </c>
      <c r="B12" s="175" t="s">
        <v>181</v>
      </c>
      <c r="C12" s="182">
        <v>0</v>
      </c>
      <c r="D12" s="188">
        <f t="shared" si="0"/>
        <v>0</v>
      </c>
    </row>
    <row r="13" spans="1:4" ht="15" customHeight="1" x14ac:dyDescent="0.2">
      <c r="A13" s="175">
        <v>12</v>
      </c>
      <c r="B13" s="175" t="s">
        <v>182</v>
      </c>
      <c r="C13" s="182">
        <v>0</v>
      </c>
      <c r="D13" s="188">
        <f t="shared" si="0"/>
        <v>0</v>
      </c>
    </row>
    <row r="14" spans="1:4" ht="15" customHeight="1" x14ac:dyDescent="0.2">
      <c r="A14" s="175">
        <v>13</v>
      </c>
      <c r="B14" s="175" t="s">
        <v>245</v>
      </c>
      <c r="C14" s="182">
        <v>0</v>
      </c>
      <c r="D14" s="188">
        <f t="shared" si="0"/>
        <v>0</v>
      </c>
    </row>
    <row r="15" spans="1:4" ht="15" customHeight="1" x14ac:dyDescent="0.2">
      <c r="A15" s="175">
        <v>14</v>
      </c>
      <c r="B15" s="175" t="s">
        <v>183</v>
      </c>
      <c r="C15" s="182">
        <v>0</v>
      </c>
      <c r="D15" s="188">
        <f t="shared" si="0"/>
        <v>0</v>
      </c>
    </row>
    <row r="16" spans="1:4" ht="15" customHeight="1" x14ac:dyDescent="0.2">
      <c r="A16" s="175">
        <v>15</v>
      </c>
      <c r="B16" s="175" t="s">
        <v>184</v>
      </c>
      <c r="C16" s="182">
        <v>0</v>
      </c>
      <c r="D16" s="188">
        <f t="shared" si="0"/>
        <v>0</v>
      </c>
    </row>
    <row r="17" spans="1:4" ht="15" customHeight="1" x14ac:dyDescent="0.2">
      <c r="A17" s="175">
        <v>16</v>
      </c>
      <c r="B17" s="175" t="s">
        <v>228</v>
      </c>
      <c r="C17" s="182">
        <v>0</v>
      </c>
      <c r="D17" s="188">
        <f t="shared" si="0"/>
        <v>0</v>
      </c>
    </row>
    <row r="18" spans="1:4" ht="15" customHeight="1" x14ac:dyDescent="0.2">
      <c r="A18" s="175">
        <v>17</v>
      </c>
      <c r="B18" s="175" t="s">
        <v>185</v>
      </c>
      <c r="C18" s="182">
        <v>0</v>
      </c>
      <c r="D18" s="188">
        <f t="shared" si="0"/>
        <v>0</v>
      </c>
    </row>
    <row r="19" spans="1:4" ht="15" customHeight="1" x14ac:dyDescent="0.2">
      <c r="A19" s="175">
        <v>18</v>
      </c>
      <c r="B19" s="175" t="s">
        <v>246</v>
      </c>
      <c r="C19" s="182">
        <v>0</v>
      </c>
      <c r="D19" s="188">
        <f t="shared" si="0"/>
        <v>0</v>
      </c>
    </row>
    <row r="20" spans="1:4" ht="15" customHeight="1" x14ac:dyDescent="0.2">
      <c r="A20" s="175">
        <v>19</v>
      </c>
      <c r="B20" s="175" t="s">
        <v>229</v>
      </c>
      <c r="C20" s="182">
        <v>0</v>
      </c>
      <c r="D20" s="188">
        <f t="shared" si="0"/>
        <v>0</v>
      </c>
    </row>
    <row r="21" spans="1:4" ht="15" customHeight="1" x14ac:dyDescent="0.2">
      <c r="A21" s="175">
        <v>20</v>
      </c>
      <c r="B21" s="175" t="s">
        <v>186</v>
      </c>
      <c r="C21" s="182">
        <v>0</v>
      </c>
      <c r="D21" s="188">
        <f t="shared" si="0"/>
        <v>0</v>
      </c>
    </row>
    <row r="22" spans="1:4" ht="15" customHeight="1" x14ac:dyDescent="0.2">
      <c r="A22" s="175">
        <v>21</v>
      </c>
      <c r="B22" s="175" t="s">
        <v>187</v>
      </c>
      <c r="C22" s="182">
        <v>0</v>
      </c>
      <c r="D22" s="188">
        <f t="shared" si="0"/>
        <v>0</v>
      </c>
    </row>
    <row r="23" spans="1:4" ht="15" customHeight="1" x14ac:dyDescent="0.2">
      <c r="A23" s="175">
        <v>22</v>
      </c>
      <c r="B23" s="175" t="s">
        <v>188</v>
      </c>
      <c r="C23" s="182">
        <v>0</v>
      </c>
      <c r="D23" s="188">
        <f t="shared" si="0"/>
        <v>0</v>
      </c>
    </row>
    <row r="24" spans="1:4" ht="15" customHeight="1" x14ac:dyDescent="0.2">
      <c r="A24" s="175">
        <v>23</v>
      </c>
      <c r="B24" s="175" t="s">
        <v>189</v>
      </c>
      <c r="C24" s="182">
        <v>0</v>
      </c>
      <c r="D24" s="188">
        <f t="shared" si="0"/>
        <v>0</v>
      </c>
    </row>
    <row r="25" spans="1:4" ht="15" customHeight="1" x14ac:dyDescent="0.2">
      <c r="A25" s="175">
        <v>24</v>
      </c>
      <c r="B25" s="175" t="s">
        <v>230</v>
      </c>
      <c r="C25" s="182">
        <v>0</v>
      </c>
      <c r="D25" s="188">
        <f t="shared" si="0"/>
        <v>0</v>
      </c>
    </row>
    <row r="26" spans="1:4" ht="15" customHeight="1" x14ac:dyDescent="0.2">
      <c r="A26" s="175">
        <v>25</v>
      </c>
      <c r="B26" s="175" t="s">
        <v>231</v>
      </c>
      <c r="C26" s="182">
        <v>0</v>
      </c>
      <c r="D26" s="188">
        <f t="shared" si="0"/>
        <v>0</v>
      </c>
    </row>
    <row r="27" spans="1:4" ht="15" customHeight="1" x14ac:dyDescent="0.2">
      <c r="A27" s="175">
        <v>26</v>
      </c>
      <c r="B27" s="175" t="s">
        <v>192</v>
      </c>
      <c r="C27" s="182">
        <v>0</v>
      </c>
      <c r="D27" s="188">
        <f t="shared" si="0"/>
        <v>0</v>
      </c>
    </row>
    <row r="28" spans="1:4" ht="15" customHeight="1" x14ac:dyDescent="0.2">
      <c r="A28" s="175">
        <v>27</v>
      </c>
      <c r="B28" s="175" t="s">
        <v>193</v>
      </c>
      <c r="C28" s="182">
        <v>0</v>
      </c>
      <c r="D28" s="188">
        <f t="shared" si="0"/>
        <v>0</v>
      </c>
    </row>
    <row r="29" spans="1:4" ht="15" customHeight="1" x14ac:dyDescent="0.2">
      <c r="A29" s="175">
        <v>28</v>
      </c>
      <c r="B29" s="175" t="s">
        <v>247</v>
      </c>
      <c r="C29" s="182">
        <v>0</v>
      </c>
      <c r="D29" s="188">
        <f t="shared" si="0"/>
        <v>0</v>
      </c>
    </row>
    <row r="30" spans="1:4" ht="15" customHeight="1" x14ac:dyDescent="0.2">
      <c r="A30" s="175">
        <v>29</v>
      </c>
      <c r="B30" s="175" t="s">
        <v>248</v>
      </c>
      <c r="C30" s="182">
        <v>0</v>
      </c>
      <c r="D30" s="188">
        <f t="shared" si="0"/>
        <v>0</v>
      </c>
    </row>
    <row r="31" spans="1:4" ht="15" customHeight="1" x14ac:dyDescent="0.2">
      <c r="A31" s="175">
        <v>30</v>
      </c>
      <c r="B31" s="175" t="s">
        <v>249</v>
      </c>
      <c r="C31" s="182">
        <v>0</v>
      </c>
      <c r="D31" s="188">
        <f t="shared" si="0"/>
        <v>0</v>
      </c>
    </row>
    <row r="32" spans="1:4" ht="15" customHeight="1" x14ac:dyDescent="0.2">
      <c r="A32" s="175">
        <v>31</v>
      </c>
      <c r="B32" s="175" t="s">
        <v>250</v>
      </c>
      <c r="C32" s="182">
        <v>0</v>
      </c>
      <c r="D32" s="188">
        <f t="shared" si="0"/>
        <v>0</v>
      </c>
    </row>
    <row r="33" spans="1:4" ht="15" customHeight="1" x14ac:dyDescent="0.2">
      <c r="A33" s="175">
        <v>32</v>
      </c>
      <c r="B33" s="175" t="s">
        <v>251</v>
      </c>
      <c r="C33" s="182">
        <v>0</v>
      </c>
      <c r="D33" s="188">
        <f t="shared" si="0"/>
        <v>0</v>
      </c>
    </row>
    <row r="34" spans="1:4" ht="15" customHeight="1" x14ac:dyDescent="0.2">
      <c r="A34" s="175">
        <v>33</v>
      </c>
      <c r="B34" s="175" t="s">
        <v>252</v>
      </c>
      <c r="C34" s="182">
        <v>0</v>
      </c>
      <c r="D34" s="188">
        <f t="shared" si="0"/>
        <v>0</v>
      </c>
    </row>
    <row r="35" spans="1:4" ht="15" customHeight="1" x14ac:dyDescent="0.2">
      <c r="A35" s="175">
        <v>34</v>
      </c>
      <c r="B35" s="175" t="s">
        <v>253</v>
      </c>
      <c r="C35" s="182">
        <v>0</v>
      </c>
      <c r="D35" s="188">
        <f t="shared" si="0"/>
        <v>0</v>
      </c>
    </row>
    <row r="36" spans="1:4" ht="15" customHeight="1" x14ac:dyDescent="0.2">
      <c r="A36" s="175">
        <v>35</v>
      </c>
      <c r="B36" s="175" t="s">
        <v>254</v>
      </c>
      <c r="C36" s="182">
        <v>0</v>
      </c>
      <c r="D36" s="188">
        <f t="shared" si="0"/>
        <v>0</v>
      </c>
    </row>
    <row r="37" spans="1:4" ht="15" customHeight="1" x14ac:dyDescent="0.2">
      <c r="A37" s="175">
        <v>36</v>
      </c>
      <c r="B37" s="175" t="s">
        <v>255</v>
      </c>
      <c r="C37" s="182">
        <v>0</v>
      </c>
      <c r="D37" s="188">
        <f t="shared" si="0"/>
        <v>0</v>
      </c>
    </row>
    <row r="38" spans="1:4" ht="15" customHeight="1" x14ac:dyDescent="0.2">
      <c r="A38" s="175">
        <v>37</v>
      </c>
      <c r="B38" s="175" t="s">
        <v>194</v>
      </c>
      <c r="C38" s="182">
        <v>0</v>
      </c>
      <c r="D38" s="188">
        <f t="shared" si="0"/>
        <v>0</v>
      </c>
    </row>
    <row r="39" spans="1:4" ht="15" customHeight="1" x14ac:dyDescent="0.2">
      <c r="A39" s="175">
        <v>38</v>
      </c>
      <c r="B39" s="175" t="s">
        <v>256</v>
      </c>
      <c r="C39" s="182">
        <v>0</v>
      </c>
      <c r="D39" s="188">
        <f t="shared" si="0"/>
        <v>0</v>
      </c>
    </row>
    <row r="40" spans="1:4" ht="15" customHeight="1" x14ac:dyDescent="0.2">
      <c r="A40" s="175">
        <v>39</v>
      </c>
      <c r="B40" s="175" t="s">
        <v>195</v>
      </c>
      <c r="C40" s="182">
        <v>0</v>
      </c>
      <c r="D40" s="188">
        <f t="shared" si="0"/>
        <v>0</v>
      </c>
    </row>
    <row r="41" spans="1:4" ht="15" customHeight="1" x14ac:dyDescent="0.2">
      <c r="A41" s="175">
        <v>40</v>
      </c>
      <c r="B41" s="175" t="s">
        <v>196</v>
      </c>
      <c r="C41" s="182">
        <v>0</v>
      </c>
      <c r="D41" s="188">
        <f t="shared" si="0"/>
        <v>0</v>
      </c>
    </row>
    <row r="42" spans="1:4" ht="15" customHeight="1" x14ac:dyDescent="0.2">
      <c r="A42" s="175">
        <v>41</v>
      </c>
      <c r="B42" s="175" t="s">
        <v>197</v>
      </c>
      <c r="C42" s="182">
        <v>0</v>
      </c>
      <c r="D42" s="188">
        <f t="shared" si="0"/>
        <v>0</v>
      </c>
    </row>
    <row r="43" spans="1:4" ht="15" customHeight="1" x14ac:dyDescent="0.2">
      <c r="A43" s="175">
        <v>42</v>
      </c>
      <c r="B43" s="175" t="s">
        <v>198</v>
      </c>
      <c r="C43" s="182">
        <v>0</v>
      </c>
      <c r="D43" s="188">
        <f t="shared" si="0"/>
        <v>0</v>
      </c>
    </row>
    <row r="44" spans="1:4" ht="15" customHeight="1" x14ac:dyDescent="0.2">
      <c r="A44" s="175">
        <v>43</v>
      </c>
      <c r="B44" s="175" t="s">
        <v>199</v>
      </c>
      <c r="C44" s="182">
        <v>0</v>
      </c>
      <c r="D44" s="188">
        <f t="shared" si="0"/>
        <v>0</v>
      </c>
    </row>
    <row r="45" spans="1:4" ht="15" customHeight="1" x14ac:dyDescent="0.2">
      <c r="A45" s="175">
        <v>44</v>
      </c>
      <c r="B45" s="175" t="s">
        <v>232</v>
      </c>
      <c r="C45" s="182">
        <v>0</v>
      </c>
      <c r="D45" s="188">
        <f t="shared" si="0"/>
        <v>0</v>
      </c>
    </row>
    <row r="46" spans="1:4" ht="15" customHeight="1" x14ac:dyDescent="0.2">
      <c r="A46" s="175">
        <v>45</v>
      </c>
      <c r="B46" s="175" t="s">
        <v>200</v>
      </c>
      <c r="C46" s="182">
        <v>0</v>
      </c>
      <c r="D46" s="188">
        <f t="shared" si="0"/>
        <v>0</v>
      </c>
    </row>
    <row r="47" spans="1:4" ht="15" customHeight="1" x14ac:dyDescent="0.2">
      <c r="A47" s="175">
        <v>46</v>
      </c>
      <c r="B47" s="175" t="s">
        <v>201</v>
      </c>
      <c r="C47" s="182">
        <v>0</v>
      </c>
      <c r="D47" s="188">
        <f t="shared" si="0"/>
        <v>0</v>
      </c>
    </row>
    <row r="48" spans="1:4" ht="15" customHeight="1" x14ac:dyDescent="0.2">
      <c r="A48" s="175">
        <v>47</v>
      </c>
      <c r="B48" s="175" t="s">
        <v>202</v>
      </c>
      <c r="C48" s="182">
        <v>0</v>
      </c>
      <c r="D48" s="188">
        <f t="shared" si="0"/>
        <v>0</v>
      </c>
    </row>
    <row r="49" spans="1:4" ht="15" customHeight="1" x14ac:dyDescent="0.2">
      <c r="A49" s="175">
        <v>48</v>
      </c>
      <c r="B49" s="175" t="s">
        <v>203</v>
      </c>
      <c r="C49" s="182">
        <v>0</v>
      </c>
      <c r="D49" s="188">
        <f t="shared" si="0"/>
        <v>0</v>
      </c>
    </row>
    <row r="50" spans="1:4" x14ac:dyDescent="0.2">
      <c r="A50" s="175">
        <v>49</v>
      </c>
      <c r="B50" s="175" t="s">
        <v>204</v>
      </c>
      <c r="C50" s="182">
        <v>0</v>
      </c>
      <c r="D50" s="188">
        <f t="shared" si="0"/>
        <v>0</v>
      </c>
    </row>
    <row r="51" spans="1:4" x14ac:dyDescent="0.2">
      <c r="A51" s="175">
        <v>50</v>
      </c>
      <c r="B51" s="175" t="s">
        <v>257</v>
      </c>
      <c r="C51" s="182">
        <v>0</v>
      </c>
      <c r="D51" s="188">
        <f t="shared" si="0"/>
        <v>0</v>
      </c>
    </row>
    <row r="52" spans="1:4" x14ac:dyDescent="0.2">
      <c r="A52" s="175">
        <v>51</v>
      </c>
      <c r="B52" s="175" t="s">
        <v>258</v>
      </c>
      <c r="C52" s="182">
        <v>0</v>
      </c>
      <c r="D52" s="188">
        <f t="shared" si="0"/>
        <v>0</v>
      </c>
    </row>
    <row r="53" spans="1:4" x14ac:dyDescent="0.2">
      <c r="A53" s="175">
        <v>52</v>
      </c>
      <c r="B53" s="175" t="s">
        <v>259</v>
      </c>
      <c r="C53" s="182">
        <v>0</v>
      </c>
      <c r="D53" s="188">
        <f t="shared" si="0"/>
        <v>0</v>
      </c>
    </row>
    <row r="54" spans="1:4" x14ac:dyDescent="0.2">
      <c r="A54" s="175">
        <v>53</v>
      </c>
      <c r="B54" s="175" t="s">
        <v>260</v>
      </c>
      <c r="C54" s="182">
        <v>0</v>
      </c>
      <c r="D54" s="188">
        <f t="shared" si="0"/>
        <v>0</v>
      </c>
    </row>
    <row r="55" spans="1:4" x14ac:dyDescent="0.2">
      <c r="A55" s="175">
        <v>54</v>
      </c>
      <c r="B55" s="175" t="s">
        <v>261</v>
      </c>
      <c r="C55" s="182">
        <v>0</v>
      </c>
      <c r="D55" s="188">
        <f t="shared" si="0"/>
        <v>0</v>
      </c>
    </row>
    <row r="56" spans="1:4" x14ac:dyDescent="0.2">
      <c r="A56" s="175">
        <v>55</v>
      </c>
      <c r="B56" s="175" t="s">
        <v>233</v>
      </c>
      <c r="C56" s="182">
        <v>0</v>
      </c>
      <c r="D56" s="188">
        <f t="shared" si="0"/>
        <v>0</v>
      </c>
    </row>
    <row r="57" spans="1:4" x14ac:dyDescent="0.2">
      <c r="A57" s="175">
        <v>56</v>
      </c>
      <c r="B57" s="175" t="s">
        <v>234</v>
      </c>
      <c r="C57" s="182">
        <v>0</v>
      </c>
      <c r="D57" s="188">
        <f t="shared" si="0"/>
        <v>0</v>
      </c>
    </row>
    <row r="58" spans="1:4" x14ac:dyDescent="0.2">
      <c r="A58" s="175">
        <v>57</v>
      </c>
      <c r="B58" s="175" t="s">
        <v>205</v>
      </c>
      <c r="C58" s="182">
        <v>0</v>
      </c>
      <c r="D58" s="188">
        <f t="shared" si="0"/>
        <v>0</v>
      </c>
    </row>
    <row r="59" spans="1:4" x14ac:dyDescent="0.2">
      <c r="A59" s="175">
        <v>58</v>
      </c>
      <c r="B59" s="175" t="s">
        <v>206</v>
      </c>
      <c r="C59" s="182">
        <v>0</v>
      </c>
      <c r="D59" s="188">
        <f t="shared" si="0"/>
        <v>0</v>
      </c>
    </row>
    <row r="60" spans="1:4" x14ac:dyDescent="0.2">
      <c r="A60" s="175">
        <v>59</v>
      </c>
      <c r="B60" s="175" t="s">
        <v>207</v>
      </c>
      <c r="C60" s="182">
        <v>0</v>
      </c>
      <c r="D60" s="188">
        <f t="shared" si="0"/>
        <v>0</v>
      </c>
    </row>
    <row r="61" spans="1:4" x14ac:dyDescent="0.2">
      <c r="A61" s="175">
        <v>60</v>
      </c>
      <c r="B61" s="175" t="s">
        <v>262</v>
      </c>
      <c r="C61" s="182">
        <v>0</v>
      </c>
      <c r="D61" s="188">
        <f t="shared" si="0"/>
        <v>0</v>
      </c>
    </row>
    <row r="62" spans="1:4" x14ac:dyDescent="0.2">
      <c r="A62" s="175">
        <v>61</v>
      </c>
      <c r="B62" s="175" t="s">
        <v>208</v>
      </c>
      <c r="C62" s="182">
        <v>0</v>
      </c>
      <c r="D62" s="188">
        <f t="shared" si="0"/>
        <v>0</v>
      </c>
    </row>
    <row r="63" spans="1:4" x14ac:dyDescent="0.2">
      <c r="A63" s="175">
        <v>62</v>
      </c>
      <c r="B63" s="175" t="s">
        <v>263</v>
      </c>
      <c r="C63" s="182">
        <v>0</v>
      </c>
      <c r="D63" s="188">
        <f t="shared" si="0"/>
        <v>0</v>
      </c>
    </row>
    <row r="64" spans="1:4" x14ac:dyDescent="0.2">
      <c r="A64" s="175">
        <v>63</v>
      </c>
      <c r="B64" s="175" t="s">
        <v>209</v>
      </c>
      <c r="C64" s="182">
        <v>0</v>
      </c>
      <c r="D64" s="188">
        <f t="shared" si="0"/>
        <v>0</v>
      </c>
    </row>
    <row r="65" spans="1:4" x14ac:dyDescent="0.2">
      <c r="A65" s="175">
        <v>64</v>
      </c>
      <c r="B65" s="175" t="s">
        <v>264</v>
      </c>
      <c r="C65" s="182">
        <v>0</v>
      </c>
      <c r="D65" s="188">
        <f t="shared" si="0"/>
        <v>0</v>
      </c>
    </row>
    <row r="66" spans="1:4" x14ac:dyDescent="0.2">
      <c r="A66" s="175">
        <v>65</v>
      </c>
      <c r="B66" s="175" t="s">
        <v>210</v>
      </c>
      <c r="C66" s="182">
        <v>0</v>
      </c>
      <c r="D66" s="188">
        <f t="shared" si="0"/>
        <v>0</v>
      </c>
    </row>
    <row r="67" spans="1:4" x14ac:dyDescent="0.2">
      <c r="A67" s="175">
        <v>66</v>
      </c>
      <c r="B67" s="175" t="s">
        <v>235</v>
      </c>
      <c r="C67" s="182">
        <v>0</v>
      </c>
      <c r="D67" s="188">
        <f t="shared" ref="D67:D95" si="1">C67</f>
        <v>0</v>
      </c>
    </row>
    <row r="68" spans="1:4" x14ac:dyDescent="0.2">
      <c r="A68" s="175">
        <v>67</v>
      </c>
      <c r="B68" s="175" t="s">
        <v>211</v>
      </c>
      <c r="C68" s="182">
        <v>0</v>
      </c>
      <c r="D68" s="188">
        <f t="shared" si="1"/>
        <v>0</v>
      </c>
    </row>
    <row r="69" spans="1:4" x14ac:dyDescent="0.2">
      <c r="A69" s="175">
        <v>68</v>
      </c>
      <c r="B69" s="175" t="s">
        <v>265</v>
      </c>
      <c r="C69" s="182">
        <v>0</v>
      </c>
      <c r="D69" s="188">
        <f t="shared" si="1"/>
        <v>0</v>
      </c>
    </row>
    <row r="70" spans="1:4" x14ac:dyDescent="0.2">
      <c r="A70" s="175">
        <v>69</v>
      </c>
      <c r="B70" s="175" t="s">
        <v>212</v>
      </c>
      <c r="C70" s="182">
        <v>0</v>
      </c>
      <c r="D70" s="188">
        <f t="shared" si="1"/>
        <v>0</v>
      </c>
    </row>
    <row r="71" spans="1:4" x14ac:dyDescent="0.2">
      <c r="A71" s="175">
        <v>70</v>
      </c>
      <c r="B71" s="175" t="s">
        <v>213</v>
      </c>
      <c r="C71" s="182">
        <v>0</v>
      </c>
      <c r="D71" s="188">
        <f t="shared" si="1"/>
        <v>0</v>
      </c>
    </row>
    <row r="72" spans="1:4" x14ac:dyDescent="0.2">
      <c r="A72" s="175">
        <v>71</v>
      </c>
      <c r="B72" s="175" t="s">
        <v>236</v>
      </c>
      <c r="C72" s="182">
        <v>0</v>
      </c>
      <c r="D72" s="188">
        <f t="shared" si="1"/>
        <v>0</v>
      </c>
    </row>
    <row r="73" spans="1:4" x14ac:dyDescent="0.2">
      <c r="A73" s="175">
        <v>72</v>
      </c>
      <c r="B73" s="175" t="s">
        <v>237</v>
      </c>
      <c r="C73" s="182">
        <v>0</v>
      </c>
      <c r="D73" s="188">
        <f t="shared" si="1"/>
        <v>0</v>
      </c>
    </row>
    <row r="74" spans="1:4" x14ac:dyDescent="0.2">
      <c r="A74" s="175">
        <v>73</v>
      </c>
      <c r="B74" s="175" t="s">
        <v>214</v>
      </c>
      <c r="C74" s="182">
        <v>0</v>
      </c>
      <c r="D74" s="188">
        <f t="shared" si="1"/>
        <v>0</v>
      </c>
    </row>
    <row r="75" spans="1:4" x14ac:dyDescent="0.2">
      <c r="A75" s="175">
        <v>74</v>
      </c>
      <c r="B75" s="175" t="s">
        <v>238</v>
      </c>
      <c r="C75" s="182">
        <v>0</v>
      </c>
      <c r="D75" s="188">
        <f t="shared" si="1"/>
        <v>0</v>
      </c>
    </row>
    <row r="76" spans="1:4" x14ac:dyDescent="0.2">
      <c r="A76" s="175">
        <v>75</v>
      </c>
      <c r="B76" s="175" t="s">
        <v>239</v>
      </c>
      <c r="C76" s="182">
        <v>0</v>
      </c>
      <c r="D76" s="188">
        <f t="shared" si="1"/>
        <v>0</v>
      </c>
    </row>
    <row r="77" spans="1:4" x14ac:dyDescent="0.2">
      <c r="A77" s="175">
        <v>76</v>
      </c>
      <c r="B77" s="175" t="s">
        <v>240</v>
      </c>
      <c r="C77" s="182">
        <v>0</v>
      </c>
      <c r="D77" s="188">
        <f t="shared" si="1"/>
        <v>0</v>
      </c>
    </row>
    <row r="78" spans="1:4" x14ac:dyDescent="0.2">
      <c r="A78" s="175">
        <v>77</v>
      </c>
      <c r="B78" s="175" t="s">
        <v>215</v>
      </c>
      <c r="C78" s="182">
        <v>0</v>
      </c>
      <c r="D78" s="188">
        <f t="shared" si="1"/>
        <v>0</v>
      </c>
    </row>
    <row r="79" spans="1:4" x14ac:dyDescent="0.2">
      <c r="A79" s="175">
        <v>78</v>
      </c>
      <c r="B79" s="175" t="s">
        <v>216</v>
      </c>
      <c r="C79" s="182">
        <v>0</v>
      </c>
      <c r="D79" s="188">
        <f t="shared" si="1"/>
        <v>0</v>
      </c>
    </row>
    <row r="80" spans="1:4" x14ac:dyDescent="0.2">
      <c r="A80" s="175">
        <v>79</v>
      </c>
      <c r="B80" s="175" t="s">
        <v>217</v>
      </c>
      <c r="C80" s="182">
        <v>0</v>
      </c>
      <c r="D80" s="188">
        <f t="shared" si="1"/>
        <v>0</v>
      </c>
    </row>
    <row r="81" spans="1:4" x14ac:dyDescent="0.2">
      <c r="A81" s="175">
        <v>80</v>
      </c>
      <c r="B81" s="175" t="s">
        <v>266</v>
      </c>
      <c r="C81" s="182">
        <v>0</v>
      </c>
      <c r="D81" s="188">
        <f t="shared" si="1"/>
        <v>0</v>
      </c>
    </row>
    <row r="82" spans="1:4" ht="15" customHeight="1" x14ac:dyDescent="0.2">
      <c r="A82" s="175">
        <v>81</v>
      </c>
      <c r="B82" s="175" t="s">
        <v>267</v>
      </c>
      <c r="C82" s="182">
        <v>0</v>
      </c>
      <c r="D82" s="188">
        <f t="shared" si="1"/>
        <v>0</v>
      </c>
    </row>
    <row r="83" spans="1:4" ht="15" customHeight="1" x14ac:dyDescent="0.2">
      <c r="A83" s="175">
        <v>82</v>
      </c>
      <c r="B83" s="175" t="s">
        <v>218</v>
      </c>
      <c r="C83" s="182">
        <v>0</v>
      </c>
      <c r="D83" s="188">
        <f t="shared" si="1"/>
        <v>0</v>
      </c>
    </row>
    <row r="84" spans="1:4" ht="15" customHeight="1" x14ac:dyDescent="0.2">
      <c r="A84" s="175">
        <v>83</v>
      </c>
      <c r="B84" s="175" t="s">
        <v>219</v>
      </c>
      <c r="C84" s="182">
        <v>0</v>
      </c>
      <c r="D84" s="188">
        <f t="shared" si="1"/>
        <v>0</v>
      </c>
    </row>
    <row r="85" spans="1:4" ht="15" customHeight="1" x14ac:dyDescent="0.2">
      <c r="A85" s="175">
        <v>84</v>
      </c>
      <c r="B85" s="175" t="s">
        <v>220</v>
      </c>
      <c r="C85" s="182">
        <v>0</v>
      </c>
      <c r="D85" s="188">
        <f t="shared" si="1"/>
        <v>0</v>
      </c>
    </row>
    <row r="86" spans="1:4" ht="15" customHeight="1" x14ac:dyDescent="0.2">
      <c r="A86" s="175">
        <v>85</v>
      </c>
      <c r="B86" s="175" t="s">
        <v>221</v>
      </c>
      <c r="C86" s="182">
        <v>0</v>
      </c>
      <c r="D86" s="188">
        <f t="shared" si="1"/>
        <v>0</v>
      </c>
    </row>
    <row r="87" spans="1:4" ht="15" customHeight="1" x14ac:dyDescent="0.2">
      <c r="A87" s="175">
        <v>86</v>
      </c>
      <c r="B87" s="175" t="s">
        <v>268</v>
      </c>
      <c r="C87" s="182">
        <v>0</v>
      </c>
      <c r="D87" s="188">
        <f t="shared" si="1"/>
        <v>0</v>
      </c>
    </row>
    <row r="88" spans="1:4" ht="15" customHeight="1" x14ac:dyDescent="0.2">
      <c r="A88" s="175">
        <v>87</v>
      </c>
      <c r="B88" s="175" t="s">
        <v>269</v>
      </c>
      <c r="C88" s="182">
        <v>0</v>
      </c>
      <c r="D88" s="188">
        <f t="shared" si="1"/>
        <v>0</v>
      </c>
    </row>
    <row r="89" spans="1:4" ht="15" customHeight="1" x14ac:dyDescent="0.2">
      <c r="A89" s="175">
        <v>88</v>
      </c>
      <c r="B89" s="175" t="s">
        <v>222</v>
      </c>
      <c r="C89" s="182">
        <v>0</v>
      </c>
      <c r="D89" s="188">
        <f t="shared" si="1"/>
        <v>0</v>
      </c>
    </row>
    <row r="90" spans="1:4" ht="15" customHeight="1" x14ac:dyDescent="0.2">
      <c r="A90" s="175">
        <v>89</v>
      </c>
      <c r="B90" s="175" t="s">
        <v>270</v>
      </c>
      <c r="C90" s="182">
        <v>0</v>
      </c>
      <c r="D90" s="188">
        <f t="shared" si="1"/>
        <v>0</v>
      </c>
    </row>
    <row r="91" spans="1:4" ht="15" customHeight="1" x14ac:dyDescent="0.2">
      <c r="A91" s="175">
        <v>90</v>
      </c>
      <c r="B91" s="175" t="s">
        <v>223</v>
      </c>
      <c r="C91" s="182">
        <v>0</v>
      </c>
      <c r="D91" s="188">
        <f t="shared" si="1"/>
        <v>0</v>
      </c>
    </row>
    <row r="92" spans="1:4" ht="15" customHeight="1" x14ac:dyDescent="0.2">
      <c r="A92" s="175">
        <v>91</v>
      </c>
      <c r="B92" s="175" t="s">
        <v>224</v>
      </c>
      <c r="C92" s="182">
        <v>0</v>
      </c>
      <c r="D92" s="188">
        <f t="shared" si="1"/>
        <v>0</v>
      </c>
    </row>
    <row r="93" spans="1:4" ht="15" customHeight="1" x14ac:dyDescent="0.2">
      <c r="A93" s="175">
        <v>92</v>
      </c>
      <c r="B93" s="175" t="s">
        <v>225</v>
      </c>
      <c r="C93" s="182">
        <v>0</v>
      </c>
      <c r="D93" s="188">
        <f t="shared" si="1"/>
        <v>0</v>
      </c>
    </row>
    <row r="94" spans="1:4" ht="15" customHeight="1" x14ac:dyDescent="0.2">
      <c r="A94" s="175">
        <v>93</v>
      </c>
      <c r="B94" s="175" t="s">
        <v>226</v>
      </c>
      <c r="C94" s="182">
        <v>0</v>
      </c>
      <c r="D94" s="188">
        <f t="shared" si="1"/>
        <v>0</v>
      </c>
    </row>
    <row r="95" spans="1:4" ht="15" customHeight="1" x14ac:dyDescent="0.2">
      <c r="A95" s="175">
        <v>94</v>
      </c>
      <c r="B95" s="175" t="s">
        <v>123</v>
      </c>
      <c r="C95" s="182">
        <v>0</v>
      </c>
      <c r="D95" s="188">
        <f t="shared" si="1"/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topLeftCell="A82" workbookViewId="0">
      <selection activeCell="E98" sqref="E98"/>
    </sheetView>
  </sheetViews>
  <sheetFormatPr baseColWidth="10" defaultRowHeight="13" x14ac:dyDescent="0.15"/>
  <cols>
    <col min="1" max="1" width="17.33203125" bestFit="1" customWidth="1"/>
    <col min="5" max="5" width="39.83203125" bestFit="1" customWidth="1"/>
    <col min="6" max="6" width="8.1640625" bestFit="1" customWidth="1"/>
    <col min="7" max="7" width="7.5" bestFit="1" customWidth="1"/>
    <col min="8" max="8" width="8.6640625" bestFit="1" customWidth="1"/>
    <col min="9" max="9" width="8.83203125" bestFit="1" customWidth="1"/>
    <col min="10" max="10" width="8.83203125" style="113" bestFit="1" customWidth="1"/>
    <col min="11" max="11" width="8.6640625" style="11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5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5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5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4" customFormat="1" ht="14" thickBot="1" x14ac:dyDescent="0.2">
      <c r="D1" s="115" t="s">
        <v>8</v>
      </c>
      <c r="E1" s="115" t="s">
        <v>0</v>
      </c>
      <c r="F1" s="116" t="s">
        <v>99</v>
      </c>
      <c r="G1" s="117" t="s">
        <v>84</v>
      </c>
      <c r="H1" s="117" t="s">
        <v>85</v>
      </c>
      <c r="I1" s="117" t="s">
        <v>86</v>
      </c>
      <c r="J1" s="117" t="s">
        <v>87</v>
      </c>
      <c r="K1" s="117" t="s">
        <v>88</v>
      </c>
      <c r="L1" s="118" t="s">
        <v>89</v>
      </c>
      <c r="M1" s="118" t="s">
        <v>93</v>
      </c>
      <c r="N1" s="118" t="s">
        <v>92</v>
      </c>
      <c r="O1" s="118" t="s">
        <v>90</v>
      </c>
      <c r="P1" s="118" t="s">
        <v>91</v>
      </c>
      <c r="Q1" s="119" t="s">
        <v>94</v>
      </c>
      <c r="R1" s="119" t="s">
        <v>95</v>
      </c>
      <c r="S1" s="119" t="s">
        <v>96</v>
      </c>
      <c r="T1" s="119" t="s">
        <v>97</v>
      </c>
      <c r="U1" s="119" t="s">
        <v>98</v>
      </c>
      <c r="V1" s="117" t="s">
        <v>100</v>
      </c>
      <c r="W1" s="117" t="s">
        <v>101</v>
      </c>
      <c r="X1" s="117" t="s">
        <v>102</v>
      </c>
      <c r="Y1" s="117" t="s">
        <v>134</v>
      </c>
      <c r="Z1" s="118" t="s">
        <v>103</v>
      </c>
      <c r="AA1" s="118" t="s">
        <v>104</v>
      </c>
      <c r="AB1" s="118" t="s">
        <v>105</v>
      </c>
      <c r="AC1" s="120" t="s">
        <v>135</v>
      </c>
      <c r="AD1" s="119" t="s">
        <v>106</v>
      </c>
      <c r="AE1" s="119" t="s">
        <v>107</v>
      </c>
      <c r="AF1" s="119" t="s">
        <v>108</v>
      </c>
      <c r="AG1" s="119" t="s">
        <v>136</v>
      </c>
      <c r="AH1" s="117" t="s">
        <v>109</v>
      </c>
      <c r="AI1" s="117" t="s">
        <v>111</v>
      </c>
      <c r="AJ1" s="117" t="s">
        <v>110</v>
      </c>
      <c r="AK1" s="118" t="s">
        <v>115</v>
      </c>
      <c r="AL1" s="118" t="s">
        <v>116</v>
      </c>
      <c r="AM1" s="118" t="s">
        <v>117</v>
      </c>
      <c r="AN1" s="119" t="s">
        <v>112</v>
      </c>
      <c r="AO1" s="119" t="s">
        <v>113</v>
      </c>
      <c r="AP1" s="119" t="s">
        <v>114</v>
      </c>
    </row>
    <row r="2" spans="1:42" ht="16" x14ac:dyDescent="0.2">
      <c r="A2" s="121" t="s">
        <v>74</v>
      </c>
      <c r="B2" s="122">
        <v>1</v>
      </c>
      <c r="D2" s="175">
        <v>1</v>
      </c>
      <c r="E2" s="175" t="s">
        <v>172</v>
      </c>
      <c r="F2" s="175">
        <v>0.995</v>
      </c>
      <c r="G2" s="175">
        <v>0.8</v>
      </c>
      <c r="H2" s="175">
        <v>0.5</v>
      </c>
      <c r="I2" s="175">
        <v>0.5</v>
      </c>
      <c r="J2" s="175">
        <v>0.3</v>
      </c>
      <c r="K2" s="175">
        <v>0</v>
      </c>
    </row>
    <row r="3" spans="1:42" ht="16" x14ac:dyDescent="0.2">
      <c r="A3" s="121" t="s">
        <v>75</v>
      </c>
      <c r="B3" s="123">
        <v>1</v>
      </c>
      <c r="D3" s="175">
        <v>2</v>
      </c>
      <c r="E3" s="175" t="s">
        <v>173</v>
      </c>
      <c r="F3" s="175">
        <v>0.995</v>
      </c>
      <c r="G3" s="175">
        <v>0.8</v>
      </c>
      <c r="H3" s="175">
        <v>0.5</v>
      </c>
      <c r="I3" s="175">
        <v>0.5</v>
      </c>
      <c r="J3" s="175">
        <v>0.3</v>
      </c>
      <c r="K3" s="175">
        <v>0.05</v>
      </c>
    </row>
    <row r="4" spans="1:42" ht="16" x14ac:dyDescent="0.2">
      <c r="A4" s="121" t="s">
        <v>76</v>
      </c>
      <c r="B4" s="123">
        <v>1</v>
      </c>
      <c r="D4" s="175">
        <v>3</v>
      </c>
      <c r="E4" s="175" t="s">
        <v>174</v>
      </c>
      <c r="F4" s="175">
        <v>0.995</v>
      </c>
      <c r="G4" s="175">
        <v>0.8</v>
      </c>
      <c r="H4" s="175">
        <v>0.5</v>
      </c>
      <c r="I4" s="175">
        <v>0.5</v>
      </c>
      <c r="J4" s="175">
        <v>0.3</v>
      </c>
      <c r="K4" s="175">
        <v>0.05</v>
      </c>
    </row>
    <row r="5" spans="1:42" ht="16" x14ac:dyDescent="0.2">
      <c r="A5" s="121" t="s">
        <v>77</v>
      </c>
      <c r="B5" s="123">
        <v>1</v>
      </c>
      <c r="D5" s="175">
        <v>4</v>
      </c>
      <c r="E5" s="175" t="s">
        <v>175</v>
      </c>
      <c r="F5" s="175">
        <v>0.995</v>
      </c>
      <c r="G5" s="175">
        <v>0.8</v>
      </c>
      <c r="H5" s="175">
        <v>0.5</v>
      </c>
      <c r="I5" s="175">
        <v>0.5</v>
      </c>
      <c r="J5" s="175">
        <v>0.3</v>
      </c>
      <c r="K5" s="175">
        <v>0.05</v>
      </c>
    </row>
    <row r="6" spans="1:42" ht="16" x14ac:dyDescent="0.2">
      <c r="A6" s="121" t="s">
        <v>78</v>
      </c>
      <c r="B6" s="123">
        <v>1</v>
      </c>
      <c r="D6" s="175">
        <v>5</v>
      </c>
      <c r="E6" s="175" t="s">
        <v>176</v>
      </c>
      <c r="F6" s="175">
        <v>0.995</v>
      </c>
      <c r="G6" s="175">
        <v>0.8</v>
      </c>
      <c r="H6" s="175">
        <v>0.5</v>
      </c>
      <c r="I6" s="175">
        <v>0.5</v>
      </c>
      <c r="J6" s="175">
        <v>0.3</v>
      </c>
      <c r="K6" s="175">
        <v>0.05</v>
      </c>
    </row>
    <row r="7" spans="1:42" ht="16" x14ac:dyDescent="0.2">
      <c r="A7" s="121" t="s">
        <v>79</v>
      </c>
      <c r="B7" s="123">
        <v>1</v>
      </c>
      <c r="D7" s="175">
        <v>6</v>
      </c>
      <c r="E7" s="175" t="s">
        <v>177</v>
      </c>
      <c r="F7" s="175">
        <v>0.995</v>
      </c>
      <c r="G7" s="175">
        <v>0.8</v>
      </c>
      <c r="H7" s="175">
        <v>0.5</v>
      </c>
      <c r="I7" s="175">
        <v>0.5</v>
      </c>
      <c r="J7" s="175">
        <v>0.3</v>
      </c>
      <c r="K7" s="175">
        <v>0.05</v>
      </c>
    </row>
    <row r="8" spans="1:42" ht="16" x14ac:dyDescent="0.2">
      <c r="A8" s="121" t="s">
        <v>80</v>
      </c>
      <c r="B8" s="123">
        <v>1</v>
      </c>
      <c r="D8" s="175">
        <v>7</v>
      </c>
      <c r="E8" s="175" t="s">
        <v>161</v>
      </c>
      <c r="F8" s="175">
        <v>0.995</v>
      </c>
      <c r="G8" s="175">
        <v>0.8</v>
      </c>
      <c r="H8" s="175">
        <v>0.5</v>
      </c>
      <c r="I8" s="175">
        <v>0.5</v>
      </c>
      <c r="J8" s="175">
        <v>0.3</v>
      </c>
      <c r="K8" s="175">
        <v>0.05</v>
      </c>
    </row>
    <row r="9" spans="1:42" ht="16" x14ac:dyDescent="0.2">
      <c r="A9" s="121" t="s">
        <v>81</v>
      </c>
      <c r="B9" s="123">
        <v>0.1</v>
      </c>
      <c r="C9" s="60" t="s">
        <v>150</v>
      </c>
      <c r="D9" s="175">
        <v>8</v>
      </c>
      <c r="E9" s="175" t="s">
        <v>178</v>
      </c>
      <c r="F9" s="175">
        <v>0.995</v>
      </c>
      <c r="G9" s="175">
        <v>0.8</v>
      </c>
      <c r="H9" s="175">
        <v>0.5</v>
      </c>
      <c r="I9" s="175">
        <v>0.5</v>
      </c>
      <c r="J9" s="175">
        <v>0.3</v>
      </c>
      <c r="K9" s="175">
        <v>0.05</v>
      </c>
    </row>
    <row r="10" spans="1:42" ht="17" thickBot="1" x14ac:dyDescent="0.25">
      <c r="A10" s="121" t="s">
        <v>149</v>
      </c>
      <c r="B10" s="124">
        <f>1/3</f>
        <v>0.33333333333333331</v>
      </c>
      <c r="C10" s="60" t="s">
        <v>150</v>
      </c>
      <c r="D10" s="175">
        <v>9</v>
      </c>
      <c r="E10" s="175" t="s">
        <v>179</v>
      </c>
      <c r="F10" s="175">
        <v>0.995</v>
      </c>
      <c r="G10" s="175">
        <v>0.8</v>
      </c>
      <c r="H10" s="175">
        <v>0.5</v>
      </c>
      <c r="I10" s="175">
        <v>0.5</v>
      </c>
      <c r="J10" s="175">
        <v>0.3</v>
      </c>
      <c r="K10" s="175">
        <v>0.05</v>
      </c>
    </row>
    <row r="11" spans="1:42" ht="16" x14ac:dyDescent="0.2">
      <c r="D11" s="175">
        <v>10</v>
      </c>
      <c r="E11" s="175" t="s">
        <v>180</v>
      </c>
      <c r="F11" s="175">
        <v>0.995</v>
      </c>
      <c r="G11" s="175">
        <v>0.8</v>
      </c>
      <c r="H11" s="175">
        <v>0.5</v>
      </c>
      <c r="I11" s="175">
        <v>0.5</v>
      </c>
      <c r="J11" s="175">
        <v>0.3</v>
      </c>
      <c r="K11" s="175">
        <v>0.05</v>
      </c>
    </row>
    <row r="12" spans="1:42" ht="16" x14ac:dyDescent="0.2">
      <c r="D12" s="175">
        <v>11</v>
      </c>
      <c r="E12" s="175" t="s">
        <v>181</v>
      </c>
      <c r="F12" s="175">
        <v>0.995</v>
      </c>
      <c r="G12" s="175">
        <v>0.8</v>
      </c>
      <c r="H12" s="175">
        <v>0.5</v>
      </c>
      <c r="I12" s="175">
        <v>0.5</v>
      </c>
      <c r="J12" s="175">
        <v>0.3</v>
      </c>
      <c r="K12" s="175">
        <v>0.05</v>
      </c>
    </row>
    <row r="13" spans="1:42" ht="16" x14ac:dyDescent="0.2">
      <c r="D13" s="175">
        <v>12</v>
      </c>
      <c r="E13" s="175" t="s">
        <v>182</v>
      </c>
      <c r="F13" s="175">
        <v>0.995</v>
      </c>
      <c r="G13" s="175">
        <v>0.8</v>
      </c>
      <c r="H13" s="175">
        <v>0.5</v>
      </c>
      <c r="I13" s="175">
        <v>0.5</v>
      </c>
      <c r="J13" s="175">
        <v>0.3</v>
      </c>
      <c r="K13" s="175">
        <v>0.05</v>
      </c>
    </row>
    <row r="14" spans="1:42" ht="16" x14ac:dyDescent="0.2">
      <c r="D14" s="175">
        <v>13</v>
      </c>
      <c r="E14" s="175" t="s">
        <v>245</v>
      </c>
      <c r="F14" s="175">
        <v>0.995</v>
      </c>
      <c r="G14" s="175">
        <v>0.8</v>
      </c>
      <c r="H14" s="175">
        <v>0.5</v>
      </c>
      <c r="I14" s="175">
        <v>0.5</v>
      </c>
      <c r="J14" s="175">
        <v>0.3</v>
      </c>
      <c r="K14" s="175">
        <v>0.05</v>
      </c>
    </row>
    <row r="15" spans="1:42" ht="16" x14ac:dyDescent="0.2">
      <c r="D15" s="175">
        <v>14</v>
      </c>
      <c r="E15" s="175" t="s">
        <v>183</v>
      </c>
      <c r="F15" s="175">
        <v>0.995</v>
      </c>
      <c r="G15" s="175">
        <v>0.8</v>
      </c>
      <c r="H15" s="175">
        <v>0.5</v>
      </c>
      <c r="I15" s="175">
        <v>0.5</v>
      </c>
      <c r="J15" s="175">
        <v>0.3</v>
      </c>
      <c r="K15" s="175">
        <v>0.05</v>
      </c>
    </row>
    <row r="16" spans="1:42" ht="16" x14ac:dyDescent="0.2">
      <c r="D16" s="175">
        <v>15</v>
      </c>
      <c r="E16" s="175" t="s">
        <v>184</v>
      </c>
      <c r="F16" s="175">
        <v>0.995</v>
      </c>
      <c r="G16" s="175">
        <v>0.8</v>
      </c>
      <c r="H16" s="175">
        <v>0.5</v>
      </c>
      <c r="I16" s="175">
        <v>0.5</v>
      </c>
      <c r="J16" s="175">
        <v>0.3</v>
      </c>
      <c r="K16" s="175">
        <v>0.05</v>
      </c>
    </row>
    <row r="17" spans="4:33" ht="15" customHeight="1" x14ac:dyDescent="0.2">
      <c r="D17" s="175">
        <v>16</v>
      </c>
      <c r="E17" s="175" t="s">
        <v>228</v>
      </c>
      <c r="F17" s="175">
        <v>0.995</v>
      </c>
      <c r="G17" s="175">
        <v>0.8</v>
      </c>
      <c r="H17" s="175">
        <v>0.5</v>
      </c>
      <c r="I17" s="175">
        <v>0.5</v>
      </c>
      <c r="J17" s="175">
        <v>0.3</v>
      </c>
      <c r="K17" s="175">
        <v>0.05</v>
      </c>
    </row>
    <row r="18" spans="4:33" ht="15" customHeight="1" x14ac:dyDescent="0.2">
      <c r="D18" s="175">
        <v>17</v>
      </c>
      <c r="E18" s="175" t="s">
        <v>185</v>
      </c>
      <c r="F18" s="175">
        <v>0.995</v>
      </c>
      <c r="G18" s="175">
        <v>0.8</v>
      </c>
      <c r="H18" s="175">
        <v>0.5</v>
      </c>
      <c r="I18" s="175">
        <v>0.5</v>
      </c>
      <c r="J18" s="175">
        <v>0.3</v>
      </c>
      <c r="K18" s="175">
        <v>0.05</v>
      </c>
    </row>
    <row r="19" spans="4:33" ht="15" customHeight="1" x14ac:dyDescent="0.2">
      <c r="D19" s="175">
        <v>18</v>
      </c>
      <c r="E19" s="175" t="s">
        <v>246</v>
      </c>
      <c r="F19" s="175">
        <v>0.995</v>
      </c>
      <c r="G19" s="175">
        <v>0.8</v>
      </c>
      <c r="H19" s="175">
        <v>0.5</v>
      </c>
      <c r="I19" s="175">
        <v>0.5</v>
      </c>
      <c r="J19" s="175">
        <v>0.3</v>
      </c>
      <c r="K19" s="175">
        <v>0.05</v>
      </c>
    </row>
    <row r="20" spans="4:33" ht="15" customHeight="1" x14ac:dyDescent="0.2">
      <c r="D20" s="175">
        <v>19</v>
      </c>
      <c r="E20" s="175" t="s">
        <v>229</v>
      </c>
      <c r="F20" s="175">
        <v>0.995</v>
      </c>
      <c r="G20" s="175">
        <v>0.8</v>
      </c>
      <c r="H20" s="175">
        <v>0.5</v>
      </c>
      <c r="I20" s="175">
        <v>0.5</v>
      </c>
      <c r="J20" s="175">
        <v>0.3</v>
      </c>
      <c r="K20" s="175">
        <v>0.05</v>
      </c>
    </row>
    <row r="21" spans="4:33" ht="15" customHeight="1" x14ac:dyDescent="0.2">
      <c r="D21" s="175">
        <v>20</v>
      </c>
      <c r="E21" s="175" t="s">
        <v>186</v>
      </c>
      <c r="F21" s="175">
        <v>0.995</v>
      </c>
      <c r="G21" s="175">
        <v>0.8</v>
      </c>
      <c r="H21" s="175">
        <v>0.5</v>
      </c>
      <c r="I21" s="175">
        <v>0.5</v>
      </c>
      <c r="J21" s="175">
        <v>0.3</v>
      </c>
      <c r="K21" s="175">
        <v>0.05</v>
      </c>
    </row>
    <row r="22" spans="4:33" ht="15" customHeight="1" x14ac:dyDescent="0.2">
      <c r="D22" s="175">
        <v>21</v>
      </c>
      <c r="E22" s="175" t="s">
        <v>187</v>
      </c>
      <c r="F22" s="175">
        <v>0.995</v>
      </c>
      <c r="G22" s="175">
        <v>0.8</v>
      </c>
      <c r="H22" s="175">
        <v>0.5</v>
      </c>
      <c r="I22" s="175">
        <v>0.5</v>
      </c>
      <c r="J22" s="175">
        <v>0.3</v>
      </c>
      <c r="K22" s="175">
        <v>0.05</v>
      </c>
    </row>
    <row r="23" spans="4:33" ht="15" customHeight="1" x14ac:dyDescent="0.2">
      <c r="D23" s="175">
        <v>22</v>
      </c>
      <c r="E23" s="175" t="s">
        <v>188</v>
      </c>
      <c r="F23" s="175">
        <v>0.995</v>
      </c>
      <c r="G23" s="175">
        <v>0.8</v>
      </c>
      <c r="H23" s="175">
        <v>0.5</v>
      </c>
      <c r="I23" s="175">
        <v>0.5</v>
      </c>
      <c r="J23" s="175">
        <v>0.3</v>
      </c>
      <c r="K23" s="175">
        <v>0.05</v>
      </c>
    </row>
    <row r="24" spans="4:33" ht="15" customHeight="1" x14ac:dyDescent="0.2">
      <c r="D24" s="175">
        <v>23</v>
      </c>
      <c r="E24" s="175" t="s">
        <v>189</v>
      </c>
      <c r="F24" s="175">
        <v>0.995</v>
      </c>
      <c r="G24" s="175">
        <v>0.8</v>
      </c>
      <c r="H24" s="175">
        <v>0.5</v>
      </c>
      <c r="I24" s="175">
        <v>0.5</v>
      </c>
      <c r="J24" s="175">
        <v>0.3</v>
      </c>
      <c r="K24" s="175">
        <v>0.05</v>
      </c>
    </row>
    <row r="25" spans="4:33" ht="15" customHeight="1" x14ac:dyDescent="0.2">
      <c r="D25" s="175">
        <v>24</v>
      </c>
      <c r="E25" s="175" t="s">
        <v>230</v>
      </c>
      <c r="F25" s="175">
        <v>0.995</v>
      </c>
      <c r="G25" s="175">
        <v>0.8</v>
      </c>
      <c r="H25" s="175">
        <v>0.5</v>
      </c>
      <c r="I25" s="175">
        <v>0.5</v>
      </c>
      <c r="J25" s="175">
        <v>0.3</v>
      </c>
      <c r="K25" s="175">
        <v>0.05</v>
      </c>
    </row>
    <row r="26" spans="4:33" ht="15" customHeight="1" x14ac:dyDescent="0.2">
      <c r="D26" s="175">
        <v>25</v>
      </c>
      <c r="E26" s="175" t="s">
        <v>231</v>
      </c>
      <c r="F26" s="175">
        <v>0.995</v>
      </c>
      <c r="G26" s="175">
        <v>0.8</v>
      </c>
      <c r="H26" s="175">
        <v>0.5</v>
      </c>
      <c r="I26" s="175">
        <v>0.5</v>
      </c>
      <c r="J26" s="175">
        <v>0.3</v>
      </c>
      <c r="K26" s="175">
        <v>0.05</v>
      </c>
    </row>
    <row r="27" spans="4:33" ht="15" customHeight="1" x14ac:dyDescent="0.2">
      <c r="D27" s="175">
        <v>26</v>
      </c>
      <c r="E27" s="175" t="s">
        <v>192</v>
      </c>
      <c r="F27" s="175">
        <v>0.995</v>
      </c>
      <c r="G27" s="175">
        <v>0.8</v>
      </c>
      <c r="H27" s="175">
        <v>0.5</v>
      </c>
      <c r="I27" s="175">
        <v>0.5</v>
      </c>
      <c r="J27" s="175">
        <v>0.3</v>
      </c>
      <c r="K27" s="175">
        <v>0.05</v>
      </c>
    </row>
    <row r="28" spans="4:33" ht="15" customHeight="1" x14ac:dyDescent="0.2">
      <c r="D28" s="175">
        <v>27</v>
      </c>
      <c r="E28" s="175" t="s">
        <v>193</v>
      </c>
      <c r="F28" s="175">
        <v>0.995</v>
      </c>
      <c r="G28" s="175">
        <v>0.8</v>
      </c>
      <c r="H28" s="175">
        <v>0.5</v>
      </c>
      <c r="I28" s="175">
        <v>0.5</v>
      </c>
      <c r="J28" s="175">
        <v>0.3</v>
      </c>
      <c r="K28" s="175">
        <v>0.05</v>
      </c>
    </row>
    <row r="29" spans="4:33" ht="15" customHeight="1" x14ac:dyDescent="0.2">
      <c r="D29" s="175">
        <v>28</v>
      </c>
      <c r="E29" s="175" t="s">
        <v>247</v>
      </c>
      <c r="F29" s="175">
        <v>0.995</v>
      </c>
      <c r="G29" s="175">
        <v>0.8</v>
      </c>
      <c r="H29" s="175">
        <v>0.5</v>
      </c>
      <c r="I29" s="175">
        <v>0.5</v>
      </c>
      <c r="J29" s="175">
        <v>0.3</v>
      </c>
      <c r="K29" s="175">
        <v>0.05</v>
      </c>
      <c r="Y29"/>
      <c r="AC29"/>
      <c r="AG29"/>
    </row>
    <row r="30" spans="4:33" ht="15" customHeight="1" x14ac:dyDescent="0.2">
      <c r="D30" s="175">
        <v>29</v>
      </c>
      <c r="E30" s="175" t="s">
        <v>248</v>
      </c>
      <c r="F30" s="175">
        <v>0.995</v>
      </c>
      <c r="G30" s="175">
        <v>0.8</v>
      </c>
      <c r="H30" s="175">
        <v>0.5</v>
      </c>
      <c r="I30" s="175">
        <v>0.5</v>
      </c>
      <c r="J30" s="175">
        <v>0.3</v>
      </c>
      <c r="K30" s="175">
        <v>0.05</v>
      </c>
      <c r="Y30"/>
      <c r="AC30"/>
      <c r="AG30"/>
    </row>
    <row r="31" spans="4:33" ht="15" customHeight="1" x14ac:dyDescent="0.2">
      <c r="D31" s="175">
        <v>30</v>
      </c>
      <c r="E31" s="175" t="s">
        <v>249</v>
      </c>
      <c r="F31" s="175">
        <v>0.995</v>
      </c>
      <c r="G31" s="175">
        <v>0.8</v>
      </c>
      <c r="H31" s="175">
        <v>0.5</v>
      </c>
      <c r="I31" s="175">
        <v>0.5</v>
      </c>
      <c r="J31" s="175">
        <v>0.3</v>
      </c>
      <c r="K31" s="175">
        <v>0.05</v>
      </c>
      <c r="Y31"/>
      <c r="AC31"/>
      <c r="AG31"/>
    </row>
    <row r="32" spans="4:33" ht="15" customHeight="1" x14ac:dyDescent="0.2">
      <c r="D32" s="175">
        <v>31</v>
      </c>
      <c r="E32" s="175" t="s">
        <v>250</v>
      </c>
      <c r="F32" s="175">
        <v>0.995</v>
      </c>
      <c r="G32" s="175">
        <v>0.8</v>
      </c>
      <c r="H32" s="175">
        <v>0.5</v>
      </c>
      <c r="I32" s="175">
        <v>0.5</v>
      </c>
      <c r="J32" s="175">
        <v>0.3</v>
      </c>
      <c r="K32" s="175">
        <v>0.05</v>
      </c>
      <c r="Y32"/>
      <c r="AC32"/>
      <c r="AG32"/>
    </row>
    <row r="33" spans="4:33" ht="15" customHeight="1" x14ac:dyDescent="0.2">
      <c r="D33" s="175">
        <v>32</v>
      </c>
      <c r="E33" s="175" t="s">
        <v>251</v>
      </c>
      <c r="F33" s="175">
        <v>0.995</v>
      </c>
      <c r="G33" s="175">
        <v>0.8</v>
      </c>
      <c r="H33" s="175">
        <v>0.5</v>
      </c>
      <c r="I33" s="175">
        <v>0.5</v>
      </c>
      <c r="J33" s="175">
        <v>0.3</v>
      </c>
      <c r="K33" s="175">
        <v>0.05</v>
      </c>
      <c r="Y33"/>
      <c r="AC33"/>
      <c r="AG33"/>
    </row>
    <row r="34" spans="4:33" ht="15" customHeight="1" x14ac:dyDescent="0.2">
      <c r="D34" s="175">
        <v>33</v>
      </c>
      <c r="E34" s="175" t="s">
        <v>252</v>
      </c>
      <c r="F34" s="175">
        <v>0.995</v>
      </c>
      <c r="G34" s="175">
        <v>0.8</v>
      </c>
      <c r="H34" s="175">
        <v>0.5</v>
      </c>
      <c r="I34" s="175">
        <v>0.5</v>
      </c>
      <c r="J34" s="175">
        <v>0.3</v>
      </c>
      <c r="K34" s="175">
        <v>0.05</v>
      </c>
      <c r="Y34"/>
      <c r="AC34"/>
      <c r="AG34"/>
    </row>
    <row r="35" spans="4:33" ht="15" customHeight="1" x14ac:dyDescent="0.2">
      <c r="D35" s="175">
        <v>34</v>
      </c>
      <c r="E35" s="175" t="s">
        <v>253</v>
      </c>
      <c r="F35" s="175">
        <v>0.995</v>
      </c>
      <c r="G35" s="175">
        <v>0.8</v>
      </c>
      <c r="H35" s="175">
        <v>0.5</v>
      </c>
      <c r="I35" s="175">
        <v>0.5</v>
      </c>
      <c r="J35" s="175">
        <v>0.3</v>
      </c>
      <c r="K35" s="175">
        <v>0.05</v>
      </c>
      <c r="Y35"/>
      <c r="AC35"/>
      <c r="AG35"/>
    </row>
    <row r="36" spans="4:33" ht="15" customHeight="1" x14ac:dyDescent="0.2">
      <c r="D36" s="175">
        <v>35</v>
      </c>
      <c r="E36" s="175" t="s">
        <v>254</v>
      </c>
      <c r="F36" s="175">
        <v>0.995</v>
      </c>
      <c r="G36" s="175">
        <v>0.8</v>
      </c>
      <c r="H36" s="175">
        <v>0.5</v>
      </c>
      <c r="I36" s="175">
        <v>0.5</v>
      </c>
      <c r="J36" s="175">
        <v>0.3</v>
      </c>
      <c r="K36" s="175">
        <v>0.05</v>
      </c>
      <c r="Y36"/>
      <c r="AC36"/>
      <c r="AG36"/>
    </row>
    <row r="37" spans="4:33" ht="15" customHeight="1" x14ac:dyDescent="0.2">
      <c r="D37" s="175">
        <v>36</v>
      </c>
      <c r="E37" s="175" t="s">
        <v>255</v>
      </c>
      <c r="F37" s="175">
        <v>0.995</v>
      </c>
      <c r="G37" s="175">
        <v>0.8</v>
      </c>
      <c r="H37" s="175">
        <v>0.5</v>
      </c>
      <c r="I37" s="175">
        <v>0.5</v>
      </c>
      <c r="J37" s="175">
        <v>0.3</v>
      </c>
      <c r="K37" s="175">
        <v>0.05</v>
      </c>
      <c r="Y37"/>
      <c r="AC37"/>
      <c r="AG37"/>
    </row>
    <row r="38" spans="4:33" ht="15" customHeight="1" x14ac:dyDescent="0.2">
      <c r="D38" s="175">
        <v>37</v>
      </c>
      <c r="E38" s="175" t="s">
        <v>194</v>
      </c>
      <c r="F38" s="175">
        <v>0.995</v>
      </c>
      <c r="G38" s="175">
        <v>0.8</v>
      </c>
      <c r="H38" s="175">
        <v>0.5</v>
      </c>
      <c r="I38" s="175">
        <v>0.5</v>
      </c>
      <c r="J38" s="175">
        <v>0.3</v>
      </c>
      <c r="K38" s="175">
        <v>0.05</v>
      </c>
      <c r="Y38"/>
      <c r="AC38"/>
      <c r="AG38"/>
    </row>
    <row r="39" spans="4:33" ht="15" customHeight="1" x14ac:dyDescent="0.2">
      <c r="D39" s="175">
        <v>38</v>
      </c>
      <c r="E39" s="175" t="s">
        <v>256</v>
      </c>
      <c r="F39" s="175">
        <v>0.995</v>
      </c>
      <c r="G39" s="175">
        <v>0.8</v>
      </c>
      <c r="H39" s="175">
        <v>0.5</v>
      </c>
      <c r="I39" s="175">
        <v>0.5</v>
      </c>
      <c r="J39" s="175">
        <v>0.3</v>
      </c>
      <c r="K39" s="175">
        <v>0.05</v>
      </c>
    </row>
    <row r="40" spans="4:33" ht="15" customHeight="1" x14ac:dyDescent="0.2">
      <c r="D40" s="175">
        <v>39</v>
      </c>
      <c r="E40" s="175" t="s">
        <v>195</v>
      </c>
      <c r="F40" s="175">
        <v>0.995</v>
      </c>
      <c r="G40" s="175">
        <v>0.8</v>
      </c>
      <c r="H40" s="175">
        <v>0.5</v>
      </c>
      <c r="I40" s="175">
        <v>0.5</v>
      </c>
      <c r="J40" s="175">
        <v>0.3</v>
      </c>
      <c r="K40" s="175">
        <v>0.05</v>
      </c>
      <c r="Y40"/>
      <c r="AC40"/>
      <c r="AG40"/>
    </row>
    <row r="41" spans="4:33" ht="15" customHeight="1" x14ac:dyDescent="0.2">
      <c r="D41" s="175">
        <v>40</v>
      </c>
      <c r="E41" s="175" t="s">
        <v>196</v>
      </c>
      <c r="F41" s="175">
        <v>0.995</v>
      </c>
      <c r="G41" s="175">
        <v>0.8</v>
      </c>
      <c r="H41" s="175">
        <v>0.5</v>
      </c>
      <c r="I41" s="175">
        <v>0.5</v>
      </c>
      <c r="J41" s="175">
        <v>0.3</v>
      </c>
      <c r="K41" s="175">
        <v>0.05</v>
      </c>
      <c r="Y41"/>
      <c r="AC41"/>
      <c r="AG41"/>
    </row>
    <row r="42" spans="4:33" ht="15" customHeight="1" x14ac:dyDescent="0.2">
      <c r="D42" s="175">
        <v>41</v>
      </c>
      <c r="E42" s="175" t="s">
        <v>197</v>
      </c>
      <c r="F42" s="175">
        <v>0.995</v>
      </c>
      <c r="G42" s="175">
        <v>0.8</v>
      </c>
      <c r="H42" s="175">
        <v>0.5</v>
      </c>
      <c r="I42" s="175">
        <v>0.5</v>
      </c>
      <c r="J42" s="175">
        <v>0.3</v>
      </c>
      <c r="K42" s="175">
        <v>0.05</v>
      </c>
      <c r="Y42"/>
      <c r="AC42"/>
      <c r="AG42"/>
    </row>
    <row r="43" spans="4:33" ht="15" customHeight="1" x14ac:dyDescent="0.2">
      <c r="D43" s="175">
        <v>42</v>
      </c>
      <c r="E43" s="175" t="s">
        <v>198</v>
      </c>
      <c r="F43" s="175">
        <v>0.995</v>
      </c>
      <c r="G43" s="175">
        <v>0.8</v>
      </c>
      <c r="H43" s="175">
        <v>0.5</v>
      </c>
      <c r="I43" s="175">
        <v>0.5</v>
      </c>
      <c r="J43" s="175">
        <v>0.3</v>
      </c>
      <c r="K43" s="175">
        <v>0.05</v>
      </c>
      <c r="Y43"/>
      <c r="AC43"/>
      <c r="AG43"/>
    </row>
    <row r="44" spans="4:33" ht="15" customHeight="1" x14ac:dyDescent="0.2">
      <c r="D44" s="175">
        <v>43</v>
      </c>
      <c r="E44" s="175" t="s">
        <v>199</v>
      </c>
      <c r="F44" s="175">
        <v>0.995</v>
      </c>
      <c r="G44" s="175">
        <v>0.8</v>
      </c>
      <c r="H44" s="175">
        <v>0.5</v>
      </c>
      <c r="I44" s="175">
        <v>0.5</v>
      </c>
      <c r="J44" s="175">
        <v>0.3</v>
      </c>
      <c r="K44" s="175">
        <v>0.05</v>
      </c>
      <c r="Y44"/>
      <c r="AC44"/>
      <c r="AG44"/>
    </row>
    <row r="45" spans="4:33" ht="15" customHeight="1" x14ac:dyDescent="0.2">
      <c r="D45" s="175">
        <v>44</v>
      </c>
      <c r="E45" s="175" t="s">
        <v>232</v>
      </c>
      <c r="F45" s="175">
        <v>0.995</v>
      </c>
      <c r="G45" s="175">
        <v>0.8</v>
      </c>
      <c r="H45" s="175">
        <v>0.5</v>
      </c>
      <c r="I45" s="175">
        <v>0.5</v>
      </c>
      <c r="J45" s="175">
        <v>0.3</v>
      </c>
      <c r="K45" s="175">
        <v>0.05</v>
      </c>
      <c r="Y45"/>
      <c r="AC45"/>
      <c r="AG45"/>
    </row>
    <row r="46" spans="4:33" ht="15" customHeight="1" x14ac:dyDescent="0.2">
      <c r="D46" s="175">
        <v>45</v>
      </c>
      <c r="E46" s="175" t="s">
        <v>200</v>
      </c>
      <c r="F46" s="175">
        <v>0.995</v>
      </c>
      <c r="G46" s="175">
        <v>0.8</v>
      </c>
      <c r="H46" s="175">
        <v>0.5</v>
      </c>
      <c r="I46" s="175">
        <v>0.5</v>
      </c>
      <c r="J46" s="175">
        <v>0.3</v>
      </c>
      <c r="K46" s="175">
        <v>0.05</v>
      </c>
      <c r="Y46"/>
      <c r="AC46"/>
      <c r="AG46"/>
    </row>
    <row r="47" spans="4:33" ht="15" customHeight="1" x14ac:dyDescent="0.2">
      <c r="D47" s="175">
        <v>46</v>
      </c>
      <c r="E47" s="175" t="s">
        <v>201</v>
      </c>
      <c r="F47" s="175">
        <v>0.995</v>
      </c>
      <c r="G47" s="175">
        <v>0.8</v>
      </c>
      <c r="H47" s="175">
        <v>0.5</v>
      </c>
      <c r="I47" s="175">
        <v>0.5</v>
      </c>
      <c r="J47" s="175">
        <v>0.3</v>
      </c>
      <c r="K47" s="175">
        <v>0.05</v>
      </c>
      <c r="Y47"/>
      <c r="AC47"/>
      <c r="AG47"/>
    </row>
    <row r="48" spans="4:33" ht="15" customHeight="1" x14ac:dyDescent="0.2">
      <c r="D48" s="175">
        <v>47</v>
      </c>
      <c r="E48" s="175" t="s">
        <v>202</v>
      </c>
      <c r="F48" s="175">
        <v>0.995</v>
      </c>
      <c r="G48" s="175">
        <v>0.8</v>
      </c>
      <c r="H48" s="175">
        <v>0.5</v>
      </c>
      <c r="I48" s="175">
        <v>0.5</v>
      </c>
      <c r="J48" s="175">
        <v>0.3</v>
      </c>
      <c r="K48" s="175">
        <v>0.05</v>
      </c>
      <c r="Y48"/>
      <c r="AC48"/>
      <c r="AG48"/>
    </row>
    <row r="49" spans="4:33" ht="15" customHeight="1" x14ac:dyDescent="0.2">
      <c r="D49" s="175">
        <v>48</v>
      </c>
      <c r="E49" s="175" t="s">
        <v>203</v>
      </c>
      <c r="F49" s="175">
        <v>0.995</v>
      </c>
      <c r="G49" s="175">
        <v>0.8</v>
      </c>
      <c r="H49" s="175">
        <v>0.5</v>
      </c>
      <c r="I49" s="175">
        <v>0.5</v>
      </c>
      <c r="J49" s="175">
        <v>0.3</v>
      </c>
      <c r="K49" s="175">
        <v>0.05</v>
      </c>
      <c r="Y49"/>
      <c r="AC49"/>
      <c r="AG49"/>
    </row>
    <row r="50" spans="4:33" ht="15" customHeight="1" x14ac:dyDescent="0.2">
      <c r="D50" s="175">
        <v>49</v>
      </c>
      <c r="E50" s="175" t="s">
        <v>204</v>
      </c>
      <c r="F50" s="175">
        <v>0.995</v>
      </c>
      <c r="G50" s="175">
        <v>0.8</v>
      </c>
      <c r="H50" s="175">
        <v>0.5</v>
      </c>
      <c r="I50" s="175">
        <v>0.5</v>
      </c>
      <c r="J50" s="175">
        <v>0.3</v>
      </c>
      <c r="K50" s="175">
        <v>0.05</v>
      </c>
      <c r="Y50"/>
      <c r="AC50"/>
      <c r="AG50"/>
    </row>
    <row r="51" spans="4:33" ht="15" customHeight="1" x14ac:dyDescent="0.2">
      <c r="D51" s="175">
        <v>50</v>
      </c>
      <c r="E51" s="175" t="s">
        <v>257</v>
      </c>
      <c r="F51" s="175">
        <v>0.995</v>
      </c>
      <c r="G51" s="175">
        <v>0.8</v>
      </c>
      <c r="H51" s="175">
        <v>0.5</v>
      </c>
      <c r="I51" s="175">
        <v>0.5</v>
      </c>
      <c r="J51" s="175">
        <v>0.3</v>
      </c>
      <c r="K51" s="175">
        <v>0.05</v>
      </c>
      <c r="Y51"/>
      <c r="AC51"/>
      <c r="AG51"/>
    </row>
    <row r="52" spans="4:33" ht="15" customHeight="1" x14ac:dyDescent="0.2">
      <c r="D52" s="175">
        <v>51</v>
      </c>
      <c r="E52" s="175" t="s">
        <v>258</v>
      </c>
      <c r="F52" s="175">
        <v>0.995</v>
      </c>
      <c r="G52" s="175">
        <v>0.8</v>
      </c>
      <c r="H52" s="175">
        <v>0.5</v>
      </c>
      <c r="I52" s="175">
        <v>0.5</v>
      </c>
      <c r="J52" s="175">
        <v>0.3</v>
      </c>
      <c r="K52" s="175">
        <v>0.05</v>
      </c>
      <c r="Y52"/>
      <c r="AC52"/>
      <c r="AG52"/>
    </row>
    <row r="53" spans="4:33" ht="15" customHeight="1" x14ac:dyDescent="0.2">
      <c r="D53" s="175">
        <v>52</v>
      </c>
      <c r="E53" s="175" t="s">
        <v>259</v>
      </c>
      <c r="F53" s="175">
        <v>0.995</v>
      </c>
      <c r="G53" s="175">
        <v>0.8</v>
      </c>
      <c r="H53" s="175">
        <v>0.5</v>
      </c>
      <c r="I53" s="175">
        <v>0.5</v>
      </c>
      <c r="J53" s="175">
        <v>0.3</v>
      </c>
      <c r="K53" s="175">
        <v>0.05</v>
      </c>
      <c r="Y53"/>
      <c r="AC53"/>
      <c r="AG53"/>
    </row>
    <row r="54" spans="4:33" ht="15" customHeight="1" x14ac:dyDescent="0.2">
      <c r="D54" s="175">
        <v>53</v>
      </c>
      <c r="E54" s="175" t="s">
        <v>260</v>
      </c>
      <c r="F54" s="175">
        <v>0.995</v>
      </c>
      <c r="G54" s="175">
        <v>0.8</v>
      </c>
      <c r="H54" s="175">
        <v>0.5</v>
      </c>
      <c r="I54" s="175">
        <v>0.5</v>
      </c>
      <c r="J54" s="175">
        <v>0.3</v>
      </c>
      <c r="K54" s="175">
        <v>0.05</v>
      </c>
      <c r="Y54"/>
      <c r="AC54"/>
      <c r="AG54"/>
    </row>
    <row r="55" spans="4:33" ht="15" customHeight="1" x14ac:dyDescent="0.2">
      <c r="D55" s="175">
        <v>54</v>
      </c>
      <c r="E55" s="175" t="s">
        <v>261</v>
      </c>
      <c r="F55" s="175">
        <v>0.995</v>
      </c>
      <c r="G55" s="175">
        <v>0.8</v>
      </c>
      <c r="H55" s="175">
        <v>0.5</v>
      </c>
      <c r="I55" s="175">
        <v>0.5</v>
      </c>
      <c r="J55" s="175">
        <v>0.3</v>
      </c>
      <c r="K55" s="175">
        <v>0.05</v>
      </c>
      <c r="Y55"/>
      <c r="AC55"/>
      <c r="AG55"/>
    </row>
    <row r="56" spans="4:33" ht="15" customHeight="1" x14ac:dyDescent="0.2">
      <c r="D56" s="175">
        <v>55</v>
      </c>
      <c r="E56" s="175" t="s">
        <v>233</v>
      </c>
      <c r="F56" s="175">
        <v>0.995</v>
      </c>
      <c r="G56" s="175">
        <v>0.8</v>
      </c>
      <c r="H56" s="175">
        <v>0.5</v>
      </c>
      <c r="I56" s="175">
        <v>0.5</v>
      </c>
      <c r="J56" s="175">
        <v>0.3</v>
      </c>
      <c r="K56" s="175">
        <v>0.05</v>
      </c>
      <c r="Y56"/>
      <c r="AC56"/>
      <c r="AG56"/>
    </row>
    <row r="57" spans="4:33" ht="15" customHeight="1" x14ac:dyDescent="0.2">
      <c r="D57" s="175">
        <v>56</v>
      </c>
      <c r="E57" s="175" t="s">
        <v>234</v>
      </c>
      <c r="F57" s="175">
        <v>0.995</v>
      </c>
      <c r="G57" s="175">
        <v>0.8</v>
      </c>
      <c r="H57" s="175">
        <v>0.5</v>
      </c>
      <c r="I57" s="175">
        <v>0.5</v>
      </c>
      <c r="J57" s="175">
        <v>0.3</v>
      </c>
      <c r="K57" s="175">
        <v>0.05</v>
      </c>
      <c r="Y57"/>
      <c r="AC57"/>
      <c r="AG57"/>
    </row>
    <row r="58" spans="4:33" ht="15" customHeight="1" x14ac:dyDescent="0.2">
      <c r="D58" s="175">
        <v>57</v>
      </c>
      <c r="E58" s="175" t="s">
        <v>205</v>
      </c>
      <c r="F58" s="175">
        <v>0.995</v>
      </c>
      <c r="G58" s="175">
        <v>0.8</v>
      </c>
      <c r="H58" s="175">
        <v>0.5</v>
      </c>
      <c r="I58" s="175">
        <v>0.5</v>
      </c>
      <c r="J58" s="175">
        <v>0.3</v>
      </c>
      <c r="K58" s="175">
        <v>0.05</v>
      </c>
      <c r="Y58"/>
      <c r="AC58"/>
      <c r="AG58"/>
    </row>
    <row r="59" spans="4:33" ht="15" customHeight="1" x14ac:dyDescent="0.2">
      <c r="D59" s="175">
        <v>58</v>
      </c>
      <c r="E59" s="175" t="s">
        <v>206</v>
      </c>
      <c r="F59" s="175">
        <v>0.995</v>
      </c>
      <c r="G59" s="175">
        <v>0.8</v>
      </c>
      <c r="H59" s="175">
        <v>0.5</v>
      </c>
      <c r="I59" s="175">
        <v>0.5</v>
      </c>
      <c r="J59" s="175">
        <v>0.3</v>
      </c>
      <c r="K59" s="175">
        <v>0.05</v>
      </c>
      <c r="Y59"/>
      <c r="AC59"/>
      <c r="AG59"/>
    </row>
    <row r="60" spans="4:33" ht="15" customHeight="1" x14ac:dyDescent="0.2">
      <c r="D60" s="175">
        <v>59</v>
      </c>
      <c r="E60" s="175" t="s">
        <v>207</v>
      </c>
      <c r="F60" s="175">
        <v>0.995</v>
      </c>
      <c r="G60" s="175">
        <v>0.8</v>
      </c>
      <c r="H60" s="175">
        <v>0.5</v>
      </c>
      <c r="I60" s="175">
        <v>0.5</v>
      </c>
      <c r="J60" s="175">
        <v>0.3</v>
      </c>
      <c r="K60" s="175">
        <v>0.05</v>
      </c>
      <c r="Y60"/>
      <c r="AC60"/>
      <c r="AG60"/>
    </row>
    <row r="61" spans="4:33" ht="15" customHeight="1" x14ac:dyDescent="0.2">
      <c r="D61" s="175">
        <v>60</v>
      </c>
      <c r="E61" s="175" t="s">
        <v>262</v>
      </c>
      <c r="F61" s="175">
        <v>0.995</v>
      </c>
      <c r="G61" s="175">
        <v>0.8</v>
      </c>
      <c r="H61" s="175">
        <v>0.5</v>
      </c>
      <c r="I61" s="175">
        <v>0.5</v>
      </c>
      <c r="J61" s="175">
        <v>0.3</v>
      </c>
      <c r="K61" s="175">
        <v>0.05</v>
      </c>
      <c r="Y61"/>
      <c r="AC61"/>
      <c r="AG61"/>
    </row>
    <row r="62" spans="4:33" ht="15" customHeight="1" x14ac:dyDescent="0.2">
      <c r="D62" s="175">
        <v>61</v>
      </c>
      <c r="E62" s="175" t="s">
        <v>208</v>
      </c>
      <c r="F62" s="175">
        <v>0.995</v>
      </c>
      <c r="G62" s="175">
        <v>0.8</v>
      </c>
      <c r="H62" s="175">
        <v>0.5</v>
      </c>
      <c r="I62" s="175">
        <v>0.5</v>
      </c>
      <c r="J62" s="175">
        <v>0.3</v>
      </c>
      <c r="K62" s="175">
        <v>0.05</v>
      </c>
      <c r="Y62"/>
      <c r="AC62"/>
      <c r="AG62"/>
    </row>
    <row r="63" spans="4:33" ht="15" customHeight="1" x14ac:dyDescent="0.2">
      <c r="D63" s="175">
        <v>62</v>
      </c>
      <c r="E63" s="175" t="s">
        <v>263</v>
      </c>
      <c r="F63" s="175">
        <v>0.995</v>
      </c>
      <c r="G63" s="175">
        <v>0.8</v>
      </c>
      <c r="H63" s="175">
        <v>0.5</v>
      </c>
      <c r="I63" s="175">
        <v>0.5</v>
      </c>
      <c r="J63" s="175">
        <v>0.3</v>
      </c>
      <c r="K63" s="175">
        <v>0.05</v>
      </c>
      <c r="Y63"/>
      <c r="AC63"/>
      <c r="AG63"/>
    </row>
    <row r="64" spans="4:33" ht="15" customHeight="1" x14ac:dyDescent="0.2">
      <c r="D64" s="175">
        <v>63</v>
      </c>
      <c r="E64" s="175" t="s">
        <v>209</v>
      </c>
      <c r="F64" s="175">
        <v>0.995</v>
      </c>
      <c r="G64" s="175">
        <v>0.8</v>
      </c>
      <c r="H64" s="175">
        <v>0.5</v>
      </c>
      <c r="I64" s="175">
        <v>0.5</v>
      </c>
      <c r="J64" s="175">
        <v>0.3</v>
      </c>
      <c r="K64" s="175">
        <v>0.05</v>
      </c>
      <c r="Y64"/>
      <c r="AC64"/>
      <c r="AG64"/>
    </row>
    <row r="65" spans="4:33" ht="15" customHeight="1" x14ac:dyDescent="0.2">
      <c r="D65" s="175">
        <v>64</v>
      </c>
      <c r="E65" s="175" t="s">
        <v>264</v>
      </c>
      <c r="F65" s="175">
        <v>0.995</v>
      </c>
      <c r="G65" s="175">
        <v>0.8</v>
      </c>
      <c r="H65" s="175">
        <v>0.5</v>
      </c>
      <c r="I65" s="175">
        <v>0.5</v>
      </c>
      <c r="J65" s="175">
        <v>0.3</v>
      </c>
      <c r="K65" s="175">
        <v>0.05</v>
      </c>
      <c r="Y65"/>
      <c r="AC65"/>
      <c r="AG65"/>
    </row>
    <row r="66" spans="4:33" ht="15" customHeight="1" x14ac:dyDescent="0.2">
      <c r="D66" s="175">
        <v>65</v>
      </c>
      <c r="E66" s="175" t="s">
        <v>210</v>
      </c>
      <c r="F66" s="175">
        <v>0.995</v>
      </c>
      <c r="G66" s="175">
        <v>0.8</v>
      </c>
      <c r="H66" s="175">
        <v>0.5</v>
      </c>
      <c r="I66" s="175">
        <v>0.5</v>
      </c>
      <c r="J66" s="175">
        <v>0.3</v>
      </c>
      <c r="K66" s="175">
        <v>0.05</v>
      </c>
      <c r="Y66"/>
      <c r="AC66"/>
      <c r="AG66"/>
    </row>
    <row r="67" spans="4:33" ht="15" customHeight="1" x14ac:dyDescent="0.2">
      <c r="D67" s="175">
        <v>66</v>
      </c>
      <c r="E67" s="175" t="s">
        <v>235</v>
      </c>
      <c r="F67" s="175">
        <v>0.995</v>
      </c>
      <c r="G67" s="175">
        <v>0.8</v>
      </c>
      <c r="H67" s="175">
        <v>0.5</v>
      </c>
      <c r="I67" s="175">
        <v>0.5</v>
      </c>
      <c r="J67" s="175">
        <v>0.3</v>
      </c>
      <c r="K67" s="175">
        <v>0.05</v>
      </c>
      <c r="Y67"/>
      <c r="AC67"/>
      <c r="AG67"/>
    </row>
    <row r="68" spans="4:33" ht="15" customHeight="1" x14ac:dyDescent="0.2">
      <c r="D68" s="175">
        <v>67</v>
      </c>
      <c r="E68" s="175" t="s">
        <v>211</v>
      </c>
      <c r="F68" s="175">
        <v>0.995</v>
      </c>
      <c r="G68" s="175">
        <v>0.8</v>
      </c>
      <c r="H68" s="175">
        <v>0.5</v>
      </c>
      <c r="I68" s="175">
        <v>0.5</v>
      </c>
      <c r="J68" s="175">
        <v>0.3</v>
      </c>
      <c r="K68" s="175">
        <v>0.05</v>
      </c>
      <c r="Y68"/>
      <c r="AC68"/>
      <c r="AG68"/>
    </row>
    <row r="69" spans="4:33" ht="15" customHeight="1" x14ac:dyDescent="0.2">
      <c r="D69" s="175">
        <v>68</v>
      </c>
      <c r="E69" s="175" t="s">
        <v>265</v>
      </c>
      <c r="F69" s="175">
        <v>0.995</v>
      </c>
      <c r="G69" s="175">
        <v>0.8</v>
      </c>
      <c r="H69" s="175">
        <v>0.5</v>
      </c>
      <c r="I69" s="175">
        <v>0.5</v>
      </c>
      <c r="J69" s="175">
        <v>0.3</v>
      </c>
      <c r="K69" s="175">
        <v>0.05</v>
      </c>
      <c r="Y69"/>
      <c r="AC69"/>
      <c r="AG69"/>
    </row>
    <row r="70" spans="4:33" ht="15" customHeight="1" x14ac:dyDescent="0.2">
      <c r="D70" s="175">
        <v>69</v>
      </c>
      <c r="E70" s="175" t="s">
        <v>212</v>
      </c>
      <c r="F70" s="175">
        <v>0.995</v>
      </c>
      <c r="G70" s="175">
        <v>0.8</v>
      </c>
      <c r="H70" s="175">
        <v>0.5</v>
      </c>
      <c r="I70" s="175">
        <v>0.5</v>
      </c>
      <c r="J70" s="175">
        <v>0.3</v>
      </c>
      <c r="K70" s="175">
        <v>0.05</v>
      </c>
      <c r="Y70"/>
      <c r="AC70"/>
      <c r="AG70"/>
    </row>
    <row r="71" spans="4:33" ht="15" customHeight="1" x14ac:dyDescent="0.2">
      <c r="D71" s="175">
        <v>70</v>
      </c>
      <c r="E71" s="175" t="s">
        <v>213</v>
      </c>
      <c r="F71" s="175">
        <v>0.995</v>
      </c>
      <c r="G71" s="175">
        <v>0.8</v>
      </c>
      <c r="H71" s="175">
        <v>0.5</v>
      </c>
      <c r="I71" s="175">
        <v>0.5</v>
      </c>
      <c r="J71" s="175">
        <v>0.3</v>
      </c>
      <c r="K71" s="175">
        <v>0.05</v>
      </c>
      <c r="Y71"/>
      <c r="AC71"/>
      <c r="AG71"/>
    </row>
    <row r="72" spans="4:33" ht="15" customHeight="1" x14ac:dyDescent="0.2">
      <c r="D72" s="175">
        <v>71</v>
      </c>
      <c r="E72" s="175" t="s">
        <v>236</v>
      </c>
      <c r="F72" s="175">
        <v>0.995</v>
      </c>
      <c r="G72" s="175">
        <v>0.8</v>
      </c>
      <c r="H72" s="175">
        <v>0.5</v>
      </c>
      <c r="I72" s="175">
        <v>0.5</v>
      </c>
      <c r="J72" s="175">
        <v>0.3</v>
      </c>
      <c r="K72" s="175">
        <v>0.05</v>
      </c>
      <c r="Y72"/>
      <c r="AC72"/>
      <c r="AG72"/>
    </row>
    <row r="73" spans="4:33" ht="15" customHeight="1" x14ac:dyDescent="0.2">
      <c r="D73" s="175">
        <v>72</v>
      </c>
      <c r="E73" s="175" t="s">
        <v>237</v>
      </c>
      <c r="F73" s="175">
        <v>0.995</v>
      </c>
      <c r="G73" s="175">
        <v>0.8</v>
      </c>
      <c r="H73" s="175">
        <v>0.5</v>
      </c>
      <c r="I73" s="175">
        <v>0.5</v>
      </c>
      <c r="J73" s="175">
        <v>0.3</v>
      </c>
      <c r="K73" s="175">
        <v>0.05</v>
      </c>
      <c r="Y73"/>
      <c r="AC73"/>
      <c r="AG73"/>
    </row>
    <row r="74" spans="4:33" ht="15" customHeight="1" x14ac:dyDescent="0.2">
      <c r="D74" s="175">
        <v>73</v>
      </c>
      <c r="E74" s="175" t="s">
        <v>214</v>
      </c>
      <c r="F74" s="175">
        <v>0.995</v>
      </c>
      <c r="G74" s="175">
        <v>0.8</v>
      </c>
      <c r="H74" s="175">
        <v>0.5</v>
      </c>
      <c r="I74" s="175">
        <v>0.5</v>
      </c>
      <c r="J74" s="175">
        <v>0.3</v>
      </c>
      <c r="K74" s="175">
        <v>0.05</v>
      </c>
      <c r="Y74"/>
      <c r="AC74"/>
      <c r="AG74"/>
    </row>
    <row r="75" spans="4:33" ht="15" customHeight="1" x14ac:dyDescent="0.2">
      <c r="D75" s="175">
        <v>74</v>
      </c>
      <c r="E75" s="175" t="s">
        <v>238</v>
      </c>
      <c r="F75" s="175">
        <v>0.995</v>
      </c>
      <c r="G75" s="175">
        <v>0.8</v>
      </c>
      <c r="H75" s="175">
        <v>0.5</v>
      </c>
      <c r="I75" s="175">
        <v>0.5</v>
      </c>
      <c r="J75" s="175">
        <v>0.3</v>
      </c>
      <c r="K75" s="175">
        <v>0.05</v>
      </c>
      <c r="Y75"/>
      <c r="AC75"/>
      <c r="AG75"/>
    </row>
    <row r="76" spans="4:33" ht="15" customHeight="1" x14ac:dyDescent="0.2">
      <c r="D76" s="175">
        <v>75</v>
      </c>
      <c r="E76" s="175" t="s">
        <v>239</v>
      </c>
      <c r="F76" s="175">
        <v>0.995</v>
      </c>
      <c r="G76" s="175">
        <v>0.8</v>
      </c>
      <c r="H76" s="175">
        <v>0.5</v>
      </c>
      <c r="I76" s="175">
        <v>0.5</v>
      </c>
      <c r="J76" s="175">
        <v>0.3</v>
      </c>
      <c r="K76" s="175">
        <v>0.05</v>
      </c>
    </row>
    <row r="77" spans="4:33" ht="15" customHeight="1" x14ac:dyDescent="0.2">
      <c r="D77" s="175">
        <v>76</v>
      </c>
      <c r="E77" s="175" t="s">
        <v>240</v>
      </c>
      <c r="F77" s="175">
        <v>0.995</v>
      </c>
      <c r="G77" s="175">
        <v>0.8</v>
      </c>
      <c r="H77" s="175">
        <v>0.5</v>
      </c>
      <c r="I77" s="175">
        <v>0.5</v>
      </c>
      <c r="J77" s="175">
        <v>0.3</v>
      </c>
      <c r="K77" s="175">
        <v>0.05</v>
      </c>
    </row>
    <row r="78" spans="4:33" ht="15" customHeight="1" x14ac:dyDescent="0.2">
      <c r="D78" s="175">
        <v>77</v>
      </c>
      <c r="E78" s="175" t="s">
        <v>215</v>
      </c>
      <c r="F78" s="175">
        <v>0.995</v>
      </c>
      <c r="G78" s="175">
        <v>0.8</v>
      </c>
      <c r="H78" s="175">
        <v>0.5</v>
      </c>
      <c r="I78" s="175">
        <v>0.5</v>
      </c>
      <c r="J78" s="175">
        <v>0.3</v>
      </c>
      <c r="K78" s="175">
        <v>0.05</v>
      </c>
    </row>
    <row r="79" spans="4:33" ht="15" customHeight="1" x14ac:dyDescent="0.2">
      <c r="D79" s="175">
        <v>78</v>
      </c>
      <c r="E79" s="175" t="s">
        <v>216</v>
      </c>
      <c r="F79" s="175">
        <v>0.995</v>
      </c>
      <c r="G79" s="175">
        <v>0.8</v>
      </c>
      <c r="H79" s="175">
        <v>0.5</v>
      </c>
      <c r="I79" s="175">
        <v>0.5</v>
      </c>
      <c r="J79" s="175">
        <v>0.3</v>
      </c>
      <c r="K79" s="175">
        <v>0.05</v>
      </c>
    </row>
    <row r="80" spans="4:33" ht="15" customHeight="1" x14ac:dyDescent="0.2">
      <c r="D80" s="175">
        <v>79</v>
      </c>
      <c r="E80" s="175" t="s">
        <v>217</v>
      </c>
      <c r="F80" s="175">
        <v>0.995</v>
      </c>
      <c r="G80" s="175">
        <v>0.8</v>
      </c>
      <c r="H80" s="175">
        <v>0.5</v>
      </c>
      <c r="I80" s="175">
        <v>0.5</v>
      </c>
      <c r="J80" s="175">
        <v>0.3</v>
      </c>
      <c r="K80" s="175">
        <v>0.05</v>
      </c>
    </row>
    <row r="81" spans="4:33" ht="15" customHeight="1" x14ac:dyDescent="0.2">
      <c r="D81" s="175">
        <v>80</v>
      </c>
      <c r="E81" s="175" t="s">
        <v>266</v>
      </c>
      <c r="F81" s="175">
        <v>0.995</v>
      </c>
      <c r="G81" s="175">
        <v>0.8</v>
      </c>
      <c r="H81" s="175">
        <v>0.5</v>
      </c>
      <c r="I81" s="175">
        <v>0.5</v>
      </c>
      <c r="J81" s="175">
        <v>0.3</v>
      </c>
      <c r="K81" s="175">
        <v>0.05</v>
      </c>
    </row>
    <row r="82" spans="4:33" ht="15" customHeight="1" x14ac:dyDescent="0.2">
      <c r="D82" s="175">
        <v>81</v>
      </c>
      <c r="E82" s="175" t="s">
        <v>267</v>
      </c>
      <c r="F82" s="175">
        <v>0.995</v>
      </c>
      <c r="G82" s="175">
        <v>0.8</v>
      </c>
      <c r="H82" s="175">
        <v>0.5</v>
      </c>
      <c r="I82" s="175">
        <v>0.5</v>
      </c>
      <c r="J82" s="175">
        <v>0.3</v>
      </c>
      <c r="K82" s="175">
        <v>0.05</v>
      </c>
    </row>
    <row r="83" spans="4:33" ht="15" customHeight="1" x14ac:dyDescent="0.2">
      <c r="D83" s="175">
        <v>82</v>
      </c>
      <c r="E83" s="175" t="s">
        <v>218</v>
      </c>
      <c r="F83" s="175">
        <v>0.995</v>
      </c>
      <c r="G83" s="175">
        <v>0.8</v>
      </c>
      <c r="H83" s="175">
        <v>0.5</v>
      </c>
      <c r="I83" s="175">
        <v>0.5</v>
      </c>
      <c r="J83" s="175">
        <v>0.3</v>
      </c>
      <c r="K83" s="175">
        <v>0.05</v>
      </c>
      <c r="Y83"/>
      <c r="AC83"/>
      <c r="AG83"/>
    </row>
    <row r="84" spans="4:33" ht="15" customHeight="1" x14ac:dyDescent="0.2">
      <c r="D84" s="175">
        <v>83</v>
      </c>
      <c r="E84" s="175" t="s">
        <v>219</v>
      </c>
      <c r="F84" s="175">
        <v>0.995</v>
      </c>
      <c r="G84" s="175">
        <v>0.8</v>
      </c>
      <c r="H84" s="175">
        <v>0.5</v>
      </c>
      <c r="I84" s="175">
        <v>0.5</v>
      </c>
      <c r="J84" s="175">
        <v>0.3</v>
      </c>
      <c r="K84" s="175">
        <v>0.05</v>
      </c>
      <c r="Y84"/>
      <c r="AC84"/>
      <c r="AG84"/>
    </row>
    <row r="85" spans="4:33" ht="15" customHeight="1" x14ac:dyDescent="0.2">
      <c r="D85" s="175">
        <v>84</v>
      </c>
      <c r="E85" s="175" t="s">
        <v>220</v>
      </c>
      <c r="F85" s="175">
        <v>0.995</v>
      </c>
      <c r="G85" s="175">
        <v>0.8</v>
      </c>
      <c r="H85" s="175">
        <v>0.5</v>
      </c>
      <c r="I85" s="175">
        <v>0.5</v>
      </c>
      <c r="J85" s="175">
        <v>0.3</v>
      </c>
      <c r="K85" s="175">
        <v>0.05</v>
      </c>
      <c r="Y85"/>
      <c r="AC85"/>
      <c r="AG85"/>
    </row>
    <row r="86" spans="4:33" ht="15" customHeight="1" x14ac:dyDescent="0.2">
      <c r="D86" s="175">
        <v>85</v>
      </c>
      <c r="E86" s="175" t="s">
        <v>221</v>
      </c>
      <c r="F86" s="175">
        <v>0.995</v>
      </c>
      <c r="G86" s="175">
        <v>0.8</v>
      </c>
      <c r="H86" s="175">
        <v>0.5</v>
      </c>
      <c r="I86" s="175">
        <v>0.5</v>
      </c>
      <c r="J86" s="175">
        <v>0.3</v>
      </c>
      <c r="K86" s="175">
        <v>0.05</v>
      </c>
      <c r="Y86"/>
      <c r="AC86"/>
      <c r="AG86"/>
    </row>
    <row r="87" spans="4:33" ht="15" customHeight="1" x14ac:dyDescent="0.2">
      <c r="D87" s="175">
        <v>86</v>
      </c>
      <c r="E87" s="175" t="s">
        <v>268</v>
      </c>
      <c r="F87" s="175">
        <v>0.995</v>
      </c>
      <c r="G87" s="175">
        <v>0.8</v>
      </c>
      <c r="H87" s="175">
        <v>0.5</v>
      </c>
      <c r="I87" s="175">
        <v>0.5</v>
      </c>
      <c r="J87" s="175">
        <v>0.3</v>
      </c>
      <c r="K87" s="175">
        <v>0.05</v>
      </c>
      <c r="Y87"/>
      <c r="AC87"/>
      <c r="AG87"/>
    </row>
    <row r="88" spans="4:33" ht="15" customHeight="1" x14ac:dyDescent="0.2">
      <c r="D88" s="175">
        <v>87</v>
      </c>
      <c r="E88" s="175" t="s">
        <v>269</v>
      </c>
      <c r="F88" s="175">
        <v>0.995</v>
      </c>
      <c r="G88" s="175">
        <v>0.8</v>
      </c>
      <c r="H88" s="175">
        <v>0.5</v>
      </c>
      <c r="I88" s="175">
        <v>0.5</v>
      </c>
      <c r="J88" s="175">
        <v>0.3</v>
      </c>
      <c r="K88" s="175">
        <v>0.05</v>
      </c>
      <c r="Y88"/>
      <c r="AC88"/>
      <c r="AG88"/>
    </row>
    <row r="89" spans="4:33" ht="15" customHeight="1" x14ac:dyDescent="0.2">
      <c r="D89" s="175">
        <v>88</v>
      </c>
      <c r="E89" s="175" t="s">
        <v>222</v>
      </c>
      <c r="F89" s="175">
        <v>0.995</v>
      </c>
      <c r="G89" s="175">
        <v>0.8</v>
      </c>
      <c r="H89" s="175">
        <v>0.5</v>
      </c>
      <c r="I89" s="175">
        <v>0.5</v>
      </c>
      <c r="J89" s="175">
        <v>0.3</v>
      </c>
      <c r="K89" s="175">
        <v>0.05</v>
      </c>
      <c r="Y89"/>
      <c r="AC89"/>
      <c r="AG89"/>
    </row>
    <row r="90" spans="4:33" ht="15" customHeight="1" x14ac:dyDescent="0.2">
      <c r="D90" s="175">
        <v>89</v>
      </c>
      <c r="E90" s="175" t="s">
        <v>270</v>
      </c>
      <c r="F90" s="175">
        <v>0.995</v>
      </c>
      <c r="G90" s="175">
        <v>0.8</v>
      </c>
      <c r="H90" s="175">
        <v>0.5</v>
      </c>
      <c r="I90" s="175">
        <v>0.5</v>
      </c>
      <c r="J90" s="175">
        <v>0.3</v>
      </c>
      <c r="K90" s="175">
        <v>0.05</v>
      </c>
      <c r="Y90"/>
      <c r="AC90"/>
      <c r="AG90"/>
    </row>
    <row r="91" spans="4:33" ht="15" customHeight="1" x14ac:dyDescent="0.2">
      <c r="D91" s="175">
        <v>90</v>
      </c>
      <c r="E91" s="175" t="s">
        <v>223</v>
      </c>
      <c r="F91" s="175">
        <v>0.995</v>
      </c>
      <c r="G91" s="175">
        <v>0.8</v>
      </c>
      <c r="H91" s="175">
        <v>0.5</v>
      </c>
      <c r="I91" s="175">
        <v>0.5</v>
      </c>
      <c r="J91" s="175">
        <v>0.3</v>
      </c>
      <c r="K91" s="175">
        <v>0.05</v>
      </c>
      <c r="Y91"/>
      <c r="AC91"/>
      <c r="AG91"/>
    </row>
    <row r="92" spans="4:33" ht="15" customHeight="1" x14ac:dyDescent="0.2">
      <c r="D92" s="175">
        <v>91</v>
      </c>
      <c r="E92" s="175" t="s">
        <v>224</v>
      </c>
      <c r="F92" s="175">
        <v>0.995</v>
      </c>
      <c r="G92" s="175">
        <v>0.8</v>
      </c>
      <c r="H92" s="175">
        <v>0.5</v>
      </c>
      <c r="I92" s="175">
        <v>0.5</v>
      </c>
      <c r="J92" s="175">
        <v>0.3</v>
      </c>
      <c r="K92" s="175">
        <v>0.05</v>
      </c>
      <c r="Y92"/>
      <c r="AC92"/>
      <c r="AG92"/>
    </row>
    <row r="93" spans="4:33" ht="15" customHeight="1" x14ac:dyDescent="0.2">
      <c r="D93" s="175">
        <v>92</v>
      </c>
      <c r="E93" s="175" t="s">
        <v>225</v>
      </c>
      <c r="F93" s="175">
        <v>0.995</v>
      </c>
      <c r="G93" s="175">
        <v>0.8</v>
      </c>
      <c r="H93" s="175">
        <v>0.5</v>
      </c>
      <c r="I93" s="175">
        <v>0.5</v>
      </c>
      <c r="J93" s="175">
        <v>0.3</v>
      </c>
      <c r="K93" s="175">
        <v>0.05</v>
      </c>
      <c r="Y93"/>
      <c r="AC93"/>
      <c r="AG93"/>
    </row>
    <row r="94" spans="4:33" ht="15" customHeight="1" x14ac:dyDescent="0.2">
      <c r="D94" s="175">
        <v>93</v>
      </c>
      <c r="E94" s="175" t="s">
        <v>226</v>
      </c>
      <c r="F94" s="175">
        <v>0.995</v>
      </c>
      <c r="G94" s="175">
        <v>0</v>
      </c>
      <c r="H94" s="175">
        <v>0</v>
      </c>
      <c r="I94" s="175">
        <v>0</v>
      </c>
      <c r="J94" s="175">
        <v>0</v>
      </c>
      <c r="K94" s="175">
        <v>0</v>
      </c>
      <c r="Y94"/>
      <c r="AC94"/>
      <c r="AG94"/>
    </row>
    <row r="95" spans="4:33" ht="15" customHeight="1" x14ac:dyDescent="0.2">
      <c r="D95" s="175">
        <v>94</v>
      </c>
      <c r="E95" s="175" t="s">
        <v>123</v>
      </c>
      <c r="F95" s="175">
        <v>0.995</v>
      </c>
      <c r="G95" s="175">
        <v>0</v>
      </c>
      <c r="H95" s="175">
        <v>0</v>
      </c>
      <c r="I95" s="175">
        <v>0</v>
      </c>
      <c r="J95" s="175">
        <v>0</v>
      </c>
      <c r="K95" s="175">
        <v>0</v>
      </c>
      <c r="Y95"/>
      <c r="AC95"/>
      <c r="AG95"/>
    </row>
    <row r="96" spans="4:33" ht="15" customHeight="1" x14ac:dyDescent="0.2">
      <c r="D96" s="175"/>
      <c r="E96" s="84"/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CQ96"/>
  <sheetViews>
    <sheetView topLeftCell="A76" workbookViewId="0">
      <selection activeCell="A100" sqref="A100"/>
    </sheetView>
  </sheetViews>
  <sheetFormatPr baseColWidth="10" defaultRowHeight="13" x14ac:dyDescent="0.15"/>
  <cols>
    <col min="1" max="1" width="39.83203125" style="111" bestFit="1" customWidth="1"/>
    <col min="2" max="16384" width="10.83203125" style="111"/>
  </cols>
  <sheetData>
    <row r="1" spans="1:95" ht="16" x14ac:dyDescent="0.2">
      <c r="A1" s="62" t="s">
        <v>118</v>
      </c>
      <c r="B1" s="175" t="s">
        <v>172</v>
      </c>
      <c r="C1" s="175" t="s">
        <v>173</v>
      </c>
      <c r="D1" s="175" t="s">
        <v>174</v>
      </c>
      <c r="E1" s="175" t="s">
        <v>175</v>
      </c>
      <c r="F1" s="175" t="s">
        <v>176</v>
      </c>
      <c r="G1" s="175" t="s">
        <v>177</v>
      </c>
      <c r="H1" s="175" t="s">
        <v>161</v>
      </c>
      <c r="I1" s="175" t="s">
        <v>178</v>
      </c>
      <c r="J1" s="175" t="s">
        <v>179</v>
      </c>
      <c r="K1" s="175" t="s">
        <v>180</v>
      </c>
      <c r="L1" s="175" t="s">
        <v>181</v>
      </c>
      <c r="M1" s="175" t="s">
        <v>182</v>
      </c>
      <c r="N1" s="175" t="s">
        <v>245</v>
      </c>
      <c r="O1" s="175" t="s">
        <v>183</v>
      </c>
      <c r="P1" s="175" t="s">
        <v>184</v>
      </c>
      <c r="Q1" s="175" t="s">
        <v>228</v>
      </c>
      <c r="R1" s="175" t="s">
        <v>185</v>
      </c>
      <c r="S1" s="175" t="s">
        <v>246</v>
      </c>
      <c r="T1" s="175" t="s">
        <v>229</v>
      </c>
      <c r="U1" s="175" t="s">
        <v>186</v>
      </c>
      <c r="V1" s="175" t="s">
        <v>187</v>
      </c>
      <c r="W1" s="175" t="s">
        <v>188</v>
      </c>
      <c r="X1" s="175" t="s">
        <v>189</v>
      </c>
      <c r="Y1" s="175" t="s">
        <v>190</v>
      </c>
      <c r="Z1" s="175" t="s">
        <v>191</v>
      </c>
      <c r="AA1" s="175" t="s">
        <v>192</v>
      </c>
      <c r="AB1" s="175" t="s">
        <v>193</v>
      </c>
      <c r="AC1" s="175" t="s">
        <v>247</v>
      </c>
      <c r="AD1" s="175" t="s">
        <v>248</v>
      </c>
      <c r="AE1" s="190" t="s">
        <v>249</v>
      </c>
      <c r="AF1" s="190" t="s">
        <v>250</v>
      </c>
      <c r="AG1" s="190" t="s">
        <v>251</v>
      </c>
      <c r="AH1" s="190" t="s">
        <v>252</v>
      </c>
      <c r="AI1" s="190" t="s">
        <v>253</v>
      </c>
      <c r="AJ1" s="190" t="s">
        <v>254</v>
      </c>
      <c r="AK1" s="190" t="s">
        <v>255</v>
      </c>
      <c r="AL1" s="190" t="s">
        <v>194</v>
      </c>
      <c r="AM1" s="190" t="s">
        <v>256</v>
      </c>
      <c r="AN1" s="190" t="s">
        <v>195</v>
      </c>
      <c r="AO1" s="190" t="s">
        <v>196</v>
      </c>
      <c r="AP1" s="190" t="s">
        <v>197</v>
      </c>
      <c r="AQ1" s="190" t="s">
        <v>198</v>
      </c>
      <c r="AR1" s="190" t="s">
        <v>199</v>
      </c>
      <c r="AS1" s="190" t="s">
        <v>232</v>
      </c>
      <c r="AT1" s="190" t="s">
        <v>200</v>
      </c>
      <c r="AU1" s="190" t="s">
        <v>201</v>
      </c>
      <c r="AV1" s="190" t="s">
        <v>202</v>
      </c>
      <c r="AW1" s="190" t="s">
        <v>203</v>
      </c>
      <c r="AX1" s="190" t="s">
        <v>204</v>
      </c>
      <c r="AY1" s="190" t="s">
        <v>257</v>
      </c>
      <c r="AZ1" s="190" t="s">
        <v>258</v>
      </c>
      <c r="BA1" s="190" t="s">
        <v>259</v>
      </c>
      <c r="BB1" s="190" t="s">
        <v>260</v>
      </c>
      <c r="BC1" s="190" t="s">
        <v>261</v>
      </c>
      <c r="BD1" s="190" t="s">
        <v>233</v>
      </c>
      <c r="BE1" s="190" t="s">
        <v>234</v>
      </c>
      <c r="BF1" s="190" t="s">
        <v>205</v>
      </c>
      <c r="BG1" s="190" t="s">
        <v>206</v>
      </c>
      <c r="BH1" s="190" t="s">
        <v>207</v>
      </c>
      <c r="BI1" s="190" t="s">
        <v>262</v>
      </c>
      <c r="BJ1" s="190" t="s">
        <v>208</v>
      </c>
      <c r="BK1" s="190" t="s">
        <v>263</v>
      </c>
      <c r="BL1" s="190" t="s">
        <v>209</v>
      </c>
      <c r="BM1" s="190" t="s">
        <v>264</v>
      </c>
      <c r="BN1" s="190" t="s">
        <v>210</v>
      </c>
      <c r="BO1" s="190" t="s">
        <v>235</v>
      </c>
      <c r="BP1" s="190" t="s">
        <v>211</v>
      </c>
      <c r="BQ1" s="190" t="s">
        <v>265</v>
      </c>
      <c r="BR1" s="190" t="s">
        <v>212</v>
      </c>
      <c r="BS1" s="190" t="s">
        <v>213</v>
      </c>
      <c r="BT1" s="190" t="s">
        <v>236</v>
      </c>
      <c r="BU1" s="190" t="s">
        <v>237</v>
      </c>
      <c r="BV1" s="190" t="s">
        <v>214</v>
      </c>
      <c r="BW1" s="190" t="s">
        <v>238</v>
      </c>
      <c r="BX1" s="190" t="s">
        <v>239</v>
      </c>
      <c r="BY1" s="190" t="s">
        <v>240</v>
      </c>
      <c r="BZ1" s="190" t="s">
        <v>215</v>
      </c>
      <c r="CA1" s="190" t="s">
        <v>216</v>
      </c>
      <c r="CB1" s="190" t="s">
        <v>217</v>
      </c>
      <c r="CC1" s="190" t="s">
        <v>266</v>
      </c>
      <c r="CD1" s="190" t="s">
        <v>267</v>
      </c>
      <c r="CE1" s="190" t="s">
        <v>218</v>
      </c>
      <c r="CF1" s="190" t="s">
        <v>219</v>
      </c>
      <c r="CG1" s="190" t="s">
        <v>220</v>
      </c>
      <c r="CH1" s="190" t="s">
        <v>221</v>
      </c>
      <c r="CI1" s="190" t="s">
        <v>268</v>
      </c>
      <c r="CJ1" s="190" t="s">
        <v>269</v>
      </c>
      <c r="CK1" s="190" t="s">
        <v>222</v>
      </c>
      <c r="CL1" s="190" t="s">
        <v>270</v>
      </c>
      <c r="CM1" s="190" t="s">
        <v>223</v>
      </c>
      <c r="CN1" s="190" t="s">
        <v>224</v>
      </c>
      <c r="CO1" s="190" t="s">
        <v>225</v>
      </c>
      <c r="CP1" s="190" t="s">
        <v>226</v>
      </c>
      <c r="CQ1" s="190" t="s">
        <v>123</v>
      </c>
    </row>
    <row r="2" spans="1:95" s="175" customFormat="1" ht="16" x14ac:dyDescent="0.2">
      <c r="A2" t="s">
        <v>172</v>
      </c>
      <c r="B2" s="175">
        <v>0</v>
      </c>
      <c r="C2" s="175">
        <v>0.5</v>
      </c>
      <c r="D2" s="175">
        <v>0.5</v>
      </c>
      <c r="E2" s="175">
        <v>0.5</v>
      </c>
      <c r="F2" s="175">
        <v>0.5</v>
      </c>
      <c r="G2" s="175">
        <v>0.5</v>
      </c>
      <c r="H2" s="175">
        <v>0.5</v>
      </c>
      <c r="I2" s="175">
        <v>0.5</v>
      </c>
      <c r="J2" s="175">
        <v>0.5</v>
      </c>
      <c r="K2" s="175">
        <v>0.5</v>
      </c>
      <c r="L2" s="175">
        <v>0.5</v>
      </c>
      <c r="M2" s="175">
        <v>0.5</v>
      </c>
      <c r="N2" s="175">
        <v>0.5</v>
      </c>
      <c r="O2" s="175">
        <v>0.5</v>
      </c>
      <c r="P2" s="175">
        <v>0.5</v>
      </c>
      <c r="Q2" s="175">
        <v>0.5</v>
      </c>
      <c r="R2" s="175">
        <v>0.5</v>
      </c>
      <c r="S2" s="175">
        <v>0.5</v>
      </c>
      <c r="T2" s="175">
        <v>0.5</v>
      </c>
      <c r="U2" s="175">
        <v>0.5</v>
      </c>
      <c r="V2" s="175">
        <v>0.5</v>
      </c>
      <c r="W2" s="175">
        <v>0.5</v>
      </c>
      <c r="X2" s="175">
        <v>0.5</v>
      </c>
      <c r="Y2" s="175">
        <v>0.5</v>
      </c>
      <c r="Z2" s="175">
        <v>0.5</v>
      </c>
      <c r="AA2" s="175">
        <v>0.5</v>
      </c>
      <c r="AB2" s="175">
        <v>0.5</v>
      </c>
      <c r="AC2" s="175">
        <v>0.5</v>
      </c>
      <c r="AD2" s="175">
        <v>0.5</v>
      </c>
      <c r="AE2" s="175">
        <v>0.5</v>
      </c>
      <c r="AF2" s="175">
        <v>0.5</v>
      </c>
      <c r="AG2" s="175">
        <v>0.5</v>
      </c>
      <c r="AH2" s="175">
        <v>0.5</v>
      </c>
      <c r="AI2" s="175">
        <v>0.5</v>
      </c>
      <c r="AJ2" s="175">
        <v>0.5</v>
      </c>
      <c r="AK2" s="175">
        <v>0.5</v>
      </c>
      <c r="AL2" s="175">
        <v>0.5</v>
      </c>
      <c r="AM2" s="175">
        <v>0.5</v>
      </c>
      <c r="AN2" s="175">
        <v>0.5</v>
      </c>
      <c r="AO2" s="175">
        <v>0.5</v>
      </c>
      <c r="AP2" s="175">
        <v>0.5</v>
      </c>
      <c r="AQ2" s="175">
        <v>0.5</v>
      </c>
      <c r="AR2" s="175">
        <v>0.5</v>
      </c>
      <c r="AS2" s="175">
        <v>0.5</v>
      </c>
      <c r="AT2" s="175">
        <v>0.5</v>
      </c>
      <c r="AU2" s="175">
        <v>0.5</v>
      </c>
      <c r="AV2" s="175">
        <v>0.5</v>
      </c>
      <c r="AW2" s="175">
        <v>0.5</v>
      </c>
      <c r="AX2" s="175">
        <v>0.5</v>
      </c>
      <c r="AY2" s="175">
        <v>0.5</v>
      </c>
      <c r="AZ2" s="175">
        <v>0.5</v>
      </c>
      <c r="BA2" s="175">
        <v>0.5</v>
      </c>
      <c r="BB2" s="175">
        <v>0.5</v>
      </c>
      <c r="BC2" s="175">
        <v>0.5</v>
      </c>
      <c r="BD2" s="175">
        <v>0.5</v>
      </c>
      <c r="BE2" s="175">
        <v>0.5</v>
      </c>
      <c r="BF2" s="175">
        <v>0.5</v>
      </c>
      <c r="BG2" s="175">
        <v>0.5</v>
      </c>
      <c r="BH2" s="175">
        <v>0.5</v>
      </c>
      <c r="BI2" s="175">
        <v>0.5</v>
      </c>
      <c r="BJ2" s="175">
        <v>0.5</v>
      </c>
      <c r="BK2" s="175">
        <v>0.5</v>
      </c>
      <c r="BL2" s="175">
        <v>0.5</v>
      </c>
      <c r="BM2" s="175">
        <v>0.5</v>
      </c>
      <c r="BN2" s="175">
        <v>0.5</v>
      </c>
      <c r="BO2" s="175">
        <v>0.5</v>
      </c>
      <c r="BP2" s="175">
        <v>0.5</v>
      </c>
      <c r="BQ2" s="175">
        <v>0.5</v>
      </c>
      <c r="BR2" s="175">
        <v>0.5</v>
      </c>
      <c r="BS2" s="175">
        <v>0.5</v>
      </c>
      <c r="BT2" s="175">
        <v>0.5</v>
      </c>
      <c r="BU2" s="175">
        <v>0.5</v>
      </c>
      <c r="BV2" s="175">
        <v>0.5</v>
      </c>
      <c r="BW2" s="175">
        <v>0.5</v>
      </c>
      <c r="BX2" s="175">
        <v>0.5</v>
      </c>
      <c r="BY2" s="175">
        <v>0.5</v>
      </c>
      <c r="BZ2" s="175">
        <v>0.5</v>
      </c>
      <c r="CA2" s="175">
        <v>0.5</v>
      </c>
      <c r="CB2" s="175">
        <v>0.5</v>
      </c>
      <c r="CC2" s="175">
        <v>0.5</v>
      </c>
      <c r="CD2" s="175">
        <v>0.5</v>
      </c>
      <c r="CE2" s="175">
        <v>0.5</v>
      </c>
      <c r="CF2" s="175">
        <v>0.5</v>
      </c>
      <c r="CG2" s="175">
        <v>0.5</v>
      </c>
      <c r="CH2" s="175">
        <v>0.5</v>
      </c>
      <c r="CI2" s="175">
        <v>0.5</v>
      </c>
      <c r="CJ2" s="175">
        <v>0.5</v>
      </c>
      <c r="CK2" s="175">
        <v>0.5</v>
      </c>
      <c r="CL2" s="175">
        <v>0.5</v>
      </c>
      <c r="CM2" s="175">
        <v>0.5</v>
      </c>
      <c r="CN2" s="175">
        <v>0.5</v>
      </c>
      <c r="CO2" s="175">
        <v>0.5</v>
      </c>
      <c r="CP2" s="175">
        <v>0</v>
      </c>
      <c r="CQ2" s="175">
        <v>0</v>
      </c>
    </row>
    <row r="3" spans="1:95" s="175" customFormat="1" ht="16" x14ac:dyDescent="0.2">
      <c r="A3" t="s">
        <v>173</v>
      </c>
      <c r="B3" s="175">
        <v>0</v>
      </c>
      <c r="C3" s="175">
        <v>0.5</v>
      </c>
      <c r="D3" s="175">
        <v>0.5</v>
      </c>
      <c r="E3" s="175">
        <v>0.5</v>
      </c>
      <c r="F3" s="175">
        <v>0.5</v>
      </c>
      <c r="G3" s="175">
        <v>0.5</v>
      </c>
      <c r="H3" s="175">
        <v>0.5</v>
      </c>
      <c r="I3" s="175">
        <v>0.5</v>
      </c>
      <c r="J3" s="175">
        <v>0.5</v>
      </c>
      <c r="K3" s="175">
        <v>0.5</v>
      </c>
      <c r="L3" s="175">
        <v>0.5</v>
      </c>
      <c r="M3" s="175">
        <v>0.5</v>
      </c>
      <c r="N3" s="175">
        <v>0.5</v>
      </c>
      <c r="O3" s="175">
        <v>0.5</v>
      </c>
      <c r="P3" s="175">
        <v>0.5</v>
      </c>
      <c r="Q3" s="175">
        <v>0.5</v>
      </c>
      <c r="R3" s="175">
        <v>0.5</v>
      </c>
      <c r="S3" s="175">
        <v>0.5</v>
      </c>
      <c r="T3" s="175">
        <v>0.5</v>
      </c>
      <c r="U3" s="175">
        <v>0.5</v>
      </c>
      <c r="V3" s="175">
        <v>0.5</v>
      </c>
      <c r="W3" s="175">
        <v>0.5</v>
      </c>
      <c r="X3" s="175">
        <v>0.5</v>
      </c>
      <c r="Y3" s="175">
        <v>0.5</v>
      </c>
      <c r="Z3" s="175">
        <v>0.5</v>
      </c>
      <c r="AA3" s="175">
        <v>0.5</v>
      </c>
      <c r="AB3" s="175">
        <v>0.5</v>
      </c>
      <c r="AC3" s="175">
        <v>0.5</v>
      </c>
      <c r="AD3" s="175">
        <v>0.5</v>
      </c>
      <c r="AE3" s="175">
        <v>0.5</v>
      </c>
      <c r="AF3" s="175">
        <v>0.5</v>
      </c>
      <c r="AG3" s="175">
        <v>0.5</v>
      </c>
      <c r="AH3" s="175">
        <v>0.5</v>
      </c>
      <c r="AI3" s="175">
        <v>0.5</v>
      </c>
      <c r="AJ3" s="175">
        <v>0.5</v>
      </c>
      <c r="AK3" s="175">
        <v>0.5</v>
      </c>
      <c r="AL3" s="175">
        <v>0.5</v>
      </c>
      <c r="AM3" s="175">
        <v>0.5</v>
      </c>
      <c r="AN3" s="175">
        <v>0.5</v>
      </c>
      <c r="AO3" s="175">
        <v>0.5</v>
      </c>
      <c r="AP3" s="175">
        <v>0.5</v>
      </c>
      <c r="AQ3" s="175">
        <v>0.5</v>
      </c>
      <c r="AR3" s="175">
        <v>0.5</v>
      </c>
      <c r="AS3" s="175">
        <v>0.5</v>
      </c>
      <c r="AT3" s="175">
        <v>0.5</v>
      </c>
      <c r="AU3" s="175">
        <v>0.5</v>
      </c>
      <c r="AV3" s="175">
        <v>0.5</v>
      </c>
      <c r="AW3" s="175">
        <v>0.5</v>
      </c>
      <c r="AX3" s="175">
        <v>0.5</v>
      </c>
      <c r="AY3" s="175">
        <v>0.5</v>
      </c>
      <c r="AZ3" s="175">
        <v>0.5</v>
      </c>
      <c r="BA3" s="175">
        <v>0.5</v>
      </c>
      <c r="BB3" s="175">
        <v>0.5</v>
      </c>
      <c r="BC3" s="175">
        <v>0.5</v>
      </c>
      <c r="BD3" s="175">
        <v>0.5</v>
      </c>
      <c r="BE3" s="175">
        <v>0.5</v>
      </c>
      <c r="BF3" s="175">
        <v>0.5</v>
      </c>
      <c r="BG3" s="175">
        <v>0.5</v>
      </c>
      <c r="BH3" s="175">
        <v>0.5</v>
      </c>
      <c r="BI3" s="175">
        <v>0.5</v>
      </c>
      <c r="BJ3" s="175">
        <v>0.5</v>
      </c>
      <c r="BK3" s="175">
        <v>0.5</v>
      </c>
      <c r="BL3" s="175">
        <v>0.5</v>
      </c>
      <c r="BM3" s="175">
        <v>0.5</v>
      </c>
      <c r="BN3" s="175">
        <v>0.5</v>
      </c>
      <c r="BO3" s="175">
        <v>0.5</v>
      </c>
      <c r="BP3" s="175">
        <v>0.5</v>
      </c>
      <c r="BQ3" s="175">
        <v>0.5</v>
      </c>
      <c r="BR3" s="175">
        <v>0.5</v>
      </c>
      <c r="BS3" s="175">
        <v>0.5</v>
      </c>
      <c r="BT3" s="175">
        <v>0.5</v>
      </c>
      <c r="BU3" s="175">
        <v>0.5</v>
      </c>
      <c r="BV3" s="175">
        <v>0.5</v>
      </c>
      <c r="BW3" s="175">
        <v>0.5</v>
      </c>
      <c r="BX3" s="175">
        <v>0.5</v>
      </c>
      <c r="BY3" s="175">
        <v>0.5</v>
      </c>
      <c r="BZ3" s="175">
        <v>0.5</v>
      </c>
      <c r="CA3" s="175">
        <v>0.5</v>
      </c>
      <c r="CB3" s="175">
        <v>0.5</v>
      </c>
      <c r="CC3" s="175">
        <v>0.5</v>
      </c>
      <c r="CD3" s="175">
        <v>0.5</v>
      </c>
      <c r="CE3" s="175">
        <v>0.5</v>
      </c>
      <c r="CF3" s="175">
        <v>0.5</v>
      </c>
      <c r="CG3" s="175">
        <v>0.5</v>
      </c>
      <c r="CH3" s="175">
        <v>0.5</v>
      </c>
      <c r="CI3" s="175">
        <v>0.5</v>
      </c>
      <c r="CJ3" s="175">
        <v>0.5</v>
      </c>
      <c r="CK3" s="175">
        <v>0.5</v>
      </c>
      <c r="CL3" s="175">
        <v>0.5</v>
      </c>
      <c r="CM3" s="175">
        <v>0.5</v>
      </c>
      <c r="CN3" s="175">
        <v>0.5</v>
      </c>
      <c r="CO3" s="175">
        <v>0.5</v>
      </c>
      <c r="CP3" s="175">
        <v>0</v>
      </c>
      <c r="CQ3" s="175">
        <v>0</v>
      </c>
    </row>
    <row r="4" spans="1:95" s="175" customFormat="1" ht="16" x14ac:dyDescent="0.2">
      <c r="A4" t="s">
        <v>174</v>
      </c>
      <c r="B4" s="175">
        <v>0</v>
      </c>
      <c r="C4" s="175">
        <v>0.5</v>
      </c>
      <c r="D4" s="175">
        <v>0.5</v>
      </c>
      <c r="E4" s="175">
        <v>0.5</v>
      </c>
      <c r="F4" s="175">
        <v>0.5</v>
      </c>
      <c r="G4" s="175">
        <v>0.5</v>
      </c>
      <c r="H4" s="175">
        <v>0.5</v>
      </c>
      <c r="I4" s="175">
        <v>0.5</v>
      </c>
      <c r="J4" s="175">
        <v>0.5</v>
      </c>
      <c r="K4" s="175">
        <v>0.5</v>
      </c>
      <c r="L4" s="175">
        <v>0.5</v>
      </c>
      <c r="M4" s="175">
        <v>0.5</v>
      </c>
      <c r="N4" s="175">
        <v>0.5</v>
      </c>
      <c r="O4" s="175">
        <v>0.5</v>
      </c>
      <c r="P4" s="175">
        <v>0.5</v>
      </c>
      <c r="Q4" s="175">
        <v>0.5</v>
      </c>
      <c r="R4" s="175">
        <v>0.5</v>
      </c>
      <c r="S4" s="175">
        <v>0.5</v>
      </c>
      <c r="T4" s="175">
        <v>0.5</v>
      </c>
      <c r="U4" s="175">
        <v>0.5</v>
      </c>
      <c r="V4" s="175">
        <v>0.5</v>
      </c>
      <c r="W4" s="175">
        <v>0.5</v>
      </c>
      <c r="X4" s="175">
        <v>0.5</v>
      </c>
      <c r="Y4" s="175">
        <v>0.5</v>
      </c>
      <c r="Z4" s="175">
        <v>0.5</v>
      </c>
      <c r="AA4" s="175">
        <v>0.5</v>
      </c>
      <c r="AB4" s="175">
        <v>0.5</v>
      </c>
      <c r="AC4" s="175">
        <v>0.5</v>
      </c>
      <c r="AD4" s="175">
        <v>0.5</v>
      </c>
      <c r="AE4" s="175">
        <v>0.5</v>
      </c>
      <c r="AF4" s="175">
        <v>0.5</v>
      </c>
      <c r="AG4" s="175">
        <v>0.5</v>
      </c>
      <c r="AH4" s="175">
        <v>0.5</v>
      </c>
      <c r="AI4" s="175">
        <v>0.5</v>
      </c>
      <c r="AJ4" s="175">
        <v>0.5</v>
      </c>
      <c r="AK4" s="175">
        <v>0.5</v>
      </c>
      <c r="AL4" s="175">
        <v>0.5</v>
      </c>
      <c r="AM4" s="175">
        <v>0.5</v>
      </c>
      <c r="AN4" s="175">
        <v>0.5</v>
      </c>
      <c r="AO4" s="175">
        <v>0.5</v>
      </c>
      <c r="AP4" s="175">
        <v>0.5</v>
      </c>
      <c r="AQ4" s="175">
        <v>0.5</v>
      </c>
      <c r="AR4" s="175">
        <v>0.5</v>
      </c>
      <c r="AS4" s="175">
        <v>0.5</v>
      </c>
      <c r="AT4" s="175">
        <v>0.5</v>
      </c>
      <c r="AU4" s="175">
        <v>0.5</v>
      </c>
      <c r="AV4" s="175">
        <v>0.5</v>
      </c>
      <c r="AW4" s="175">
        <v>0.5</v>
      </c>
      <c r="AX4" s="175">
        <v>0.5</v>
      </c>
      <c r="AY4" s="175">
        <v>0.5</v>
      </c>
      <c r="AZ4" s="175">
        <v>0.5</v>
      </c>
      <c r="BA4" s="175">
        <v>0.5</v>
      </c>
      <c r="BB4" s="175">
        <v>0.5</v>
      </c>
      <c r="BC4" s="175">
        <v>0.5</v>
      </c>
      <c r="BD4" s="175">
        <v>0.5</v>
      </c>
      <c r="BE4" s="175">
        <v>0.5</v>
      </c>
      <c r="BF4" s="175">
        <v>0.5</v>
      </c>
      <c r="BG4" s="175">
        <v>0.5</v>
      </c>
      <c r="BH4" s="175">
        <v>0.5</v>
      </c>
      <c r="BI4" s="175">
        <v>0.5</v>
      </c>
      <c r="BJ4" s="175">
        <v>0.5</v>
      </c>
      <c r="BK4" s="175">
        <v>0.5</v>
      </c>
      <c r="BL4" s="175">
        <v>0.5</v>
      </c>
      <c r="BM4" s="175">
        <v>0.5</v>
      </c>
      <c r="BN4" s="175">
        <v>0.5</v>
      </c>
      <c r="BO4" s="175">
        <v>0.5</v>
      </c>
      <c r="BP4" s="175">
        <v>0.5</v>
      </c>
      <c r="BQ4" s="175">
        <v>0.5</v>
      </c>
      <c r="BR4" s="175">
        <v>0.5</v>
      </c>
      <c r="BS4" s="175">
        <v>0.5</v>
      </c>
      <c r="BT4" s="175">
        <v>0.5</v>
      </c>
      <c r="BU4" s="175">
        <v>0.5</v>
      </c>
      <c r="BV4" s="175">
        <v>0.5</v>
      </c>
      <c r="BW4" s="175">
        <v>0.5</v>
      </c>
      <c r="BX4" s="175">
        <v>0.5</v>
      </c>
      <c r="BY4" s="175">
        <v>0.5</v>
      </c>
      <c r="BZ4" s="175">
        <v>0.5</v>
      </c>
      <c r="CA4" s="175">
        <v>0.5</v>
      </c>
      <c r="CB4" s="175">
        <v>0.5</v>
      </c>
      <c r="CC4" s="175">
        <v>0.5</v>
      </c>
      <c r="CD4" s="175">
        <v>0.5</v>
      </c>
      <c r="CE4" s="175">
        <v>0.5</v>
      </c>
      <c r="CF4" s="175">
        <v>0.5</v>
      </c>
      <c r="CG4" s="175">
        <v>0.5</v>
      </c>
      <c r="CH4" s="175">
        <v>0.5</v>
      </c>
      <c r="CI4" s="175">
        <v>0.5</v>
      </c>
      <c r="CJ4" s="175">
        <v>0.5</v>
      </c>
      <c r="CK4" s="175">
        <v>0.5</v>
      </c>
      <c r="CL4" s="175">
        <v>0.5</v>
      </c>
      <c r="CM4" s="175">
        <v>0.5</v>
      </c>
      <c r="CN4" s="175">
        <v>0.5</v>
      </c>
      <c r="CO4" s="175">
        <v>0.5</v>
      </c>
      <c r="CP4" s="175">
        <v>0</v>
      </c>
      <c r="CQ4" s="175">
        <v>0</v>
      </c>
    </row>
    <row r="5" spans="1:95" s="175" customFormat="1" ht="16" x14ac:dyDescent="0.2">
      <c r="A5" t="s">
        <v>175</v>
      </c>
      <c r="B5" s="175">
        <v>0</v>
      </c>
      <c r="C5" s="175">
        <v>0.5</v>
      </c>
      <c r="D5" s="175">
        <v>0.5</v>
      </c>
      <c r="E5" s="175">
        <v>0.5</v>
      </c>
      <c r="F5" s="175">
        <v>0.5</v>
      </c>
      <c r="G5" s="175">
        <v>0.5</v>
      </c>
      <c r="H5" s="175">
        <v>0.5</v>
      </c>
      <c r="I5" s="175">
        <v>0.5</v>
      </c>
      <c r="J5" s="175">
        <v>0.5</v>
      </c>
      <c r="K5" s="175">
        <v>0.5</v>
      </c>
      <c r="L5" s="175">
        <v>0.5</v>
      </c>
      <c r="M5" s="175">
        <v>0.5</v>
      </c>
      <c r="N5" s="175">
        <v>0.5</v>
      </c>
      <c r="O5" s="175">
        <v>0.5</v>
      </c>
      <c r="P5" s="175">
        <v>0.5</v>
      </c>
      <c r="Q5" s="175">
        <v>0.5</v>
      </c>
      <c r="R5" s="175">
        <v>0.5</v>
      </c>
      <c r="S5" s="175">
        <v>0.5</v>
      </c>
      <c r="T5" s="175">
        <v>0.5</v>
      </c>
      <c r="U5" s="175">
        <v>0.5</v>
      </c>
      <c r="V5" s="175">
        <v>0.5</v>
      </c>
      <c r="W5" s="175">
        <v>0.5</v>
      </c>
      <c r="X5" s="175">
        <v>0.5</v>
      </c>
      <c r="Y5" s="175">
        <v>0.5</v>
      </c>
      <c r="Z5" s="175">
        <v>0.5</v>
      </c>
      <c r="AA5" s="175">
        <v>0.5</v>
      </c>
      <c r="AB5" s="175">
        <v>0.5</v>
      </c>
      <c r="AC5" s="175">
        <v>0.5</v>
      </c>
      <c r="AD5" s="175">
        <v>0.5</v>
      </c>
      <c r="AE5" s="175">
        <v>0.5</v>
      </c>
      <c r="AF5" s="175">
        <v>0.5</v>
      </c>
      <c r="AG5" s="175">
        <v>0.5</v>
      </c>
      <c r="AH5" s="175">
        <v>0.5</v>
      </c>
      <c r="AI5" s="175">
        <v>0.5</v>
      </c>
      <c r="AJ5" s="175">
        <v>0.5</v>
      </c>
      <c r="AK5" s="175">
        <v>0.5</v>
      </c>
      <c r="AL5" s="175">
        <v>0.5</v>
      </c>
      <c r="AM5" s="175">
        <v>0.5</v>
      </c>
      <c r="AN5" s="175">
        <v>0.5</v>
      </c>
      <c r="AO5" s="175">
        <v>0.5</v>
      </c>
      <c r="AP5" s="175">
        <v>0.5</v>
      </c>
      <c r="AQ5" s="175">
        <v>0.5</v>
      </c>
      <c r="AR5" s="175">
        <v>0.5</v>
      </c>
      <c r="AS5" s="175">
        <v>0.5</v>
      </c>
      <c r="AT5" s="175">
        <v>0.5</v>
      </c>
      <c r="AU5" s="175">
        <v>0.5</v>
      </c>
      <c r="AV5" s="175">
        <v>0.5</v>
      </c>
      <c r="AW5" s="175">
        <v>0.5</v>
      </c>
      <c r="AX5" s="175">
        <v>0.5</v>
      </c>
      <c r="AY5" s="175">
        <v>0.5</v>
      </c>
      <c r="AZ5" s="175">
        <v>0.5</v>
      </c>
      <c r="BA5" s="175">
        <v>0.5</v>
      </c>
      <c r="BB5" s="175">
        <v>0.5</v>
      </c>
      <c r="BC5" s="175">
        <v>0.5</v>
      </c>
      <c r="BD5" s="175">
        <v>0.5</v>
      </c>
      <c r="BE5" s="175">
        <v>0.5</v>
      </c>
      <c r="BF5" s="175">
        <v>0.5</v>
      </c>
      <c r="BG5" s="175">
        <v>0.5</v>
      </c>
      <c r="BH5" s="175">
        <v>0.5</v>
      </c>
      <c r="BI5" s="175">
        <v>0.5</v>
      </c>
      <c r="BJ5" s="175">
        <v>0.5</v>
      </c>
      <c r="BK5" s="175">
        <v>0.5</v>
      </c>
      <c r="BL5" s="175">
        <v>0.5</v>
      </c>
      <c r="BM5" s="175">
        <v>0.5</v>
      </c>
      <c r="BN5" s="175">
        <v>0.5</v>
      </c>
      <c r="BO5" s="175">
        <v>0.5</v>
      </c>
      <c r="BP5" s="175">
        <v>0.5</v>
      </c>
      <c r="BQ5" s="175">
        <v>0.5</v>
      </c>
      <c r="BR5" s="175">
        <v>0.5</v>
      </c>
      <c r="BS5" s="175">
        <v>0.5</v>
      </c>
      <c r="BT5" s="175">
        <v>0.5</v>
      </c>
      <c r="BU5" s="175">
        <v>0.5</v>
      </c>
      <c r="BV5" s="175">
        <v>0.5</v>
      </c>
      <c r="BW5" s="175">
        <v>0.5</v>
      </c>
      <c r="BX5" s="175">
        <v>0.5</v>
      </c>
      <c r="BY5" s="175">
        <v>0.5</v>
      </c>
      <c r="BZ5" s="175">
        <v>0.5</v>
      </c>
      <c r="CA5" s="175">
        <v>0.5</v>
      </c>
      <c r="CB5" s="175">
        <v>0.5</v>
      </c>
      <c r="CC5" s="175">
        <v>0.5</v>
      </c>
      <c r="CD5" s="175">
        <v>0.5</v>
      </c>
      <c r="CE5" s="175">
        <v>0.5</v>
      </c>
      <c r="CF5" s="175">
        <v>0.5</v>
      </c>
      <c r="CG5" s="175">
        <v>0.5</v>
      </c>
      <c r="CH5" s="175">
        <v>0.5</v>
      </c>
      <c r="CI5" s="175">
        <v>0.5</v>
      </c>
      <c r="CJ5" s="175">
        <v>0.5</v>
      </c>
      <c r="CK5" s="175">
        <v>0.5</v>
      </c>
      <c r="CL5" s="175">
        <v>0.5</v>
      </c>
      <c r="CM5" s="175">
        <v>0.5</v>
      </c>
      <c r="CN5" s="175">
        <v>0.5</v>
      </c>
      <c r="CO5" s="175">
        <v>0.5</v>
      </c>
      <c r="CP5" s="175">
        <v>0</v>
      </c>
      <c r="CQ5" s="175">
        <v>0</v>
      </c>
    </row>
    <row r="6" spans="1:95" s="175" customFormat="1" ht="16" x14ac:dyDescent="0.2">
      <c r="A6" t="s">
        <v>176</v>
      </c>
      <c r="B6" s="175">
        <v>0</v>
      </c>
      <c r="C6" s="175">
        <v>0.5</v>
      </c>
      <c r="D6" s="175">
        <v>0.5</v>
      </c>
      <c r="E6" s="175">
        <v>0.5</v>
      </c>
      <c r="F6" s="175">
        <v>0.5</v>
      </c>
      <c r="G6" s="175">
        <v>0.5</v>
      </c>
      <c r="H6" s="175">
        <v>0.5</v>
      </c>
      <c r="I6" s="175">
        <v>0.5</v>
      </c>
      <c r="J6" s="175">
        <v>0.5</v>
      </c>
      <c r="K6" s="175">
        <v>0.5</v>
      </c>
      <c r="L6" s="175">
        <v>0.5</v>
      </c>
      <c r="M6" s="175">
        <v>0.5</v>
      </c>
      <c r="N6" s="175">
        <v>0.5</v>
      </c>
      <c r="O6" s="175">
        <v>0.5</v>
      </c>
      <c r="P6" s="175">
        <v>0.5</v>
      </c>
      <c r="Q6" s="175">
        <v>0.5</v>
      </c>
      <c r="R6" s="175">
        <v>0.5</v>
      </c>
      <c r="S6" s="175">
        <v>0.5</v>
      </c>
      <c r="T6" s="175">
        <v>0.5</v>
      </c>
      <c r="U6" s="175">
        <v>0.5</v>
      </c>
      <c r="V6" s="175">
        <v>0.5</v>
      </c>
      <c r="W6" s="175">
        <v>0.5</v>
      </c>
      <c r="X6" s="175">
        <v>0.5</v>
      </c>
      <c r="Y6" s="175">
        <v>0.5</v>
      </c>
      <c r="Z6" s="175">
        <v>0.5</v>
      </c>
      <c r="AA6" s="175">
        <v>0.5</v>
      </c>
      <c r="AB6" s="175">
        <v>0.5</v>
      </c>
      <c r="AC6" s="175">
        <v>0.5</v>
      </c>
      <c r="AD6" s="175">
        <v>0.5</v>
      </c>
      <c r="AE6" s="175">
        <v>0.5</v>
      </c>
      <c r="AF6" s="175">
        <v>0.5</v>
      </c>
      <c r="AG6" s="175">
        <v>0.5</v>
      </c>
      <c r="AH6" s="175">
        <v>0.5</v>
      </c>
      <c r="AI6" s="175">
        <v>0.5</v>
      </c>
      <c r="AJ6" s="175">
        <v>0.5</v>
      </c>
      <c r="AK6" s="175">
        <v>0.5</v>
      </c>
      <c r="AL6" s="175">
        <v>0.5</v>
      </c>
      <c r="AM6" s="175">
        <v>0.5</v>
      </c>
      <c r="AN6" s="175">
        <v>0.5</v>
      </c>
      <c r="AO6" s="175">
        <v>0.5</v>
      </c>
      <c r="AP6" s="175">
        <v>0.5</v>
      </c>
      <c r="AQ6" s="175">
        <v>0.5</v>
      </c>
      <c r="AR6" s="175">
        <v>0.5</v>
      </c>
      <c r="AS6" s="175">
        <v>0.5</v>
      </c>
      <c r="AT6" s="175">
        <v>0.5</v>
      </c>
      <c r="AU6" s="175">
        <v>0.5</v>
      </c>
      <c r="AV6" s="175">
        <v>0.5</v>
      </c>
      <c r="AW6" s="175">
        <v>0.5</v>
      </c>
      <c r="AX6" s="175">
        <v>0.5</v>
      </c>
      <c r="AY6" s="175">
        <v>0.5</v>
      </c>
      <c r="AZ6" s="175">
        <v>0.5</v>
      </c>
      <c r="BA6" s="175">
        <v>0.5</v>
      </c>
      <c r="BB6" s="175">
        <v>0.5</v>
      </c>
      <c r="BC6" s="175">
        <v>0.5</v>
      </c>
      <c r="BD6" s="175">
        <v>0.5</v>
      </c>
      <c r="BE6" s="175">
        <v>0.5</v>
      </c>
      <c r="BF6" s="175">
        <v>0.5</v>
      </c>
      <c r="BG6" s="175">
        <v>0.5</v>
      </c>
      <c r="BH6" s="175">
        <v>0.5</v>
      </c>
      <c r="BI6" s="175">
        <v>0.5</v>
      </c>
      <c r="BJ6" s="175">
        <v>0.5</v>
      </c>
      <c r="BK6" s="175">
        <v>0.5</v>
      </c>
      <c r="BL6" s="175">
        <v>0.5</v>
      </c>
      <c r="BM6" s="175">
        <v>0.5</v>
      </c>
      <c r="BN6" s="175">
        <v>0.5</v>
      </c>
      <c r="BO6" s="175">
        <v>0.5</v>
      </c>
      <c r="BP6" s="175">
        <v>0.5</v>
      </c>
      <c r="BQ6" s="175">
        <v>0.5</v>
      </c>
      <c r="BR6" s="175">
        <v>0.5</v>
      </c>
      <c r="BS6" s="175">
        <v>0.5</v>
      </c>
      <c r="BT6" s="175">
        <v>0.5</v>
      </c>
      <c r="BU6" s="175">
        <v>0.5</v>
      </c>
      <c r="BV6" s="175">
        <v>0.5</v>
      </c>
      <c r="BW6" s="175">
        <v>0.5</v>
      </c>
      <c r="BX6" s="175">
        <v>0.5</v>
      </c>
      <c r="BY6" s="175">
        <v>0.5</v>
      </c>
      <c r="BZ6" s="175">
        <v>0.5</v>
      </c>
      <c r="CA6" s="175">
        <v>0.5</v>
      </c>
      <c r="CB6" s="175">
        <v>0.5</v>
      </c>
      <c r="CC6" s="175">
        <v>0.5</v>
      </c>
      <c r="CD6" s="175">
        <v>0.5</v>
      </c>
      <c r="CE6" s="175">
        <v>0.5</v>
      </c>
      <c r="CF6" s="175">
        <v>0.5</v>
      </c>
      <c r="CG6" s="175">
        <v>0.5</v>
      </c>
      <c r="CH6" s="175">
        <v>0.5</v>
      </c>
      <c r="CI6" s="175">
        <v>0.5</v>
      </c>
      <c r="CJ6" s="175">
        <v>0.5</v>
      </c>
      <c r="CK6" s="175">
        <v>0.5</v>
      </c>
      <c r="CL6" s="175">
        <v>0.5</v>
      </c>
      <c r="CM6" s="175">
        <v>0.5</v>
      </c>
      <c r="CN6" s="175">
        <v>0.5</v>
      </c>
      <c r="CO6" s="175">
        <v>0.5</v>
      </c>
      <c r="CP6" s="175">
        <v>0</v>
      </c>
      <c r="CQ6" s="175">
        <v>0</v>
      </c>
    </row>
    <row r="7" spans="1:95" s="175" customFormat="1" ht="16" x14ac:dyDescent="0.2">
      <c r="A7" t="s">
        <v>177</v>
      </c>
      <c r="B7" s="175">
        <v>0</v>
      </c>
      <c r="C7" s="175">
        <v>0.5</v>
      </c>
      <c r="D7" s="175">
        <v>0.5</v>
      </c>
      <c r="E7" s="175">
        <v>0.5</v>
      </c>
      <c r="F7" s="175">
        <v>0.5</v>
      </c>
      <c r="G7" s="175">
        <v>0.5</v>
      </c>
      <c r="H7" s="175">
        <v>0.5</v>
      </c>
      <c r="I7" s="175">
        <v>0.5</v>
      </c>
      <c r="J7" s="175">
        <v>0.5</v>
      </c>
      <c r="K7" s="175">
        <v>0.5</v>
      </c>
      <c r="L7" s="175">
        <v>0.5</v>
      </c>
      <c r="M7" s="175">
        <v>0.5</v>
      </c>
      <c r="N7" s="175">
        <v>0.5</v>
      </c>
      <c r="O7" s="175">
        <v>0.5</v>
      </c>
      <c r="P7" s="175">
        <v>0.5</v>
      </c>
      <c r="Q7" s="175">
        <v>0.5</v>
      </c>
      <c r="R7" s="175">
        <v>0.5</v>
      </c>
      <c r="S7" s="175">
        <v>0.5</v>
      </c>
      <c r="T7" s="175">
        <v>0.5</v>
      </c>
      <c r="U7" s="175">
        <v>0.5</v>
      </c>
      <c r="V7" s="175">
        <v>0.5</v>
      </c>
      <c r="W7" s="175">
        <v>0.5</v>
      </c>
      <c r="X7" s="175">
        <v>0.5</v>
      </c>
      <c r="Y7" s="175">
        <v>0.5</v>
      </c>
      <c r="Z7" s="175">
        <v>0.5</v>
      </c>
      <c r="AA7" s="175">
        <v>0.5</v>
      </c>
      <c r="AB7" s="175">
        <v>0.5</v>
      </c>
      <c r="AC7" s="175">
        <v>0.5</v>
      </c>
      <c r="AD7" s="175">
        <v>0.5</v>
      </c>
      <c r="AE7" s="175">
        <v>0.5</v>
      </c>
      <c r="AF7" s="175">
        <v>0.5</v>
      </c>
      <c r="AG7" s="175">
        <v>0.5</v>
      </c>
      <c r="AH7" s="175">
        <v>0.5</v>
      </c>
      <c r="AI7" s="175">
        <v>0.5</v>
      </c>
      <c r="AJ7" s="175">
        <v>0.5</v>
      </c>
      <c r="AK7" s="175">
        <v>0.5</v>
      </c>
      <c r="AL7" s="175">
        <v>0.5</v>
      </c>
      <c r="AM7" s="175">
        <v>0.5</v>
      </c>
      <c r="AN7" s="175">
        <v>0.5</v>
      </c>
      <c r="AO7" s="175">
        <v>0.5</v>
      </c>
      <c r="AP7" s="175">
        <v>0.5</v>
      </c>
      <c r="AQ7" s="175">
        <v>0.5</v>
      </c>
      <c r="AR7" s="175">
        <v>0.5</v>
      </c>
      <c r="AS7" s="175">
        <v>0.5</v>
      </c>
      <c r="AT7" s="175">
        <v>0.5</v>
      </c>
      <c r="AU7" s="175">
        <v>0.5</v>
      </c>
      <c r="AV7" s="175">
        <v>0.5</v>
      </c>
      <c r="AW7" s="175">
        <v>0.5</v>
      </c>
      <c r="AX7" s="175">
        <v>0.5</v>
      </c>
      <c r="AY7" s="175">
        <v>0.5</v>
      </c>
      <c r="AZ7" s="175">
        <v>0.5</v>
      </c>
      <c r="BA7" s="175">
        <v>0.5</v>
      </c>
      <c r="BB7" s="175">
        <v>0.5</v>
      </c>
      <c r="BC7" s="175">
        <v>0.5</v>
      </c>
      <c r="BD7" s="175">
        <v>0.5</v>
      </c>
      <c r="BE7" s="175">
        <v>0.5</v>
      </c>
      <c r="BF7" s="175">
        <v>0.5</v>
      </c>
      <c r="BG7" s="175">
        <v>0.5</v>
      </c>
      <c r="BH7" s="175">
        <v>0.5</v>
      </c>
      <c r="BI7" s="175">
        <v>0.5</v>
      </c>
      <c r="BJ7" s="175">
        <v>0.5</v>
      </c>
      <c r="BK7" s="175">
        <v>0.5</v>
      </c>
      <c r="BL7" s="175">
        <v>0.5</v>
      </c>
      <c r="BM7" s="175">
        <v>0.5</v>
      </c>
      <c r="BN7" s="175">
        <v>0.5</v>
      </c>
      <c r="BO7" s="175">
        <v>0.5</v>
      </c>
      <c r="BP7" s="175">
        <v>0.5</v>
      </c>
      <c r="BQ7" s="175">
        <v>0.5</v>
      </c>
      <c r="BR7" s="175">
        <v>0.5</v>
      </c>
      <c r="BS7" s="175">
        <v>0.5</v>
      </c>
      <c r="BT7" s="175">
        <v>0.5</v>
      </c>
      <c r="BU7" s="175">
        <v>0.5</v>
      </c>
      <c r="BV7" s="175">
        <v>0.5</v>
      </c>
      <c r="BW7" s="175">
        <v>0.5</v>
      </c>
      <c r="BX7" s="175">
        <v>0.5</v>
      </c>
      <c r="BY7" s="175">
        <v>0.5</v>
      </c>
      <c r="BZ7" s="175">
        <v>0.5</v>
      </c>
      <c r="CA7" s="175">
        <v>0.5</v>
      </c>
      <c r="CB7" s="175">
        <v>0.5</v>
      </c>
      <c r="CC7" s="175">
        <v>0.5</v>
      </c>
      <c r="CD7" s="175">
        <v>0.5</v>
      </c>
      <c r="CE7" s="175">
        <v>0.5</v>
      </c>
      <c r="CF7" s="175">
        <v>0.5</v>
      </c>
      <c r="CG7" s="175">
        <v>0.5</v>
      </c>
      <c r="CH7" s="175">
        <v>0.5</v>
      </c>
      <c r="CI7" s="175">
        <v>0.5</v>
      </c>
      <c r="CJ7" s="175">
        <v>0.5</v>
      </c>
      <c r="CK7" s="175">
        <v>0.5</v>
      </c>
      <c r="CL7" s="175">
        <v>0.5</v>
      </c>
      <c r="CM7" s="175">
        <v>0.5</v>
      </c>
      <c r="CN7" s="175">
        <v>0.5</v>
      </c>
      <c r="CO7" s="175">
        <v>0.5</v>
      </c>
      <c r="CP7" s="175">
        <v>0</v>
      </c>
      <c r="CQ7" s="175">
        <v>0</v>
      </c>
    </row>
    <row r="8" spans="1:95" s="175" customFormat="1" ht="16" x14ac:dyDescent="0.2">
      <c r="A8" t="s">
        <v>161</v>
      </c>
      <c r="B8" s="175">
        <v>0</v>
      </c>
      <c r="C8" s="175">
        <v>0.5</v>
      </c>
      <c r="D8" s="175">
        <v>0.5</v>
      </c>
      <c r="E8" s="175">
        <v>0.5</v>
      </c>
      <c r="F8" s="175">
        <v>0.5</v>
      </c>
      <c r="G8" s="175">
        <v>0.5</v>
      </c>
      <c r="H8" s="175">
        <v>0.5</v>
      </c>
      <c r="I8" s="175">
        <v>0.5</v>
      </c>
      <c r="J8" s="175">
        <v>0.5</v>
      </c>
      <c r="K8" s="175">
        <v>0.5</v>
      </c>
      <c r="L8" s="175">
        <v>0.5</v>
      </c>
      <c r="M8" s="175">
        <v>0.5</v>
      </c>
      <c r="N8" s="175">
        <v>0.5</v>
      </c>
      <c r="O8" s="175">
        <v>0.5</v>
      </c>
      <c r="P8" s="175">
        <v>0.5</v>
      </c>
      <c r="Q8" s="175">
        <v>0.5</v>
      </c>
      <c r="R8" s="175">
        <v>0.5</v>
      </c>
      <c r="S8" s="175">
        <v>0.5</v>
      </c>
      <c r="T8" s="175">
        <v>0.5</v>
      </c>
      <c r="U8" s="175">
        <v>0.5</v>
      </c>
      <c r="V8" s="175">
        <v>0.5</v>
      </c>
      <c r="W8" s="175">
        <v>0.5</v>
      </c>
      <c r="X8" s="175">
        <v>0.5</v>
      </c>
      <c r="Y8" s="175">
        <v>0.5</v>
      </c>
      <c r="Z8" s="175">
        <v>0.5</v>
      </c>
      <c r="AA8" s="175">
        <v>0.5</v>
      </c>
      <c r="AB8" s="175">
        <v>0.5</v>
      </c>
      <c r="AC8" s="175">
        <v>0.5</v>
      </c>
      <c r="AD8" s="175">
        <v>0.5</v>
      </c>
      <c r="AE8" s="175">
        <v>0.5</v>
      </c>
      <c r="AF8" s="175">
        <v>0.5</v>
      </c>
      <c r="AG8" s="175">
        <v>0.5</v>
      </c>
      <c r="AH8" s="175">
        <v>0.5</v>
      </c>
      <c r="AI8" s="175">
        <v>0.5</v>
      </c>
      <c r="AJ8" s="175">
        <v>0.5</v>
      </c>
      <c r="AK8" s="175">
        <v>0.5</v>
      </c>
      <c r="AL8" s="175">
        <v>0.5</v>
      </c>
      <c r="AM8" s="175">
        <v>0.5</v>
      </c>
      <c r="AN8" s="175">
        <v>0.5</v>
      </c>
      <c r="AO8" s="175">
        <v>0.5</v>
      </c>
      <c r="AP8" s="175">
        <v>0.5</v>
      </c>
      <c r="AQ8" s="175">
        <v>0.5</v>
      </c>
      <c r="AR8" s="175">
        <v>0.5</v>
      </c>
      <c r="AS8" s="175">
        <v>0.5</v>
      </c>
      <c r="AT8" s="175">
        <v>0.5</v>
      </c>
      <c r="AU8" s="175">
        <v>0.5</v>
      </c>
      <c r="AV8" s="175">
        <v>0.5</v>
      </c>
      <c r="AW8" s="175">
        <v>0.5</v>
      </c>
      <c r="AX8" s="175">
        <v>0.5</v>
      </c>
      <c r="AY8" s="175">
        <v>0.5</v>
      </c>
      <c r="AZ8" s="175">
        <v>0.5</v>
      </c>
      <c r="BA8" s="175">
        <v>0.5</v>
      </c>
      <c r="BB8" s="175">
        <v>0.5</v>
      </c>
      <c r="BC8" s="175">
        <v>0.5</v>
      </c>
      <c r="BD8" s="175">
        <v>0.5</v>
      </c>
      <c r="BE8" s="175">
        <v>0.5</v>
      </c>
      <c r="BF8" s="175">
        <v>0.5</v>
      </c>
      <c r="BG8" s="175">
        <v>0.5</v>
      </c>
      <c r="BH8" s="175">
        <v>0.5</v>
      </c>
      <c r="BI8" s="175">
        <v>0.5</v>
      </c>
      <c r="BJ8" s="175">
        <v>0.5</v>
      </c>
      <c r="BK8" s="175">
        <v>0.5</v>
      </c>
      <c r="BL8" s="175">
        <v>0.5</v>
      </c>
      <c r="BM8" s="175">
        <v>0.5</v>
      </c>
      <c r="BN8" s="175">
        <v>0.5</v>
      </c>
      <c r="BO8" s="175">
        <v>0.5</v>
      </c>
      <c r="BP8" s="175">
        <v>0.5</v>
      </c>
      <c r="BQ8" s="175">
        <v>0.5</v>
      </c>
      <c r="BR8" s="175">
        <v>0.5</v>
      </c>
      <c r="BS8" s="175">
        <v>0.5</v>
      </c>
      <c r="BT8" s="175">
        <v>0.5</v>
      </c>
      <c r="BU8" s="175">
        <v>0.5</v>
      </c>
      <c r="BV8" s="175">
        <v>0.5</v>
      </c>
      <c r="BW8" s="175">
        <v>0.5</v>
      </c>
      <c r="BX8" s="175">
        <v>0.5</v>
      </c>
      <c r="BY8" s="175">
        <v>0.5</v>
      </c>
      <c r="BZ8" s="175">
        <v>0.5</v>
      </c>
      <c r="CA8" s="175">
        <v>0.5</v>
      </c>
      <c r="CB8" s="175">
        <v>0.5</v>
      </c>
      <c r="CC8" s="175">
        <v>0.5</v>
      </c>
      <c r="CD8" s="175">
        <v>0.5</v>
      </c>
      <c r="CE8" s="175">
        <v>0.5</v>
      </c>
      <c r="CF8" s="175">
        <v>0.5</v>
      </c>
      <c r="CG8" s="175">
        <v>0.5</v>
      </c>
      <c r="CH8" s="175">
        <v>0.5</v>
      </c>
      <c r="CI8" s="175">
        <v>0.5</v>
      </c>
      <c r="CJ8" s="175">
        <v>0.5</v>
      </c>
      <c r="CK8" s="175">
        <v>0.5</v>
      </c>
      <c r="CL8" s="175">
        <v>0.5</v>
      </c>
      <c r="CM8" s="175">
        <v>0.5</v>
      </c>
      <c r="CN8" s="175">
        <v>0.5</v>
      </c>
      <c r="CO8" s="175">
        <v>0.5</v>
      </c>
      <c r="CP8" s="175">
        <v>0</v>
      </c>
      <c r="CQ8" s="175">
        <v>0</v>
      </c>
    </row>
    <row r="9" spans="1:95" s="175" customFormat="1" ht="16" x14ac:dyDescent="0.2">
      <c r="A9" t="s">
        <v>178</v>
      </c>
      <c r="B9" s="175">
        <v>0</v>
      </c>
      <c r="C9" s="175">
        <v>0.5</v>
      </c>
      <c r="D9" s="175">
        <v>0.5</v>
      </c>
      <c r="E9" s="175">
        <v>0.5</v>
      </c>
      <c r="F9" s="175">
        <v>0.5</v>
      </c>
      <c r="G9" s="175">
        <v>0.5</v>
      </c>
      <c r="H9" s="175">
        <v>0.5</v>
      </c>
      <c r="I9" s="175">
        <v>0.5</v>
      </c>
      <c r="J9" s="175">
        <v>0.5</v>
      </c>
      <c r="K9" s="175">
        <v>0.5</v>
      </c>
      <c r="L9" s="175">
        <v>0.5</v>
      </c>
      <c r="M9" s="175">
        <v>0.5</v>
      </c>
      <c r="N9" s="175">
        <v>0.5</v>
      </c>
      <c r="O9" s="175">
        <v>0.5</v>
      </c>
      <c r="P9" s="175">
        <v>0.5</v>
      </c>
      <c r="Q9" s="175">
        <v>0.5</v>
      </c>
      <c r="R9" s="175">
        <v>0.5</v>
      </c>
      <c r="S9" s="175">
        <v>0.5</v>
      </c>
      <c r="T9" s="175">
        <v>0.5</v>
      </c>
      <c r="U9" s="175">
        <v>0.5</v>
      </c>
      <c r="V9" s="175">
        <v>0.5</v>
      </c>
      <c r="W9" s="175">
        <v>0.5</v>
      </c>
      <c r="X9" s="175">
        <v>0.5</v>
      </c>
      <c r="Y9" s="175">
        <v>0.5</v>
      </c>
      <c r="Z9" s="175">
        <v>0.5</v>
      </c>
      <c r="AA9" s="175">
        <v>0.5</v>
      </c>
      <c r="AB9" s="175">
        <v>0.5</v>
      </c>
      <c r="AC9" s="175">
        <v>0.5</v>
      </c>
      <c r="AD9" s="175">
        <v>0.5</v>
      </c>
      <c r="AE9" s="175">
        <v>0.5</v>
      </c>
      <c r="AF9" s="175">
        <v>0.5</v>
      </c>
      <c r="AG9" s="175">
        <v>0.5</v>
      </c>
      <c r="AH9" s="175">
        <v>0.5</v>
      </c>
      <c r="AI9" s="175">
        <v>0.5</v>
      </c>
      <c r="AJ9" s="175">
        <v>0.5</v>
      </c>
      <c r="AK9" s="175">
        <v>0.5</v>
      </c>
      <c r="AL9" s="175">
        <v>0.5</v>
      </c>
      <c r="AM9" s="175">
        <v>0.5</v>
      </c>
      <c r="AN9" s="175">
        <v>0.5</v>
      </c>
      <c r="AO9" s="175">
        <v>0.5</v>
      </c>
      <c r="AP9" s="175">
        <v>0.5</v>
      </c>
      <c r="AQ9" s="175">
        <v>0.5</v>
      </c>
      <c r="AR9" s="175">
        <v>0.5</v>
      </c>
      <c r="AS9" s="175">
        <v>0.5</v>
      </c>
      <c r="AT9" s="175">
        <v>0.5</v>
      </c>
      <c r="AU9" s="175">
        <v>0.5</v>
      </c>
      <c r="AV9" s="175">
        <v>0.5</v>
      </c>
      <c r="AW9" s="175">
        <v>0.5</v>
      </c>
      <c r="AX9" s="175">
        <v>0.5</v>
      </c>
      <c r="AY9" s="175">
        <v>0.5</v>
      </c>
      <c r="AZ9" s="175">
        <v>0.5</v>
      </c>
      <c r="BA9" s="175">
        <v>0.5</v>
      </c>
      <c r="BB9" s="175">
        <v>0.5</v>
      </c>
      <c r="BC9" s="175">
        <v>0.5</v>
      </c>
      <c r="BD9" s="175">
        <v>0.5</v>
      </c>
      <c r="BE9" s="175">
        <v>0.5</v>
      </c>
      <c r="BF9" s="175">
        <v>0.5</v>
      </c>
      <c r="BG9" s="175">
        <v>0.5</v>
      </c>
      <c r="BH9" s="175">
        <v>0.5</v>
      </c>
      <c r="BI9" s="175">
        <v>0.5</v>
      </c>
      <c r="BJ9" s="175">
        <v>0.5</v>
      </c>
      <c r="BK9" s="175">
        <v>0.5</v>
      </c>
      <c r="BL9" s="175">
        <v>0.5</v>
      </c>
      <c r="BM9" s="175">
        <v>0.5</v>
      </c>
      <c r="BN9" s="175">
        <v>0.5</v>
      </c>
      <c r="BO9" s="175">
        <v>0.5</v>
      </c>
      <c r="BP9" s="175">
        <v>0.5</v>
      </c>
      <c r="BQ9" s="175">
        <v>0.5</v>
      </c>
      <c r="BR9" s="175">
        <v>0.5</v>
      </c>
      <c r="BS9" s="175">
        <v>0.5</v>
      </c>
      <c r="BT9" s="175">
        <v>0.5</v>
      </c>
      <c r="BU9" s="175">
        <v>0.5</v>
      </c>
      <c r="BV9" s="175">
        <v>0.5</v>
      </c>
      <c r="BW9" s="175">
        <v>0.5</v>
      </c>
      <c r="BX9" s="175">
        <v>0.5</v>
      </c>
      <c r="BY9" s="175">
        <v>0.5</v>
      </c>
      <c r="BZ9" s="175">
        <v>0.5</v>
      </c>
      <c r="CA9" s="175">
        <v>0.5</v>
      </c>
      <c r="CB9" s="175">
        <v>0.5</v>
      </c>
      <c r="CC9" s="175">
        <v>0.5</v>
      </c>
      <c r="CD9" s="175">
        <v>0.5</v>
      </c>
      <c r="CE9" s="175">
        <v>0.5</v>
      </c>
      <c r="CF9" s="175">
        <v>0.5</v>
      </c>
      <c r="CG9" s="175">
        <v>0.5</v>
      </c>
      <c r="CH9" s="175">
        <v>0.5</v>
      </c>
      <c r="CI9" s="175">
        <v>0.5</v>
      </c>
      <c r="CJ9" s="175">
        <v>0.5</v>
      </c>
      <c r="CK9" s="175">
        <v>0.5</v>
      </c>
      <c r="CL9" s="175">
        <v>0.5</v>
      </c>
      <c r="CM9" s="175">
        <v>0.5</v>
      </c>
      <c r="CN9" s="175">
        <v>0.5</v>
      </c>
      <c r="CO9" s="175">
        <v>0.5</v>
      </c>
      <c r="CP9" s="175">
        <v>0</v>
      </c>
      <c r="CQ9" s="175">
        <v>0</v>
      </c>
    </row>
    <row r="10" spans="1:95" s="175" customFormat="1" ht="16" x14ac:dyDescent="0.2">
      <c r="A10" t="s">
        <v>179</v>
      </c>
      <c r="B10" s="175">
        <v>0</v>
      </c>
      <c r="C10" s="175">
        <v>0.5</v>
      </c>
      <c r="D10" s="175">
        <v>0.5</v>
      </c>
      <c r="E10" s="175">
        <v>0.5</v>
      </c>
      <c r="F10" s="175">
        <v>0.5</v>
      </c>
      <c r="G10" s="175">
        <v>0.5</v>
      </c>
      <c r="H10" s="175">
        <v>0.5</v>
      </c>
      <c r="I10" s="175">
        <v>0.5</v>
      </c>
      <c r="J10" s="175">
        <v>0.5</v>
      </c>
      <c r="K10" s="175">
        <v>0.5</v>
      </c>
      <c r="L10" s="175">
        <v>0.5</v>
      </c>
      <c r="M10" s="175">
        <v>0.5</v>
      </c>
      <c r="N10" s="175">
        <v>0.5</v>
      </c>
      <c r="O10" s="175">
        <v>0.5</v>
      </c>
      <c r="P10" s="175">
        <v>0.5</v>
      </c>
      <c r="Q10" s="175">
        <v>0.5</v>
      </c>
      <c r="R10" s="175">
        <v>0.5</v>
      </c>
      <c r="S10" s="175">
        <v>0.5</v>
      </c>
      <c r="T10" s="175">
        <v>0.5</v>
      </c>
      <c r="U10" s="175">
        <v>0.5</v>
      </c>
      <c r="V10" s="175">
        <v>0.5</v>
      </c>
      <c r="W10" s="175">
        <v>0.5</v>
      </c>
      <c r="X10" s="175">
        <v>0.5</v>
      </c>
      <c r="Y10" s="175">
        <v>0.5</v>
      </c>
      <c r="Z10" s="175">
        <v>0.5</v>
      </c>
      <c r="AA10" s="175">
        <v>0.5</v>
      </c>
      <c r="AB10" s="175">
        <v>0.5</v>
      </c>
      <c r="AC10" s="175">
        <v>0.5</v>
      </c>
      <c r="AD10" s="175">
        <v>0.5</v>
      </c>
      <c r="AE10" s="175">
        <v>0.5</v>
      </c>
      <c r="AF10" s="175">
        <v>0.5</v>
      </c>
      <c r="AG10" s="175">
        <v>0.5</v>
      </c>
      <c r="AH10" s="175">
        <v>0.5</v>
      </c>
      <c r="AI10" s="175">
        <v>0.5</v>
      </c>
      <c r="AJ10" s="175">
        <v>0.5</v>
      </c>
      <c r="AK10" s="175">
        <v>0.5</v>
      </c>
      <c r="AL10" s="175">
        <v>0.5</v>
      </c>
      <c r="AM10" s="175">
        <v>0.5</v>
      </c>
      <c r="AN10" s="175">
        <v>0.5</v>
      </c>
      <c r="AO10" s="175">
        <v>0.5</v>
      </c>
      <c r="AP10" s="175">
        <v>0.5</v>
      </c>
      <c r="AQ10" s="175">
        <v>0.5</v>
      </c>
      <c r="AR10" s="175">
        <v>0.5</v>
      </c>
      <c r="AS10" s="175">
        <v>0.5</v>
      </c>
      <c r="AT10" s="175">
        <v>0.5</v>
      </c>
      <c r="AU10" s="175">
        <v>0.5</v>
      </c>
      <c r="AV10" s="175">
        <v>0.5</v>
      </c>
      <c r="AW10" s="175">
        <v>0.5</v>
      </c>
      <c r="AX10" s="175">
        <v>0.5</v>
      </c>
      <c r="AY10" s="175">
        <v>0.5</v>
      </c>
      <c r="AZ10" s="175">
        <v>0.5</v>
      </c>
      <c r="BA10" s="175">
        <v>0.5</v>
      </c>
      <c r="BB10" s="175">
        <v>0.5</v>
      </c>
      <c r="BC10" s="175">
        <v>0.5</v>
      </c>
      <c r="BD10" s="175">
        <v>0.5</v>
      </c>
      <c r="BE10" s="175">
        <v>0.5</v>
      </c>
      <c r="BF10" s="175">
        <v>0.5</v>
      </c>
      <c r="BG10" s="175">
        <v>0.5</v>
      </c>
      <c r="BH10" s="175">
        <v>0.5</v>
      </c>
      <c r="BI10" s="175">
        <v>0.5</v>
      </c>
      <c r="BJ10" s="175">
        <v>0.5</v>
      </c>
      <c r="BK10" s="175">
        <v>0.5</v>
      </c>
      <c r="BL10" s="175">
        <v>0.5</v>
      </c>
      <c r="BM10" s="175">
        <v>0.5</v>
      </c>
      <c r="BN10" s="175">
        <v>0.5</v>
      </c>
      <c r="BO10" s="175">
        <v>0.5</v>
      </c>
      <c r="BP10" s="175">
        <v>0.5</v>
      </c>
      <c r="BQ10" s="175">
        <v>0.5</v>
      </c>
      <c r="BR10" s="175">
        <v>0.5</v>
      </c>
      <c r="BS10" s="175">
        <v>0.5</v>
      </c>
      <c r="BT10" s="175">
        <v>0.5</v>
      </c>
      <c r="BU10" s="175">
        <v>0.5</v>
      </c>
      <c r="BV10" s="175">
        <v>0.5</v>
      </c>
      <c r="BW10" s="175">
        <v>0.5</v>
      </c>
      <c r="BX10" s="175">
        <v>0.5</v>
      </c>
      <c r="BY10" s="175">
        <v>0.5</v>
      </c>
      <c r="BZ10" s="175">
        <v>0.5</v>
      </c>
      <c r="CA10" s="175">
        <v>0.5</v>
      </c>
      <c r="CB10" s="175">
        <v>0.5</v>
      </c>
      <c r="CC10" s="175">
        <v>0.5</v>
      </c>
      <c r="CD10" s="175">
        <v>0.5</v>
      </c>
      <c r="CE10" s="175">
        <v>0.5</v>
      </c>
      <c r="CF10" s="175">
        <v>0.5</v>
      </c>
      <c r="CG10" s="175">
        <v>0.5</v>
      </c>
      <c r="CH10" s="175">
        <v>0.5</v>
      </c>
      <c r="CI10" s="175">
        <v>0.5</v>
      </c>
      <c r="CJ10" s="175">
        <v>0.5</v>
      </c>
      <c r="CK10" s="175">
        <v>0.5</v>
      </c>
      <c r="CL10" s="175">
        <v>0.5</v>
      </c>
      <c r="CM10" s="175">
        <v>0.5</v>
      </c>
      <c r="CN10" s="175">
        <v>0.5</v>
      </c>
      <c r="CO10" s="175">
        <v>0.5</v>
      </c>
      <c r="CP10" s="175">
        <v>0</v>
      </c>
      <c r="CQ10" s="175">
        <v>0</v>
      </c>
    </row>
    <row r="11" spans="1:95" s="175" customFormat="1" ht="16" x14ac:dyDescent="0.2">
      <c r="A11" t="s">
        <v>180</v>
      </c>
      <c r="B11" s="175">
        <v>0</v>
      </c>
      <c r="C11" s="175">
        <v>0.5</v>
      </c>
      <c r="D11" s="175">
        <v>0.5</v>
      </c>
      <c r="E11" s="175">
        <v>0.5</v>
      </c>
      <c r="F11" s="175">
        <v>0.5</v>
      </c>
      <c r="G11" s="175">
        <v>0.5</v>
      </c>
      <c r="H11" s="175">
        <v>0.5</v>
      </c>
      <c r="I11" s="175">
        <v>0.5</v>
      </c>
      <c r="J11" s="175">
        <v>0.5</v>
      </c>
      <c r="K11" s="175">
        <v>0.5</v>
      </c>
      <c r="L11" s="175">
        <v>0.5</v>
      </c>
      <c r="M11" s="175">
        <v>0.5</v>
      </c>
      <c r="N11" s="175">
        <v>0.5</v>
      </c>
      <c r="O11" s="175">
        <v>0.5</v>
      </c>
      <c r="P11" s="175">
        <v>0.5</v>
      </c>
      <c r="Q11" s="175">
        <v>0.5</v>
      </c>
      <c r="R11" s="175">
        <v>0.5</v>
      </c>
      <c r="S11" s="175">
        <v>0.5</v>
      </c>
      <c r="T11" s="175">
        <v>0.5</v>
      </c>
      <c r="U11" s="175">
        <v>0.5</v>
      </c>
      <c r="V11" s="175">
        <v>0.5</v>
      </c>
      <c r="W11" s="175">
        <v>0.5</v>
      </c>
      <c r="X11" s="175">
        <v>0.5</v>
      </c>
      <c r="Y11" s="175">
        <v>0.5</v>
      </c>
      <c r="Z11" s="175">
        <v>0.5</v>
      </c>
      <c r="AA11" s="175">
        <v>0.5</v>
      </c>
      <c r="AB11" s="175">
        <v>0.5</v>
      </c>
      <c r="AC11" s="175">
        <v>0.5</v>
      </c>
      <c r="AD11" s="175">
        <v>0.5</v>
      </c>
      <c r="AE11" s="175">
        <v>0.5</v>
      </c>
      <c r="AF11" s="175">
        <v>0.5</v>
      </c>
      <c r="AG11" s="175">
        <v>0.5</v>
      </c>
      <c r="AH11" s="175">
        <v>0.5</v>
      </c>
      <c r="AI11" s="175">
        <v>0.5</v>
      </c>
      <c r="AJ11" s="175">
        <v>0.5</v>
      </c>
      <c r="AK11" s="175">
        <v>0.5</v>
      </c>
      <c r="AL11" s="175">
        <v>0.5</v>
      </c>
      <c r="AM11" s="175">
        <v>0.5</v>
      </c>
      <c r="AN11" s="175">
        <v>0.5</v>
      </c>
      <c r="AO11" s="175">
        <v>0.5</v>
      </c>
      <c r="AP11" s="175">
        <v>0.5</v>
      </c>
      <c r="AQ11" s="175">
        <v>0.5</v>
      </c>
      <c r="AR11" s="175">
        <v>0.5</v>
      </c>
      <c r="AS11" s="175">
        <v>0.5</v>
      </c>
      <c r="AT11" s="175">
        <v>0.5</v>
      </c>
      <c r="AU11" s="175">
        <v>0.5</v>
      </c>
      <c r="AV11" s="175">
        <v>0.5</v>
      </c>
      <c r="AW11" s="175">
        <v>0.5</v>
      </c>
      <c r="AX11" s="175">
        <v>0.5</v>
      </c>
      <c r="AY11" s="175">
        <v>0.5</v>
      </c>
      <c r="AZ11" s="175">
        <v>0.5</v>
      </c>
      <c r="BA11" s="175">
        <v>0.5</v>
      </c>
      <c r="BB11" s="175">
        <v>0.5</v>
      </c>
      <c r="BC11" s="175">
        <v>0.5</v>
      </c>
      <c r="BD11" s="175">
        <v>0.5</v>
      </c>
      <c r="BE11" s="175">
        <v>0.5</v>
      </c>
      <c r="BF11" s="175">
        <v>0.5</v>
      </c>
      <c r="BG11" s="175">
        <v>0.5</v>
      </c>
      <c r="BH11" s="175">
        <v>0.5</v>
      </c>
      <c r="BI11" s="175">
        <v>0.5</v>
      </c>
      <c r="BJ11" s="175">
        <v>0.5</v>
      </c>
      <c r="BK11" s="175">
        <v>0.5</v>
      </c>
      <c r="BL11" s="175">
        <v>0.5</v>
      </c>
      <c r="BM11" s="175">
        <v>0.5</v>
      </c>
      <c r="BN11" s="175">
        <v>0.5</v>
      </c>
      <c r="BO11" s="175">
        <v>0.5</v>
      </c>
      <c r="BP11" s="175">
        <v>0.5</v>
      </c>
      <c r="BQ11" s="175">
        <v>0.5</v>
      </c>
      <c r="BR11" s="175">
        <v>0.5</v>
      </c>
      <c r="BS11" s="175">
        <v>0.5</v>
      </c>
      <c r="BT11" s="175">
        <v>0.5</v>
      </c>
      <c r="BU11" s="175">
        <v>0.5</v>
      </c>
      <c r="BV11" s="175">
        <v>0.5</v>
      </c>
      <c r="BW11" s="175">
        <v>0.5</v>
      </c>
      <c r="BX11" s="175">
        <v>0.5</v>
      </c>
      <c r="BY11" s="175">
        <v>0.5</v>
      </c>
      <c r="BZ11" s="175">
        <v>0.5</v>
      </c>
      <c r="CA11" s="175">
        <v>0.5</v>
      </c>
      <c r="CB11" s="175">
        <v>0.5</v>
      </c>
      <c r="CC11" s="175">
        <v>0.5</v>
      </c>
      <c r="CD11" s="175">
        <v>0.5</v>
      </c>
      <c r="CE11" s="175">
        <v>0.5</v>
      </c>
      <c r="CF11" s="175">
        <v>0.5</v>
      </c>
      <c r="CG11" s="175">
        <v>0.5</v>
      </c>
      <c r="CH11" s="175">
        <v>0.5</v>
      </c>
      <c r="CI11" s="175">
        <v>0.5</v>
      </c>
      <c r="CJ11" s="175">
        <v>0.5</v>
      </c>
      <c r="CK11" s="175">
        <v>0.5</v>
      </c>
      <c r="CL11" s="175">
        <v>0.5</v>
      </c>
      <c r="CM11" s="175">
        <v>0.5</v>
      </c>
      <c r="CN11" s="175">
        <v>0.5</v>
      </c>
      <c r="CO11" s="175">
        <v>0.5</v>
      </c>
      <c r="CP11" s="175">
        <v>0</v>
      </c>
      <c r="CQ11" s="175">
        <v>0</v>
      </c>
    </row>
    <row r="12" spans="1:95" s="175" customFormat="1" ht="16" x14ac:dyDescent="0.2">
      <c r="A12" t="s">
        <v>181</v>
      </c>
      <c r="B12" s="175">
        <v>0</v>
      </c>
      <c r="C12" s="175">
        <v>0.5</v>
      </c>
      <c r="D12" s="175">
        <v>0.5</v>
      </c>
      <c r="E12" s="175">
        <v>0.5</v>
      </c>
      <c r="F12" s="175">
        <v>0.5</v>
      </c>
      <c r="G12" s="175">
        <v>0.5</v>
      </c>
      <c r="H12" s="175">
        <v>0.5</v>
      </c>
      <c r="I12" s="175">
        <v>0.5</v>
      </c>
      <c r="J12" s="175">
        <v>0.5</v>
      </c>
      <c r="K12" s="175">
        <v>0.5</v>
      </c>
      <c r="L12" s="175">
        <v>0.5</v>
      </c>
      <c r="M12" s="175">
        <v>0.5</v>
      </c>
      <c r="N12" s="175">
        <v>0.5</v>
      </c>
      <c r="O12" s="175">
        <v>0.5</v>
      </c>
      <c r="P12" s="175">
        <v>0.5</v>
      </c>
      <c r="Q12" s="175">
        <v>0.5</v>
      </c>
      <c r="R12" s="175">
        <v>0.5</v>
      </c>
      <c r="S12" s="175">
        <v>0.5</v>
      </c>
      <c r="T12" s="175">
        <v>0.5</v>
      </c>
      <c r="U12" s="175">
        <v>0.5</v>
      </c>
      <c r="V12" s="175">
        <v>0.5</v>
      </c>
      <c r="W12" s="175">
        <v>0.5</v>
      </c>
      <c r="X12" s="175">
        <v>0.5</v>
      </c>
      <c r="Y12" s="175">
        <v>0.5</v>
      </c>
      <c r="Z12" s="175">
        <v>0.5</v>
      </c>
      <c r="AA12" s="175">
        <v>0.5</v>
      </c>
      <c r="AB12" s="175">
        <v>0.5</v>
      </c>
      <c r="AC12" s="175">
        <v>0.5</v>
      </c>
      <c r="AD12" s="175">
        <v>0.5</v>
      </c>
      <c r="AE12" s="175">
        <v>0.5</v>
      </c>
      <c r="AF12" s="175">
        <v>0.5</v>
      </c>
      <c r="AG12" s="175">
        <v>0.5</v>
      </c>
      <c r="AH12" s="175">
        <v>0.5</v>
      </c>
      <c r="AI12" s="175">
        <v>0.5</v>
      </c>
      <c r="AJ12" s="175">
        <v>0.5</v>
      </c>
      <c r="AK12" s="175">
        <v>0.5</v>
      </c>
      <c r="AL12" s="175">
        <v>0.5</v>
      </c>
      <c r="AM12" s="175">
        <v>0.5</v>
      </c>
      <c r="AN12" s="175">
        <v>0.5</v>
      </c>
      <c r="AO12" s="175">
        <v>0.5</v>
      </c>
      <c r="AP12" s="175">
        <v>0.5</v>
      </c>
      <c r="AQ12" s="175">
        <v>0.5</v>
      </c>
      <c r="AR12" s="175">
        <v>0.5</v>
      </c>
      <c r="AS12" s="175">
        <v>0.5</v>
      </c>
      <c r="AT12" s="175">
        <v>0.5</v>
      </c>
      <c r="AU12" s="175">
        <v>0.5</v>
      </c>
      <c r="AV12" s="175">
        <v>0.5</v>
      </c>
      <c r="AW12" s="175">
        <v>0.5</v>
      </c>
      <c r="AX12" s="175">
        <v>0.5</v>
      </c>
      <c r="AY12" s="175">
        <v>0.5</v>
      </c>
      <c r="AZ12" s="175">
        <v>0.5</v>
      </c>
      <c r="BA12" s="175">
        <v>0.5</v>
      </c>
      <c r="BB12" s="175">
        <v>0.5</v>
      </c>
      <c r="BC12" s="175">
        <v>0.5</v>
      </c>
      <c r="BD12" s="175">
        <v>0.5</v>
      </c>
      <c r="BE12" s="175">
        <v>0.5</v>
      </c>
      <c r="BF12" s="175">
        <v>0.5</v>
      </c>
      <c r="BG12" s="175">
        <v>0.5</v>
      </c>
      <c r="BH12" s="175">
        <v>0.5</v>
      </c>
      <c r="BI12" s="175">
        <v>0.5</v>
      </c>
      <c r="BJ12" s="175">
        <v>0.5</v>
      </c>
      <c r="BK12" s="175">
        <v>0.5</v>
      </c>
      <c r="BL12" s="175">
        <v>0.5</v>
      </c>
      <c r="BM12" s="175">
        <v>0.5</v>
      </c>
      <c r="BN12" s="175">
        <v>0.5</v>
      </c>
      <c r="BO12" s="175">
        <v>0.5</v>
      </c>
      <c r="BP12" s="175">
        <v>0.5</v>
      </c>
      <c r="BQ12" s="175">
        <v>0.5</v>
      </c>
      <c r="BR12" s="175">
        <v>0.5</v>
      </c>
      <c r="BS12" s="175">
        <v>0.5</v>
      </c>
      <c r="BT12" s="175">
        <v>0.5</v>
      </c>
      <c r="BU12" s="175">
        <v>0.5</v>
      </c>
      <c r="BV12" s="175">
        <v>0.5</v>
      </c>
      <c r="BW12" s="175">
        <v>0.5</v>
      </c>
      <c r="BX12" s="175">
        <v>0.5</v>
      </c>
      <c r="BY12" s="175">
        <v>0.5</v>
      </c>
      <c r="BZ12" s="175">
        <v>0.5</v>
      </c>
      <c r="CA12" s="175">
        <v>0.5</v>
      </c>
      <c r="CB12" s="175">
        <v>0.5</v>
      </c>
      <c r="CC12" s="175">
        <v>0.5</v>
      </c>
      <c r="CD12" s="175">
        <v>0.5</v>
      </c>
      <c r="CE12" s="175">
        <v>0.5</v>
      </c>
      <c r="CF12" s="175">
        <v>0.5</v>
      </c>
      <c r="CG12" s="175">
        <v>0.5</v>
      </c>
      <c r="CH12" s="175">
        <v>0.5</v>
      </c>
      <c r="CI12" s="175">
        <v>0.5</v>
      </c>
      <c r="CJ12" s="175">
        <v>0.5</v>
      </c>
      <c r="CK12" s="175">
        <v>0.5</v>
      </c>
      <c r="CL12" s="175">
        <v>0.5</v>
      </c>
      <c r="CM12" s="175">
        <v>0.5</v>
      </c>
      <c r="CN12" s="175">
        <v>0.5</v>
      </c>
      <c r="CO12" s="175">
        <v>0.5</v>
      </c>
      <c r="CP12" s="175">
        <v>0</v>
      </c>
      <c r="CQ12" s="175">
        <v>0</v>
      </c>
    </row>
    <row r="13" spans="1:95" s="175" customFormat="1" ht="16" x14ac:dyDescent="0.2">
      <c r="A13" t="s">
        <v>182</v>
      </c>
      <c r="B13" s="175">
        <v>0</v>
      </c>
      <c r="C13" s="175">
        <v>0.5</v>
      </c>
      <c r="D13" s="175">
        <v>0.5</v>
      </c>
      <c r="E13" s="175">
        <v>0.5</v>
      </c>
      <c r="F13" s="175">
        <v>0.5</v>
      </c>
      <c r="G13" s="175">
        <v>0.5</v>
      </c>
      <c r="H13" s="175">
        <v>0.5</v>
      </c>
      <c r="I13" s="175">
        <v>0.5</v>
      </c>
      <c r="J13" s="175">
        <v>0.5</v>
      </c>
      <c r="K13" s="175">
        <v>0.5</v>
      </c>
      <c r="L13" s="175">
        <v>0.5</v>
      </c>
      <c r="M13" s="175">
        <v>0.5</v>
      </c>
      <c r="N13" s="175">
        <v>0.5</v>
      </c>
      <c r="O13" s="175">
        <v>0.5</v>
      </c>
      <c r="P13" s="175">
        <v>0.5</v>
      </c>
      <c r="Q13" s="175">
        <v>0.5</v>
      </c>
      <c r="R13" s="175">
        <v>0.5</v>
      </c>
      <c r="S13" s="175">
        <v>0.5</v>
      </c>
      <c r="T13" s="175">
        <v>0.5</v>
      </c>
      <c r="U13" s="175">
        <v>0.5</v>
      </c>
      <c r="V13" s="175">
        <v>0.5</v>
      </c>
      <c r="W13" s="175">
        <v>0.5</v>
      </c>
      <c r="X13" s="175">
        <v>0.5</v>
      </c>
      <c r="Y13" s="175">
        <v>0.5</v>
      </c>
      <c r="Z13" s="175">
        <v>0.5</v>
      </c>
      <c r="AA13" s="175">
        <v>0.5</v>
      </c>
      <c r="AB13" s="175">
        <v>0.5</v>
      </c>
      <c r="AC13" s="175">
        <v>0.5</v>
      </c>
      <c r="AD13" s="175">
        <v>0.5</v>
      </c>
      <c r="AE13" s="175">
        <v>0.5</v>
      </c>
      <c r="AF13" s="175">
        <v>0.5</v>
      </c>
      <c r="AG13" s="175">
        <v>0.5</v>
      </c>
      <c r="AH13" s="175">
        <v>0.5</v>
      </c>
      <c r="AI13" s="175">
        <v>0.5</v>
      </c>
      <c r="AJ13" s="175">
        <v>0.5</v>
      </c>
      <c r="AK13" s="175">
        <v>0.5</v>
      </c>
      <c r="AL13" s="175">
        <v>0.5</v>
      </c>
      <c r="AM13" s="175">
        <v>0.5</v>
      </c>
      <c r="AN13" s="175">
        <v>0.5</v>
      </c>
      <c r="AO13" s="175">
        <v>0.5</v>
      </c>
      <c r="AP13" s="175">
        <v>0.5</v>
      </c>
      <c r="AQ13" s="175">
        <v>0.5</v>
      </c>
      <c r="AR13" s="175">
        <v>0.5</v>
      </c>
      <c r="AS13" s="175">
        <v>0.5</v>
      </c>
      <c r="AT13" s="175">
        <v>0.5</v>
      </c>
      <c r="AU13" s="175">
        <v>0.5</v>
      </c>
      <c r="AV13" s="175">
        <v>0.5</v>
      </c>
      <c r="AW13" s="175">
        <v>0.5</v>
      </c>
      <c r="AX13" s="175">
        <v>0.5</v>
      </c>
      <c r="AY13" s="175">
        <v>0.5</v>
      </c>
      <c r="AZ13" s="175">
        <v>0.5</v>
      </c>
      <c r="BA13" s="175">
        <v>0.5</v>
      </c>
      <c r="BB13" s="175">
        <v>0.5</v>
      </c>
      <c r="BC13" s="175">
        <v>0.5</v>
      </c>
      <c r="BD13" s="175">
        <v>0.5</v>
      </c>
      <c r="BE13" s="175">
        <v>0.5</v>
      </c>
      <c r="BF13" s="175">
        <v>0.5</v>
      </c>
      <c r="BG13" s="175">
        <v>0.5</v>
      </c>
      <c r="BH13" s="175">
        <v>0.5</v>
      </c>
      <c r="BI13" s="175">
        <v>0.5</v>
      </c>
      <c r="BJ13" s="175">
        <v>0.5</v>
      </c>
      <c r="BK13" s="175">
        <v>0.5</v>
      </c>
      <c r="BL13" s="175">
        <v>0.5</v>
      </c>
      <c r="BM13" s="175">
        <v>0.5</v>
      </c>
      <c r="BN13" s="175">
        <v>0.5</v>
      </c>
      <c r="BO13" s="175">
        <v>0.5</v>
      </c>
      <c r="BP13" s="175">
        <v>0.5</v>
      </c>
      <c r="BQ13" s="175">
        <v>0.5</v>
      </c>
      <c r="BR13" s="175">
        <v>0.5</v>
      </c>
      <c r="BS13" s="175">
        <v>0.5</v>
      </c>
      <c r="BT13" s="175">
        <v>0.5</v>
      </c>
      <c r="BU13" s="175">
        <v>0.5</v>
      </c>
      <c r="BV13" s="175">
        <v>0.5</v>
      </c>
      <c r="BW13" s="175">
        <v>0.5</v>
      </c>
      <c r="BX13" s="175">
        <v>0.5</v>
      </c>
      <c r="BY13" s="175">
        <v>0.5</v>
      </c>
      <c r="BZ13" s="175">
        <v>0.5</v>
      </c>
      <c r="CA13" s="175">
        <v>0.5</v>
      </c>
      <c r="CB13" s="175">
        <v>0.5</v>
      </c>
      <c r="CC13" s="175">
        <v>0.5</v>
      </c>
      <c r="CD13" s="175">
        <v>0.5</v>
      </c>
      <c r="CE13" s="175">
        <v>0.5</v>
      </c>
      <c r="CF13" s="175">
        <v>0.5</v>
      </c>
      <c r="CG13" s="175">
        <v>0.5</v>
      </c>
      <c r="CH13" s="175">
        <v>0.5</v>
      </c>
      <c r="CI13" s="175">
        <v>0.5</v>
      </c>
      <c r="CJ13" s="175">
        <v>0.5</v>
      </c>
      <c r="CK13" s="175">
        <v>0.5</v>
      </c>
      <c r="CL13" s="175">
        <v>0.5</v>
      </c>
      <c r="CM13" s="175">
        <v>0.5</v>
      </c>
      <c r="CN13" s="175">
        <v>0.5</v>
      </c>
      <c r="CO13" s="175">
        <v>0.5</v>
      </c>
      <c r="CP13" s="175">
        <v>0</v>
      </c>
      <c r="CQ13" s="175">
        <v>0</v>
      </c>
    </row>
    <row r="14" spans="1:95" s="175" customFormat="1" ht="16" x14ac:dyDescent="0.2">
      <c r="A14" t="s">
        <v>245</v>
      </c>
      <c r="B14" s="175">
        <v>0</v>
      </c>
      <c r="C14" s="175">
        <v>0.5</v>
      </c>
      <c r="D14" s="175">
        <v>0.5</v>
      </c>
      <c r="E14" s="175">
        <v>0.5</v>
      </c>
      <c r="F14" s="175">
        <v>0.5</v>
      </c>
      <c r="G14" s="175">
        <v>0.5</v>
      </c>
      <c r="H14" s="175">
        <v>0.5</v>
      </c>
      <c r="I14" s="175">
        <v>0.5</v>
      </c>
      <c r="J14" s="175">
        <v>0.5</v>
      </c>
      <c r="K14" s="175">
        <v>0.5</v>
      </c>
      <c r="L14" s="175">
        <v>0.5</v>
      </c>
      <c r="M14" s="175">
        <v>0.5</v>
      </c>
      <c r="N14" s="175">
        <v>0.5</v>
      </c>
      <c r="O14" s="175">
        <v>0.5</v>
      </c>
      <c r="P14" s="175">
        <v>0.5</v>
      </c>
      <c r="Q14" s="175">
        <v>0.5</v>
      </c>
      <c r="R14" s="175">
        <v>0.5</v>
      </c>
      <c r="S14" s="175">
        <v>0.5</v>
      </c>
      <c r="T14" s="175">
        <v>0.5</v>
      </c>
      <c r="U14" s="175">
        <v>0.5</v>
      </c>
      <c r="V14" s="175">
        <v>0.5</v>
      </c>
      <c r="W14" s="175">
        <v>0.5</v>
      </c>
      <c r="X14" s="175">
        <v>0.5</v>
      </c>
      <c r="Y14" s="175">
        <v>0.5</v>
      </c>
      <c r="Z14" s="175">
        <v>0.5</v>
      </c>
      <c r="AA14" s="175">
        <v>0.5</v>
      </c>
      <c r="AB14" s="175">
        <v>0.5</v>
      </c>
      <c r="AC14" s="175">
        <v>0.5</v>
      </c>
      <c r="AD14" s="175">
        <v>0.5</v>
      </c>
      <c r="AE14" s="175">
        <v>0.5</v>
      </c>
      <c r="AF14" s="175">
        <v>0.5</v>
      </c>
      <c r="AG14" s="175">
        <v>0.5</v>
      </c>
      <c r="AH14" s="175">
        <v>0.5</v>
      </c>
      <c r="AI14" s="175">
        <v>0.5</v>
      </c>
      <c r="AJ14" s="175">
        <v>0.5</v>
      </c>
      <c r="AK14" s="175">
        <v>0.5</v>
      </c>
      <c r="AL14" s="175">
        <v>0.5</v>
      </c>
      <c r="AM14" s="175">
        <v>0.5</v>
      </c>
      <c r="AN14" s="175">
        <v>0.5</v>
      </c>
      <c r="AO14" s="175">
        <v>0.5</v>
      </c>
      <c r="AP14" s="175">
        <v>0.5</v>
      </c>
      <c r="AQ14" s="175">
        <v>0.5</v>
      </c>
      <c r="AR14" s="175">
        <v>0.5</v>
      </c>
      <c r="AS14" s="175">
        <v>0.5</v>
      </c>
      <c r="AT14" s="175">
        <v>0.5</v>
      </c>
      <c r="AU14" s="175">
        <v>0.5</v>
      </c>
      <c r="AV14" s="175">
        <v>0.5</v>
      </c>
      <c r="AW14" s="175">
        <v>0.5</v>
      </c>
      <c r="AX14" s="175">
        <v>0.5</v>
      </c>
      <c r="AY14" s="175">
        <v>0.5</v>
      </c>
      <c r="AZ14" s="175">
        <v>0.5</v>
      </c>
      <c r="BA14" s="175">
        <v>0.5</v>
      </c>
      <c r="BB14" s="175">
        <v>0.5</v>
      </c>
      <c r="BC14" s="175">
        <v>0.5</v>
      </c>
      <c r="BD14" s="175">
        <v>0.5</v>
      </c>
      <c r="BE14" s="175">
        <v>0.5</v>
      </c>
      <c r="BF14" s="175">
        <v>0.5</v>
      </c>
      <c r="BG14" s="175">
        <v>0.5</v>
      </c>
      <c r="BH14" s="175">
        <v>0.5</v>
      </c>
      <c r="BI14" s="175">
        <v>0.5</v>
      </c>
      <c r="BJ14" s="175">
        <v>0.5</v>
      </c>
      <c r="BK14" s="175">
        <v>0.5</v>
      </c>
      <c r="BL14" s="175">
        <v>0.5</v>
      </c>
      <c r="BM14" s="175">
        <v>0.5</v>
      </c>
      <c r="BN14" s="175">
        <v>0.5</v>
      </c>
      <c r="BO14" s="175">
        <v>0.5</v>
      </c>
      <c r="BP14" s="175">
        <v>0.5</v>
      </c>
      <c r="BQ14" s="175">
        <v>0.5</v>
      </c>
      <c r="BR14" s="175">
        <v>0.5</v>
      </c>
      <c r="BS14" s="175">
        <v>0.5</v>
      </c>
      <c r="BT14" s="175">
        <v>0.5</v>
      </c>
      <c r="BU14" s="175">
        <v>0.5</v>
      </c>
      <c r="BV14" s="175">
        <v>0.5</v>
      </c>
      <c r="BW14" s="175">
        <v>0.5</v>
      </c>
      <c r="BX14" s="175">
        <v>0.5</v>
      </c>
      <c r="BY14" s="175">
        <v>0.5</v>
      </c>
      <c r="BZ14" s="175">
        <v>0.5</v>
      </c>
      <c r="CA14" s="175">
        <v>0.5</v>
      </c>
      <c r="CB14" s="175">
        <v>0.5</v>
      </c>
      <c r="CC14" s="175">
        <v>0.5</v>
      </c>
      <c r="CD14" s="175">
        <v>0.5</v>
      </c>
      <c r="CE14" s="175">
        <v>0.5</v>
      </c>
      <c r="CF14" s="175">
        <v>0.5</v>
      </c>
      <c r="CG14" s="175">
        <v>0.5</v>
      </c>
      <c r="CH14" s="175">
        <v>0.5</v>
      </c>
      <c r="CI14" s="175">
        <v>0.5</v>
      </c>
      <c r="CJ14" s="175">
        <v>0.5</v>
      </c>
      <c r="CK14" s="175">
        <v>0.5</v>
      </c>
      <c r="CL14" s="175">
        <v>0.5</v>
      </c>
      <c r="CM14" s="175">
        <v>0.5</v>
      </c>
      <c r="CN14" s="175">
        <v>0.5</v>
      </c>
      <c r="CO14" s="175">
        <v>0.5</v>
      </c>
      <c r="CP14" s="175">
        <v>0</v>
      </c>
      <c r="CQ14" s="175">
        <v>0</v>
      </c>
    </row>
    <row r="15" spans="1:95" s="175" customFormat="1" ht="16" x14ac:dyDescent="0.2">
      <c r="A15" t="s">
        <v>183</v>
      </c>
      <c r="B15" s="175">
        <v>0</v>
      </c>
      <c r="C15" s="175">
        <v>0.5</v>
      </c>
      <c r="D15" s="175">
        <v>0.5</v>
      </c>
      <c r="E15" s="175">
        <v>0.5</v>
      </c>
      <c r="F15" s="175">
        <v>0.5</v>
      </c>
      <c r="G15" s="175">
        <v>0.5</v>
      </c>
      <c r="H15" s="175">
        <v>0.5</v>
      </c>
      <c r="I15" s="175">
        <v>0.5</v>
      </c>
      <c r="J15" s="175">
        <v>0.5</v>
      </c>
      <c r="K15" s="175">
        <v>0.5</v>
      </c>
      <c r="L15" s="175">
        <v>0.5</v>
      </c>
      <c r="M15" s="175">
        <v>0.5</v>
      </c>
      <c r="N15" s="175">
        <v>0.5</v>
      </c>
      <c r="O15" s="175">
        <v>0.5</v>
      </c>
      <c r="P15" s="175">
        <v>0.5</v>
      </c>
      <c r="Q15" s="175">
        <v>0.5</v>
      </c>
      <c r="R15" s="175">
        <v>0.5</v>
      </c>
      <c r="S15" s="175">
        <v>0.5</v>
      </c>
      <c r="T15" s="175">
        <v>0.5</v>
      </c>
      <c r="U15" s="175">
        <v>0.5</v>
      </c>
      <c r="V15" s="175">
        <v>0.5</v>
      </c>
      <c r="W15" s="175">
        <v>0.5</v>
      </c>
      <c r="X15" s="175">
        <v>0.5</v>
      </c>
      <c r="Y15" s="175">
        <v>0.5</v>
      </c>
      <c r="Z15" s="175">
        <v>0.5</v>
      </c>
      <c r="AA15" s="175">
        <v>0.5</v>
      </c>
      <c r="AB15" s="175">
        <v>0.5</v>
      </c>
      <c r="AC15" s="175">
        <v>0.5</v>
      </c>
      <c r="AD15" s="175">
        <v>0.5</v>
      </c>
      <c r="AE15" s="175">
        <v>0.5</v>
      </c>
      <c r="AF15" s="175">
        <v>0.5</v>
      </c>
      <c r="AG15" s="175">
        <v>0.5</v>
      </c>
      <c r="AH15" s="175">
        <v>0.5</v>
      </c>
      <c r="AI15" s="175">
        <v>0.5</v>
      </c>
      <c r="AJ15" s="175">
        <v>0.5</v>
      </c>
      <c r="AK15" s="175">
        <v>0.5</v>
      </c>
      <c r="AL15" s="175">
        <v>0.5</v>
      </c>
      <c r="AM15" s="175">
        <v>0.5</v>
      </c>
      <c r="AN15" s="175">
        <v>0.5</v>
      </c>
      <c r="AO15" s="175">
        <v>0.5</v>
      </c>
      <c r="AP15" s="175">
        <v>0.5</v>
      </c>
      <c r="AQ15" s="175">
        <v>0.5</v>
      </c>
      <c r="AR15" s="175">
        <v>0.5</v>
      </c>
      <c r="AS15" s="175">
        <v>0.5</v>
      </c>
      <c r="AT15" s="175">
        <v>0.5</v>
      </c>
      <c r="AU15" s="175">
        <v>0.5</v>
      </c>
      <c r="AV15" s="175">
        <v>0.5</v>
      </c>
      <c r="AW15" s="175">
        <v>0.5</v>
      </c>
      <c r="AX15" s="175">
        <v>0.5</v>
      </c>
      <c r="AY15" s="175">
        <v>0.5</v>
      </c>
      <c r="AZ15" s="175">
        <v>0.5</v>
      </c>
      <c r="BA15" s="175">
        <v>0.5</v>
      </c>
      <c r="BB15" s="175">
        <v>0.5</v>
      </c>
      <c r="BC15" s="175">
        <v>0.5</v>
      </c>
      <c r="BD15" s="175">
        <v>0.5</v>
      </c>
      <c r="BE15" s="175">
        <v>0.5</v>
      </c>
      <c r="BF15" s="175">
        <v>0.5</v>
      </c>
      <c r="BG15" s="175">
        <v>0.5</v>
      </c>
      <c r="BH15" s="175">
        <v>0.5</v>
      </c>
      <c r="BI15" s="175">
        <v>0.5</v>
      </c>
      <c r="BJ15" s="175">
        <v>0.5</v>
      </c>
      <c r="BK15" s="175">
        <v>0.5</v>
      </c>
      <c r="BL15" s="175">
        <v>0.5</v>
      </c>
      <c r="BM15" s="175">
        <v>0.5</v>
      </c>
      <c r="BN15" s="175">
        <v>0.5</v>
      </c>
      <c r="BO15" s="175">
        <v>0.5</v>
      </c>
      <c r="BP15" s="175">
        <v>0.5</v>
      </c>
      <c r="BQ15" s="175">
        <v>0.5</v>
      </c>
      <c r="BR15" s="175">
        <v>0.5</v>
      </c>
      <c r="BS15" s="175">
        <v>0.5</v>
      </c>
      <c r="BT15" s="175">
        <v>0.5</v>
      </c>
      <c r="BU15" s="175">
        <v>0.5</v>
      </c>
      <c r="BV15" s="175">
        <v>0.5</v>
      </c>
      <c r="BW15" s="175">
        <v>0.5</v>
      </c>
      <c r="BX15" s="175">
        <v>0.5</v>
      </c>
      <c r="BY15" s="175">
        <v>0.5</v>
      </c>
      <c r="BZ15" s="175">
        <v>0.5</v>
      </c>
      <c r="CA15" s="175">
        <v>0.5</v>
      </c>
      <c r="CB15" s="175">
        <v>0.5</v>
      </c>
      <c r="CC15" s="175">
        <v>0.5</v>
      </c>
      <c r="CD15" s="175">
        <v>0.5</v>
      </c>
      <c r="CE15" s="175">
        <v>0.5</v>
      </c>
      <c r="CF15" s="175">
        <v>0.5</v>
      </c>
      <c r="CG15" s="175">
        <v>0.5</v>
      </c>
      <c r="CH15" s="175">
        <v>0.5</v>
      </c>
      <c r="CI15" s="175">
        <v>0.5</v>
      </c>
      <c r="CJ15" s="175">
        <v>0.5</v>
      </c>
      <c r="CK15" s="175">
        <v>0.5</v>
      </c>
      <c r="CL15" s="175">
        <v>0.5</v>
      </c>
      <c r="CM15" s="175">
        <v>0.5</v>
      </c>
      <c r="CN15" s="175">
        <v>0.5</v>
      </c>
      <c r="CO15" s="175">
        <v>0.5</v>
      </c>
      <c r="CP15" s="175">
        <v>0</v>
      </c>
      <c r="CQ15" s="175">
        <v>0</v>
      </c>
    </row>
    <row r="16" spans="1:95" s="175" customFormat="1" ht="16" x14ac:dyDescent="0.2">
      <c r="A16" t="s">
        <v>184</v>
      </c>
      <c r="B16" s="175">
        <v>0</v>
      </c>
      <c r="C16" s="175">
        <v>0.5</v>
      </c>
      <c r="D16" s="175">
        <v>0.5</v>
      </c>
      <c r="E16" s="175">
        <v>0.5</v>
      </c>
      <c r="F16" s="175">
        <v>0.5</v>
      </c>
      <c r="G16" s="175">
        <v>0.5</v>
      </c>
      <c r="H16" s="175">
        <v>0.5</v>
      </c>
      <c r="I16" s="175">
        <v>0.5</v>
      </c>
      <c r="J16" s="175">
        <v>0.5</v>
      </c>
      <c r="K16" s="175">
        <v>0.5</v>
      </c>
      <c r="L16" s="175">
        <v>0.5</v>
      </c>
      <c r="M16" s="175">
        <v>0.5</v>
      </c>
      <c r="N16" s="175">
        <v>0.5</v>
      </c>
      <c r="O16" s="175">
        <v>0.5</v>
      </c>
      <c r="P16" s="175">
        <v>0.5</v>
      </c>
      <c r="Q16" s="175">
        <v>0.5</v>
      </c>
      <c r="R16" s="175">
        <v>0.5</v>
      </c>
      <c r="S16" s="175">
        <v>0.5</v>
      </c>
      <c r="T16" s="175">
        <v>0.5</v>
      </c>
      <c r="U16" s="175">
        <v>0.5</v>
      </c>
      <c r="V16" s="175">
        <v>0.5</v>
      </c>
      <c r="W16" s="175">
        <v>0.5</v>
      </c>
      <c r="X16" s="175">
        <v>0.5</v>
      </c>
      <c r="Y16" s="175">
        <v>0.5</v>
      </c>
      <c r="Z16" s="175">
        <v>0.5</v>
      </c>
      <c r="AA16" s="175">
        <v>0.5</v>
      </c>
      <c r="AB16" s="175">
        <v>0.5</v>
      </c>
      <c r="AC16" s="175">
        <v>0.5</v>
      </c>
      <c r="AD16" s="175">
        <v>0.5</v>
      </c>
      <c r="AE16" s="175">
        <v>0.5</v>
      </c>
      <c r="AF16" s="175">
        <v>0.5</v>
      </c>
      <c r="AG16" s="175">
        <v>0.5</v>
      </c>
      <c r="AH16" s="175">
        <v>0.5</v>
      </c>
      <c r="AI16" s="175">
        <v>0.5</v>
      </c>
      <c r="AJ16" s="175">
        <v>0.5</v>
      </c>
      <c r="AK16" s="175">
        <v>0.5</v>
      </c>
      <c r="AL16" s="175">
        <v>0.5</v>
      </c>
      <c r="AM16" s="175">
        <v>0.5</v>
      </c>
      <c r="AN16" s="175">
        <v>0.5</v>
      </c>
      <c r="AO16" s="175">
        <v>0.5</v>
      </c>
      <c r="AP16" s="175">
        <v>0.5</v>
      </c>
      <c r="AQ16" s="175">
        <v>0.5</v>
      </c>
      <c r="AR16" s="175">
        <v>0.5</v>
      </c>
      <c r="AS16" s="175">
        <v>0.5</v>
      </c>
      <c r="AT16" s="175">
        <v>0.5</v>
      </c>
      <c r="AU16" s="175">
        <v>0.5</v>
      </c>
      <c r="AV16" s="175">
        <v>0.5</v>
      </c>
      <c r="AW16" s="175">
        <v>0.5</v>
      </c>
      <c r="AX16" s="175">
        <v>0.5</v>
      </c>
      <c r="AY16" s="175">
        <v>0.5</v>
      </c>
      <c r="AZ16" s="175">
        <v>0.5</v>
      </c>
      <c r="BA16" s="175">
        <v>0.5</v>
      </c>
      <c r="BB16" s="175">
        <v>0.5</v>
      </c>
      <c r="BC16" s="175">
        <v>0.5</v>
      </c>
      <c r="BD16" s="175">
        <v>0.5</v>
      </c>
      <c r="BE16" s="175">
        <v>0.5</v>
      </c>
      <c r="BF16" s="175">
        <v>0.5</v>
      </c>
      <c r="BG16" s="175">
        <v>0.5</v>
      </c>
      <c r="BH16" s="175">
        <v>0.5</v>
      </c>
      <c r="BI16" s="175">
        <v>0.5</v>
      </c>
      <c r="BJ16" s="175">
        <v>0.5</v>
      </c>
      <c r="BK16" s="175">
        <v>0.5</v>
      </c>
      <c r="BL16" s="175">
        <v>0.5</v>
      </c>
      <c r="BM16" s="175">
        <v>0.5</v>
      </c>
      <c r="BN16" s="175">
        <v>0.5</v>
      </c>
      <c r="BO16" s="175">
        <v>0.5</v>
      </c>
      <c r="BP16" s="175">
        <v>0.5</v>
      </c>
      <c r="BQ16" s="175">
        <v>0.5</v>
      </c>
      <c r="BR16" s="175">
        <v>0.5</v>
      </c>
      <c r="BS16" s="175">
        <v>0.5</v>
      </c>
      <c r="BT16" s="175">
        <v>0.5</v>
      </c>
      <c r="BU16" s="175">
        <v>0.5</v>
      </c>
      <c r="BV16" s="175">
        <v>0.5</v>
      </c>
      <c r="BW16" s="175">
        <v>0.5</v>
      </c>
      <c r="BX16" s="175">
        <v>0.5</v>
      </c>
      <c r="BY16" s="175">
        <v>0.5</v>
      </c>
      <c r="BZ16" s="175">
        <v>0.5</v>
      </c>
      <c r="CA16" s="175">
        <v>0.5</v>
      </c>
      <c r="CB16" s="175">
        <v>0.5</v>
      </c>
      <c r="CC16" s="175">
        <v>0.5</v>
      </c>
      <c r="CD16" s="175">
        <v>0.5</v>
      </c>
      <c r="CE16" s="175">
        <v>0.5</v>
      </c>
      <c r="CF16" s="175">
        <v>0.5</v>
      </c>
      <c r="CG16" s="175">
        <v>0.5</v>
      </c>
      <c r="CH16" s="175">
        <v>0.5</v>
      </c>
      <c r="CI16" s="175">
        <v>0.5</v>
      </c>
      <c r="CJ16" s="175">
        <v>0.5</v>
      </c>
      <c r="CK16" s="175">
        <v>0.5</v>
      </c>
      <c r="CL16" s="175">
        <v>0.5</v>
      </c>
      <c r="CM16" s="175">
        <v>0.5</v>
      </c>
      <c r="CN16" s="175">
        <v>0.5</v>
      </c>
      <c r="CO16" s="175">
        <v>0.5</v>
      </c>
      <c r="CP16" s="175">
        <v>0</v>
      </c>
      <c r="CQ16" s="175">
        <v>0</v>
      </c>
    </row>
    <row r="17" spans="1:95" s="175" customFormat="1" ht="16" x14ac:dyDescent="0.2">
      <c r="A17" t="s">
        <v>228</v>
      </c>
      <c r="B17" s="175">
        <v>0</v>
      </c>
      <c r="C17" s="175">
        <v>0.5</v>
      </c>
      <c r="D17" s="175">
        <v>0.5</v>
      </c>
      <c r="E17" s="175">
        <v>0.5</v>
      </c>
      <c r="F17" s="175">
        <v>0.5</v>
      </c>
      <c r="G17" s="175">
        <v>0.5</v>
      </c>
      <c r="H17" s="175">
        <v>0.5</v>
      </c>
      <c r="I17" s="175">
        <v>0.5</v>
      </c>
      <c r="J17" s="175">
        <v>0.5</v>
      </c>
      <c r="K17" s="175">
        <v>0.5</v>
      </c>
      <c r="L17" s="175">
        <v>0.5</v>
      </c>
      <c r="M17" s="175">
        <v>0.5</v>
      </c>
      <c r="N17" s="175">
        <v>0.5</v>
      </c>
      <c r="O17" s="175">
        <v>0.5</v>
      </c>
      <c r="P17" s="175">
        <v>0.5</v>
      </c>
      <c r="Q17" s="175">
        <v>0.5</v>
      </c>
      <c r="R17" s="175">
        <v>0.5</v>
      </c>
      <c r="S17" s="175">
        <v>0.5</v>
      </c>
      <c r="T17" s="175">
        <v>0.5</v>
      </c>
      <c r="U17" s="175">
        <v>0.5</v>
      </c>
      <c r="V17" s="175">
        <v>0.5</v>
      </c>
      <c r="W17" s="175">
        <v>0.5</v>
      </c>
      <c r="X17" s="175">
        <v>0.5</v>
      </c>
      <c r="Y17" s="175">
        <v>0.5</v>
      </c>
      <c r="Z17" s="175">
        <v>0.5</v>
      </c>
      <c r="AA17" s="175">
        <v>0.5</v>
      </c>
      <c r="AB17" s="175">
        <v>0.5</v>
      </c>
      <c r="AC17" s="175">
        <v>0.5</v>
      </c>
      <c r="AD17" s="175">
        <v>0.5</v>
      </c>
      <c r="AE17" s="175">
        <v>0.5</v>
      </c>
      <c r="AF17" s="175">
        <v>0.5</v>
      </c>
      <c r="AG17" s="175">
        <v>0.5</v>
      </c>
      <c r="AH17" s="175">
        <v>0.5</v>
      </c>
      <c r="AI17" s="175">
        <v>0.5</v>
      </c>
      <c r="AJ17" s="175">
        <v>0.5</v>
      </c>
      <c r="AK17" s="175">
        <v>0.5</v>
      </c>
      <c r="AL17" s="175">
        <v>0.5</v>
      </c>
      <c r="AM17" s="175">
        <v>0.5</v>
      </c>
      <c r="AN17" s="175">
        <v>0.5</v>
      </c>
      <c r="AO17" s="175">
        <v>0.5</v>
      </c>
      <c r="AP17" s="175">
        <v>0.5</v>
      </c>
      <c r="AQ17" s="175">
        <v>0.5</v>
      </c>
      <c r="AR17" s="175">
        <v>0.5</v>
      </c>
      <c r="AS17" s="175">
        <v>0.5</v>
      </c>
      <c r="AT17" s="175">
        <v>0.5</v>
      </c>
      <c r="AU17" s="175">
        <v>0.5</v>
      </c>
      <c r="AV17" s="175">
        <v>0.5</v>
      </c>
      <c r="AW17" s="175">
        <v>0.5</v>
      </c>
      <c r="AX17" s="175">
        <v>0.5</v>
      </c>
      <c r="AY17" s="175">
        <v>0.5</v>
      </c>
      <c r="AZ17" s="175">
        <v>0.5</v>
      </c>
      <c r="BA17" s="175">
        <v>0.5</v>
      </c>
      <c r="BB17" s="175">
        <v>0.5</v>
      </c>
      <c r="BC17" s="175">
        <v>0.5</v>
      </c>
      <c r="BD17" s="175">
        <v>0.5</v>
      </c>
      <c r="BE17" s="175">
        <v>0.5</v>
      </c>
      <c r="BF17" s="175">
        <v>0.5</v>
      </c>
      <c r="BG17" s="175">
        <v>0.5</v>
      </c>
      <c r="BH17" s="175">
        <v>0.5</v>
      </c>
      <c r="BI17" s="175">
        <v>0.5</v>
      </c>
      <c r="BJ17" s="175">
        <v>0.5</v>
      </c>
      <c r="BK17" s="175">
        <v>0.5</v>
      </c>
      <c r="BL17" s="175">
        <v>0.5</v>
      </c>
      <c r="BM17" s="175">
        <v>0.5</v>
      </c>
      <c r="BN17" s="175">
        <v>0.5</v>
      </c>
      <c r="BO17" s="175">
        <v>0.5</v>
      </c>
      <c r="BP17" s="175">
        <v>0.5</v>
      </c>
      <c r="BQ17" s="175">
        <v>0.5</v>
      </c>
      <c r="BR17" s="175">
        <v>0.5</v>
      </c>
      <c r="BS17" s="175">
        <v>0.5</v>
      </c>
      <c r="BT17" s="175">
        <v>0.5</v>
      </c>
      <c r="BU17" s="175">
        <v>0.5</v>
      </c>
      <c r="BV17" s="175">
        <v>0.5</v>
      </c>
      <c r="BW17" s="175">
        <v>0.5</v>
      </c>
      <c r="BX17" s="175">
        <v>0.5</v>
      </c>
      <c r="BY17" s="175">
        <v>0.5</v>
      </c>
      <c r="BZ17" s="175">
        <v>0.5</v>
      </c>
      <c r="CA17" s="175">
        <v>0.5</v>
      </c>
      <c r="CB17" s="175">
        <v>0.5</v>
      </c>
      <c r="CC17" s="175">
        <v>0.5</v>
      </c>
      <c r="CD17" s="175">
        <v>0.5</v>
      </c>
      <c r="CE17" s="175">
        <v>0.5</v>
      </c>
      <c r="CF17" s="175">
        <v>0.5</v>
      </c>
      <c r="CG17" s="175">
        <v>0.5</v>
      </c>
      <c r="CH17" s="175">
        <v>0.5</v>
      </c>
      <c r="CI17" s="175">
        <v>0.5</v>
      </c>
      <c r="CJ17" s="175">
        <v>0.5</v>
      </c>
      <c r="CK17" s="175">
        <v>0.5</v>
      </c>
      <c r="CL17" s="175">
        <v>0.5</v>
      </c>
      <c r="CM17" s="175">
        <v>0.5</v>
      </c>
      <c r="CN17" s="175">
        <v>0.5</v>
      </c>
      <c r="CO17" s="175">
        <v>0.5</v>
      </c>
      <c r="CP17" s="175">
        <v>0</v>
      </c>
      <c r="CQ17" s="175">
        <v>0</v>
      </c>
    </row>
    <row r="18" spans="1:95" s="175" customFormat="1" ht="16" x14ac:dyDescent="0.2">
      <c r="A18" t="s">
        <v>185</v>
      </c>
      <c r="B18" s="175">
        <v>0</v>
      </c>
      <c r="C18" s="175">
        <v>0.5</v>
      </c>
      <c r="D18" s="175">
        <v>0.5</v>
      </c>
      <c r="E18" s="175">
        <v>0.5</v>
      </c>
      <c r="F18" s="175">
        <v>0.5</v>
      </c>
      <c r="G18" s="175">
        <v>0.5</v>
      </c>
      <c r="H18" s="175">
        <v>0.5</v>
      </c>
      <c r="I18" s="175">
        <v>0.5</v>
      </c>
      <c r="J18" s="175">
        <v>0.5</v>
      </c>
      <c r="K18" s="175">
        <v>0.5</v>
      </c>
      <c r="L18" s="175">
        <v>0.5</v>
      </c>
      <c r="M18" s="175">
        <v>0.5</v>
      </c>
      <c r="N18" s="175">
        <v>0.5</v>
      </c>
      <c r="O18" s="175">
        <v>0.5</v>
      </c>
      <c r="P18" s="175">
        <v>0.5</v>
      </c>
      <c r="Q18" s="175">
        <v>0.5</v>
      </c>
      <c r="R18" s="175">
        <v>0.5</v>
      </c>
      <c r="S18" s="175">
        <v>0.5</v>
      </c>
      <c r="T18" s="175">
        <v>0.5</v>
      </c>
      <c r="U18" s="175">
        <v>0.5</v>
      </c>
      <c r="V18" s="175">
        <v>0.5</v>
      </c>
      <c r="W18" s="175">
        <v>0.5</v>
      </c>
      <c r="X18" s="175">
        <v>0.5</v>
      </c>
      <c r="Y18" s="175">
        <v>0.5</v>
      </c>
      <c r="Z18" s="175">
        <v>0.5</v>
      </c>
      <c r="AA18" s="175">
        <v>0.5</v>
      </c>
      <c r="AB18" s="175">
        <v>0.5</v>
      </c>
      <c r="AC18" s="175">
        <v>0.5</v>
      </c>
      <c r="AD18" s="175">
        <v>0.5</v>
      </c>
      <c r="AE18" s="175">
        <v>0.5</v>
      </c>
      <c r="AF18" s="175">
        <v>0.5</v>
      </c>
      <c r="AG18" s="175">
        <v>0.5</v>
      </c>
      <c r="AH18" s="175">
        <v>0.5</v>
      </c>
      <c r="AI18" s="175">
        <v>0.5</v>
      </c>
      <c r="AJ18" s="175">
        <v>0.5</v>
      </c>
      <c r="AK18" s="175">
        <v>0.5</v>
      </c>
      <c r="AL18" s="175">
        <v>0.5</v>
      </c>
      <c r="AM18" s="175">
        <v>0.5</v>
      </c>
      <c r="AN18" s="175">
        <v>0.5</v>
      </c>
      <c r="AO18" s="175">
        <v>0.5</v>
      </c>
      <c r="AP18" s="175">
        <v>0.5</v>
      </c>
      <c r="AQ18" s="175">
        <v>0.5</v>
      </c>
      <c r="AR18" s="175">
        <v>0.5</v>
      </c>
      <c r="AS18" s="175">
        <v>0.5</v>
      </c>
      <c r="AT18" s="175">
        <v>0.5</v>
      </c>
      <c r="AU18" s="175">
        <v>0.5</v>
      </c>
      <c r="AV18" s="175">
        <v>0.5</v>
      </c>
      <c r="AW18" s="175">
        <v>0.5</v>
      </c>
      <c r="AX18" s="175">
        <v>0.5</v>
      </c>
      <c r="AY18" s="175">
        <v>0.5</v>
      </c>
      <c r="AZ18" s="175">
        <v>0.5</v>
      </c>
      <c r="BA18" s="175">
        <v>0.5</v>
      </c>
      <c r="BB18" s="175">
        <v>0.5</v>
      </c>
      <c r="BC18" s="175">
        <v>0.5</v>
      </c>
      <c r="BD18" s="175">
        <v>0.5</v>
      </c>
      <c r="BE18" s="175">
        <v>0.5</v>
      </c>
      <c r="BF18" s="175">
        <v>0.5</v>
      </c>
      <c r="BG18" s="175">
        <v>0.5</v>
      </c>
      <c r="BH18" s="175">
        <v>0.5</v>
      </c>
      <c r="BI18" s="175">
        <v>0.5</v>
      </c>
      <c r="BJ18" s="175">
        <v>0.5</v>
      </c>
      <c r="BK18" s="175">
        <v>0.5</v>
      </c>
      <c r="BL18" s="175">
        <v>0.5</v>
      </c>
      <c r="BM18" s="175">
        <v>0.5</v>
      </c>
      <c r="BN18" s="175">
        <v>0.5</v>
      </c>
      <c r="BO18" s="175">
        <v>0.5</v>
      </c>
      <c r="BP18" s="175">
        <v>0.5</v>
      </c>
      <c r="BQ18" s="175">
        <v>0.5</v>
      </c>
      <c r="BR18" s="175">
        <v>0.5</v>
      </c>
      <c r="BS18" s="175">
        <v>0.5</v>
      </c>
      <c r="BT18" s="175">
        <v>0.5</v>
      </c>
      <c r="BU18" s="175">
        <v>0.5</v>
      </c>
      <c r="BV18" s="175">
        <v>0.5</v>
      </c>
      <c r="BW18" s="175">
        <v>0.5</v>
      </c>
      <c r="BX18" s="175">
        <v>0.5</v>
      </c>
      <c r="BY18" s="175">
        <v>0.5</v>
      </c>
      <c r="BZ18" s="175">
        <v>0.5</v>
      </c>
      <c r="CA18" s="175">
        <v>0.5</v>
      </c>
      <c r="CB18" s="175">
        <v>0.5</v>
      </c>
      <c r="CC18" s="175">
        <v>0.5</v>
      </c>
      <c r="CD18" s="175">
        <v>0.5</v>
      </c>
      <c r="CE18" s="175">
        <v>0.5</v>
      </c>
      <c r="CF18" s="175">
        <v>0.5</v>
      </c>
      <c r="CG18" s="175">
        <v>0.5</v>
      </c>
      <c r="CH18" s="175">
        <v>0.5</v>
      </c>
      <c r="CI18" s="175">
        <v>0.5</v>
      </c>
      <c r="CJ18" s="175">
        <v>0.5</v>
      </c>
      <c r="CK18" s="175">
        <v>0.5</v>
      </c>
      <c r="CL18" s="175">
        <v>0.5</v>
      </c>
      <c r="CM18" s="175">
        <v>0.5</v>
      </c>
      <c r="CN18" s="175">
        <v>0.5</v>
      </c>
      <c r="CO18" s="175">
        <v>0.5</v>
      </c>
      <c r="CP18" s="175">
        <v>0</v>
      </c>
      <c r="CQ18" s="175">
        <v>0</v>
      </c>
    </row>
    <row r="19" spans="1:95" s="175" customFormat="1" ht="16" x14ac:dyDescent="0.2">
      <c r="A19" t="s">
        <v>246</v>
      </c>
      <c r="B19" s="175">
        <v>0</v>
      </c>
      <c r="C19" s="175">
        <v>0.5</v>
      </c>
      <c r="D19" s="175">
        <v>0.5</v>
      </c>
      <c r="E19" s="175">
        <v>0.5</v>
      </c>
      <c r="F19" s="175">
        <v>0.5</v>
      </c>
      <c r="G19" s="175">
        <v>0.5</v>
      </c>
      <c r="H19" s="175">
        <v>0.5</v>
      </c>
      <c r="I19" s="175">
        <v>0.5</v>
      </c>
      <c r="J19" s="175">
        <v>0.5</v>
      </c>
      <c r="K19" s="175">
        <v>0.5</v>
      </c>
      <c r="L19" s="175">
        <v>0.5</v>
      </c>
      <c r="M19" s="175">
        <v>0.5</v>
      </c>
      <c r="N19" s="175">
        <v>0.5</v>
      </c>
      <c r="O19" s="175">
        <v>0.5</v>
      </c>
      <c r="P19" s="175">
        <v>0.5</v>
      </c>
      <c r="Q19" s="175">
        <v>0.5</v>
      </c>
      <c r="R19" s="175">
        <v>0.5</v>
      </c>
      <c r="S19" s="175">
        <v>0.5</v>
      </c>
      <c r="T19" s="175">
        <v>0.5</v>
      </c>
      <c r="U19" s="175">
        <v>0.5</v>
      </c>
      <c r="V19" s="175">
        <v>0.5</v>
      </c>
      <c r="W19" s="175">
        <v>0.5</v>
      </c>
      <c r="X19" s="175">
        <v>0.5</v>
      </c>
      <c r="Y19" s="175">
        <v>0.5</v>
      </c>
      <c r="Z19" s="175">
        <v>0.5</v>
      </c>
      <c r="AA19" s="175">
        <v>0.5</v>
      </c>
      <c r="AB19" s="175">
        <v>0.5</v>
      </c>
      <c r="AC19" s="175">
        <v>0.5</v>
      </c>
      <c r="AD19" s="175">
        <v>0.5</v>
      </c>
      <c r="AE19" s="175">
        <v>0.5</v>
      </c>
      <c r="AF19" s="175">
        <v>0.5</v>
      </c>
      <c r="AG19" s="175">
        <v>0.5</v>
      </c>
      <c r="AH19" s="175">
        <v>0.5</v>
      </c>
      <c r="AI19" s="175">
        <v>0.5</v>
      </c>
      <c r="AJ19" s="175">
        <v>0.5</v>
      </c>
      <c r="AK19" s="175">
        <v>0.5</v>
      </c>
      <c r="AL19" s="175">
        <v>0.5</v>
      </c>
      <c r="AM19" s="175">
        <v>0.5</v>
      </c>
      <c r="AN19" s="175">
        <v>0.5</v>
      </c>
      <c r="AO19" s="175">
        <v>0.5</v>
      </c>
      <c r="AP19" s="175">
        <v>0.5</v>
      </c>
      <c r="AQ19" s="175">
        <v>0.5</v>
      </c>
      <c r="AR19" s="175">
        <v>0.5</v>
      </c>
      <c r="AS19" s="175">
        <v>0.5</v>
      </c>
      <c r="AT19" s="175">
        <v>0.5</v>
      </c>
      <c r="AU19" s="175">
        <v>0.5</v>
      </c>
      <c r="AV19" s="175">
        <v>0.5</v>
      </c>
      <c r="AW19" s="175">
        <v>0.5</v>
      </c>
      <c r="AX19" s="175">
        <v>0.5</v>
      </c>
      <c r="AY19" s="175">
        <v>0.5</v>
      </c>
      <c r="AZ19" s="175">
        <v>0.5</v>
      </c>
      <c r="BA19" s="175">
        <v>0.5</v>
      </c>
      <c r="BB19" s="175">
        <v>0.5</v>
      </c>
      <c r="BC19" s="175">
        <v>0.5</v>
      </c>
      <c r="BD19" s="175">
        <v>0.5</v>
      </c>
      <c r="BE19" s="175">
        <v>0.5</v>
      </c>
      <c r="BF19" s="175">
        <v>0.5</v>
      </c>
      <c r="BG19" s="175">
        <v>0.5</v>
      </c>
      <c r="BH19" s="175">
        <v>0.5</v>
      </c>
      <c r="BI19" s="175">
        <v>0.5</v>
      </c>
      <c r="BJ19" s="175">
        <v>0.5</v>
      </c>
      <c r="BK19" s="175">
        <v>0.5</v>
      </c>
      <c r="BL19" s="175">
        <v>0.5</v>
      </c>
      <c r="BM19" s="175">
        <v>0.5</v>
      </c>
      <c r="BN19" s="175">
        <v>0.5</v>
      </c>
      <c r="BO19" s="175">
        <v>0.5</v>
      </c>
      <c r="BP19" s="175">
        <v>0.5</v>
      </c>
      <c r="BQ19" s="175">
        <v>0.5</v>
      </c>
      <c r="BR19" s="175">
        <v>0.5</v>
      </c>
      <c r="BS19" s="175">
        <v>0.5</v>
      </c>
      <c r="BT19" s="175">
        <v>0.5</v>
      </c>
      <c r="BU19" s="175">
        <v>0.5</v>
      </c>
      <c r="BV19" s="175">
        <v>0.5</v>
      </c>
      <c r="BW19" s="175">
        <v>0.5</v>
      </c>
      <c r="BX19" s="175">
        <v>0.5</v>
      </c>
      <c r="BY19" s="175">
        <v>0.5</v>
      </c>
      <c r="BZ19" s="175">
        <v>0.5</v>
      </c>
      <c r="CA19" s="175">
        <v>0.5</v>
      </c>
      <c r="CB19" s="175">
        <v>0.5</v>
      </c>
      <c r="CC19" s="175">
        <v>0.5</v>
      </c>
      <c r="CD19" s="175">
        <v>0.5</v>
      </c>
      <c r="CE19" s="175">
        <v>0.5</v>
      </c>
      <c r="CF19" s="175">
        <v>0.5</v>
      </c>
      <c r="CG19" s="175">
        <v>0.5</v>
      </c>
      <c r="CH19" s="175">
        <v>0.5</v>
      </c>
      <c r="CI19" s="175">
        <v>0.5</v>
      </c>
      <c r="CJ19" s="175">
        <v>0.5</v>
      </c>
      <c r="CK19" s="175">
        <v>0.5</v>
      </c>
      <c r="CL19" s="175">
        <v>0.5</v>
      </c>
      <c r="CM19" s="175">
        <v>0.5</v>
      </c>
      <c r="CN19" s="175">
        <v>0.5</v>
      </c>
      <c r="CO19" s="175">
        <v>0.5</v>
      </c>
      <c r="CP19" s="175">
        <v>0</v>
      </c>
      <c r="CQ19" s="175">
        <v>0</v>
      </c>
    </row>
    <row r="20" spans="1:95" s="175" customFormat="1" ht="16" x14ac:dyDescent="0.2">
      <c r="A20" t="s">
        <v>229</v>
      </c>
      <c r="B20" s="175">
        <v>0</v>
      </c>
      <c r="C20" s="175">
        <v>0.5</v>
      </c>
      <c r="D20" s="175">
        <v>0.5</v>
      </c>
      <c r="E20" s="175">
        <v>0.5</v>
      </c>
      <c r="F20" s="175">
        <v>0.5</v>
      </c>
      <c r="G20" s="175">
        <v>0.5</v>
      </c>
      <c r="H20" s="175">
        <v>0.5</v>
      </c>
      <c r="I20" s="175">
        <v>0.5</v>
      </c>
      <c r="J20" s="175">
        <v>0.5</v>
      </c>
      <c r="K20" s="175">
        <v>0.5</v>
      </c>
      <c r="L20" s="175">
        <v>0.5</v>
      </c>
      <c r="M20" s="175">
        <v>0.5</v>
      </c>
      <c r="N20" s="175">
        <v>0.5</v>
      </c>
      <c r="O20" s="175">
        <v>0.5</v>
      </c>
      <c r="P20" s="175">
        <v>0.5</v>
      </c>
      <c r="Q20" s="175">
        <v>0.5</v>
      </c>
      <c r="R20" s="175">
        <v>0.5</v>
      </c>
      <c r="S20" s="175">
        <v>0.5</v>
      </c>
      <c r="T20" s="175">
        <v>0.5</v>
      </c>
      <c r="U20" s="175">
        <v>0.5</v>
      </c>
      <c r="V20" s="175">
        <v>0.5</v>
      </c>
      <c r="W20" s="175">
        <v>0.5</v>
      </c>
      <c r="X20" s="175">
        <v>0.5</v>
      </c>
      <c r="Y20" s="175">
        <v>0.5</v>
      </c>
      <c r="Z20" s="175">
        <v>0.5</v>
      </c>
      <c r="AA20" s="175">
        <v>0.5</v>
      </c>
      <c r="AB20" s="175">
        <v>0.5</v>
      </c>
      <c r="AC20" s="175">
        <v>0.5</v>
      </c>
      <c r="AD20" s="175">
        <v>0.5</v>
      </c>
      <c r="AE20" s="175">
        <v>0.5</v>
      </c>
      <c r="AF20" s="175">
        <v>0.5</v>
      </c>
      <c r="AG20" s="175">
        <v>0.5</v>
      </c>
      <c r="AH20" s="175">
        <v>0.5</v>
      </c>
      <c r="AI20" s="175">
        <v>0.5</v>
      </c>
      <c r="AJ20" s="175">
        <v>0.5</v>
      </c>
      <c r="AK20" s="175">
        <v>0.5</v>
      </c>
      <c r="AL20" s="175">
        <v>0.5</v>
      </c>
      <c r="AM20" s="175">
        <v>0.5</v>
      </c>
      <c r="AN20" s="175">
        <v>0.5</v>
      </c>
      <c r="AO20" s="175">
        <v>0.5</v>
      </c>
      <c r="AP20" s="175">
        <v>0.5</v>
      </c>
      <c r="AQ20" s="175">
        <v>0.5</v>
      </c>
      <c r="AR20" s="175">
        <v>0.5</v>
      </c>
      <c r="AS20" s="175">
        <v>0.5</v>
      </c>
      <c r="AT20" s="175">
        <v>0.5</v>
      </c>
      <c r="AU20" s="175">
        <v>0.5</v>
      </c>
      <c r="AV20" s="175">
        <v>0.5</v>
      </c>
      <c r="AW20" s="175">
        <v>0.5</v>
      </c>
      <c r="AX20" s="175">
        <v>0.5</v>
      </c>
      <c r="AY20" s="175">
        <v>0.5</v>
      </c>
      <c r="AZ20" s="175">
        <v>0.5</v>
      </c>
      <c r="BA20" s="175">
        <v>0.5</v>
      </c>
      <c r="BB20" s="175">
        <v>0.5</v>
      </c>
      <c r="BC20" s="175">
        <v>0.5</v>
      </c>
      <c r="BD20" s="175">
        <v>0.5</v>
      </c>
      <c r="BE20" s="175">
        <v>0.5</v>
      </c>
      <c r="BF20" s="175">
        <v>0.5</v>
      </c>
      <c r="BG20" s="175">
        <v>0.5</v>
      </c>
      <c r="BH20" s="175">
        <v>0.5</v>
      </c>
      <c r="BI20" s="175">
        <v>0.5</v>
      </c>
      <c r="BJ20" s="175">
        <v>0.5</v>
      </c>
      <c r="BK20" s="175">
        <v>0.5</v>
      </c>
      <c r="BL20" s="175">
        <v>0.5</v>
      </c>
      <c r="BM20" s="175">
        <v>0.5</v>
      </c>
      <c r="BN20" s="175">
        <v>0.5</v>
      </c>
      <c r="BO20" s="175">
        <v>0.5</v>
      </c>
      <c r="BP20" s="175">
        <v>0.5</v>
      </c>
      <c r="BQ20" s="175">
        <v>0.5</v>
      </c>
      <c r="BR20" s="175">
        <v>0.5</v>
      </c>
      <c r="BS20" s="175">
        <v>0.5</v>
      </c>
      <c r="BT20" s="175">
        <v>0.5</v>
      </c>
      <c r="BU20" s="175">
        <v>0.5</v>
      </c>
      <c r="BV20" s="175">
        <v>0.5</v>
      </c>
      <c r="BW20" s="175">
        <v>0.5</v>
      </c>
      <c r="BX20" s="175">
        <v>0.5</v>
      </c>
      <c r="BY20" s="175">
        <v>0.5</v>
      </c>
      <c r="BZ20" s="175">
        <v>0.5</v>
      </c>
      <c r="CA20" s="175">
        <v>0.5</v>
      </c>
      <c r="CB20" s="175">
        <v>0.5</v>
      </c>
      <c r="CC20" s="175">
        <v>0.5</v>
      </c>
      <c r="CD20" s="175">
        <v>0.5</v>
      </c>
      <c r="CE20" s="175">
        <v>0.5</v>
      </c>
      <c r="CF20" s="175">
        <v>0.5</v>
      </c>
      <c r="CG20" s="175">
        <v>0.5</v>
      </c>
      <c r="CH20" s="175">
        <v>0.5</v>
      </c>
      <c r="CI20" s="175">
        <v>0.5</v>
      </c>
      <c r="CJ20" s="175">
        <v>0.5</v>
      </c>
      <c r="CK20" s="175">
        <v>0.5</v>
      </c>
      <c r="CL20" s="175">
        <v>0.5</v>
      </c>
      <c r="CM20" s="175">
        <v>0.5</v>
      </c>
      <c r="CN20" s="175">
        <v>0.5</v>
      </c>
      <c r="CO20" s="175">
        <v>0.5</v>
      </c>
      <c r="CP20" s="175">
        <v>0</v>
      </c>
      <c r="CQ20" s="175">
        <v>0</v>
      </c>
    </row>
    <row r="21" spans="1:95" s="175" customFormat="1" ht="16" x14ac:dyDescent="0.2">
      <c r="A21" t="s">
        <v>186</v>
      </c>
      <c r="B21" s="175">
        <v>0</v>
      </c>
      <c r="C21" s="175">
        <v>0.5</v>
      </c>
      <c r="D21" s="175">
        <v>0.5</v>
      </c>
      <c r="E21" s="175">
        <v>0.5</v>
      </c>
      <c r="F21" s="175">
        <v>0.5</v>
      </c>
      <c r="G21" s="175">
        <v>0.5</v>
      </c>
      <c r="H21" s="175">
        <v>0.5</v>
      </c>
      <c r="I21" s="175">
        <v>0.5</v>
      </c>
      <c r="J21" s="175">
        <v>0.5</v>
      </c>
      <c r="K21" s="175">
        <v>0.5</v>
      </c>
      <c r="L21" s="175">
        <v>0.5</v>
      </c>
      <c r="M21" s="175">
        <v>0.5</v>
      </c>
      <c r="N21" s="175">
        <v>0.5</v>
      </c>
      <c r="O21" s="175">
        <v>0.5</v>
      </c>
      <c r="P21" s="175">
        <v>0.5</v>
      </c>
      <c r="Q21" s="175">
        <v>0.5</v>
      </c>
      <c r="R21" s="175">
        <v>0.5</v>
      </c>
      <c r="S21" s="175">
        <v>0.5</v>
      </c>
      <c r="T21" s="175">
        <v>0.5</v>
      </c>
      <c r="U21" s="175">
        <v>0.5</v>
      </c>
      <c r="V21" s="175">
        <v>0.5</v>
      </c>
      <c r="W21" s="175">
        <v>0.5</v>
      </c>
      <c r="X21" s="175">
        <v>0.5</v>
      </c>
      <c r="Y21" s="175">
        <v>0.5</v>
      </c>
      <c r="Z21" s="175">
        <v>0.5</v>
      </c>
      <c r="AA21" s="175">
        <v>0.5</v>
      </c>
      <c r="AB21" s="175">
        <v>0.5</v>
      </c>
      <c r="AC21" s="175">
        <v>0.5</v>
      </c>
      <c r="AD21" s="175">
        <v>0.5</v>
      </c>
      <c r="AE21" s="175">
        <v>0.5</v>
      </c>
      <c r="AF21" s="175">
        <v>0.5</v>
      </c>
      <c r="AG21" s="175">
        <v>0.5</v>
      </c>
      <c r="AH21" s="175">
        <v>0.5</v>
      </c>
      <c r="AI21" s="175">
        <v>0.5</v>
      </c>
      <c r="AJ21" s="175">
        <v>0.5</v>
      </c>
      <c r="AK21" s="175">
        <v>0.5</v>
      </c>
      <c r="AL21" s="175">
        <v>0.5</v>
      </c>
      <c r="AM21" s="175">
        <v>0.5</v>
      </c>
      <c r="AN21" s="175">
        <v>0.5</v>
      </c>
      <c r="AO21" s="175">
        <v>0.5</v>
      </c>
      <c r="AP21" s="175">
        <v>0.5</v>
      </c>
      <c r="AQ21" s="175">
        <v>0.5</v>
      </c>
      <c r="AR21" s="175">
        <v>0.5</v>
      </c>
      <c r="AS21" s="175">
        <v>0.5</v>
      </c>
      <c r="AT21" s="175">
        <v>0.5</v>
      </c>
      <c r="AU21" s="175">
        <v>0.5</v>
      </c>
      <c r="AV21" s="175">
        <v>0.5</v>
      </c>
      <c r="AW21" s="175">
        <v>0.5</v>
      </c>
      <c r="AX21" s="175">
        <v>0.5</v>
      </c>
      <c r="AY21" s="175">
        <v>0.5</v>
      </c>
      <c r="AZ21" s="175">
        <v>0.5</v>
      </c>
      <c r="BA21" s="175">
        <v>0.5</v>
      </c>
      <c r="BB21" s="175">
        <v>0.5</v>
      </c>
      <c r="BC21" s="175">
        <v>0.5</v>
      </c>
      <c r="BD21" s="175">
        <v>0.5</v>
      </c>
      <c r="BE21" s="175">
        <v>0.5</v>
      </c>
      <c r="BF21" s="175">
        <v>0.5</v>
      </c>
      <c r="BG21" s="175">
        <v>0.5</v>
      </c>
      <c r="BH21" s="175">
        <v>0.5</v>
      </c>
      <c r="BI21" s="175">
        <v>0.5</v>
      </c>
      <c r="BJ21" s="175">
        <v>0.5</v>
      </c>
      <c r="BK21" s="175">
        <v>0.5</v>
      </c>
      <c r="BL21" s="175">
        <v>0.5</v>
      </c>
      <c r="BM21" s="175">
        <v>0.5</v>
      </c>
      <c r="BN21" s="175">
        <v>0.5</v>
      </c>
      <c r="BO21" s="175">
        <v>0.5</v>
      </c>
      <c r="BP21" s="175">
        <v>0.5</v>
      </c>
      <c r="BQ21" s="175">
        <v>0.5</v>
      </c>
      <c r="BR21" s="175">
        <v>0.5</v>
      </c>
      <c r="BS21" s="175">
        <v>0.5</v>
      </c>
      <c r="BT21" s="175">
        <v>0.5</v>
      </c>
      <c r="BU21" s="175">
        <v>0.5</v>
      </c>
      <c r="BV21" s="175">
        <v>0.5</v>
      </c>
      <c r="BW21" s="175">
        <v>0.5</v>
      </c>
      <c r="BX21" s="175">
        <v>0.5</v>
      </c>
      <c r="BY21" s="175">
        <v>0.5</v>
      </c>
      <c r="BZ21" s="175">
        <v>0.5</v>
      </c>
      <c r="CA21" s="175">
        <v>0.5</v>
      </c>
      <c r="CB21" s="175">
        <v>0.5</v>
      </c>
      <c r="CC21" s="175">
        <v>0.5</v>
      </c>
      <c r="CD21" s="175">
        <v>0.5</v>
      </c>
      <c r="CE21" s="175">
        <v>0.5</v>
      </c>
      <c r="CF21" s="175">
        <v>0.5</v>
      </c>
      <c r="CG21" s="175">
        <v>0.5</v>
      </c>
      <c r="CH21" s="175">
        <v>0.5</v>
      </c>
      <c r="CI21" s="175">
        <v>0.5</v>
      </c>
      <c r="CJ21" s="175">
        <v>0.5</v>
      </c>
      <c r="CK21" s="175">
        <v>0.5</v>
      </c>
      <c r="CL21" s="175">
        <v>0.5</v>
      </c>
      <c r="CM21" s="175">
        <v>0.5</v>
      </c>
      <c r="CN21" s="175">
        <v>0.5</v>
      </c>
      <c r="CO21" s="175">
        <v>0.5</v>
      </c>
      <c r="CP21" s="175">
        <v>0</v>
      </c>
      <c r="CQ21" s="175">
        <v>0</v>
      </c>
    </row>
    <row r="22" spans="1:95" s="175" customFormat="1" ht="16" x14ac:dyDescent="0.2">
      <c r="A22" t="s">
        <v>187</v>
      </c>
      <c r="B22" s="175">
        <v>0</v>
      </c>
      <c r="C22" s="175">
        <v>0.5</v>
      </c>
      <c r="D22" s="175">
        <v>0.5</v>
      </c>
      <c r="E22" s="175">
        <v>0.5</v>
      </c>
      <c r="F22" s="175">
        <v>0.5</v>
      </c>
      <c r="G22" s="175">
        <v>0.5</v>
      </c>
      <c r="H22" s="175">
        <v>0.5</v>
      </c>
      <c r="I22" s="175">
        <v>0.5</v>
      </c>
      <c r="J22" s="175">
        <v>0.5</v>
      </c>
      <c r="K22" s="175">
        <v>0.5</v>
      </c>
      <c r="L22" s="175">
        <v>0.5</v>
      </c>
      <c r="M22" s="175">
        <v>0.5</v>
      </c>
      <c r="N22" s="175">
        <v>0.5</v>
      </c>
      <c r="O22" s="175">
        <v>0.5</v>
      </c>
      <c r="P22" s="175">
        <v>0.5</v>
      </c>
      <c r="Q22" s="175">
        <v>0.5</v>
      </c>
      <c r="R22" s="175">
        <v>0.5</v>
      </c>
      <c r="S22" s="175">
        <v>0.5</v>
      </c>
      <c r="T22" s="175">
        <v>0.5</v>
      </c>
      <c r="U22" s="175">
        <v>0.5</v>
      </c>
      <c r="V22" s="175">
        <v>0.5</v>
      </c>
      <c r="W22" s="175">
        <v>0.5</v>
      </c>
      <c r="X22" s="175">
        <v>0.5</v>
      </c>
      <c r="Y22" s="175">
        <v>0.5</v>
      </c>
      <c r="Z22" s="175">
        <v>0.5</v>
      </c>
      <c r="AA22" s="175">
        <v>0.5</v>
      </c>
      <c r="AB22" s="175">
        <v>0.5</v>
      </c>
      <c r="AC22" s="175">
        <v>0.5</v>
      </c>
      <c r="AD22" s="175">
        <v>0.5</v>
      </c>
      <c r="AE22" s="175">
        <v>0.5</v>
      </c>
      <c r="AF22" s="175">
        <v>0.5</v>
      </c>
      <c r="AG22" s="175">
        <v>0.5</v>
      </c>
      <c r="AH22" s="175">
        <v>0.5</v>
      </c>
      <c r="AI22" s="175">
        <v>0.5</v>
      </c>
      <c r="AJ22" s="175">
        <v>0.5</v>
      </c>
      <c r="AK22" s="175">
        <v>0.5</v>
      </c>
      <c r="AL22" s="175">
        <v>0.5</v>
      </c>
      <c r="AM22" s="175">
        <v>0.5</v>
      </c>
      <c r="AN22" s="175">
        <v>0.5</v>
      </c>
      <c r="AO22" s="175">
        <v>0.5</v>
      </c>
      <c r="AP22" s="175">
        <v>0.5</v>
      </c>
      <c r="AQ22" s="175">
        <v>0.5</v>
      </c>
      <c r="AR22" s="175">
        <v>0.5</v>
      </c>
      <c r="AS22" s="175">
        <v>0.5</v>
      </c>
      <c r="AT22" s="175">
        <v>0.5</v>
      </c>
      <c r="AU22" s="175">
        <v>0.5</v>
      </c>
      <c r="AV22" s="175">
        <v>0.5</v>
      </c>
      <c r="AW22" s="175">
        <v>0.5</v>
      </c>
      <c r="AX22" s="175">
        <v>0.5</v>
      </c>
      <c r="AY22" s="175">
        <v>0.5</v>
      </c>
      <c r="AZ22" s="175">
        <v>0.5</v>
      </c>
      <c r="BA22" s="175">
        <v>0.5</v>
      </c>
      <c r="BB22" s="175">
        <v>0.5</v>
      </c>
      <c r="BC22" s="175">
        <v>0.5</v>
      </c>
      <c r="BD22" s="175">
        <v>0.5</v>
      </c>
      <c r="BE22" s="175">
        <v>0.5</v>
      </c>
      <c r="BF22" s="175">
        <v>0.5</v>
      </c>
      <c r="BG22" s="175">
        <v>0.5</v>
      </c>
      <c r="BH22" s="175">
        <v>0.5</v>
      </c>
      <c r="BI22" s="175">
        <v>0.5</v>
      </c>
      <c r="BJ22" s="175">
        <v>0.5</v>
      </c>
      <c r="BK22" s="175">
        <v>0.5</v>
      </c>
      <c r="BL22" s="175">
        <v>0.5</v>
      </c>
      <c r="BM22" s="175">
        <v>0.5</v>
      </c>
      <c r="BN22" s="175">
        <v>0.5</v>
      </c>
      <c r="BO22" s="175">
        <v>0.5</v>
      </c>
      <c r="BP22" s="175">
        <v>0.5</v>
      </c>
      <c r="BQ22" s="175">
        <v>0.5</v>
      </c>
      <c r="BR22" s="175">
        <v>0.5</v>
      </c>
      <c r="BS22" s="175">
        <v>0.5</v>
      </c>
      <c r="BT22" s="175">
        <v>0.5</v>
      </c>
      <c r="BU22" s="175">
        <v>0.5</v>
      </c>
      <c r="BV22" s="175">
        <v>0.5</v>
      </c>
      <c r="BW22" s="175">
        <v>0.5</v>
      </c>
      <c r="BX22" s="175">
        <v>0.5</v>
      </c>
      <c r="BY22" s="175">
        <v>0.5</v>
      </c>
      <c r="BZ22" s="175">
        <v>0.5</v>
      </c>
      <c r="CA22" s="175">
        <v>0.5</v>
      </c>
      <c r="CB22" s="175">
        <v>0.5</v>
      </c>
      <c r="CC22" s="175">
        <v>0.5</v>
      </c>
      <c r="CD22" s="175">
        <v>0.5</v>
      </c>
      <c r="CE22" s="175">
        <v>0.5</v>
      </c>
      <c r="CF22" s="175">
        <v>0.5</v>
      </c>
      <c r="CG22" s="175">
        <v>0.5</v>
      </c>
      <c r="CH22" s="175">
        <v>0.5</v>
      </c>
      <c r="CI22" s="175">
        <v>0.5</v>
      </c>
      <c r="CJ22" s="175">
        <v>0.5</v>
      </c>
      <c r="CK22" s="175">
        <v>0.5</v>
      </c>
      <c r="CL22" s="175">
        <v>0.5</v>
      </c>
      <c r="CM22" s="175">
        <v>0.5</v>
      </c>
      <c r="CN22" s="175">
        <v>0.5</v>
      </c>
      <c r="CO22" s="175">
        <v>0.5</v>
      </c>
      <c r="CP22" s="175">
        <v>0</v>
      </c>
      <c r="CQ22" s="175">
        <v>0</v>
      </c>
    </row>
    <row r="23" spans="1:95" s="175" customFormat="1" ht="16" x14ac:dyDescent="0.2">
      <c r="A23" t="s">
        <v>188</v>
      </c>
      <c r="B23" s="175">
        <v>0</v>
      </c>
      <c r="C23" s="175">
        <v>0.5</v>
      </c>
      <c r="D23" s="175">
        <v>0.5</v>
      </c>
      <c r="E23" s="175">
        <v>0.5</v>
      </c>
      <c r="F23" s="175">
        <v>0.5</v>
      </c>
      <c r="G23" s="175">
        <v>0.5</v>
      </c>
      <c r="H23" s="175">
        <v>0.5</v>
      </c>
      <c r="I23" s="175">
        <v>0.5</v>
      </c>
      <c r="J23" s="175">
        <v>0.5</v>
      </c>
      <c r="K23" s="175">
        <v>0.5</v>
      </c>
      <c r="L23" s="175">
        <v>0.5</v>
      </c>
      <c r="M23" s="175">
        <v>0.5</v>
      </c>
      <c r="N23" s="175">
        <v>0.5</v>
      </c>
      <c r="O23" s="175">
        <v>0.5</v>
      </c>
      <c r="P23" s="175">
        <v>0.5</v>
      </c>
      <c r="Q23" s="175">
        <v>0.5</v>
      </c>
      <c r="R23" s="175">
        <v>0.5</v>
      </c>
      <c r="S23" s="175">
        <v>0.5</v>
      </c>
      <c r="T23" s="175">
        <v>0.5</v>
      </c>
      <c r="U23" s="175">
        <v>0.5</v>
      </c>
      <c r="V23" s="175">
        <v>0.5</v>
      </c>
      <c r="W23" s="175">
        <v>0.5</v>
      </c>
      <c r="X23" s="175">
        <v>0.5</v>
      </c>
      <c r="Y23" s="175">
        <v>0.5</v>
      </c>
      <c r="Z23" s="175">
        <v>0.5</v>
      </c>
      <c r="AA23" s="175">
        <v>0.5</v>
      </c>
      <c r="AB23" s="175">
        <v>0.5</v>
      </c>
      <c r="AC23" s="175">
        <v>0.5</v>
      </c>
      <c r="AD23" s="175">
        <v>0.5</v>
      </c>
      <c r="AE23" s="175">
        <v>0.5</v>
      </c>
      <c r="AF23" s="175">
        <v>0.5</v>
      </c>
      <c r="AG23" s="175">
        <v>0.5</v>
      </c>
      <c r="AH23" s="175">
        <v>0.5</v>
      </c>
      <c r="AI23" s="175">
        <v>0.5</v>
      </c>
      <c r="AJ23" s="175">
        <v>0.5</v>
      </c>
      <c r="AK23" s="175">
        <v>0.5</v>
      </c>
      <c r="AL23" s="175">
        <v>0.5</v>
      </c>
      <c r="AM23" s="175">
        <v>0.5</v>
      </c>
      <c r="AN23" s="175">
        <v>0.5</v>
      </c>
      <c r="AO23" s="175">
        <v>0.5</v>
      </c>
      <c r="AP23" s="175">
        <v>0.5</v>
      </c>
      <c r="AQ23" s="175">
        <v>0.5</v>
      </c>
      <c r="AR23" s="175">
        <v>0.5</v>
      </c>
      <c r="AS23" s="175">
        <v>0.5</v>
      </c>
      <c r="AT23" s="175">
        <v>0.5</v>
      </c>
      <c r="AU23" s="175">
        <v>0.5</v>
      </c>
      <c r="AV23" s="175">
        <v>0.5</v>
      </c>
      <c r="AW23" s="175">
        <v>0.5</v>
      </c>
      <c r="AX23" s="175">
        <v>0.5</v>
      </c>
      <c r="AY23" s="175">
        <v>0.5</v>
      </c>
      <c r="AZ23" s="175">
        <v>0.5</v>
      </c>
      <c r="BA23" s="175">
        <v>0.5</v>
      </c>
      <c r="BB23" s="175">
        <v>0.5</v>
      </c>
      <c r="BC23" s="175">
        <v>0.5</v>
      </c>
      <c r="BD23" s="175">
        <v>0.5</v>
      </c>
      <c r="BE23" s="175">
        <v>0.5</v>
      </c>
      <c r="BF23" s="175">
        <v>0.5</v>
      </c>
      <c r="BG23" s="175">
        <v>0.5</v>
      </c>
      <c r="BH23" s="175">
        <v>0.5</v>
      </c>
      <c r="BI23" s="175">
        <v>0.5</v>
      </c>
      <c r="BJ23" s="175">
        <v>0.5</v>
      </c>
      <c r="BK23" s="175">
        <v>0.5</v>
      </c>
      <c r="BL23" s="175">
        <v>0.5</v>
      </c>
      <c r="BM23" s="175">
        <v>0.5</v>
      </c>
      <c r="BN23" s="175">
        <v>0.5</v>
      </c>
      <c r="BO23" s="175">
        <v>0.5</v>
      </c>
      <c r="BP23" s="175">
        <v>0.5</v>
      </c>
      <c r="BQ23" s="175">
        <v>0.5</v>
      </c>
      <c r="BR23" s="175">
        <v>0.5</v>
      </c>
      <c r="BS23" s="175">
        <v>0.5</v>
      </c>
      <c r="BT23" s="175">
        <v>0.5</v>
      </c>
      <c r="BU23" s="175">
        <v>0.5</v>
      </c>
      <c r="BV23" s="175">
        <v>0.5</v>
      </c>
      <c r="BW23" s="175">
        <v>0.5</v>
      </c>
      <c r="BX23" s="175">
        <v>0.5</v>
      </c>
      <c r="BY23" s="175">
        <v>0.5</v>
      </c>
      <c r="BZ23" s="175">
        <v>0.5</v>
      </c>
      <c r="CA23" s="175">
        <v>0.5</v>
      </c>
      <c r="CB23" s="175">
        <v>0.5</v>
      </c>
      <c r="CC23" s="175">
        <v>0.5</v>
      </c>
      <c r="CD23" s="175">
        <v>0.5</v>
      </c>
      <c r="CE23" s="175">
        <v>0.5</v>
      </c>
      <c r="CF23" s="175">
        <v>0.5</v>
      </c>
      <c r="CG23" s="175">
        <v>0.5</v>
      </c>
      <c r="CH23" s="175">
        <v>0.5</v>
      </c>
      <c r="CI23" s="175">
        <v>0.5</v>
      </c>
      <c r="CJ23" s="175">
        <v>0.5</v>
      </c>
      <c r="CK23" s="175">
        <v>0.5</v>
      </c>
      <c r="CL23" s="175">
        <v>0.5</v>
      </c>
      <c r="CM23" s="175">
        <v>0.5</v>
      </c>
      <c r="CN23" s="175">
        <v>0.5</v>
      </c>
      <c r="CO23" s="175">
        <v>0.5</v>
      </c>
      <c r="CP23" s="175">
        <v>0</v>
      </c>
      <c r="CQ23" s="175">
        <v>0</v>
      </c>
    </row>
    <row r="24" spans="1:95" s="175" customFormat="1" ht="16" x14ac:dyDescent="0.2">
      <c r="A24" t="s">
        <v>189</v>
      </c>
      <c r="B24" s="175">
        <v>0</v>
      </c>
      <c r="C24" s="175">
        <v>0.5</v>
      </c>
      <c r="D24" s="175">
        <v>0.5</v>
      </c>
      <c r="E24" s="175">
        <v>0.5</v>
      </c>
      <c r="F24" s="175">
        <v>0.5</v>
      </c>
      <c r="G24" s="175">
        <v>0.5</v>
      </c>
      <c r="H24" s="175">
        <v>0.5</v>
      </c>
      <c r="I24" s="175">
        <v>0.5</v>
      </c>
      <c r="J24" s="175">
        <v>0.5</v>
      </c>
      <c r="K24" s="175">
        <v>0.5</v>
      </c>
      <c r="L24" s="175">
        <v>0.5</v>
      </c>
      <c r="M24" s="175">
        <v>0.5</v>
      </c>
      <c r="N24" s="175">
        <v>0.5</v>
      </c>
      <c r="O24" s="175">
        <v>0.5</v>
      </c>
      <c r="P24" s="175">
        <v>0.5</v>
      </c>
      <c r="Q24" s="175">
        <v>0.5</v>
      </c>
      <c r="R24" s="175">
        <v>0.5</v>
      </c>
      <c r="S24" s="175">
        <v>0.5</v>
      </c>
      <c r="T24" s="175">
        <v>0.5</v>
      </c>
      <c r="U24" s="175">
        <v>0.5</v>
      </c>
      <c r="V24" s="175">
        <v>0.5</v>
      </c>
      <c r="W24" s="175">
        <v>0.5</v>
      </c>
      <c r="X24" s="175">
        <v>0.5</v>
      </c>
      <c r="Y24" s="175">
        <v>0.5</v>
      </c>
      <c r="Z24" s="175">
        <v>0.5</v>
      </c>
      <c r="AA24" s="175">
        <v>0.5</v>
      </c>
      <c r="AB24" s="175">
        <v>0.5</v>
      </c>
      <c r="AC24" s="175">
        <v>0.5</v>
      </c>
      <c r="AD24" s="175">
        <v>0.5</v>
      </c>
      <c r="AE24" s="175">
        <v>0.5</v>
      </c>
      <c r="AF24" s="175">
        <v>0.5</v>
      </c>
      <c r="AG24" s="175">
        <v>0.5</v>
      </c>
      <c r="AH24" s="175">
        <v>0.5</v>
      </c>
      <c r="AI24" s="175">
        <v>0.5</v>
      </c>
      <c r="AJ24" s="175">
        <v>0.5</v>
      </c>
      <c r="AK24" s="175">
        <v>0.5</v>
      </c>
      <c r="AL24" s="175">
        <v>0.5</v>
      </c>
      <c r="AM24" s="175">
        <v>0.5</v>
      </c>
      <c r="AN24" s="175">
        <v>0.5</v>
      </c>
      <c r="AO24" s="175">
        <v>0.5</v>
      </c>
      <c r="AP24" s="175">
        <v>0.5</v>
      </c>
      <c r="AQ24" s="175">
        <v>0.5</v>
      </c>
      <c r="AR24" s="175">
        <v>0.5</v>
      </c>
      <c r="AS24" s="175">
        <v>0.5</v>
      </c>
      <c r="AT24" s="175">
        <v>0.5</v>
      </c>
      <c r="AU24" s="175">
        <v>0.5</v>
      </c>
      <c r="AV24" s="175">
        <v>0.5</v>
      </c>
      <c r="AW24" s="175">
        <v>0.5</v>
      </c>
      <c r="AX24" s="175">
        <v>0.5</v>
      </c>
      <c r="AY24" s="175">
        <v>0.5</v>
      </c>
      <c r="AZ24" s="175">
        <v>0.5</v>
      </c>
      <c r="BA24" s="175">
        <v>0.5</v>
      </c>
      <c r="BB24" s="175">
        <v>0.5</v>
      </c>
      <c r="BC24" s="175">
        <v>0.5</v>
      </c>
      <c r="BD24" s="175">
        <v>0.5</v>
      </c>
      <c r="BE24" s="175">
        <v>0.5</v>
      </c>
      <c r="BF24" s="175">
        <v>0.5</v>
      </c>
      <c r="BG24" s="175">
        <v>0.5</v>
      </c>
      <c r="BH24" s="175">
        <v>0.5</v>
      </c>
      <c r="BI24" s="175">
        <v>0.5</v>
      </c>
      <c r="BJ24" s="175">
        <v>0.5</v>
      </c>
      <c r="BK24" s="175">
        <v>0.5</v>
      </c>
      <c r="BL24" s="175">
        <v>0.5</v>
      </c>
      <c r="BM24" s="175">
        <v>0.5</v>
      </c>
      <c r="BN24" s="175">
        <v>0.5</v>
      </c>
      <c r="BO24" s="175">
        <v>0.5</v>
      </c>
      <c r="BP24" s="175">
        <v>0.5</v>
      </c>
      <c r="BQ24" s="175">
        <v>0.5</v>
      </c>
      <c r="BR24" s="175">
        <v>0.5</v>
      </c>
      <c r="BS24" s="175">
        <v>0.5</v>
      </c>
      <c r="BT24" s="175">
        <v>0.5</v>
      </c>
      <c r="BU24" s="175">
        <v>0.5</v>
      </c>
      <c r="BV24" s="175">
        <v>0.5</v>
      </c>
      <c r="BW24" s="175">
        <v>0.5</v>
      </c>
      <c r="BX24" s="175">
        <v>0.5</v>
      </c>
      <c r="BY24" s="175">
        <v>0.5</v>
      </c>
      <c r="BZ24" s="175">
        <v>0.5</v>
      </c>
      <c r="CA24" s="175">
        <v>0.5</v>
      </c>
      <c r="CB24" s="175">
        <v>0.5</v>
      </c>
      <c r="CC24" s="175">
        <v>0.5</v>
      </c>
      <c r="CD24" s="175">
        <v>0.5</v>
      </c>
      <c r="CE24" s="175">
        <v>0.5</v>
      </c>
      <c r="CF24" s="175">
        <v>0.5</v>
      </c>
      <c r="CG24" s="175">
        <v>0.5</v>
      </c>
      <c r="CH24" s="175">
        <v>0.5</v>
      </c>
      <c r="CI24" s="175">
        <v>0.5</v>
      </c>
      <c r="CJ24" s="175">
        <v>0.5</v>
      </c>
      <c r="CK24" s="175">
        <v>0.5</v>
      </c>
      <c r="CL24" s="175">
        <v>0.5</v>
      </c>
      <c r="CM24" s="175">
        <v>0.5</v>
      </c>
      <c r="CN24" s="175">
        <v>0.5</v>
      </c>
      <c r="CO24" s="175">
        <v>0.5</v>
      </c>
      <c r="CP24" s="175">
        <v>0</v>
      </c>
      <c r="CQ24" s="175">
        <v>0</v>
      </c>
    </row>
    <row r="25" spans="1:95" s="175" customFormat="1" ht="16" x14ac:dyDescent="0.2">
      <c r="A25" t="s">
        <v>190</v>
      </c>
      <c r="B25" s="175">
        <v>0</v>
      </c>
      <c r="C25" s="175">
        <v>0.5</v>
      </c>
      <c r="D25" s="175">
        <v>0.5</v>
      </c>
      <c r="E25" s="175">
        <v>0.5</v>
      </c>
      <c r="F25" s="175">
        <v>0.5</v>
      </c>
      <c r="G25" s="175">
        <v>0.5</v>
      </c>
      <c r="H25" s="175">
        <v>0.5</v>
      </c>
      <c r="I25" s="175">
        <v>0.5</v>
      </c>
      <c r="J25" s="175">
        <v>0.5</v>
      </c>
      <c r="K25" s="175">
        <v>0.5</v>
      </c>
      <c r="L25" s="175">
        <v>0.5</v>
      </c>
      <c r="M25" s="175">
        <v>0.5</v>
      </c>
      <c r="N25" s="175">
        <v>0.5</v>
      </c>
      <c r="O25" s="175">
        <v>0.5</v>
      </c>
      <c r="P25" s="175">
        <v>0.5</v>
      </c>
      <c r="Q25" s="175">
        <v>0.5</v>
      </c>
      <c r="R25" s="175">
        <v>0.5</v>
      </c>
      <c r="S25" s="175">
        <v>0.5</v>
      </c>
      <c r="T25" s="175">
        <v>0.5</v>
      </c>
      <c r="U25" s="175">
        <v>0.5</v>
      </c>
      <c r="V25" s="175">
        <v>0.5</v>
      </c>
      <c r="W25" s="175">
        <v>0.5</v>
      </c>
      <c r="X25" s="175">
        <v>0.5</v>
      </c>
      <c r="Y25" s="175">
        <v>0.5</v>
      </c>
      <c r="Z25" s="175">
        <v>0.5</v>
      </c>
      <c r="AA25" s="175">
        <v>0.5</v>
      </c>
      <c r="AB25" s="175">
        <v>0.5</v>
      </c>
      <c r="AC25" s="175">
        <v>0.5</v>
      </c>
      <c r="AD25" s="175">
        <v>0.5</v>
      </c>
      <c r="AE25" s="175">
        <v>0.5</v>
      </c>
      <c r="AF25" s="175">
        <v>0.5</v>
      </c>
      <c r="AG25" s="175">
        <v>0.5</v>
      </c>
      <c r="AH25" s="175">
        <v>0.5</v>
      </c>
      <c r="AI25" s="175">
        <v>0.5</v>
      </c>
      <c r="AJ25" s="175">
        <v>0.5</v>
      </c>
      <c r="AK25" s="175">
        <v>0.5</v>
      </c>
      <c r="AL25" s="175">
        <v>0.5</v>
      </c>
      <c r="AM25" s="175">
        <v>0.5</v>
      </c>
      <c r="AN25" s="175">
        <v>0.5</v>
      </c>
      <c r="AO25" s="175">
        <v>0.5</v>
      </c>
      <c r="AP25" s="175">
        <v>0.5</v>
      </c>
      <c r="AQ25" s="175">
        <v>0.5</v>
      </c>
      <c r="AR25" s="175">
        <v>0.5</v>
      </c>
      <c r="AS25" s="175">
        <v>0.5</v>
      </c>
      <c r="AT25" s="175">
        <v>0.5</v>
      </c>
      <c r="AU25" s="175">
        <v>0.5</v>
      </c>
      <c r="AV25" s="175">
        <v>0.5</v>
      </c>
      <c r="AW25" s="175">
        <v>0.5</v>
      </c>
      <c r="AX25" s="175">
        <v>0.5</v>
      </c>
      <c r="AY25" s="175">
        <v>0.5</v>
      </c>
      <c r="AZ25" s="175">
        <v>0.5</v>
      </c>
      <c r="BA25" s="175">
        <v>0.5</v>
      </c>
      <c r="BB25" s="175">
        <v>0.5</v>
      </c>
      <c r="BC25" s="175">
        <v>0.5</v>
      </c>
      <c r="BD25" s="175">
        <v>0.5</v>
      </c>
      <c r="BE25" s="175">
        <v>0.5</v>
      </c>
      <c r="BF25" s="175">
        <v>0.5</v>
      </c>
      <c r="BG25" s="175">
        <v>0.5</v>
      </c>
      <c r="BH25" s="175">
        <v>0.5</v>
      </c>
      <c r="BI25" s="175">
        <v>0.5</v>
      </c>
      <c r="BJ25" s="175">
        <v>0.5</v>
      </c>
      <c r="BK25" s="175">
        <v>0.5</v>
      </c>
      <c r="BL25" s="175">
        <v>0.5</v>
      </c>
      <c r="BM25" s="175">
        <v>0.5</v>
      </c>
      <c r="BN25" s="175">
        <v>0.5</v>
      </c>
      <c r="BO25" s="175">
        <v>0.5</v>
      </c>
      <c r="BP25" s="175">
        <v>0.5</v>
      </c>
      <c r="BQ25" s="175">
        <v>0.5</v>
      </c>
      <c r="BR25" s="175">
        <v>0.5</v>
      </c>
      <c r="BS25" s="175">
        <v>0.5</v>
      </c>
      <c r="BT25" s="175">
        <v>0.5</v>
      </c>
      <c r="BU25" s="175">
        <v>0.5</v>
      </c>
      <c r="BV25" s="175">
        <v>0.5</v>
      </c>
      <c r="BW25" s="175">
        <v>0.5</v>
      </c>
      <c r="BX25" s="175">
        <v>0.5</v>
      </c>
      <c r="BY25" s="175">
        <v>0.5</v>
      </c>
      <c r="BZ25" s="175">
        <v>0.5</v>
      </c>
      <c r="CA25" s="175">
        <v>0.5</v>
      </c>
      <c r="CB25" s="175">
        <v>0.5</v>
      </c>
      <c r="CC25" s="175">
        <v>0.5</v>
      </c>
      <c r="CD25" s="175">
        <v>0.5</v>
      </c>
      <c r="CE25" s="175">
        <v>0.5</v>
      </c>
      <c r="CF25" s="175">
        <v>0.5</v>
      </c>
      <c r="CG25" s="175">
        <v>0.5</v>
      </c>
      <c r="CH25" s="175">
        <v>0.5</v>
      </c>
      <c r="CI25" s="175">
        <v>0.5</v>
      </c>
      <c r="CJ25" s="175">
        <v>0.5</v>
      </c>
      <c r="CK25" s="175">
        <v>0.5</v>
      </c>
      <c r="CL25" s="175">
        <v>0.5</v>
      </c>
      <c r="CM25" s="175">
        <v>0.5</v>
      </c>
      <c r="CN25" s="175">
        <v>0.5</v>
      </c>
      <c r="CO25" s="175">
        <v>0.5</v>
      </c>
      <c r="CP25" s="175">
        <v>0</v>
      </c>
      <c r="CQ25" s="175">
        <v>0</v>
      </c>
    </row>
    <row r="26" spans="1:95" s="175" customFormat="1" ht="16" x14ac:dyDescent="0.2">
      <c r="A26" t="s">
        <v>191</v>
      </c>
      <c r="B26" s="175">
        <v>0</v>
      </c>
      <c r="C26" s="175">
        <v>0.5</v>
      </c>
      <c r="D26" s="175">
        <v>0.5</v>
      </c>
      <c r="E26" s="175">
        <v>0.5</v>
      </c>
      <c r="F26" s="175">
        <v>0.5</v>
      </c>
      <c r="G26" s="175">
        <v>0.5</v>
      </c>
      <c r="H26" s="175">
        <v>0.5</v>
      </c>
      <c r="I26" s="175">
        <v>0.5</v>
      </c>
      <c r="J26" s="175">
        <v>0.5</v>
      </c>
      <c r="K26" s="175">
        <v>0.5</v>
      </c>
      <c r="L26" s="175">
        <v>0.5</v>
      </c>
      <c r="M26" s="175">
        <v>0.5</v>
      </c>
      <c r="N26" s="175">
        <v>0.5</v>
      </c>
      <c r="O26" s="175">
        <v>0.5</v>
      </c>
      <c r="P26" s="175">
        <v>0.5</v>
      </c>
      <c r="Q26" s="175">
        <v>0.5</v>
      </c>
      <c r="R26" s="175">
        <v>0.5</v>
      </c>
      <c r="S26" s="175">
        <v>0.5</v>
      </c>
      <c r="T26" s="175">
        <v>0.5</v>
      </c>
      <c r="U26" s="175">
        <v>0.5</v>
      </c>
      <c r="V26" s="175">
        <v>0.5</v>
      </c>
      <c r="W26" s="175">
        <v>0.5</v>
      </c>
      <c r="X26" s="175">
        <v>0.5</v>
      </c>
      <c r="Y26" s="175">
        <v>0.5</v>
      </c>
      <c r="Z26" s="175">
        <v>0.5</v>
      </c>
      <c r="AA26" s="175">
        <v>0.5</v>
      </c>
      <c r="AB26" s="175">
        <v>0.5</v>
      </c>
      <c r="AC26" s="175">
        <v>0.5</v>
      </c>
      <c r="AD26" s="175">
        <v>0.5</v>
      </c>
      <c r="AE26" s="175">
        <v>0.5</v>
      </c>
      <c r="AF26" s="175">
        <v>0.5</v>
      </c>
      <c r="AG26" s="175">
        <v>0.5</v>
      </c>
      <c r="AH26" s="175">
        <v>0.5</v>
      </c>
      <c r="AI26" s="175">
        <v>0.5</v>
      </c>
      <c r="AJ26" s="175">
        <v>0.5</v>
      </c>
      <c r="AK26" s="175">
        <v>0.5</v>
      </c>
      <c r="AL26" s="175">
        <v>0.5</v>
      </c>
      <c r="AM26" s="175">
        <v>0.5</v>
      </c>
      <c r="AN26" s="175">
        <v>0.5</v>
      </c>
      <c r="AO26" s="175">
        <v>0.5</v>
      </c>
      <c r="AP26" s="175">
        <v>0.5</v>
      </c>
      <c r="AQ26" s="175">
        <v>0.5</v>
      </c>
      <c r="AR26" s="175">
        <v>0.5</v>
      </c>
      <c r="AS26" s="175">
        <v>0.5</v>
      </c>
      <c r="AT26" s="175">
        <v>0.5</v>
      </c>
      <c r="AU26" s="175">
        <v>0.5</v>
      </c>
      <c r="AV26" s="175">
        <v>0.5</v>
      </c>
      <c r="AW26" s="175">
        <v>0.5</v>
      </c>
      <c r="AX26" s="175">
        <v>0.5</v>
      </c>
      <c r="AY26" s="175">
        <v>0.5</v>
      </c>
      <c r="AZ26" s="175">
        <v>0.5</v>
      </c>
      <c r="BA26" s="175">
        <v>0.5</v>
      </c>
      <c r="BB26" s="175">
        <v>0.5</v>
      </c>
      <c r="BC26" s="175">
        <v>0.5</v>
      </c>
      <c r="BD26" s="175">
        <v>0.5</v>
      </c>
      <c r="BE26" s="175">
        <v>0.5</v>
      </c>
      <c r="BF26" s="175">
        <v>0.5</v>
      </c>
      <c r="BG26" s="175">
        <v>0.5</v>
      </c>
      <c r="BH26" s="175">
        <v>0.5</v>
      </c>
      <c r="BI26" s="175">
        <v>0.5</v>
      </c>
      <c r="BJ26" s="175">
        <v>0.5</v>
      </c>
      <c r="BK26" s="175">
        <v>0.5</v>
      </c>
      <c r="BL26" s="175">
        <v>0.5</v>
      </c>
      <c r="BM26" s="175">
        <v>0.5</v>
      </c>
      <c r="BN26" s="175">
        <v>0.5</v>
      </c>
      <c r="BO26" s="175">
        <v>0.5</v>
      </c>
      <c r="BP26" s="175">
        <v>0.5</v>
      </c>
      <c r="BQ26" s="175">
        <v>0.5</v>
      </c>
      <c r="BR26" s="175">
        <v>0.5</v>
      </c>
      <c r="BS26" s="175">
        <v>0.5</v>
      </c>
      <c r="BT26" s="175">
        <v>0.5</v>
      </c>
      <c r="BU26" s="175">
        <v>0.5</v>
      </c>
      <c r="BV26" s="175">
        <v>0.5</v>
      </c>
      <c r="BW26" s="175">
        <v>0.5</v>
      </c>
      <c r="BX26" s="175">
        <v>0.5</v>
      </c>
      <c r="BY26" s="175">
        <v>0.5</v>
      </c>
      <c r="BZ26" s="175">
        <v>0.5</v>
      </c>
      <c r="CA26" s="175">
        <v>0.5</v>
      </c>
      <c r="CB26" s="175">
        <v>0.5</v>
      </c>
      <c r="CC26" s="175">
        <v>0.5</v>
      </c>
      <c r="CD26" s="175">
        <v>0.5</v>
      </c>
      <c r="CE26" s="175">
        <v>0.5</v>
      </c>
      <c r="CF26" s="175">
        <v>0.5</v>
      </c>
      <c r="CG26" s="175">
        <v>0.5</v>
      </c>
      <c r="CH26" s="175">
        <v>0.5</v>
      </c>
      <c r="CI26" s="175">
        <v>0.5</v>
      </c>
      <c r="CJ26" s="175">
        <v>0.5</v>
      </c>
      <c r="CK26" s="175">
        <v>0.5</v>
      </c>
      <c r="CL26" s="175">
        <v>0.5</v>
      </c>
      <c r="CM26" s="175">
        <v>0.5</v>
      </c>
      <c r="CN26" s="175">
        <v>0.5</v>
      </c>
      <c r="CO26" s="175">
        <v>0.5</v>
      </c>
      <c r="CP26" s="175">
        <v>0</v>
      </c>
      <c r="CQ26" s="175">
        <v>0</v>
      </c>
    </row>
    <row r="27" spans="1:95" s="175" customFormat="1" ht="16" x14ac:dyDescent="0.2">
      <c r="A27" t="s">
        <v>192</v>
      </c>
      <c r="B27" s="175">
        <v>0</v>
      </c>
      <c r="C27" s="175">
        <v>0.5</v>
      </c>
      <c r="D27" s="175">
        <v>0.5</v>
      </c>
      <c r="E27" s="175">
        <v>0.5</v>
      </c>
      <c r="F27" s="175">
        <v>0.5</v>
      </c>
      <c r="G27" s="175">
        <v>0.5</v>
      </c>
      <c r="H27" s="175">
        <v>0.5</v>
      </c>
      <c r="I27" s="175">
        <v>0.5</v>
      </c>
      <c r="J27" s="175">
        <v>0.5</v>
      </c>
      <c r="K27" s="175">
        <v>0.5</v>
      </c>
      <c r="L27" s="175">
        <v>0.5</v>
      </c>
      <c r="M27" s="175">
        <v>0.5</v>
      </c>
      <c r="N27" s="175">
        <v>0.5</v>
      </c>
      <c r="O27" s="175">
        <v>0.5</v>
      </c>
      <c r="P27" s="175">
        <v>0.5</v>
      </c>
      <c r="Q27" s="175">
        <v>0.5</v>
      </c>
      <c r="R27" s="175">
        <v>0.5</v>
      </c>
      <c r="S27" s="175">
        <v>0.5</v>
      </c>
      <c r="T27" s="175">
        <v>0.5</v>
      </c>
      <c r="U27" s="175">
        <v>0.5</v>
      </c>
      <c r="V27" s="175">
        <v>0.5</v>
      </c>
      <c r="W27" s="175">
        <v>0.5</v>
      </c>
      <c r="X27" s="175">
        <v>0.5</v>
      </c>
      <c r="Y27" s="175">
        <v>0.5</v>
      </c>
      <c r="Z27" s="175">
        <v>0.5</v>
      </c>
      <c r="AA27" s="175">
        <v>0.5</v>
      </c>
      <c r="AB27" s="175">
        <v>0.5</v>
      </c>
      <c r="AC27" s="175">
        <v>0.5</v>
      </c>
      <c r="AD27" s="175">
        <v>0.5</v>
      </c>
      <c r="AE27" s="175">
        <v>0.5</v>
      </c>
      <c r="AF27" s="175">
        <v>0.5</v>
      </c>
      <c r="AG27" s="175">
        <v>0.5</v>
      </c>
      <c r="AH27" s="175">
        <v>0.5</v>
      </c>
      <c r="AI27" s="175">
        <v>0.5</v>
      </c>
      <c r="AJ27" s="175">
        <v>0.5</v>
      </c>
      <c r="AK27" s="175">
        <v>0.5</v>
      </c>
      <c r="AL27" s="175">
        <v>0.5</v>
      </c>
      <c r="AM27" s="175">
        <v>0.5</v>
      </c>
      <c r="AN27" s="175">
        <v>0.5</v>
      </c>
      <c r="AO27" s="175">
        <v>0.5</v>
      </c>
      <c r="AP27" s="175">
        <v>0.5</v>
      </c>
      <c r="AQ27" s="175">
        <v>0.5</v>
      </c>
      <c r="AR27" s="175">
        <v>0.5</v>
      </c>
      <c r="AS27" s="175">
        <v>0.5</v>
      </c>
      <c r="AT27" s="175">
        <v>0.5</v>
      </c>
      <c r="AU27" s="175">
        <v>0.5</v>
      </c>
      <c r="AV27" s="175">
        <v>0.5</v>
      </c>
      <c r="AW27" s="175">
        <v>0.5</v>
      </c>
      <c r="AX27" s="175">
        <v>0.5</v>
      </c>
      <c r="AY27" s="175">
        <v>0.5</v>
      </c>
      <c r="AZ27" s="175">
        <v>0.5</v>
      </c>
      <c r="BA27" s="175">
        <v>0.5</v>
      </c>
      <c r="BB27" s="175">
        <v>0.5</v>
      </c>
      <c r="BC27" s="175">
        <v>0.5</v>
      </c>
      <c r="BD27" s="175">
        <v>0.5</v>
      </c>
      <c r="BE27" s="175">
        <v>0.5</v>
      </c>
      <c r="BF27" s="175">
        <v>0.5</v>
      </c>
      <c r="BG27" s="175">
        <v>0.5</v>
      </c>
      <c r="BH27" s="175">
        <v>0.5</v>
      </c>
      <c r="BI27" s="175">
        <v>0.5</v>
      </c>
      <c r="BJ27" s="175">
        <v>0.5</v>
      </c>
      <c r="BK27" s="175">
        <v>0.5</v>
      </c>
      <c r="BL27" s="175">
        <v>0.5</v>
      </c>
      <c r="BM27" s="175">
        <v>0.5</v>
      </c>
      <c r="BN27" s="175">
        <v>0.5</v>
      </c>
      <c r="BO27" s="175">
        <v>0.5</v>
      </c>
      <c r="BP27" s="175">
        <v>0.5</v>
      </c>
      <c r="BQ27" s="175">
        <v>0.5</v>
      </c>
      <c r="BR27" s="175">
        <v>0.5</v>
      </c>
      <c r="BS27" s="175">
        <v>0.5</v>
      </c>
      <c r="BT27" s="175">
        <v>0.5</v>
      </c>
      <c r="BU27" s="175">
        <v>0.5</v>
      </c>
      <c r="BV27" s="175">
        <v>0.5</v>
      </c>
      <c r="BW27" s="175">
        <v>0.5</v>
      </c>
      <c r="BX27" s="175">
        <v>0.5</v>
      </c>
      <c r="BY27" s="175">
        <v>0.5</v>
      </c>
      <c r="BZ27" s="175">
        <v>0.5</v>
      </c>
      <c r="CA27" s="175">
        <v>0.5</v>
      </c>
      <c r="CB27" s="175">
        <v>0.5</v>
      </c>
      <c r="CC27" s="175">
        <v>0.5</v>
      </c>
      <c r="CD27" s="175">
        <v>0.5</v>
      </c>
      <c r="CE27" s="175">
        <v>0.5</v>
      </c>
      <c r="CF27" s="175">
        <v>0.5</v>
      </c>
      <c r="CG27" s="175">
        <v>0.5</v>
      </c>
      <c r="CH27" s="175">
        <v>0.5</v>
      </c>
      <c r="CI27" s="175">
        <v>0.5</v>
      </c>
      <c r="CJ27" s="175">
        <v>0.5</v>
      </c>
      <c r="CK27" s="175">
        <v>0.5</v>
      </c>
      <c r="CL27" s="175">
        <v>0.5</v>
      </c>
      <c r="CM27" s="175">
        <v>0.5</v>
      </c>
      <c r="CN27" s="175">
        <v>0.5</v>
      </c>
      <c r="CO27" s="175">
        <v>0.5</v>
      </c>
      <c r="CP27" s="175">
        <v>0</v>
      </c>
      <c r="CQ27" s="175">
        <v>0</v>
      </c>
    </row>
    <row r="28" spans="1:95" s="175" customFormat="1" ht="16" x14ac:dyDescent="0.2">
      <c r="A28" t="s">
        <v>193</v>
      </c>
      <c r="B28" s="175">
        <v>0</v>
      </c>
      <c r="C28" s="175">
        <v>0.5</v>
      </c>
      <c r="D28" s="175">
        <v>0.5</v>
      </c>
      <c r="E28" s="175">
        <v>0.5</v>
      </c>
      <c r="F28" s="175">
        <v>0.5</v>
      </c>
      <c r="G28" s="175">
        <v>0.5</v>
      </c>
      <c r="H28" s="175">
        <v>0.5</v>
      </c>
      <c r="I28" s="175">
        <v>0.5</v>
      </c>
      <c r="J28" s="175">
        <v>0.5</v>
      </c>
      <c r="K28" s="175">
        <v>0.5</v>
      </c>
      <c r="L28" s="175">
        <v>0.5</v>
      </c>
      <c r="M28" s="175">
        <v>0.5</v>
      </c>
      <c r="N28" s="175">
        <v>0.5</v>
      </c>
      <c r="O28" s="175">
        <v>0.5</v>
      </c>
      <c r="P28" s="175">
        <v>0.5</v>
      </c>
      <c r="Q28" s="175">
        <v>0.5</v>
      </c>
      <c r="R28" s="175">
        <v>0.5</v>
      </c>
      <c r="S28" s="175">
        <v>0.5</v>
      </c>
      <c r="T28" s="175">
        <v>0.5</v>
      </c>
      <c r="U28" s="175">
        <v>0.5</v>
      </c>
      <c r="V28" s="175">
        <v>0.5</v>
      </c>
      <c r="W28" s="175">
        <v>0.5</v>
      </c>
      <c r="X28" s="175">
        <v>0.5</v>
      </c>
      <c r="Y28" s="175">
        <v>0.5</v>
      </c>
      <c r="Z28" s="175">
        <v>0.5</v>
      </c>
      <c r="AA28" s="175">
        <v>0.5</v>
      </c>
      <c r="AB28" s="175">
        <v>0.5</v>
      </c>
      <c r="AC28" s="175">
        <v>0.5</v>
      </c>
      <c r="AD28" s="175">
        <v>0.5</v>
      </c>
      <c r="AE28" s="175">
        <v>0.5</v>
      </c>
      <c r="AF28" s="175">
        <v>0.5</v>
      </c>
      <c r="AG28" s="175">
        <v>0.5</v>
      </c>
      <c r="AH28" s="175">
        <v>0.5</v>
      </c>
      <c r="AI28" s="175">
        <v>0.5</v>
      </c>
      <c r="AJ28" s="175">
        <v>0.5</v>
      </c>
      <c r="AK28" s="175">
        <v>0.5</v>
      </c>
      <c r="AL28" s="175">
        <v>0.5</v>
      </c>
      <c r="AM28" s="175">
        <v>0.5</v>
      </c>
      <c r="AN28" s="175">
        <v>0.5</v>
      </c>
      <c r="AO28" s="175">
        <v>0.5</v>
      </c>
      <c r="AP28" s="175">
        <v>0.5</v>
      </c>
      <c r="AQ28" s="175">
        <v>0.5</v>
      </c>
      <c r="AR28" s="175">
        <v>0.5</v>
      </c>
      <c r="AS28" s="175">
        <v>0.5</v>
      </c>
      <c r="AT28" s="175">
        <v>0.5</v>
      </c>
      <c r="AU28" s="175">
        <v>0.5</v>
      </c>
      <c r="AV28" s="175">
        <v>0.5</v>
      </c>
      <c r="AW28" s="175">
        <v>0.5</v>
      </c>
      <c r="AX28" s="175">
        <v>0.5</v>
      </c>
      <c r="AY28" s="175">
        <v>0.5</v>
      </c>
      <c r="AZ28" s="175">
        <v>0.5</v>
      </c>
      <c r="BA28" s="175">
        <v>0.5</v>
      </c>
      <c r="BB28" s="175">
        <v>0.5</v>
      </c>
      <c r="BC28" s="175">
        <v>0.5</v>
      </c>
      <c r="BD28" s="175">
        <v>0.5</v>
      </c>
      <c r="BE28" s="175">
        <v>0.5</v>
      </c>
      <c r="BF28" s="175">
        <v>0.5</v>
      </c>
      <c r="BG28" s="175">
        <v>0.5</v>
      </c>
      <c r="BH28" s="175">
        <v>0.5</v>
      </c>
      <c r="BI28" s="175">
        <v>0.5</v>
      </c>
      <c r="BJ28" s="175">
        <v>0.5</v>
      </c>
      <c r="BK28" s="175">
        <v>0.5</v>
      </c>
      <c r="BL28" s="175">
        <v>0.5</v>
      </c>
      <c r="BM28" s="175">
        <v>0.5</v>
      </c>
      <c r="BN28" s="175">
        <v>0.5</v>
      </c>
      <c r="BO28" s="175">
        <v>0.5</v>
      </c>
      <c r="BP28" s="175">
        <v>0.5</v>
      </c>
      <c r="BQ28" s="175">
        <v>0.5</v>
      </c>
      <c r="BR28" s="175">
        <v>0.5</v>
      </c>
      <c r="BS28" s="175">
        <v>0.5</v>
      </c>
      <c r="BT28" s="175">
        <v>0.5</v>
      </c>
      <c r="BU28" s="175">
        <v>0.5</v>
      </c>
      <c r="BV28" s="175">
        <v>0.5</v>
      </c>
      <c r="BW28" s="175">
        <v>0.5</v>
      </c>
      <c r="BX28" s="175">
        <v>0.5</v>
      </c>
      <c r="BY28" s="175">
        <v>0.5</v>
      </c>
      <c r="BZ28" s="175">
        <v>0.5</v>
      </c>
      <c r="CA28" s="175">
        <v>0.5</v>
      </c>
      <c r="CB28" s="175">
        <v>0.5</v>
      </c>
      <c r="CC28" s="175">
        <v>0.5</v>
      </c>
      <c r="CD28" s="175">
        <v>0.5</v>
      </c>
      <c r="CE28" s="175">
        <v>0.5</v>
      </c>
      <c r="CF28" s="175">
        <v>0.5</v>
      </c>
      <c r="CG28" s="175">
        <v>0.5</v>
      </c>
      <c r="CH28" s="175">
        <v>0.5</v>
      </c>
      <c r="CI28" s="175">
        <v>0.5</v>
      </c>
      <c r="CJ28" s="175">
        <v>0.5</v>
      </c>
      <c r="CK28" s="175">
        <v>0.5</v>
      </c>
      <c r="CL28" s="175">
        <v>0.5</v>
      </c>
      <c r="CM28" s="175">
        <v>0.5</v>
      </c>
      <c r="CN28" s="175">
        <v>0.5</v>
      </c>
      <c r="CO28" s="175">
        <v>0.5</v>
      </c>
      <c r="CP28" s="175">
        <v>0</v>
      </c>
      <c r="CQ28" s="175">
        <v>0</v>
      </c>
    </row>
    <row r="29" spans="1:95" s="175" customFormat="1" ht="16" x14ac:dyDescent="0.2">
      <c r="A29" t="s">
        <v>247</v>
      </c>
      <c r="B29" s="175">
        <v>0</v>
      </c>
      <c r="C29" s="175">
        <v>0.5</v>
      </c>
      <c r="D29" s="175">
        <v>0.5</v>
      </c>
      <c r="E29" s="175">
        <v>0.5</v>
      </c>
      <c r="F29" s="175">
        <v>0.5</v>
      </c>
      <c r="G29" s="175">
        <v>0.5</v>
      </c>
      <c r="H29" s="175">
        <v>0.5</v>
      </c>
      <c r="I29" s="175">
        <v>0.5</v>
      </c>
      <c r="J29" s="175">
        <v>0.5</v>
      </c>
      <c r="K29" s="175">
        <v>0.5</v>
      </c>
      <c r="L29" s="175">
        <v>0.5</v>
      </c>
      <c r="M29" s="175">
        <v>0.5</v>
      </c>
      <c r="N29" s="175">
        <v>0.5</v>
      </c>
      <c r="O29" s="175">
        <v>0.5</v>
      </c>
      <c r="P29" s="175">
        <v>0.5</v>
      </c>
      <c r="Q29" s="175">
        <v>0.5</v>
      </c>
      <c r="R29" s="175">
        <v>0.5</v>
      </c>
      <c r="S29" s="175">
        <v>0.5</v>
      </c>
      <c r="T29" s="175">
        <v>0.5</v>
      </c>
      <c r="U29" s="175">
        <v>0.5</v>
      </c>
      <c r="V29" s="175">
        <v>0.5</v>
      </c>
      <c r="W29" s="175">
        <v>0.5</v>
      </c>
      <c r="X29" s="175">
        <v>0.5</v>
      </c>
      <c r="Y29" s="175">
        <v>0.5</v>
      </c>
      <c r="Z29" s="175">
        <v>0.5</v>
      </c>
      <c r="AA29" s="175">
        <v>0.5</v>
      </c>
      <c r="AB29" s="175">
        <v>0.5</v>
      </c>
      <c r="AC29" s="175">
        <v>0.5</v>
      </c>
      <c r="AD29" s="175">
        <v>0.5</v>
      </c>
      <c r="AE29" s="175">
        <v>0.5</v>
      </c>
      <c r="AF29" s="175">
        <v>0.5</v>
      </c>
      <c r="AG29" s="175">
        <v>0.5</v>
      </c>
      <c r="AH29" s="175">
        <v>0.5</v>
      </c>
      <c r="AI29" s="175">
        <v>0.5</v>
      </c>
      <c r="AJ29" s="175">
        <v>0.5</v>
      </c>
      <c r="AK29" s="175">
        <v>0.5</v>
      </c>
      <c r="AL29" s="175">
        <v>0.5</v>
      </c>
      <c r="AM29" s="175">
        <v>0.5</v>
      </c>
      <c r="AN29" s="175">
        <v>0.5</v>
      </c>
      <c r="AO29" s="175">
        <v>0.5</v>
      </c>
      <c r="AP29" s="175">
        <v>0.5</v>
      </c>
      <c r="AQ29" s="175">
        <v>0.5</v>
      </c>
      <c r="AR29" s="175">
        <v>0.5</v>
      </c>
      <c r="AS29" s="175">
        <v>0.5</v>
      </c>
      <c r="AT29" s="175">
        <v>0.5</v>
      </c>
      <c r="AU29" s="175">
        <v>0.5</v>
      </c>
      <c r="AV29" s="175">
        <v>0.5</v>
      </c>
      <c r="AW29" s="175">
        <v>0.5</v>
      </c>
      <c r="AX29" s="175">
        <v>0.5</v>
      </c>
      <c r="AY29" s="175">
        <v>0.5</v>
      </c>
      <c r="AZ29" s="175">
        <v>0.5</v>
      </c>
      <c r="BA29" s="175">
        <v>0.5</v>
      </c>
      <c r="BB29" s="175">
        <v>0.5</v>
      </c>
      <c r="BC29" s="175">
        <v>0.5</v>
      </c>
      <c r="BD29" s="175">
        <v>0.5</v>
      </c>
      <c r="BE29" s="175">
        <v>0.5</v>
      </c>
      <c r="BF29" s="175">
        <v>0.5</v>
      </c>
      <c r="BG29" s="175">
        <v>0.5</v>
      </c>
      <c r="BH29" s="175">
        <v>0.5</v>
      </c>
      <c r="BI29" s="175">
        <v>0.5</v>
      </c>
      <c r="BJ29" s="175">
        <v>0.5</v>
      </c>
      <c r="BK29" s="175">
        <v>0.5</v>
      </c>
      <c r="BL29" s="175">
        <v>0.5</v>
      </c>
      <c r="BM29" s="175">
        <v>0.5</v>
      </c>
      <c r="BN29" s="175">
        <v>0.5</v>
      </c>
      <c r="BO29" s="175">
        <v>0.5</v>
      </c>
      <c r="BP29" s="175">
        <v>0.5</v>
      </c>
      <c r="BQ29" s="175">
        <v>0.5</v>
      </c>
      <c r="BR29" s="175">
        <v>0.5</v>
      </c>
      <c r="BS29" s="175">
        <v>0.5</v>
      </c>
      <c r="BT29" s="175">
        <v>0.5</v>
      </c>
      <c r="BU29" s="175">
        <v>0.5</v>
      </c>
      <c r="BV29" s="175">
        <v>0.5</v>
      </c>
      <c r="BW29" s="175">
        <v>0.5</v>
      </c>
      <c r="BX29" s="175">
        <v>0.5</v>
      </c>
      <c r="BY29" s="175">
        <v>0.5</v>
      </c>
      <c r="BZ29" s="175">
        <v>0.5</v>
      </c>
      <c r="CA29" s="175">
        <v>0.5</v>
      </c>
      <c r="CB29" s="175">
        <v>0.5</v>
      </c>
      <c r="CC29" s="175">
        <v>0.5</v>
      </c>
      <c r="CD29" s="175">
        <v>0.5</v>
      </c>
      <c r="CE29" s="175">
        <v>0.5</v>
      </c>
      <c r="CF29" s="175">
        <v>0.5</v>
      </c>
      <c r="CG29" s="175">
        <v>0.5</v>
      </c>
      <c r="CH29" s="175">
        <v>0.5</v>
      </c>
      <c r="CI29" s="175">
        <v>0.5</v>
      </c>
      <c r="CJ29" s="175">
        <v>0.5</v>
      </c>
      <c r="CK29" s="175">
        <v>0.5</v>
      </c>
      <c r="CL29" s="175">
        <v>0.5</v>
      </c>
      <c r="CM29" s="175">
        <v>0.5</v>
      </c>
      <c r="CN29" s="175">
        <v>0.5</v>
      </c>
      <c r="CO29" s="175">
        <v>0.5</v>
      </c>
      <c r="CP29" s="175">
        <v>0</v>
      </c>
      <c r="CQ29" s="175">
        <v>0</v>
      </c>
    </row>
    <row r="30" spans="1:95" s="175" customFormat="1" ht="16" x14ac:dyDescent="0.2">
      <c r="A30" t="s">
        <v>248</v>
      </c>
      <c r="B30" s="175">
        <v>0</v>
      </c>
      <c r="C30" s="175">
        <v>0.5</v>
      </c>
      <c r="D30" s="175">
        <v>0.5</v>
      </c>
      <c r="E30" s="175">
        <v>0.5</v>
      </c>
      <c r="F30" s="175">
        <v>0.5</v>
      </c>
      <c r="G30" s="175">
        <v>0.5</v>
      </c>
      <c r="H30" s="175">
        <v>0.5</v>
      </c>
      <c r="I30" s="175">
        <v>0.5</v>
      </c>
      <c r="J30" s="175">
        <v>0.5</v>
      </c>
      <c r="K30" s="175">
        <v>0.5</v>
      </c>
      <c r="L30" s="175">
        <v>0.5</v>
      </c>
      <c r="M30" s="175">
        <v>0.5</v>
      </c>
      <c r="N30" s="175">
        <v>0.5</v>
      </c>
      <c r="O30" s="175">
        <v>0.5</v>
      </c>
      <c r="P30" s="175">
        <v>0.5</v>
      </c>
      <c r="Q30" s="175">
        <v>0.5</v>
      </c>
      <c r="R30" s="175">
        <v>0.5</v>
      </c>
      <c r="S30" s="175">
        <v>0.5</v>
      </c>
      <c r="T30" s="175">
        <v>0.5</v>
      </c>
      <c r="U30" s="175">
        <v>0.5</v>
      </c>
      <c r="V30" s="175">
        <v>0.5</v>
      </c>
      <c r="W30" s="175">
        <v>0.5</v>
      </c>
      <c r="X30" s="175">
        <v>0.5</v>
      </c>
      <c r="Y30" s="175">
        <v>0.5</v>
      </c>
      <c r="Z30" s="175">
        <v>0.5</v>
      </c>
      <c r="AA30" s="175">
        <v>0.5</v>
      </c>
      <c r="AB30" s="175">
        <v>0.5</v>
      </c>
      <c r="AC30" s="175">
        <v>0.5</v>
      </c>
      <c r="AD30" s="175">
        <v>0.5</v>
      </c>
      <c r="AE30" s="175">
        <v>0.5</v>
      </c>
      <c r="AF30" s="175">
        <v>0.5</v>
      </c>
      <c r="AG30" s="175">
        <v>0.5</v>
      </c>
      <c r="AH30" s="175">
        <v>0.5</v>
      </c>
      <c r="AI30" s="175">
        <v>0.5</v>
      </c>
      <c r="AJ30" s="175">
        <v>0.5</v>
      </c>
      <c r="AK30" s="175">
        <v>0.5</v>
      </c>
      <c r="AL30" s="175">
        <v>0.5</v>
      </c>
      <c r="AM30" s="175">
        <v>0.5</v>
      </c>
      <c r="AN30" s="175">
        <v>0.5</v>
      </c>
      <c r="AO30" s="175">
        <v>0.5</v>
      </c>
      <c r="AP30" s="175">
        <v>0.5</v>
      </c>
      <c r="AQ30" s="175">
        <v>0.5</v>
      </c>
      <c r="AR30" s="175">
        <v>0.5</v>
      </c>
      <c r="AS30" s="175">
        <v>0.5</v>
      </c>
      <c r="AT30" s="175">
        <v>0.5</v>
      </c>
      <c r="AU30" s="175">
        <v>0.5</v>
      </c>
      <c r="AV30" s="175">
        <v>0.5</v>
      </c>
      <c r="AW30" s="175">
        <v>0.5</v>
      </c>
      <c r="AX30" s="175">
        <v>0.5</v>
      </c>
      <c r="AY30" s="175">
        <v>0.5</v>
      </c>
      <c r="AZ30" s="175">
        <v>0.5</v>
      </c>
      <c r="BA30" s="175">
        <v>0.5</v>
      </c>
      <c r="BB30" s="175">
        <v>0.5</v>
      </c>
      <c r="BC30" s="175">
        <v>0.5</v>
      </c>
      <c r="BD30" s="175">
        <v>0.5</v>
      </c>
      <c r="BE30" s="175">
        <v>0.5</v>
      </c>
      <c r="BF30" s="175">
        <v>0.5</v>
      </c>
      <c r="BG30" s="175">
        <v>0.5</v>
      </c>
      <c r="BH30" s="175">
        <v>0.5</v>
      </c>
      <c r="BI30" s="175">
        <v>0.5</v>
      </c>
      <c r="BJ30" s="175">
        <v>0.5</v>
      </c>
      <c r="BK30" s="175">
        <v>0.5</v>
      </c>
      <c r="BL30" s="175">
        <v>0.5</v>
      </c>
      <c r="BM30" s="175">
        <v>0.5</v>
      </c>
      <c r="BN30" s="175">
        <v>0.5</v>
      </c>
      <c r="BO30" s="175">
        <v>0.5</v>
      </c>
      <c r="BP30" s="175">
        <v>0.5</v>
      </c>
      <c r="BQ30" s="175">
        <v>0.5</v>
      </c>
      <c r="BR30" s="175">
        <v>0.5</v>
      </c>
      <c r="BS30" s="175">
        <v>0.5</v>
      </c>
      <c r="BT30" s="175">
        <v>0.5</v>
      </c>
      <c r="BU30" s="175">
        <v>0.5</v>
      </c>
      <c r="BV30" s="175">
        <v>0.5</v>
      </c>
      <c r="BW30" s="175">
        <v>0.5</v>
      </c>
      <c r="BX30" s="175">
        <v>0.5</v>
      </c>
      <c r="BY30" s="175">
        <v>0.5</v>
      </c>
      <c r="BZ30" s="175">
        <v>0.5</v>
      </c>
      <c r="CA30" s="175">
        <v>0.5</v>
      </c>
      <c r="CB30" s="175">
        <v>0.5</v>
      </c>
      <c r="CC30" s="175">
        <v>0.5</v>
      </c>
      <c r="CD30" s="175">
        <v>0.5</v>
      </c>
      <c r="CE30" s="175">
        <v>0.5</v>
      </c>
      <c r="CF30" s="175">
        <v>0.5</v>
      </c>
      <c r="CG30" s="175">
        <v>0.5</v>
      </c>
      <c r="CH30" s="175">
        <v>0.5</v>
      </c>
      <c r="CI30" s="175">
        <v>0.5</v>
      </c>
      <c r="CJ30" s="175">
        <v>0.5</v>
      </c>
      <c r="CK30" s="175">
        <v>0.5</v>
      </c>
      <c r="CL30" s="175">
        <v>0.5</v>
      </c>
      <c r="CM30" s="175">
        <v>0.5</v>
      </c>
      <c r="CN30" s="175">
        <v>0.5</v>
      </c>
      <c r="CO30" s="175">
        <v>0.5</v>
      </c>
      <c r="CP30" s="175">
        <v>0</v>
      </c>
      <c r="CQ30" s="175">
        <v>0</v>
      </c>
    </row>
    <row r="31" spans="1:95" s="175" customFormat="1" ht="16" x14ac:dyDescent="0.2">
      <c r="A31" t="s">
        <v>249</v>
      </c>
      <c r="B31" s="175">
        <v>0</v>
      </c>
      <c r="C31" s="175">
        <v>0.5</v>
      </c>
      <c r="D31" s="175">
        <v>0.5</v>
      </c>
      <c r="E31" s="175">
        <v>0.5</v>
      </c>
      <c r="F31" s="175">
        <v>0.5</v>
      </c>
      <c r="G31" s="175">
        <v>0.5</v>
      </c>
      <c r="H31" s="175">
        <v>0.5</v>
      </c>
      <c r="I31" s="175">
        <v>0.5</v>
      </c>
      <c r="J31" s="175">
        <v>0.5</v>
      </c>
      <c r="K31" s="175">
        <v>0.5</v>
      </c>
      <c r="L31" s="175">
        <v>0.5</v>
      </c>
      <c r="M31" s="175">
        <v>0.5</v>
      </c>
      <c r="N31" s="175">
        <v>0.5</v>
      </c>
      <c r="O31" s="175">
        <v>0.5</v>
      </c>
      <c r="P31" s="175">
        <v>0.5</v>
      </c>
      <c r="Q31" s="175">
        <v>0.5</v>
      </c>
      <c r="R31" s="175">
        <v>0.5</v>
      </c>
      <c r="S31" s="175">
        <v>0.5</v>
      </c>
      <c r="T31" s="175">
        <v>0.5</v>
      </c>
      <c r="U31" s="175">
        <v>0.5</v>
      </c>
      <c r="V31" s="175">
        <v>0.5</v>
      </c>
      <c r="W31" s="175">
        <v>0.5</v>
      </c>
      <c r="X31" s="175">
        <v>0.5</v>
      </c>
      <c r="Y31" s="175">
        <v>0.5</v>
      </c>
      <c r="Z31" s="175">
        <v>0.5</v>
      </c>
      <c r="AA31" s="175">
        <v>0.5</v>
      </c>
      <c r="AB31" s="175">
        <v>0.5</v>
      </c>
      <c r="AC31" s="175">
        <v>0.5</v>
      </c>
      <c r="AD31" s="175">
        <v>0.5</v>
      </c>
      <c r="AE31" s="175">
        <v>0.5</v>
      </c>
      <c r="AF31" s="175">
        <v>0.5</v>
      </c>
      <c r="AG31" s="175">
        <v>0.5</v>
      </c>
      <c r="AH31" s="175">
        <v>0.5</v>
      </c>
      <c r="AI31" s="175">
        <v>0.5</v>
      </c>
      <c r="AJ31" s="175">
        <v>0.5</v>
      </c>
      <c r="AK31" s="175">
        <v>0.5</v>
      </c>
      <c r="AL31" s="175">
        <v>0.5</v>
      </c>
      <c r="AM31" s="175">
        <v>0.5</v>
      </c>
      <c r="AN31" s="175">
        <v>0.5</v>
      </c>
      <c r="AO31" s="175">
        <v>0.5</v>
      </c>
      <c r="AP31" s="175">
        <v>0.5</v>
      </c>
      <c r="AQ31" s="175">
        <v>0.5</v>
      </c>
      <c r="AR31" s="175">
        <v>0.5</v>
      </c>
      <c r="AS31" s="175">
        <v>0.5</v>
      </c>
      <c r="AT31" s="175">
        <v>0.5</v>
      </c>
      <c r="AU31" s="175">
        <v>0.5</v>
      </c>
      <c r="AV31" s="175">
        <v>0.5</v>
      </c>
      <c r="AW31" s="175">
        <v>0.5</v>
      </c>
      <c r="AX31" s="175">
        <v>0.5</v>
      </c>
      <c r="AY31" s="175">
        <v>0.5</v>
      </c>
      <c r="AZ31" s="175">
        <v>0.5</v>
      </c>
      <c r="BA31" s="175">
        <v>0.5</v>
      </c>
      <c r="BB31" s="175">
        <v>0.5</v>
      </c>
      <c r="BC31" s="175">
        <v>0.5</v>
      </c>
      <c r="BD31" s="175">
        <v>0.5</v>
      </c>
      <c r="BE31" s="175">
        <v>0.5</v>
      </c>
      <c r="BF31" s="175">
        <v>0.5</v>
      </c>
      <c r="BG31" s="175">
        <v>0.5</v>
      </c>
      <c r="BH31" s="175">
        <v>0.5</v>
      </c>
      <c r="BI31" s="175">
        <v>0.5</v>
      </c>
      <c r="BJ31" s="175">
        <v>0.5</v>
      </c>
      <c r="BK31" s="175">
        <v>0.5</v>
      </c>
      <c r="BL31" s="175">
        <v>0.5</v>
      </c>
      <c r="BM31" s="175">
        <v>0.5</v>
      </c>
      <c r="BN31" s="175">
        <v>0.5</v>
      </c>
      <c r="BO31" s="175">
        <v>0.5</v>
      </c>
      <c r="BP31" s="175">
        <v>0.5</v>
      </c>
      <c r="BQ31" s="175">
        <v>0.5</v>
      </c>
      <c r="BR31" s="175">
        <v>0.5</v>
      </c>
      <c r="BS31" s="175">
        <v>0.5</v>
      </c>
      <c r="BT31" s="175">
        <v>0.5</v>
      </c>
      <c r="BU31" s="175">
        <v>0.5</v>
      </c>
      <c r="BV31" s="175">
        <v>0.5</v>
      </c>
      <c r="BW31" s="175">
        <v>0.5</v>
      </c>
      <c r="BX31" s="175">
        <v>0.5</v>
      </c>
      <c r="BY31" s="175">
        <v>0.5</v>
      </c>
      <c r="BZ31" s="175">
        <v>0.5</v>
      </c>
      <c r="CA31" s="175">
        <v>0.5</v>
      </c>
      <c r="CB31" s="175">
        <v>0.5</v>
      </c>
      <c r="CC31" s="175">
        <v>0.5</v>
      </c>
      <c r="CD31" s="175">
        <v>0.5</v>
      </c>
      <c r="CE31" s="175">
        <v>0.5</v>
      </c>
      <c r="CF31" s="175">
        <v>0.5</v>
      </c>
      <c r="CG31" s="175">
        <v>0.5</v>
      </c>
      <c r="CH31" s="175">
        <v>0.5</v>
      </c>
      <c r="CI31" s="175">
        <v>0.5</v>
      </c>
      <c r="CJ31" s="175">
        <v>0.5</v>
      </c>
      <c r="CK31" s="175">
        <v>0.5</v>
      </c>
      <c r="CL31" s="175">
        <v>0.5</v>
      </c>
      <c r="CM31" s="175">
        <v>0.5</v>
      </c>
      <c r="CN31" s="175">
        <v>0.5</v>
      </c>
      <c r="CO31" s="175">
        <v>0.5</v>
      </c>
      <c r="CP31" s="175">
        <v>0</v>
      </c>
      <c r="CQ31" s="175">
        <v>0</v>
      </c>
    </row>
    <row r="32" spans="1:95" s="175" customFormat="1" ht="16" x14ac:dyDescent="0.2">
      <c r="A32" t="s">
        <v>250</v>
      </c>
      <c r="B32" s="175">
        <v>0</v>
      </c>
      <c r="C32" s="175">
        <v>0.5</v>
      </c>
      <c r="D32" s="175">
        <v>0.5</v>
      </c>
      <c r="E32" s="175">
        <v>0.5</v>
      </c>
      <c r="F32" s="175">
        <v>0.5</v>
      </c>
      <c r="G32" s="175">
        <v>0.5</v>
      </c>
      <c r="H32" s="175">
        <v>0.5</v>
      </c>
      <c r="I32" s="175">
        <v>0.5</v>
      </c>
      <c r="J32" s="175">
        <v>0.5</v>
      </c>
      <c r="K32" s="175">
        <v>0.5</v>
      </c>
      <c r="L32" s="175">
        <v>0.5</v>
      </c>
      <c r="M32" s="175">
        <v>0.5</v>
      </c>
      <c r="N32" s="175">
        <v>0.5</v>
      </c>
      <c r="O32" s="175">
        <v>0.5</v>
      </c>
      <c r="P32" s="175">
        <v>0.5</v>
      </c>
      <c r="Q32" s="175">
        <v>0.5</v>
      </c>
      <c r="R32" s="175">
        <v>0.5</v>
      </c>
      <c r="S32" s="175">
        <v>0.5</v>
      </c>
      <c r="T32" s="175">
        <v>0.5</v>
      </c>
      <c r="U32" s="175">
        <v>0.5</v>
      </c>
      <c r="V32" s="175">
        <v>0.5</v>
      </c>
      <c r="W32" s="175">
        <v>0.5</v>
      </c>
      <c r="X32" s="175">
        <v>0.5</v>
      </c>
      <c r="Y32" s="175">
        <v>0.5</v>
      </c>
      <c r="Z32" s="175">
        <v>0.5</v>
      </c>
      <c r="AA32" s="175">
        <v>0.5</v>
      </c>
      <c r="AB32" s="175">
        <v>0.5</v>
      </c>
      <c r="AC32" s="175">
        <v>0.5</v>
      </c>
      <c r="AD32" s="175">
        <v>0.5</v>
      </c>
      <c r="AE32" s="175">
        <v>0.5</v>
      </c>
      <c r="AF32" s="175">
        <v>0.5</v>
      </c>
      <c r="AG32" s="175">
        <v>0.5</v>
      </c>
      <c r="AH32" s="175">
        <v>0.5</v>
      </c>
      <c r="AI32" s="175">
        <v>0.5</v>
      </c>
      <c r="AJ32" s="175">
        <v>0.5</v>
      </c>
      <c r="AK32" s="175">
        <v>0.5</v>
      </c>
      <c r="AL32" s="175">
        <v>0.5</v>
      </c>
      <c r="AM32" s="175">
        <v>0.5</v>
      </c>
      <c r="AN32" s="175">
        <v>0.5</v>
      </c>
      <c r="AO32" s="175">
        <v>0.5</v>
      </c>
      <c r="AP32" s="175">
        <v>0.5</v>
      </c>
      <c r="AQ32" s="175">
        <v>0.5</v>
      </c>
      <c r="AR32" s="175">
        <v>0.5</v>
      </c>
      <c r="AS32" s="175">
        <v>0.5</v>
      </c>
      <c r="AT32" s="175">
        <v>0.5</v>
      </c>
      <c r="AU32" s="175">
        <v>0.5</v>
      </c>
      <c r="AV32" s="175">
        <v>0.5</v>
      </c>
      <c r="AW32" s="175">
        <v>0.5</v>
      </c>
      <c r="AX32" s="175">
        <v>0.5</v>
      </c>
      <c r="AY32" s="175">
        <v>0.5</v>
      </c>
      <c r="AZ32" s="175">
        <v>0.5</v>
      </c>
      <c r="BA32" s="175">
        <v>0.5</v>
      </c>
      <c r="BB32" s="175">
        <v>0.5</v>
      </c>
      <c r="BC32" s="175">
        <v>0.5</v>
      </c>
      <c r="BD32" s="175">
        <v>0.5</v>
      </c>
      <c r="BE32" s="175">
        <v>0.5</v>
      </c>
      <c r="BF32" s="175">
        <v>0.5</v>
      </c>
      <c r="BG32" s="175">
        <v>0.5</v>
      </c>
      <c r="BH32" s="175">
        <v>0.5</v>
      </c>
      <c r="BI32" s="175">
        <v>0.5</v>
      </c>
      <c r="BJ32" s="175">
        <v>0.5</v>
      </c>
      <c r="BK32" s="175">
        <v>0.5</v>
      </c>
      <c r="BL32" s="175">
        <v>0.5</v>
      </c>
      <c r="BM32" s="175">
        <v>0.5</v>
      </c>
      <c r="BN32" s="175">
        <v>0.5</v>
      </c>
      <c r="BO32" s="175">
        <v>0.5</v>
      </c>
      <c r="BP32" s="175">
        <v>0.5</v>
      </c>
      <c r="BQ32" s="175">
        <v>0.5</v>
      </c>
      <c r="BR32" s="175">
        <v>0.5</v>
      </c>
      <c r="BS32" s="175">
        <v>0.5</v>
      </c>
      <c r="BT32" s="175">
        <v>0.5</v>
      </c>
      <c r="BU32" s="175">
        <v>0.5</v>
      </c>
      <c r="BV32" s="175">
        <v>0.5</v>
      </c>
      <c r="BW32" s="175">
        <v>0.5</v>
      </c>
      <c r="BX32" s="175">
        <v>0.5</v>
      </c>
      <c r="BY32" s="175">
        <v>0.5</v>
      </c>
      <c r="BZ32" s="175">
        <v>0.5</v>
      </c>
      <c r="CA32" s="175">
        <v>0.5</v>
      </c>
      <c r="CB32" s="175">
        <v>0.5</v>
      </c>
      <c r="CC32" s="175">
        <v>0.5</v>
      </c>
      <c r="CD32" s="175">
        <v>0.5</v>
      </c>
      <c r="CE32" s="175">
        <v>0.5</v>
      </c>
      <c r="CF32" s="175">
        <v>0.5</v>
      </c>
      <c r="CG32" s="175">
        <v>0.5</v>
      </c>
      <c r="CH32" s="175">
        <v>0.5</v>
      </c>
      <c r="CI32" s="175">
        <v>0.5</v>
      </c>
      <c r="CJ32" s="175">
        <v>0.5</v>
      </c>
      <c r="CK32" s="175">
        <v>0.5</v>
      </c>
      <c r="CL32" s="175">
        <v>0.5</v>
      </c>
      <c r="CM32" s="175">
        <v>0.5</v>
      </c>
      <c r="CN32" s="175">
        <v>0.5</v>
      </c>
      <c r="CO32" s="175">
        <v>0.5</v>
      </c>
      <c r="CP32" s="175">
        <v>0</v>
      </c>
      <c r="CQ32" s="175">
        <v>0</v>
      </c>
    </row>
    <row r="33" spans="1:95" s="175" customFormat="1" ht="16" x14ac:dyDescent="0.2">
      <c r="A33" t="s">
        <v>251</v>
      </c>
      <c r="B33" s="175">
        <v>0</v>
      </c>
      <c r="C33" s="175">
        <v>0.5</v>
      </c>
      <c r="D33" s="175">
        <v>0.5</v>
      </c>
      <c r="E33" s="175">
        <v>0.5</v>
      </c>
      <c r="F33" s="175">
        <v>0.5</v>
      </c>
      <c r="G33" s="175">
        <v>0.5</v>
      </c>
      <c r="H33" s="175">
        <v>0.5</v>
      </c>
      <c r="I33" s="175">
        <v>0.5</v>
      </c>
      <c r="J33" s="175">
        <v>0.5</v>
      </c>
      <c r="K33" s="175">
        <v>0.5</v>
      </c>
      <c r="L33" s="175">
        <v>0.5</v>
      </c>
      <c r="M33" s="175">
        <v>0.5</v>
      </c>
      <c r="N33" s="175">
        <v>0.5</v>
      </c>
      <c r="O33" s="175">
        <v>0.5</v>
      </c>
      <c r="P33" s="175">
        <v>0.5</v>
      </c>
      <c r="Q33" s="175">
        <v>0.5</v>
      </c>
      <c r="R33" s="175">
        <v>0.5</v>
      </c>
      <c r="S33" s="175">
        <v>0.5</v>
      </c>
      <c r="T33" s="175">
        <v>0.5</v>
      </c>
      <c r="U33" s="175">
        <v>0.5</v>
      </c>
      <c r="V33" s="175">
        <v>0.5</v>
      </c>
      <c r="W33" s="175">
        <v>0.5</v>
      </c>
      <c r="X33" s="175">
        <v>0.5</v>
      </c>
      <c r="Y33" s="175">
        <v>0.5</v>
      </c>
      <c r="Z33" s="175">
        <v>0.5</v>
      </c>
      <c r="AA33" s="175">
        <v>0.5</v>
      </c>
      <c r="AB33" s="175">
        <v>0.5</v>
      </c>
      <c r="AC33" s="175">
        <v>0.5</v>
      </c>
      <c r="AD33" s="175">
        <v>0.5</v>
      </c>
      <c r="AE33" s="175">
        <v>0.5</v>
      </c>
      <c r="AF33" s="175">
        <v>0.5</v>
      </c>
      <c r="AG33" s="175">
        <v>0.5</v>
      </c>
      <c r="AH33" s="175">
        <v>0.5</v>
      </c>
      <c r="AI33" s="175">
        <v>0.5</v>
      </c>
      <c r="AJ33" s="175">
        <v>0.5</v>
      </c>
      <c r="AK33" s="175">
        <v>0.5</v>
      </c>
      <c r="AL33" s="175">
        <v>0.5</v>
      </c>
      <c r="AM33" s="175">
        <v>0.5</v>
      </c>
      <c r="AN33" s="175">
        <v>0.5</v>
      </c>
      <c r="AO33" s="175">
        <v>0.5</v>
      </c>
      <c r="AP33" s="175">
        <v>0.5</v>
      </c>
      <c r="AQ33" s="175">
        <v>0.5</v>
      </c>
      <c r="AR33" s="175">
        <v>0.5</v>
      </c>
      <c r="AS33" s="175">
        <v>0.5</v>
      </c>
      <c r="AT33" s="175">
        <v>0.5</v>
      </c>
      <c r="AU33" s="175">
        <v>0.5</v>
      </c>
      <c r="AV33" s="175">
        <v>0.5</v>
      </c>
      <c r="AW33" s="175">
        <v>0.5</v>
      </c>
      <c r="AX33" s="175">
        <v>0.5</v>
      </c>
      <c r="AY33" s="175">
        <v>0.5</v>
      </c>
      <c r="AZ33" s="175">
        <v>0.5</v>
      </c>
      <c r="BA33" s="175">
        <v>0.5</v>
      </c>
      <c r="BB33" s="175">
        <v>0.5</v>
      </c>
      <c r="BC33" s="175">
        <v>0.5</v>
      </c>
      <c r="BD33" s="175">
        <v>0.5</v>
      </c>
      <c r="BE33" s="175">
        <v>0.5</v>
      </c>
      <c r="BF33" s="175">
        <v>0.5</v>
      </c>
      <c r="BG33" s="175">
        <v>0.5</v>
      </c>
      <c r="BH33" s="175">
        <v>0.5</v>
      </c>
      <c r="BI33" s="175">
        <v>0.5</v>
      </c>
      <c r="BJ33" s="175">
        <v>0.5</v>
      </c>
      <c r="BK33" s="175">
        <v>0.5</v>
      </c>
      <c r="BL33" s="175">
        <v>0.5</v>
      </c>
      <c r="BM33" s="175">
        <v>0.5</v>
      </c>
      <c r="BN33" s="175">
        <v>0.5</v>
      </c>
      <c r="BO33" s="175">
        <v>0.5</v>
      </c>
      <c r="BP33" s="175">
        <v>0.5</v>
      </c>
      <c r="BQ33" s="175">
        <v>0.5</v>
      </c>
      <c r="BR33" s="175">
        <v>0.5</v>
      </c>
      <c r="BS33" s="175">
        <v>0.5</v>
      </c>
      <c r="BT33" s="175">
        <v>0.5</v>
      </c>
      <c r="BU33" s="175">
        <v>0.5</v>
      </c>
      <c r="BV33" s="175">
        <v>0.5</v>
      </c>
      <c r="BW33" s="175">
        <v>0.5</v>
      </c>
      <c r="BX33" s="175">
        <v>0.5</v>
      </c>
      <c r="BY33" s="175">
        <v>0.5</v>
      </c>
      <c r="BZ33" s="175">
        <v>0.5</v>
      </c>
      <c r="CA33" s="175">
        <v>0.5</v>
      </c>
      <c r="CB33" s="175">
        <v>0.5</v>
      </c>
      <c r="CC33" s="175">
        <v>0.5</v>
      </c>
      <c r="CD33" s="175">
        <v>0.5</v>
      </c>
      <c r="CE33" s="175">
        <v>0.5</v>
      </c>
      <c r="CF33" s="175">
        <v>0.5</v>
      </c>
      <c r="CG33" s="175">
        <v>0.5</v>
      </c>
      <c r="CH33" s="175">
        <v>0.5</v>
      </c>
      <c r="CI33" s="175">
        <v>0.5</v>
      </c>
      <c r="CJ33" s="175">
        <v>0.5</v>
      </c>
      <c r="CK33" s="175">
        <v>0.5</v>
      </c>
      <c r="CL33" s="175">
        <v>0.5</v>
      </c>
      <c r="CM33" s="175">
        <v>0.5</v>
      </c>
      <c r="CN33" s="175">
        <v>0.5</v>
      </c>
      <c r="CO33" s="175">
        <v>0.5</v>
      </c>
      <c r="CP33" s="175">
        <v>0</v>
      </c>
      <c r="CQ33" s="175">
        <v>0</v>
      </c>
    </row>
    <row r="34" spans="1:95" s="175" customFormat="1" ht="16" x14ac:dyDescent="0.2">
      <c r="A34" t="s">
        <v>252</v>
      </c>
      <c r="B34" s="175">
        <v>0</v>
      </c>
      <c r="C34" s="175">
        <v>0.5</v>
      </c>
      <c r="D34" s="175">
        <v>0.5</v>
      </c>
      <c r="E34" s="175">
        <v>0.5</v>
      </c>
      <c r="F34" s="175">
        <v>0.5</v>
      </c>
      <c r="G34" s="175">
        <v>0.5</v>
      </c>
      <c r="H34" s="175">
        <v>0.5</v>
      </c>
      <c r="I34" s="175">
        <v>0.5</v>
      </c>
      <c r="J34" s="175">
        <v>0.5</v>
      </c>
      <c r="K34" s="175">
        <v>0.5</v>
      </c>
      <c r="L34" s="175">
        <v>0.5</v>
      </c>
      <c r="M34" s="175">
        <v>0.5</v>
      </c>
      <c r="N34" s="175">
        <v>0.5</v>
      </c>
      <c r="O34" s="175">
        <v>0.5</v>
      </c>
      <c r="P34" s="175">
        <v>0.5</v>
      </c>
      <c r="Q34" s="175">
        <v>0.5</v>
      </c>
      <c r="R34" s="175">
        <v>0.5</v>
      </c>
      <c r="S34" s="175">
        <v>0.5</v>
      </c>
      <c r="T34" s="175">
        <v>0.5</v>
      </c>
      <c r="U34" s="175">
        <v>0.5</v>
      </c>
      <c r="V34" s="175">
        <v>0.5</v>
      </c>
      <c r="W34" s="175">
        <v>0.5</v>
      </c>
      <c r="X34" s="175">
        <v>0.5</v>
      </c>
      <c r="Y34" s="175">
        <v>0.5</v>
      </c>
      <c r="Z34" s="175">
        <v>0.5</v>
      </c>
      <c r="AA34" s="175">
        <v>0.5</v>
      </c>
      <c r="AB34" s="175">
        <v>0.5</v>
      </c>
      <c r="AC34" s="175">
        <v>0.5</v>
      </c>
      <c r="AD34" s="175">
        <v>0.5</v>
      </c>
      <c r="AE34" s="175">
        <v>0.5</v>
      </c>
      <c r="AF34" s="175">
        <v>0.5</v>
      </c>
      <c r="AG34" s="175">
        <v>0.5</v>
      </c>
      <c r="AH34" s="175">
        <v>0.5</v>
      </c>
      <c r="AI34" s="175">
        <v>0.5</v>
      </c>
      <c r="AJ34" s="175">
        <v>0.5</v>
      </c>
      <c r="AK34" s="175">
        <v>0.5</v>
      </c>
      <c r="AL34" s="175">
        <v>0.5</v>
      </c>
      <c r="AM34" s="175">
        <v>0.5</v>
      </c>
      <c r="AN34" s="175">
        <v>0.5</v>
      </c>
      <c r="AO34" s="175">
        <v>0.5</v>
      </c>
      <c r="AP34" s="175">
        <v>0.5</v>
      </c>
      <c r="AQ34" s="175">
        <v>0.5</v>
      </c>
      <c r="AR34" s="175">
        <v>0.5</v>
      </c>
      <c r="AS34" s="175">
        <v>0.5</v>
      </c>
      <c r="AT34" s="175">
        <v>0.5</v>
      </c>
      <c r="AU34" s="175">
        <v>0.5</v>
      </c>
      <c r="AV34" s="175">
        <v>0.5</v>
      </c>
      <c r="AW34" s="175">
        <v>0.5</v>
      </c>
      <c r="AX34" s="175">
        <v>0.5</v>
      </c>
      <c r="AY34" s="175">
        <v>0.5</v>
      </c>
      <c r="AZ34" s="175">
        <v>0.5</v>
      </c>
      <c r="BA34" s="175">
        <v>0.5</v>
      </c>
      <c r="BB34" s="175">
        <v>0.5</v>
      </c>
      <c r="BC34" s="175">
        <v>0.5</v>
      </c>
      <c r="BD34" s="175">
        <v>0.5</v>
      </c>
      <c r="BE34" s="175">
        <v>0.5</v>
      </c>
      <c r="BF34" s="175">
        <v>0.5</v>
      </c>
      <c r="BG34" s="175">
        <v>0.5</v>
      </c>
      <c r="BH34" s="175">
        <v>0.5</v>
      </c>
      <c r="BI34" s="175">
        <v>0.5</v>
      </c>
      <c r="BJ34" s="175">
        <v>0.5</v>
      </c>
      <c r="BK34" s="175">
        <v>0.5</v>
      </c>
      <c r="BL34" s="175">
        <v>0.5</v>
      </c>
      <c r="BM34" s="175">
        <v>0.5</v>
      </c>
      <c r="BN34" s="175">
        <v>0.5</v>
      </c>
      <c r="BO34" s="175">
        <v>0.5</v>
      </c>
      <c r="BP34" s="175">
        <v>0.5</v>
      </c>
      <c r="BQ34" s="175">
        <v>0.5</v>
      </c>
      <c r="BR34" s="175">
        <v>0.5</v>
      </c>
      <c r="BS34" s="175">
        <v>0.5</v>
      </c>
      <c r="BT34" s="175">
        <v>0.5</v>
      </c>
      <c r="BU34" s="175">
        <v>0.5</v>
      </c>
      <c r="BV34" s="175">
        <v>0.5</v>
      </c>
      <c r="BW34" s="175">
        <v>0.5</v>
      </c>
      <c r="BX34" s="175">
        <v>0.5</v>
      </c>
      <c r="BY34" s="175">
        <v>0.5</v>
      </c>
      <c r="BZ34" s="175">
        <v>0.5</v>
      </c>
      <c r="CA34" s="175">
        <v>0.5</v>
      </c>
      <c r="CB34" s="175">
        <v>0.5</v>
      </c>
      <c r="CC34" s="175">
        <v>0.5</v>
      </c>
      <c r="CD34" s="175">
        <v>0.5</v>
      </c>
      <c r="CE34" s="175">
        <v>0.5</v>
      </c>
      <c r="CF34" s="175">
        <v>0.5</v>
      </c>
      <c r="CG34" s="175">
        <v>0.5</v>
      </c>
      <c r="CH34" s="175">
        <v>0.5</v>
      </c>
      <c r="CI34" s="175">
        <v>0.5</v>
      </c>
      <c r="CJ34" s="175">
        <v>0.5</v>
      </c>
      <c r="CK34" s="175">
        <v>0.5</v>
      </c>
      <c r="CL34" s="175">
        <v>0.5</v>
      </c>
      <c r="CM34" s="175">
        <v>0.5</v>
      </c>
      <c r="CN34" s="175">
        <v>0.5</v>
      </c>
      <c r="CO34" s="175">
        <v>0.5</v>
      </c>
      <c r="CP34" s="175">
        <v>0</v>
      </c>
      <c r="CQ34" s="175">
        <v>0</v>
      </c>
    </row>
    <row r="35" spans="1:95" s="175" customFormat="1" ht="16" x14ac:dyDescent="0.2">
      <c r="A35" t="s">
        <v>253</v>
      </c>
      <c r="B35" s="175">
        <v>0</v>
      </c>
      <c r="C35" s="175">
        <v>0.5</v>
      </c>
      <c r="D35" s="175">
        <v>0.5</v>
      </c>
      <c r="E35" s="175">
        <v>0.5</v>
      </c>
      <c r="F35" s="175">
        <v>0.5</v>
      </c>
      <c r="G35" s="175">
        <v>0.5</v>
      </c>
      <c r="H35" s="175">
        <v>0.5</v>
      </c>
      <c r="I35" s="175">
        <v>0.5</v>
      </c>
      <c r="J35" s="175">
        <v>0.5</v>
      </c>
      <c r="K35" s="175">
        <v>0.5</v>
      </c>
      <c r="L35" s="175">
        <v>0.5</v>
      </c>
      <c r="M35" s="175">
        <v>0.5</v>
      </c>
      <c r="N35" s="175">
        <v>0.5</v>
      </c>
      <c r="O35" s="175">
        <v>0.5</v>
      </c>
      <c r="P35" s="175">
        <v>0.5</v>
      </c>
      <c r="Q35" s="175">
        <v>0.5</v>
      </c>
      <c r="R35" s="175">
        <v>0.5</v>
      </c>
      <c r="S35" s="175">
        <v>0.5</v>
      </c>
      <c r="T35" s="175">
        <v>0.5</v>
      </c>
      <c r="U35" s="175">
        <v>0.5</v>
      </c>
      <c r="V35" s="175">
        <v>0.5</v>
      </c>
      <c r="W35" s="175">
        <v>0.5</v>
      </c>
      <c r="X35" s="175">
        <v>0.5</v>
      </c>
      <c r="Y35" s="175">
        <v>0.5</v>
      </c>
      <c r="Z35" s="175">
        <v>0.5</v>
      </c>
      <c r="AA35" s="175">
        <v>0.5</v>
      </c>
      <c r="AB35" s="175">
        <v>0.5</v>
      </c>
      <c r="AC35" s="175">
        <v>0.5</v>
      </c>
      <c r="AD35" s="175">
        <v>0.5</v>
      </c>
      <c r="AE35" s="175">
        <v>0.5</v>
      </c>
      <c r="AF35" s="175">
        <v>0.5</v>
      </c>
      <c r="AG35" s="175">
        <v>0.5</v>
      </c>
      <c r="AH35" s="175">
        <v>0.5</v>
      </c>
      <c r="AI35" s="175">
        <v>0.5</v>
      </c>
      <c r="AJ35" s="175">
        <v>0.5</v>
      </c>
      <c r="AK35" s="175">
        <v>0.5</v>
      </c>
      <c r="AL35" s="175">
        <v>0.5</v>
      </c>
      <c r="AM35" s="175">
        <v>0.5</v>
      </c>
      <c r="AN35" s="175">
        <v>0.5</v>
      </c>
      <c r="AO35" s="175">
        <v>0.5</v>
      </c>
      <c r="AP35" s="175">
        <v>0.5</v>
      </c>
      <c r="AQ35" s="175">
        <v>0.5</v>
      </c>
      <c r="AR35" s="175">
        <v>0.5</v>
      </c>
      <c r="AS35" s="175">
        <v>0.5</v>
      </c>
      <c r="AT35" s="175">
        <v>0.5</v>
      </c>
      <c r="AU35" s="175">
        <v>0.5</v>
      </c>
      <c r="AV35" s="175">
        <v>0.5</v>
      </c>
      <c r="AW35" s="175">
        <v>0.5</v>
      </c>
      <c r="AX35" s="175">
        <v>0.5</v>
      </c>
      <c r="AY35" s="175">
        <v>0.5</v>
      </c>
      <c r="AZ35" s="175">
        <v>0.5</v>
      </c>
      <c r="BA35" s="175">
        <v>0.5</v>
      </c>
      <c r="BB35" s="175">
        <v>0.5</v>
      </c>
      <c r="BC35" s="175">
        <v>0.5</v>
      </c>
      <c r="BD35" s="175">
        <v>0.5</v>
      </c>
      <c r="BE35" s="175">
        <v>0.5</v>
      </c>
      <c r="BF35" s="175">
        <v>0.5</v>
      </c>
      <c r="BG35" s="175">
        <v>0.5</v>
      </c>
      <c r="BH35" s="175">
        <v>0.5</v>
      </c>
      <c r="BI35" s="175">
        <v>0.5</v>
      </c>
      <c r="BJ35" s="175">
        <v>0.5</v>
      </c>
      <c r="BK35" s="175">
        <v>0.5</v>
      </c>
      <c r="BL35" s="175">
        <v>0.5</v>
      </c>
      <c r="BM35" s="175">
        <v>0.5</v>
      </c>
      <c r="BN35" s="175">
        <v>0.5</v>
      </c>
      <c r="BO35" s="175">
        <v>0.5</v>
      </c>
      <c r="BP35" s="175">
        <v>0.5</v>
      </c>
      <c r="BQ35" s="175">
        <v>0.5</v>
      </c>
      <c r="BR35" s="175">
        <v>0.5</v>
      </c>
      <c r="BS35" s="175">
        <v>0.5</v>
      </c>
      <c r="BT35" s="175">
        <v>0.5</v>
      </c>
      <c r="BU35" s="175">
        <v>0.5</v>
      </c>
      <c r="BV35" s="175">
        <v>0.5</v>
      </c>
      <c r="BW35" s="175">
        <v>0.5</v>
      </c>
      <c r="BX35" s="175">
        <v>0.5</v>
      </c>
      <c r="BY35" s="175">
        <v>0.5</v>
      </c>
      <c r="BZ35" s="175">
        <v>0.5</v>
      </c>
      <c r="CA35" s="175">
        <v>0.5</v>
      </c>
      <c r="CB35" s="175">
        <v>0.5</v>
      </c>
      <c r="CC35" s="175">
        <v>0.5</v>
      </c>
      <c r="CD35" s="175">
        <v>0.5</v>
      </c>
      <c r="CE35" s="175">
        <v>0.5</v>
      </c>
      <c r="CF35" s="175">
        <v>0.5</v>
      </c>
      <c r="CG35" s="175">
        <v>0.5</v>
      </c>
      <c r="CH35" s="175">
        <v>0.5</v>
      </c>
      <c r="CI35" s="175">
        <v>0.5</v>
      </c>
      <c r="CJ35" s="175">
        <v>0.5</v>
      </c>
      <c r="CK35" s="175">
        <v>0.5</v>
      </c>
      <c r="CL35" s="175">
        <v>0.5</v>
      </c>
      <c r="CM35" s="175">
        <v>0.5</v>
      </c>
      <c r="CN35" s="175">
        <v>0.5</v>
      </c>
      <c r="CO35" s="175">
        <v>0.5</v>
      </c>
      <c r="CP35" s="175">
        <v>0</v>
      </c>
      <c r="CQ35" s="175">
        <v>0</v>
      </c>
    </row>
    <row r="36" spans="1:95" s="175" customFormat="1" ht="16" x14ac:dyDescent="0.2">
      <c r="A36" t="s">
        <v>254</v>
      </c>
      <c r="B36" s="175">
        <v>0</v>
      </c>
      <c r="C36" s="175">
        <v>0.5</v>
      </c>
      <c r="D36" s="175">
        <v>0.5</v>
      </c>
      <c r="E36" s="175">
        <v>0.5</v>
      </c>
      <c r="F36" s="175">
        <v>0.5</v>
      </c>
      <c r="G36" s="175">
        <v>0.5</v>
      </c>
      <c r="H36" s="175">
        <v>0.5</v>
      </c>
      <c r="I36" s="175">
        <v>0.5</v>
      </c>
      <c r="J36" s="175">
        <v>0.5</v>
      </c>
      <c r="K36" s="175">
        <v>0.5</v>
      </c>
      <c r="L36" s="175">
        <v>0.5</v>
      </c>
      <c r="M36" s="175">
        <v>0.5</v>
      </c>
      <c r="N36" s="175">
        <v>0.5</v>
      </c>
      <c r="O36" s="175">
        <v>0.5</v>
      </c>
      <c r="P36" s="175">
        <v>0.5</v>
      </c>
      <c r="Q36" s="175">
        <v>0.5</v>
      </c>
      <c r="R36" s="175">
        <v>0.5</v>
      </c>
      <c r="S36" s="175">
        <v>0.5</v>
      </c>
      <c r="T36" s="175">
        <v>0.5</v>
      </c>
      <c r="U36" s="175">
        <v>0.5</v>
      </c>
      <c r="V36" s="175">
        <v>0.5</v>
      </c>
      <c r="W36" s="175">
        <v>0.5</v>
      </c>
      <c r="X36" s="175">
        <v>0.5</v>
      </c>
      <c r="Y36" s="175">
        <v>0.5</v>
      </c>
      <c r="Z36" s="175">
        <v>0.5</v>
      </c>
      <c r="AA36" s="175">
        <v>0.5</v>
      </c>
      <c r="AB36" s="175">
        <v>0.5</v>
      </c>
      <c r="AC36" s="175">
        <v>0.5</v>
      </c>
      <c r="AD36" s="175">
        <v>0.5</v>
      </c>
      <c r="AE36" s="175">
        <v>0.5</v>
      </c>
      <c r="AF36" s="175">
        <v>0.5</v>
      </c>
      <c r="AG36" s="175">
        <v>0.5</v>
      </c>
      <c r="AH36" s="175">
        <v>0.5</v>
      </c>
      <c r="AI36" s="175">
        <v>0.5</v>
      </c>
      <c r="AJ36" s="175">
        <v>0.5</v>
      </c>
      <c r="AK36" s="175">
        <v>0.5</v>
      </c>
      <c r="AL36" s="175">
        <v>0.5</v>
      </c>
      <c r="AM36" s="175">
        <v>0.5</v>
      </c>
      <c r="AN36" s="175">
        <v>0.5</v>
      </c>
      <c r="AO36" s="175">
        <v>0.5</v>
      </c>
      <c r="AP36" s="175">
        <v>0.5</v>
      </c>
      <c r="AQ36" s="175">
        <v>0.5</v>
      </c>
      <c r="AR36" s="175">
        <v>0.5</v>
      </c>
      <c r="AS36" s="175">
        <v>0.5</v>
      </c>
      <c r="AT36" s="175">
        <v>0.5</v>
      </c>
      <c r="AU36" s="175">
        <v>0.5</v>
      </c>
      <c r="AV36" s="175">
        <v>0.5</v>
      </c>
      <c r="AW36" s="175">
        <v>0.5</v>
      </c>
      <c r="AX36" s="175">
        <v>0.5</v>
      </c>
      <c r="AY36" s="175">
        <v>0.5</v>
      </c>
      <c r="AZ36" s="175">
        <v>0.5</v>
      </c>
      <c r="BA36" s="175">
        <v>0.5</v>
      </c>
      <c r="BB36" s="175">
        <v>0.5</v>
      </c>
      <c r="BC36" s="175">
        <v>0.5</v>
      </c>
      <c r="BD36" s="175">
        <v>0.5</v>
      </c>
      <c r="BE36" s="175">
        <v>0.5</v>
      </c>
      <c r="BF36" s="175">
        <v>0.5</v>
      </c>
      <c r="BG36" s="175">
        <v>0.5</v>
      </c>
      <c r="BH36" s="175">
        <v>0.5</v>
      </c>
      <c r="BI36" s="175">
        <v>0.5</v>
      </c>
      <c r="BJ36" s="175">
        <v>0.5</v>
      </c>
      <c r="BK36" s="175">
        <v>0.5</v>
      </c>
      <c r="BL36" s="175">
        <v>0.5</v>
      </c>
      <c r="BM36" s="175">
        <v>0.5</v>
      </c>
      <c r="BN36" s="175">
        <v>0.5</v>
      </c>
      <c r="BO36" s="175">
        <v>0.5</v>
      </c>
      <c r="BP36" s="175">
        <v>0.5</v>
      </c>
      <c r="BQ36" s="175">
        <v>0.5</v>
      </c>
      <c r="BR36" s="175">
        <v>0.5</v>
      </c>
      <c r="BS36" s="175">
        <v>0.5</v>
      </c>
      <c r="BT36" s="175">
        <v>0.5</v>
      </c>
      <c r="BU36" s="175">
        <v>0.5</v>
      </c>
      <c r="BV36" s="175">
        <v>0.5</v>
      </c>
      <c r="BW36" s="175">
        <v>0.5</v>
      </c>
      <c r="BX36" s="175">
        <v>0.5</v>
      </c>
      <c r="BY36" s="175">
        <v>0.5</v>
      </c>
      <c r="BZ36" s="175">
        <v>0.5</v>
      </c>
      <c r="CA36" s="175">
        <v>0.5</v>
      </c>
      <c r="CB36" s="175">
        <v>0.5</v>
      </c>
      <c r="CC36" s="175">
        <v>0.5</v>
      </c>
      <c r="CD36" s="175">
        <v>0.5</v>
      </c>
      <c r="CE36" s="175">
        <v>0.5</v>
      </c>
      <c r="CF36" s="175">
        <v>0.5</v>
      </c>
      <c r="CG36" s="175">
        <v>0.5</v>
      </c>
      <c r="CH36" s="175">
        <v>0.5</v>
      </c>
      <c r="CI36" s="175">
        <v>0.5</v>
      </c>
      <c r="CJ36" s="175">
        <v>0.5</v>
      </c>
      <c r="CK36" s="175">
        <v>0.5</v>
      </c>
      <c r="CL36" s="175">
        <v>0.5</v>
      </c>
      <c r="CM36" s="175">
        <v>0.5</v>
      </c>
      <c r="CN36" s="175">
        <v>0.5</v>
      </c>
      <c r="CO36" s="175">
        <v>0.5</v>
      </c>
      <c r="CP36" s="175">
        <v>0</v>
      </c>
      <c r="CQ36" s="175">
        <v>0</v>
      </c>
    </row>
    <row r="37" spans="1:95" s="175" customFormat="1" ht="16" x14ac:dyDescent="0.2">
      <c r="A37" t="s">
        <v>255</v>
      </c>
      <c r="B37" s="175">
        <v>0</v>
      </c>
      <c r="C37" s="175">
        <v>0.5</v>
      </c>
      <c r="D37" s="175">
        <v>0.5</v>
      </c>
      <c r="E37" s="175">
        <v>0.5</v>
      </c>
      <c r="F37" s="175">
        <v>0.5</v>
      </c>
      <c r="G37" s="175">
        <v>0.5</v>
      </c>
      <c r="H37" s="175">
        <v>0.5</v>
      </c>
      <c r="I37" s="175">
        <v>0.5</v>
      </c>
      <c r="J37" s="175">
        <v>0.5</v>
      </c>
      <c r="K37" s="175">
        <v>0.5</v>
      </c>
      <c r="L37" s="175">
        <v>0.5</v>
      </c>
      <c r="M37" s="175">
        <v>0.5</v>
      </c>
      <c r="N37" s="175">
        <v>0.5</v>
      </c>
      <c r="O37" s="175">
        <v>0.5</v>
      </c>
      <c r="P37" s="175">
        <v>0.5</v>
      </c>
      <c r="Q37" s="175">
        <v>0.5</v>
      </c>
      <c r="R37" s="175">
        <v>0.5</v>
      </c>
      <c r="S37" s="175">
        <v>0.5</v>
      </c>
      <c r="T37" s="175">
        <v>0.5</v>
      </c>
      <c r="U37" s="175">
        <v>0.5</v>
      </c>
      <c r="V37" s="175">
        <v>0.5</v>
      </c>
      <c r="W37" s="175">
        <v>0.5</v>
      </c>
      <c r="X37" s="175">
        <v>0.5</v>
      </c>
      <c r="Y37" s="175">
        <v>0.5</v>
      </c>
      <c r="Z37" s="175">
        <v>0.5</v>
      </c>
      <c r="AA37" s="175">
        <v>0.5</v>
      </c>
      <c r="AB37" s="175">
        <v>0.5</v>
      </c>
      <c r="AC37" s="175">
        <v>0.5</v>
      </c>
      <c r="AD37" s="175">
        <v>0.5</v>
      </c>
      <c r="AE37" s="175">
        <v>0.5</v>
      </c>
      <c r="AF37" s="175">
        <v>0.5</v>
      </c>
      <c r="AG37" s="175">
        <v>0.5</v>
      </c>
      <c r="AH37" s="175">
        <v>0.5</v>
      </c>
      <c r="AI37" s="175">
        <v>0.5</v>
      </c>
      <c r="AJ37" s="175">
        <v>0.5</v>
      </c>
      <c r="AK37" s="175">
        <v>0.5</v>
      </c>
      <c r="AL37" s="175">
        <v>0.5</v>
      </c>
      <c r="AM37" s="175">
        <v>0.5</v>
      </c>
      <c r="AN37" s="175">
        <v>0.5</v>
      </c>
      <c r="AO37" s="175">
        <v>0.5</v>
      </c>
      <c r="AP37" s="175">
        <v>0.5</v>
      </c>
      <c r="AQ37" s="175">
        <v>0.5</v>
      </c>
      <c r="AR37" s="175">
        <v>0.5</v>
      </c>
      <c r="AS37" s="175">
        <v>0.5</v>
      </c>
      <c r="AT37" s="175">
        <v>0.5</v>
      </c>
      <c r="AU37" s="175">
        <v>0.5</v>
      </c>
      <c r="AV37" s="175">
        <v>0.5</v>
      </c>
      <c r="AW37" s="175">
        <v>0.5</v>
      </c>
      <c r="AX37" s="175">
        <v>0.5</v>
      </c>
      <c r="AY37" s="175">
        <v>0.5</v>
      </c>
      <c r="AZ37" s="175">
        <v>0.5</v>
      </c>
      <c r="BA37" s="175">
        <v>0.5</v>
      </c>
      <c r="BB37" s="175">
        <v>0.5</v>
      </c>
      <c r="BC37" s="175">
        <v>0.5</v>
      </c>
      <c r="BD37" s="175">
        <v>0.5</v>
      </c>
      <c r="BE37" s="175">
        <v>0.5</v>
      </c>
      <c r="BF37" s="175">
        <v>0.5</v>
      </c>
      <c r="BG37" s="175">
        <v>0.5</v>
      </c>
      <c r="BH37" s="175">
        <v>0.5</v>
      </c>
      <c r="BI37" s="175">
        <v>0.5</v>
      </c>
      <c r="BJ37" s="175">
        <v>0.5</v>
      </c>
      <c r="BK37" s="175">
        <v>0.5</v>
      </c>
      <c r="BL37" s="175">
        <v>0.5</v>
      </c>
      <c r="BM37" s="175">
        <v>0.5</v>
      </c>
      <c r="BN37" s="175">
        <v>0.5</v>
      </c>
      <c r="BO37" s="175">
        <v>0.5</v>
      </c>
      <c r="BP37" s="175">
        <v>0.5</v>
      </c>
      <c r="BQ37" s="175">
        <v>0.5</v>
      </c>
      <c r="BR37" s="175">
        <v>0.5</v>
      </c>
      <c r="BS37" s="175">
        <v>0.5</v>
      </c>
      <c r="BT37" s="175">
        <v>0.5</v>
      </c>
      <c r="BU37" s="175">
        <v>0.5</v>
      </c>
      <c r="BV37" s="175">
        <v>0.5</v>
      </c>
      <c r="BW37" s="175">
        <v>0.5</v>
      </c>
      <c r="BX37" s="175">
        <v>0.5</v>
      </c>
      <c r="BY37" s="175">
        <v>0.5</v>
      </c>
      <c r="BZ37" s="175">
        <v>0.5</v>
      </c>
      <c r="CA37" s="175">
        <v>0.5</v>
      </c>
      <c r="CB37" s="175">
        <v>0.5</v>
      </c>
      <c r="CC37" s="175">
        <v>0.5</v>
      </c>
      <c r="CD37" s="175">
        <v>0.5</v>
      </c>
      <c r="CE37" s="175">
        <v>0.5</v>
      </c>
      <c r="CF37" s="175">
        <v>0.5</v>
      </c>
      <c r="CG37" s="175">
        <v>0.5</v>
      </c>
      <c r="CH37" s="175">
        <v>0.5</v>
      </c>
      <c r="CI37" s="175">
        <v>0.5</v>
      </c>
      <c r="CJ37" s="175">
        <v>0.5</v>
      </c>
      <c r="CK37" s="175">
        <v>0.5</v>
      </c>
      <c r="CL37" s="175">
        <v>0.5</v>
      </c>
      <c r="CM37" s="175">
        <v>0.5</v>
      </c>
      <c r="CN37" s="175">
        <v>0.5</v>
      </c>
      <c r="CO37" s="175">
        <v>0.5</v>
      </c>
      <c r="CP37" s="175">
        <v>0</v>
      </c>
      <c r="CQ37" s="175">
        <v>0</v>
      </c>
    </row>
    <row r="38" spans="1:95" s="175" customFormat="1" ht="16" x14ac:dyDescent="0.2">
      <c r="A38" t="s">
        <v>194</v>
      </c>
      <c r="B38" s="175">
        <v>0</v>
      </c>
      <c r="C38" s="175">
        <v>0.5</v>
      </c>
      <c r="D38" s="175">
        <v>0.5</v>
      </c>
      <c r="E38" s="175">
        <v>0.5</v>
      </c>
      <c r="F38" s="175">
        <v>0.5</v>
      </c>
      <c r="G38" s="175">
        <v>0.5</v>
      </c>
      <c r="H38" s="175">
        <v>0.5</v>
      </c>
      <c r="I38" s="175">
        <v>0.5</v>
      </c>
      <c r="J38" s="175">
        <v>0.5</v>
      </c>
      <c r="K38" s="175">
        <v>0.5</v>
      </c>
      <c r="L38" s="175">
        <v>0.5</v>
      </c>
      <c r="M38" s="175">
        <v>0.5</v>
      </c>
      <c r="N38" s="175">
        <v>0.5</v>
      </c>
      <c r="O38" s="175">
        <v>0.5</v>
      </c>
      <c r="P38" s="175">
        <v>0.5</v>
      </c>
      <c r="Q38" s="175">
        <v>0.5</v>
      </c>
      <c r="R38" s="175">
        <v>0.5</v>
      </c>
      <c r="S38" s="175">
        <v>0.5</v>
      </c>
      <c r="T38" s="175">
        <v>0.5</v>
      </c>
      <c r="U38" s="175">
        <v>0.5</v>
      </c>
      <c r="V38" s="175">
        <v>0.5</v>
      </c>
      <c r="W38" s="175">
        <v>0.5</v>
      </c>
      <c r="X38" s="175">
        <v>0.5</v>
      </c>
      <c r="Y38" s="175">
        <v>0.5</v>
      </c>
      <c r="Z38" s="175">
        <v>0.5</v>
      </c>
      <c r="AA38" s="175">
        <v>0.5</v>
      </c>
      <c r="AB38" s="175">
        <v>0.5</v>
      </c>
      <c r="AC38" s="175">
        <v>0.5</v>
      </c>
      <c r="AD38" s="175">
        <v>0.5</v>
      </c>
      <c r="AE38" s="175">
        <v>0.5</v>
      </c>
      <c r="AF38" s="175">
        <v>0.5</v>
      </c>
      <c r="AG38" s="175">
        <v>0.5</v>
      </c>
      <c r="AH38" s="175">
        <v>0.5</v>
      </c>
      <c r="AI38" s="175">
        <v>0.5</v>
      </c>
      <c r="AJ38" s="175">
        <v>0.5</v>
      </c>
      <c r="AK38" s="175">
        <v>0.5</v>
      </c>
      <c r="AL38" s="175">
        <v>0.5</v>
      </c>
      <c r="AM38" s="175">
        <v>0.5</v>
      </c>
      <c r="AN38" s="175">
        <v>0.5</v>
      </c>
      <c r="AO38" s="175">
        <v>0.5</v>
      </c>
      <c r="AP38" s="175">
        <v>0.5</v>
      </c>
      <c r="AQ38" s="175">
        <v>0.5</v>
      </c>
      <c r="AR38" s="175">
        <v>0.5</v>
      </c>
      <c r="AS38" s="175">
        <v>0.5</v>
      </c>
      <c r="AT38" s="175">
        <v>0.5</v>
      </c>
      <c r="AU38" s="175">
        <v>0.5</v>
      </c>
      <c r="AV38" s="175">
        <v>0.5</v>
      </c>
      <c r="AW38" s="175">
        <v>0.5</v>
      </c>
      <c r="AX38" s="175">
        <v>0.5</v>
      </c>
      <c r="AY38" s="175">
        <v>0.5</v>
      </c>
      <c r="AZ38" s="175">
        <v>0.5</v>
      </c>
      <c r="BA38" s="175">
        <v>0.5</v>
      </c>
      <c r="BB38" s="175">
        <v>0.5</v>
      </c>
      <c r="BC38" s="175">
        <v>0.5</v>
      </c>
      <c r="BD38" s="175">
        <v>0.5</v>
      </c>
      <c r="BE38" s="175">
        <v>0.5</v>
      </c>
      <c r="BF38" s="175">
        <v>0.5</v>
      </c>
      <c r="BG38" s="175">
        <v>0.5</v>
      </c>
      <c r="BH38" s="175">
        <v>0.5</v>
      </c>
      <c r="BI38" s="175">
        <v>0.5</v>
      </c>
      <c r="BJ38" s="175">
        <v>0.5</v>
      </c>
      <c r="BK38" s="175">
        <v>0.5</v>
      </c>
      <c r="BL38" s="175">
        <v>0.5</v>
      </c>
      <c r="BM38" s="175">
        <v>0.5</v>
      </c>
      <c r="BN38" s="175">
        <v>0.5</v>
      </c>
      <c r="BO38" s="175">
        <v>0.5</v>
      </c>
      <c r="BP38" s="175">
        <v>0.5</v>
      </c>
      <c r="BQ38" s="175">
        <v>0.5</v>
      </c>
      <c r="BR38" s="175">
        <v>0.5</v>
      </c>
      <c r="BS38" s="175">
        <v>0.5</v>
      </c>
      <c r="BT38" s="175">
        <v>0.5</v>
      </c>
      <c r="BU38" s="175">
        <v>0.5</v>
      </c>
      <c r="BV38" s="175">
        <v>0.5</v>
      </c>
      <c r="BW38" s="175">
        <v>0.5</v>
      </c>
      <c r="BX38" s="175">
        <v>0.5</v>
      </c>
      <c r="BY38" s="175">
        <v>0.5</v>
      </c>
      <c r="BZ38" s="175">
        <v>0.5</v>
      </c>
      <c r="CA38" s="175">
        <v>0.5</v>
      </c>
      <c r="CB38" s="175">
        <v>0.5</v>
      </c>
      <c r="CC38" s="175">
        <v>0.5</v>
      </c>
      <c r="CD38" s="175">
        <v>0.5</v>
      </c>
      <c r="CE38" s="175">
        <v>0.5</v>
      </c>
      <c r="CF38" s="175">
        <v>0.5</v>
      </c>
      <c r="CG38" s="175">
        <v>0.5</v>
      </c>
      <c r="CH38" s="175">
        <v>0.5</v>
      </c>
      <c r="CI38" s="175">
        <v>0.5</v>
      </c>
      <c r="CJ38" s="175">
        <v>0.5</v>
      </c>
      <c r="CK38" s="175">
        <v>0.5</v>
      </c>
      <c r="CL38" s="175">
        <v>0.5</v>
      </c>
      <c r="CM38" s="175">
        <v>0.5</v>
      </c>
      <c r="CN38" s="175">
        <v>0.5</v>
      </c>
      <c r="CO38" s="175">
        <v>0.5</v>
      </c>
      <c r="CP38" s="175">
        <v>0</v>
      </c>
      <c r="CQ38" s="175">
        <v>0</v>
      </c>
    </row>
    <row r="39" spans="1:95" s="175" customFormat="1" ht="16" x14ac:dyDescent="0.2">
      <c r="A39" t="s">
        <v>256</v>
      </c>
      <c r="B39" s="175">
        <v>0</v>
      </c>
      <c r="C39" s="175">
        <v>0.5</v>
      </c>
      <c r="D39" s="175">
        <v>0.5</v>
      </c>
      <c r="E39" s="175">
        <v>0.5</v>
      </c>
      <c r="F39" s="175">
        <v>0.5</v>
      </c>
      <c r="G39" s="175">
        <v>0.5</v>
      </c>
      <c r="H39" s="175">
        <v>0.5</v>
      </c>
      <c r="I39" s="175">
        <v>0.5</v>
      </c>
      <c r="J39" s="175">
        <v>0.5</v>
      </c>
      <c r="K39" s="175">
        <v>0.5</v>
      </c>
      <c r="L39" s="175">
        <v>0.5</v>
      </c>
      <c r="M39" s="175">
        <v>0.5</v>
      </c>
      <c r="N39" s="175">
        <v>0.5</v>
      </c>
      <c r="O39" s="175">
        <v>0.5</v>
      </c>
      <c r="P39" s="175">
        <v>0.5</v>
      </c>
      <c r="Q39" s="175">
        <v>0.5</v>
      </c>
      <c r="R39" s="175">
        <v>0.5</v>
      </c>
      <c r="S39" s="175">
        <v>0.5</v>
      </c>
      <c r="T39" s="175">
        <v>0.5</v>
      </c>
      <c r="U39" s="175">
        <v>0.5</v>
      </c>
      <c r="V39" s="175">
        <v>0.5</v>
      </c>
      <c r="W39" s="175">
        <v>0.5</v>
      </c>
      <c r="X39" s="175">
        <v>0.5</v>
      </c>
      <c r="Y39" s="175">
        <v>0.5</v>
      </c>
      <c r="Z39" s="175">
        <v>0.5</v>
      </c>
      <c r="AA39" s="175">
        <v>0.5</v>
      </c>
      <c r="AB39" s="175">
        <v>0.5</v>
      </c>
      <c r="AC39" s="175">
        <v>0.5</v>
      </c>
      <c r="AD39" s="175">
        <v>0.5</v>
      </c>
      <c r="AE39" s="175">
        <v>0.5</v>
      </c>
      <c r="AF39" s="175">
        <v>0.5</v>
      </c>
      <c r="AG39" s="175">
        <v>0.5</v>
      </c>
      <c r="AH39" s="175">
        <v>0.5</v>
      </c>
      <c r="AI39" s="175">
        <v>0.5</v>
      </c>
      <c r="AJ39" s="175">
        <v>0.5</v>
      </c>
      <c r="AK39" s="175">
        <v>0.5</v>
      </c>
      <c r="AL39" s="175">
        <v>0.5</v>
      </c>
      <c r="AM39" s="175">
        <v>0.5</v>
      </c>
      <c r="AN39" s="175">
        <v>0.5</v>
      </c>
      <c r="AO39" s="175">
        <v>0.5</v>
      </c>
      <c r="AP39" s="175">
        <v>0.5</v>
      </c>
      <c r="AQ39" s="175">
        <v>0.5</v>
      </c>
      <c r="AR39" s="175">
        <v>0.5</v>
      </c>
      <c r="AS39" s="175">
        <v>0.5</v>
      </c>
      <c r="AT39" s="175">
        <v>0.5</v>
      </c>
      <c r="AU39" s="175">
        <v>0.5</v>
      </c>
      <c r="AV39" s="175">
        <v>0.5</v>
      </c>
      <c r="AW39" s="175">
        <v>0.5</v>
      </c>
      <c r="AX39" s="175">
        <v>0.5</v>
      </c>
      <c r="AY39" s="175">
        <v>0.5</v>
      </c>
      <c r="AZ39" s="175">
        <v>0.5</v>
      </c>
      <c r="BA39" s="175">
        <v>0.5</v>
      </c>
      <c r="BB39" s="175">
        <v>0.5</v>
      </c>
      <c r="BC39" s="175">
        <v>0.5</v>
      </c>
      <c r="BD39" s="175">
        <v>0.5</v>
      </c>
      <c r="BE39" s="175">
        <v>0.5</v>
      </c>
      <c r="BF39" s="175">
        <v>0.5</v>
      </c>
      <c r="BG39" s="175">
        <v>0.5</v>
      </c>
      <c r="BH39" s="175">
        <v>0.5</v>
      </c>
      <c r="BI39" s="175">
        <v>0.5</v>
      </c>
      <c r="BJ39" s="175">
        <v>0.5</v>
      </c>
      <c r="BK39" s="175">
        <v>0.5</v>
      </c>
      <c r="BL39" s="175">
        <v>0.5</v>
      </c>
      <c r="BM39" s="175">
        <v>0.5</v>
      </c>
      <c r="BN39" s="175">
        <v>0.5</v>
      </c>
      <c r="BO39" s="175">
        <v>0.5</v>
      </c>
      <c r="BP39" s="175">
        <v>0.5</v>
      </c>
      <c r="BQ39" s="175">
        <v>0.5</v>
      </c>
      <c r="BR39" s="175">
        <v>0.5</v>
      </c>
      <c r="BS39" s="175">
        <v>0.5</v>
      </c>
      <c r="BT39" s="175">
        <v>0.5</v>
      </c>
      <c r="BU39" s="175">
        <v>0.5</v>
      </c>
      <c r="BV39" s="175">
        <v>0.5</v>
      </c>
      <c r="BW39" s="175">
        <v>0.5</v>
      </c>
      <c r="BX39" s="175">
        <v>0.5</v>
      </c>
      <c r="BY39" s="175">
        <v>0.5</v>
      </c>
      <c r="BZ39" s="175">
        <v>0.5</v>
      </c>
      <c r="CA39" s="175">
        <v>0.5</v>
      </c>
      <c r="CB39" s="175">
        <v>0.5</v>
      </c>
      <c r="CC39" s="175">
        <v>0.5</v>
      </c>
      <c r="CD39" s="175">
        <v>0.5</v>
      </c>
      <c r="CE39" s="175">
        <v>0.5</v>
      </c>
      <c r="CF39" s="175">
        <v>0.5</v>
      </c>
      <c r="CG39" s="175">
        <v>0.5</v>
      </c>
      <c r="CH39" s="175">
        <v>0.5</v>
      </c>
      <c r="CI39" s="175">
        <v>0.5</v>
      </c>
      <c r="CJ39" s="175">
        <v>0.5</v>
      </c>
      <c r="CK39" s="175">
        <v>0.5</v>
      </c>
      <c r="CL39" s="175">
        <v>0.5</v>
      </c>
      <c r="CM39" s="175">
        <v>0.5</v>
      </c>
      <c r="CN39" s="175">
        <v>0.5</v>
      </c>
      <c r="CO39" s="175">
        <v>0.5</v>
      </c>
      <c r="CP39" s="175">
        <v>0</v>
      </c>
      <c r="CQ39" s="175">
        <v>0</v>
      </c>
    </row>
    <row r="40" spans="1:95" s="175" customFormat="1" ht="16" x14ac:dyDescent="0.2">
      <c r="A40" t="s">
        <v>195</v>
      </c>
      <c r="B40" s="175">
        <v>0</v>
      </c>
      <c r="C40" s="175">
        <v>0.5</v>
      </c>
      <c r="D40" s="175">
        <v>0.5</v>
      </c>
      <c r="E40" s="175">
        <v>0.5</v>
      </c>
      <c r="F40" s="175">
        <v>0.5</v>
      </c>
      <c r="G40" s="175">
        <v>0.5</v>
      </c>
      <c r="H40" s="175">
        <v>0.5</v>
      </c>
      <c r="I40" s="175">
        <v>0.5</v>
      </c>
      <c r="J40" s="175">
        <v>0.5</v>
      </c>
      <c r="K40" s="175">
        <v>0.5</v>
      </c>
      <c r="L40" s="175">
        <v>0.5</v>
      </c>
      <c r="M40" s="175">
        <v>0.5</v>
      </c>
      <c r="N40" s="175">
        <v>0.5</v>
      </c>
      <c r="O40" s="175">
        <v>0.5</v>
      </c>
      <c r="P40" s="175">
        <v>0.5</v>
      </c>
      <c r="Q40" s="175">
        <v>0.5</v>
      </c>
      <c r="R40" s="175">
        <v>0.5</v>
      </c>
      <c r="S40" s="175">
        <v>0.5</v>
      </c>
      <c r="T40" s="175">
        <v>0.5</v>
      </c>
      <c r="U40" s="175">
        <v>0.5</v>
      </c>
      <c r="V40" s="175">
        <v>0.5</v>
      </c>
      <c r="W40" s="175">
        <v>0.5</v>
      </c>
      <c r="X40" s="175">
        <v>0.5</v>
      </c>
      <c r="Y40" s="175">
        <v>0.5</v>
      </c>
      <c r="Z40" s="175">
        <v>0.5</v>
      </c>
      <c r="AA40" s="175">
        <v>0.5</v>
      </c>
      <c r="AB40" s="175">
        <v>0.5</v>
      </c>
      <c r="AC40" s="175">
        <v>0.5</v>
      </c>
      <c r="AD40" s="175">
        <v>0.5</v>
      </c>
      <c r="AE40" s="175">
        <v>0.5</v>
      </c>
      <c r="AF40" s="175">
        <v>0.5</v>
      </c>
      <c r="AG40" s="175">
        <v>0.5</v>
      </c>
      <c r="AH40" s="175">
        <v>0.5</v>
      </c>
      <c r="AI40" s="175">
        <v>0.5</v>
      </c>
      <c r="AJ40" s="175">
        <v>0.5</v>
      </c>
      <c r="AK40" s="175">
        <v>0.5</v>
      </c>
      <c r="AL40" s="175">
        <v>0.5</v>
      </c>
      <c r="AM40" s="175">
        <v>0.5</v>
      </c>
      <c r="AN40" s="175">
        <v>0.5</v>
      </c>
      <c r="AO40" s="175">
        <v>0.5</v>
      </c>
      <c r="AP40" s="175">
        <v>0.5</v>
      </c>
      <c r="AQ40" s="175">
        <v>0.5</v>
      </c>
      <c r="AR40" s="175">
        <v>0.5</v>
      </c>
      <c r="AS40" s="175">
        <v>0.5</v>
      </c>
      <c r="AT40" s="175">
        <v>0.5</v>
      </c>
      <c r="AU40" s="175">
        <v>0.5</v>
      </c>
      <c r="AV40" s="175">
        <v>0.5</v>
      </c>
      <c r="AW40" s="175">
        <v>0.5</v>
      </c>
      <c r="AX40" s="175">
        <v>0.5</v>
      </c>
      <c r="AY40" s="175">
        <v>0.5</v>
      </c>
      <c r="AZ40" s="175">
        <v>0.5</v>
      </c>
      <c r="BA40" s="175">
        <v>0.5</v>
      </c>
      <c r="BB40" s="175">
        <v>0.5</v>
      </c>
      <c r="BC40" s="175">
        <v>0.5</v>
      </c>
      <c r="BD40" s="175">
        <v>0.5</v>
      </c>
      <c r="BE40" s="175">
        <v>0.5</v>
      </c>
      <c r="BF40" s="175">
        <v>0.5</v>
      </c>
      <c r="BG40" s="175">
        <v>0.5</v>
      </c>
      <c r="BH40" s="175">
        <v>0.5</v>
      </c>
      <c r="BI40" s="175">
        <v>0.5</v>
      </c>
      <c r="BJ40" s="175">
        <v>0.5</v>
      </c>
      <c r="BK40" s="175">
        <v>0.5</v>
      </c>
      <c r="BL40" s="175">
        <v>0.5</v>
      </c>
      <c r="BM40" s="175">
        <v>0.5</v>
      </c>
      <c r="BN40" s="175">
        <v>0.5</v>
      </c>
      <c r="BO40" s="175">
        <v>0.5</v>
      </c>
      <c r="BP40" s="175">
        <v>0.5</v>
      </c>
      <c r="BQ40" s="175">
        <v>0.5</v>
      </c>
      <c r="BR40" s="175">
        <v>0.5</v>
      </c>
      <c r="BS40" s="175">
        <v>0.5</v>
      </c>
      <c r="BT40" s="175">
        <v>0.5</v>
      </c>
      <c r="BU40" s="175">
        <v>0.5</v>
      </c>
      <c r="BV40" s="175">
        <v>0.5</v>
      </c>
      <c r="BW40" s="175">
        <v>0.5</v>
      </c>
      <c r="BX40" s="175">
        <v>0.5</v>
      </c>
      <c r="BY40" s="175">
        <v>0.5</v>
      </c>
      <c r="BZ40" s="175">
        <v>0.5</v>
      </c>
      <c r="CA40" s="175">
        <v>0.5</v>
      </c>
      <c r="CB40" s="175">
        <v>0.5</v>
      </c>
      <c r="CC40" s="175">
        <v>0.5</v>
      </c>
      <c r="CD40" s="175">
        <v>0.5</v>
      </c>
      <c r="CE40" s="175">
        <v>0.5</v>
      </c>
      <c r="CF40" s="175">
        <v>0.5</v>
      </c>
      <c r="CG40" s="175">
        <v>0.5</v>
      </c>
      <c r="CH40" s="175">
        <v>0.5</v>
      </c>
      <c r="CI40" s="175">
        <v>0.5</v>
      </c>
      <c r="CJ40" s="175">
        <v>0.5</v>
      </c>
      <c r="CK40" s="175">
        <v>0.5</v>
      </c>
      <c r="CL40" s="175">
        <v>0.5</v>
      </c>
      <c r="CM40" s="175">
        <v>0.5</v>
      </c>
      <c r="CN40" s="175">
        <v>0.5</v>
      </c>
      <c r="CO40" s="175">
        <v>0.5</v>
      </c>
      <c r="CP40" s="175">
        <v>0</v>
      </c>
      <c r="CQ40" s="175">
        <v>0</v>
      </c>
    </row>
    <row r="41" spans="1:95" s="175" customFormat="1" ht="16" x14ac:dyDescent="0.2">
      <c r="A41" t="s">
        <v>196</v>
      </c>
      <c r="B41" s="175">
        <v>0</v>
      </c>
      <c r="C41" s="175">
        <v>0.5</v>
      </c>
      <c r="D41" s="175">
        <v>0.5</v>
      </c>
      <c r="E41" s="175">
        <v>0.5</v>
      </c>
      <c r="F41" s="175">
        <v>0.5</v>
      </c>
      <c r="G41" s="175">
        <v>0.5</v>
      </c>
      <c r="H41" s="175">
        <v>0.5</v>
      </c>
      <c r="I41" s="175">
        <v>0.5</v>
      </c>
      <c r="J41" s="175">
        <v>0.5</v>
      </c>
      <c r="K41" s="175">
        <v>0.5</v>
      </c>
      <c r="L41" s="175">
        <v>0.5</v>
      </c>
      <c r="M41" s="175">
        <v>0.5</v>
      </c>
      <c r="N41" s="175">
        <v>0.5</v>
      </c>
      <c r="O41" s="175">
        <v>0.5</v>
      </c>
      <c r="P41" s="175">
        <v>0.5</v>
      </c>
      <c r="Q41" s="175">
        <v>0.5</v>
      </c>
      <c r="R41" s="175">
        <v>0.5</v>
      </c>
      <c r="S41" s="175">
        <v>0.5</v>
      </c>
      <c r="T41" s="175">
        <v>0.5</v>
      </c>
      <c r="U41" s="175">
        <v>0.5</v>
      </c>
      <c r="V41" s="175">
        <v>0.5</v>
      </c>
      <c r="W41" s="175">
        <v>0.5</v>
      </c>
      <c r="X41" s="175">
        <v>0.5</v>
      </c>
      <c r="Y41" s="175">
        <v>0.5</v>
      </c>
      <c r="Z41" s="175">
        <v>0.5</v>
      </c>
      <c r="AA41" s="175">
        <v>0.5</v>
      </c>
      <c r="AB41" s="175">
        <v>0.5</v>
      </c>
      <c r="AC41" s="175">
        <v>0.5</v>
      </c>
      <c r="AD41" s="175">
        <v>0.5</v>
      </c>
      <c r="AE41" s="175">
        <v>0.5</v>
      </c>
      <c r="AF41" s="175">
        <v>0.5</v>
      </c>
      <c r="AG41" s="175">
        <v>0.5</v>
      </c>
      <c r="AH41" s="175">
        <v>0.5</v>
      </c>
      <c r="AI41" s="175">
        <v>0.5</v>
      </c>
      <c r="AJ41" s="175">
        <v>0.5</v>
      </c>
      <c r="AK41" s="175">
        <v>0.5</v>
      </c>
      <c r="AL41" s="175">
        <v>0.5</v>
      </c>
      <c r="AM41" s="175">
        <v>0.5</v>
      </c>
      <c r="AN41" s="175">
        <v>0.5</v>
      </c>
      <c r="AO41" s="175">
        <v>0.5</v>
      </c>
      <c r="AP41" s="175">
        <v>0.5</v>
      </c>
      <c r="AQ41" s="175">
        <v>0.5</v>
      </c>
      <c r="AR41" s="175">
        <v>0.5</v>
      </c>
      <c r="AS41" s="175">
        <v>0.5</v>
      </c>
      <c r="AT41" s="175">
        <v>0.5</v>
      </c>
      <c r="AU41" s="175">
        <v>0.5</v>
      </c>
      <c r="AV41" s="175">
        <v>0.5</v>
      </c>
      <c r="AW41" s="175">
        <v>0.5</v>
      </c>
      <c r="AX41" s="175">
        <v>0.5</v>
      </c>
      <c r="AY41" s="175">
        <v>0.5</v>
      </c>
      <c r="AZ41" s="175">
        <v>0.5</v>
      </c>
      <c r="BA41" s="175">
        <v>0.5</v>
      </c>
      <c r="BB41" s="175">
        <v>0.5</v>
      </c>
      <c r="BC41" s="175">
        <v>0.5</v>
      </c>
      <c r="BD41" s="175">
        <v>0.5</v>
      </c>
      <c r="BE41" s="175">
        <v>0.5</v>
      </c>
      <c r="BF41" s="175">
        <v>0.5</v>
      </c>
      <c r="BG41" s="175">
        <v>0.5</v>
      </c>
      <c r="BH41" s="175">
        <v>0.5</v>
      </c>
      <c r="BI41" s="175">
        <v>0.5</v>
      </c>
      <c r="BJ41" s="175">
        <v>0.5</v>
      </c>
      <c r="BK41" s="175">
        <v>0.5</v>
      </c>
      <c r="BL41" s="175">
        <v>0.5</v>
      </c>
      <c r="BM41" s="175">
        <v>0.5</v>
      </c>
      <c r="BN41" s="175">
        <v>0.5</v>
      </c>
      <c r="BO41" s="175">
        <v>0.5</v>
      </c>
      <c r="BP41" s="175">
        <v>0.5</v>
      </c>
      <c r="BQ41" s="175">
        <v>0.5</v>
      </c>
      <c r="BR41" s="175">
        <v>0.5</v>
      </c>
      <c r="BS41" s="175">
        <v>0.5</v>
      </c>
      <c r="BT41" s="175">
        <v>0.5</v>
      </c>
      <c r="BU41" s="175">
        <v>0.5</v>
      </c>
      <c r="BV41" s="175">
        <v>0.5</v>
      </c>
      <c r="BW41" s="175">
        <v>0.5</v>
      </c>
      <c r="BX41" s="175">
        <v>0.5</v>
      </c>
      <c r="BY41" s="175">
        <v>0.5</v>
      </c>
      <c r="BZ41" s="175">
        <v>0.5</v>
      </c>
      <c r="CA41" s="175">
        <v>0.5</v>
      </c>
      <c r="CB41" s="175">
        <v>0.5</v>
      </c>
      <c r="CC41" s="175">
        <v>0.5</v>
      </c>
      <c r="CD41" s="175">
        <v>0.5</v>
      </c>
      <c r="CE41" s="175">
        <v>0.5</v>
      </c>
      <c r="CF41" s="175">
        <v>0.5</v>
      </c>
      <c r="CG41" s="175">
        <v>0.5</v>
      </c>
      <c r="CH41" s="175">
        <v>0.5</v>
      </c>
      <c r="CI41" s="175">
        <v>0.5</v>
      </c>
      <c r="CJ41" s="175">
        <v>0.5</v>
      </c>
      <c r="CK41" s="175">
        <v>0.5</v>
      </c>
      <c r="CL41" s="175">
        <v>0.5</v>
      </c>
      <c r="CM41" s="175">
        <v>0.5</v>
      </c>
      <c r="CN41" s="175">
        <v>0.5</v>
      </c>
      <c r="CO41" s="175">
        <v>0.5</v>
      </c>
      <c r="CP41" s="175">
        <v>0</v>
      </c>
      <c r="CQ41" s="175">
        <v>0</v>
      </c>
    </row>
    <row r="42" spans="1:95" s="175" customFormat="1" ht="16" x14ac:dyDescent="0.2">
      <c r="A42" t="s">
        <v>197</v>
      </c>
      <c r="B42" s="175">
        <v>0</v>
      </c>
      <c r="C42" s="175">
        <v>0.5</v>
      </c>
      <c r="D42" s="175">
        <v>0.5</v>
      </c>
      <c r="E42" s="175">
        <v>0.5</v>
      </c>
      <c r="F42" s="175">
        <v>0.5</v>
      </c>
      <c r="G42" s="175">
        <v>0.5</v>
      </c>
      <c r="H42" s="175">
        <v>0.5</v>
      </c>
      <c r="I42" s="175">
        <v>0.5</v>
      </c>
      <c r="J42" s="175">
        <v>0.5</v>
      </c>
      <c r="K42" s="175">
        <v>0.5</v>
      </c>
      <c r="L42" s="175">
        <v>0.5</v>
      </c>
      <c r="M42" s="175">
        <v>0.5</v>
      </c>
      <c r="N42" s="175">
        <v>0.5</v>
      </c>
      <c r="O42" s="175">
        <v>0.5</v>
      </c>
      <c r="P42" s="175">
        <v>0.5</v>
      </c>
      <c r="Q42" s="175">
        <v>0.5</v>
      </c>
      <c r="R42" s="175">
        <v>0.5</v>
      </c>
      <c r="S42" s="175">
        <v>0.5</v>
      </c>
      <c r="T42" s="175">
        <v>0.5</v>
      </c>
      <c r="U42" s="175">
        <v>0.5</v>
      </c>
      <c r="V42" s="175">
        <v>0.5</v>
      </c>
      <c r="W42" s="175">
        <v>0.5</v>
      </c>
      <c r="X42" s="175">
        <v>0.5</v>
      </c>
      <c r="Y42" s="175">
        <v>0.5</v>
      </c>
      <c r="Z42" s="175">
        <v>0.5</v>
      </c>
      <c r="AA42" s="175">
        <v>0.5</v>
      </c>
      <c r="AB42" s="175">
        <v>0.5</v>
      </c>
      <c r="AC42" s="175">
        <v>0.5</v>
      </c>
      <c r="AD42" s="175">
        <v>0.5</v>
      </c>
      <c r="AE42" s="175">
        <v>0.5</v>
      </c>
      <c r="AF42" s="175">
        <v>0.5</v>
      </c>
      <c r="AG42" s="175">
        <v>0.5</v>
      </c>
      <c r="AH42" s="175">
        <v>0.5</v>
      </c>
      <c r="AI42" s="175">
        <v>0.5</v>
      </c>
      <c r="AJ42" s="175">
        <v>0.5</v>
      </c>
      <c r="AK42" s="175">
        <v>0.5</v>
      </c>
      <c r="AL42" s="175">
        <v>0.5</v>
      </c>
      <c r="AM42" s="175">
        <v>0.5</v>
      </c>
      <c r="AN42" s="175">
        <v>0.5</v>
      </c>
      <c r="AO42" s="175">
        <v>0.5</v>
      </c>
      <c r="AP42" s="175">
        <v>0.5</v>
      </c>
      <c r="AQ42" s="175">
        <v>0.5</v>
      </c>
      <c r="AR42" s="175">
        <v>0.5</v>
      </c>
      <c r="AS42" s="175">
        <v>0.5</v>
      </c>
      <c r="AT42" s="175">
        <v>0.5</v>
      </c>
      <c r="AU42" s="175">
        <v>0.5</v>
      </c>
      <c r="AV42" s="175">
        <v>0.5</v>
      </c>
      <c r="AW42" s="175">
        <v>0.5</v>
      </c>
      <c r="AX42" s="175">
        <v>0.5</v>
      </c>
      <c r="AY42" s="175">
        <v>0.5</v>
      </c>
      <c r="AZ42" s="175">
        <v>0.5</v>
      </c>
      <c r="BA42" s="175">
        <v>0.5</v>
      </c>
      <c r="BB42" s="175">
        <v>0.5</v>
      </c>
      <c r="BC42" s="175">
        <v>0.5</v>
      </c>
      <c r="BD42" s="175">
        <v>0.5</v>
      </c>
      <c r="BE42" s="175">
        <v>0.5</v>
      </c>
      <c r="BF42" s="175">
        <v>0.5</v>
      </c>
      <c r="BG42" s="175">
        <v>0.5</v>
      </c>
      <c r="BH42" s="175">
        <v>0.5</v>
      </c>
      <c r="BI42" s="175">
        <v>0.5</v>
      </c>
      <c r="BJ42" s="175">
        <v>0.5</v>
      </c>
      <c r="BK42" s="175">
        <v>0.5</v>
      </c>
      <c r="BL42" s="175">
        <v>0.5</v>
      </c>
      <c r="BM42" s="175">
        <v>0.5</v>
      </c>
      <c r="BN42" s="175">
        <v>0.5</v>
      </c>
      <c r="BO42" s="175">
        <v>0.5</v>
      </c>
      <c r="BP42" s="175">
        <v>0.5</v>
      </c>
      <c r="BQ42" s="175">
        <v>0.5</v>
      </c>
      <c r="BR42" s="175">
        <v>0.5</v>
      </c>
      <c r="BS42" s="175">
        <v>0.5</v>
      </c>
      <c r="BT42" s="175">
        <v>0.5</v>
      </c>
      <c r="BU42" s="175">
        <v>0.5</v>
      </c>
      <c r="BV42" s="175">
        <v>0.5</v>
      </c>
      <c r="BW42" s="175">
        <v>0.5</v>
      </c>
      <c r="BX42" s="175">
        <v>0.5</v>
      </c>
      <c r="BY42" s="175">
        <v>0.5</v>
      </c>
      <c r="BZ42" s="175">
        <v>0.5</v>
      </c>
      <c r="CA42" s="175">
        <v>0.5</v>
      </c>
      <c r="CB42" s="175">
        <v>0.5</v>
      </c>
      <c r="CC42" s="175">
        <v>0.5</v>
      </c>
      <c r="CD42" s="175">
        <v>0.5</v>
      </c>
      <c r="CE42" s="175">
        <v>0.5</v>
      </c>
      <c r="CF42" s="175">
        <v>0.5</v>
      </c>
      <c r="CG42" s="175">
        <v>0.5</v>
      </c>
      <c r="CH42" s="175">
        <v>0.5</v>
      </c>
      <c r="CI42" s="175">
        <v>0.5</v>
      </c>
      <c r="CJ42" s="175">
        <v>0.5</v>
      </c>
      <c r="CK42" s="175">
        <v>0.5</v>
      </c>
      <c r="CL42" s="175">
        <v>0.5</v>
      </c>
      <c r="CM42" s="175">
        <v>0.5</v>
      </c>
      <c r="CN42" s="175">
        <v>0.5</v>
      </c>
      <c r="CO42" s="175">
        <v>0.5</v>
      </c>
      <c r="CP42" s="175">
        <v>0</v>
      </c>
      <c r="CQ42" s="175">
        <v>0</v>
      </c>
    </row>
    <row r="43" spans="1:95" s="175" customFormat="1" ht="16" x14ac:dyDescent="0.2">
      <c r="A43" t="s">
        <v>198</v>
      </c>
      <c r="B43" s="175">
        <v>0</v>
      </c>
      <c r="C43" s="175">
        <v>0.5</v>
      </c>
      <c r="D43" s="175">
        <v>0.5</v>
      </c>
      <c r="E43" s="175">
        <v>0.5</v>
      </c>
      <c r="F43" s="175">
        <v>0.5</v>
      </c>
      <c r="G43" s="175">
        <v>0.5</v>
      </c>
      <c r="H43" s="175">
        <v>0.5</v>
      </c>
      <c r="I43" s="175">
        <v>0.5</v>
      </c>
      <c r="J43" s="175">
        <v>0.5</v>
      </c>
      <c r="K43" s="175">
        <v>0.5</v>
      </c>
      <c r="L43" s="175">
        <v>0.5</v>
      </c>
      <c r="M43" s="175">
        <v>0.5</v>
      </c>
      <c r="N43" s="175">
        <v>0.5</v>
      </c>
      <c r="O43" s="175">
        <v>0.5</v>
      </c>
      <c r="P43" s="175">
        <v>0.5</v>
      </c>
      <c r="Q43" s="175">
        <v>0.5</v>
      </c>
      <c r="R43" s="175">
        <v>0.5</v>
      </c>
      <c r="S43" s="175">
        <v>0.5</v>
      </c>
      <c r="T43" s="175">
        <v>0.5</v>
      </c>
      <c r="U43" s="175">
        <v>0.5</v>
      </c>
      <c r="V43" s="175">
        <v>0.5</v>
      </c>
      <c r="W43" s="175">
        <v>0.5</v>
      </c>
      <c r="X43" s="175">
        <v>0.5</v>
      </c>
      <c r="Y43" s="175">
        <v>0.5</v>
      </c>
      <c r="Z43" s="175">
        <v>0.5</v>
      </c>
      <c r="AA43" s="175">
        <v>0.5</v>
      </c>
      <c r="AB43" s="175">
        <v>0.5</v>
      </c>
      <c r="AC43" s="175">
        <v>0.5</v>
      </c>
      <c r="AD43" s="175">
        <v>0.5</v>
      </c>
      <c r="AE43" s="175">
        <v>0.5</v>
      </c>
      <c r="AF43" s="175">
        <v>0.5</v>
      </c>
      <c r="AG43" s="175">
        <v>0.5</v>
      </c>
      <c r="AH43" s="175">
        <v>0.5</v>
      </c>
      <c r="AI43" s="175">
        <v>0.5</v>
      </c>
      <c r="AJ43" s="175">
        <v>0.5</v>
      </c>
      <c r="AK43" s="175">
        <v>0.5</v>
      </c>
      <c r="AL43" s="175">
        <v>0.5</v>
      </c>
      <c r="AM43" s="175">
        <v>0.5</v>
      </c>
      <c r="AN43" s="175">
        <v>0.5</v>
      </c>
      <c r="AO43" s="175">
        <v>0.5</v>
      </c>
      <c r="AP43" s="175">
        <v>0.5</v>
      </c>
      <c r="AQ43" s="175">
        <v>0.5</v>
      </c>
      <c r="AR43" s="175">
        <v>0.5</v>
      </c>
      <c r="AS43" s="175">
        <v>0.5</v>
      </c>
      <c r="AT43" s="175">
        <v>0.5</v>
      </c>
      <c r="AU43" s="175">
        <v>0.5</v>
      </c>
      <c r="AV43" s="175">
        <v>0.5</v>
      </c>
      <c r="AW43" s="175">
        <v>0.5</v>
      </c>
      <c r="AX43" s="175">
        <v>0.5</v>
      </c>
      <c r="AY43" s="175">
        <v>0.5</v>
      </c>
      <c r="AZ43" s="175">
        <v>0.5</v>
      </c>
      <c r="BA43" s="175">
        <v>0.5</v>
      </c>
      <c r="BB43" s="175">
        <v>0.5</v>
      </c>
      <c r="BC43" s="175">
        <v>0.5</v>
      </c>
      <c r="BD43" s="175">
        <v>0.5</v>
      </c>
      <c r="BE43" s="175">
        <v>0.5</v>
      </c>
      <c r="BF43" s="175">
        <v>0.5</v>
      </c>
      <c r="BG43" s="175">
        <v>0.5</v>
      </c>
      <c r="BH43" s="175">
        <v>0.5</v>
      </c>
      <c r="BI43" s="175">
        <v>0.5</v>
      </c>
      <c r="BJ43" s="175">
        <v>0.5</v>
      </c>
      <c r="BK43" s="175">
        <v>0.5</v>
      </c>
      <c r="BL43" s="175">
        <v>0.5</v>
      </c>
      <c r="BM43" s="175">
        <v>0.5</v>
      </c>
      <c r="BN43" s="175">
        <v>0.5</v>
      </c>
      <c r="BO43" s="175">
        <v>0.5</v>
      </c>
      <c r="BP43" s="175">
        <v>0.5</v>
      </c>
      <c r="BQ43" s="175">
        <v>0.5</v>
      </c>
      <c r="BR43" s="175">
        <v>0.5</v>
      </c>
      <c r="BS43" s="175">
        <v>0.5</v>
      </c>
      <c r="BT43" s="175">
        <v>0.5</v>
      </c>
      <c r="BU43" s="175">
        <v>0.5</v>
      </c>
      <c r="BV43" s="175">
        <v>0.5</v>
      </c>
      <c r="BW43" s="175">
        <v>0.5</v>
      </c>
      <c r="BX43" s="175">
        <v>0.5</v>
      </c>
      <c r="BY43" s="175">
        <v>0.5</v>
      </c>
      <c r="BZ43" s="175">
        <v>0.5</v>
      </c>
      <c r="CA43" s="175">
        <v>0.5</v>
      </c>
      <c r="CB43" s="175">
        <v>0.5</v>
      </c>
      <c r="CC43" s="175">
        <v>0.5</v>
      </c>
      <c r="CD43" s="175">
        <v>0.5</v>
      </c>
      <c r="CE43" s="175">
        <v>0.5</v>
      </c>
      <c r="CF43" s="175">
        <v>0.5</v>
      </c>
      <c r="CG43" s="175">
        <v>0.5</v>
      </c>
      <c r="CH43" s="175">
        <v>0.5</v>
      </c>
      <c r="CI43" s="175">
        <v>0.5</v>
      </c>
      <c r="CJ43" s="175">
        <v>0.5</v>
      </c>
      <c r="CK43" s="175">
        <v>0.5</v>
      </c>
      <c r="CL43" s="175">
        <v>0.5</v>
      </c>
      <c r="CM43" s="175">
        <v>0.5</v>
      </c>
      <c r="CN43" s="175">
        <v>0.5</v>
      </c>
      <c r="CO43" s="175">
        <v>0.5</v>
      </c>
      <c r="CP43" s="175">
        <v>0</v>
      </c>
      <c r="CQ43" s="175">
        <v>0</v>
      </c>
    </row>
    <row r="44" spans="1:95" s="175" customFormat="1" ht="16" x14ac:dyDescent="0.2">
      <c r="A44" t="s">
        <v>199</v>
      </c>
      <c r="B44" s="175">
        <v>0</v>
      </c>
      <c r="C44" s="175">
        <v>0.5</v>
      </c>
      <c r="D44" s="175">
        <v>0.5</v>
      </c>
      <c r="E44" s="175">
        <v>0.5</v>
      </c>
      <c r="F44" s="175">
        <v>0.5</v>
      </c>
      <c r="G44" s="175">
        <v>0.5</v>
      </c>
      <c r="H44" s="175">
        <v>0.5</v>
      </c>
      <c r="I44" s="175">
        <v>0.5</v>
      </c>
      <c r="J44" s="175">
        <v>0.5</v>
      </c>
      <c r="K44" s="175">
        <v>0.5</v>
      </c>
      <c r="L44" s="175">
        <v>0.5</v>
      </c>
      <c r="M44" s="175">
        <v>0.5</v>
      </c>
      <c r="N44" s="175">
        <v>0.5</v>
      </c>
      <c r="O44" s="175">
        <v>0.5</v>
      </c>
      <c r="P44" s="175">
        <v>0.5</v>
      </c>
      <c r="Q44" s="175">
        <v>0.5</v>
      </c>
      <c r="R44" s="175">
        <v>0.5</v>
      </c>
      <c r="S44" s="175">
        <v>0.5</v>
      </c>
      <c r="T44" s="175">
        <v>0.5</v>
      </c>
      <c r="U44" s="175">
        <v>0.5</v>
      </c>
      <c r="V44" s="175">
        <v>0.5</v>
      </c>
      <c r="W44" s="175">
        <v>0.5</v>
      </c>
      <c r="X44" s="175">
        <v>0.5</v>
      </c>
      <c r="Y44" s="175">
        <v>0.5</v>
      </c>
      <c r="Z44" s="175">
        <v>0.5</v>
      </c>
      <c r="AA44" s="175">
        <v>0.5</v>
      </c>
      <c r="AB44" s="175">
        <v>0.5</v>
      </c>
      <c r="AC44" s="175">
        <v>0.5</v>
      </c>
      <c r="AD44" s="175">
        <v>0.5</v>
      </c>
      <c r="AE44" s="175">
        <v>0.5</v>
      </c>
      <c r="AF44" s="175">
        <v>0.5</v>
      </c>
      <c r="AG44" s="175">
        <v>0.5</v>
      </c>
      <c r="AH44" s="175">
        <v>0.5</v>
      </c>
      <c r="AI44" s="175">
        <v>0.5</v>
      </c>
      <c r="AJ44" s="175">
        <v>0.5</v>
      </c>
      <c r="AK44" s="175">
        <v>0.5</v>
      </c>
      <c r="AL44" s="175">
        <v>0.5</v>
      </c>
      <c r="AM44" s="175">
        <v>0.5</v>
      </c>
      <c r="AN44" s="175">
        <v>0.5</v>
      </c>
      <c r="AO44" s="175">
        <v>0.5</v>
      </c>
      <c r="AP44" s="175">
        <v>0.5</v>
      </c>
      <c r="AQ44" s="175">
        <v>0.5</v>
      </c>
      <c r="AR44" s="175">
        <v>0.5</v>
      </c>
      <c r="AS44" s="175">
        <v>0.5</v>
      </c>
      <c r="AT44" s="175">
        <v>0.5</v>
      </c>
      <c r="AU44" s="175">
        <v>0.5</v>
      </c>
      <c r="AV44" s="175">
        <v>0.5</v>
      </c>
      <c r="AW44" s="175">
        <v>0.5</v>
      </c>
      <c r="AX44" s="175">
        <v>0.5</v>
      </c>
      <c r="AY44" s="175">
        <v>0.5</v>
      </c>
      <c r="AZ44" s="175">
        <v>0.5</v>
      </c>
      <c r="BA44" s="175">
        <v>0.5</v>
      </c>
      <c r="BB44" s="175">
        <v>0.5</v>
      </c>
      <c r="BC44" s="175">
        <v>0.5</v>
      </c>
      <c r="BD44" s="175">
        <v>0.5</v>
      </c>
      <c r="BE44" s="175">
        <v>0.5</v>
      </c>
      <c r="BF44" s="175">
        <v>0.5</v>
      </c>
      <c r="BG44" s="175">
        <v>0.5</v>
      </c>
      <c r="BH44" s="175">
        <v>0.5</v>
      </c>
      <c r="BI44" s="175">
        <v>0.5</v>
      </c>
      <c r="BJ44" s="175">
        <v>0.5</v>
      </c>
      <c r="BK44" s="175">
        <v>0.5</v>
      </c>
      <c r="BL44" s="175">
        <v>0.5</v>
      </c>
      <c r="BM44" s="175">
        <v>0.5</v>
      </c>
      <c r="BN44" s="175">
        <v>0.5</v>
      </c>
      <c r="BO44" s="175">
        <v>0.5</v>
      </c>
      <c r="BP44" s="175">
        <v>0.5</v>
      </c>
      <c r="BQ44" s="175">
        <v>0.5</v>
      </c>
      <c r="BR44" s="175">
        <v>0.5</v>
      </c>
      <c r="BS44" s="175">
        <v>0.5</v>
      </c>
      <c r="BT44" s="175">
        <v>0.5</v>
      </c>
      <c r="BU44" s="175">
        <v>0.5</v>
      </c>
      <c r="BV44" s="175">
        <v>0.5</v>
      </c>
      <c r="BW44" s="175">
        <v>0.5</v>
      </c>
      <c r="BX44" s="175">
        <v>0.5</v>
      </c>
      <c r="BY44" s="175">
        <v>0.5</v>
      </c>
      <c r="BZ44" s="175">
        <v>0.5</v>
      </c>
      <c r="CA44" s="175">
        <v>0.5</v>
      </c>
      <c r="CB44" s="175">
        <v>0.5</v>
      </c>
      <c r="CC44" s="175">
        <v>0.5</v>
      </c>
      <c r="CD44" s="175">
        <v>0.5</v>
      </c>
      <c r="CE44" s="175">
        <v>0.5</v>
      </c>
      <c r="CF44" s="175">
        <v>0.5</v>
      </c>
      <c r="CG44" s="175">
        <v>0.5</v>
      </c>
      <c r="CH44" s="175">
        <v>0.5</v>
      </c>
      <c r="CI44" s="175">
        <v>0.5</v>
      </c>
      <c r="CJ44" s="175">
        <v>0.5</v>
      </c>
      <c r="CK44" s="175">
        <v>0.5</v>
      </c>
      <c r="CL44" s="175">
        <v>0.5</v>
      </c>
      <c r="CM44" s="175">
        <v>0.5</v>
      </c>
      <c r="CN44" s="175">
        <v>0.5</v>
      </c>
      <c r="CO44" s="175">
        <v>0.5</v>
      </c>
      <c r="CP44" s="175">
        <v>0</v>
      </c>
      <c r="CQ44" s="175">
        <v>0</v>
      </c>
    </row>
    <row r="45" spans="1:95" s="175" customFormat="1" ht="16" x14ac:dyDescent="0.2">
      <c r="A45" t="s">
        <v>232</v>
      </c>
      <c r="B45" s="175">
        <v>0</v>
      </c>
      <c r="C45" s="175">
        <v>0.5</v>
      </c>
      <c r="D45" s="175">
        <v>0.5</v>
      </c>
      <c r="E45" s="175">
        <v>0.5</v>
      </c>
      <c r="F45" s="175">
        <v>0.5</v>
      </c>
      <c r="G45" s="175">
        <v>0.5</v>
      </c>
      <c r="H45" s="175">
        <v>0.5</v>
      </c>
      <c r="I45" s="175">
        <v>0.5</v>
      </c>
      <c r="J45" s="175">
        <v>0.5</v>
      </c>
      <c r="K45" s="175">
        <v>0.5</v>
      </c>
      <c r="L45" s="175">
        <v>0.5</v>
      </c>
      <c r="M45" s="175">
        <v>0.5</v>
      </c>
      <c r="N45" s="175">
        <v>0.5</v>
      </c>
      <c r="O45" s="175">
        <v>0.5</v>
      </c>
      <c r="P45" s="175">
        <v>0.5</v>
      </c>
      <c r="Q45" s="175">
        <v>0.5</v>
      </c>
      <c r="R45" s="175">
        <v>0.5</v>
      </c>
      <c r="S45" s="175">
        <v>0.5</v>
      </c>
      <c r="T45" s="175">
        <v>0.5</v>
      </c>
      <c r="U45" s="175">
        <v>0.5</v>
      </c>
      <c r="V45" s="175">
        <v>0.5</v>
      </c>
      <c r="W45" s="175">
        <v>0.5</v>
      </c>
      <c r="X45" s="175">
        <v>0.5</v>
      </c>
      <c r="Y45" s="175">
        <v>0.5</v>
      </c>
      <c r="Z45" s="175">
        <v>0.5</v>
      </c>
      <c r="AA45" s="175">
        <v>0.5</v>
      </c>
      <c r="AB45" s="175">
        <v>0.5</v>
      </c>
      <c r="AC45" s="175">
        <v>0.5</v>
      </c>
      <c r="AD45" s="175">
        <v>0.5</v>
      </c>
      <c r="AE45" s="175">
        <v>0.5</v>
      </c>
      <c r="AF45" s="175">
        <v>0.5</v>
      </c>
      <c r="AG45" s="175">
        <v>0.5</v>
      </c>
      <c r="AH45" s="175">
        <v>0.5</v>
      </c>
      <c r="AI45" s="175">
        <v>0.5</v>
      </c>
      <c r="AJ45" s="175">
        <v>0.5</v>
      </c>
      <c r="AK45" s="175">
        <v>0.5</v>
      </c>
      <c r="AL45" s="175">
        <v>0.5</v>
      </c>
      <c r="AM45" s="175">
        <v>0.5</v>
      </c>
      <c r="AN45" s="175">
        <v>0.5</v>
      </c>
      <c r="AO45" s="175">
        <v>0.5</v>
      </c>
      <c r="AP45" s="175">
        <v>0.5</v>
      </c>
      <c r="AQ45" s="175">
        <v>0.5</v>
      </c>
      <c r="AR45" s="175">
        <v>0.5</v>
      </c>
      <c r="AS45" s="175">
        <v>0.5</v>
      </c>
      <c r="AT45" s="175">
        <v>0.5</v>
      </c>
      <c r="AU45" s="175">
        <v>0.5</v>
      </c>
      <c r="AV45" s="175">
        <v>0.5</v>
      </c>
      <c r="AW45" s="175">
        <v>0.5</v>
      </c>
      <c r="AX45" s="175">
        <v>0.5</v>
      </c>
      <c r="AY45" s="175">
        <v>0.5</v>
      </c>
      <c r="AZ45" s="175">
        <v>0.5</v>
      </c>
      <c r="BA45" s="175">
        <v>0.5</v>
      </c>
      <c r="BB45" s="175">
        <v>0.5</v>
      </c>
      <c r="BC45" s="175">
        <v>0.5</v>
      </c>
      <c r="BD45" s="175">
        <v>0.5</v>
      </c>
      <c r="BE45" s="175">
        <v>0.5</v>
      </c>
      <c r="BF45" s="175">
        <v>0.5</v>
      </c>
      <c r="BG45" s="175">
        <v>0.5</v>
      </c>
      <c r="BH45" s="175">
        <v>0.5</v>
      </c>
      <c r="BI45" s="175">
        <v>0.5</v>
      </c>
      <c r="BJ45" s="175">
        <v>0.5</v>
      </c>
      <c r="BK45" s="175">
        <v>0.5</v>
      </c>
      <c r="BL45" s="175">
        <v>0.5</v>
      </c>
      <c r="BM45" s="175">
        <v>0.5</v>
      </c>
      <c r="BN45" s="175">
        <v>0.5</v>
      </c>
      <c r="BO45" s="175">
        <v>0.5</v>
      </c>
      <c r="BP45" s="175">
        <v>0.5</v>
      </c>
      <c r="BQ45" s="175">
        <v>0.5</v>
      </c>
      <c r="BR45" s="175">
        <v>0.5</v>
      </c>
      <c r="BS45" s="175">
        <v>0.5</v>
      </c>
      <c r="BT45" s="175">
        <v>0.5</v>
      </c>
      <c r="BU45" s="175">
        <v>0.5</v>
      </c>
      <c r="BV45" s="175">
        <v>0.5</v>
      </c>
      <c r="BW45" s="175">
        <v>0.5</v>
      </c>
      <c r="BX45" s="175">
        <v>0.5</v>
      </c>
      <c r="BY45" s="175">
        <v>0.5</v>
      </c>
      <c r="BZ45" s="175">
        <v>0.5</v>
      </c>
      <c r="CA45" s="175">
        <v>0.5</v>
      </c>
      <c r="CB45" s="175">
        <v>0.5</v>
      </c>
      <c r="CC45" s="175">
        <v>0.5</v>
      </c>
      <c r="CD45" s="175">
        <v>0.5</v>
      </c>
      <c r="CE45" s="175">
        <v>0.5</v>
      </c>
      <c r="CF45" s="175">
        <v>0.5</v>
      </c>
      <c r="CG45" s="175">
        <v>0.5</v>
      </c>
      <c r="CH45" s="175">
        <v>0.5</v>
      </c>
      <c r="CI45" s="175">
        <v>0.5</v>
      </c>
      <c r="CJ45" s="175">
        <v>0.5</v>
      </c>
      <c r="CK45" s="175">
        <v>0.5</v>
      </c>
      <c r="CL45" s="175">
        <v>0.5</v>
      </c>
      <c r="CM45" s="175">
        <v>0.5</v>
      </c>
      <c r="CN45" s="175">
        <v>0.5</v>
      </c>
      <c r="CO45" s="175">
        <v>0.5</v>
      </c>
      <c r="CP45" s="175">
        <v>0</v>
      </c>
      <c r="CQ45" s="175">
        <v>0</v>
      </c>
    </row>
    <row r="46" spans="1:95" s="175" customFormat="1" ht="16" x14ac:dyDescent="0.2">
      <c r="A46" t="s">
        <v>200</v>
      </c>
      <c r="B46" s="175">
        <v>0</v>
      </c>
      <c r="C46" s="175">
        <v>0.5</v>
      </c>
      <c r="D46" s="175">
        <v>0.5</v>
      </c>
      <c r="E46" s="175">
        <v>0.5</v>
      </c>
      <c r="F46" s="175">
        <v>0.5</v>
      </c>
      <c r="G46" s="175">
        <v>0.5</v>
      </c>
      <c r="H46" s="175">
        <v>0.5</v>
      </c>
      <c r="I46" s="175">
        <v>0.5</v>
      </c>
      <c r="J46" s="175">
        <v>0.5</v>
      </c>
      <c r="K46" s="175">
        <v>0.5</v>
      </c>
      <c r="L46" s="175">
        <v>0.5</v>
      </c>
      <c r="M46" s="175">
        <v>0.5</v>
      </c>
      <c r="N46" s="175">
        <v>0.5</v>
      </c>
      <c r="O46" s="175">
        <v>0.5</v>
      </c>
      <c r="P46" s="175">
        <v>0.5</v>
      </c>
      <c r="Q46" s="175">
        <v>0.5</v>
      </c>
      <c r="R46" s="175">
        <v>0.5</v>
      </c>
      <c r="S46" s="175">
        <v>0.5</v>
      </c>
      <c r="T46" s="175">
        <v>0.5</v>
      </c>
      <c r="U46" s="175">
        <v>0.5</v>
      </c>
      <c r="V46" s="175">
        <v>0.5</v>
      </c>
      <c r="W46" s="175">
        <v>0.5</v>
      </c>
      <c r="X46" s="175">
        <v>0.5</v>
      </c>
      <c r="Y46" s="175">
        <v>0.5</v>
      </c>
      <c r="Z46" s="175">
        <v>0.5</v>
      </c>
      <c r="AA46" s="175">
        <v>0.5</v>
      </c>
      <c r="AB46" s="175">
        <v>0.5</v>
      </c>
      <c r="AC46" s="175">
        <v>0.5</v>
      </c>
      <c r="AD46" s="175">
        <v>0.5</v>
      </c>
      <c r="AE46" s="175">
        <v>0.5</v>
      </c>
      <c r="AF46" s="175">
        <v>0.5</v>
      </c>
      <c r="AG46" s="175">
        <v>0.5</v>
      </c>
      <c r="AH46" s="175">
        <v>0.5</v>
      </c>
      <c r="AI46" s="175">
        <v>0.5</v>
      </c>
      <c r="AJ46" s="175">
        <v>0.5</v>
      </c>
      <c r="AK46" s="175">
        <v>0.5</v>
      </c>
      <c r="AL46" s="175">
        <v>0.5</v>
      </c>
      <c r="AM46" s="175">
        <v>0.5</v>
      </c>
      <c r="AN46" s="175">
        <v>0.5</v>
      </c>
      <c r="AO46" s="175">
        <v>0.5</v>
      </c>
      <c r="AP46" s="175">
        <v>0.5</v>
      </c>
      <c r="AQ46" s="175">
        <v>0.5</v>
      </c>
      <c r="AR46" s="175">
        <v>0.5</v>
      </c>
      <c r="AS46" s="175">
        <v>0.5</v>
      </c>
      <c r="AT46" s="175">
        <v>0.5</v>
      </c>
      <c r="AU46" s="175">
        <v>0.5</v>
      </c>
      <c r="AV46" s="175">
        <v>0.5</v>
      </c>
      <c r="AW46" s="175">
        <v>0.5</v>
      </c>
      <c r="AX46" s="175">
        <v>0.5</v>
      </c>
      <c r="AY46" s="175">
        <v>0.5</v>
      </c>
      <c r="AZ46" s="175">
        <v>0.5</v>
      </c>
      <c r="BA46" s="175">
        <v>0.5</v>
      </c>
      <c r="BB46" s="175">
        <v>0.5</v>
      </c>
      <c r="BC46" s="175">
        <v>0.5</v>
      </c>
      <c r="BD46" s="175">
        <v>0.5</v>
      </c>
      <c r="BE46" s="175">
        <v>0.5</v>
      </c>
      <c r="BF46" s="175">
        <v>0.5</v>
      </c>
      <c r="BG46" s="175">
        <v>0.5</v>
      </c>
      <c r="BH46" s="175">
        <v>0.5</v>
      </c>
      <c r="BI46" s="175">
        <v>0.5</v>
      </c>
      <c r="BJ46" s="175">
        <v>0.5</v>
      </c>
      <c r="BK46" s="175">
        <v>0.5</v>
      </c>
      <c r="BL46" s="175">
        <v>0.5</v>
      </c>
      <c r="BM46" s="175">
        <v>0.5</v>
      </c>
      <c r="BN46" s="175">
        <v>0.5</v>
      </c>
      <c r="BO46" s="175">
        <v>0.5</v>
      </c>
      <c r="BP46" s="175">
        <v>0.5</v>
      </c>
      <c r="BQ46" s="175">
        <v>0.5</v>
      </c>
      <c r="BR46" s="175">
        <v>0.5</v>
      </c>
      <c r="BS46" s="175">
        <v>0.5</v>
      </c>
      <c r="BT46" s="175">
        <v>0.5</v>
      </c>
      <c r="BU46" s="175">
        <v>0.5</v>
      </c>
      <c r="BV46" s="175">
        <v>0.5</v>
      </c>
      <c r="BW46" s="175">
        <v>0.5</v>
      </c>
      <c r="BX46" s="175">
        <v>0.5</v>
      </c>
      <c r="BY46" s="175">
        <v>0.5</v>
      </c>
      <c r="BZ46" s="175">
        <v>0.5</v>
      </c>
      <c r="CA46" s="175">
        <v>0.5</v>
      </c>
      <c r="CB46" s="175">
        <v>0.5</v>
      </c>
      <c r="CC46" s="175">
        <v>0.5</v>
      </c>
      <c r="CD46" s="175">
        <v>0.5</v>
      </c>
      <c r="CE46" s="175">
        <v>0.5</v>
      </c>
      <c r="CF46" s="175">
        <v>0.5</v>
      </c>
      <c r="CG46" s="175">
        <v>0.5</v>
      </c>
      <c r="CH46" s="175">
        <v>0.5</v>
      </c>
      <c r="CI46" s="175">
        <v>0.5</v>
      </c>
      <c r="CJ46" s="175">
        <v>0.5</v>
      </c>
      <c r="CK46" s="175">
        <v>0.5</v>
      </c>
      <c r="CL46" s="175">
        <v>0.5</v>
      </c>
      <c r="CM46" s="175">
        <v>0.5</v>
      </c>
      <c r="CN46" s="175">
        <v>0.5</v>
      </c>
      <c r="CO46" s="175">
        <v>0.5</v>
      </c>
      <c r="CP46" s="175">
        <v>0</v>
      </c>
      <c r="CQ46" s="175">
        <v>0</v>
      </c>
    </row>
    <row r="47" spans="1:95" s="175" customFormat="1" ht="16" x14ac:dyDescent="0.2">
      <c r="A47" t="s">
        <v>201</v>
      </c>
      <c r="B47" s="175">
        <v>0</v>
      </c>
      <c r="C47" s="175">
        <v>0.5</v>
      </c>
      <c r="D47" s="175">
        <v>0.5</v>
      </c>
      <c r="E47" s="175">
        <v>0.5</v>
      </c>
      <c r="F47" s="175">
        <v>0.5</v>
      </c>
      <c r="G47" s="175">
        <v>0.5</v>
      </c>
      <c r="H47" s="175">
        <v>0.5</v>
      </c>
      <c r="I47" s="175">
        <v>0.5</v>
      </c>
      <c r="J47" s="175">
        <v>0.5</v>
      </c>
      <c r="K47" s="175">
        <v>0.5</v>
      </c>
      <c r="L47" s="175">
        <v>0.5</v>
      </c>
      <c r="M47" s="175">
        <v>0.5</v>
      </c>
      <c r="N47" s="175">
        <v>0.5</v>
      </c>
      <c r="O47" s="175">
        <v>0.5</v>
      </c>
      <c r="P47" s="175">
        <v>0.5</v>
      </c>
      <c r="Q47" s="175">
        <v>0.5</v>
      </c>
      <c r="R47" s="175">
        <v>0.5</v>
      </c>
      <c r="S47" s="175">
        <v>0.5</v>
      </c>
      <c r="T47" s="175">
        <v>0.5</v>
      </c>
      <c r="U47" s="175">
        <v>0.5</v>
      </c>
      <c r="V47" s="175">
        <v>0.5</v>
      </c>
      <c r="W47" s="175">
        <v>0.5</v>
      </c>
      <c r="X47" s="175">
        <v>0.5</v>
      </c>
      <c r="Y47" s="175">
        <v>0.5</v>
      </c>
      <c r="Z47" s="175">
        <v>0.5</v>
      </c>
      <c r="AA47" s="175">
        <v>0.5</v>
      </c>
      <c r="AB47" s="175">
        <v>0.5</v>
      </c>
      <c r="AC47" s="175">
        <v>0.5</v>
      </c>
      <c r="AD47" s="175">
        <v>0.5</v>
      </c>
      <c r="AE47" s="175">
        <v>0.5</v>
      </c>
      <c r="AF47" s="175">
        <v>0.5</v>
      </c>
      <c r="AG47" s="175">
        <v>0.5</v>
      </c>
      <c r="AH47" s="175">
        <v>0.5</v>
      </c>
      <c r="AI47" s="175">
        <v>0.5</v>
      </c>
      <c r="AJ47" s="175">
        <v>0.5</v>
      </c>
      <c r="AK47" s="175">
        <v>0.5</v>
      </c>
      <c r="AL47" s="175">
        <v>0.5</v>
      </c>
      <c r="AM47" s="175">
        <v>0.5</v>
      </c>
      <c r="AN47" s="175">
        <v>0.5</v>
      </c>
      <c r="AO47" s="175">
        <v>0.5</v>
      </c>
      <c r="AP47" s="175">
        <v>0.5</v>
      </c>
      <c r="AQ47" s="175">
        <v>0.5</v>
      </c>
      <c r="AR47" s="175">
        <v>0.5</v>
      </c>
      <c r="AS47" s="175">
        <v>0.5</v>
      </c>
      <c r="AT47" s="175">
        <v>0.5</v>
      </c>
      <c r="AU47" s="175">
        <v>0.5</v>
      </c>
      <c r="AV47" s="175">
        <v>0.5</v>
      </c>
      <c r="AW47" s="175">
        <v>0.5</v>
      </c>
      <c r="AX47" s="175">
        <v>0.5</v>
      </c>
      <c r="AY47" s="175">
        <v>0.5</v>
      </c>
      <c r="AZ47" s="175">
        <v>0.5</v>
      </c>
      <c r="BA47" s="175">
        <v>0.5</v>
      </c>
      <c r="BB47" s="175">
        <v>0.5</v>
      </c>
      <c r="BC47" s="175">
        <v>0.5</v>
      </c>
      <c r="BD47" s="175">
        <v>0.5</v>
      </c>
      <c r="BE47" s="175">
        <v>0.5</v>
      </c>
      <c r="BF47" s="175">
        <v>0.5</v>
      </c>
      <c r="BG47" s="175">
        <v>0.5</v>
      </c>
      <c r="BH47" s="175">
        <v>0.5</v>
      </c>
      <c r="BI47" s="175">
        <v>0.5</v>
      </c>
      <c r="BJ47" s="175">
        <v>0.5</v>
      </c>
      <c r="BK47" s="175">
        <v>0.5</v>
      </c>
      <c r="BL47" s="175">
        <v>0.5</v>
      </c>
      <c r="BM47" s="175">
        <v>0.5</v>
      </c>
      <c r="BN47" s="175">
        <v>0.5</v>
      </c>
      <c r="BO47" s="175">
        <v>0.5</v>
      </c>
      <c r="BP47" s="175">
        <v>0.5</v>
      </c>
      <c r="BQ47" s="175">
        <v>0.5</v>
      </c>
      <c r="BR47" s="175">
        <v>0.5</v>
      </c>
      <c r="BS47" s="175">
        <v>0.5</v>
      </c>
      <c r="BT47" s="175">
        <v>0.5</v>
      </c>
      <c r="BU47" s="175">
        <v>0.5</v>
      </c>
      <c r="BV47" s="175">
        <v>0.5</v>
      </c>
      <c r="BW47" s="175">
        <v>0.5</v>
      </c>
      <c r="BX47" s="175">
        <v>0.5</v>
      </c>
      <c r="BY47" s="175">
        <v>0.5</v>
      </c>
      <c r="BZ47" s="175">
        <v>0.5</v>
      </c>
      <c r="CA47" s="175">
        <v>0.5</v>
      </c>
      <c r="CB47" s="175">
        <v>0.5</v>
      </c>
      <c r="CC47" s="175">
        <v>0.5</v>
      </c>
      <c r="CD47" s="175">
        <v>0.5</v>
      </c>
      <c r="CE47" s="175">
        <v>0.5</v>
      </c>
      <c r="CF47" s="175">
        <v>0.5</v>
      </c>
      <c r="CG47" s="175">
        <v>0.5</v>
      </c>
      <c r="CH47" s="175">
        <v>0.5</v>
      </c>
      <c r="CI47" s="175">
        <v>0.5</v>
      </c>
      <c r="CJ47" s="175">
        <v>0.5</v>
      </c>
      <c r="CK47" s="175">
        <v>0.5</v>
      </c>
      <c r="CL47" s="175">
        <v>0.5</v>
      </c>
      <c r="CM47" s="175">
        <v>0.5</v>
      </c>
      <c r="CN47" s="175">
        <v>0.5</v>
      </c>
      <c r="CO47" s="175">
        <v>0.5</v>
      </c>
      <c r="CP47" s="175">
        <v>0</v>
      </c>
      <c r="CQ47" s="175">
        <v>0</v>
      </c>
    </row>
    <row r="48" spans="1:95" s="175" customFormat="1" ht="16" x14ac:dyDescent="0.2">
      <c r="A48" t="s">
        <v>202</v>
      </c>
      <c r="B48" s="175">
        <v>0</v>
      </c>
      <c r="C48" s="175">
        <v>0.5</v>
      </c>
      <c r="D48" s="175">
        <v>0.5</v>
      </c>
      <c r="E48" s="175">
        <v>0.5</v>
      </c>
      <c r="F48" s="175">
        <v>0.5</v>
      </c>
      <c r="G48" s="175">
        <v>0.5</v>
      </c>
      <c r="H48" s="175">
        <v>0.5</v>
      </c>
      <c r="I48" s="175">
        <v>0.5</v>
      </c>
      <c r="J48" s="175">
        <v>0.5</v>
      </c>
      <c r="K48" s="175">
        <v>0.5</v>
      </c>
      <c r="L48" s="175">
        <v>0.5</v>
      </c>
      <c r="M48" s="175">
        <v>0.5</v>
      </c>
      <c r="N48" s="175">
        <v>0.5</v>
      </c>
      <c r="O48" s="175">
        <v>0.5</v>
      </c>
      <c r="P48" s="175">
        <v>0.5</v>
      </c>
      <c r="Q48" s="175">
        <v>0.5</v>
      </c>
      <c r="R48" s="175">
        <v>0.5</v>
      </c>
      <c r="S48" s="175">
        <v>0.5</v>
      </c>
      <c r="T48" s="175">
        <v>0.5</v>
      </c>
      <c r="U48" s="175">
        <v>0.5</v>
      </c>
      <c r="V48" s="175">
        <v>0.5</v>
      </c>
      <c r="W48" s="175">
        <v>0.5</v>
      </c>
      <c r="X48" s="175">
        <v>0.5</v>
      </c>
      <c r="Y48" s="175">
        <v>0.5</v>
      </c>
      <c r="Z48" s="175">
        <v>0.5</v>
      </c>
      <c r="AA48" s="175">
        <v>0.5</v>
      </c>
      <c r="AB48" s="175">
        <v>0.5</v>
      </c>
      <c r="AC48" s="175">
        <v>0.5</v>
      </c>
      <c r="AD48" s="175">
        <v>0.5</v>
      </c>
      <c r="AE48" s="175">
        <v>0.5</v>
      </c>
      <c r="AF48" s="175">
        <v>0.5</v>
      </c>
      <c r="AG48" s="175">
        <v>0.5</v>
      </c>
      <c r="AH48" s="175">
        <v>0.5</v>
      </c>
      <c r="AI48" s="175">
        <v>0.5</v>
      </c>
      <c r="AJ48" s="175">
        <v>0.5</v>
      </c>
      <c r="AK48" s="175">
        <v>0.5</v>
      </c>
      <c r="AL48" s="175">
        <v>0.5</v>
      </c>
      <c r="AM48" s="175">
        <v>0.5</v>
      </c>
      <c r="AN48" s="175">
        <v>0.5</v>
      </c>
      <c r="AO48" s="175">
        <v>0.5</v>
      </c>
      <c r="AP48" s="175">
        <v>0.5</v>
      </c>
      <c r="AQ48" s="175">
        <v>0.5</v>
      </c>
      <c r="AR48" s="175">
        <v>0.5</v>
      </c>
      <c r="AS48" s="175">
        <v>0.5</v>
      </c>
      <c r="AT48" s="175">
        <v>0.5</v>
      </c>
      <c r="AU48" s="175">
        <v>0.5</v>
      </c>
      <c r="AV48" s="175">
        <v>0.5</v>
      </c>
      <c r="AW48" s="175">
        <v>0.5</v>
      </c>
      <c r="AX48" s="175">
        <v>0.5</v>
      </c>
      <c r="AY48" s="175">
        <v>0.5</v>
      </c>
      <c r="AZ48" s="175">
        <v>0.5</v>
      </c>
      <c r="BA48" s="175">
        <v>0.5</v>
      </c>
      <c r="BB48" s="175">
        <v>0.5</v>
      </c>
      <c r="BC48" s="175">
        <v>0.5</v>
      </c>
      <c r="BD48" s="175">
        <v>0.5</v>
      </c>
      <c r="BE48" s="175">
        <v>0.5</v>
      </c>
      <c r="BF48" s="175">
        <v>0.5</v>
      </c>
      <c r="BG48" s="175">
        <v>0.5</v>
      </c>
      <c r="BH48" s="175">
        <v>0.5</v>
      </c>
      <c r="BI48" s="175">
        <v>0.5</v>
      </c>
      <c r="BJ48" s="175">
        <v>0.5</v>
      </c>
      <c r="BK48" s="175">
        <v>0.5</v>
      </c>
      <c r="BL48" s="175">
        <v>0.5</v>
      </c>
      <c r="BM48" s="175">
        <v>0.5</v>
      </c>
      <c r="BN48" s="175">
        <v>0.5</v>
      </c>
      <c r="BO48" s="175">
        <v>0.5</v>
      </c>
      <c r="BP48" s="175">
        <v>0.5</v>
      </c>
      <c r="BQ48" s="175">
        <v>0.5</v>
      </c>
      <c r="BR48" s="175">
        <v>0.5</v>
      </c>
      <c r="BS48" s="175">
        <v>0.5</v>
      </c>
      <c r="BT48" s="175">
        <v>0.5</v>
      </c>
      <c r="BU48" s="175">
        <v>0.5</v>
      </c>
      <c r="BV48" s="175">
        <v>0.5</v>
      </c>
      <c r="BW48" s="175">
        <v>0.5</v>
      </c>
      <c r="BX48" s="175">
        <v>0.5</v>
      </c>
      <c r="BY48" s="175">
        <v>0.5</v>
      </c>
      <c r="BZ48" s="175">
        <v>0.5</v>
      </c>
      <c r="CA48" s="175">
        <v>0.5</v>
      </c>
      <c r="CB48" s="175">
        <v>0.5</v>
      </c>
      <c r="CC48" s="175">
        <v>0.5</v>
      </c>
      <c r="CD48" s="175">
        <v>0.5</v>
      </c>
      <c r="CE48" s="175">
        <v>0.5</v>
      </c>
      <c r="CF48" s="175">
        <v>0.5</v>
      </c>
      <c r="CG48" s="175">
        <v>0.5</v>
      </c>
      <c r="CH48" s="175">
        <v>0.5</v>
      </c>
      <c r="CI48" s="175">
        <v>0.5</v>
      </c>
      <c r="CJ48" s="175">
        <v>0.5</v>
      </c>
      <c r="CK48" s="175">
        <v>0.5</v>
      </c>
      <c r="CL48" s="175">
        <v>0.5</v>
      </c>
      <c r="CM48" s="175">
        <v>0.5</v>
      </c>
      <c r="CN48" s="175">
        <v>0.5</v>
      </c>
      <c r="CO48" s="175">
        <v>0.5</v>
      </c>
      <c r="CP48" s="175">
        <v>0</v>
      </c>
      <c r="CQ48" s="175">
        <v>0</v>
      </c>
    </row>
    <row r="49" spans="1:95" s="175" customFormat="1" ht="16" x14ac:dyDescent="0.2">
      <c r="A49" t="s">
        <v>203</v>
      </c>
      <c r="B49" s="175">
        <v>0</v>
      </c>
      <c r="C49" s="175">
        <v>0.5</v>
      </c>
      <c r="D49" s="175">
        <v>0.5</v>
      </c>
      <c r="E49" s="175">
        <v>0.5</v>
      </c>
      <c r="F49" s="175">
        <v>0.5</v>
      </c>
      <c r="G49" s="175">
        <v>0.5</v>
      </c>
      <c r="H49" s="175">
        <v>0.5</v>
      </c>
      <c r="I49" s="175">
        <v>0.5</v>
      </c>
      <c r="J49" s="175">
        <v>0.5</v>
      </c>
      <c r="K49" s="175">
        <v>0.5</v>
      </c>
      <c r="L49" s="175">
        <v>0.5</v>
      </c>
      <c r="M49" s="175">
        <v>0.5</v>
      </c>
      <c r="N49" s="175">
        <v>0.5</v>
      </c>
      <c r="O49" s="175">
        <v>0.5</v>
      </c>
      <c r="P49" s="175">
        <v>0.5</v>
      </c>
      <c r="Q49" s="175">
        <v>0.5</v>
      </c>
      <c r="R49" s="175">
        <v>0.5</v>
      </c>
      <c r="S49" s="175">
        <v>0.5</v>
      </c>
      <c r="T49" s="175">
        <v>0.5</v>
      </c>
      <c r="U49" s="175">
        <v>0.5</v>
      </c>
      <c r="V49" s="175">
        <v>0.5</v>
      </c>
      <c r="W49" s="175">
        <v>0.5</v>
      </c>
      <c r="X49" s="175">
        <v>0.5</v>
      </c>
      <c r="Y49" s="175">
        <v>0.5</v>
      </c>
      <c r="Z49" s="175">
        <v>0.5</v>
      </c>
      <c r="AA49" s="175">
        <v>0.5</v>
      </c>
      <c r="AB49" s="175">
        <v>0.5</v>
      </c>
      <c r="AC49" s="175">
        <v>0.5</v>
      </c>
      <c r="AD49" s="175">
        <v>0.5</v>
      </c>
      <c r="AE49" s="175">
        <v>0.5</v>
      </c>
      <c r="AF49" s="175">
        <v>0.5</v>
      </c>
      <c r="AG49" s="175">
        <v>0.5</v>
      </c>
      <c r="AH49" s="175">
        <v>0.5</v>
      </c>
      <c r="AI49" s="175">
        <v>0.5</v>
      </c>
      <c r="AJ49" s="175">
        <v>0.5</v>
      </c>
      <c r="AK49" s="175">
        <v>0.5</v>
      </c>
      <c r="AL49" s="175">
        <v>0.5</v>
      </c>
      <c r="AM49" s="175">
        <v>0.5</v>
      </c>
      <c r="AN49" s="175">
        <v>0.5</v>
      </c>
      <c r="AO49" s="175">
        <v>0.5</v>
      </c>
      <c r="AP49" s="175">
        <v>0.5</v>
      </c>
      <c r="AQ49" s="175">
        <v>0.5</v>
      </c>
      <c r="AR49" s="175">
        <v>0.5</v>
      </c>
      <c r="AS49" s="175">
        <v>0.5</v>
      </c>
      <c r="AT49" s="175">
        <v>0.5</v>
      </c>
      <c r="AU49" s="175">
        <v>0.5</v>
      </c>
      <c r="AV49" s="175">
        <v>0.5</v>
      </c>
      <c r="AW49" s="175">
        <v>0.5</v>
      </c>
      <c r="AX49" s="175">
        <v>0.5</v>
      </c>
      <c r="AY49" s="175">
        <v>0.5</v>
      </c>
      <c r="AZ49" s="175">
        <v>0.5</v>
      </c>
      <c r="BA49" s="175">
        <v>0.5</v>
      </c>
      <c r="BB49" s="175">
        <v>0.5</v>
      </c>
      <c r="BC49" s="175">
        <v>0.5</v>
      </c>
      <c r="BD49" s="175">
        <v>0.5</v>
      </c>
      <c r="BE49" s="175">
        <v>0.5</v>
      </c>
      <c r="BF49" s="175">
        <v>0.5</v>
      </c>
      <c r="BG49" s="175">
        <v>0.5</v>
      </c>
      <c r="BH49" s="175">
        <v>0.5</v>
      </c>
      <c r="BI49" s="175">
        <v>0.5</v>
      </c>
      <c r="BJ49" s="175">
        <v>0.5</v>
      </c>
      <c r="BK49" s="175">
        <v>0.5</v>
      </c>
      <c r="BL49" s="175">
        <v>0.5</v>
      </c>
      <c r="BM49" s="175">
        <v>0.5</v>
      </c>
      <c r="BN49" s="175">
        <v>0.5</v>
      </c>
      <c r="BO49" s="175">
        <v>0.5</v>
      </c>
      <c r="BP49" s="175">
        <v>0.5</v>
      </c>
      <c r="BQ49" s="175">
        <v>0.5</v>
      </c>
      <c r="BR49" s="175">
        <v>0.5</v>
      </c>
      <c r="BS49" s="175">
        <v>0.5</v>
      </c>
      <c r="BT49" s="175">
        <v>0.5</v>
      </c>
      <c r="BU49" s="175">
        <v>0.5</v>
      </c>
      <c r="BV49" s="175">
        <v>0.5</v>
      </c>
      <c r="BW49" s="175">
        <v>0.5</v>
      </c>
      <c r="BX49" s="175">
        <v>0.5</v>
      </c>
      <c r="BY49" s="175">
        <v>0.5</v>
      </c>
      <c r="BZ49" s="175">
        <v>0.5</v>
      </c>
      <c r="CA49" s="175">
        <v>0.5</v>
      </c>
      <c r="CB49" s="175">
        <v>0.5</v>
      </c>
      <c r="CC49" s="175">
        <v>0.5</v>
      </c>
      <c r="CD49" s="175">
        <v>0.5</v>
      </c>
      <c r="CE49" s="175">
        <v>0.5</v>
      </c>
      <c r="CF49" s="175">
        <v>0.5</v>
      </c>
      <c r="CG49" s="175">
        <v>0.5</v>
      </c>
      <c r="CH49" s="175">
        <v>0.5</v>
      </c>
      <c r="CI49" s="175">
        <v>0.5</v>
      </c>
      <c r="CJ49" s="175">
        <v>0.5</v>
      </c>
      <c r="CK49" s="175">
        <v>0.5</v>
      </c>
      <c r="CL49" s="175">
        <v>0.5</v>
      </c>
      <c r="CM49" s="175">
        <v>0.5</v>
      </c>
      <c r="CN49" s="175">
        <v>0.5</v>
      </c>
      <c r="CO49" s="175">
        <v>0.5</v>
      </c>
      <c r="CP49" s="175">
        <v>0</v>
      </c>
      <c r="CQ49" s="175">
        <v>0</v>
      </c>
    </row>
    <row r="50" spans="1:95" s="175" customFormat="1" ht="16" x14ac:dyDescent="0.2">
      <c r="A50" t="s">
        <v>204</v>
      </c>
      <c r="B50" s="175">
        <v>0</v>
      </c>
      <c r="C50" s="175">
        <v>0.5</v>
      </c>
      <c r="D50" s="175">
        <v>0.5</v>
      </c>
      <c r="E50" s="175">
        <v>0.5</v>
      </c>
      <c r="F50" s="175">
        <v>0.5</v>
      </c>
      <c r="G50" s="175">
        <v>0.5</v>
      </c>
      <c r="H50" s="175">
        <v>0.5</v>
      </c>
      <c r="I50" s="175">
        <v>0.5</v>
      </c>
      <c r="J50" s="175">
        <v>0.5</v>
      </c>
      <c r="K50" s="175">
        <v>0.5</v>
      </c>
      <c r="L50" s="175">
        <v>0.5</v>
      </c>
      <c r="M50" s="175">
        <v>0.5</v>
      </c>
      <c r="N50" s="175">
        <v>0.5</v>
      </c>
      <c r="O50" s="175">
        <v>0.5</v>
      </c>
      <c r="P50" s="175">
        <v>0.5</v>
      </c>
      <c r="Q50" s="175">
        <v>0.5</v>
      </c>
      <c r="R50" s="175">
        <v>0.5</v>
      </c>
      <c r="S50" s="175">
        <v>0.5</v>
      </c>
      <c r="T50" s="175">
        <v>0.5</v>
      </c>
      <c r="U50" s="175">
        <v>0.5</v>
      </c>
      <c r="V50" s="175">
        <v>0.5</v>
      </c>
      <c r="W50" s="175">
        <v>0.5</v>
      </c>
      <c r="X50" s="175">
        <v>0.5</v>
      </c>
      <c r="Y50" s="175">
        <v>0.5</v>
      </c>
      <c r="Z50" s="175">
        <v>0.5</v>
      </c>
      <c r="AA50" s="175">
        <v>0.5</v>
      </c>
      <c r="AB50" s="175">
        <v>0.5</v>
      </c>
      <c r="AC50" s="175">
        <v>0.5</v>
      </c>
      <c r="AD50" s="175">
        <v>0.5</v>
      </c>
      <c r="AE50" s="175">
        <v>0.5</v>
      </c>
      <c r="AF50" s="175">
        <v>0.5</v>
      </c>
      <c r="AG50" s="175">
        <v>0.5</v>
      </c>
      <c r="AH50" s="175">
        <v>0.5</v>
      </c>
      <c r="AI50" s="175">
        <v>0.5</v>
      </c>
      <c r="AJ50" s="175">
        <v>0.5</v>
      </c>
      <c r="AK50" s="175">
        <v>0.5</v>
      </c>
      <c r="AL50" s="175">
        <v>0.5</v>
      </c>
      <c r="AM50" s="175">
        <v>0.5</v>
      </c>
      <c r="AN50" s="175">
        <v>0.5</v>
      </c>
      <c r="AO50" s="175">
        <v>0.5</v>
      </c>
      <c r="AP50" s="175">
        <v>0.5</v>
      </c>
      <c r="AQ50" s="175">
        <v>0.5</v>
      </c>
      <c r="AR50" s="175">
        <v>0.5</v>
      </c>
      <c r="AS50" s="175">
        <v>0.5</v>
      </c>
      <c r="AT50" s="175">
        <v>0.5</v>
      </c>
      <c r="AU50" s="175">
        <v>0.5</v>
      </c>
      <c r="AV50" s="175">
        <v>0.5</v>
      </c>
      <c r="AW50" s="175">
        <v>0.5</v>
      </c>
      <c r="AX50" s="175">
        <v>0.5</v>
      </c>
      <c r="AY50" s="175">
        <v>0.5</v>
      </c>
      <c r="AZ50" s="175">
        <v>0.5</v>
      </c>
      <c r="BA50" s="175">
        <v>0.5</v>
      </c>
      <c r="BB50" s="175">
        <v>0.5</v>
      </c>
      <c r="BC50" s="175">
        <v>0.5</v>
      </c>
      <c r="BD50" s="175">
        <v>0.5</v>
      </c>
      <c r="BE50" s="175">
        <v>0.5</v>
      </c>
      <c r="BF50" s="175">
        <v>0.5</v>
      </c>
      <c r="BG50" s="175">
        <v>0.5</v>
      </c>
      <c r="BH50" s="175">
        <v>0.5</v>
      </c>
      <c r="BI50" s="175">
        <v>0.5</v>
      </c>
      <c r="BJ50" s="175">
        <v>0.5</v>
      </c>
      <c r="BK50" s="175">
        <v>0.5</v>
      </c>
      <c r="BL50" s="175">
        <v>0.5</v>
      </c>
      <c r="BM50" s="175">
        <v>0.5</v>
      </c>
      <c r="BN50" s="175">
        <v>0.5</v>
      </c>
      <c r="BO50" s="175">
        <v>0.5</v>
      </c>
      <c r="BP50" s="175">
        <v>0.5</v>
      </c>
      <c r="BQ50" s="175">
        <v>0.5</v>
      </c>
      <c r="BR50" s="175">
        <v>0.5</v>
      </c>
      <c r="BS50" s="175">
        <v>0.5</v>
      </c>
      <c r="BT50" s="175">
        <v>0.5</v>
      </c>
      <c r="BU50" s="175">
        <v>0.5</v>
      </c>
      <c r="BV50" s="175">
        <v>0.5</v>
      </c>
      <c r="BW50" s="175">
        <v>0.5</v>
      </c>
      <c r="BX50" s="175">
        <v>0.5</v>
      </c>
      <c r="BY50" s="175">
        <v>0.5</v>
      </c>
      <c r="BZ50" s="175">
        <v>0.5</v>
      </c>
      <c r="CA50" s="175">
        <v>0.5</v>
      </c>
      <c r="CB50" s="175">
        <v>0.5</v>
      </c>
      <c r="CC50" s="175">
        <v>0.5</v>
      </c>
      <c r="CD50" s="175">
        <v>0.5</v>
      </c>
      <c r="CE50" s="175">
        <v>0.5</v>
      </c>
      <c r="CF50" s="175">
        <v>0.5</v>
      </c>
      <c r="CG50" s="175">
        <v>0.5</v>
      </c>
      <c r="CH50" s="175">
        <v>0.5</v>
      </c>
      <c r="CI50" s="175">
        <v>0.5</v>
      </c>
      <c r="CJ50" s="175">
        <v>0.5</v>
      </c>
      <c r="CK50" s="175">
        <v>0.5</v>
      </c>
      <c r="CL50" s="175">
        <v>0.5</v>
      </c>
      <c r="CM50" s="175">
        <v>0.5</v>
      </c>
      <c r="CN50" s="175">
        <v>0.5</v>
      </c>
      <c r="CO50" s="175">
        <v>0.5</v>
      </c>
      <c r="CP50" s="175">
        <v>0</v>
      </c>
      <c r="CQ50" s="175">
        <v>0</v>
      </c>
    </row>
    <row r="51" spans="1:95" s="175" customFormat="1" ht="16" x14ac:dyDescent="0.2">
      <c r="A51" t="s">
        <v>257</v>
      </c>
      <c r="B51" s="175">
        <v>0</v>
      </c>
      <c r="C51" s="175">
        <v>0.5</v>
      </c>
      <c r="D51" s="175">
        <v>0.5</v>
      </c>
      <c r="E51" s="175">
        <v>0.5</v>
      </c>
      <c r="F51" s="175">
        <v>0.5</v>
      </c>
      <c r="G51" s="175">
        <v>0.5</v>
      </c>
      <c r="H51" s="175">
        <v>0.5</v>
      </c>
      <c r="I51" s="175">
        <v>0.5</v>
      </c>
      <c r="J51" s="175">
        <v>0.5</v>
      </c>
      <c r="K51" s="175">
        <v>0.5</v>
      </c>
      <c r="L51" s="175">
        <v>0.5</v>
      </c>
      <c r="M51" s="175">
        <v>0.5</v>
      </c>
      <c r="N51" s="175">
        <v>0.5</v>
      </c>
      <c r="O51" s="175">
        <v>0.5</v>
      </c>
      <c r="P51" s="175">
        <v>0.5</v>
      </c>
      <c r="Q51" s="175">
        <v>0.5</v>
      </c>
      <c r="R51" s="175">
        <v>0.5</v>
      </c>
      <c r="S51" s="175">
        <v>0.5</v>
      </c>
      <c r="T51" s="175">
        <v>0.5</v>
      </c>
      <c r="U51" s="175">
        <v>0.5</v>
      </c>
      <c r="V51" s="175">
        <v>0.5</v>
      </c>
      <c r="W51" s="175">
        <v>0.5</v>
      </c>
      <c r="X51" s="175">
        <v>0.5</v>
      </c>
      <c r="Y51" s="175">
        <v>0.5</v>
      </c>
      <c r="Z51" s="175">
        <v>0.5</v>
      </c>
      <c r="AA51" s="175">
        <v>0.5</v>
      </c>
      <c r="AB51" s="175">
        <v>0.5</v>
      </c>
      <c r="AC51" s="175">
        <v>0.5</v>
      </c>
      <c r="AD51" s="175">
        <v>0.5</v>
      </c>
      <c r="AE51" s="175">
        <v>0.5</v>
      </c>
      <c r="AF51" s="175">
        <v>0.5</v>
      </c>
      <c r="AG51" s="175">
        <v>0.5</v>
      </c>
      <c r="AH51" s="175">
        <v>0.5</v>
      </c>
      <c r="AI51" s="175">
        <v>0.5</v>
      </c>
      <c r="AJ51" s="175">
        <v>0.5</v>
      </c>
      <c r="AK51" s="175">
        <v>0.5</v>
      </c>
      <c r="AL51" s="175">
        <v>0.5</v>
      </c>
      <c r="AM51" s="175">
        <v>0.5</v>
      </c>
      <c r="AN51" s="175">
        <v>0.5</v>
      </c>
      <c r="AO51" s="175">
        <v>0.5</v>
      </c>
      <c r="AP51" s="175">
        <v>0.5</v>
      </c>
      <c r="AQ51" s="175">
        <v>0.5</v>
      </c>
      <c r="AR51" s="175">
        <v>0.5</v>
      </c>
      <c r="AS51" s="175">
        <v>0.5</v>
      </c>
      <c r="AT51" s="175">
        <v>0.5</v>
      </c>
      <c r="AU51" s="175">
        <v>0.5</v>
      </c>
      <c r="AV51" s="175">
        <v>0.5</v>
      </c>
      <c r="AW51" s="175">
        <v>0.5</v>
      </c>
      <c r="AX51" s="175">
        <v>0.5</v>
      </c>
      <c r="AY51" s="175">
        <v>0.5</v>
      </c>
      <c r="AZ51" s="175">
        <v>0.5</v>
      </c>
      <c r="BA51" s="175">
        <v>0.5</v>
      </c>
      <c r="BB51" s="175">
        <v>0.5</v>
      </c>
      <c r="BC51" s="175">
        <v>0.5</v>
      </c>
      <c r="BD51" s="175">
        <v>0.5</v>
      </c>
      <c r="BE51" s="175">
        <v>0.5</v>
      </c>
      <c r="BF51" s="175">
        <v>0.5</v>
      </c>
      <c r="BG51" s="175">
        <v>0.5</v>
      </c>
      <c r="BH51" s="175">
        <v>0.5</v>
      </c>
      <c r="BI51" s="175">
        <v>0.5</v>
      </c>
      <c r="BJ51" s="175">
        <v>0.5</v>
      </c>
      <c r="BK51" s="175">
        <v>0.5</v>
      </c>
      <c r="BL51" s="175">
        <v>0.5</v>
      </c>
      <c r="BM51" s="175">
        <v>0.5</v>
      </c>
      <c r="BN51" s="175">
        <v>0.5</v>
      </c>
      <c r="BO51" s="175">
        <v>0.5</v>
      </c>
      <c r="BP51" s="175">
        <v>0.5</v>
      </c>
      <c r="BQ51" s="175">
        <v>0.5</v>
      </c>
      <c r="BR51" s="175">
        <v>0.5</v>
      </c>
      <c r="BS51" s="175">
        <v>0.5</v>
      </c>
      <c r="BT51" s="175">
        <v>0.5</v>
      </c>
      <c r="BU51" s="175">
        <v>0.5</v>
      </c>
      <c r="BV51" s="175">
        <v>0.5</v>
      </c>
      <c r="BW51" s="175">
        <v>0.5</v>
      </c>
      <c r="BX51" s="175">
        <v>0.5</v>
      </c>
      <c r="BY51" s="175">
        <v>0.5</v>
      </c>
      <c r="BZ51" s="175">
        <v>0.5</v>
      </c>
      <c r="CA51" s="175">
        <v>0.5</v>
      </c>
      <c r="CB51" s="175">
        <v>0.5</v>
      </c>
      <c r="CC51" s="175">
        <v>0.5</v>
      </c>
      <c r="CD51" s="175">
        <v>0.5</v>
      </c>
      <c r="CE51" s="175">
        <v>0.5</v>
      </c>
      <c r="CF51" s="175">
        <v>0.5</v>
      </c>
      <c r="CG51" s="175">
        <v>0.5</v>
      </c>
      <c r="CH51" s="175">
        <v>0.5</v>
      </c>
      <c r="CI51" s="175">
        <v>0.5</v>
      </c>
      <c r="CJ51" s="175">
        <v>0.5</v>
      </c>
      <c r="CK51" s="175">
        <v>0.5</v>
      </c>
      <c r="CL51" s="175">
        <v>0.5</v>
      </c>
      <c r="CM51" s="175">
        <v>0.5</v>
      </c>
      <c r="CN51" s="175">
        <v>0.5</v>
      </c>
      <c r="CO51" s="175">
        <v>0.5</v>
      </c>
      <c r="CP51" s="175">
        <v>0</v>
      </c>
      <c r="CQ51" s="175">
        <v>0</v>
      </c>
    </row>
    <row r="52" spans="1:95" s="175" customFormat="1" ht="16" x14ac:dyDescent="0.2">
      <c r="A52" t="s">
        <v>258</v>
      </c>
      <c r="B52" s="175">
        <v>0</v>
      </c>
      <c r="C52" s="175">
        <v>0.5</v>
      </c>
      <c r="D52" s="175">
        <v>0.5</v>
      </c>
      <c r="E52" s="175">
        <v>0.5</v>
      </c>
      <c r="F52" s="175">
        <v>0.5</v>
      </c>
      <c r="G52" s="175">
        <v>0.5</v>
      </c>
      <c r="H52" s="175">
        <v>0.5</v>
      </c>
      <c r="I52" s="175">
        <v>0.5</v>
      </c>
      <c r="J52" s="175">
        <v>0.5</v>
      </c>
      <c r="K52" s="175">
        <v>0.5</v>
      </c>
      <c r="L52" s="175">
        <v>0.5</v>
      </c>
      <c r="M52" s="175">
        <v>0.5</v>
      </c>
      <c r="N52" s="175">
        <v>0.5</v>
      </c>
      <c r="O52" s="175">
        <v>0.5</v>
      </c>
      <c r="P52" s="175">
        <v>0.5</v>
      </c>
      <c r="Q52" s="175">
        <v>0.5</v>
      </c>
      <c r="R52" s="175">
        <v>0.5</v>
      </c>
      <c r="S52" s="175">
        <v>0.5</v>
      </c>
      <c r="T52" s="175">
        <v>0.5</v>
      </c>
      <c r="U52" s="175">
        <v>0.5</v>
      </c>
      <c r="V52" s="175">
        <v>0.5</v>
      </c>
      <c r="W52" s="175">
        <v>0.5</v>
      </c>
      <c r="X52" s="175">
        <v>0.5</v>
      </c>
      <c r="Y52" s="175">
        <v>0.5</v>
      </c>
      <c r="Z52" s="175">
        <v>0.5</v>
      </c>
      <c r="AA52" s="175">
        <v>0.5</v>
      </c>
      <c r="AB52" s="175">
        <v>0.5</v>
      </c>
      <c r="AC52" s="175">
        <v>0.5</v>
      </c>
      <c r="AD52" s="175">
        <v>0.5</v>
      </c>
      <c r="AE52" s="175">
        <v>0.5</v>
      </c>
      <c r="AF52" s="175">
        <v>0.5</v>
      </c>
      <c r="AG52" s="175">
        <v>0.5</v>
      </c>
      <c r="AH52" s="175">
        <v>0.5</v>
      </c>
      <c r="AI52" s="175">
        <v>0.5</v>
      </c>
      <c r="AJ52" s="175">
        <v>0.5</v>
      </c>
      <c r="AK52" s="175">
        <v>0.5</v>
      </c>
      <c r="AL52" s="175">
        <v>0.5</v>
      </c>
      <c r="AM52" s="175">
        <v>0.5</v>
      </c>
      <c r="AN52" s="175">
        <v>0.5</v>
      </c>
      <c r="AO52" s="175">
        <v>0.5</v>
      </c>
      <c r="AP52" s="175">
        <v>0.5</v>
      </c>
      <c r="AQ52" s="175">
        <v>0.5</v>
      </c>
      <c r="AR52" s="175">
        <v>0.5</v>
      </c>
      <c r="AS52" s="175">
        <v>0.5</v>
      </c>
      <c r="AT52" s="175">
        <v>0.5</v>
      </c>
      <c r="AU52" s="175">
        <v>0.5</v>
      </c>
      <c r="AV52" s="175">
        <v>0.5</v>
      </c>
      <c r="AW52" s="175">
        <v>0.5</v>
      </c>
      <c r="AX52" s="175">
        <v>0.5</v>
      </c>
      <c r="AY52" s="175">
        <v>0.5</v>
      </c>
      <c r="AZ52" s="175">
        <v>0.5</v>
      </c>
      <c r="BA52" s="175">
        <v>0.5</v>
      </c>
      <c r="BB52" s="175">
        <v>0.5</v>
      </c>
      <c r="BC52" s="175">
        <v>0.5</v>
      </c>
      <c r="BD52" s="175">
        <v>0.5</v>
      </c>
      <c r="BE52" s="175">
        <v>0.5</v>
      </c>
      <c r="BF52" s="175">
        <v>0.5</v>
      </c>
      <c r="BG52" s="175">
        <v>0.5</v>
      </c>
      <c r="BH52" s="175">
        <v>0.5</v>
      </c>
      <c r="BI52" s="175">
        <v>0.5</v>
      </c>
      <c r="BJ52" s="175">
        <v>0.5</v>
      </c>
      <c r="BK52" s="175">
        <v>0.5</v>
      </c>
      <c r="BL52" s="175">
        <v>0.5</v>
      </c>
      <c r="BM52" s="175">
        <v>0.5</v>
      </c>
      <c r="BN52" s="175">
        <v>0.5</v>
      </c>
      <c r="BO52" s="175">
        <v>0.5</v>
      </c>
      <c r="BP52" s="175">
        <v>0.5</v>
      </c>
      <c r="BQ52" s="175">
        <v>0.5</v>
      </c>
      <c r="BR52" s="175">
        <v>0.5</v>
      </c>
      <c r="BS52" s="175">
        <v>0.5</v>
      </c>
      <c r="BT52" s="175">
        <v>0.5</v>
      </c>
      <c r="BU52" s="175">
        <v>0.5</v>
      </c>
      <c r="BV52" s="175">
        <v>0.5</v>
      </c>
      <c r="BW52" s="175">
        <v>0.5</v>
      </c>
      <c r="BX52" s="175">
        <v>0.5</v>
      </c>
      <c r="BY52" s="175">
        <v>0.5</v>
      </c>
      <c r="BZ52" s="175">
        <v>0.5</v>
      </c>
      <c r="CA52" s="175">
        <v>0.5</v>
      </c>
      <c r="CB52" s="175">
        <v>0.5</v>
      </c>
      <c r="CC52" s="175">
        <v>0.5</v>
      </c>
      <c r="CD52" s="175">
        <v>0.5</v>
      </c>
      <c r="CE52" s="175">
        <v>0.5</v>
      </c>
      <c r="CF52" s="175">
        <v>0.5</v>
      </c>
      <c r="CG52" s="175">
        <v>0.5</v>
      </c>
      <c r="CH52" s="175">
        <v>0.5</v>
      </c>
      <c r="CI52" s="175">
        <v>0.5</v>
      </c>
      <c r="CJ52" s="175">
        <v>0.5</v>
      </c>
      <c r="CK52" s="175">
        <v>0.5</v>
      </c>
      <c r="CL52" s="175">
        <v>0.5</v>
      </c>
      <c r="CM52" s="175">
        <v>0.5</v>
      </c>
      <c r="CN52" s="175">
        <v>0.5</v>
      </c>
      <c r="CO52" s="175">
        <v>0.5</v>
      </c>
      <c r="CP52" s="175">
        <v>0</v>
      </c>
      <c r="CQ52" s="175">
        <v>0</v>
      </c>
    </row>
    <row r="53" spans="1:95" s="175" customFormat="1" ht="16" x14ac:dyDescent="0.2">
      <c r="A53" t="s">
        <v>259</v>
      </c>
      <c r="B53" s="175">
        <v>0</v>
      </c>
      <c r="C53" s="175">
        <v>0.5</v>
      </c>
      <c r="D53" s="175">
        <v>0.5</v>
      </c>
      <c r="E53" s="175">
        <v>0.5</v>
      </c>
      <c r="F53" s="175">
        <v>0.5</v>
      </c>
      <c r="G53" s="175">
        <v>0.5</v>
      </c>
      <c r="H53" s="175">
        <v>0.5</v>
      </c>
      <c r="I53" s="175">
        <v>0.5</v>
      </c>
      <c r="J53" s="175">
        <v>0.5</v>
      </c>
      <c r="K53" s="175">
        <v>0.5</v>
      </c>
      <c r="L53" s="175">
        <v>0.5</v>
      </c>
      <c r="M53" s="175">
        <v>0.5</v>
      </c>
      <c r="N53" s="175">
        <v>0.5</v>
      </c>
      <c r="O53" s="175">
        <v>0.5</v>
      </c>
      <c r="P53" s="175">
        <v>0.5</v>
      </c>
      <c r="Q53" s="175">
        <v>0.5</v>
      </c>
      <c r="R53" s="175">
        <v>0.5</v>
      </c>
      <c r="S53" s="175">
        <v>0.5</v>
      </c>
      <c r="T53" s="175">
        <v>0.5</v>
      </c>
      <c r="U53" s="175">
        <v>0.5</v>
      </c>
      <c r="V53" s="175">
        <v>0.5</v>
      </c>
      <c r="W53" s="175">
        <v>0.5</v>
      </c>
      <c r="X53" s="175">
        <v>0.5</v>
      </c>
      <c r="Y53" s="175">
        <v>0.5</v>
      </c>
      <c r="Z53" s="175">
        <v>0.5</v>
      </c>
      <c r="AA53" s="175">
        <v>0.5</v>
      </c>
      <c r="AB53" s="175">
        <v>0.5</v>
      </c>
      <c r="AC53" s="175">
        <v>0.5</v>
      </c>
      <c r="AD53" s="175">
        <v>0.5</v>
      </c>
      <c r="AE53" s="175">
        <v>0.5</v>
      </c>
      <c r="AF53" s="175">
        <v>0.5</v>
      </c>
      <c r="AG53" s="175">
        <v>0.5</v>
      </c>
      <c r="AH53" s="175">
        <v>0.5</v>
      </c>
      <c r="AI53" s="175">
        <v>0.5</v>
      </c>
      <c r="AJ53" s="175">
        <v>0.5</v>
      </c>
      <c r="AK53" s="175">
        <v>0.5</v>
      </c>
      <c r="AL53" s="175">
        <v>0.5</v>
      </c>
      <c r="AM53" s="175">
        <v>0.5</v>
      </c>
      <c r="AN53" s="175">
        <v>0.5</v>
      </c>
      <c r="AO53" s="175">
        <v>0.5</v>
      </c>
      <c r="AP53" s="175">
        <v>0.5</v>
      </c>
      <c r="AQ53" s="175">
        <v>0.5</v>
      </c>
      <c r="AR53" s="175">
        <v>0.5</v>
      </c>
      <c r="AS53" s="175">
        <v>0.5</v>
      </c>
      <c r="AT53" s="175">
        <v>0.5</v>
      </c>
      <c r="AU53" s="175">
        <v>0.5</v>
      </c>
      <c r="AV53" s="175">
        <v>0.5</v>
      </c>
      <c r="AW53" s="175">
        <v>0.5</v>
      </c>
      <c r="AX53" s="175">
        <v>0.5</v>
      </c>
      <c r="AY53" s="175">
        <v>0.5</v>
      </c>
      <c r="AZ53" s="175">
        <v>0.5</v>
      </c>
      <c r="BA53" s="175">
        <v>0.5</v>
      </c>
      <c r="BB53" s="175">
        <v>0.5</v>
      </c>
      <c r="BC53" s="175">
        <v>0.5</v>
      </c>
      <c r="BD53" s="175">
        <v>0.5</v>
      </c>
      <c r="BE53" s="175">
        <v>0.5</v>
      </c>
      <c r="BF53" s="175">
        <v>0.5</v>
      </c>
      <c r="BG53" s="175">
        <v>0.5</v>
      </c>
      <c r="BH53" s="175">
        <v>0.5</v>
      </c>
      <c r="BI53" s="175">
        <v>0.5</v>
      </c>
      <c r="BJ53" s="175">
        <v>0.5</v>
      </c>
      <c r="BK53" s="175">
        <v>0.5</v>
      </c>
      <c r="BL53" s="175">
        <v>0.5</v>
      </c>
      <c r="BM53" s="175">
        <v>0.5</v>
      </c>
      <c r="BN53" s="175">
        <v>0.5</v>
      </c>
      <c r="BO53" s="175">
        <v>0.5</v>
      </c>
      <c r="BP53" s="175">
        <v>0.5</v>
      </c>
      <c r="BQ53" s="175">
        <v>0.5</v>
      </c>
      <c r="BR53" s="175">
        <v>0.5</v>
      </c>
      <c r="BS53" s="175">
        <v>0.5</v>
      </c>
      <c r="BT53" s="175">
        <v>0.5</v>
      </c>
      <c r="BU53" s="175">
        <v>0.5</v>
      </c>
      <c r="BV53" s="175">
        <v>0.5</v>
      </c>
      <c r="BW53" s="175">
        <v>0.5</v>
      </c>
      <c r="BX53" s="175">
        <v>0.5</v>
      </c>
      <c r="BY53" s="175">
        <v>0.5</v>
      </c>
      <c r="BZ53" s="175">
        <v>0.5</v>
      </c>
      <c r="CA53" s="175">
        <v>0.5</v>
      </c>
      <c r="CB53" s="175">
        <v>0.5</v>
      </c>
      <c r="CC53" s="175">
        <v>0.5</v>
      </c>
      <c r="CD53" s="175">
        <v>0.5</v>
      </c>
      <c r="CE53" s="175">
        <v>0.5</v>
      </c>
      <c r="CF53" s="175">
        <v>0.5</v>
      </c>
      <c r="CG53" s="175">
        <v>0.5</v>
      </c>
      <c r="CH53" s="175">
        <v>0.5</v>
      </c>
      <c r="CI53" s="175">
        <v>0.5</v>
      </c>
      <c r="CJ53" s="175">
        <v>0.5</v>
      </c>
      <c r="CK53" s="175">
        <v>0.5</v>
      </c>
      <c r="CL53" s="175">
        <v>0.5</v>
      </c>
      <c r="CM53" s="175">
        <v>0.5</v>
      </c>
      <c r="CN53" s="175">
        <v>0.5</v>
      </c>
      <c r="CO53" s="175">
        <v>0.5</v>
      </c>
      <c r="CP53" s="175">
        <v>0</v>
      </c>
      <c r="CQ53" s="175">
        <v>0</v>
      </c>
    </row>
    <row r="54" spans="1:95" s="175" customFormat="1" ht="16" x14ac:dyDescent="0.2">
      <c r="A54" t="s">
        <v>260</v>
      </c>
      <c r="B54" s="175">
        <v>0</v>
      </c>
      <c r="C54" s="175">
        <v>0.5</v>
      </c>
      <c r="D54" s="175">
        <v>0.5</v>
      </c>
      <c r="E54" s="175">
        <v>0.5</v>
      </c>
      <c r="F54" s="175">
        <v>0.5</v>
      </c>
      <c r="G54" s="175">
        <v>0.5</v>
      </c>
      <c r="H54" s="175">
        <v>0.5</v>
      </c>
      <c r="I54" s="175">
        <v>0.5</v>
      </c>
      <c r="J54" s="175">
        <v>0.5</v>
      </c>
      <c r="K54" s="175">
        <v>0.5</v>
      </c>
      <c r="L54" s="175">
        <v>0.5</v>
      </c>
      <c r="M54" s="175">
        <v>0.5</v>
      </c>
      <c r="N54" s="175">
        <v>0.5</v>
      </c>
      <c r="O54" s="175">
        <v>0.5</v>
      </c>
      <c r="P54" s="175">
        <v>0.5</v>
      </c>
      <c r="Q54" s="175">
        <v>0.5</v>
      </c>
      <c r="R54" s="175">
        <v>0.5</v>
      </c>
      <c r="S54" s="175">
        <v>0.5</v>
      </c>
      <c r="T54" s="175">
        <v>0.5</v>
      </c>
      <c r="U54" s="175">
        <v>0.5</v>
      </c>
      <c r="V54" s="175">
        <v>0.5</v>
      </c>
      <c r="W54" s="175">
        <v>0.5</v>
      </c>
      <c r="X54" s="175">
        <v>0.5</v>
      </c>
      <c r="Y54" s="175">
        <v>0.5</v>
      </c>
      <c r="Z54" s="175">
        <v>0.5</v>
      </c>
      <c r="AA54" s="175">
        <v>0.5</v>
      </c>
      <c r="AB54" s="175">
        <v>0.5</v>
      </c>
      <c r="AC54" s="175">
        <v>0.5</v>
      </c>
      <c r="AD54" s="175">
        <v>0.5</v>
      </c>
      <c r="AE54" s="175">
        <v>0.5</v>
      </c>
      <c r="AF54" s="175">
        <v>0.5</v>
      </c>
      <c r="AG54" s="175">
        <v>0.5</v>
      </c>
      <c r="AH54" s="175">
        <v>0.5</v>
      </c>
      <c r="AI54" s="175">
        <v>0.5</v>
      </c>
      <c r="AJ54" s="175">
        <v>0.5</v>
      </c>
      <c r="AK54" s="175">
        <v>0.5</v>
      </c>
      <c r="AL54" s="175">
        <v>0.5</v>
      </c>
      <c r="AM54" s="175">
        <v>0.5</v>
      </c>
      <c r="AN54" s="175">
        <v>0.5</v>
      </c>
      <c r="AO54" s="175">
        <v>0.5</v>
      </c>
      <c r="AP54" s="175">
        <v>0.5</v>
      </c>
      <c r="AQ54" s="175">
        <v>0.5</v>
      </c>
      <c r="AR54" s="175">
        <v>0.5</v>
      </c>
      <c r="AS54" s="175">
        <v>0.5</v>
      </c>
      <c r="AT54" s="175">
        <v>0.5</v>
      </c>
      <c r="AU54" s="175">
        <v>0.5</v>
      </c>
      <c r="AV54" s="175">
        <v>0.5</v>
      </c>
      <c r="AW54" s="175">
        <v>0.5</v>
      </c>
      <c r="AX54" s="175">
        <v>0.5</v>
      </c>
      <c r="AY54" s="175">
        <v>0.5</v>
      </c>
      <c r="AZ54" s="175">
        <v>0.5</v>
      </c>
      <c r="BA54" s="175">
        <v>0.5</v>
      </c>
      <c r="BB54" s="175">
        <v>0.5</v>
      </c>
      <c r="BC54" s="175">
        <v>0.5</v>
      </c>
      <c r="BD54" s="175">
        <v>0.5</v>
      </c>
      <c r="BE54" s="175">
        <v>0.5</v>
      </c>
      <c r="BF54" s="175">
        <v>0.5</v>
      </c>
      <c r="BG54" s="175">
        <v>0.5</v>
      </c>
      <c r="BH54" s="175">
        <v>0.5</v>
      </c>
      <c r="BI54" s="175">
        <v>0.5</v>
      </c>
      <c r="BJ54" s="175">
        <v>0.5</v>
      </c>
      <c r="BK54" s="175">
        <v>0.5</v>
      </c>
      <c r="BL54" s="175">
        <v>0.5</v>
      </c>
      <c r="BM54" s="175">
        <v>0.5</v>
      </c>
      <c r="BN54" s="175">
        <v>0.5</v>
      </c>
      <c r="BO54" s="175">
        <v>0.5</v>
      </c>
      <c r="BP54" s="175">
        <v>0.5</v>
      </c>
      <c r="BQ54" s="175">
        <v>0.5</v>
      </c>
      <c r="BR54" s="175">
        <v>0.5</v>
      </c>
      <c r="BS54" s="175">
        <v>0.5</v>
      </c>
      <c r="BT54" s="175">
        <v>0.5</v>
      </c>
      <c r="BU54" s="175">
        <v>0.5</v>
      </c>
      <c r="BV54" s="175">
        <v>0.5</v>
      </c>
      <c r="BW54" s="175">
        <v>0.5</v>
      </c>
      <c r="BX54" s="175">
        <v>0.5</v>
      </c>
      <c r="BY54" s="175">
        <v>0.5</v>
      </c>
      <c r="BZ54" s="175">
        <v>0.5</v>
      </c>
      <c r="CA54" s="175">
        <v>0.5</v>
      </c>
      <c r="CB54" s="175">
        <v>0.5</v>
      </c>
      <c r="CC54" s="175">
        <v>0.5</v>
      </c>
      <c r="CD54" s="175">
        <v>0.5</v>
      </c>
      <c r="CE54" s="175">
        <v>0.5</v>
      </c>
      <c r="CF54" s="175">
        <v>0.5</v>
      </c>
      <c r="CG54" s="175">
        <v>0.5</v>
      </c>
      <c r="CH54" s="175">
        <v>0.5</v>
      </c>
      <c r="CI54" s="175">
        <v>0.5</v>
      </c>
      <c r="CJ54" s="175">
        <v>0.5</v>
      </c>
      <c r="CK54" s="175">
        <v>0.5</v>
      </c>
      <c r="CL54" s="175">
        <v>0.5</v>
      </c>
      <c r="CM54" s="175">
        <v>0.5</v>
      </c>
      <c r="CN54" s="175">
        <v>0.5</v>
      </c>
      <c r="CO54" s="175">
        <v>0.5</v>
      </c>
      <c r="CP54" s="175">
        <v>0</v>
      </c>
      <c r="CQ54" s="175">
        <v>0</v>
      </c>
    </row>
    <row r="55" spans="1:95" s="175" customFormat="1" ht="16" x14ac:dyDescent="0.2">
      <c r="A55" t="s">
        <v>261</v>
      </c>
      <c r="B55" s="175">
        <v>0</v>
      </c>
      <c r="C55" s="175">
        <v>0.5</v>
      </c>
      <c r="D55" s="175">
        <v>0.5</v>
      </c>
      <c r="E55" s="175">
        <v>0.5</v>
      </c>
      <c r="F55" s="175">
        <v>0.5</v>
      </c>
      <c r="G55" s="175">
        <v>0.5</v>
      </c>
      <c r="H55" s="175">
        <v>0.5</v>
      </c>
      <c r="I55" s="175">
        <v>0.5</v>
      </c>
      <c r="J55" s="175">
        <v>0.5</v>
      </c>
      <c r="K55" s="175">
        <v>0.5</v>
      </c>
      <c r="L55" s="175">
        <v>0.5</v>
      </c>
      <c r="M55" s="175">
        <v>0.5</v>
      </c>
      <c r="N55" s="175">
        <v>0.5</v>
      </c>
      <c r="O55" s="175">
        <v>0.5</v>
      </c>
      <c r="P55" s="175">
        <v>0.5</v>
      </c>
      <c r="Q55" s="175">
        <v>0.5</v>
      </c>
      <c r="R55" s="175">
        <v>0.5</v>
      </c>
      <c r="S55" s="175">
        <v>0.5</v>
      </c>
      <c r="T55" s="175">
        <v>0.5</v>
      </c>
      <c r="U55" s="175">
        <v>0.5</v>
      </c>
      <c r="V55" s="175">
        <v>0.5</v>
      </c>
      <c r="W55" s="175">
        <v>0.5</v>
      </c>
      <c r="X55" s="175">
        <v>0.5</v>
      </c>
      <c r="Y55" s="175">
        <v>0.5</v>
      </c>
      <c r="Z55" s="175">
        <v>0.5</v>
      </c>
      <c r="AA55" s="175">
        <v>0.5</v>
      </c>
      <c r="AB55" s="175">
        <v>0.5</v>
      </c>
      <c r="AC55" s="175">
        <v>0.5</v>
      </c>
      <c r="AD55" s="175">
        <v>0.5</v>
      </c>
      <c r="AE55" s="175">
        <v>0.5</v>
      </c>
      <c r="AF55" s="175">
        <v>0.5</v>
      </c>
      <c r="AG55" s="175">
        <v>0.5</v>
      </c>
      <c r="AH55" s="175">
        <v>0.5</v>
      </c>
      <c r="AI55" s="175">
        <v>0.5</v>
      </c>
      <c r="AJ55" s="175">
        <v>0.5</v>
      </c>
      <c r="AK55" s="175">
        <v>0.5</v>
      </c>
      <c r="AL55" s="175">
        <v>0.5</v>
      </c>
      <c r="AM55" s="175">
        <v>0.5</v>
      </c>
      <c r="AN55" s="175">
        <v>0.5</v>
      </c>
      <c r="AO55" s="175">
        <v>0.5</v>
      </c>
      <c r="AP55" s="175">
        <v>0.5</v>
      </c>
      <c r="AQ55" s="175">
        <v>0.5</v>
      </c>
      <c r="AR55" s="175">
        <v>0.5</v>
      </c>
      <c r="AS55" s="175">
        <v>0.5</v>
      </c>
      <c r="AT55" s="175">
        <v>0.5</v>
      </c>
      <c r="AU55" s="175">
        <v>0.5</v>
      </c>
      <c r="AV55" s="175">
        <v>0.5</v>
      </c>
      <c r="AW55" s="175">
        <v>0.5</v>
      </c>
      <c r="AX55" s="175">
        <v>0.5</v>
      </c>
      <c r="AY55" s="175">
        <v>0.5</v>
      </c>
      <c r="AZ55" s="175">
        <v>0.5</v>
      </c>
      <c r="BA55" s="175">
        <v>0.5</v>
      </c>
      <c r="BB55" s="175">
        <v>0.5</v>
      </c>
      <c r="BC55" s="175">
        <v>0.5</v>
      </c>
      <c r="BD55" s="175">
        <v>0.5</v>
      </c>
      <c r="BE55" s="175">
        <v>0.5</v>
      </c>
      <c r="BF55" s="175">
        <v>0.5</v>
      </c>
      <c r="BG55" s="175">
        <v>0.5</v>
      </c>
      <c r="BH55" s="175">
        <v>0.5</v>
      </c>
      <c r="BI55" s="175">
        <v>0.5</v>
      </c>
      <c r="BJ55" s="175">
        <v>0.5</v>
      </c>
      <c r="BK55" s="175">
        <v>0.5</v>
      </c>
      <c r="BL55" s="175">
        <v>0.5</v>
      </c>
      <c r="BM55" s="175">
        <v>0.5</v>
      </c>
      <c r="BN55" s="175">
        <v>0.5</v>
      </c>
      <c r="BO55" s="175">
        <v>0.5</v>
      </c>
      <c r="BP55" s="175">
        <v>0.5</v>
      </c>
      <c r="BQ55" s="175">
        <v>0.5</v>
      </c>
      <c r="BR55" s="175">
        <v>0.5</v>
      </c>
      <c r="BS55" s="175">
        <v>0.5</v>
      </c>
      <c r="BT55" s="175">
        <v>0.5</v>
      </c>
      <c r="BU55" s="175">
        <v>0.5</v>
      </c>
      <c r="BV55" s="175">
        <v>0.5</v>
      </c>
      <c r="BW55" s="175">
        <v>0.5</v>
      </c>
      <c r="BX55" s="175">
        <v>0.5</v>
      </c>
      <c r="BY55" s="175">
        <v>0.5</v>
      </c>
      <c r="BZ55" s="175">
        <v>0.5</v>
      </c>
      <c r="CA55" s="175">
        <v>0.5</v>
      </c>
      <c r="CB55" s="175">
        <v>0.5</v>
      </c>
      <c r="CC55" s="175">
        <v>0.5</v>
      </c>
      <c r="CD55" s="175">
        <v>0.5</v>
      </c>
      <c r="CE55" s="175">
        <v>0.5</v>
      </c>
      <c r="CF55" s="175">
        <v>0.5</v>
      </c>
      <c r="CG55" s="175">
        <v>0.5</v>
      </c>
      <c r="CH55" s="175">
        <v>0.5</v>
      </c>
      <c r="CI55" s="175">
        <v>0.5</v>
      </c>
      <c r="CJ55" s="175">
        <v>0.5</v>
      </c>
      <c r="CK55" s="175">
        <v>0.5</v>
      </c>
      <c r="CL55" s="175">
        <v>0.5</v>
      </c>
      <c r="CM55" s="175">
        <v>0.5</v>
      </c>
      <c r="CN55" s="175">
        <v>0.5</v>
      </c>
      <c r="CO55" s="175">
        <v>0.5</v>
      </c>
      <c r="CP55" s="175">
        <v>0</v>
      </c>
      <c r="CQ55" s="175">
        <v>0</v>
      </c>
    </row>
    <row r="56" spans="1:95" s="175" customFormat="1" ht="16" x14ac:dyDescent="0.2">
      <c r="A56" t="s">
        <v>233</v>
      </c>
      <c r="B56" s="175">
        <v>0</v>
      </c>
      <c r="C56" s="175">
        <v>0.5</v>
      </c>
      <c r="D56" s="175">
        <v>0.5</v>
      </c>
      <c r="E56" s="175">
        <v>0.5</v>
      </c>
      <c r="F56" s="175">
        <v>0.5</v>
      </c>
      <c r="G56" s="175">
        <v>0.5</v>
      </c>
      <c r="H56" s="175">
        <v>0.5</v>
      </c>
      <c r="I56" s="175">
        <v>0.5</v>
      </c>
      <c r="J56" s="175">
        <v>0.5</v>
      </c>
      <c r="K56" s="175">
        <v>0.5</v>
      </c>
      <c r="L56" s="175">
        <v>0.5</v>
      </c>
      <c r="M56" s="175">
        <v>0.5</v>
      </c>
      <c r="N56" s="175">
        <v>0.5</v>
      </c>
      <c r="O56" s="175">
        <v>0.5</v>
      </c>
      <c r="P56" s="175">
        <v>0.5</v>
      </c>
      <c r="Q56" s="175">
        <v>0.5</v>
      </c>
      <c r="R56" s="175">
        <v>0.5</v>
      </c>
      <c r="S56" s="175">
        <v>0.5</v>
      </c>
      <c r="T56" s="175">
        <v>0.5</v>
      </c>
      <c r="U56" s="175">
        <v>0.5</v>
      </c>
      <c r="V56" s="175">
        <v>0.5</v>
      </c>
      <c r="W56" s="175">
        <v>0.5</v>
      </c>
      <c r="X56" s="175">
        <v>0.5</v>
      </c>
      <c r="Y56" s="175">
        <v>0.5</v>
      </c>
      <c r="Z56" s="175">
        <v>0.5</v>
      </c>
      <c r="AA56" s="175">
        <v>0.5</v>
      </c>
      <c r="AB56" s="175">
        <v>0.5</v>
      </c>
      <c r="AC56" s="175">
        <v>0.5</v>
      </c>
      <c r="AD56" s="175">
        <v>0.5</v>
      </c>
      <c r="AE56" s="175">
        <v>0.5</v>
      </c>
      <c r="AF56" s="175">
        <v>0.5</v>
      </c>
      <c r="AG56" s="175">
        <v>0.5</v>
      </c>
      <c r="AH56" s="175">
        <v>0.5</v>
      </c>
      <c r="AI56" s="175">
        <v>0.5</v>
      </c>
      <c r="AJ56" s="175">
        <v>0.5</v>
      </c>
      <c r="AK56" s="175">
        <v>0.5</v>
      </c>
      <c r="AL56" s="175">
        <v>0.5</v>
      </c>
      <c r="AM56" s="175">
        <v>0.5</v>
      </c>
      <c r="AN56" s="175">
        <v>0.5</v>
      </c>
      <c r="AO56" s="175">
        <v>0.5</v>
      </c>
      <c r="AP56" s="175">
        <v>0.5</v>
      </c>
      <c r="AQ56" s="175">
        <v>0.5</v>
      </c>
      <c r="AR56" s="175">
        <v>0.5</v>
      </c>
      <c r="AS56" s="175">
        <v>0.5</v>
      </c>
      <c r="AT56" s="175">
        <v>0.5</v>
      </c>
      <c r="AU56" s="175">
        <v>0.5</v>
      </c>
      <c r="AV56" s="175">
        <v>0.5</v>
      </c>
      <c r="AW56" s="175">
        <v>0.5</v>
      </c>
      <c r="AX56" s="175">
        <v>0.5</v>
      </c>
      <c r="AY56" s="175">
        <v>0.5</v>
      </c>
      <c r="AZ56" s="175">
        <v>0.5</v>
      </c>
      <c r="BA56" s="175">
        <v>0.5</v>
      </c>
      <c r="BB56" s="175">
        <v>0.5</v>
      </c>
      <c r="BC56" s="175">
        <v>0.5</v>
      </c>
      <c r="BD56" s="175">
        <v>0.5</v>
      </c>
      <c r="BE56" s="175">
        <v>0.5</v>
      </c>
      <c r="BF56" s="175">
        <v>0.5</v>
      </c>
      <c r="BG56" s="175">
        <v>0.5</v>
      </c>
      <c r="BH56" s="175">
        <v>0.5</v>
      </c>
      <c r="BI56" s="175">
        <v>0.5</v>
      </c>
      <c r="BJ56" s="175">
        <v>0.5</v>
      </c>
      <c r="BK56" s="175">
        <v>0.5</v>
      </c>
      <c r="BL56" s="175">
        <v>0.5</v>
      </c>
      <c r="BM56" s="175">
        <v>0.5</v>
      </c>
      <c r="BN56" s="175">
        <v>0.5</v>
      </c>
      <c r="BO56" s="175">
        <v>0.5</v>
      </c>
      <c r="BP56" s="175">
        <v>0.5</v>
      </c>
      <c r="BQ56" s="175">
        <v>0.5</v>
      </c>
      <c r="BR56" s="175">
        <v>0.5</v>
      </c>
      <c r="BS56" s="175">
        <v>0.5</v>
      </c>
      <c r="BT56" s="175">
        <v>0.5</v>
      </c>
      <c r="BU56" s="175">
        <v>0.5</v>
      </c>
      <c r="BV56" s="175">
        <v>0.5</v>
      </c>
      <c r="BW56" s="175">
        <v>0.5</v>
      </c>
      <c r="BX56" s="175">
        <v>0.5</v>
      </c>
      <c r="BY56" s="175">
        <v>0.5</v>
      </c>
      <c r="BZ56" s="175">
        <v>0.5</v>
      </c>
      <c r="CA56" s="175">
        <v>0.5</v>
      </c>
      <c r="CB56" s="175">
        <v>0.5</v>
      </c>
      <c r="CC56" s="175">
        <v>0.5</v>
      </c>
      <c r="CD56" s="175">
        <v>0.5</v>
      </c>
      <c r="CE56" s="175">
        <v>0.5</v>
      </c>
      <c r="CF56" s="175">
        <v>0.5</v>
      </c>
      <c r="CG56" s="175">
        <v>0.5</v>
      </c>
      <c r="CH56" s="175">
        <v>0.5</v>
      </c>
      <c r="CI56" s="175">
        <v>0.5</v>
      </c>
      <c r="CJ56" s="175">
        <v>0.5</v>
      </c>
      <c r="CK56" s="175">
        <v>0.5</v>
      </c>
      <c r="CL56" s="175">
        <v>0.5</v>
      </c>
      <c r="CM56" s="175">
        <v>0.5</v>
      </c>
      <c r="CN56" s="175">
        <v>0.5</v>
      </c>
      <c r="CO56" s="175">
        <v>0.5</v>
      </c>
      <c r="CP56" s="175">
        <v>0</v>
      </c>
      <c r="CQ56" s="175">
        <v>0</v>
      </c>
    </row>
    <row r="57" spans="1:95" s="175" customFormat="1" ht="16" x14ac:dyDescent="0.2">
      <c r="A57" t="s">
        <v>234</v>
      </c>
      <c r="B57" s="175">
        <v>0</v>
      </c>
      <c r="C57" s="175">
        <v>0.5</v>
      </c>
      <c r="D57" s="175">
        <v>0.5</v>
      </c>
      <c r="E57" s="175">
        <v>0.5</v>
      </c>
      <c r="F57" s="175">
        <v>0.5</v>
      </c>
      <c r="G57" s="175">
        <v>0.5</v>
      </c>
      <c r="H57" s="175">
        <v>0.5</v>
      </c>
      <c r="I57" s="175">
        <v>0.5</v>
      </c>
      <c r="J57" s="175">
        <v>0.5</v>
      </c>
      <c r="K57" s="175">
        <v>0.5</v>
      </c>
      <c r="L57" s="175">
        <v>0.5</v>
      </c>
      <c r="M57" s="175">
        <v>0.5</v>
      </c>
      <c r="N57" s="175">
        <v>0.5</v>
      </c>
      <c r="O57" s="175">
        <v>0.5</v>
      </c>
      <c r="P57" s="175">
        <v>0.5</v>
      </c>
      <c r="Q57" s="175">
        <v>0.5</v>
      </c>
      <c r="R57" s="175">
        <v>0.5</v>
      </c>
      <c r="S57" s="175">
        <v>0.5</v>
      </c>
      <c r="T57" s="175">
        <v>0.5</v>
      </c>
      <c r="U57" s="175">
        <v>0.5</v>
      </c>
      <c r="V57" s="175">
        <v>0.5</v>
      </c>
      <c r="W57" s="175">
        <v>0.5</v>
      </c>
      <c r="X57" s="175">
        <v>0.5</v>
      </c>
      <c r="Y57" s="175">
        <v>0.5</v>
      </c>
      <c r="Z57" s="175">
        <v>0.5</v>
      </c>
      <c r="AA57" s="175">
        <v>0.5</v>
      </c>
      <c r="AB57" s="175">
        <v>0.5</v>
      </c>
      <c r="AC57" s="175">
        <v>0.5</v>
      </c>
      <c r="AD57" s="175">
        <v>0.5</v>
      </c>
      <c r="AE57" s="175">
        <v>0.5</v>
      </c>
      <c r="AF57" s="175">
        <v>0.5</v>
      </c>
      <c r="AG57" s="175">
        <v>0.5</v>
      </c>
      <c r="AH57" s="175">
        <v>0.5</v>
      </c>
      <c r="AI57" s="175">
        <v>0.5</v>
      </c>
      <c r="AJ57" s="175">
        <v>0.5</v>
      </c>
      <c r="AK57" s="175">
        <v>0.5</v>
      </c>
      <c r="AL57" s="175">
        <v>0.5</v>
      </c>
      <c r="AM57" s="175">
        <v>0.5</v>
      </c>
      <c r="AN57" s="175">
        <v>0.5</v>
      </c>
      <c r="AO57" s="175">
        <v>0.5</v>
      </c>
      <c r="AP57" s="175">
        <v>0.5</v>
      </c>
      <c r="AQ57" s="175">
        <v>0.5</v>
      </c>
      <c r="AR57" s="175">
        <v>0.5</v>
      </c>
      <c r="AS57" s="175">
        <v>0.5</v>
      </c>
      <c r="AT57" s="175">
        <v>0.5</v>
      </c>
      <c r="AU57" s="175">
        <v>0.5</v>
      </c>
      <c r="AV57" s="175">
        <v>0.5</v>
      </c>
      <c r="AW57" s="175">
        <v>0.5</v>
      </c>
      <c r="AX57" s="175">
        <v>0.5</v>
      </c>
      <c r="AY57" s="175">
        <v>0.5</v>
      </c>
      <c r="AZ57" s="175">
        <v>0.5</v>
      </c>
      <c r="BA57" s="175">
        <v>0.5</v>
      </c>
      <c r="BB57" s="175">
        <v>0.5</v>
      </c>
      <c r="BC57" s="175">
        <v>0.5</v>
      </c>
      <c r="BD57" s="175">
        <v>0.5</v>
      </c>
      <c r="BE57" s="175">
        <v>0.5</v>
      </c>
      <c r="BF57" s="175">
        <v>0.5</v>
      </c>
      <c r="BG57" s="175">
        <v>0.5</v>
      </c>
      <c r="BH57" s="175">
        <v>0.5</v>
      </c>
      <c r="BI57" s="175">
        <v>0.5</v>
      </c>
      <c r="BJ57" s="175">
        <v>0.5</v>
      </c>
      <c r="BK57" s="175">
        <v>0.5</v>
      </c>
      <c r="BL57" s="175">
        <v>0.5</v>
      </c>
      <c r="BM57" s="175">
        <v>0.5</v>
      </c>
      <c r="BN57" s="175">
        <v>0.5</v>
      </c>
      <c r="BO57" s="175">
        <v>0.5</v>
      </c>
      <c r="BP57" s="175">
        <v>0.5</v>
      </c>
      <c r="BQ57" s="175">
        <v>0.5</v>
      </c>
      <c r="BR57" s="175">
        <v>0.5</v>
      </c>
      <c r="BS57" s="175">
        <v>0.5</v>
      </c>
      <c r="BT57" s="175">
        <v>0.5</v>
      </c>
      <c r="BU57" s="175">
        <v>0.5</v>
      </c>
      <c r="BV57" s="175">
        <v>0.5</v>
      </c>
      <c r="BW57" s="175">
        <v>0.5</v>
      </c>
      <c r="BX57" s="175">
        <v>0.5</v>
      </c>
      <c r="BY57" s="175">
        <v>0.5</v>
      </c>
      <c r="BZ57" s="175">
        <v>0.5</v>
      </c>
      <c r="CA57" s="175">
        <v>0.5</v>
      </c>
      <c r="CB57" s="175">
        <v>0.5</v>
      </c>
      <c r="CC57" s="175">
        <v>0.5</v>
      </c>
      <c r="CD57" s="175">
        <v>0.5</v>
      </c>
      <c r="CE57" s="175">
        <v>0.5</v>
      </c>
      <c r="CF57" s="175">
        <v>0.5</v>
      </c>
      <c r="CG57" s="175">
        <v>0.5</v>
      </c>
      <c r="CH57" s="175">
        <v>0.5</v>
      </c>
      <c r="CI57" s="175">
        <v>0.5</v>
      </c>
      <c r="CJ57" s="175">
        <v>0.5</v>
      </c>
      <c r="CK57" s="175">
        <v>0.5</v>
      </c>
      <c r="CL57" s="175">
        <v>0.5</v>
      </c>
      <c r="CM57" s="175">
        <v>0.5</v>
      </c>
      <c r="CN57" s="175">
        <v>0.5</v>
      </c>
      <c r="CO57" s="175">
        <v>0.5</v>
      </c>
      <c r="CP57" s="175">
        <v>0</v>
      </c>
      <c r="CQ57" s="175">
        <v>0</v>
      </c>
    </row>
    <row r="58" spans="1:95" s="175" customFormat="1" ht="16" x14ac:dyDescent="0.2">
      <c r="A58" t="s">
        <v>205</v>
      </c>
      <c r="B58" s="175">
        <v>0</v>
      </c>
      <c r="C58" s="175">
        <v>0.5</v>
      </c>
      <c r="D58" s="175">
        <v>0.5</v>
      </c>
      <c r="E58" s="175">
        <v>0.5</v>
      </c>
      <c r="F58" s="175">
        <v>0.5</v>
      </c>
      <c r="G58" s="175">
        <v>0.5</v>
      </c>
      <c r="H58" s="175">
        <v>0.5</v>
      </c>
      <c r="I58" s="175">
        <v>0.5</v>
      </c>
      <c r="J58" s="175">
        <v>0.5</v>
      </c>
      <c r="K58" s="175">
        <v>0.5</v>
      </c>
      <c r="L58" s="175">
        <v>0.5</v>
      </c>
      <c r="M58" s="175">
        <v>0.5</v>
      </c>
      <c r="N58" s="175">
        <v>0.5</v>
      </c>
      <c r="O58" s="175">
        <v>0.5</v>
      </c>
      <c r="P58" s="175">
        <v>0.5</v>
      </c>
      <c r="Q58" s="175">
        <v>0.5</v>
      </c>
      <c r="R58" s="175">
        <v>0.5</v>
      </c>
      <c r="S58" s="175">
        <v>0.5</v>
      </c>
      <c r="T58" s="175">
        <v>0.5</v>
      </c>
      <c r="U58" s="175">
        <v>0.5</v>
      </c>
      <c r="V58" s="175">
        <v>0.5</v>
      </c>
      <c r="W58" s="175">
        <v>0.5</v>
      </c>
      <c r="X58" s="175">
        <v>0.5</v>
      </c>
      <c r="Y58" s="175">
        <v>0.5</v>
      </c>
      <c r="Z58" s="175">
        <v>0.5</v>
      </c>
      <c r="AA58" s="175">
        <v>0.5</v>
      </c>
      <c r="AB58" s="175">
        <v>0.5</v>
      </c>
      <c r="AC58" s="175">
        <v>0.5</v>
      </c>
      <c r="AD58" s="175">
        <v>0.5</v>
      </c>
      <c r="AE58" s="175">
        <v>0.5</v>
      </c>
      <c r="AF58" s="175">
        <v>0.5</v>
      </c>
      <c r="AG58" s="175">
        <v>0.5</v>
      </c>
      <c r="AH58" s="175">
        <v>0.5</v>
      </c>
      <c r="AI58" s="175">
        <v>0.5</v>
      </c>
      <c r="AJ58" s="175">
        <v>0.5</v>
      </c>
      <c r="AK58" s="175">
        <v>0.5</v>
      </c>
      <c r="AL58" s="175">
        <v>0.5</v>
      </c>
      <c r="AM58" s="175">
        <v>0.5</v>
      </c>
      <c r="AN58" s="175">
        <v>0.5</v>
      </c>
      <c r="AO58" s="175">
        <v>0.5</v>
      </c>
      <c r="AP58" s="175">
        <v>0.5</v>
      </c>
      <c r="AQ58" s="175">
        <v>0.5</v>
      </c>
      <c r="AR58" s="175">
        <v>0.5</v>
      </c>
      <c r="AS58" s="175">
        <v>0.5</v>
      </c>
      <c r="AT58" s="175">
        <v>0.5</v>
      </c>
      <c r="AU58" s="175">
        <v>0.5</v>
      </c>
      <c r="AV58" s="175">
        <v>0.5</v>
      </c>
      <c r="AW58" s="175">
        <v>0.5</v>
      </c>
      <c r="AX58" s="175">
        <v>0.5</v>
      </c>
      <c r="AY58" s="175">
        <v>0.5</v>
      </c>
      <c r="AZ58" s="175">
        <v>0.5</v>
      </c>
      <c r="BA58" s="175">
        <v>0.5</v>
      </c>
      <c r="BB58" s="175">
        <v>0.5</v>
      </c>
      <c r="BC58" s="175">
        <v>0.5</v>
      </c>
      <c r="BD58" s="175">
        <v>0.5</v>
      </c>
      <c r="BE58" s="175">
        <v>0.5</v>
      </c>
      <c r="BF58" s="175">
        <v>0.5</v>
      </c>
      <c r="BG58" s="175">
        <v>0.5</v>
      </c>
      <c r="BH58" s="175">
        <v>0.5</v>
      </c>
      <c r="BI58" s="175">
        <v>0.5</v>
      </c>
      <c r="BJ58" s="175">
        <v>0.5</v>
      </c>
      <c r="BK58" s="175">
        <v>0.5</v>
      </c>
      <c r="BL58" s="175">
        <v>0.5</v>
      </c>
      <c r="BM58" s="175">
        <v>0.5</v>
      </c>
      <c r="BN58" s="175">
        <v>0.5</v>
      </c>
      <c r="BO58" s="175">
        <v>0.5</v>
      </c>
      <c r="BP58" s="175">
        <v>0.5</v>
      </c>
      <c r="BQ58" s="175">
        <v>0.5</v>
      </c>
      <c r="BR58" s="175">
        <v>0.5</v>
      </c>
      <c r="BS58" s="175">
        <v>0.5</v>
      </c>
      <c r="BT58" s="175">
        <v>0.5</v>
      </c>
      <c r="BU58" s="175">
        <v>0.5</v>
      </c>
      <c r="BV58" s="175">
        <v>0.5</v>
      </c>
      <c r="BW58" s="175">
        <v>0.5</v>
      </c>
      <c r="BX58" s="175">
        <v>0.5</v>
      </c>
      <c r="BY58" s="175">
        <v>0.5</v>
      </c>
      <c r="BZ58" s="175">
        <v>0.5</v>
      </c>
      <c r="CA58" s="175">
        <v>0.5</v>
      </c>
      <c r="CB58" s="175">
        <v>0.5</v>
      </c>
      <c r="CC58" s="175">
        <v>0.5</v>
      </c>
      <c r="CD58" s="175">
        <v>0.5</v>
      </c>
      <c r="CE58" s="175">
        <v>0.5</v>
      </c>
      <c r="CF58" s="175">
        <v>0.5</v>
      </c>
      <c r="CG58" s="175">
        <v>0.5</v>
      </c>
      <c r="CH58" s="175">
        <v>0.5</v>
      </c>
      <c r="CI58" s="175">
        <v>0.5</v>
      </c>
      <c r="CJ58" s="175">
        <v>0.5</v>
      </c>
      <c r="CK58" s="175">
        <v>0.5</v>
      </c>
      <c r="CL58" s="175">
        <v>0.5</v>
      </c>
      <c r="CM58" s="175">
        <v>0.5</v>
      </c>
      <c r="CN58" s="175">
        <v>0.5</v>
      </c>
      <c r="CO58" s="175">
        <v>0.5</v>
      </c>
      <c r="CP58" s="175">
        <v>0</v>
      </c>
      <c r="CQ58" s="175">
        <v>0</v>
      </c>
    </row>
    <row r="59" spans="1:95" s="175" customFormat="1" ht="16" x14ac:dyDescent="0.2">
      <c r="A59" t="s">
        <v>206</v>
      </c>
      <c r="B59" s="175">
        <v>0</v>
      </c>
      <c r="C59" s="175">
        <v>0.5</v>
      </c>
      <c r="D59" s="175">
        <v>0.5</v>
      </c>
      <c r="E59" s="175">
        <v>0.5</v>
      </c>
      <c r="F59" s="175">
        <v>0.5</v>
      </c>
      <c r="G59" s="175">
        <v>0.5</v>
      </c>
      <c r="H59" s="175">
        <v>0.5</v>
      </c>
      <c r="I59" s="175">
        <v>0.5</v>
      </c>
      <c r="J59" s="175">
        <v>0.5</v>
      </c>
      <c r="K59" s="175">
        <v>0.5</v>
      </c>
      <c r="L59" s="175">
        <v>0.5</v>
      </c>
      <c r="M59" s="175">
        <v>0.5</v>
      </c>
      <c r="N59" s="175">
        <v>0.5</v>
      </c>
      <c r="O59" s="175">
        <v>0.5</v>
      </c>
      <c r="P59" s="175">
        <v>0.5</v>
      </c>
      <c r="Q59" s="175">
        <v>0.5</v>
      </c>
      <c r="R59" s="175">
        <v>0.5</v>
      </c>
      <c r="S59" s="175">
        <v>0.5</v>
      </c>
      <c r="T59" s="175">
        <v>0.5</v>
      </c>
      <c r="U59" s="175">
        <v>0.5</v>
      </c>
      <c r="V59" s="175">
        <v>0.5</v>
      </c>
      <c r="W59" s="175">
        <v>0.5</v>
      </c>
      <c r="X59" s="175">
        <v>0.5</v>
      </c>
      <c r="Y59" s="175">
        <v>0.5</v>
      </c>
      <c r="Z59" s="175">
        <v>0.5</v>
      </c>
      <c r="AA59" s="175">
        <v>0.5</v>
      </c>
      <c r="AB59" s="175">
        <v>0.5</v>
      </c>
      <c r="AC59" s="175">
        <v>0.5</v>
      </c>
      <c r="AD59" s="175">
        <v>0.5</v>
      </c>
      <c r="AE59" s="175">
        <v>0.5</v>
      </c>
      <c r="AF59" s="175">
        <v>0.5</v>
      </c>
      <c r="AG59" s="175">
        <v>0.5</v>
      </c>
      <c r="AH59" s="175">
        <v>0.5</v>
      </c>
      <c r="AI59" s="175">
        <v>0.5</v>
      </c>
      <c r="AJ59" s="175">
        <v>0.5</v>
      </c>
      <c r="AK59" s="175">
        <v>0.5</v>
      </c>
      <c r="AL59" s="175">
        <v>0.5</v>
      </c>
      <c r="AM59" s="175">
        <v>0.5</v>
      </c>
      <c r="AN59" s="175">
        <v>0.5</v>
      </c>
      <c r="AO59" s="175">
        <v>0.5</v>
      </c>
      <c r="AP59" s="175">
        <v>0.5</v>
      </c>
      <c r="AQ59" s="175">
        <v>0.5</v>
      </c>
      <c r="AR59" s="175">
        <v>0.5</v>
      </c>
      <c r="AS59" s="175">
        <v>0.5</v>
      </c>
      <c r="AT59" s="175">
        <v>0.5</v>
      </c>
      <c r="AU59" s="175">
        <v>0.5</v>
      </c>
      <c r="AV59" s="175">
        <v>0.5</v>
      </c>
      <c r="AW59" s="175">
        <v>0.5</v>
      </c>
      <c r="AX59" s="175">
        <v>0.5</v>
      </c>
      <c r="AY59" s="175">
        <v>0.5</v>
      </c>
      <c r="AZ59" s="175">
        <v>0.5</v>
      </c>
      <c r="BA59" s="175">
        <v>0.5</v>
      </c>
      <c r="BB59" s="175">
        <v>0.5</v>
      </c>
      <c r="BC59" s="175">
        <v>0.5</v>
      </c>
      <c r="BD59" s="175">
        <v>0.5</v>
      </c>
      <c r="BE59" s="175">
        <v>0.5</v>
      </c>
      <c r="BF59" s="175">
        <v>0.5</v>
      </c>
      <c r="BG59" s="175">
        <v>0.5</v>
      </c>
      <c r="BH59" s="175">
        <v>0.5</v>
      </c>
      <c r="BI59" s="175">
        <v>0.5</v>
      </c>
      <c r="BJ59" s="175">
        <v>0.5</v>
      </c>
      <c r="BK59" s="175">
        <v>0.5</v>
      </c>
      <c r="BL59" s="175">
        <v>0.5</v>
      </c>
      <c r="BM59" s="175">
        <v>0.5</v>
      </c>
      <c r="BN59" s="175">
        <v>0.5</v>
      </c>
      <c r="BO59" s="175">
        <v>0.5</v>
      </c>
      <c r="BP59" s="175">
        <v>0.5</v>
      </c>
      <c r="BQ59" s="175">
        <v>0.5</v>
      </c>
      <c r="BR59" s="175">
        <v>0.5</v>
      </c>
      <c r="BS59" s="175">
        <v>0.5</v>
      </c>
      <c r="BT59" s="175">
        <v>0.5</v>
      </c>
      <c r="BU59" s="175">
        <v>0.5</v>
      </c>
      <c r="BV59" s="175">
        <v>0.5</v>
      </c>
      <c r="BW59" s="175">
        <v>0.5</v>
      </c>
      <c r="BX59" s="175">
        <v>0.5</v>
      </c>
      <c r="BY59" s="175">
        <v>0.5</v>
      </c>
      <c r="BZ59" s="175">
        <v>0.5</v>
      </c>
      <c r="CA59" s="175">
        <v>0.5</v>
      </c>
      <c r="CB59" s="175">
        <v>0.5</v>
      </c>
      <c r="CC59" s="175">
        <v>0.5</v>
      </c>
      <c r="CD59" s="175">
        <v>0.5</v>
      </c>
      <c r="CE59" s="175">
        <v>0.5</v>
      </c>
      <c r="CF59" s="175">
        <v>0.5</v>
      </c>
      <c r="CG59" s="175">
        <v>0.5</v>
      </c>
      <c r="CH59" s="175">
        <v>0.5</v>
      </c>
      <c r="CI59" s="175">
        <v>0.5</v>
      </c>
      <c r="CJ59" s="175">
        <v>0.5</v>
      </c>
      <c r="CK59" s="175">
        <v>0.5</v>
      </c>
      <c r="CL59" s="175">
        <v>0.5</v>
      </c>
      <c r="CM59" s="175">
        <v>0.5</v>
      </c>
      <c r="CN59" s="175">
        <v>0.5</v>
      </c>
      <c r="CO59" s="175">
        <v>0.5</v>
      </c>
      <c r="CP59" s="175">
        <v>0</v>
      </c>
      <c r="CQ59" s="175">
        <v>0</v>
      </c>
    </row>
    <row r="60" spans="1:95" s="175" customFormat="1" ht="16" x14ac:dyDescent="0.2">
      <c r="A60" t="s">
        <v>207</v>
      </c>
      <c r="B60" s="175">
        <v>0</v>
      </c>
      <c r="C60" s="175">
        <v>0.5</v>
      </c>
      <c r="D60" s="175">
        <v>0.5</v>
      </c>
      <c r="E60" s="175">
        <v>0.5</v>
      </c>
      <c r="F60" s="175">
        <v>0.5</v>
      </c>
      <c r="G60" s="175">
        <v>0.5</v>
      </c>
      <c r="H60" s="175">
        <v>0.5</v>
      </c>
      <c r="I60" s="175">
        <v>0.5</v>
      </c>
      <c r="J60" s="175">
        <v>0.5</v>
      </c>
      <c r="K60" s="175">
        <v>0.5</v>
      </c>
      <c r="L60" s="175">
        <v>0.5</v>
      </c>
      <c r="M60" s="175">
        <v>0.5</v>
      </c>
      <c r="N60" s="175">
        <v>0.5</v>
      </c>
      <c r="O60" s="175">
        <v>0.5</v>
      </c>
      <c r="P60" s="175">
        <v>0.5</v>
      </c>
      <c r="Q60" s="175">
        <v>0.5</v>
      </c>
      <c r="R60" s="175">
        <v>0.5</v>
      </c>
      <c r="S60" s="175">
        <v>0.5</v>
      </c>
      <c r="T60" s="175">
        <v>0.5</v>
      </c>
      <c r="U60" s="175">
        <v>0.5</v>
      </c>
      <c r="V60" s="175">
        <v>0.5</v>
      </c>
      <c r="W60" s="175">
        <v>0.5</v>
      </c>
      <c r="X60" s="175">
        <v>0.5</v>
      </c>
      <c r="Y60" s="175">
        <v>0.5</v>
      </c>
      <c r="Z60" s="175">
        <v>0.5</v>
      </c>
      <c r="AA60" s="175">
        <v>0.5</v>
      </c>
      <c r="AB60" s="175">
        <v>0.5</v>
      </c>
      <c r="AC60" s="175">
        <v>0.5</v>
      </c>
      <c r="AD60" s="175">
        <v>0.5</v>
      </c>
      <c r="AE60" s="175">
        <v>0.5</v>
      </c>
      <c r="AF60" s="175">
        <v>0.5</v>
      </c>
      <c r="AG60" s="175">
        <v>0.5</v>
      </c>
      <c r="AH60" s="175">
        <v>0.5</v>
      </c>
      <c r="AI60" s="175">
        <v>0.5</v>
      </c>
      <c r="AJ60" s="175">
        <v>0.5</v>
      </c>
      <c r="AK60" s="175">
        <v>0.5</v>
      </c>
      <c r="AL60" s="175">
        <v>0.5</v>
      </c>
      <c r="AM60" s="175">
        <v>0.5</v>
      </c>
      <c r="AN60" s="175">
        <v>0.5</v>
      </c>
      <c r="AO60" s="175">
        <v>0.5</v>
      </c>
      <c r="AP60" s="175">
        <v>0.5</v>
      </c>
      <c r="AQ60" s="175">
        <v>0.5</v>
      </c>
      <c r="AR60" s="175">
        <v>0.5</v>
      </c>
      <c r="AS60" s="175">
        <v>0.5</v>
      </c>
      <c r="AT60" s="175">
        <v>0.5</v>
      </c>
      <c r="AU60" s="175">
        <v>0.5</v>
      </c>
      <c r="AV60" s="175">
        <v>0.5</v>
      </c>
      <c r="AW60" s="175">
        <v>0.5</v>
      </c>
      <c r="AX60" s="175">
        <v>0.5</v>
      </c>
      <c r="AY60" s="175">
        <v>0.5</v>
      </c>
      <c r="AZ60" s="175">
        <v>0.5</v>
      </c>
      <c r="BA60" s="175">
        <v>0.5</v>
      </c>
      <c r="BB60" s="175">
        <v>0.5</v>
      </c>
      <c r="BC60" s="175">
        <v>0.5</v>
      </c>
      <c r="BD60" s="175">
        <v>0.5</v>
      </c>
      <c r="BE60" s="175">
        <v>0.5</v>
      </c>
      <c r="BF60" s="175">
        <v>0.5</v>
      </c>
      <c r="BG60" s="175">
        <v>0.5</v>
      </c>
      <c r="BH60" s="175">
        <v>0.5</v>
      </c>
      <c r="BI60" s="175">
        <v>0.5</v>
      </c>
      <c r="BJ60" s="175">
        <v>0.5</v>
      </c>
      <c r="BK60" s="175">
        <v>0.5</v>
      </c>
      <c r="BL60" s="175">
        <v>0.5</v>
      </c>
      <c r="BM60" s="175">
        <v>0.5</v>
      </c>
      <c r="BN60" s="175">
        <v>0.5</v>
      </c>
      <c r="BO60" s="175">
        <v>0.5</v>
      </c>
      <c r="BP60" s="175">
        <v>0.5</v>
      </c>
      <c r="BQ60" s="175">
        <v>0.5</v>
      </c>
      <c r="BR60" s="175">
        <v>0.5</v>
      </c>
      <c r="BS60" s="175">
        <v>0.5</v>
      </c>
      <c r="BT60" s="175">
        <v>0.5</v>
      </c>
      <c r="BU60" s="175">
        <v>0.5</v>
      </c>
      <c r="BV60" s="175">
        <v>0.5</v>
      </c>
      <c r="BW60" s="175">
        <v>0.5</v>
      </c>
      <c r="BX60" s="175">
        <v>0.5</v>
      </c>
      <c r="BY60" s="175">
        <v>0.5</v>
      </c>
      <c r="BZ60" s="175">
        <v>0.5</v>
      </c>
      <c r="CA60" s="175">
        <v>0.5</v>
      </c>
      <c r="CB60" s="175">
        <v>0.5</v>
      </c>
      <c r="CC60" s="175">
        <v>0.5</v>
      </c>
      <c r="CD60" s="175">
        <v>0.5</v>
      </c>
      <c r="CE60" s="175">
        <v>0.5</v>
      </c>
      <c r="CF60" s="175">
        <v>0.5</v>
      </c>
      <c r="CG60" s="175">
        <v>0.5</v>
      </c>
      <c r="CH60" s="175">
        <v>0.5</v>
      </c>
      <c r="CI60" s="175">
        <v>0.5</v>
      </c>
      <c r="CJ60" s="175">
        <v>0.5</v>
      </c>
      <c r="CK60" s="175">
        <v>0.5</v>
      </c>
      <c r="CL60" s="175">
        <v>0.5</v>
      </c>
      <c r="CM60" s="175">
        <v>0.5</v>
      </c>
      <c r="CN60" s="175">
        <v>0.5</v>
      </c>
      <c r="CO60" s="175">
        <v>0.5</v>
      </c>
      <c r="CP60" s="175">
        <v>0</v>
      </c>
      <c r="CQ60" s="175">
        <v>0</v>
      </c>
    </row>
    <row r="61" spans="1:95" s="175" customFormat="1" ht="16" x14ac:dyDescent="0.2">
      <c r="A61" t="s">
        <v>262</v>
      </c>
      <c r="B61" s="175">
        <v>0</v>
      </c>
      <c r="C61" s="175">
        <v>0.5</v>
      </c>
      <c r="D61" s="175">
        <v>0.5</v>
      </c>
      <c r="E61" s="175">
        <v>0.5</v>
      </c>
      <c r="F61" s="175">
        <v>0.5</v>
      </c>
      <c r="G61" s="175">
        <v>0.5</v>
      </c>
      <c r="H61" s="175">
        <v>0.5</v>
      </c>
      <c r="I61" s="175">
        <v>0.5</v>
      </c>
      <c r="J61" s="175">
        <v>0.5</v>
      </c>
      <c r="K61" s="175">
        <v>0.5</v>
      </c>
      <c r="L61" s="175">
        <v>0.5</v>
      </c>
      <c r="M61" s="175">
        <v>0.5</v>
      </c>
      <c r="N61" s="175">
        <v>0.5</v>
      </c>
      <c r="O61" s="175">
        <v>0.5</v>
      </c>
      <c r="P61" s="175">
        <v>0.5</v>
      </c>
      <c r="Q61" s="175">
        <v>0.5</v>
      </c>
      <c r="R61" s="175">
        <v>0.5</v>
      </c>
      <c r="S61" s="175">
        <v>0.5</v>
      </c>
      <c r="T61" s="175">
        <v>0.5</v>
      </c>
      <c r="U61" s="175">
        <v>0.5</v>
      </c>
      <c r="V61" s="175">
        <v>0.5</v>
      </c>
      <c r="W61" s="175">
        <v>0.5</v>
      </c>
      <c r="X61" s="175">
        <v>0.5</v>
      </c>
      <c r="Y61" s="175">
        <v>0.5</v>
      </c>
      <c r="Z61" s="175">
        <v>0.5</v>
      </c>
      <c r="AA61" s="175">
        <v>0.5</v>
      </c>
      <c r="AB61" s="175">
        <v>0.5</v>
      </c>
      <c r="AC61" s="175">
        <v>0.5</v>
      </c>
      <c r="AD61" s="175">
        <v>0.5</v>
      </c>
      <c r="AE61" s="175">
        <v>0.5</v>
      </c>
      <c r="AF61" s="175">
        <v>0.5</v>
      </c>
      <c r="AG61" s="175">
        <v>0.5</v>
      </c>
      <c r="AH61" s="175">
        <v>0.5</v>
      </c>
      <c r="AI61" s="175">
        <v>0.5</v>
      </c>
      <c r="AJ61" s="175">
        <v>0.5</v>
      </c>
      <c r="AK61" s="175">
        <v>0.5</v>
      </c>
      <c r="AL61" s="175">
        <v>0.5</v>
      </c>
      <c r="AM61" s="175">
        <v>0.5</v>
      </c>
      <c r="AN61" s="175">
        <v>0.5</v>
      </c>
      <c r="AO61" s="175">
        <v>0.5</v>
      </c>
      <c r="AP61" s="175">
        <v>0.5</v>
      </c>
      <c r="AQ61" s="175">
        <v>0.5</v>
      </c>
      <c r="AR61" s="175">
        <v>0.5</v>
      </c>
      <c r="AS61" s="175">
        <v>0.5</v>
      </c>
      <c r="AT61" s="175">
        <v>0.5</v>
      </c>
      <c r="AU61" s="175">
        <v>0.5</v>
      </c>
      <c r="AV61" s="175">
        <v>0.5</v>
      </c>
      <c r="AW61" s="175">
        <v>0.5</v>
      </c>
      <c r="AX61" s="175">
        <v>0.5</v>
      </c>
      <c r="AY61" s="175">
        <v>0.5</v>
      </c>
      <c r="AZ61" s="175">
        <v>0.5</v>
      </c>
      <c r="BA61" s="175">
        <v>0.5</v>
      </c>
      <c r="BB61" s="175">
        <v>0.5</v>
      </c>
      <c r="BC61" s="175">
        <v>0.5</v>
      </c>
      <c r="BD61" s="175">
        <v>0.5</v>
      </c>
      <c r="BE61" s="175">
        <v>0.5</v>
      </c>
      <c r="BF61" s="175">
        <v>0.5</v>
      </c>
      <c r="BG61" s="175">
        <v>0.5</v>
      </c>
      <c r="BH61" s="175">
        <v>0.5</v>
      </c>
      <c r="BI61" s="175">
        <v>0.5</v>
      </c>
      <c r="BJ61" s="175">
        <v>0.5</v>
      </c>
      <c r="BK61" s="175">
        <v>0.5</v>
      </c>
      <c r="BL61" s="175">
        <v>0.5</v>
      </c>
      <c r="BM61" s="175">
        <v>0.5</v>
      </c>
      <c r="BN61" s="175">
        <v>0.5</v>
      </c>
      <c r="BO61" s="175">
        <v>0.5</v>
      </c>
      <c r="BP61" s="175">
        <v>0.5</v>
      </c>
      <c r="BQ61" s="175">
        <v>0.5</v>
      </c>
      <c r="BR61" s="175">
        <v>0.5</v>
      </c>
      <c r="BS61" s="175">
        <v>0.5</v>
      </c>
      <c r="BT61" s="175">
        <v>0.5</v>
      </c>
      <c r="BU61" s="175">
        <v>0.5</v>
      </c>
      <c r="BV61" s="175">
        <v>0.5</v>
      </c>
      <c r="BW61" s="175">
        <v>0.5</v>
      </c>
      <c r="BX61" s="175">
        <v>0.5</v>
      </c>
      <c r="BY61" s="175">
        <v>0.5</v>
      </c>
      <c r="BZ61" s="175">
        <v>0.5</v>
      </c>
      <c r="CA61" s="175">
        <v>0.5</v>
      </c>
      <c r="CB61" s="175">
        <v>0.5</v>
      </c>
      <c r="CC61" s="175">
        <v>0.5</v>
      </c>
      <c r="CD61" s="175">
        <v>0.5</v>
      </c>
      <c r="CE61" s="175">
        <v>0.5</v>
      </c>
      <c r="CF61" s="175">
        <v>0.5</v>
      </c>
      <c r="CG61" s="175">
        <v>0.5</v>
      </c>
      <c r="CH61" s="175">
        <v>0.5</v>
      </c>
      <c r="CI61" s="175">
        <v>0.5</v>
      </c>
      <c r="CJ61" s="175">
        <v>0.5</v>
      </c>
      <c r="CK61" s="175">
        <v>0.5</v>
      </c>
      <c r="CL61" s="175">
        <v>0.5</v>
      </c>
      <c r="CM61" s="175">
        <v>0.5</v>
      </c>
      <c r="CN61" s="175">
        <v>0.5</v>
      </c>
      <c r="CO61" s="175">
        <v>0.5</v>
      </c>
      <c r="CP61" s="175">
        <v>0</v>
      </c>
      <c r="CQ61" s="175">
        <v>0</v>
      </c>
    </row>
    <row r="62" spans="1:95" s="175" customFormat="1" ht="16" x14ac:dyDescent="0.2">
      <c r="A62" t="s">
        <v>208</v>
      </c>
      <c r="B62" s="175">
        <v>0</v>
      </c>
      <c r="C62" s="175">
        <v>0.5</v>
      </c>
      <c r="D62" s="175">
        <v>0.5</v>
      </c>
      <c r="E62" s="175">
        <v>0.5</v>
      </c>
      <c r="F62" s="175">
        <v>0.5</v>
      </c>
      <c r="G62" s="175">
        <v>0.5</v>
      </c>
      <c r="H62" s="175">
        <v>0.5</v>
      </c>
      <c r="I62" s="175">
        <v>0.5</v>
      </c>
      <c r="J62" s="175">
        <v>0.5</v>
      </c>
      <c r="K62" s="175">
        <v>0.5</v>
      </c>
      <c r="L62" s="175">
        <v>0.5</v>
      </c>
      <c r="M62" s="175">
        <v>0.5</v>
      </c>
      <c r="N62" s="175">
        <v>0.5</v>
      </c>
      <c r="O62" s="175">
        <v>0.5</v>
      </c>
      <c r="P62" s="175">
        <v>0.5</v>
      </c>
      <c r="Q62" s="175">
        <v>0.5</v>
      </c>
      <c r="R62" s="175">
        <v>0.5</v>
      </c>
      <c r="S62" s="175">
        <v>0.5</v>
      </c>
      <c r="T62" s="175">
        <v>0.5</v>
      </c>
      <c r="U62" s="175">
        <v>0.5</v>
      </c>
      <c r="V62" s="175">
        <v>0.5</v>
      </c>
      <c r="W62" s="175">
        <v>0.5</v>
      </c>
      <c r="X62" s="175">
        <v>0.5</v>
      </c>
      <c r="Y62" s="175">
        <v>0.5</v>
      </c>
      <c r="Z62" s="175">
        <v>0.5</v>
      </c>
      <c r="AA62" s="175">
        <v>0.5</v>
      </c>
      <c r="AB62" s="175">
        <v>0.5</v>
      </c>
      <c r="AC62" s="175">
        <v>0.5</v>
      </c>
      <c r="AD62" s="175">
        <v>0.5</v>
      </c>
      <c r="AE62" s="175">
        <v>0.5</v>
      </c>
      <c r="AF62" s="175">
        <v>0.5</v>
      </c>
      <c r="AG62" s="175">
        <v>0.5</v>
      </c>
      <c r="AH62" s="175">
        <v>0.5</v>
      </c>
      <c r="AI62" s="175">
        <v>0.5</v>
      </c>
      <c r="AJ62" s="175">
        <v>0.5</v>
      </c>
      <c r="AK62" s="175">
        <v>0.5</v>
      </c>
      <c r="AL62" s="175">
        <v>0.5</v>
      </c>
      <c r="AM62" s="175">
        <v>0.5</v>
      </c>
      <c r="AN62" s="175">
        <v>0.5</v>
      </c>
      <c r="AO62" s="175">
        <v>0.5</v>
      </c>
      <c r="AP62" s="175">
        <v>0.5</v>
      </c>
      <c r="AQ62" s="175">
        <v>0.5</v>
      </c>
      <c r="AR62" s="175">
        <v>0.5</v>
      </c>
      <c r="AS62" s="175">
        <v>0.5</v>
      </c>
      <c r="AT62" s="175">
        <v>0.5</v>
      </c>
      <c r="AU62" s="175">
        <v>0.5</v>
      </c>
      <c r="AV62" s="175">
        <v>0.5</v>
      </c>
      <c r="AW62" s="175">
        <v>0.5</v>
      </c>
      <c r="AX62" s="175">
        <v>0.5</v>
      </c>
      <c r="AY62" s="175">
        <v>0.5</v>
      </c>
      <c r="AZ62" s="175">
        <v>0.5</v>
      </c>
      <c r="BA62" s="175">
        <v>0.5</v>
      </c>
      <c r="BB62" s="175">
        <v>0.5</v>
      </c>
      <c r="BC62" s="175">
        <v>0.5</v>
      </c>
      <c r="BD62" s="175">
        <v>0.5</v>
      </c>
      <c r="BE62" s="175">
        <v>0.5</v>
      </c>
      <c r="BF62" s="175">
        <v>0.5</v>
      </c>
      <c r="BG62" s="175">
        <v>0.5</v>
      </c>
      <c r="BH62" s="175">
        <v>0.5</v>
      </c>
      <c r="BI62" s="175">
        <v>0.5</v>
      </c>
      <c r="BJ62" s="175">
        <v>0.5</v>
      </c>
      <c r="BK62" s="175">
        <v>0.5</v>
      </c>
      <c r="BL62" s="175">
        <v>0.5</v>
      </c>
      <c r="BM62" s="175">
        <v>0.5</v>
      </c>
      <c r="BN62" s="175">
        <v>0.5</v>
      </c>
      <c r="BO62" s="175">
        <v>0.5</v>
      </c>
      <c r="BP62" s="175">
        <v>0.5</v>
      </c>
      <c r="BQ62" s="175">
        <v>0.5</v>
      </c>
      <c r="BR62" s="175">
        <v>0.5</v>
      </c>
      <c r="BS62" s="175">
        <v>0.5</v>
      </c>
      <c r="BT62" s="175">
        <v>0.5</v>
      </c>
      <c r="BU62" s="175">
        <v>0.5</v>
      </c>
      <c r="BV62" s="175">
        <v>0.5</v>
      </c>
      <c r="BW62" s="175">
        <v>0.5</v>
      </c>
      <c r="BX62" s="175">
        <v>0.5</v>
      </c>
      <c r="BY62" s="175">
        <v>0.5</v>
      </c>
      <c r="BZ62" s="175">
        <v>0.5</v>
      </c>
      <c r="CA62" s="175">
        <v>0.5</v>
      </c>
      <c r="CB62" s="175">
        <v>0.5</v>
      </c>
      <c r="CC62" s="175">
        <v>0.5</v>
      </c>
      <c r="CD62" s="175">
        <v>0.5</v>
      </c>
      <c r="CE62" s="175">
        <v>0.5</v>
      </c>
      <c r="CF62" s="175">
        <v>0.5</v>
      </c>
      <c r="CG62" s="175">
        <v>0.5</v>
      </c>
      <c r="CH62" s="175">
        <v>0.5</v>
      </c>
      <c r="CI62" s="175">
        <v>0.5</v>
      </c>
      <c r="CJ62" s="175">
        <v>0.5</v>
      </c>
      <c r="CK62" s="175">
        <v>0.5</v>
      </c>
      <c r="CL62" s="175">
        <v>0.5</v>
      </c>
      <c r="CM62" s="175">
        <v>0.5</v>
      </c>
      <c r="CN62" s="175">
        <v>0.5</v>
      </c>
      <c r="CO62" s="175">
        <v>0.5</v>
      </c>
      <c r="CP62" s="175">
        <v>0</v>
      </c>
      <c r="CQ62" s="175">
        <v>0</v>
      </c>
    </row>
    <row r="63" spans="1:95" s="175" customFormat="1" ht="16" x14ac:dyDescent="0.2">
      <c r="A63" t="s">
        <v>263</v>
      </c>
      <c r="B63" s="175">
        <v>0</v>
      </c>
      <c r="C63" s="175">
        <v>0.5</v>
      </c>
      <c r="D63" s="175">
        <v>0.5</v>
      </c>
      <c r="E63" s="175">
        <v>0.5</v>
      </c>
      <c r="F63" s="175">
        <v>0.5</v>
      </c>
      <c r="G63" s="175">
        <v>0.5</v>
      </c>
      <c r="H63" s="175">
        <v>0.5</v>
      </c>
      <c r="I63" s="175">
        <v>0.5</v>
      </c>
      <c r="J63" s="175">
        <v>0.5</v>
      </c>
      <c r="K63" s="175">
        <v>0.5</v>
      </c>
      <c r="L63" s="175">
        <v>0.5</v>
      </c>
      <c r="M63" s="175">
        <v>0.5</v>
      </c>
      <c r="N63" s="175">
        <v>0.5</v>
      </c>
      <c r="O63" s="175">
        <v>0.5</v>
      </c>
      <c r="P63" s="175">
        <v>0.5</v>
      </c>
      <c r="Q63" s="175">
        <v>0.5</v>
      </c>
      <c r="R63" s="175">
        <v>0.5</v>
      </c>
      <c r="S63" s="175">
        <v>0.5</v>
      </c>
      <c r="T63" s="175">
        <v>0.5</v>
      </c>
      <c r="U63" s="175">
        <v>0.5</v>
      </c>
      <c r="V63" s="175">
        <v>0.5</v>
      </c>
      <c r="W63" s="175">
        <v>0.5</v>
      </c>
      <c r="X63" s="175">
        <v>0.5</v>
      </c>
      <c r="Y63" s="175">
        <v>0.5</v>
      </c>
      <c r="Z63" s="175">
        <v>0.5</v>
      </c>
      <c r="AA63" s="175">
        <v>0.5</v>
      </c>
      <c r="AB63" s="175">
        <v>0.5</v>
      </c>
      <c r="AC63" s="175">
        <v>0.5</v>
      </c>
      <c r="AD63" s="175">
        <v>0.5</v>
      </c>
      <c r="AE63" s="175">
        <v>0.5</v>
      </c>
      <c r="AF63" s="175">
        <v>0.5</v>
      </c>
      <c r="AG63" s="175">
        <v>0.5</v>
      </c>
      <c r="AH63" s="175">
        <v>0.5</v>
      </c>
      <c r="AI63" s="175">
        <v>0.5</v>
      </c>
      <c r="AJ63" s="175">
        <v>0.5</v>
      </c>
      <c r="AK63" s="175">
        <v>0.5</v>
      </c>
      <c r="AL63" s="175">
        <v>0.5</v>
      </c>
      <c r="AM63" s="175">
        <v>0.5</v>
      </c>
      <c r="AN63" s="175">
        <v>0.5</v>
      </c>
      <c r="AO63" s="175">
        <v>0.5</v>
      </c>
      <c r="AP63" s="175">
        <v>0.5</v>
      </c>
      <c r="AQ63" s="175">
        <v>0.5</v>
      </c>
      <c r="AR63" s="175">
        <v>0.5</v>
      </c>
      <c r="AS63" s="175">
        <v>0.5</v>
      </c>
      <c r="AT63" s="175">
        <v>0.5</v>
      </c>
      <c r="AU63" s="175">
        <v>0.5</v>
      </c>
      <c r="AV63" s="175">
        <v>0.5</v>
      </c>
      <c r="AW63" s="175">
        <v>0.5</v>
      </c>
      <c r="AX63" s="175">
        <v>0.5</v>
      </c>
      <c r="AY63" s="175">
        <v>0.5</v>
      </c>
      <c r="AZ63" s="175">
        <v>0.5</v>
      </c>
      <c r="BA63" s="175">
        <v>0.5</v>
      </c>
      <c r="BB63" s="175">
        <v>0.5</v>
      </c>
      <c r="BC63" s="175">
        <v>0.5</v>
      </c>
      <c r="BD63" s="175">
        <v>0.5</v>
      </c>
      <c r="BE63" s="175">
        <v>0.5</v>
      </c>
      <c r="BF63" s="175">
        <v>0.5</v>
      </c>
      <c r="BG63" s="175">
        <v>0.5</v>
      </c>
      <c r="BH63" s="175">
        <v>0.5</v>
      </c>
      <c r="BI63" s="175">
        <v>0.5</v>
      </c>
      <c r="BJ63" s="175">
        <v>0.5</v>
      </c>
      <c r="BK63" s="175">
        <v>0.5</v>
      </c>
      <c r="BL63" s="175">
        <v>0.5</v>
      </c>
      <c r="BM63" s="175">
        <v>0.5</v>
      </c>
      <c r="BN63" s="175">
        <v>0.5</v>
      </c>
      <c r="BO63" s="175">
        <v>0.5</v>
      </c>
      <c r="BP63" s="175">
        <v>0.5</v>
      </c>
      <c r="BQ63" s="175">
        <v>0.5</v>
      </c>
      <c r="BR63" s="175">
        <v>0.5</v>
      </c>
      <c r="BS63" s="175">
        <v>0.5</v>
      </c>
      <c r="BT63" s="175">
        <v>0.5</v>
      </c>
      <c r="BU63" s="175">
        <v>0.5</v>
      </c>
      <c r="BV63" s="175">
        <v>0.5</v>
      </c>
      <c r="BW63" s="175">
        <v>0.5</v>
      </c>
      <c r="BX63" s="175">
        <v>0.5</v>
      </c>
      <c r="BY63" s="175">
        <v>0.5</v>
      </c>
      <c r="BZ63" s="175">
        <v>0.5</v>
      </c>
      <c r="CA63" s="175">
        <v>0.5</v>
      </c>
      <c r="CB63" s="175">
        <v>0.5</v>
      </c>
      <c r="CC63" s="175">
        <v>0.5</v>
      </c>
      <c r="CD63" s="175">
        <v>0.5</v>
      </c>
      <c r="CE63" s="175">
        <v>0.5</v>
      </c>
      <c r="CF63" s="175">
        <v>0.5</v>
      </c>
      <c r="CG63" s="175">
        <v>0.5</v>
      </c>
      <c r="CH63" s="175">
        <v>0.5</v>
      </c>
      <c r="CI63" s="175">
        <v>0.5</v>
      </c>
      <c r="CJ63" s="175">
        <v>0.5</v>
      </c>
      <c r="CK63" s="175">
        <v>0.5</v>
      </c>
      <c r="CL63" s="175">
        <v>0.5</v>
      </c>
      <c r="CM63" s="175">
        <v>0.5</v>
      </c>
      <c r="CN63" s="175">
        <v>0.5</v>
      </c>
      <c r="CO63" s="175">
        <v>0.5</v>
      </c>
      <c r="CP63" s="175">
        <v>0</v>
      </c>
      <c r="CQ63" s="175">
        <v>0</v>
      </c>
    </row>
    <row r="64" spans="1:95" s="175" customFormat="1" ht="16" x14ac:dyDescent="0.2">
      <c r="A64" t="s">
        <v>209</v>
      </c>
      <c r="B64" s="175">
        <v>0</v>
      </c>
      <c r="C64" s="175">
        <v>0.5</v>
      </c>
      <c r="D64" s="175">
        <v>0.5</v>
      </c>
      <c r="E64" s="175">
        <v>0.5</v>
      </c>
      <c r="F64" s="175">
        <v>0.5</v>
      </c>
      <c r="G64" s="175">
        <v>0.5</v>
      </c>
      <c r="H64" s="175">
        <v>0.5</v>
      </c>
      <c r="I64" s="175">
        <v>0.5</v>
      </c>
      <c r="J64" s="175">
        <v>0.5</v>
      </c>
      <c r="K64" s="175">
        <v>0.5</v>
      </c>
      <c r="L64" s="175">
        <v>0.5</v>
      </c>
      <c r="M64" s="175">
        <v>0.5</v>
      </c>
      <c r="N64" s="175">
        <v>0.5</v>
      </c>
      <c r="O64" s="175">
        <v>0.5</v>
      </c>
      <c r="P64" s="175">
        <v>0.5</v>
      </c>
      <c r="Q64" s="175">
        <v>0.5</v>
      </c>
      <c r="R64" s="175">
        <v>0.5</v>
      </c>
      <c r="S64" s="175">
        <v>0.5</v>
      </c>
      <c r="T64" s="175">
        <v>0.5</v>
      </c>
      <c r="U64" s="175">
        <v>0.5</v>
      </c>
      <c r="V64" s="175">
        <v>0.5</v>
      </c>
      <c r="W64" s="175">
        <v>0.5</v>
      </c>
      <c r="X64" s="175">
        <v>0.5</v>
      </c>
      <c r="Y64" s="175">
        <v>0.5</v>
      </c>
      <c r="Z64" s="175">
        <v>0.5</v>
      </c>
      <c r="AA64" s="175">
        <v>0.5</v>
      </c>
      <c r="AB64" s="175">
        <v>0.5</v>
      </c>
      <c r="AC64" s="175">
        <v>0.5</v>
      </c>
      <c r="AD64" s="175">
        <v>0.5</v>
      </c>
      <c r="AE64" s="175">
        <v>0.5</v>
      </c>
      <c r="AF64" s="175">
        <v>0.5</v>
      </c>
      <c r="AG64" s="175">
        <v>0.5</v>
      </c>
      <c r="AH64" s="175">
        <v>0.5</v>
      </c>
      <c r="AI64" s="175">
        <v>0.5</v>
      </c>
      <c r="AJ64" s="175">
        <v>0.5</v>
      </c>
      <c r="AK64" s="175">
        <v>0.5</v>
      </c>
      <c r="AL64" s="175">
        <v>0.5</v>
      </c>
      <c r="AM64" s="175">
        <v>0.5</v>
      </c>
      <c r="AN64" s="175">
        <v>0.5</v>
      </c>
      <c r="AO64" s="175">
        <v>0.5</v>
      </c>
      <c r="AP64" s="175">
        <v>0.5</v>
      </c>
      <c r="AQ64" s="175">
        <v>0.5</v>
      </c>
      <c r="AR64" s="175">
        <v>0.5</v>
      </c>
      <c r="AS64" s="175">
        <v>0.5</v>
      </c>
      <c r="AT64" s="175">
        <v>0.5</v>
      </c>
      <c r="AU64" s="175">
        <v>0.5</v>
      </c>
      <c r="AV64" s="175">
        <v>0.5</v>
      </c>
      <c r="AW64" s="175">
        <v>0.5</v>
      </c>
      <c r="AX64" s="175">
        <v>0.5</v>
      </c>
      <c r="AY64" s="175">
        <v>0.5</v>
      </c>
      <c r="AZ64" s="175">
        <v>0.5</v>
      </c>
      <c r="BA64" s="175">
        <v>0.5</v>
      </c>
      <c r="BB64" s="175">
        <v>0.5</v>
      </c>
      <c r="BC64" s="175">
        <v>0.5</v>
      </c>
      <c r="BD64" s="175">
        <v>0.5</v>
      </c>
      <c r="BE64" s="175">
        <v>0.5</v>
      </c>
      <c r="BF64" s="175">
        <v>0.5</v>
      </c>
      <c r="BG64" s="175">
        <v>0.5</v>
      </c>
      <c r="BH64" s="175">
        <v>0.5</v>
      </c>
      <c r="BI64" s="175">
        <v>0.5</v>
      </c>
      <c r="BJ64" s="175">
        <v>0.5</v>
      </c>
      <c r="BK64" s="175">
        <v>0.5</v>
      </c>
      <c r="BL64" s="175">
        <v>0.5</v>
      </c>
      <c r="BM64" s="175">
        <v>0.5</v>
      </c>
      <c r="BN64" s="175">
        <v>0.5</v>
      </c>
      <c r="BO64" s="175">
        <v>0.5</v>
      </c>
      <c r="BP64" s="175">
        <v>0.5</v>
      </c>
      <c r="BQ64" s="175">
        <v>0.5</v>
      </c>
      <c r="BR64" s="175">
        <v>0.5</v>
      </c>
      <c r="BS64" s="175">
        <v>0.5</v>
      </c>
      <c r="BT64" s="175">
        <v>0.5</v>
      </c>
      <c r="BU64" s="175">
        <v>0.5</v>
      </c>
      <c r="BV64" s="175">
        <v>0.5</v>
      </c>
      <c r="BW64" s="175">
        <v>0.5</v>
      </c>
      <c r="BX64" s="175">
        <v>0.5</v>
      </c>
      <c r="BY64" s="175">
        <v>0.5</v>
      </c>
      <c r="BZ64" s="175">
        <v>0.5</v>
      </c>
      <c r="CA64" s="175">
        <v>0.5</v>
      </c>
      <c r="CB64" s="175">
        <v>0.5</v>
      </c>
      <c r="CC64" s="175">
        <v>0.5</v>
      </c>
      <c r="CD64" s="175">
        <v>0.5</v>
      </c>
      <c r="CE64" s="175">
        <v>0.5</v>
      </c>
      <c r="CF64" s="175">
        <v>0.5</v>
      </c>
      <c r="CG64" s="175">
        <v>0.5</v>
      </c>
      <c r="CH64" s="175">
        <v>0.5</v>
      </c>
      <c r="CI64" s="175">
        <v>0.5</v>
      </c>
      <c r="CJ64" s="175">
        <v>0.5</v>
      </c>
      <c r="CK64" s="175">
        <v>0.5</v>
      </c>
      <c r="CL64" s="175">
        <v>0.5</v>
      </c>
      <c r="CM64" s="175">
        <v>0.5</v>
      </c>
      <c r="CN64" s="175">
        <v>0.5</v>
      </c>
      <c r="CO64" s="175">
        <v>0.5</v>
      </c>
      <c r="CP64" s="175">
        <v>0</v>
      </c>
      <c r="CQ64" s="175">
        <v>0</v>
      </c>
    </row>
    <row r="65" spans="1:95" s="175" customFormat="1" ht="16" x14ac:dyDescent="0.2">
      <c r="A65" t="s">
        <v>264</v>
      </c>
      <c r="B65" s="175">
        <v>0</v>
      </c>
      <c r="C65" s="175">
        <v>0.5</v>
      </c>
      <c r="D65" s="175">
        <v>0.5</v>
      </c>
      <c r="E65" s="175">
        <v>0.5</v>
      </c>
      <c r="F65" s="175">
        <v>0.5</v>
      </c>
      <c r="G65" s="175">
        <v>0.5</v>
      </c>
      <c r="H65" s="175">
        <v>0.5</v>
      </c>
      <c r="I65" s="175">
        <v>0.5</v>
      </c>
      <c r="J65" s="175">
        <v>0.5</v>
      </c>
      <c r="K65" s="175">
        <v>0.5</v>
      </c>
      <c r="L65" s="175">
        <v>0.5</v>
      </c>
      <c r="M65" s="175">
        <v>0.5</v>
      </c>
      <c r="N65" s="175">
        <v>0.5</v>
      </c>
      <c r="O65" s="175">
        <v>0.5</v>
      </c>
      <c r="P65" s="175">
        <v>0.5</v>
      </c>
      <c r="Q65" s="175">
        <v>0.5</v>
      </c>
      <c r="R65" s="175">
        <v>0.5</v>
      </c>
      <c r="S65" s="175">
        <v>0.5</v>
      </c>
      <c r="T65" s="175">
        <v>0.5</v>
      </c>
      <c r="U65" s="175">
        <v>0.5</v>
      </c>
      <c r="V65" s="175">
        <v>0.5</v>
      </c>
      <c r="W65" s="175">
        <v>0.5</v>
      </c>
      <c r="X65" s="175">
        <v>0.5</v>
      </c>
      <c r="Y65" s="175">
        <v>0.5</v>
      </c>
      <c r="Z65" s="175">
        <v>0.5</v>
      </c>
      <c r="AA65" s="175">
        <v>0.5</v>
      </c>
      <c r="AB65" s="175">
        <v>0.5</v>
      </c>
      <c r="AC65" s="175">
        <v>0.5</v>
      </c>
      <c r="AD65" s="175">
        <v>0.5</v>
      </c>
      <c r="AE65" s="175">
        <v>0.5</v>
      </c>
      <c r="AF65" s="175">
        <v>0.5</v>
      </c>
      <c r="AG65" s="175">
        <v>0.5</v>
      </c>
      <c r="AH65" s="175">
        <v>0.5</v>
      </c>
      <c r="AI65" s="175">
        <v>0.5</v>
      </c>
      <c r="AJ65" s="175">
        <v>0.5</v>
      </c>
      <c r="AK65" s="175">
        <v>0.5</v>
      </c>
      <c r="AL65" s="175">
        <v>0.5</v>
      </c>
      <c r="AM65" s="175">
        <v>0.5</v>
      </c>
      <c r="AN65" s="175">
        <v>0.5</v>
      </c>
      <c r="AO65" s="175">
        <v>0.5</v>
      </c>
      <c r="AP65" s="175">
        <v>0.5</v>
      </c>
      <c r="AQ65" s="175">
        <v>0.5</v>
      </c>
      <c r="AR65" s="175">
        <v>0.5</v>
      </c>
      <c r="AS65" s="175">
        <v>0.5</v>
      </c>
      <c r="AT65" s="175">
        <v>0.5</v>
      </c>
      <c r="AU65" s="175">
        <v>0.5</v>
      </c>
      <c r="AV65" s="175">
        <v>0.5</v>
      </c>
      <c r="AW65" s="175">
        <v>0.5</v>
      </c>
      <c r="AX65" s="175">
        <v>0.5</v>
      </c>
      <c r="AY65" s="175">
        <v>0.5</v>
      </c>
      <c r="AZ65" s="175">
        <v>0.5</v>
      </c>
      <c r="BA65" s="175">
        <v>0.5</v>
      </c>
      <c r="BB65" s="175">
        <v>0.5</v>
      </c>
      <c r="BC65" s="175">
        <v>0.5</v>
      </c>
      <c r="BD65" s="175">
        <v>0.5</v>
      </c>
      <c r="BE65" s="175">
        <v>0.5</v>
      </c>
      <c r="BF65" s="175">
        <v>0.5</v>
      </c>
      <c r="BG65" s="175">
        <v>0.5</v>
      </c>
      <c r="BH65" s="175">
        <v>0.5</v>
      </c>
      <c r="BI65" s="175">
        <v>0.5</v>
      </c>
      <c r="BJ65" s="175">
        <v>0.5</v>
      </c>
      <c r="BK65" s="175">
        <v>0.5</v>
      </c>
      <c r="BL65" s="175">
        <v>0.5</v>
      </c>
      <c r="BM65" s="175">
        <v>0.5</v>
      </c>
      <c r="BN65" s="175">
        <v>0.5</v>
      </c>
      <c r="BO65" s="175">
        <v>0.5</v>
      </c>
      <c r="BP65" s="175">
        <v>0.5</v>
      </c>
      <c r="BQ65" s="175">
        <v>0.5</v>
      </c>
      <c r="BR65" s="175">
        <v>0.5</v>
      </c>
      <c r="BS65" s="175">
        <v>0.5</v>
      </c>
      <c r="BT65" s="175">
        <v>0.5</v>
      </c>
      <c r="BU65" s="175">
        <v>0.5</v>
      </c>
      <c r="BV65" s="175">
        <v>0.5</v>
      </c>
      <c r="BW65" s="175">
        <v>0.5</v>
      </c>
      <c r="BX65" s="175">
        <v>0.5</v>
      </c>
      <c r="BY65" s="175">
        <v>0.5</v>
      </c>
      <c r="BZ65" s="175">
        <v>0.5</v>
      </c>
      <c r="CA65" s="175">
        <v>0.5</v>
      </c>
      <c r="CB65" s="175">
        <v>0.5</v>
      </c>
      <c r="CC65" s="175">
        <v>0.5</v>
      </c>
      <c r="CD65" s="175">
        <v>0.5</v>
      </c>
      <c r="CE65" s="175">
        <v>0.5</v>
      </c>
      <c r="CF65" s="175">
        <v>0.5</v>
      </c>
      <c r="CG65" s="175">
        <v>0.5</v>
      </c>
      <c r="CH65" s="175">
        <v>0.5</v>
      </c>
      <c r="CI65" s="175">
        <v>0.5</v>
      </c>
      <c r="CJ65" s="175">
        <v>0.5</v>
      </c>
      <c r="CK65" s="175">
        <v>0.5</v>
      </c>
      <c r="CL65" s="175">
        <v>0.5</v>
      </c>
      <c r="CM65" s="175">
        <v>0.5</v>
      </c>
      <c r="CN65" s="175">
        <v>0.5</v>
      </c>
      <c r="CO65" s="175">
        <v>0.5</v>
      </c>
      <c r="CP65" s="175">
        <v>0</v>
      </c>
      <c r="CQ65" s="175">
        <v>0</v>
      </c>
    </row>
    <row r="66" spans="1:95" s="175" customFormat="1" ht="16" x14ac:dyDescent="0.2">
      <c r="A66" t="s">
        <v>210</v>
      </c>
      <c r="B66" s="175">
        <v>0</v>
      </c>
      <c r="C66" s="175">
        <v>0.5</v>
      </c>
      <c r="D66" s="175">
        <v>0.5</v>
      </c>
      <c r="E66" s="175">
        <v>0.5</v>
      </c>
      <c r="F66" s="175">
        <v>0.5</v>
      </c>
      <c r="G66" s="175">
        <v>0.5</v>
      </c>
      <c r="H66" s="175">
        <v>0.5</v>
      </c>
      <c r="I66" s="175">
        <v>0.5</v>
      </c>
      <c r="J66" s="175">
        <v>0.5</v>
      </c>
      <c r="K66" s="175">
        <v>0.5</v>
      </c>
      <c r="L66" s="175">
        <v>0.5</v>
      </c>
      <c r="M66" s="175">
        <v>0.5</v>
      </c>
      <c r="N66" s="175">
        <v>0.5</v>
      </c>
      <c r="O66" s="175">
        <v>0.5</v>
      </c>
      <c r="P66" s="175">
        <v>0.5</v>
      </c>
      <c r="Q66" s="175">
        <v>0.5</v>
      </c>
      <c r="R66" s="175">
        <v>0.5</v>
      </c>
      <c r="S66" s="175">
        <v>0.5</v>
      </c>
      <c r="T66" s="175">
        <v>0.5</v>
      </c>
      <c r="U66" s="175">
        <v>0.5</v>
      </c>
      <c r="V66" s="175">
        <v>0.5</v>
      </c>
      <c r="W66" s="175">
        <v>0.5</v>
      </c>
      <c r="X66" s="175">
        <v>0.5</v>
      </c>
      <c r="Y66" s="175">
        <v>0.5</v>
      </c>
      <c r="Z66" s="175">
        <v>0.5</v>
      </c>
      <c r="AA66" s="175">
        <v>0.5</v>
      </c>
      <c r="AB66" s="175">
        <v>0.5</v>
      </c>
      <c r="AC66" s="175">
        <v>0.5</v>
      </c>
      <c r="AD66" s="175">
        <v>0.5</v>
      </c>
      <c r="AE66" s="175">
        <v>0.5</v>
      </c>
      <c r="AF66" s="175">
        <v>0.5</v>
      </c>
      <c r="AG66" s="175">
        <v>0.5</v>
      </c>
      <c r="AH66" s="175">
        <v>0.5</v>
      </c>
      <c r="AI66" s="175">
        <v>0.5</v>
      </c>
      <c r="AJ66" s="175">
        <v>0.5</v>
      </c>
      <c r="AK66" s="175">
        <v>0.5</v>
      </c>
      <c r="AL66" s="175">
        <v>0.5</v>
      </c>
      <c r="AM66" s="175">
        <v>0.5</v>
      </c>
      <c r="AN66" s="175">
        <v>0.5</v>
      </c>
      <c r="AO66" s="175">
        <v>0.5</v>
      </c>
      <c r="AP66" s="175">
        <v>0.5</v>
      </c>
      <c r="AQ66" s="175">
        <v>0.5</v>
      </c>
      <c r="AR66" s="175">
        <v>0.5</v>
      </c>
      <c r="AS66" s="175">
        <v>0.5</v>
      </c>
      <c r="AT66" s="175">
        <v>0.5</v>
      </c>
      <c r="AU66" s="175">
        <v>0.5</v>
      </c>
      <c r="AV66" s="175">
        <v>0.5</v>
      </c>
      <c r="AW66" s="175">
        <v>0.5</v>
      </c>
      <c r="AX66" s="175">
        <v>0.5</v>
      </c>
      <c r="AY66" s="175">
        <v>0.5</v>
      </c>
      <c r="AZ66" s="175">
        <v>0.5</v>
      </c>
      <c r="BA66" s="175">
        <v>0.5</v>
      </c>
      <c r="BB66" s="175">
        <v>0.5</v>
      </c>
      <c r="BC66" s="175">
        <v>0.5</v>
      </c>
      <c r="BD66" s="175">
        <v>0.5</v>
      </c>
      <c r="BE66" s="175">
        <v>0.5</v>
      </c>
      <c r="BF66" s="175">
        <v>0.5</v>
      </c>
      <c r="BG66" s="175">
        <v>0.5</v>
      </c>
      <c r="BH66" s="175">
        <v>0.5</v>
      </c>
      <c r="BI66" s="175">
        <v>0.5</v>
      </c>
      <c r="BJ66" s="175">
        <v>0.5</v>
      </c>
      <c r="BK66" s="175">
        <v>0.5</v>
      </c>
      <c r="BL66" s="175">
        <v>0.5</v>
      </c>
      <c r="BM66" s="175">
        <v>0.5</v>
      </c>
      <c r="BN66" s="175">
        <v>0.5</v>
      </c>
      <c r="BO66" s="175">
        <v>0.5</v>
      </c>
      <c r="BP66" s="175">
        <v>0.5</v>
      </c>
      <c r="BQ66" s="175">
        <v>0.5</v>
      </c>
      <c r="BR66" s="175">
        <v>0.5</v>
      </c>
      <c r="BS66" s="175">
        <v>0.5</v>
      </c>
      <c r="BT66" s="175">
        <v>0.5</v>
      </c>
      <c r="BU66" s="175">
        <v>0.5</v>
      </c>
      <c r="BV66" s="175">
        <v>0.5</v>
      </c>
      <c r="BW66" s="175">
        <v>0.5</v>
      </c>
      <c r="BX66" s="175">
        <v>0.5</v>
      </c>
      <c r="BY66" s="175">
        <v>0.5</v>
      </c>
      <c r="BZ66" s="175">
        <v>0.5</v>
      </c>
      <c r="CA66" s="175">
        <v>0.5</v>
      </c>
      <c r="CB66" s="175">
        <v>0.5</v>
      </c>
      <c r="CC66" s="175">
        <v>0.5</v>
      </c>
      <c r="CD66" s="175">
        <v>0.5</v>
      </c>
      <c r="CE66" s="175">
        <v>0.5</v>
      </c>
      <c r="CF66" s="175">
        <v>0.5</v>
      </c>
      <c r="CG66" s="175">
        <v>0.5</v>
      </c>
      <c r="CH66" s="175">
        <v>0.5</v>
      </c>
      <c r="CI66" s="175">
        <v>0.5</v>
      </c>
      <c r="CJ66" s="175">
        <v>0.5</v>
      </c>
      <c r="CK66" s="175">
        <v>0.5</v>
      </c>
      <c r="CL66" s="175">
        <v>0.5</v>
      </c>
      <c r="CM66" s="175">
        <v>0.5</v>
      </c>
      <c r="CN66" s="175">
        <v>0.5</v>
      </c>
      <c r="CO66" s="175">
        <v>0.5</v>
      </c>
      <c r="CP66" s="175">
        <v>0</v>
      </c>
      <c r="CQ66" s="175">
        <v>0</v>
      </c>
    </row>
    <row r="67" spans="1:95" s="175" customFormat="1" ht="16" x14ac:dyDescent="0.2">
      <c r="A67" t="s">
        <v>235</v>
      </c>
      <c r="B67" s="175">
        <v>0</v>
      </c>
      <c r="C67" s="175">
        <v>0.5</v>
      </c>
      <c r="D67" s="175">
        <v>0.5</v>
      </c>
      <c r="E67" s="175">
        <v>0.5</v>
      </c>
      <c r="F67" s="175">
        <v>0.5</v>
      </c>
      <c r="G67" s="175">
        <v>0.5</v>
      </c>
      <c r="H67" s="175">
        <v>0.5</v>
      </c>
      <c r="I67" s="175">
        <v>0.5</v>
      </c>
      <c r="J67" s="175">
        <v>0.5</v>
      </c>
      <c r="K67" s="175">
        <v>0.5</v>
      </c>
      <c r="L67" s="175">
        <v>0.5</v>
      </c>
      <c r="M67" s="175">
        <v>0.5</v>
      </c>
      <c r="N67" s="175">
        <v>0.5</v>
      </c>
      <c r="O67" s="175">
        <v>0.5</v>
      </c>
      <c r="P67" s="175">
        <v>0.5</v>
      </c>
      <c r="Q67" s="175">
        <v>0.5</v>
      </c>
      <c r="R67" s="175">
        <v>0.5</v>
      </c>
      <c r="S67" s="175">
        <v>0.5</v>
      </c>
      <c r="T67" s="175">
        <v>0.5</v>
      </c>
      <c r="U67" s="175">
        <v>0.5</v>
      </c>
      <c r="V67" s="175">
        <v>0.5</v>
      </c>
      <c r="W67" s="175">
        <v>0.5</v>
      </c>
      <c r="X67" s="175">
        <v>0.5</v>
      </c>
      <c r="Y67" s="175">
        <v>0.5</v>
      </c>
      <c r="Z67" s="175">
        <v>0.5</v>
      </c>
      <c r="AA67" s="175">
        <v>0.5</v>
      </c>
      <c r="AB67" s="175">
        <v>0.5</v>
      </c>
      <c r="AC67" s="175">
        <v>0.5</v>
      </c>
      <c r="AD67" s="175">
        <v>0.5</v>
      </c>
      <c r="AE67" s="175">
        <v>0.5</v>
      </c>
      <c r="AF67" s="175">
        <v>0.5</v>
      </c>
      <c r="AG67" s="175">
        <v>0.5</v>
      </c>
      <c r="AH67" s="175">
        <v>0.5</v>
      </c>
      <c r="AI67" s="175">
        <v>0.5</v>
      </c>
      <c r="AJ67" s="175">
        <v>0.5</v>
      </c>
      <c r="AK67" s="175">
        <v>0.5</v>
      </c>
      <c r="AL67" s="175">
        <v>0.5</v>
      </c>
      <c r="AM67" s="175">
        <v>0.5</v>
      </c>
      <c r="AN67" s="175">
        <v>0.5</v>
      </c>
      <c r="AO67" s="175">
        <v>0.5</v>
      </c>
      <c r="AP67" s="175">
        <v>0.5</v>
      </c>
      <c r="AQ67" s="175">
        <v>0.5</v>
      </c>
      <c r="AR67" s="175">
        <v>0.5</v>
      </c>
      <c r="AS67" s="175">
        <v>0.5</v>
      </c>
      <c r="AT67" s="175">
        <v>0.5</v>
      </c>
      <c r="AU67" s="175">
        <v>0.5</v>
      </c>
      <c r="AV67" s="175">
        <v>0.5</v>
      </c>
      <c r="AW67" s="175">
        <v>0.5</v>
      </c>
      <c r="AX67" s="175">
        <v>0.5</v>
      </c>
      <c r="AY67" s="175">
        <v>0.5</v>
      </c>
      <c r="AZ67" s="175">
        <v>0.5</v>
      </c>
      <c r="BA67" s="175">
        <v>0.5</v>
      </c>
      <c r="BB67" s="175">
        <v>0.5</v>
      </c>
      <c r="BC67" s="175">
        <v>0.5</v>
      </c>
      <c r="BD67" s="175">
        <v>0.5</v>
      </c>
      <c r="BE67" s="175">
        <v>0.5</v>
      </c>
      <c r="BF67" s="175">
        <v>0.5</v>
      </c>
      <c r="BG67" s="175">
        <v>0.5</v>
      </c>
      <c r="BH67" s="175">
        <v>0.5</v>
      </c>
      <c r="BI67" s="175">
        <v>0.5</v>
      </c>
      <c r="BJ67" s="175">
        <v>0.5</v>
      </c>
      <c r="BK67" s="175">
        <v>0.5</v>
      </c>
      <c r="BL67" s="175">
        <v>0.5</v>
      </c>
      <c r="BM67" s="175">
        <v>0.5</v>
      </c>
      <c r="BN67" s="175">
        <v>0.5</v>
      </c>
      <c r="BO67" s="175">
        <v>0.5</v>
      </c>
      <c r="BP67" s="175">
        <v>0.5</v>
      </c>
      <c r="BQ67" s="175">
        <v>0.5</v>
      </c>
      <c r="BR67" s="175">
        <v>0.5</v>
      </c>
      <c r="BS67" s="175">
        <v>0.5</v>
      </c>
      <c r="BT67" s="175">
        <v>0.5</v>
      </c>
      <c r="BU67" s="175">
        <v>0.5</v>
      </c>
      <c r="BV67" s="175">
        <v>0.5</v>
      </c>
      <c r="BW67" s="175">
        <v>0.5</v>
      </c>
      <c r="BX67" s="175">
        <v>0.5</v>
      </c>
      <c r="BY67" s="175">
        <v>0.5</v>
      </c>
      <c r="BZ67" s="175">
        <v>0.5</v>
      </c>
      <c r="CA67" s="175">
        <v>0.5</v>
      </c>
      <c r="CB67" s="175">
        <v>0.5</v>
      </c>
      <c r="CC67" s="175">
        <v>0.5</v>
      </c>
      <c r="CD67" s="175">
        <v>0.5</v>
      </c>
      <c r="CE67" s="175">
        <v>0.5</v>
      </c>
      <c r="CF67" s="175">
        <v>0.5</v>
      </c>
      <c r="CG67" s="175">
        <v>0.5</v>
      </c>
      <c r="CH67" s="175">
        <v>0.5</v>
      </c>
      <c r="CI67" s="175">
        <v>0.5</v>
      </c>
      <c r="CJ67" s="175">
        <v>0.5</v>
      </c>
      <c r="CK67" s="175">
        <v>0.5</v>
      </c>
      <c r="CL67" s="175">
        <v>0.5</v>
      </c>
      <c r="CM67" s="175">
        <v>0.5</v>
      </c>
      <c r="CN67" s="175">
        <v>0.5</v>
      </c>
      <c r="CO67" s="175">
        <v>0.5</v>
      </c>
      <c r="CP67" s="175">
        <v>0</v>
      </c>
      <c r="CQ67" s="175">
        <v>0</v>
      </c>
    </row>
    <row r="68" spans="1:95" s="175" customFormat="1" ht="16" x14ac:dyDescent="0.2">
      <c r="A68" t="s">
        <v>211</v>
      </c>
      <c r="B68" s="175">
        <v>0</v>
      </c>
      <c r="C68" s="175">
        <v>0.5</v>
      </c>
      <c r="D68" s="175">
        <v>0.5</v>
      </c>
      <c r="E68" s="175">
        <v>0.5</v>
      </c>
      <c r="F68" s="175">
        <v>0.5</v>
      </c>
      <c r="G68" s="175">
        <v>0.5</v>
      </c>
      <c r="H68" s="175">
        <v>0.5</v>
      </c>
      <c r="I68" s="175">
        <v>0.5</v>
      </c>
      <c r="J68" s="175">
        <v>0.5</v>
      </c>
      <c r="K68" s="175">
        <v>0.5</v>
      </c>
      <c r="L68" s="175">
        <v>0.5</v>
      </c>
      <c r="M68" s="175">
        <v>0.5</v>
      </c>
      <c r="N68" s="175">
        <v>0.5</v>
      </c>
      <c r="O68" s="175">
        <v>0.5</v>
      </c>
      <c r="P68" s="175">
        <v>0.5</v>
      </c>
      <c r="Q68" s="175">
        <v>0.5</v>
      </c>
      <c r="R68" s="175">
        <v>0.5</v>
      </c>
      <c r="S68" s="175">
        <v>0.5</v>
      </c>
      <c r="T68" s="175">
        <v>0.5</v>
      </c>
      <c r="U68" s="175">
        <v>0.5</v>
      </c>
      <c r="V68" s="175">
        <v>0.5</v>
      </c>
      <c r="W68" s="175">
        <v>0.5</v>
      </c>
      <c r="X68" s="175">
        <v>0.5</v>
      </c>
      <c r="Y68" s="175">
        <v>0.5</v>
      </c>
      <c r="Z68" s="175">
        <v>0.5</v>
      </c>
      <c r="AA68" s="175">
        <v>0.5</v>
      </c>
      <c r="AB68" s="175">
        <v>0.5</v>
      </c>
      <c r="AC68" s="175">
        <v>0.5</v>
      </c>
      <c r="AD68" s="175">
        <v>0.5</v>
      </c>
      <c r="AE68" s="175">
        <v>0.5</v>
      </c>
      <c r="AF68" s="175">
        <v>0.5</v>
      </c>
      <c r="AG68" s="175">
        <v>0.5</v>
      </c>
      <c r="AH68" s="175">
        <v>0.5</v>
      </c>
      <c r="AI68" s="175">
        <v>0.5</v>
      </c>
      <c r="AJ68" s="175">
        <v>0.5</v>
      </c>
      <c r="AK68" s="175">
        <v>0.5</v>
      </c>
      <c r="AL68" s="175">
        <v>0.5</v>
      </c>
      <c r="AM68" s="175">
        <v>0.5</v>
      </c>
      <c r="AN68" s="175">
        <v>0.5</v>
      </c>
      <c r="AO68" s="175">
        <v>0.5</v>
      </c>
      <c r="AP68" s="175">
        <v>0.5</v>
      </c>
      <c r="AQ68" s="175">
        <v>0.5</v>
      </c>
      <c r="AR68" s="175">
        <v>0.5</v>
      </c>
      <c r="AS68" s="175">
        <v>0.5</v>
      </c>
      <c r="AT68" s="175">
        <v>0.5</v>
      </c>
      <c r="AU68" s="175">
        <v>0.5</v>
      </c>
      <c r="AV68" s="175">
        <v>0.5</v>
      </c>
      <c r="AW68" s="175">
        <v>0.5</v>
      </c>
      <c r="AX68" s="175">
        <v>0.5</v>
      </c>
      <c r="AY68" s="175">
        <v>0.5</v>
      </c>
      <c r="AZ68" s="175">
        <v>0.5</v>
      </c>
      <c r="BA68" s="175">
        <v>0.5</v>
      </c>
      <c r="BB68" s="175">
        <v>0.5</v>
      </c>
      <c r="BC68" s="175">
        <v>0.5</v>
      </c>
      <c r="BD68" s="175">
        <v>0.5</v>
      </c>
      <c r="BE68" s="175">
        <v>0.5</v>
      </c>
      <c r="BF68" s="175">
        <v>0.5</v>
      </c>
      <c r="BG68" s="175">
        <v>0.5</v>
      </c>
      <c r="BH68" s="175">
        <v>0.5</v>
      </c>
      <c r="BI68" s="175">
        <v>0.5</v>
      </c>
      <c r="BJ68" s="175">
        <v>0.5</v>
      </c>
      <c r="BK68" s="175">
        <v>0.5</v>
      </c>
      <c r="BL68" s="175">
        <v>0.5</v>
      </c>
      <c r="BM68" s="175">
        <v>0.5</v>
      </c>
      <c r="BN68" s="175">
        <v>0.5</v>
      </c>
      <c r="BO68" s="175">
        <v>0.5</v>
      </c>
      <c r="BP68" s="175">
        <v>0.5</v>
      </c>
      <c r="BQ68" s="175">
        <v>0.5</v>
      </c>
      <c r="BR68" s="175">
        <v>0.5</v>
      </c>
      <c r="BS68" s="175">
        <v>0.5</v>
      </c>
      <c r="BT68" s="175">
        <v>0.5</v>
      </c>
      <c r="BU68" s="175">
        <v>0.5</v>
      </c>
      <c r="BV68" s="175">
        <v>0.5</v>
      </c>
      <c r="BW68" s="175">
        <v>0.5</v>
      </c>
      <c r="BX68" s="175">
        <v>0.5</v>
      </c>
      <c r="BY68" s="175">
        <v>0.5</v>
      </c>
      <c r="BZ68" s="175">
        <v>0.5</v>
      </c>
      <c r="CA68" s="175">
        <v>0.5</v>
      </c>
      <c r="CB68" s="175">
        <v>0.5</v>
      </c>
      <c r="CC68" s="175">
        <v>0.5</v>
      </c>
      <c r="CD68" s="175">
        <v>0.5</v>
      </c>
      <c r="CE68" s="175">
        <v>0.5</v>
      </c>
      <c r="CF68" s="175">
        <v>0.5</v>
      </c>
      <c r="CG68" s="175">
        <v>0.5</v>
      </c>
      <c r="CH68" s="175">
        <v>0.5</v>
      </c>
      <c r="CI68" s="175">
        <v>0.5</v>
      </c>
      <c r="CJ68" s="175">
        <v>0.5</v>
      </c>
      <c r="CK68" s="175">
        <v>0.5</v>
      </c>
      <c r="CL68" s="175">
        <v>0.5</v>
      </c>
      <c r="CM68" s="175">
        <v>0.5</v>
      </c>
      <c r="CN68" s="175">
        <v>0.5</v>
      </c>
      <c r="CO68" s="175">
        <v>0.5</v>
      </c>
      <c r="CP68" s="175">
        <v>0</v>
      </c>
      <c r="CQ68" s="175">
        <v>0</v>
      </c>
    </row>
    <row r="69" spans="1:95" s="175" customFormat="1" ht="16" x14ac:dyDescent="0.2">
      <c r="A69" t="s">
        <v>265</v>
      </c>
      <c r="B69" s="175">
        <v>0</v>
      </c>
      <c r="C69" s="175">
        <v>0.5</v>
      </c>
      <c r="D69" s="175">
        <v>0.5</v>
      </c>
      <c r="E69" s="175">
        <v>0.5</v>
      </c>
      <c r="F69" s="175">
        <v>0.5</v>
      </c>
      <c r="G69" s="175">
        <v>0.5</v>
      </c>
      <c r="H69" s="175">
        <v>0.5</v>
      </c>
      <c r="I69" s="175">
        <v>0.5</v>
      </c>
      <c r="J69" s="175">
        <v>0.5</v>
      </c>
      <c r="K69" s="175">
        <v>0.5</v>
      </c>
      <c r="L69" s="175">
        <v>0.5</v>
      </c>
      <c r="M69" s="175">
        <v>0.5</v>
      </c>
      <c r="N69" s="175">
        <v>0.5</v>
      </c>
      <c r="O69" s="175">
        <v>0.5</v>
      </c>
      <c r="P69" s="175">
        <v>0.5</v>
      </c>
      <c r="Q69" s="175">
        <v>0.5</v>
      </c>
      <c r="R69" s="175">
        <v>0.5</v>
      </c>
      <c r="S69" s="175">
        <v>0.5</v>
      </c>
      <c r="T69" s="175">
        <v>0.5</v>
      </c>
      <c r="U69" s="175">
        <v>0.5</v>
      </c>
      <c r="V69" s="175">
        <v>0.5</v>
      </c>
      <c r="W69" s="175">
        <v>0.5</v>
      </c>
      <c r="X69" s="175">
        <v>0.5</v>
      </c>
      <c r="Y69" s="175">
        <v>0.5</v>
      </c>
      <c r="Z69" s="175">
        <v>0.5</v>
      </c>
      <c r="AA69" s="175">
        <v>0.5</v>
      </c>
      <c r="AB69" s="175">
        <v>0.5</v>
      </c>
      <c r="AC69" s="175">
        <v>0.5</v>
      </c>
      <c r="AD69" s="175">
        <v>0.5</v>
      </c>
      <c r="AE69" s="175">
        <v>0.5</v>
      </c>
      <c r="AF69" s="175">
        <v>0.5</v>
      </c>
      <c r="AG69" s="175">
        <v>0.5</v>
      </c>
      <c r="AH69" s="175">
        <v>0.5</v>
      </c>
      <c r="AI69" s="175">
        <v>0.5</v>
      </c>
      <c r="AJ69" s="175">
        <v>0.5</v>
      </c>
      <c r="AK69" s="175">
        <v>0.5</v>
      </c>
      <c r="AL69" s="175">
        <v>0.5</v>
      </c>
      <c r="AM69" s="175">
        <v>0.5</v>
      </c>
      <c r="AN69" s="175">
        <v>0.5</v>
      </c>
      <c r="AO69" s="175">
        <v>0.5</v>
      </c>
      <c r="AP69" s="175">
        <v>0.5</v>
      </c>
      <c r="AQ69" s="175">
        <v>0.5</v>
      </c>
      <c r="AR69" s="175">
        <v>0.5</v>
      </c>
      <c r="AS69" s="175">
        <v>0.5</v>
      </c>
      <c r="AT69" s="175">
        <v>0.5</v>
      </c>
      <c r="AU69" s="175">
        <v>0.5</v>
      </c>
      <c r="AV69" s="175">
        <v>0.5</v>
      </c>
      <c r="AW69" s="175">
        <v>0.5</v>
      </c>
      <c r="AX69" s="175">
        <v>0.5</v>
      </c>
      <c r="AY69" s="175">
        <v>0.5</v>
      </c>
      <c r="AZ69" s="175">
        <v>0.5</v>
      </c>
      <c r="BA69" s="175">
        <v>0.5</v>
      </c>
      <c r="BB69" s="175">
        <v>0.5</v>
      </c>
      <c r="BC69" s="175">
        <v>0.5</v>
      </c>
      <c r="BD69" s="175">
        <v>0.5</v>
      </c>
      <c r="BE69" s="175">
        <v>0.5</v>
      </c>
      <c r="BF69" s="175">
        <v>0.5</v>
      </c>
      <c r="BG69" s="175">
        <v>0.5</v>
      </c>
      <c r="BH69" s="175">
        <v>0.5</v>
      </c>
      <c r="BI69" s="175">
        <v>0.5</v>
      </c>
      <c r="BJ69" s="175">
        <v>0.5</v>
      </c>
      <c r="BK69" s="175">
        <v>0.5</v>
      </c>
      <c r="BL69" s="175">
        <v>0.5</v>
      </c>
      <c r="BM69" s="175">
        <v>0.5</v>
      </c>
      <c r="BN69" s="175">
        <v>0.5</v>
      </c>
      <c r="BO69" s="175">
        <v>0.5</v>
      </c>
      <c r="BP69" s="175">
        <v>0.5</v>
      </c>
      <c r="BQ69" s="175">
        <v>0.5</v>
      </c>
      <c r="BR69" s="175">
        <v>0.5</v>
      </c>
      <c r="BS69" s="175">
        <v>0.5</v>
      </c>
      <c r="BT69" s="175">
        <v>0.5</v>
      </c>
      <c r="BU69" s="175">
        <v>0.5</v>
      </c>
      <c r="BV69" s="175">
        <v>0.5</v>
      </c>
      <c r="BW69" s="175">
        <v>0.5</v>
      </c>
      <c r="BX69" s="175">
        <v>0.5</v>
      </c>
      <c r="BY69" s="175">
        <v>0.5</v>
      </c>
      <c r="BZ69" s="175">
        <v>0.5</v>
      </c>
      <c r="CA69" s="175">
        <v>0.5</v>
      </c>
      <c r="CB69" s="175">
        <v>0.5</v>
      </c>
      <c r="CC69" s="175">
        <v>0.5</v>
      </c>
      <c r="CD69" s="175">
        <v>0.5</v>
      </c>
      <c r="CE69" s="175">
        <v>0.5</v>
      </c>
      <c r="CF69" s="175">
        <v>0.5</v>
      </c>
      <c r="CG69" s="175">
        <v>0.5</v>
      </c>
      <c r="CH69" s="175">
        <v>0.5</v>
      </c>
      <c r="CI69" s="175">
        <v>0.5</v>
      </c>
      <c r="CJ69" s="175">
        <v>0.5</v>
      </c>
      <c r="CK69" s="175">
        <v>0.5</v>
      </c>
      <c r="CL69" s="175">
        <v>0.5</v>
      </c>
      <c r="CM69" s="175">
        <v>0.5</v>
      </c>
      <c r="CN69" s="175">
        <v>0.5</v>
      </c>
      <c r="CO69" s="175">
        <v>0.5</v>
      </c>
      <c r="CP69" s="175">
        <v>0</v>
      </c>
      <c r="CQ69" s="175">
        <v>0</v>
      </c>
    </row>
    <row r="70" spans="1:95" s="175" customFormat="1" ht="16" x14ac:dyDescent="0.2">
      <c r="A70" t="s">
        <v>212</v>
      </c>
      <c r="B70" s="175">
        <v>0</v>
      </c>
      <c r="C70" s="175">
        <v>0.5</v>
      </c>
      <c r="D70" s="175">
        <v>0.5</v>
      </c>
      <c r="E70" s="175">
        <v>0.5</v>
      </c>
      <c r="F70" s="175">
        <v>0.5</v>
      </c>
      <c r="G70" s="175">
        <v>0.5</v>
      </c>
      <c r="H70" s="175">
        <v>0.5</v>
      </c>
      <c r="I70" s="175">
        <v>0.5</v>
      </c>
      <c r="J70" s="175">
        <v>0.5</v>
      </c>
      <c r="K70" s="175">
        <v>0.5</v>
      </c>
      <c r="L70" s="175">
        <v>0.5</v>
      </c>
      <c r="M70" s="175">
        <v>0.5</v>
      </c>
      <c r="N70" s="175">
        <v>0.5</v>
      </c>
      <c r="O70" s="175">
        <v>0.5</v>
      </c>
      <c r="P70" s="175">
        <v>0.5</v>
      </c>
      <c r="Q70" s="175">
        <v>0.5</v>
      </c>
      <c r="R70" s="175">
        <v>0.5</v>
      </c>
      <c r="S70" s="175">
        <v>0.5</v>
      </c>
      <c r="T70" s="175">
        <v>0.5</v>
      </c>
      <c r="U70" s="175">
        <v>0.5</v>
      </c>
      <c r="V70" s="175">
        <v>0.5</v>
      </c>
      <c r="W70" s="175">
        <v>0.5</v>
      </c>
      <c r="X70" s="175">
        <v>0.5</v>
      </c>
      <c r="Y70" s="175">
        <v>0.5</v>
      </c>
      <c r="Z70" s="175">
        <v>0.5</v>
      </c>
      <c r="AA70" s="175">
        <v>0.5</v>
      </c>
      <c r="AB70" s="175">
        <v>0.5</v>
      </c>
      <c r="AC70" s="175">
        <v>0.5</v>
      </c>
      <c r="AD70" s="175">
        <v>0.5</v>
      </c>
      <c r="AE70" s="175">
        <v>0.5</v>
      </c>
      <c r="AF70" s="175">
        <v>0.5</v>
      </c>
      <c r="AG70" s="175">
        <v>0.5</v>
      </c>
      <c r="AH70" s="175">
        <v>0.5</v>
      </c>
      <c r="AI70" s="175">
        <v>0.5</v>
      </c>
      <c r="AJ70" s="175">
        <v>0.5</v>
      </c>
      <c r="AK70" s="175">
        <v>0.5</v>
      </c>
      <c r="AL70" s="175">
        <v>0.5</v>
      </c>
      <c r="AM70" s="175">
        <v>0.5</v>
      </c>
      <c r="AN70" s="175">
        <v>0.5</v>
      </c>
      <c r="AO70" s="175">
        <v>0.5</v>
      </c>
      <c r="AP70" s="175">
        <v>0.5</v>
      </c>
      <c r="AQ70" s="175">
        <v>0.5</v>
      </c>
      <c r="AR70" s="175">
        <v>0.5</v>
      </c>
      <c r="AS70" s="175">
        <v>0.5</v>
      </c>
      <c r="AT70" s="175">
        <v>0.5</v>
      </c>
      <c r="AU70" s="175">
        <v>0.5</v>
      </c>
      <c r="AV70" s="175">
        <v>0.5</v>
      </c>
      <c r="AW70" s="175">
        <v>0.5</v>
      </c>
      <c r="AX70" s="175">
        <v>0.5</v>
      </c>
      <c r="AY70" s="175">
        <v>0.5</v>
      </c>
      <c r="AZ70" s="175">
        <v>0.5</v>
      </c>
      <c r="BA70" s="175">
        <v>0.5</v>
      </c>
      <c r="BB70" s="175">
        <v>0.5</v>
      </c>
      <c r="BC70" s="175">
        <v>0.5</v>
      </c>
      <c r="BD70" s="175">
        <v>0.5</v>
      </c>
      <c r="BE70" s="175">
        <v>0.5</v>
      </c>
      <c r="BF70" s="175">
        <v>0.5</v>
      </c>
      <c r="BG70" s="175">
        <v>0.5</v>
      </c>
      <c r="BH70" s="175">
        <v>0.5</v>
      </c>
      <c r="BI70" s="175">
        <v>0.5</v>
      </c>
      <c r="BJ70" s="175">
        <v>0.5</v>
      </c>
      <c r="BK70" s="175">
        <v>0.5</v>
      </c>
      <c r="BL70" s="175">
        <v>0.5</v>
      </c>
      <c r="BM70" s="175">
        <v>0.5</v>
      </c>
      <c r="BN70" s="175">
        <v>0.5</v>
      </c>
      <c r="BO70" s="175">
        <v>0.5</v>
      </c>
      <c r="BP70" s="175">
        <v>0.5</v>
      </c>
      <c r="BQ70" s="175">
        <v>0.5</v>
      </c>
      <c r="BR70" s="175">
        <v>0.5</v>
      </c>
      <c r="BS70" s="175">
        <v>0.5</v>
      </c>
      <c r="BT70" s="175">
        <v>0.5</v>
      </c>
      <c r="BU70" s="175">
        <v>0.5</v>
      </c>
      <c r="BV70" s="175">
        <v>0.5</v>
      </c>
      <c r="BW70" s="175">
        <v>0.5</v>
      </c>
      <c r="BX70" s="175">
        <v>0.5</v>
      </c>
      <c r="BY70" s="175">
        <v>0.5</v>
      </c>
      <c r="BZ70" s="175">
        <v>0.5</v>
      </c>
      <c r="CA70" s="175">
        <v>0.5</v>
      </c>
      <c r="CB70" s="175">
        <v>0.5</v>
      </c>
      <c r="CC70" s="175">
        <v>0.5</v>
      </c>
      <c r="CD70" s="175">
        <v>0.5</v>
      </c>
      <c r="CE70" s="175">
        <v>0.5</v>
      </c>
      <c r="CF70" s="175">
        <v>0.5</v>
      </c>
      <c r="CG70" s="175">
        <v>0.5</v>
      </c>
      <c r="CH70" s="175">
        <v>0.5</v>
      </c>
      <c r="CI70" s="175">
        <v>0.5</v>
      </c>
      <c r="CJ70" s="175">
        <v>0.5</v>
      </c>
      <c r="CK70" s="175">
        <v>0.5</v>
      </c>
      <c r="CL70" s="175">
        <v>0.5</v>
      </c>
      <c r="CM70" s="175">
        <v>0.5</v>
      </c>
      <c r="CN70" s="175">
        <v>0.5</v>
      </c>
      <c r="CO70" s="175">
        <v>0.5</v>
      </c>
      <c r="CP70" s="175">
        <v>0</v>
      </c>
      <c r="CQ70" s="175">
        <v>0</v>
      </c>
    </row>
    <row r="71" spans="1:95" s="175" customFormat="1" ht="16" x14ac:dyDescent="0.2">
      <c r="A71" t="s">
        <v>213</v>
      </c>
      <c r="B71" s="175">
        <v>0</v>
      </c>
      <c r="C71" s="175">
        <v>0.5</v>
      </c>
      <c r="D71" s="175">
        <v>0.5</v>
      </c>
      <c r="E71" s="175">
        <v>0.5</v>
      </c>
      <c r="F71" s="175">
        <v>0.5</v>
      </c>
      <c r="G71" s="175">
        <v>0.5</v>
      </c>
      <c r="H71" s="175">
        <v>0.5</v>
      </c>
      <c r="I71" s="175">
        <v>0.5</v>
      </c>
      <c r="J71" s="175">
        <v>0.5</v>
      </c>
      <c r="K71" s="175">
        <v>0.5</v>
      </c>
      <c r="L71" s="175">
        <v>0.5</v>
      </c>
      <c r="M71" s="175">
        <v>0.5</v>
      </c>
      <c r="N71" s="175">
        <v>0.5</v>
      </c>
      <c r="O71" s="175">
        <v>0.5</v>
      </c>
      <c r="P71" s="175">
        <v>0.5</v>
      </c>
      <c r="Q71" s="175">
        <v>0.5</v>
      </c>
      <c r="R71" s="175">
        <v>0.5</v>
      </c>
      <c r="S71" s="175">
        <v>0.5</v>
      </c>
      <c r="T71" s="175">
        <v>0.5</v>
      </c>
      <c r="U71" s="175">
        <v>0.5</v>
      </c>
      <c r="V71" s="175">
        <v>0.5</v>
      </c>
      <c r="W71" s="175">
        <v>0.5</v>
      </c>
      <c r="X71" s="175">
        <v>0.5</v>
      </c>
      <c r="Y71" s="175">
        <v>0.5</v>
      </c>
      <c r="Z71" s="175">
        <v>0.5</v>
      </c>
      <c r="AA71" s="175">
        <v>0.5</v>
      </c>
      <c r="AB71" s="175">
        <v>0.5</v>
      </c>
      <c r="AC71" s="175">
        <v>0.5</v>
      </c>
      <c r="AD71" s="175">
        <v>0.5</v>
      </c>
      <c r="AE71" s="175">
        <v>0.5</v>
      </c>
      <c r="AF71" s="175">
        <v>0.5</v>
      </c>
      <c r="AG71" s="175">
        <v>0.5</v>
      </c>
      <c r="AH71" s="175">
        <v>0.5</v>
      </c>
      <c r="AI71" s="175">
        <v>0.5</v>
      </c>
      <c r="AJ71" s="175">
        <v>0.5</v>
      </c>
      <c r="AK71" s="175">
        <v>0.5</v>
      </c>
      <c r="AL71" s="175">
        <v>0.5</v>
      </c>
      <c r="AM71" s="175">
        <v>0.5</v>
      </c>
      <c r="AN71" s="175">
        <v>0.5</v>
      </c>
      <c r="AO71" s="175">
        <v>0.5</v>
      </c>
      <c r="AP71" s="175">
        <v>0.5</v>
      </c>
      <c r="AQ71" s="175">
        <v>0.5</v>
      </c>
      <c r="AR71" s="175">
        <v>0.5</v>
      </c>
      <c r="AS71" s="175">
        <v>0.5</v>
      </c>
      <c r="AT71" s="175">
        <v>0.5</v>
      </c>
      <c r="AU71" s="175">
        <v>0.5</v>
      </c>
      <c r="AV71" s="175">
        <v>0.5</v>
      </c>
      <c r="AW71" s="175">
        <v>0.5</v>
      </c>
      <c r="AX71" s="175">
        <v>0.5</v>
      </c>
      <c r="AY71" s="175">
        <v>0.5</v>
      </c>
      <c r="AZ71" s="175">
        <v>0.5</v>
      </c>
      <c r="BA71" s="175">
        <v>0.5</v>
      </c>
      <c r="BB71" s="175">
        <v>0.5</v>
      </c>
      <c r="BC71" s="175">
        <v>0.5</v>
      </c>
      <c r="BD71" s="175">
        <v>0.5</v>
      </c>
      <c r="BE71" s="175">
        <v>0.5</v>
      </c>
      <c r="BF71" s="175">
        <v>0.5</v>
      </c>
      <c r="BG71" s="175">
        <v>0.5</v>
      </c>
      <c r="BH71" s="175">
        <v>0.5</v>
      </c>
      <c r="BI71" s="175">
        <v>0.5</v>
      </c>
      <c r="BJ71" s="175">
        <v>0.5</v>
      </c>
      <c r="BK71" s="175">
        <v>0.5</v>
      </c>
      <c r="BL71" s="175">
        <v>0.5</v>
      </c>
      <c r="BM71" s="175">
        <v>0.5</v>
      </c>
      <c r="BN71" s="175">
        <v>0.5</v>
      </c>
      <c r="BO71" s="175">
        <v>0.5</v>
      </c>
      <c r="BP71" s="175">
        <v>0.5</v>
      </c>
      <c r="BQ71" s="175">
        <v>0.5</v>
      </c>
      <c r="BR71" s="175">
        <v>0.5</v>
      </c>
      <c r="BS71" s="175">
        <v>0.5</v>
      </c>
      <c r="BT71" s="175">
        <v>0.5</v>
      </c>
      <c r="BU71" s="175">
        <v>0.5</v>
      </c>
      <c r="BV71" s="175">
        <v>0.5</v>
      </c>
      <c r="BW71" s="175">
        <v>0.5</v>
      </c>
      <c r="BX71" s="175">
        <v>0.5</v>
      </c>
      <c r="BY71" s="175">
        <v>0.5</v>
      </c>
      <c r="BZ71" s="175">
        <v>0.5</v>
      </c>
      <c r="CA71" s="175">
        <v>0.5</v>
      </c>
      <c r="CB71" s="175">
        <v>0.5</v>
      </c>
      <c r="CC71" s="175">
        <v>0.5</v>
      </c>
      <c r="CD71" s="175">
        <v>0.5</v>
      </c>
      <c r="CE71" s="175">
        <v>0.5</v>
      </c>
      <c r="CF71" s="175">
        <v>0.5</v>
      </c>
      <c r="CG71" s="175">
        <v>0.5</v>
      </c>
      <c r="CH71" s="175">
        <v>0.5</v>
      </c>
      <c r="CI71" s="175">
        <v>0.5</v>
      </c>
      <c r="CJ71" s="175">
        <v>0.5</v>
      </c>
      <c r="CK71" s="175">
        <v>0.5</v>
      </c>
      <c r="CL71" s="175">
        <v>0.5</v>
      </c>
      <c r="CM71" s="175">
        <v>0.5</v>
      </c>
      <c r="CN71" s="175">
        <v>0.5</v>
      </c>
      <c r="CO71" s="175">
        <v>0.5</v>
      </c>
      <c r="CP71" s="175">
        <v>0</v>
      </c>
      <c r="CQ71" s="175">
        <v>0</v>
      </c>
    </row>
    <row r="72" spans="1:95" s="175" customFormat="1" ht="16" x14ac:dyDescent="0.2">
      <c r="A72" t="s">
        <v>236</v>
      </c>
      <c r="B72" s="175">
        <v>0</v>
      </c>
      <c r="C72" s="175">
        <v>0.5</v>
      </c>
      <c r="D72" s="175">
        <v>0.5</v>
      </c>
      <c r="E72" s="175">
        <v>0.5</v>
      </c>
      <c r="F72" s="175">
        <v>0.5</v>
      </c>
      <c r="G72" s="175">
        <v>0.5</v>
      </c>
      <c r="H72" s="175">
        <v>0.5</v>
      </c>
      <c r="I72" s="175">
        <v>0.5</v>
      </c>
      <c r="J72" s="175">
        <v>0.5</v>
      </c>
      <c r="K72" s="175">
        <v>0.5</v>
      </c>
      <c r="L72" s="175">
        <v>0.5</v>
      </c>
      <c r="M72" s="175">
        <v>0.5</v>
      </c>
      <c r="N72" s="175">
        <v>0.5</v>
      </c>
      <c r="O72" s="175">
        <v>0.5</v>
      </c>
      <c r="P72" s="175">
        <v>0.5</v>
      </c>
      <c r="Q72" s="175">
        <v>0.5</v>
      </c>
      <c r="R72" s="175">
        <v>0.5</v>
      </c>
      <c r="S72" s="175">
        <v>0.5</v>
      </c>
      <c r="T72" s="175">
        <v>0.5</v>
      </c>
      <c r="U72" s="175">
        <v>0.5</v>
      </c>
      <c r="V72" s="175">
        <v>0.5</v>
      </c>
      <c r="W72" s="175">
        <v>0.5</v>
      </c>
      <c r="X72" s="175">
        <v>0.5</v>
      </c>
      <c r="Y72" s="175">
        <v>0.5</v>
      </c>
      <c r="Z72" s="175">
        <v>0.5</v>
      </c>
      <c r="AA72" s="175">
        <v>0.5</v>
      </c>
      <c r="AB72" s="175">
        <v>0.5</v>
      </c>
      <c r="AC72" s="175">
        <v>0.5</v>
      </c>
      <c r="AD72" s="175">
        <v>0.5</v>
      </c>
      <c r="AE72" s="175">
        <v>0.5</v>
      </c>
      <c r="AF72" s="175">
        <v>0.5</v>
      </c>
      <c r="AG72" s="175">
        <v>0.5</v>
      </c>
      <c r="AH72" s="175">
        <v>0.5</v>
      </c>
      <c r="AI72" s="175">
        <v>0.5</v>
      </c>
      <c r="AJ72" s="175">
        <v>0.5</v>
      </c>
      <c r="AK72" s="175">
        <v>0.5</v>
      </c>
      <c r="AL72" s="175">
        <v>0.5</v>
      </c>
      <c r="AM72" s="175">
        <v>0.5</v>
      </c>
      <c r="AN72" s="175">
        <v>0.5</v>
      </c>
      <c r="AO72" s="175">
        <v>0.5</v>
      </c>
      <c r="AP72" s="175">
        <v>0.5</v>
      </c>
      <c r="AQ72" s="175">
        <v>0.5</v>
      </c>
      <c r="AR72" s="175">
        <v>0.5</v>
      </c>
      <c r="AS72" s="175">
        <v>0.5</v>
      </c>
      <c r="AT72" s="175">
        <v>0.5</v>
      </c>
      <c r="AU72" s="175">
        <v>0.5</v>
      </c>
      <c r="AV72" s="175">
        <v>0.5</v>
      </c>
      <c r="AW72" s="175">
        <v>0.5</v>
      </c>
      <c r="AX72" s="175">
        <v>0.5</v>
      </c>
      <c r="AY72" s="175">
        <v>0.5</v>
      </c>
      <c r="AZ72" s="175">
        <v>0.5</v>
      </c>
      <c r="BA72" s="175">
        <v>0.5</v>
      </c>
      <c r="BB72" s="175">
        <v>0.5</v>
      </c>
      <c r="BC72" s="175">
        <v>0.5</v>
      </c>
      <c r="BD72" s="175">
        <v>0.5</v>
      </c>
      <c r="BE72" s="175">
        <v>0.5</v>
      </c>
      <c r="BF72" s="175">
        <v>0.5</v>
      </c>
      <c r="BG72" s="175">
        <v>0.5</v>
      </c>
      <c r="BH72" s="175">
        <v>0.5</v>
      </c>
      <c r="BI72" s="175">
        <v>0.5</v>
      </c>
      <c r="BJ72" s="175">
        <v>0.5</v>
      </c>
      <c r="BK72" s="175">
        <v>0.5</v>
      </c>
      <c r="BL72" s="175">
        <v>0.5</v>
      </c>
      <c r="BM72" s="175">
        <v>0.5</v>
      </c>
      <c r="BN72" s="175">
        <v>0.5</v>
      </c>
      <c r="BO72" s="175">
        <v>0.5</v>
      </c>
      <c r="BP72" s="175">
        <v>0.5</v>
      </c>
      <c r="BQ72" s="175">
        <v>0.5</v>
      </c>
      <c r="BR72" s="175">
        <v>0.5</v>
      </c>
      <c r="BS72" s="175">
        <v>0.5</v>
      </c>
      <c r="BT72" s="175">
        <v>0.5</v>
      </c>
      <c r="BU72" s="175">
        <v>0.5</v>
      </c>
      <c r="BV72" s="175">
        <v>0.5</v>
      </c>
      <c r="BW72" s="175">
        <v>0.5</v>
      </c>
      <c r="BX72" s="175">
        <v>0.5</v>
      </c>
      <c r="BY72" s="175">
        <v>0.5</v>
      </c>
      <c r="BZ72" s="175">
        <v>0.5</v>
      </c>
      <c r="CA72" s="175">
        <v>0.5</v>
      </c>
      <c r="CB72" s="175">
        <v>0.5</v>
      </c>
      <c r="CC72" s="175">
        <v>0.5</v>
      </c>
      <c r="CD72" s="175">
        <v>0.5</v>
      </c>
      <c r="CE72" s="175">
        <v>0.5</v>
      </c>
      <c r="CF72" s="175">
        <v>0.5</v>
      </c>
      <c r="CG72" s="175">
        <v>0.5</v>
      </c>
      <c r="CH72" s="175">
        <v>0.5</v>
      </c>
      <c r="CI72" s="175">
        <v>0.5</v>
      </c>
      <c r="CJ72" s="175">
        <v>0.5</v>
      </c>
      <c r="CK72" s="175">
        <v>0.5</v>
      </c>
      <c r="CL72" s="175">
        <v>0.5</v>
      </c>
      <c r="CM72" s="175">
        <v>0.5</v>
      </c>
      <c r="CN72" s="175">
        <v>0.5</v>
      </c>
      <c r="CO72" s="175">
        <v>0.5</v>
      </c>
      <c r="CP72" s="175">
        <v>0</v>
      </c>
      <c r="CQ72" s="175">
        <v>0</v>
      </c>
    </row>
    <row r="73" spans="1:95" s="175" customFormat="1" ht="16" x14ac:dyDescent="0.2">
      <c r="A73" t="s">
        <v>237</v>
      </c>
      <c r="B73" s="175">
        <v>0</v>
      </c>
      <c r="C73" s="175">
        <v>0.5</v>
      </c>
      <c r="D73" s="175">
        <v>0.5</v>
      </c>
      <c r="E73" s="175">
        <v>0.5</v>
      </c>
      <c r="F73" s="175">
        <v>0.5</v>
      </c>
      <c r="G73" s="175">
        <v>0.5</v>
      </c>
      <c r="H73" s="175">
        <v>0.5</v>
      </c>
      <c r="I73" s="175">
        <v>0.5</v>
      </c>
      <c r="J73" s="175">
        <v>0.5</v>
      </c>
      <c r="K73" s="175">
        <v>0.5</v>
      </c>
      <c r="L73" s="175">
        <v>0.5</v>
      </c>
      <c r="M73" s="175">
        <v>0.5</v>
      </c>
      <c r="N73" s="175">
        <v>0.5</v>
      </c>
      <c r="O73" s="175">
        <v>0.5</v>
      </c>
      <c r="P73" s="175">
        <v>0.5</v>
      </c>
      <c r="Q73" s="175">
        <v>0.5</v>
      </c>
      <c r="R73" s="175">
        <v>0.5</v>
      </c>
      <c r="S73" s="175">
        <v>0.5</v>
      </c>
      <c r="T73" s="175">
        <v>0.5</v>
      </c>
      <c r="U73" s="175">
        <v>0.5</v>
      </c>
      <c r="V73" s="175">
        <v>0.5</v>
      </c>
      <c r="W73" s="175">
        <v>0.5</v>
      </c>
      <c r="X73" s="175">
        <v>0.5</v>
      </c>
      <c r="Y73" s="175">
        <v>0.5</v>
      </c>
      <c r="Z73" s="175">
        <v>0.5</v>
      </c>
      <c r="AA73" s="175">
        <v>0.5</v>
      </c>
      <c r="AB73" s="175">
        <v>0.5</v>
      </c>
      <c r="AC73" s="175">
        <v>0.5</v>
      </c>
      <c r="AD73" s="175">
        <v>0.5</v>
      </c>
      <c r="AE73" s="175">
        <v>0.5</v>
      </c>
      <c r="AF73" s="175">
        <v>0.5</v>
      </c>
      <c r="AG73" s="175">
        <v>0.5</v>
      </c>
      <c r="AH73" s="175">
        <v>0.5</v>
      </c>
      <c r="AI73" s="175">
        <v>0.5</v>
      </c>
      <c r="AJ73" s="175">
        <v>0.5</v>
      </c>
      <c r="AK73" s="175">
        <v>0.5</v>
      </c>
      <c r="AL73" s="175">
        <v>0.5</v>
      </c>
      <c r="AM73" s="175">
        <v>0.5</v>
      </c>
      <c r="AN73" s="175">
        <v>0.5</v>
      </c>
      <c r="AO73" s="175">
        <v>0.5</v>
      </c>
      <c r="AP73" s="175">
        <v>0.5</v>
      </c>
      <c r="AQ73" s="175">
        <v>0.5</v>
      </c>
      <c r="AR73" s="175">
        <v>0.5</v>
      </c>
      <c r="AS73" s="175">
        <v>0.5</v>
      </c>
      <c r="AT73" s="175">
        <v>0.5</v>
      </c>
      <c r="AU73" s="175">
        <v>0.5</v>
      </c>
      <c r="AV73" s="175">
        <v>0.5</v>
      </c>
      <c r="AW73" s="175">
        <v>0.5</v>
      </c>
      <c r="AX73" s="175">
        <v>0.5</v>
      </c>
      <c r="AY73" s="175">
        <v>0.5</v>
      </c>
      <c r="AZ73" s="175">
        <v>0.5</v>
      </c>
      <c r="BA73" s="175">
        <v>0.5</v>
      </c>
      <c r="BB73" s="175">
        <v>0.5</v>
      </c>
      <c r="BC73" s="175">
        <v>0.5</v>
      </c>
      <c r="BD73" s="175">
        <v>0.5</v>
      </c>
      <c r="BE73" s="175">
        <v>0.5</v>
      </c>
      <c r="BF73" s="175">
        <v>0.5</v>
      </c>
      <c r="BG73" s="175">
        <v>0.5</v>
      </c>
      <c r="BH73" s="175">
        <v>0.5</v>
      </c>
      <c r="BI73" s="175">
        <v>0.5</v>
      </c>
      <c r="BJ73" s="175">
        <v>0.5</v>
      </c>
      <c r="BK73" s="175">
        <v>0.5</v>
      </c>
      <c r="BL73" s="175">
        <v>0.5</v>
      </c>
      <c r="BM73" s="175">
        <v>0.5</v>
      </c>
      <c r="BN73" s="175">
        <v>0.5</v>
      </c>
      <c r="BO73" s="175">
        <v>0.5</v>
      </c>
      <c r="BP73" s="175">
        <v>0.5</v>
      </c>
      <c r="BQ73" s="175">
        <v>0.5</v>
      </c>
      <c r="BR73" s="175">
        <v>0.5</v>
      </c>
      <c r="BS73" s="175">
        <v>0.5</v>
      </c>
      <c r="BT73" s="175">
        <v>0.5</v>
      </c>
      <c r="BU73" s="175">
        <v>0.5</v>
      </c>
      <c r="BV73" s="175">
        <v>0.5</v>
      </c>
      <c r="BW73" s="175">
        <v>0.5</v>
      </c>
      <c r="BX73" s="175">
        <v>0.5</v>
      </c>
      <c r="BY73" s="175">
        <v>0.5</v>
      </c>
      <c r="BZ73" s="175">
        <v>0.5</v>
      </c>
      <c r="CA73" s="175">
        <v>0.5</v>
      </c>
      <c r="CB73" s="175">
        <v>0.5</v>
      </c>
      <c r="CC73" s="175">
        <v>0.5</v>
      </c>
      <c r="CD73" s="175">
        <v>0.5</v>
      </c>
      <c r="CE73" s="175">
        <v>0.5</v>
      </c>
      <c r="CF73" s="175">
        <v>0.5</v>
      </c>
      <c r="CG73" s="175">
        <v>0.5</v>
      </c>
      <c r="CH73" s="175">
        <v>0.5</v>
      </c>
      <c r="CI73" s="175">
        <v>0.5</v>
      </c>
      <c r="CJ73" s="175">
        <v>0.5</v>
      </c>
      <c r="CK73" s="175">
        <v>0.5</v>
      </c>
      <c r="CL73" s="175">
        <v>0.5</v>
      </c>
      <c r="CM73" s="175">
        <v>0.5</v>
      </c>
      <c r="CN73" s="175">
        <v>0.5</v>
      </c>
      <c r="CO73" s="175">
        <v>0.5</v>
      </c>
      <c r="CP73" s="175">
        <v>0</v>
      </c>
      <c r="CQ73" s="175">
        <v>0</v>
      </c>
    </row>
    <row r="74" spans="1:95" s="175" customFormat="1" ht="16" x14ac:dyDescent="0.2">
      <c r="A74" t="s">
        <v>214</v>
      </c>
      <c r="B74" s="175">
        <v>0</v>
      </c>
      <c r="C74" s="175">
        <v>0.5</v>
      </c>
      <c r="D74" s="175">
        <v>0.5</v>
      </c>
      <c r="E74" s="175">
        <v>0.5</v>
      </c>
      <c r="F74" s="175">
        <v>0.5</v>
      </c>
      <c r="G74" s="175">
        <v>0.5</v>
      </c>
      <c r="H74" s="175">
        <v>0.5</v>
      </c>
      <c r="I74" s="175">
        <v>0.5</v>
      </c>
      <c r="J74" s="175">
        <v>0.5</v>
      </c>
      <c r="K74" s="175">
        <v>0.5</v>
      </c>
      <c r="L74" s="175">
        <v>0.5</v>
      </c>
      <c r="M74" s="175">
        <v>0.5</v>
      </c>
      <c r="N74" s="175">
        <v>0.5</v>
      </c>
      <c r="O74" s="175">
        <v>0.5</v>
      </c>
      <c r="P74" s="175">
        <v>0.5</v>
      </c>
      <c r="Q74" s="175">
        <v>0.5</v>
      </c>
      <c r="R74" s="175">
        <v>0.5</v>
      </c>
      <c r="S74" s="175">
        <v>0.5</v>
      </c>
      <c r="T74" s="175">
        <v>0.5</v>
      </c>
      <c r="U74" s="175">
        <v>0.5</v>
      </c>
      <c r="V74" s="175">
        <v>0.5</v>
      </c>
      <c r="W74" s="175">
        <v>0.5</v>
      </c>
      <c r="X74" s="175">
        <v>0.5</v>
      </c>
      <c r="Y74" s="175">
        <v>0.5</v>
      </c>
      <c r="Z74" s="175">
        <v>0.5</v>
      </c>
      <c r="AA74" s="175">
        <v>0.5</v>
      </c>
      <c r="AB74" s="175">
        <v>0.5</v>
      </c>
      <c r="AC74" s="175">
        <v>0.5</v>
      </c>
      <c r="AD74" s="175">
        <v>0.5</v>
      </c>
      <c r="AE74" s="175">
        <v>0.5</v>
      </c>
      <c r="AF74" s="175">
        <v>0.5</v>
      </c>
      <c r="AG74" s="175">
        <v>0.5</v>
      </c>
      <c r="AH74" s="175">
        <v>0.5</v>
      </c>
      <c r="AI74" s="175">
        <v>0.5</v>
      </c>
      <c r="AJ74" s="175">
        <v>0.5</v>
      </c>
      <c r="AK74" s="175">
        <v>0.5</v>
      </c>
      <c r="AL74" s="175">
        <v>0.5</v>
      </c>
      <c r="AM74" s="175">
        <v>0.5</v>
      </c>
      <c r="AN74" s="175">
        <v>0.5</v>
      </c>
      <c r="AO74" s="175">
        <v>0.5</v>
      </c>
      <c r="AP74" s="175">
        <v>0.5</v>
      </c>
      <c r="AQ74" s="175">
        <v>0.5</v>
      </c>
      <c r="AR74" s="175">
        <v>0.5</v>
      </c>
      <c r="AS74" s="175">
        <v>0.5</v>
      </c>
      <c r="AT74" s="175">
        <v>0.5</v>
      </c>
      <c r="AU74" s="175">
        <v>0.5</v>
      </c>
      <c r="AV74" s="175">
        <v>0.5</v>
      </c>
      <c r="AW74" s="175">
        <v>0.5</v>
      </c>
      <c r="AX74" s="175">
        <v>0.5</v>
      </c>
      <c r="AY74" s="175">
        <v>0.5</v>
      </c>
      <c r="AZ74" s="175">
        <v>0.5</v>
      </c>
      <c r="BA74" s="175">
        <v>0.5</v>
      </c>
      <c r="BB74" s="175">
        <v>0.5</v>
      </c>
      <c r="BC74" s="175">
        <v>0.5</v>
      </c>
      <c r="BD74" s="175">
        <v>0.5</v>
      </c>
      <c r="BE74" s="175">
        <v>0.5</v>
      </c>
      <c r="BF74" s="175">
        <v>0.5</v>
      </c>
      <c r="BG74" s="175">
        <v>0.5</v>
      </c>
      <c r="BH74" s="175">
        <v>0.5</v>
      </c>
      <c r="BI74" s="175">
        <v>0.5</v>
      </c>
      <c r="BJ74" s="175">
        <v>0.5</v>
      </c>
      <c r="BK74" s="175">
        <v>0.5</v>
      </c>
      <c r="BL74" s="175">
        <v>0.5</v>
      </c>
      <c r="BM74" s="175">
        <v>0.5</v>
      </c>
      <c r="BN74" s="175">
        <v>0.5</v>
      </c>
      <c r="BO74" s="175">
        <v>0.5</v>
      </c>
      <c r="BP74" s="175">
        <v>0.5</v>
      </c>
      <c r="BQ74" s="175">
        <v>0.5</v>
      </c>
      <c r="BR74" s="175">
        <v>0.5</v>
      </c>
      <c r="BS74" s="175">
        <v>0.5</v>
      </c>
      <c r="BT74" s="175">
        <v>0.5</v>
      </c>
      <c r="BU74" s="175">
        <v>0.5</v>
      </c>
      <c r="BV74" s="175">
        <v>0.5</v>
      </c>
      <c r="BW74" s="175">
        <v>0.5</v>
      </c>
      <c r="BX74" s="175">
        <v>0.5</v>
      </c>
      <c r="BY74" s="175">
        <v>0.5</v>
      </c>
      <c r="BZ74" s="175">
        <v>0.5</v>
      </c>
      <c r="CA74" s="175">
        <v>0.5</v>
      </c>
      <c r="CB74" s="175">
        <v>0.5</v>
      </c>
      <c r="CC74" s="175">
        <v>0.5</v>
      </c>
      <c r="CD74" s="175">
        <v>0.5</v>
      </c>
      <c r="CE74" s="175">
        <v>0.5</v>
      </c>
      <c r="CF74" s="175">
        <v>0.5</v>
      </c>
      <c r="CG74" s="175">
        <v>0.5</v>
      </c>
      <c r="CH74" s="175">
        <v>0.5</v>
      </c>
      <c r="CI74" s="175">
        <v>0.5</v>
      </c>
      <c r="CJ74" s="175">
        <v>0.5</v>
      </c>
      <c r="CK74" s="175">
        <v>0.5</v>
      </c>
      <c r="CL74" s="175">
        <v>0.5</v>
      </c>
      <c r="CM74" s="175">
        <v>0.5</v>
      </c>
      <c r="CN74" s="175">
        <v>0.5</v>
      </c>
      <c r="CO74" s="175">
        <v>0.5</v>
      </c>
      <c r="CP74" s="175">
        <v>0</v>
      </c>
      <c r="CQ74" s="175">
        <v>0</v>
      </c>
    </row>
    <row r="75" spans="1:95" s="175" customFormat="1" ht="16" x14ac:dyDescent="0.2">
      <c r="A75" t="s">
        <v>238</v>
      </c>
      <c r="B75" s="175">
        <v>0</v>
      </c>
      <c r="C75" s="175">
        <v>0.5</v>
      </c>
      <c r="D75" s="175">
        <v>0.5</v>
      </c>
      <c r="E75" s="175">
        <v>0.5</v>
      </c>
      <c r="F75" s="175">
        <v>0.5</v>
      </c>
      <c r="G75" s="175">
        <v>0.5</v>
      </c>
      <c r="H75" s="175">
        <v>0.5</v>
      </c>
      <c r="I75" s="175">
        <v>0.5</v>
      </c>
      <c r="J75" s="175">
        <v>0.5</v>
      </c>
      <c r="K75" s="175">
        <v>0.5</v>
      </c>
      <c r="L75" s="175">
        <v>0.5</v>
      </c>
      <c r="M75" s="175">
        <v>0.5</v>
      </c>
      <c r="N75" s="175">
        <v>0.5</v>
      </c>
      <c r="O75" s="175">
        <v>0.5</v>
      </c>
      <c r="P75" s="175">
        <v>0.5</v>
      </c>
      <c r="Q75" s="175">
        <v>0.5</v>
      </c>
      <c r="R75" s="175">
        <v>0.5</v>
      </c>
      <c r="S75" s="175">
        <v>0.5</v>
      </c>
      <c r="T75" s="175">
        <v>0.5</v>
      </c>
      <c r="U75" s="175">
        <v>0.5</v>
      </c>
      <c r="V75" s="175">
        <v>0.5</v>
      </c>
      <c r="W75" s="175">
        <v>0.5</v>
      </c>
      <c r="X75" s="175">
        <v>0.5</v>
      </c>
      <c r="Y75" s="175">
        <v>0.5</v>
      </c>
      <c r="Z75" s="175">
        <v>0.5</v>
      </c>
      <c r="AA75" s="175">
        <v>0.5</v>
      </c>
      <c r="AB75" s="175">
        <v>0.5</v>
      </c>
      <c r="AC75" s="175">
        <v>0.5</v>
      </c>
      <c r="AD75" s="175">
        <v>0.5</v>
      </c>
      <c r="AE75" s="175">
        <v>0.5</v>
      </c>
      <c r="AF75" s="175">
        <v>0.5</v>
      </c>
      <c r="AG75" s="175">
        <v>0.5</v>
      </c>
      <c r="AH75" s="175">
        <v>0.5</v>
      </c>
      <c r="AI75" s="175">
        <v>0.5</v>
      </c>
      <c r="AJ75" s="175">
        <v>0.5</v>
      </c>
      <c r="AK75" s="175">
        <v>0.5</v>
      </c>
      <c r="AL75" s="175">
        <v>0.5</v>
      </c>
      <c r="AM75" s="175">
        <v>0.5</v>
      </c>
      <c r="AN75" s="175">
        <v>0.5</v>
      </c>
      <c r="AO75" s="175">
        <v>0.5</v>
      </c>
      <c r="AP75" s="175">
        <v>0.5</v>
      </c>
      <c r="AQ75" s="175">
        <v>0.5</v>
      </c>
      <c r="AR75" s="175">
        <v>0.5</v>
      </c>
      <c r="AS75" s="175">
        <v>0.5</v>
      </c>
      <c r="AT75" s="175">
        <v>0.5</v>
      </c>
      <c r="AU75" s="175">
        <v>0.5</v>
      </c>
      <c r="AV75" s="175">
        <v>0.5</v>
      </c>
      <c r="AW75" s="175">
        <v>0.5</v>
      </c>
      <c r="AX75" s="175">
        <v>0.5</v>
      </c>
      <c r="AY75" s="175">
        <v>0.5</v>
      </c>
      <c r="AZ75" s="175">
        <v>0.5</v>
      </c>
      <c r="BA75" s="175">
        <v>0.5</v>
      </c>
      <c r="BB75" s="175">
        <v>0.5</v>
      </c>
      <c r="BC75" s="175">
        <v>0.5</v>
      </c>
      <c r="BD75" s="175">
        <v>0.5</v>
      </c>
      <c r="BE75" s="175">
        <v>0.5</v>
      </c>
      <c r="BF75" s="175">
        <v>0.5</v>
      </c>
      <c r="BG75" s="175">
        <v>0.5</v>
      </c>
      <c r="BH75" s="175">
        <v>0.5</v>
      </c>
      <c r="BI75" s="175">
        <v>0.5</v>
      </c>
      <c r="BJ75" s="175">
        <v>0.5</v>
      </c>
      <c r="BK75" s="175">
        <v>0.5</v>
      </c>
      <c r="BL75" s="175">
        <v>0.5</v>
      </c>
      <c r="BM75" s="175">
        <v>0.5</v>
      </c>
      <c r="BN75" s="175">
        <v>0.5</v>
      </c>
      <c r="BO75" s="175">
        <v>0.5</v>
      </c>
      <c r="BP75" s="175">
        <v>0.5</v>
      </c>
      <c r="BQ75" s="175">
        <v>0.5</v>
      </c>
      <c r="BR75" s="175">
        <v>0.5</v>
      </c>
      <c r="BS75" s="175">
        <v>0.5</v>
      </c>
      <c r="BT75" s="175">
        <v>0.5</v>
      </c>
      <c r="BU75" s="175">
        <v>0.5</v>
      </c>
      <c r="BV75" s="175">
        <v>0.5</v>
      </c>
      <c r="BW75" s="175">
        <v>0.5</v>
      </c>
      <c r="BX75" s="175">
        <v>0.5</v>
      </c>
      <c r="BY75" s="175">
        <v>0.5</v>
      </c>
      <c r="BZ75" s="175">
        <v>0.5</v>
      </c>
      <c r="CA75" s="175">
        <v>0.5</v>
      </c>
      <c r="CB75" s="175">
        <v>0.5</v>
      </c>
      <c r="CC75" s="175">
        <v>0.5</v>
      </c>
      <c r="CD75" s="175">
        <v>0.5</v>
      </c>
      <c r="CE75" s="175">
        <v>0.5</v>
      </c>
      <c r="CF75" s="175">
        <v>0.5</v>
      </c>
      <c r="CG75" s="175">
        <v>0.5</v>
      </c>
      <c r="CH75" s="175">
        <v>0.5</v>
      </c>
      <c r="CI75" s="175">
        <v>0.5</v>
      </c>
      <c r="CJ75" s="175">
        <v>0.5</v>
      </c>
      <c r="CK75" s="175">
        <v>0.5</v>
      </c>
      <c r="CL75" s="175">
        <v>0.5</v>
      </c>
      <c r="CM75" s="175">
        <v>0.5</v>
      </c>
      <c r="CN75" s="175">
        <v>0.5</v>
      </c>
      <c r="CO75" s="175">
        <v>0.5</v>
      </c>
      <c r="CP75" s="175">
        <v>0</v>
      </c>
      <c r="CQ75" s="175">
        <v>0</v>
      </c>
    </row>
    <row r="76" spans="1:95" s="175" customFormat="1" ht="16" x14ac:dyDescent="0.2">
      <c r="A76" t="s">
        <v>239</v>
      </c>
      <c r="B76" s="175">
        <v>0</v>
      </c>
      <c r="C76" s="175">
        <v>0.5</v>
      </c>
      <c r="D76" s="175">
        <v>0.5</v>
      </c>
      <c r="E76" s="175">
        <v>0.5</v>
      </c>
      <c r="F76" s="175">
        <v>0.5</v>
      </c>
      <c r="G76" s="175">
        <v>0.5</v>
      </c>
      <c r="H76" s="175">
        <v>0.5</v>
      </c>
      <c r="I76" s="175">
        <v>0.5</v>
      </c>
      <c r="J76" s="175">
        <v>0.5</v>
      </c>
      <c r="K76" s="175">
        <v>0.5</v>
      </c>
      <c r="L76" s="175">
        <v>0.5</v>
      </c>
      <c r="M76" s="175">
        <v>0.5</v>
      </c>
      <c r="N76" s="175">
        <v>0.5</v>
      </c>
      <c r="O76" s="175">
        <v>0.5</v>
      </c>
      <c r="P76" s="175">
        <v>0.5</v>
      </c>
      <c r="Q76" s="175">
        <v>0.5</v>
      </c>
      <c r="R76" s="175">
        <v>0.5</v>
      </c>
      <c r="S76" s="175">
        <v>0.5</v>
      </c>
      <c r="T76" s="175">
        <v>0.5</v>
      </c>
      <c r="U76" s="175">
        <v>0.5</v>
      </c>
      <c r="V76" s="175">
        <v>0.5</v>
      </c>
      <c r="W76" s="175">
        <v>0.5</v>
      </c>
      <c r="X76" s="175">
        <v>0.5</v>
      </c>
      <c r="Y76" s="175">
        <v>0.5</v>
      </c>
      <c r="Z76" s="175">
        <v>0.5</v>
      </c>
      <c r="AA76" s="175">
        <v>0.5</v>
      </c>
      <c r="AB76" s="175">
        <v>0.5</v>
      </c>
      <c r="AC76" s="175">
        <v>0.5</v>
      </c>
      <c r="AD76" s="175">
        <v>0.5</v>
      </c>
      <c r="AE76" s="175">
        <v>0.5</v>
      </c>
      <c r="AF76" s="175">
        <v>0.5</v>
      </c>
      <c r="AG76" s="175">
        <v>0.5</v>
      </c>
      <c r="AH76" s="175">
        <v>0.5</v>
      </c>
      <c r="AI76" s="175">
        <v>0.5</v>
      </c>
      <c r="AJ76" s="175">
        <v>0.5</v>
      </c>
      <c r="AK76" s="175">
        <v>0.5</v>
      </c>
      <c r="AL76" s="175">
        <v>0.5</v>
      </c>
      <c r="AM76" s="175">
        <v>0.5</v>
      </c>
      <c r="AN76" s="175">
        <v>0.5</v>
      </c>
      <c r="AO76" s="175">
        <v>0.5</v>
      </c>
      <c r="AP76" s="175">
        <v>0.5</v>
      </c>
      <c r="AQ76" s="175">
        <v>0.5</v>
      </c>
      <c r="AR76" s="175">
        <v>0.5</v>
      </c>
      <c r="AS76" s="175">
        <v>0.5</v>
      </c>
      <c r="AT76" s="175">
        <v>0.5</v>
      </c>
      <c r="AU76" s="175">
        <v>0.5</v>
      </c>
      <c r="AV76" s="175">
        <v>0.5</v>
      </c>
      <c r="AW76" s="175">
        <v>0.5</v>
      </c>
      <c r="AX76" s="175">
        <v>0.5</v>
      </c>
      <c r="AY76" s="175">
        <v>0.5</v>
      </c>
      <c r="AZ76" s="175">
        <v>0.5</v>
      </c>
      <c r="BA76" s="175">
        <v>0.5</v>
      </c>
      <c r="BB76" s="175">
        <v>0.5</v>
      </c>
      <c r="BC76" s="175">
        <v>0.5</v>
      </c>
      <c r="BD76" s="175">
        <v>0.5</v>
      </c>
      <c r="BE76" s="175">
        <v>0.5</v>
      </c>
      <c r="BF76" s="175">
        <v>0.5</v>
      </c>
      <c r="BG76" s="175">
        <v>0.5</v>
      </c>
      <c r="BH76" s="175">
        <v>0.5</v>
      </c>
      <c r="BI76" s="175">
        <v>0.5</v>
      </c>
      <c r="BJ76" s="175">
        <v>0.5</v>
      </c>
      <c r="BK76" s="175">
        <v>0.5</v>
      </c>
      <c r="BL76" s="175">
        <v>0.5</v>
      </c>
      <c r="BM76" s="175">
        <v>0.5</v>
      </c>
      <c r="BN76" s="175">
        <v>0.5</v>
      </c>
      <c r="BO76" s="175">
        <v>0.5</v>
      </c>
      <c r="BP76" s="175">
        <v>0.5</v>
      </c>
      <c r="BQ76" s="175">
        <v>0.5</v>
      </c>
      <c r="BR76" s="175">
        <v>0.5</v>
      </c>
      <c r="BS76" s="175">
        <v>0.5</v>
      </c>
      <c r="BT76" s="175">
        <v>0.5</v>
      </c>
      <c r="BU76" s="175">
        <v>0.5</v>
      </c>
      <c r="BV76" s="175">
        <v>0.5</v>
      </c>
      <c r="BW76" s="175">
        <v>0.5</v>
      </c>
      <c r="BX76" s="175">
        <v>0.5</v>
      </c>
      <c r="BY76" s="175">
        <v>0.5</v>
      </c>
      <c r="BZ76" s="175">
        <v>0.5</v>
      </c>
      <c r="CA76" s="175">
        <v>0.5</v>
      </c>
      <c r="CB76" s="175">
        <v>0.5</v>
      </c>
      <c r="CC76" s="175">
        <v>0.5</v>
      </c>
      <c r="CD76" s="175">
        <v>0.5</v>
      </c>
      <c r="CE76" s="175">
        <v>0.5</v>
      </c>
      <c r="CF76" s="175">
        <v>0.5</v>
      </c>
      <c r="CG76" s="175">
        <v>0.5</v>
      </c>
      <c r="CH76" s="175">
        <v>0.5</v>
      </c>
      <c r="CI76" s="175">
        <v>0.5</v>
      </c>
      <c r="CJ76" s="175">
        <v>0.5</v>
      </c>
      <c r="CK76" s="175">
        <v>0.5</v>
      </c>
      <c r="CL76" s="175">
        <v>0.5</v>
      </c>
      <c r="CM76" s="175">
        <v>0.5</v>
      </c>
      <c r="CN76" s="175">
        <v>0.5</v>
      </c>
      <c r="CO76" s="175">
        <v>0.5</v>
      </c>
      <c r="CP76" s="175">
        <v>0</v>
      </c>
      <c r="CQ76" s="175">
        <v>0</v>
      </c>
    </row>
    <row r="77" spans="1:95" s="175" customFormat="1" ht="16" x14ac:dyDescent="0.2">
      <c r="A77" t="s">
        <v>240</v>
      </c>
      <c r="B77" s="175">
        <v>0</v>
      </c>
      <c r="C77" s="175">
        <v>0.5</v>
      </c>
      <c r="D77" s="175">
        <v>0.5</v>
      </c>
      <c r="E77" s="175">
        <v>0.5</v>
      </c>
      <c r="F77" s="175">
        <v>0.5</v>
      </c>
      <c r="G77" s="175">
        <v>0.5</v>
      </c>
      <c r="H77" s="175">
        <v>0.5</v>
      </c>
      <c r="I77" s="175">
        <v>0.5</v>
      </c>
      <c r="J77" s="175">
        <v>0.5</v>
      </c>
      <c r="K77" s="175">
        <v>0.5</v>
      </c>
      <c r="L77" s="175">
        <v>0.5</v>
      </c>
      <c r="M77" s="175">
        <v>0.5</v>
      </c>
      <c r="N77" s="175">
        <v>0.5</v>
      </c>
      <c r="O77" s="175">
        <v>0.5</v>
      </c>
      <c r="P77" s="175">
        <v>0.5</v>
      </c>
      <c r="Q77" s="175">
        <v>0.5</v>
      </c>
      <c r="R77" s="175">
        <v>0.5</v>
      </c>
      <c r="S77" s="175">
        <v>0.5</v>
      </c>
      <c r="T77" s="175">
        <v>0.5</v>
      </c>
      <c r="U77" s="175">
        <v>0.5</v>
      </c>
      <c r="V77" s="175">
        <v>0.5</v>
      </c>
      <c r="W77" s="175">
        <v>0.5</v>
      </c>
      <c r="X77" s="175">
        <v>0.5</v>
      </c>
      <c r="Y77" s="175">
        <v>0.5</v>
      </c>
      <c r="Z77" s="175">
        <v>0.5</v>
      </c>
      <c r="AA77" s="175">
        <v>0.5</v>
      </c>
      <c r="AB77" s="175">
        <v>0.5</v>
      </c>
      <c r="AC77" s="175">
        <v>0.5</v>
      </c>
      <c r="AD77" s="175">
        <v>0.5</v>
      </c>
      <c r="AE77" s="175">
        <v>0.5</v>
      </c>
      <c r="AF77" s="175">
        <v>0.5</v>
      </c>
      <c r="AG77" s="175">
        <v>0.5</v>
      </c>
      <c r="AH77" s="175">
        <v>0.5</v>
      </c>
      <c r="AI77" s="175">
        <v>0.5</v>
      </c>
      <c r="AJ77" s="175">
        <v>0.5</v>
      </c>
      <c r="AK77" s="175">
        <v>0.5</v>
      </c>
      <c r="AL77" s="175">
        <v>0.5</v>
      </c>
      <c r="AM77" s="175">
        <v>0.5</v>
      </c>
      <c r="AN77" s="175">
        <v>0.5</v>
      </c>
      <c r="AO77" s="175">
        <v>0.5</v>
      </c>
      <c r="AP77" s="175">
        <v>0.5</v>
      </c>
      <c r="AQ77" s="175">
        <v>0.5</v>
      </c>
      <c r="AR77" s="175">
        <v>0.5</v>
      </c>
      <c r="AS77" s="175">
        <v>0.5</v>
      </c>
      <c r="AT77" s="175">
        <v>0.5</v>
      </c>
      <c r="AU77" s="175">
        <v>0.5</v>
      </c>
      <c r="AV77" s="175">
        <v>0.5</v>
      </c>
      <c r="AW77" s="175">
        <v>0.5</v>
      </c>
      <c r="AX77" s="175">
        <v>0.5</v>
      </c>
      <c r="AY77" s="175">
        <v>0.5</v>
      </c>
      <c r="AZ77" s="175">
        <v>0.5</v>
      </c>
      <c r="BA77" s="175">
        <v>0.5</v>
      </c>
      <c r="BB77" s="175">
        <v>0.5</v>
      </c>
      <c r="BC77" s="175">
        <v>0.5</v>
      </c>
      <c r="BD77" s="175">
        <v>0.5</v>
      </c>
      <c r="BE77" s="175">
        <v>0.5</v>
      </c>
      <c r="BF77" s="175">
        <v>0.5</v>
      </c>
      <c r="BG77" s="175">
        <v>0.5</v>
      </c>
      <c r="BH77" s="175">
        <v>0.5</v>
      </c>
      <c r="BI77" s="175">
        <v>0.5</v>
      </c>
      <c r="BJ77" s="175">
        <v>0.5</v>
      </c>
      <c r="BK77" s="175">
        <v>0.5</v>
      </c>
      <c r="BL77" s="175">
        <v>0.5</v>
      </c>
      <c r="BM77" s="175">
        <v>0.5</v>
      </c>
      <c r="BN77" s="175">
        <v>0.5</v>
      </c>
      <c r="BO77" s="175">
        <v>0.5</v>
      </c>
      <c r="BP77" s="175">
        <v>0.5</v>
      </c>
      <c r="BQ77" s="175">
        <v>0.5</v>
      </c>
      <c r="BR77" s="175">
        <v>0.5</v>
      </c>
      <c r="BS77" s="175">
        <v>0.5</v>
      </c>
      <c r="BT77" s="175">
        <v>0.5</v>
      </c>
      <c r="BU77" s="175">
        <v>0.5</v>
      </c>
      <c r="BV77" s="175">
        <v>0.5</v>
      </c>
      <c r="BW77" s="175">
        <v>0.5</v>
      </c>
      <c r="BX77" s="175">
        <v>0.5</v>
      </c>
      <c r="BY77" s="175">
        <v>0.5</v>
      </c>
      <c r="BZ77" s="175">
        <v>0.5</v>
      </c>
      <c r="CA77" s="175">
        <v>0.5</v>
      </c>
      <c r="CB77" s="175">
        <v>0.5</v>
      </c>
      <c r="CC77" s="175">
        <v>0.5</v>
      </c>
      <c r="CD77" s="175">
        <v>0.5</v>
      </c>
      <c r="CE77" s="175">
        <v>0.5</v>
      </c>
      <c r="CF77" s="175">
        <v>0.5</v>
      </c>
      <c r="CG77" s="175">
        <v>0.5</v>
      </c>
      <c r="CH77" s="175">
        <v>0.5</v>
      </c>
      <c r="CI77" s="175">
        <v>0.5</v>
      </c>
      <c r="CJ77" s="175">
        <v>0.5</v>
      </c>
      <c r="CK77" s="175">
        <v>0.5</v>
      </c>
      <c r="CL77" s="175">
        <v>0.5</v>
      </c>
      <c r="CM77" s="175">
        <v>0.5</v>
      </c>
      <c r="CN77" s="175">
        <v>0.5</v>
      </c>
      <c r="CO77" s="175">
        <v>0.5</v>
      </c>
      <c r="CP77" s="175">
        <v>0</v>
      </c>
      <c r="CQ77" s="175">
        <v>0</v>
      </c>
    </row>
    <row r="78" spans="1:95" s="175" customFormat="1" ht="16" x14ac:dyDescent="0.2">
      <c r="A78" t="s">
        <v>215</v>
      </c>
      <c r="B78" s="175">
        <v>0</v>
      </c>
      <c r="C78" s="175">
        <v>0.5</v>
      </c>
      <c r="D78" s="175">
        <v>0.5</v>
      </c>
      <c r="E78" s="175">
        <v>0.5</v>
      </c>
      <c r="F78" s="175">
        <v>0.5</v>
      </c>
      <c r="G78" s="175">
        <v>0.5</v>
      </c>
      <c r="H78" s="175">
        <v>0.5</v>
      </c>
      <c r="I78" s="175">
        <v>0.5</v>
      </c>
      <c r="J78" s="175">
        <v>0.5</v>
      </c>
      <c r="K78" s="175">
        <v>0.5</v>
      </c>
      <c r="L78" s="175">
        <v>0.5</v>
      </c>
      <c r="M78" s="175">
        <v>0.5</v>
      </c>
      <c r="N78" s="175">
        <v>0.5</v>
      </c>
      <c r="O78" s="175">
        <v>0.5</v>
      </c>
      <c r="P78" s="175">
        <v>0.5</v>
      </c>
      <c r="Q78" s="175">
        <v>0.5</v>
      </c>
      <c r="R78" s="175">
        <v>0.5</v>
      </c>
      <c r="S78" s="175">
        <v>0.5</v>
      </c>
      <c r="T78" s="175">
        <v>0.5</v>
      </c>
      <c r="U78" s="175">
        <v>0.5</v>
      </c>
      <c r="V78" s="175">
        <v>0.5</v>
      </c>
      <c r="W78" s="175">
        <v>0.5</v>
      </c>
      <c r="X78" s="175">
        <v>0.5</v>
      </c>
      <c r="Y78" s="175">
        <v>0.5</v>
      </c>
      <c r="Z78" s="175">
        <v>0.5</v>
      </c>
      <c r="AA78" s="175">
        <v>0.5</v>
      </c>
      <c r="AB78" s="175">
        <v>0.5</v>
      </c>
      <c r="AC78" s="175">
        <v>0.5</v>
      </c>
      <c r="AD78" s="175">
        <v>0.5</v>
      </c>
      <c r="AE78" s="175">
        <v>0.5</v>
      </c>
      <c r="AF78" s="175">
        <v>0.5</v>
      </c>
      <c r="AG78" s="175">
        <v>0.5</v>
      </c>
      <c r="AH78" s="175">
        <v>0.5</v>
      </c>
      <c r="AI78" s="175">
        <v>0.5</v>
      </c>
      <c r="AJ78" s="175">
        <v>0.5</v>
      </c>
      <c r="AK78" s="175">
        <v>0.5</v>
      </c>
      <c r="AL78" s="175">
        <v>0.5</v>
      </c>
      <c r="AM78" s="175">
        <v>0.5</v>
      </c>
      <c r="AN78" s="175">
        <v>0.5</v>
      </c>
      <c r="AO78" s="175">
        <v>0.5</v>
      </c>
      <c r="AP78" s="175">
        <v>0.5</v>
      </c>
      <c r="AQ78" s="175">
        <v>0.5</v>
      </c>
      <c r="AR78" s="175">
        <v>0.5</v>
      </c>
      <c r="AS78" s="175">
        <v>0.5</v>
      </c>
      <c r="AT78" s="175">
        <v>0.5</v>
      </c>
      <c r="AU78" s="175">
        <v>0.5</v>
      </c>
      <c r="AV78" s="175">
        <v>0.5</v>
      </c>
      <c r="AW78" s="175">
        <v>0.5</v>
      </c>
      <c r="AX78" s="175">
        <v>0.5</v>
      </c>
      <c r="AY78" s="175">
        <v>0.5</v>
      </c>
      <c r="AZ78" s="175">
        <v>0.5</v>
      </c>
      <c r="BA78" s="175">
        <v>0.5</v>
      </c>
      <c r="BB78" s="175">
        <v>0.5</v>
      </c>
      <c r="BC78" s="175">
        <v>0.5</v>
      </c>
      <c r="BD78" s="175">
        <v>0.5</v>
      </c>
      <c r="BE78" s="175">
        <v>0.5</v>
      </c>
      <c r="BF78" s="175">
        <v>0.5</v>
      </c>
      <c r="BG78" s="175">
        <v>0.5</v>
      </c>
      <c r="BH78" s="175">
        <v>0.5</v>
      </c>
      <c r="BI78" s="175">
        <v>0.5</v>
      </c>
      <c r="BJ78" s="175">
        <v>0.5</v>
      </c>
      <c r="BK78" s="175">
        <v>0.5</v>
      </c>
      <c r="BL78" s="175">
        <v>0.5</v>
      </c>
      <c r="BM78" s="175">
        <v>0.5</v>
      </c>
      <c r="BN78" s="175">
        <v>0.5</v>
      </c>
      <c r="BO78" s="175">
        <v>0.5</v>
      </c>
      <c r="BP78" s="175">
        <v>0.5</v>
      </c>
      <c r="BQ78" s="175">
        <v>0.5</v>
      </c>
      <c r="BR78" s="175">
        <v>0.5</v>
      </c>
      <c r="BS78" s="175">
        <v>0.5</v>
      </c>
      <c r="BT78" s="175">
        <v>0.5</v>
      </c>
      <c r="BU78" s="175">
        <v>0.5</v>
      </c>
      <c r="BV78" s="175">
        <v>0.5</v>
      </c>
      <c r="BW78" s="175">
        <v>0.5</v>
      </c>
      <c r="BX78" s="175">
        <v>0.5</v>
      </c>
      <c r="BY78" s="175">
        <v>0.5</v>
      </c>
      <c r="BZ78" s="175">
        <v>0.5</v>
      </c>
      <c r="CA78" s="175">
        <v>0.5</v>
      </c>
      <c r="CB78" s="175">
        <v>0.5</v>
      </c>
      <c r="CC78" s="175">
        <v>0.5</v>
      </c>
      <c r="CD78" s="175">
        <v>0.5</v>
      </c>
      <c r="CE78" s="175">
        <v>0.5</v>
      </c>
      <c r="CF78" s="175">
        <v>0.5</v>
      </c>
      <c r="CG78" s="175">
        <v>0.5</v>
      </c>
      <c r="CH78" s="175">
        <v>0.5</v>
      </c>
      <c r="CI78" s="175">
        <v>0.5</v>
      </c>
      <c r="CJ78" s="175">
        <v>0.5</v>
      </c>
      <c r="CK78" s="175">
        <v>0.5</v>
      </c>
      <c r="CL78" s="175">
        <v>0.5</v>
      </c>
      <c r="CM78" s="175">
        <v>0.5</v>
      </c>
      <c r="CN78" s="175">
        <v>0.5</v>
      </c>
      <c r="CO78" s="175">
        <v>0.5</v>
      </c>
      <c r="CP78" s="175">
        <v>0</v>
      </c>
      <c r="CQ78" s="175">
        <v>0</v>
      </c>
    </row>
    <row r="79" spans="1:95" s="175" customFormat="1" ht="16" x14ac:dyDescent="0.2">
      <c r="A79" t="s">
        <v>216</v>
      </c>
      <c r="B79" s="175">
        <v>0</v>
      </c>
      <c r="C79" s="175">
        <v>0.5</v>
      </c>
      <c r="D79" s="175">
        <v>0.5</v>
      </c>
      <c r="E79" s="175">
        <v>0.5</v>
      </c>
      <c r="F79" s="175">
        <v>0.5</v>
      </c>
      <c r="G79" s="175">
        <v>0.5</v>
      </c>
      <c r="H79" s="175">
        <v>0.5</v>
      </c>
      <c r="I79" s="175">
        <v>0.5</v>
      </c>
      <c r="J79" s="175">
        <v>0.5</v>
      </c>
      <c r="K79" s="175">
        <v>0.5</v>
      </c>
      <c r="L79" s="175">
        <v>0.5</v>
      </c>
      <c r="M79" s="175">
        <v>0.5</v>
      </c>
      <c r="N79" s="175">
        <v>0.5</v>
      </c>
      <c r="O79" s="175">
        <v>0.5</v>
      </c>
      <c r="P79" s="175">
        <v>0.5</v>
      </c>
      <c r="Q79" s="175">
        <v>0.5</v>
      </c>
      <c r="R79" s="175">
        <v>0.5</v>
      </c>
      <c r="S79" s="175">
        <v>0.5</v>
      </c>
      <c r="T79" s="175">
        <v>0.5</v>
      </c>
      <c r="U79" s="175">
        <v>0.5</v>
      </c>
      <c r="V79" s="175">
        <v>0.5</v>
      </c>
      <c r="W79" s="175">
        <v>0.5</v>
      </c>
      <c r="X79" s="175">
        <v>0.5</v>
      </c>
      <c r="Y79" s="175">
        <v>0.5</v>
      </c>
      <c r="Z79" s="175">
        <v>0.5</v>
      </c>
      <c r="AA79" s="175">
        <v>0.5</v>
      </c>
      <c r="AB79" s="175">
        <v>0.5</v>
      </c>
      <c r="AC79" s="175">
        <v>0.5</v>
      </c>
      <c r="AD79" s="175">
        <v>0.5</v>
      </c>
      <c r="AE79" s="175">
        <v>0.5</v>
      </c>
      <c r="AF79" s="175">
        <v>0.5</v>
      </c>
      <c r="AG79" s="175">
        <v>0.5</v>
      </c>
      <c r="AH79" s="175">
        <v>0.5</v>
      </c>
      <c r="AI79" s="175">
        <v>0.5</v>
      </c>
      <c r="AJ79" s="175">
        <v>0.5</v>
      </c>
      <c r="AK79" s="175">
        <v>0.5</v>
      </c>
      <c r="AL79" s="175">
        <v>0.5</v>
      </c>
      <c r="AM79" s="175">
        <v>0.5</v>
      </c>
      <c r="AN79" s="175">
        <v>0.5</v>
      </c>
      <c r="AO79" s="175">
        <v>0.5</v>
      </c>
      <c r="AP79" s="175">
        <v>0.5</v>
      </c>
      <c r="AQ79" s="175">
        <v>0.5</v>
      </c>
      <c r="AR79" s="175">
        <v>0.5</v>
      </c>
      <c r="AS79" s="175">
        <v>0.5</v>
      </c>
      <c r="AT79" s="175">
        <v>0.5</v>
      </c>
      <c r="AU79" s="175">
        <v>0.5</v>
      </c>
      <c r="AV79" s="175">
        <v>0.5</v>
      </c>
      <c r="AW79" s="175">
        <v>0.5</v>
      </c>
      <c r="AX79" s="175">
        <v>0.5</v>
      </c>
      <c r="AY79" s="175">
        <v>0.5</v>
      </c>
      <c r="AZ79" s="175">
        <v>0.5</v>
      </c>
      <c r="BA79" s="175">
        <v>0.5</v>
      </c>
      <c r="BB79" s="175">
        <v>0.5</v>
      </c>
      <c r="BC79" s="175">
        <v>0.5</v>
      </c>
      <c r="BD79" s="175">
        <v>0.5</v>
      </c>
      <c r="BE79" s="175">
        <v>0.5</v>
      </c>
      <c r="BF79" s="175">
        <v>0.5</v>
      </c>
      <c r="BG79" s="175">
        <v>0.5</v>
      </c>
      <c r="BH79" s="175">
        <v>0.5</v>
      </c>
      <c r="BI79" s="175">
        <v>0.5</v>
      </c>
      <c r="BJ79" s="175">
        <v>0.5</v>
      </c>
      <c r="BK79" s="175">
        <v>0.5</v>
      </c>
      <c r="BL79" s="175">
        <v>0.5</v>
      </c>
      <c r="BM79" s="175">
        <v>0.5</v>
      </c>
      <c r="BN79" s="175">
        <v>0.5</v>
      </c>
      <c r="BO79" s="175">
        <v>0.5</v>
      </c>
      <c r="BP79" s="175">
        <v>0.5</v>
      </c>
      <c r="BQ79" s="175">
        <v>0.5</v>
      </c>
      <c r="BR79" s="175">
        <v>0.5</v>
      </c>
      <c r="BS79" s="175">
        <v>0.5</v>
      </c>
      <c r="BT79" s="175">
        <v>0.5</v>
      </c>
      <c r="BU79" s="175">
        <v>0.5</v>
      </c>
      <c r="BV79" s="175">
        <v>0.5</v>
      </c>
      <c r="BW79" s="175">
        <v>0.5</v>
      </c>
      <c r="BX79" s="175">
        <v>0.5</v>
      </c>
      <c r="BY79" s="175">
        <v>0.5</v>
      </c>
      <c r="BZ79" s="175">
        <v>0.5</v>
      </c>
      <c r="CA79" s="175">
        <v>0.5</v>
      </c>
      <c r="CB79" s="175">
        <v>0.5</v>
      </c>
      <c r="CC79" s="175">
        <v>0.5</v>
      </c>
      <c r="CD79" s="175">
        <v>0.5</v>
      </c>
      <c r="CE79" s="175">
        <v>0.5</v>
      </c>
      <c r="CF79" s="175">
        <v>0.5</v>
      </c>
      <c r="CG79" s="175">
        <v>0.5</v>
      </c>
      <c r="CH79" s="175">
        <v>0.5</v>
      </c>
      <c r="CI79" s="175">
        <v>0.5</v>
      </c>
      <c r="CJ79" s="175">
        <v>0.5</v>
      </c>
      <c r="CK79" s="175">
        <v>0.5</v>
      </c>
      <c r="CL79" s="175">
        <v>0.5</v>
      </c>
      <c r="CM79" s="175">
        <v>0.5</v>
      </c>
      <c r="CN79" s="175">
        <v>0.5</v>
      </c>
      <c r="CO79" s="175">
        <v>0.5</v>
      </c>
      <c r="CP79" s="175">
        <v>0</v>
      </c>
      <c r="CQ79" s="175">
        <v>0</v>
      </c>
    </row>
    <row r="80" spans="1:95" s="175" customFormat="1" ht="16" x14ac:dyDescent="0.2">
      <c r="A80" t="s">
        <v>217</v>
      </c>
      <c r="B80" s="175">
        <v>0</v>
      </c>
      <c r="C80" s="175">
        <v>0.5</v>
      </c>
      <c r="D80" s="175">
        <v>0.5</v>
      </c>
      <c r="E80" s="175">
        <v>0.5</v>
      </c>
      <c r="F80" s="175">
        <v>0.5</v>
      </c>
      <c r="G80" s="175">
        <v>0.5</v>
      </c>
      <c r="H80" s="175">
        <v>0.5</v>
      </c>
      <c r="I80" s="175">
        <v>0.5</v>
      </c>
      <c r="J80" s="175">
        <v>0.5</v>
      </c>
      <c r="K80" s="175">
        <v>0.5</v>
      </c>
      <c r="L80" s="175">
        <v>0.5</v>
      </c>
      <c r="M80" s="175">
        <v>0.5</v>
      </c>
      <c r="N80" s="175">
        <v>0.5</v>
      </c>
      <c r="O80" s="175">
        <v>0.5</v>
      </c>
      <c r="P80" s="175">
        <v>0.5</v>
      </c>
      <c r="Q80" s="175">
        <v>0.5</v>
      </c>
      <c r="R80" s="175">
        <v>0.5</v>
      </c>
      <c r="S80" s="175">
        <v>0.5</v>
      </c>
      <c r="T80" s="175">
        <v>0.5</v>
      </c>
      <c r="U80" s="175">
        <v>0.5</v>
      </c>
      <c r="V80" s="175">
        <v>0.5</v>
      </c>
      <c r="W80" s="175">
        <v>0.5</v>
      </c>
      <c r="X80" s="175">
        <v>0.5</v>
      </c>
      <c r="Y80" s="175">
        <v>0.5</v>
      </c>
      <c r="Z80" s="175">
        <v>0.5</v>
      </c>
      <c r="AA80" s="175">
        <v>0.5</v>
      </c>
      <c r="AB80" s="175">
        <v>0.5</v>
      </c>
      <c r="AC80" s="175">
        <v>0.5</v>
      </c>
      <c r="AD80" s="175">
        <v>0.5</v>
      </c>
      <c r="AE80" s="175">
        <v>0.5</v>
      </c>
      <c r="AF80" s="175">
        <v>0.5</v>
      </c>
      <c r="AG80" s="175">
        <v>0.5</v>
      </c>
      <c r="AH80" s="175">
        <v>0.5</v>
      </c>
      <c r="AI80" s="175">
        <v>0.5</v>
      </c>
      <c r="AJ80" s="175">
        <v>0.5</v>
      </c>
      <c r="AK80" s="175">
        <v>0.5</v>
      </c>
      <c r="AL80" s="175">
        <v>0.5</v>
      </c>
      <c r="AM80" s="175">
        <v>0.5</v>
      </c>
      <c r="AN80" s="175">
        <v>0.5</v>
      </c>
      <c r="AO80" s="175">
        <v>0.5</v>
      </c>
      <c r="AP80" s="175">
        <v>0.5</v>
      </c>
      <c r="AQ80" s="175">
        <v>0.5</v>
      </c>
      <c r="AR80" s="175">
        <v>0.5</v>
      </c>
      <c r="AS80" s="175">
        <v>0.5</v>
      </c>
      <c r="AT80" s="175">
        <v>0.5</v>
      </c>
      <c r="AU80" s="175">
        <v>0.5</v>
      </c>
      <c r="AV80" s="175">
        <v>0.5</v>
      </c>
      <c r="AW80" s="175">
        <v>0.5</v>
      </c>
      <c r="AX80" s="175">
        <v>0.5</v>
      </c>
      <c r="AY80" s="175">
        <v>0.5</v>
      </c>
      <c r="AZ80" s="175">
        <v>0.5</v>
      </c>
      <c r="BA80" s="175">
        <v>0.5</v>
      </c>
      <c r="BB80" s="175">
        <v>0.5</v>
      </c>
      <c r="BC80" s="175">
        <v>0.5</v>
      </c>
      <c r="BD80" s="175">
        <v>0.5</v>
      </c>
      <c r="BE80" s="175">
        <v>0.5</v>
      </c>
      <c r="BF80" s="175">
        <v>0.5</v>
      </c>
      <c r="BG80" s="175">
        <v>0.5</v>
      </c>
      <c r="BH80" s="175">
        <v>0.5</v>
      </c>
      <c r="BI80" s="175">
        <v>0.5</v>
      </c>
      <c r="BJ80" s="175">
        <v>0.5</v>
      </c>
      <c r="BK80" s="175">
        <v>0.5</v>
      </c>
      <c r="BL80" s="175">
        <v>0.5</v>
      </c>
      <c r="BM80" s="175">
        <v>0.5</v>
      </c>
      <c r="BN80" s="175">
        <v>0.5</v>
      </c>
      <c r="BO80" s="175">
        <v>0.5</v>
      </c>
      <c r="BP80" s="175">
        <v>0.5</v>
      </c>
      <c r="BQ80" s="175">
        <v>0.5</v>
      </c>
      <c r="BR80" s="175">
        <v>0.5</v>
      </c>
      <c r="BS80" s="175">
        <v>0.5</v>
      </c>
      <c r="BT80" s="175">
        <v>0.5</v>
      </c>
      <c r="BU80" s="175">
        <v>0.5</v>
      </c>
      <c r="BV80" s="175">
        <v>0.5</v>
      </c>
      <c r="BW80" s="175">
        <v>0.5</v>
      </c>
      <c r="BX80" s="175">
        <v>0.5</v>
      </c>
      <c r="BY80" s="175">
        <v>0.5</v>
      </c>
      <c r="BZ80" s="175">
        <v>0.5</v>
      </c>
      <c r="CA80" s="175">
        <v>0.5</v>
      </c>
      <c r="CB80" s="175">
        <v>0.5</v>
      </c>
      <c r="CC80" s="175">
        <v>0.5</v>
      </c>
      <c r="CD80" s="175">
        <v>0.5</v>
      </c>
      <c r="CE80" s="175">
        <v>0.5</v>
      </c>
      <c r="CF80" s="175">
        <v>0.5</v>
      </c>
      <c r="CG80" s="175">
        <v>0.5</v>
      </c>
      <c r="CH80" s="175">
        <v>0.5</v>
      </c>
      <c r="CI80" s="175">
        <v>0.5</v>
      </c>
      <c r="CJ80" s="175">
        <v>0.5</v>
      </c>
      <c r="CK80" s="175">
        <v>0.5</v>
      </c>
      <c r="CL80" s="175">
        <v>0.5</v>
      </c>
      <c r="CM80" s="175">
        <v>0.5</v>
      </c>
      <c r="CN80" s="175">
        <v>0.5</v>
      </c>
      <c r="CO80" s="175">
        <v>0.5</v>
      </c>
      <c r="CP80" s="175">
        <v>0</v>
      </c>
      <c r="CQ80" s="175">
        <v>0</v>
      </c>
    </row>
    <row r="81" spans="1:95" s="175" customFormat="1" ht="16" x14ac:dyDescent="0.2">
      <c r="A81" t="s">
        <v>266</v>
      </c>
      <c r="B81" s="175">
        <v>0</v>
      </c>
      <c r="C81" s="175">
        <v>0.5</v>
      </c>
      <c r="D81" s="175">
        <v>0.5</v>
      </c>
      <c r="E81" s="175">
        <v>0.5</v>
      </c>
      <c r="F81" s="175">
        <v>0.5</v>
      </c>
      <c r="G81" s="175">
        <v>0.5</v>
      </c>
      <c r="H81" s="175">
        <v>0.5</v>
      </c>
      <c r="I81" s="175">
        <v>0.5</v>
      </c>
      <c r="J81" s="175">
        <v>0.5</v>
      </c>
      <c r="K81" s="175">
        <v>0.5</v>
      </c>
      <c r="L81" s="175">
        <v>0.5</v>
      </c>
      <c r="M81" s="175">
        <v>0.5</v>
      </c>
      <c r="N81" s="175">
        <v>0.5</v>
      </c>
      <c r="O81" s="175">
        <v>0.5</v>
      </c>
      <c r="P81" s="175">
        <v>0.5</v>
      </c>
      <c r="Q81" s="175">
        <v>0.5</v>
      </c>
      <c r="R81" s="175">
        <v>0.5</v>
      </c>
      <c r="S81" s="175">
        <v>0.5</v>
      </c>
      <c r="T81" s="175">
        <v>0.5</v>
      </c>
      <c r="U81" s="175">
        <v>0.5</v>
      </c>
      <c r="V81" s="175">
        <v>0.5</v>
      </c>
      <c r="W81" s="175">
        <v>0.5</v>
      </c>
      <c r="X81" s="175">
        <v>0.5</v>
      </c>
      <c r="Y81" s="175">
        <v>0.5</v>
      </c>
      <c r="Z81" s="175">
        <v>0.5</v>
      </c>
      <c r="AA81" s="175">
        <v>0.5</v>
      </c>
      <c r="AB81" s="175">
        <v>0.5</v>
      </c>
      <c r="AC81" s="175">
        <v>0.5</v>
      </c>
      <c r="AD81" s="175">
        <v>0.5</v>
      </c>
      <c r="AE81" s="175">
        <v>0.5</v>
      </c>
      <c r="AF81" s="175">
        <v>0.5</v>
      </c>
      <c r="AG81" s="175">
        <v>0.5</v>
      </c>
      <c r="AH81" s="175">
        <v>0.5</v>
      </c>
      <c r="AI81" s="175">
        <v>0.5</v>
      </c>
      <c r="AJ81" s="175">
        <v>0.5</v>
      </c>
      <c r="AK81" s="175">
        <v>0.5</v>
      </c>
      <c r="AL81" s="175">
        <v>0.5</v>
      </c>
      <c r="AM81" s="175">
        <v>0.5</v>
      </c>
      <c r="AN81" s="175">
        <v>0.5</v>
      </c>
      <c r="AO81" s="175">
        <v>0.5</v>
      </c>
      <c r="AP81" s="175">
        <v>0.5</v>
      </c>
      <c r="AQ81" s="175">
        <v>0.5</v>
      </c>
      <c r="AR81" s="175">
        <v>0.5</v>
      </c>
      <c r="AS81" s="175">
        <v>0.5</v>
      </c>
      <c r="AT81" s="175">
        <v>0.5</v>
      </c>
      <c r="AU81" s="175">
        <v>0.5</v>
      </c>
      <c r="AV81" s="175">
        <v>0.5</v>
      </c>
      <c r="AW81" s="175">
        <v>0.5</v>
      </c>
      <c r="AX81" s="175">
        <v>0.5</v>
      </c>
      <c r="AY81" s="175">
        <v>0.5</v>
      </c>
      <c r="AZ81" s="175">
        <v>0.5</v>
      </c>
      <c r="BA81" s="175">
        <v>0.5</v>
      </c>
      <c r="BB81" s="175">
        <v>0.5</v>
      </c>
      <c r="BC81" s="175">
        <v>0.5</v>
      </c>
      <c r="BD81" s="175">
        <v>0.5</v>
      </c>
      <c r="BE81" s="175">
        <v>0.5</v>
      </c>
      <c r="BF81" s="175">
        <v>0.5</v>
      </c>
      <c r="BG81" s="175">
        <v>0.5</v>
      </c>
      <c r="BH81" s="175">
        <v>0.5</v>
      </c>
      <c r="BI81" s="175">
        <v>0.5</v>
      </c>
      <c r="BJ81" s="175">
        <v>0.5</v>
      </c>
      <c r="BK81" s="175">
        <v>0.5</v>
      </c>
      <c r="BL81" s="175">
        <v>0.5</v>
      </c>
      <c r="BM81" s="175">
        <v>0.5</v>
      </c>
      <c r="BN81" s="175">
        <v>0.5</v>
      </c>
      <c r="BO81" s="175">
        <v>0.5</v>
      </c>
      <c r="BP81" s="175">
        <v>0.5</v>
      </c>
      <c r="BQ81" s="175">
        <v>0.5</v>
      </c>
      <c r="BR81" s="175">
        <v>0.5</v>
      </c>
      <c r="BS81" s="175">
        <v>0.5</v>
      </c>
      <c r="BT81" s="175">
        <v>0.5</v>
      </c>
      <c r="BU81" s="175">
        <v>0.5</v>
      </c>
      <c r="BV81" s="175">
        <v>0.5</v>
      </c>
      <c r="BW81" s="175">
        <v>0.5</v>
      </c>
      <c r="BX81" s="175">
        <v>0.5</v>
      </c>
      <c r="BY81" s="175">
        <v>0.5</v>
      </c>
      <c r="BZ81" s="175">
        <v>0.5</v>
      </c>
      <c r="CA81" s="175">
        <v>0.5</v>
      </c>
      <c r="CB81" s="175">
        <v>0.5</v>
      </c>
      <c r="CC81" s="175">
        <v>0.5</v>
      </c>
      <c r="CD81" s="175">
        <v>0.5</v>
      </c>
      <c r="CE81" s="175">
        <v>0.5</v>
      </c>
      <c r="CF81" s="175">
        <v>0.5</v>
      </c>
      <c r="CG81" s="175">
        <v>0.5</v>
      </c>
      <c r="CH81" s="175">
        <v>0.5</v>
      </c>
      <c r="CI81" s="175">
        <v>0.5</v>
      </c>
      <c r="CJ81" s="175">
        <v>0.5</v>
      </c>
      <c r="CK81" s="175">
        <v>0.5</v>
      </c>
      <c r="CL81" s="175">
        <v>0.5</v>
      </c>
      <c r="CM81" s="175">
        <v>0.5</v>
      </c>
      <c r="CN81" s="175">
        <v>0.5</v>
      </c>
      <c r="CO81" s="175">
        <v>0.5</v>
      </c>
      <c r="CP81" s="175">
        <v>0</v>
      </c>
      <c r="CQ81" s="175">
        <v>0</v>
      </c>
    </row>
    <row r="82" spans="1:95" s="175" customFormat="1" ht="16" x14ac:dyDescent="0.2">
      <c r="A82" t="s">
        <v>267</v>
      </c>
      <c r="B82" s="175">
        <v>0</v>
      </c>
      <c r="C82" s="175">
        <v>0.5</v>
      </c>
      <c r="D82" s="175">
        <v>0.5</v>
      </c>
      <c r="E82" s="175">
        <v>0.5</v>
      </c>
      <c r="F82" s="175">
        <v>0.5</v>
      </c>
      <c r="G82" s="175">
        <v>0.5</v>
      </c>
      <c r="H82" s="175">
        <v>0.5</v>
      </c>
      <c r="I82" s="175">
        <v>0.5</v>
      </c>
      <c r="J82" s="175">
        <v>0.5</v>
      </c>
      <c r="K82" s="175">
        <v>0.5</v>
      </c>
      <c r="L82" s="175">
        <v>0.5</v>
      </c>
      <c r="M82" s="175">
        <v>0.5</v>
      </c>
      <c r="N82" s="175">
        <v>0.5</v>
      </c>
      <c r="O82" s="175">
        <v>0.5</v>
      </c>
      <c r="P82" s="175">
        <v>0.5</v>
      </c>
      <c r="Q82" s="175">
        <v>0.5</v>
      </c>
      <c r="R82" s="175">
        <v>0.5</v>
      </c>
      <c r="S82" s="175">
        <v>0.5</v>
      </c>
      <c r="T82" s="175">
        <v>0.5</v>
      </c>
      <c r="U82" s="175">
        <v>0.5</v>
      </c>
      <c r="V82" s="175">
        <v>0.5</v>
      </c>
      <c r="W82" s="175">
        <v>0.5</v>
      </c>
      <c r="X82" s="175">
        <v>0.5</v>
      </c>
      <c r="Y82" s="175">
        <v>0.5</v>
      </c>
      <c r="Z82" s="175">
        <v>0.5</v>
      </c>
      <c r="AA82" s="175">
        <v>0.5</v>
      </c>
      <c r="AB82" s="175">
        <v>0.5</v>
      </c>
      <c r="AC82" s="175">
        <v>0.5</v>
      </c>
      <c r="AD82" s="175">
        <v>0.5</v>
      </c>
      <c r="AE82" s="175">
        <v>0.5</v>
      </c>
      <c r="AF82" s="175">
        <v>0.5</v>
      </c>
      <c r="AG82" s="175">
        <v>0.5</v>
      </c>
      <c r="AH82" s="175">
        <v>0.5</v>
      </c>
      <c r="AI82" s="175">
        <v>0.5</v>
      </c>
      <c r="AJ82" s="175">
        <v>0.5</v>
      </c>
      <c r="AK82" s="175">
        <v>0.5</v>
      </c>
      <c r="AL82" s="175">
        <v>0.5</v>
      </c>
      <c r="AM82" s="175">
        <v>0.5</v>
      </c>
      <c r="AN82" s="175">
        <v>0.5</v>
      </c>
      <c r="AO82" s="175">
        <v>0.5</v>
      </c>
      <c r="AP82" s="175">
        <v>0.5</v>
      </c>
      <c r="AQ82" s="175">
        <v>0.5</v>
      </c>
      <c r="AR82" s="175">
        <v>0.5</v>
      </c>
      <c r="AS82" s="175">
        <v>0.5</v>
      </c>
      <c r="AT82" s="175">
        <v>0.5</v>
      </c>
      <c r="AU82" s="175">
        <v>0.5</v>
      </c>
      <c r="AV82" s="175">
        <v>0.5</v>
      </c>
      <c r="AW82" s="175">
        <v>0.5</v>
      </c>
      <c r="AX82" s="175">
        <v>0.5</v>
      </c>
      <c r="AY82" s="175">
        <v>0.5</v>
      </c>
      <c r="AZ82" s="175">
        <v>0.5</v>
      </c>
      <c r="BA82" s="175">
        <v>0.5</v>
      </c>
      <c r="BB82" s="175">
        <v>0.5</v>
      </c>
      <c r="BC82" s="175">
        <v>0.5</v>
      </c>
      <c r="BD82" s="175">
        <v>0.5</v>
      </c>
      <c r="BE82" s="175">
        <v>0.5</v>
      </c>
      <c r="BF82" s="175">
        <v>0.5</v>
      </c>
      <c r="BG82" s="175">
        <v>0.5</v>
      </c>
      <c r="BH82" s="175">
        <v>0.5</v>
      </c>
      <c r="BI82" s="175">
        <v>0.5</v>
      </c>
      <c r="BJ82" s="175">
        <v>0.5</v>
      </c>
      <c r="BK82" s="175">
        <v>0.5</v>
      </c>
      <c r="BL82" s="175">
        <v>0.5</v>
      </c>
      <c r="BM82" s="175">
        <v>0.5</v>
      </c>
      <c r="BN82" s="175">
        <v>0.5</v>
      </c>
      <c r="BO82" s="175">
        <v>0.5</v>
      </c>
      <c r="BP82" s="175">
        <v>0.5</v>
      </c>
      <c r="BQ82" s="175">
        <v>0.5</v>
      </c>
      <c r="BR82" s="175">
        <v>0.5</v>
      </c>
      <c r="BS82" s="175">
        <v>0.5</v>
      </c>
      <c r="BT82" s="175">
        <v>0.5</v>
      </c>
      <c r="BU82" s="175">
        <v>0.5</v>
      </c>
      <c r="BV82" s="175">
        <v>0.5</v>
      </c>
      <c r="BW82" s="175">
        <v>0.5</v>
      </c>
      <c r="BX82" s="175">
        <v>0.5</v>
      </c>
      <c r="BY82" s="175">
        <v>0.5</v>
      </c>
      <c r="BZ82" s="175">
        <v>0.5</v>
      </c>
      <c r="CA82" s="175">
        <v>0.5</v>
      </c>
      <c r="CB82" s="175">
        <v>0.5</v>
      </c>
      <c r="CC82" s="175">
        <v>0.5</v>
      </c>
      <c r="CD82" s="175">
        <v>0.5</v>
      </c>
      <c r="CE82" s="175">
        <v>0.5</v>
      </c>
      <c r="CF82" s="175">
        <v>0.5</v>
      </c>
      <c r="CG82" s="175">
        <v>0.5</v>
      </c>
      <c r="CH82" s="175">
        <v>0.5</v>
      </c>
      <c r="CI82" s="175">
        <v>0.5</v>
      </c>
      <c r="CJ82" s="175">
        <v>0.5</v>
      </c>
      <c r="CK82" s="175">
        <v>0.5</v>
      </c>
      <c r="CL82" s="175">
        <v>0.5</v>
      </c>
      <c r="CM82" s="175">
        <v>0.5</v>
      </c>
      <c r="CN82" s="175">
        <v>0.5</v>
      </c>
      <c r="CO82" s="175">
        <v>0.5</v>
      </c>
      <c r="CP82" s="175">
        <v>0</v>
      </c>
      <c r="CQ82" s="175">
        <v>0</v>
      </c>
    </row>
    <row r="83" spans="1:95" s="175" customFormat="1" ht="16" x14ac:dyDescent="0.2">
      <c r="A83" t="s">
        <v>218</v>
      </c>
      <c r="B83" s="175">
        <v>0</v>
      </c>
      <c r="C83" s="175">
        <v>0.5</v>
      </c>
      <c r="D83" s="175">
        <v>0.5</v>
      </c>
      <c r="E83" s="175">
        <v>0.5</v>
      </c>
      <c r="F83" s="175">
        <v>0.5</v>
      </c>
      <c r="G83" s="175">
        <v>0.5</v>
      </c>
      <c r="H83" s="175">
        <v>0.5</v>
      </c>
      <c r="I83" s="175">
        <v>0.5</v>
      </c>
      <c r="J83" s="175">
        <v>0.5</v>
      </c>
      <c r="K83" s="175">
        <v>0.5</v>
      </c>
      <c r="L83" s="175">
        <v>0.5</v>
      </c>
      <c r="M83" s="175">
        <v>0.5</v>
      </c>
      <c r="N83" s="175">
        <v>0.5</v>
      </c>
      <c r="O83" s="175">
        <v>0.5</v>
      </c>
      <c r="P83" s="175">
        <v>0.5</v>
      </c>
      <c r="Q83" s="175">
        <v>0.5</v>
      </c>
      <c r="R83" s="175">
        <v>0.5</v>
      </c>
      <c r="S83" s="175">
        <v>0.5</v>
      </c>
      <c r="T83" s="175">
        <v>0.5</v>
      </c>
      <c r="U83" s="175">
        <v>0.5</v>
      </c>
      <c r="V83" s="175">
        <v>0.5</v>
      </c>
      <c r="W83" s="175">
        <v>0.5</v>
      </c>
      <c r="X83" s="175">
        <v>0.5</v>
      </c>
      <c r="Y83" s="175">
        <v>0.5</v>
      </c>
      <c r="Z83" s="175">
        <v>0.5</v>
      </c>
      <c r="AA83" s="175">
        <v>0.5</v>
      </c>
      <c r="AB83" s="175">
        <v>0.5</v>
      </c>
      <c r="AC83" s="175">
        <v>0.5</v>
      </c>
      <c r="AD83" s="175">
        <v>0.5</v>
      </c>
      <c r="AE83" s="175">
        <v>0.5</v>
      </c>
      <c r="AF83" s="175">
        <v>0.5</v>
      </c>
      <c r="AG83" s="175">
        <v>0.5</v>
      </c>
      <c r="AH83" s="175">
        <v>0.5</v>
      </c>
      <c r="AI83" s="175">
        <v>0.5</v>
      </c>
      <c r="AJ83" s="175">
        <v>0.5</v>
      </c>
      <c r="AK83" s="175">
        <v>0.5</v>
      </c>
      <c r="AL83" s="175">
        <v>0.5</v>
      </c>
      <c r="AM83" s="175">
        <v>0.5</v>
      </c>
      <c r="AN83" s="175">
        <v>0.5</v>
      </c>
      <c r="AO83" s="175">
        <v>0.5</v>
      </c>
      <c r="AP83" s="175">
        <v>0.5</v>
      </c>
      <c r="AQ83" s="175">
        <v>0.5</v>
      </c>
      <c r="AR83" s="175">
        <v>0.5</v>
      </c>
      <c r="AS83" s="175">
        <v>0.5</v>
      </c>
      <c r="AT83" s="175">
        <v>0.5</v>
      </c>
      <c r="AU83" s="175">
        <v>0.5</v>
      </c>
      <c r="AV83" s="175">
        <v>0.5</v>
      </c>
      <c r="AW83" s="175">
        <v>0.5</v>
      </c>
      <c r="AX83" s="175">
        <v>0.5</v>
      </c>
      <c r="AY83" s="175">
        <v>0.5</v>
      </c>
      <c r="AZ83" s="175">
        <v>0.5</v>
      </c>
      <c r="BA83" s="175">
        <v>0.5</v>
      </c>
      <c r="BB83" s="175">
        <v>0.5</v>
      </c>
      <c r="BC83" s="175">
        <v>0.5</v>
      </c>
      <c r="BD83" s="175">
        <v>0.5</v>
      </c>
      <c r="BE83" s="175">
        <v>0.5</v>
      </c>
      <c r="BF83" s="175">
        <v>0.5</v>
      </c>
      <c r="BG83" s="175">
        <v>0.5</v>
      </c>
      <c r="BH83" s="175">
        <v>0.5</v>
      </c>
      <c r="BI83" s="175">
        <v>0.5</v>
      </c>
      <c r="BJ83" s="175">
        <v>0.5</v>
      </c>
      <c r="BK83" s="175">
        <v>0.5</v>
      </c>
      <c r="BL83" s="175">
        <v>0.5</v>
      </c>
      <c r="BM83" s="175">
        <v>0.5</v>
      </c>
      <c r="BN83" s="175">
        <v>0.5</v>
      </c>
      <c r="BO83" s="175">
        <v>0.5</v>
      </c>
      <c r="BP83" s="175">
        <v>0.5</v>
      </c>
      <c r="BQ83" s="175">
        <v>0.5</v>
      </c>
      <c r="BR83" s="175">
        <v>0.5</v>
      </c>
      <c r="BS83" s="175">
        <v>0.5</v>
      </c>
      <c r="BT83" s="175">
        <v>0.5</v>
      </c>
      <c r="BU83" s="175">
        <v>0.5</v>
      </c>
      <c r="BV83" s="175">
        <v>0.5</v>
      </c>
      <c r="BW83" s="175">
        <v>0.5</v>
      </c>
      <c r="BX83" s="175">
        <v>0.5</v>
      </c>
      <c r="BY83" s="175">
        <v>0.5</v>
      </c>
      <c r="BZ83" s="175">
        <v>0.5</v>
      </c>
      <c r="CA83" s="175">
        <v>0.5</v>
      </c>
      <c r="CB83" s="175">
        <v>0.5</v>
      </c>
      <c r="CC83" s="175">
        <v>0.5</v>
      </c>
      <c r="CD83" s="175">
        <v>0.5</v>
      </c>
      <c r="CE83" s="175">
        <v>0.5</v>
      </c>
      <c r="CF83" s="175">
        <v>0.5</v>
      </c>
      <c r="CG83" s="175">
        <v>0.5</v>
      </c>
      <c r="CH83" s="175">
        <v>0.5</v>
      </c>
      <c r="CI83" s="175">
        <v>0.5</v>
      </c>
      <c r="CJ83" s="175">
        <v>0.5</v>
      </c>
      <c r="CK83" s="175">
        <v>0.5</v>
      </c>
      <c r="CL83" s="175">
        <v>0.5</v>
      </c>
      <c r="CM83" s="175">
        <v>0.5</v>
      </c>
      <c r="CN83" s="175">
        <v>0.5</v>
      </c>
      <c r="CO83" s="175">
        <v>0.5</v>
      </c>
      <c r="CP83" s="175">
        <v>0</v>
      </c>
      <c r="CQ83" s="175">
        <v>0</v>
      </c>
    </row>
    <row r="84" spans="1:95" s="175" customFormat="1" ht="16" x14ac:dyDescent="0.2">
      <c r="A84" t="s">
        <v>219</v>
      </c>
      <c r="B84" s="175">
        <v>0</v>
      </c>
      <c r="C84" s="175">
        <v>0.5</v>
      </c>
      <c r="D84" s="175">
        <v>0.5</v>
      </c>
      <c r="E84" s="175">
        <v>0.5</v>
      </c>
      <c r="F84" s="175">
        <v>0.5</v>
      </c>
      <c r="G84" s="175">
        <v>0.5</v>
      </c>
      <c r="H84" s="175">
        <v>0.5</v>
      </c>
      <c r="I84" s="175">
        <v>0.5</v>
      </c>
      <c r="J84" s="175">
        <v>0.5</v>
      </c>
      <c r="K84" s="175">
        <v>0.5</v>
      </c>
      <c r="L84" s="175">
        <v>0.5</v>
      </c>
      <c r="M84" s="175">
        <v>0.5</v>
      </c>
      <c r="N84" s="175">
        <v>0.5</v>
      </c>
      <c r="O84" s="175">
        <v>0.5</v>
      </c>
      <c r="P84" s="175">
        <v>0.5</v>
      </c>
      <c r="Q84" s="175">
        <v>0.5</v>
      </c>
      <c r="R84" s="175">
        <v>0.5</v>
      </c>
      <c r="S84" s="175">
        <v>0.5</v>
      </c>
      <c r="T84" s="175">
        <v>0.5</v>
      </c>
      <c r="U84" s="175">
        <v>0.5</v>
      </c>
      <c r="V84" s="175">
        <v>0.5</v>
      </c>
      <c r="W84" s="175">
        <v>0.5</v>
      </c>
      <c r="X84" s="175">
        <v>0.5</v>
      </c>
      <c r="Y84" s="175">
        <v>0.5</v>
      </c>
      <c r="Z84" s="175">
        <v>0.5</v>
      </c>
      <c r="AA84" s="175">
        <v>0.5</v>
      </c>
      <c r="AB84" s="175">
        <v>0.5</v>
      </c>
      <c r="AC84" s="175">
        <v>0.5</v>
      </c>
      <c r="AD84" s="175">
        <v>0.5</v>
      </c>
      <c r="AE84" s="175">
        <v>0.5</v>
      </c>
      <c r="AF84" s="175">
        <v>0.5</v>
      </c>
      <c r="AG84" s="175">
        <v>0.5</v>
      </c>
      <c r="AH84" s="175">
        <v>0.5</v>
      </c>
      <c r="AI84" s="175">
        <v>0.5</v>
      </c>
      <c r="AJ84" s="175">
        <v>0.5</v>
      </c>
      <c r="AK84" s="175">
        <v>0.5</v>
      </c>
      <c r="AL84" s="175">
        <v>0.5</v>
      </c>
      <c r="AM84" s="175">
        <v>0.5</v>
      </c>
      <c r="AN84" s="175">
        <v>0.5</v>
      </c>
      <c r="AO84" s="175">
        <v>0.5</v>
      </c>
      <c r="AP84" s="175">
        <v>0.5</v>
      </c>
      <c r="AQ84" s="175">
        <v>0.5</v>
      </c>
      <c r="AR84" s="175">
        <v>0.5</v>
      </c>
      <c r="AS84" s="175">
        <v>0.5</v>
      </c>
      <c r="AT84" s="175">
        <v>0.5</v>
      </c>
      <c r="AU84" s="175">
        <v>0.5</v>
      </c>
      <c r="AV84" s="175">
        <v>0.5</v>
      </c>
      <c r="AW84" s="175">
        <v>0.5</v>
      </c>
      <c r="AX84" s="175">
        <v>0.5</v>
      </c>
      <c r="AY84" s="175">
        <v>0.5</v>
      </c>
      <c r="AZ84" s="175">
        <v>0.5</v>
      </c>
      <c r="BA84" s="175">
        <v>0.5</v>
      </c>
      <c r="BB84" s="175">
        <v>0.5</v>
      </c>
      <c r="BC84" s="175">
        <v>0.5</v>
      </c>
      <c r="BD84" s="175">
        <v>0.5</v>
      </c>
      <c r="BE84" s="175">
        <v>0.5</v>
      </c>
      <c r="BF84" s="175">
        <v>0.5</v>
      </c>
      <c r="BG84" s="175">
        <v>0.5</v>
      </c>
      <c r="BH84" s="175">
        <v>0.5</v>
      </c>
      <c r="BI84" s="175">
        <v>0.5</v>
      </c>
      <c r="BJ84" s="175">
        <v>0.5</v>
      </c>
      <c r="BK84" s="175">
        <v>0.5</v>
      </c>
      <c r="BL84" s="175">
        <v>0.5</v>
      </c>
      <c r="BM84" s="175">
        <v>0.5</v>
      </c>
      <c r="BN84" s="175">
        <v>0.5</v>
      </c>
      <c r="BO84" s="175">
        <v>0.5</v>
      </c>
      <c r="BP84" s="175">
        <v>0.5</v>
      </c>
      <c r="BQ84" s="175">
        <v>0.5</v>
      </c>
      <c r="BR84" s="175">
        <v>0.5</v>
      </c>
      <c r="BS84" s="175">
        <v>0.5</v>
      </c>
      <c r="BT84" s="175">
        <v>0.5</v>
      </c>
      <c r="BU84" s="175">
        <v>0.5</v>
      </c>
      <c r="BV84" s="175">
        <v>0.5</v>
      </c>
      <c r="BW84" s="175">
        <v>0.5</v>
      </c>
      <c r="BX84" s="175">
        <v>0.5</v>
      </c>
      <c r="BY84" s="175">
        <v>0.5</v>
      </c>
      <c r="BZ84" s="175">
        <v>0.5</v>
      </c>
      <c r="CA84" s="175">
        <v>0.5</v>
      </c>
      <c r="CB84" s="175">
        <v>0.5</v>
      </c>
      <c r="CC84" s="175">
        <v>0.5</v>
      </c>
      <c r="CD84" s="175">
        <v>0.5</v>
      </c>
      <c r="CE84" s="175">
        <v>0.5</v>
      </c>
      <c r="CF84" s="175">
        <v>0.5</v>
      </c>
      <c r="CG84" s="175">
        <v>0.5</v>
      </c>
      <c r="CH84" s="175">
        <v>0.5</v>
      </c>
      <c r="CI84" s="175">
        <v>0.5</v>
      </c>
      <c r="CJ84" s="175">
        <v>0.5</v>
      </c>
      <c r="CK84" s="175">
        <v>0.5</v>
      </c>
      <c r="CL84" s="175">
        <v>0.5</v>
      </c>
      <c r="CM84" s="175">
        <v>0.5</v>
      </c>
      <c r="CN84" s="175">
        <v>0.5</v>
      </c>
      <c r="CO84" s="175">
        <v>0.5</v>
      </c>
      <c r="CP84" s="175">
        <v>0</v>
      </c>
      <c r="CQ84" s="175">
        <v>0</v>
      </c>
    </row>
    <row r="85" spans="1:95" s="175" customFormat="1" ht="16" x14ac:dyDescent="0.2">
      <c r="A85" t="s">
        <v>220</v>
      </c>
      <c r="B85" s="175">
        <v>0</v>
      </c>
      <c r="C85" s="175">
        <v>0.5</v>
      </c>
      <c r="D85" s="175">
        <v>0.5</v>
      </c>
      <c r="E85" s="175">
        <v>0.5</v>
      </c>
      <c r="F85" s="175">
        <v>0.5</v>
      </c>
      <c r="G85" s="175">
        <v>0.5</v>
      </c>
      <c r="H85" s="175">
        <v>0.5</v>
      </c>
      <c r="I85" s="175">
        <v>0.5</v>
      </c>
      <c r="J85" s="175">
        <v>0.5</v>
      </c>
      <c r="K85" s="175">
        <v>0.5</v>
      </c>
      <c r="L85" s="175">
        <v>0.5</v>
      </c>
      <c r="M85" s="175">
        <v>0.5</v>
      </c>
      <c r="N85" s="175">
        <v>0.5</v>
      </c>
      <c r="O85" s="175">
        <v>0.5</v>
      </c>
      <c r="P85" s="175">
        <v>0.5</v>
      </c>
      <c r="Q85" s="175">
        <v>0.5</v>
      </c>
      <c r="R85" s="175">
        <v>0.5</v>
      </c>
      <c r="S85" s="175">
        <v>0.5</v>
      </c>
      <c r="T85" s="175">
        <v>0.5</v>
      </c>
      <c r="U85" s="175">
        <v>0.5</v>
      </c>
      <c r="V85" s="175">
        <v>0.5</v>
      </c>
      <c r="W85" s="175">
        <v>0.5</v>
      </c>
      <c r="X85" s="175">
        <v>0.5</v>
      </c>
      <c r="Y85" s="175">
        <v>0.5</v>
      </c>
      <c r="Z85" s="175">
        <v>0.5</v>
      </c>
      <c r="AA85" s="175">
        <v>0.5</v>
      </c>
      <c r="AB85" s="175">
        <v>0.5</v>
      </c>
      <c r="AC85" s="175">
        <v>0.5</v>
      </c>
      <c r="AD85" s="175">
        <v>0.5</v>
      </c>
      <c r="AE85" s="175">
        <v>0.5</v>
      </c>
      <c r="AF85" s="175">
        <v>0.5</v>
      </c>
      <c r="AG85" s="175">
        <v>0.5</v>
      </c>
      <c r="AH85" s="175">
        <v>0.5</v>
      </c>
      <c r="AI85" s="175">
        <v>0.5</v>
      </c>
      <c r="AJ85" s="175">
        <v>0.5</v>
      </c>
      <c r="AK85" s="175">
        <v>0.5</v>
      </c>
      <c r="AL85" s="175">
        <v>0.5</v>
      </c>
      <c r="AM85" s="175">
        <v>0.5</v>
      </c>
      <c r="AN85" s="175">
        <v>0.5</v>
      </c>
      <c r="AO85" s="175">
        <v>0.5</v>
      </c>
      <c r="AP85" s="175">
        <v>0.5</v>
      </c>
      <c r="AQ85" s="175">
        <v>0.5</v>
      </c>
      <c r="AR85" s="175">
        <v>0.5</v>
      </c>
      <c r="AS85" s="175">
        <v>0.5</v>
      </c>
      <c r="AT85" s="175">
        <v>0.5</v>
      </c>
      <c r="AU85" s="175">
        <v>0.5</v>
      </c>
      <c r="AV85" s="175">
        <v>0.5</v>
      </c>
      <c r="AW85" s="175">
        <v>0.5</v>
      </c>
      <c r="AX85" s="175">
        <v>0.5</v>
      </c>
      <c r="AY85" s="175">
        <v>0.5</v>
      </c>
      <c r="AZ85" s="175">
        <v>0.5</v>
      </c>
      <c r="BA85" s="175">
        <v>0.5</v>
      </c>
      <c r="BB85" s="175">
        <v>0.5</v>
      </c>
      <c r="BC85" s="175">
        <v>0.5</v>
      </c>
      <c r="BD85" s="175">
        <v>0.5</v>
      </c>
      <c r="BE85" s="175">
        <v>0.5</v>
      </c>
      <c r="BF85" s="175">
        <v>0.5</v>
      </c>
      <c r="BG85" s="175">
        <v>0.5</v>
      </c>
      <c r="BH85" s="175">
        <v>0.5</v>
      </c>
      <c r="BI85" s="175">
        <v>0.5</v>
      </c>
      <c r="BJ85" s="175">
        <v>0.5</v>
      </c>
      <c r="BK85" s="175">
        <v>0.5</v>
      </c>
      <c r="BL85" s="175">
        <v>0.5</v>
      </c>
      <c r="BM85" s="175">
        <v>0.5</v>
      </c>
      <c r="BN85" s="175">
        <v>0.5</v>
      </c>
      <c r="BO85" s="175">
        <v>0.5</v>
      </c>
      <c r="BP85" s="175">
        <v>0.5</v>
      </c>
      <c r="BQ85" s="175">
        <v>0.5</v>
      </c>
      <c r="BR85" s="175">
        <v>0.5</v>
      </c>
      <c r="BS85" s="175">
        <v>0.5</v>
      </c>
      <c r="BT85" s="175">
        <v>0.5</v>
      </c>
      <c r="BU85" s="175">
        <v>0.5</v>
      </c>
      <c r="BV85" s="175">
        <v>0.5</v>
      </c>
      <c r="BW85" s="175">
        <v>0.5</v>
      </c>
      <c r="BX85" s="175">
        <v>0.5</v>
      </c>
      <c r="BY85" s="175">
        <v>0.5</v>
      </c>
      <c r="BZ85" s="175">
        <v>0.5</v>
      </c>
      <c r="CA85" s="175">
        <v>0.5</v>
      </c>
      <c r="CB85" s="175">
        <v>0.5</v>
      </c>
      <c r="CC85" s="175">
        <v>0.5</v>
      </c>
      <c r="CD85" s="175">
        <v>0.5</v>
      </c>
      <c r="CE85" s="175">
        <v>0.5</v>
      </c>
      <c r="CF85" s="175">
        <v>0.5</v>
      </c>
      <c r="CG85" s="175">
        <v>0.5</v>
      </c>
      <c r="CH85" s="175">
        <v>0.5</v>
      </c>
      <c r="CI85" s="175">
        <v>0.5</v>
      </c>
      <c r="CJ85" s="175">
        <v>0.5</v>
      </c>
      <c r="CK85" s="175">
        <v>0.5</v>
      </c>
      <c r="CL85" s="175">
        <v>0.5</v>
      </c>
      <c r="CM85" s="175">
        <v>0.5</v>
      </c>
      <c r="CN85" s="175">
        <v>0.5</v>
      </c>
      <c r="CO85" s="175">
        <v>0.5</v>
      </c>
      <c r="CP85" s="175">
        <v>0</v>
      </c>
      <c r="CQ85" s="175">
        <v>0</v>
      </c>
    </row>
    <row r="86" spans="1:95" s="175" customFormat="1" ht="16" x14ac:dyDescent="0.2">
      <c r="A86" t="s">
        <v>221</v>
      </c>
      <c r="B86" s="175">
        <v>0</v>
      </c>
      <c r="C86" s="175">
        <v>0.5</v>
      </c>
      <c r="D86" s="175">
        <v>0.5</v>
      </c>
      <c r="E86" s="175">
        <v>0.5</v>
      </c>
      <c r="F86" s="175">
        <v>0.5</v>
      </c>
      <c r="G86" s="175">
        <v>0.5</v>
      </c>
      <c r="H86" s="175">
        <v>0.5</v>
      </c>
      <c r="I86" s="175">
        <v>0.5</v>
      </c>
      <c r="J86" s="175">
        <v>0.5</v>
      </c>
      <c r="K86" s="175">
        <v>0.5</v>
      </c>
      <c r="L86" s="175">
        <v>0.5</v>
      </c>
      <c r="M86" s="175">
        <v>0.5</v>
      </c>
      <c r="N86" s="175">
        <v>0.5</v>
      </c>
      <c r="O86" s="175">
        <v>0.5</v>
      </c>
      <c r="P86" s="175">
        <v>0.5</v>
      </c>
      <c r="Q86" s="175">
        <v>0.5</v>
      </c>
      <c r="R86" s="175">
        <v>0.5</v>
      </c>
      <c r="S86" s="175">
        <v>0.5</v>
      </c>
      <c r="T86" s="175">
        <v>0.5</v>
      </c>
      <c r="U86" s="175">
        <v>0.5</v>
      </c>
      <c r="V86" s="175">
        <v>0.5</v>
      </c>
      <c r="W86" s="175">
        <v>0.5</v>
      </c>
      <c r="X86" s="175">
        <v>0.5</v>
      </c>
      <c r="Y86" s="175">
        <v>0.5</v>
      </c>
      <c r="Z86" s="175">
        <v>0.5</v>
      </c>
      <c r="AA86" s="175">
        <v>0.5</v>
      </c>
      <c r="AB86" s="175">
        <v>0.5</v>
      </c>
      <c r="AC86" s="175">
        <v>0.5</v>
      </c>
      <c r="AD86" s="175">
        <v>0.5</v>
      </c>
      <c r="AE86" s="175">
        <v>0.5</v>
      </c>
      <c r="AF86" s="175">
        <v>0.5</v>
      </c>
      <c r="AG86" s="175">
        <v>0.5</v>
      </c>
      <c r="AH86" s="175">
        <v>0.5</v>
      </c>
      <c r="AI86" s="175">
        <v>0.5</v>
      </c>
      <c r="AJ86" s="175">
        <v>0.5</v>
      </c>
      <c r="AK86" s="175">
        <v>0.5</v>
      </c>
      <c r="AL86" s="175">
        <v>0.5</v>
      </c>
      <c r="AM86" s="175">
        <v>0.5</v>
      </c>
      <c r="AN86" s="175">
        <v>0.5</v>
      </c>
      <c r="AO86" s="175">
        <v>0.5</v>
      </c>
      <c r="AP86" s="175">
        <v>0.5</v>
      </c>
      <c r="AQ86" s="175">
        <v>0.5</v>
      </c>
      <c r="AR86" s="175">
        <v>0.5</v>
      </c>
      <c r="AS86" s="175">
        <v>0.5</v>
      </c>
      <c r="AT86" s="175">
        <v>0.5</v>
      </c>
      <c r="AU86" s="175">
        <v>0.5</v>
      </c>
      <c r="AV86" s="175">
        <v>0.5</v>
      </c>
      <c r="AW86" s="175">
        <v>0.5</v>
      </c>
      <c r="AX86" s="175">
        <v>0.5</v>
      </c>
      <c r="AY86" s="175">
        <v>0.5</v>
      </c>
      <c r="AZ86" s="175">
        <v>0.5</v>
      </c>
      <c r="BA86" s="175">
        <v>0.5</v>
      </c>
      <c r="BB86" s="175">
        <v>0.5</v>
      </c>
      <c r="BC86" s="175">
        <v>0.5</v>
      </c>
      <c r="BD86" s="175">
        <v>0.5</v>
      </c>
      <c r="BE86" s="175">
        <v>0.5</v>
      </c>
      <c r="BF86" s="175">
        <v>0.5</v>
      </c>
      <c r="BG86" s="175">
        <v>0.5</v>
      </c>
      <c r="BH86" s="175">
        <v>0.5</v>
      </c>
      <c r="BI86" s="175">
        <v>0.5</v>
      </c>
      <c r="BJ86" s="175">
        <v>0.5</v>
      </c>
      <c r="BK86" s="175">
        <v>0.5</v>
      </c>
      <c r="BL86" s="175">
        <v>0.5</v>
      </c>
      <c r="BM86" s="175">
        <v>0.5</v>
      </c>
      <c r="BN86" s="175">
        <v>0.5</v>
      </c>
      <c r="BO86" s="175">
        <v>0.5</v>
      </c>
      <c r="BP86" s="175">
        <v>0.5</v>
      </c>
      <c r="BQ86" s="175">
        <v>0.5</v>
      </c>
      <c r="BR86" s="175">
        <v>0.5</v>
      </c>
      <c r="BS86" s="175">
        <v>0.5</v>
      </c>
      <c r="BT86" s="175">
        <v>0.5</v>
      </c>
      <c r="BU86" s="175">
        <v>0.5</v>
      </c>
      <c r="BV86" s="175">
        <v>0.5</v>
      </c>
      <c r="BW86" s="175">
        <v>0.5</v>
      </c>
      <c r="BX86" s="175">
        <v>0.5</v>
      </c>
      <c r="BY86" s="175">
        <v>0.5</v>
      </c>
      <c r="BZ86" s="175">
        <v>0.5</v>
      </c>
      <c r="CA86" s="175">
        <v>0.5</v>
      </c>
      <c r="CB86" s="175">
        <v>0.5</v>
      </c>
      <c r="CC86" s="175">
        <v>0.5</v>
      </c>
      <c r="CD86" s="175">
        <v>0.5</v>
      </c>
      <c r="CE86" s="175">
        <v>0.5</v>
      </c>
      <c r="CF86" s="175">
        <v>0.5</v>
      </c>
      <c r="CG86" s="175">
        <v>0.5</v>
      </c>
      <c r="CH86" s="175">
        <v>0.5</v>
      </c>
      <c r="CI86" s="175">
        <v>0.5</v>
      </c>
      <c r="CJ86" s="175">
        <v>0.5</v>
      </c>
      <c r="CK86" s="175">
        <v>0.5</v>
      </c>
      <c r="CL86" s="175">
        <v>0.5</v>
      </c>
      <c r="CM86" s="175">
        <v>0.5</v>
      </c>
      <c r="CN86" s="175">
        <v>0.5</v>
      </c>
      <c r="CO86" s="175">
        <v>0.5</v>
      </c>
      <c r="CP86" s="175">
        <v>0</v>
      </c>
      <c r="CQ86" s="175">
        <v>0</v>
      </c>
    </row>
    <row r="87" spans="1:95" s="175" customFormat="1" ht="16" x14ac:dyDescent="0.2">
      <c r="A87" t="s">
        <v>268</v>
      </c>
      <c r="B87" s="175">
        <v>0</v>
      </c>
      <c r="C87" s="175">
        <v>0.5</v>
      </c>
      <c r="D87" s="175">
        <v>0.5</v>
      </c>
      <c r="E87" s="175">
        <v>0.5</v>
      </c>
      <c r="F87" s="175">
        <v>0.5</v>
      </c>
      <c r="G87" s="175">
        <v>0.5</v>
      </c>
      <c r="H87" s="175">
        <v>0.5</v>
      </c>
      <c r="I87" s="175">
        <v>0.5</v>
      </c>
      <c r="J87" s="175">
        <v>0.5</v>
      </c>
      <c r="K87" s="175">
        <v>0.5</v>
      </c>
      <c r="L87" s="175">
        <v>0.5</v>
      </c>
      <c r="M87" s="175">
        <v>0.5</v>
      </c>
      <c r="N87" s="175">
        <v>0.5</v>
      </c>
      <c r="O87" s="175">
        <v>0.5</v>
      </c>
      <c r="P87" s="175">
        <v>0.5</v>
      </c>
      <c r="Q87" s="175">
        <v>0.5</v>
      </c>
      <c r="R87" s="175">
        <v>0.5</v>
      </c>
      <c r="S87" s="175">
        <v>0.5</v>
      </c>
      <c r="T87" s="175">
        <v>0.5</v>
      </c>
      <c r="U87" s="175">
        <v>0.5</v>
      </c>
      <c r="V87" s="175">
        <v>0.5</v>
      </c>
      <c r="W87" s="175">
        <v>0.5</v>
      </c>
      <c r="X87" s="175">
        <v>0.5</v>
      </c>
      <c r="Y87" s="175">
        <v>0.5</v>
      </c>
      <c r="Z87" s="175">
        <v>0.5</v>
      </c>
      <c r="AA87" s="175">
        <v>0.5</v>
      </c>
      <c r="AB87" s="175">
        <v>0.5</v>
      </c>
      <c r="AC87" s="175">
        <v>0.5</v>
      </c>
      <c r="AD87" s="175">
        <v>0.5</v>
      </c>
      <c r="AE87" s="175">
        <v>0.5</v>
      </c>
      <c r="AF87" s="175">
        <v>0.5</v>
      </c>
      <c r="AG87" s="175">
        <v>0.5</v>
      </c>
      <c r="AH87" s="175">
        <v>0.5</v>
      </c>
      <c r="AI87" s="175">
        <v>0.5</v>
      </c>
      <c r="AJ87" s="175">
        <v>0.5</v>
      </c>
      <c r="AK87" s="175">
        <v>0.5</v>
      </c>
      <c r="AL87" s="175">
        <v>0.5</v>
      </c>
      <c r="AM87" s="175">
        <v>0.5</v>
      </c>
      <c r="AN87" s="175">
        <v>0.5</v>
      </c>
      <c r="AO87" s="175">
        <v>0.5</v>
      </c>
      <c r="AP87" s="175">
        <v>0.5</v>
      </c>
      <c r="AQ87" s="175">
        <v>0.5</v>
      </c>
      <c r="AR87" s="175">
        <v>0.5</v>
      </c>
      <c r="AS87" s="175">
        <v>0.5</v>
      </c>
      <c r="AT87" s="175">
        <v>0.5</v>
      </c>
      <c r="AU87" s="175">
        <v>0.5</v>
      </c>
      <c r="AV87" s="175">
        <v>0.5</v>
      </c>
      <c r="AW87" s="175">
        <v>0.5</v>
      </c>
      <c r="AX87" s="175">
        <v>0.5</v>
      </c>
      <c r="AY87" s="175">
        <v>0.5</v>
      </c>
      <c r="AZ87" s="175">
        <v>0.5</v>
      </c>
      <c r="BA87" s="175">
        <v>0.5</v>
      </c>
      <c r="BB87" s="175">
        <v>0.5</v>
      </c>
      <c r="BC87" s="175">
        <v>0.5</v>
      </c>
      <c r="BD87" s="175">
        <v>0.5</v>
      </c>
      <c r="BE87" s="175">
        <v>0.5</v>
      </c>
      <c r="BF87" s="175">
        <v>0.5</v>
      </c>
      <c r="BG87" s="175">
        <v>0.5</v>
      </c>
      <c r="BH87" s="175">
        <v>0.5</v>
      </c>
      <c r="BI87" s="175">
        <v>0.5</v>
      </c>
      <c r="BJ87" s="175">
        <v>0.5</v>
      </c>
      <c r="BK87" s="175">
        <v>0.5</v>
      </c>
      <c r="BL87" s="175">
        <v>0.5</v>
      </c>
      <c r="BM87" s="175">
        <v>0.5</v>
      </c>
      <c r="BN87" s="175">
        <v>0.5</v>
      </c>
      <c r="BO87" s="175">
        <v>0.5</v>
      </c>
      <c r="BP87" s="175">
        <v>0.5</v>
      </c>
      <c r="BQ87" s="175">
        <v>0.5</v>
      </c>
      <c r="BR87" s="175">
        <v>0.5</v>
      </c>
      <c r="BS87" s="175">
        <v>0.5</v>
      </c>
      <c r="BT87" s="175">
        <v>0.5</v>
      </c>
      <c r="BU87" s="175">
        <v>0.5</v>
      </c>
      <c r="BV87" s="175">
        <v>0.5</v>
      </c>
      <c r="BW87" s="175">
        <v>0.5</v>
      </c>
      <c r="BX87" s="175">
        <v>0.5</v>
      </c>
      <c r="BY87" s="175">
        <v>0.5</v>
      </c>
      <c r="BZ87" s="175">
        <v>0.5</v>
      </c>
      <c r="CA87" s="175">
        <v>0.5</v>
      </c>
      <c r="CB87" s="175">
        <v>0.5</v>
      </c>
      <c r="CC87" s="175">
        <v>0.5</v>
      </c>
      <c r="CD87" s="175">
        <v>0.5</v>
      </c>
      <c r="CE87" s="175">
        <v>0.5</v>
      </c>
      <c r="CF87" s="175">
        <v>0.5</v>
      </c>
      <c r="CG87" s="175">
        <v>0.5</v>
      </c>
      <c r="CH87" s="175">
        <v>0.5</v>
      </c>
      <c r="CI87" s="175">
        <v>0.5</v>
      </c>
      <c r="CJ87" s="175">
        <v>0.5</v>
      </c>
      <c r="CK87" s="175">
        <v>0.5</v>
      </c>
      <c r="CL87" s="175">
        <v>0.5</v>
      </c>
      <c r="CM87" s="175">
        <v>0.5</v>
      </c>
      <c r="CN87" s="175">
        <v>0.5</v>
      </c>
      <c r="CO87" s="175">
        <v>0.5</v>
      </c>
      <c r="CP87" s="175">
        <v>0</v>
      </c>
      <c r="CQ87" s="175">
        <v>0</v>
      </c>
    </row>
    <row r="88" spans="1:95" s="175" customFormat="1" ht="16" x14ac:dyDescent="0.2">
      <c r="A88" t="s">
        <v>269</v>
      </c>
      <c r="B88" s="175">
        <v>0</v>
      </c>
      <c r="C88" s="175">
        <v>0.5</v>
      </c>
      <c r="D88" s="175">
        <v>0.5</v>
      </c>
      <c r="E88" s="175">
        <v>0.5</v>
      </c>
      <c r="F88" s="175">
        <v>0.5</v>
      </c>
      <c r="G88" s="175">
        <v>0.5</v>
      </c>
      <c r="H88" s="175">
        <v>0.5</v>
      </c>
      <c r="I88" s="175">
        <v>0.5</v>
      </c>
      <c r="J88" s="175">
        <v>0.5</v>
      </c>
      <c r="K88" s="175">
        <v>0.5</v>
      </c>
      <c r="L88" s="175">
        <v>0.5</v>
      </c>
      <c r="M88" s="175">
        <v>0.5</v>
      </c>
      <c r="N88" s="175">
        <v>0.5</v>
      </c>
      <c r="O88" s="175">
        <v>0.5</v>
      </c>
      <c r="P88" s="175">
        <v>0.5</v>
      </c>
      <c r="Q88" s="175">
        <v>0.5</v>
      </c>
      <c r="R88" s="175">
        <v>0.5</v>
      </c>
      <c r="S88" s="175">
        <v>0.5</v>
      </c>
      <c r="T88" s="175">
        <v>0.5</v>
      </c>
      <c r="U88" s="175">
        <v>0.5</v>
      </c>
      <c r="V88" s="175">
        <v>0.5</v>
      </c>
      <c r="W88" s="175">
        <v>0.5</v>
      </c>
      <c r="X88" s="175">
        <v>0.5</v>
      </c>
      <c r="Y88" s="175">
        <v>0.5</v>
      </c>
      <c r="Z88" s="175">
        <v>0.5</v>
      </c>
      <c r="AA88" s="175">
        <v>0.5</v>
      </c>
      <c r="AB88" s="175">
        <v>0.5</v>
      </c>
      <c r="AC88" s="175">
        <v>0.5</v>
      </c>
      <c r="AD88" s="175">
        <v>0.5</v>
      </c>
      <c r="AE88" s="175">
        <v>0.5</v>
      </c>
      <c r="AF88" s="175">
        <v>0.5</v>
      </c>
      <c r="AG88" s="175">
        <v>0.5</v>
      </c>
      <c r="AH88" s="175">
        <v>0.5</v>
      </c>
      <c r="AI88" s="175">
        <v>0.5</v>
      </c>
      <c r="AJ88" s="175">
        <v>0.5</v>
      </c>
      <c r="AK88" s="175">
        <v>0.5</v>
      </c>
      <c r="AL88" s="175">
        <v>0.5</v>
      </c>
      <c r="AM88" s="175">
        <v>0.5</v>
      </c>
      <c r="AN88" s="175">
        <v>0.5</v>
      </c>
      <c r="AO88" s="175">
        <v>0.5</v>
      </c>
      <c r="AP88" s="175">
        <v>0.5</v>
      </c>
      <c r="AQ88" s="175">
        <v>0.5</v>
      </c>
      <c r="AR88" s="175">
        <v>0.5</v>
      </c>
      <c r="AS88" s="175">
        <v>0.5</v>
      </c>
      <c r="AT88" s="175">
        <v>0.5</v>
      </c>
      <c r="AU88" s="175">
        <v>0.5</v>
      </c>
      <c r="AV88" s="175">
        <v>0.5</v>
      </c>
      <c r="AW88" s="175">
        <v>0.5</v>
      </c>
      <c r="AX88" s="175">
        <v>0.5</v>
      </c>
      <c r="AY88" s="175">
        <v>0.5</v>
      </c>
      <c r="AZ88" s="175">
        <v>0.5</v>
      </c>
      <c r="BA88" s="175">
        <v>0.5</v>
      </c>
      <c r="BB88" s="175">
        <v>0.5</v>
      </c>
      <c r="BC88" s="175">
        <v>0.5</v>
      </c>
      <c r="BD88" s="175">
        <v>0.5</v>
      </c>
      <c r="BE88" s="175">
        <v>0.5</v>
      </c>
      <c r="BF88" s="175">
        <v>0.5</v>
      </c>
      <c r="BG88" s="175">
        <v>0.5</v>
      </c>
      <c r="BH88" s="175">
        <v>0.5</v>
      </c>
      <c r="BI88" s="175">
        <v>0.5</v>
      </c>
      <c r="BJ88" s="175">
        <v>0.5</v>
      </c>
      <c r="BK88" s="175">
        <v>0.5</v>
      </c>
      <c r="BL88" s="175">
        <v>0.5</v>
      </c>
      <c r="BM88" s="175">
        <v>0.5</v>
      </c>
      <c r="BN88" s="175">
        <v>0.5</v>
      </c>
      <c r="BO88" s="175">
        <v>0.5</v>
      </c>
      <c r="BP88" s="175">
        <v>0.5</v>
      </c>
      <c r="BQ88" s="175">
        <v>0.5</v>
      </c>
      <c r="BR88" s="175">
        <v>0.5</v>
      </c>
      <c r="BS88" s="175">
        <v>0.5</v>
      </c>
      <c r="BT88" s="175">
        <v>0.5</v>
      </c>
      <c r="BU88" s="175">
        <v>0.5</v>
      </c>
      <c r="BV88" s="175">
        <v>0.5</v>
      </c>
      <c r="BW88" s="175">
        <v>0.5</v>
      </c>
      <c r="BX88" s="175">
        <v>0.5</v>
      </c>
      <c r="BY88" s="175">
        <v>0.5</v>
      </c>
      <c r="BZ88" s="175">
        <v>0.5</v>
      </c>
      <c r="CA88" s="175">
        <v>0.5</v>
      </c>
      <c r="CB88" s="175">
        <v>0.5</v>
      </c>
      <c r="CC88" s="175">
        <v>0.5</v>
      </c>
      <c r="CD88" s="175">
        <v>0.5</v>
      </c>
      <c r="CE88" s="175">
        <v>0.5</v>
      </c>
      <c r="CF88" s="175">
        <v>0.5</v>
      </c>
      <c r="CG88" s="175">
        <v>0.5</v>
      </c>
      <c r="CH88" s="175">
        <v>0.5</v>
      </c>
      <c r="CI88" s="175">
        <v>0.5</v>
      </c>
      <c r="CJ88" s="175">
        <v>0.5</v>
      </c>
      <c r="CK88" s="175">
        <v>0.5</v>
      </c>
      <c r="CL88" s="175">
        <v>0.5</v>
      </c>
      <c r="CM88" s="175">
        <v>0.5</v>
      </c>
      <c r="CN88" s="175">
        <v>0.5</v>
      </c>
      <c r="CO88" s="175">
        <v>0.5</v>
      </c>
      <c r="CP88" s="175">
        <v>0</v>
      </c>
      <c r="CQ88" s="175">
        <v>0</v>
      </c>
    </row>
    <row r="89" spans="1:95" s="175" customFormat="1" ht="16" x14ac:dyDescent="0.2">
      <c r="A89" t="s">
        <v>222</v>
      </c>
      <c r="B89" s="175">
        <v>0</v>
      </c>
      <c r="C89" s="175">
        <v>0.5</v>
      </c>
      <c r="D89" s="175">
        <v>0.5</v>
      </c>
      <c r="E89" s="175">
        <v>0.5</v>
      </c>
      <c r="F89" s="175">
        <v>0.5</v>
      </c>
      <c r="G89" s="175">
        <v>0.5</v>
      </c>
      <c r="H89" s="175">
        <v>0.5</v>
      </c>
      <c r="I89" s="175">
        <v>0.5</v>
      </c>
      <c r="J89" s="175">
        <v>0.5</v>
      </c>
      <c r="K89" s="175">
        <v>0.5</v>
      </c>
      <c r="L89" s="175">
        <v>0.5</v>
      </c>
      <c r="M89" s="175">
        <v>0.5</v>
      </c>
      <c r="N89" s="175">
        <v>0.5</v>
      </c>
      <c r="O89" s="175">
        <v>0.5</v>
      </c>
      <c r="P89" s="175">
        <v>0.5</v>
      </c>
      <c r="Q89" s="175">
        <v>0.5</v>
      </c>
      <c r="R89" s="175">
        <v>0.5</v>
      </c>
      <c r="S89" s="175">
        <v>0.5</v>
      </c>
      <c r="T89" s="175">
        <v>0.5</v>
      </c>
      <c r="U89" s="175">
        <v>0.5</v>
      </c>
      <c r="V89" s="175">
        <v>0.5</v>
      </c>
      <c r="W89" s="175">
        <v>0.5</v>
      </c>
      <c r="X89" s="175">
        <v>0.5</v>
      </c>
      <c r="Y89" s="175">
        <v>0.5</v>
      </c>
      <c r="Z89" s="175">
        <v>0.5</v>
      </c>
      <c r="AA89" s="175">
        <v>0.5</v>
      </c>
      <c r="AB89" s="175">
        <v>0.5</v>
      </c>
      <c r="AC89" s="175">
        <v>0.5</v>
      </c>
      <c r="AD89" s="175">
        <v>0.5</v>
      </c>
      <c r="AE89" s="175">
        <v>0.5</v>
      </c>
      <c r="AF89" s="175">
        <v>0.5</v>
      </c>
      <c r="AG89" s="175">
        <v>0.5</v>
      </c>
      <c r="AH89" s="175">
        <v>0.5</v>
      </c>
      <c r="AI89" s="175">
        <v>0.5</v>
      </c>
      <c r="AJ89" s="175">
        <v>0.5</v>
      </c>
      <c r="AK89" s="175">
        <v>0.5</v>
      </c>
      <c r="AL89" s="175">
        <v>0.5</v>
      </c>
      <c r="AM89" s="175">
        <v>0.5</v>
      </c>
      <c r="AN89" s="175">
        <v>0.5</v>
      </c>
      <c r="AO89" s="175">
        <v>0.5</v>
      </c>
      <c r="AP89" s="175">
        <v>0.5</v>
      </c>
      <c r="AQ89" s="175">
        <v>0.5</v>
      </c>
      <c r="AR89" s="175">
        <v>0.5</v>
      </c>
      <c r="AS89" s="175">
        <v>0.5</v>
      </c>
      <c r="AT89" s="175">
        <v>0.5</v>
      </c>
      <c r="AU89" s="175">
        <v>0.5</v>
      </c>
      <c r="AV89" s="175">
        <v>0.5</v>
      </c>
      <c r="AW89" s="175">
        <v>0.5</v>
      </c>
      <c r="AX89" s="175">
        <v>0.5</v>
      </c>
      <c r="AY89" s="175">
        <v>0.5</v>
      </c>
      <c r="AZ89" s="175">
        <v>0.5</v>
      </c>
      <c r="BA89" s="175">
        <v>0.5</v>
      </c>
      <c r="BB89" s="175">
        <v>0.5</v>
      </c>
      <c r="BC89" s="175">
        <v>0.5</v>
      </c>
      <c r="BD89" s="175">
        <v>0.5</v>
      </c>
      <c r="BE89" s="175">
        <v>0.5</v>
      </c>
      <c r="BF89" s="175">
        <v>0.5</v>
      </c>
      <c r="BG89" s="175">
        <v>0.5</v>
      </c>
      <c r="BH89" s="175">
        <v>0.5</v>
      </c>
      <c r="BI89" s="175">
        <v>0.5</v>
      </c>
      <c r="BJ89" s="175">
        <v>0.5</v>
      </c>
      <c r="BK89" s="175">
        <v>0.5</v>
      </c>
      <c r="BL89" s="175">
        <v>0.5</v>
      </c>
      <c r="BM89" s="175">
        <v>0.5</v>
      </c>
      <c r="BN89" s="175">
        <v>0.5</v>
      </c>
      <c r="BO89" s="175">
        <v>0.5</v>
      </c>
      <c r="BP89" s="175">
        <v>0.5</v>
      </c>
      <c r="BQ89" s="175">
        <v>0.5</v>
      </c>
      <c r="BR89" s="175">
        <v>0.5</v>
      </c>
      <c r="BS89" s="175">
        <v>0.5</v>
      </c>
      <c r="BT89" s="175">
        <v>0.5</v>
      </c>
      <c r="BU89" s="175">
        <v>0.5</v>
      </c>
      <c r="BV89" s="175">
        <v>0.5</v>
      </c>
      <c r="BW89" s="175">
        <v>0.5</v>
      </c>
      <c r="BX89" s="175">
        <v>0.5</v>
      </c>
      <c r="BY89" s="175">
        <v>0.5</v>
      </c>
      <c r="BZ89" s="175">
        <v>0.5</v>
      </c>
      <c r="CA89" s="175">
        <v>0.5</v>
      </c>
      <c r="CB89" s="175">
        <v>0.5</v>
      </c>
      <c r="CC89" s="175">
        <v>0.5</v>
      </c>
      <c r="CD89" s="175">
        <v>0.5</v>
      </c>
      <c r="CE89" s="175">
        <v>0.5</v>
      </c>
      <c r="CF89" s="175">
        <v>0.5</v>
      </c>
      <c r="CG89" s="175">
        <v>0.5</v>
      </c>
      <c r="CH89" s="175">
        <v>0.5</v>
      </c>
      <c r="CI89" s="175">
        <v>0.5</v>
      </c>
      <c r="CJ89" s="175">
        <v>0.5</v>
      </c>
      <c r="CK89" s="175">
        <v>0.5</v>
      </c>
      <c r="CL89" s="175">
        <v>0.5</v>
      </c>
      <c r="CM89" s="175">
        <v>0.5</v>
      </c>
      <c r="CN89" s="175">
        <v>0.5</v>
      </c>
      <c r="CO89" s="175">
        <v>0.5</v>
      </c>
      <c r="CP89" s="175">
        <v>0</v>
      </c>
      <c r="CQ89" s="175">
        <v>0</v>
      </c>
    </row>
    <row r="90" spans="1:95" s="175" customFormat="1" ht="16" x14ac:dyDescent="0.2">
      <c r="A90" t="s">
        <v>270</v>
      </c>
      <c r="B90" s="175">
        <v>0</v>
      </c>
      <c r="C90" s="175">
        <v>0.5</v>
      </c>
      <c r="D90" s="175">
        <v>0.5</v>
      </c>
      <c r="E90" s="175">
        <v>0.5</v>
      </c>
      <c r="F90" s="175">
        <v>0.5</v>
      </c>
      <c r="G90" s="175">
        <v>0.5</v>
      </c>
      <c r="H90" s="175">
        <v>0.5</v>
      </c>
      <c r="I90" s="175">
        <v>0.5</v>
      </c>
      <c r="J90" s="175">
        <v>0.5</v>
      </c>
      <c r="K90" s="175">
        <v>0.5</v>
      </c>
      <c r="L90" s="175">
        <v>0.5</v>
      </c>
      <c r="M90" s="175">
        <v>0.5</v>
      </c>
      <c r="N90" s="175">
        <v>0.5</v>
      </c>
      <c r="O90" s="175">
        <v>0.5</v>
      </c>
      <c r="P90" s="175">
        <v>0.5</v>
      </c>
      <c r="Q90" s="175">
        <v>0.5</v>
      </c>
      <c r="R90" s="175">
        <v>0.5</v>
      </c>
      <c r="S90" s="175">
        <v>0.5</v>
      </c>
      <c r="T90" s="175">
        <v>0.5</v>
      </c>
      <c r="U90" s="175">
        <v>0.5</v>
      </c>
      <c r="V90" s="175">
        <v>0.5</v>
      </c>
      <c r="W90" s="175">
        <v>0.5</v>
      </c>
      <c r="X90" s="175">
        <v>0.5</v>
      </c>
      <c r="Y90" s="175">
        <v>0.5</v>
      </c>
      <c r="Z90" s="175">
        <v>0.5</v>
      </c>
      <c r="AA90" s="175">
        <v>0.5</v>
      </c>
      <c r="AB90" s="175">
        <v>0.5</v>
      </c>
      <c r="AC90" s="175">
        <v>0.5</v>
      </c>
      <c r="AD90" s="175">
        <v>0.5</v>
      </c>
      <c r="AE90" s="175">
        <v>0.5</v>
      </c>
      <c r="AF90" s="175">
        <v>0.5</v>
      </c>
      <c r="AG90" s="175">
        <v>0.5</v>
      </c>
      <c r="AH90" s="175">
        <v>0.5</v>
      </c>
      <c r="AI90" s="175">
        <v>0.5</v>
      </c>
      <c r="AJ90" s="175">
        <v>0.5</v>
      </c>
      <c r="AK90" s="175">
        <v>0.5</v>
      </c>
      <c r="AL90" s="175">
        <v>0.5</v>
      </c>
      <c r="AM90" s="175">
        <v>0.5</v>
      </c>
      <c r="AN90" s="175">
        <v>0.5</v>
      </c>
      <c r="AO90" s="175">
        <v>0.5</v>
      </c>
      <c r="AP90" s="175">
        <v>0.5</v>
      </c>
      <c r="AQ90" s="175">
        <v>0.5</v>
      </c>
      <c r="AR90" s="175">
        <v>0.5</v>
      </c>
      <c r="AS90" s="175">
        <v>0.5</v>
      </c>
      <c r="AT90" s="175">
        <v>0.5</v>
      </c>
      <c r="AU90" s="175">
        <v>0.5</v>
      </c>
      <c r="AV90" s="175">
        <v>0.5</v>
      </c>
      <c r="AW90" s="175">
        <v>0.5</v>
      </c>
      <c r="AX90" s="175">
        <v>0.5</v>
      </c>
      <c r="AY90" s="175">
        <v>0.5</v>
      </c>
      <c r="AZ90" s="175">
        <v>0.5</v>
      </c>
      <c r="BA90" s="175">
        <v>0.5</v>
      </c>
      <c r="BB90" s="175">
        <v>0.5</v>
      </c>
      <c r="BC90" s="175">
        <v>0.5</v>
      </c>
      <c r="BD90" s="175">
        <v>0.5</v>
      </c>
      <c r="BE90" s="175">
        <v>0.5</v>
      </c>
      <c r="BF90" s="175">
        <v>0.5</v>
      </c>
      <c r="BG90" s="175">
        <v>0.5</v>
      </c>
      <c r="BH90" s="175">
        <v>0.5</v>
      </c>
      <c r="BI90" s="175">
        <v>0.5</v>
      </c>
      <c r="BJ90" s="175">
        <v>0.5</v>
      </c>
      <c r="BK90" s="175">
        <v>0.5</v>
      </c>
      <c r="BL90" s="175">
        <v>0.5</v>
      </c>
      <c r="BM90" s="175">
        <v>0.5</v>
      </c>
      <c r="BN90" s="175">
        <v>0.5</v>
      </c>
      <c r="BO90" s="175">
        <v>0.5</v>
      </c>
      <c r="BP90" s="175">
        <v>0.5</v>
      </c>
      <c r="BQ90" s="175">
        <v>0.5</v>
      </c>
      <c r="BR90" s="175">
        <v>0.5</v>
      </c>
      <c r="BS90" s="175">
        <v>0.5</v>
      </c>
      <c r="BT90" s="175">
        <v>0.5</v>
      </c>
      <c r="BU90" s="175">
        <v>0.5</v>
      </c>
      <c r="BV90" s="175">
        <v>0.5</v>
      </c>
      <c r="BW90" s="175">
        <v>0.5</v>
      </c>
      <c r="BX90" s="175">
        <v>0.5</v>
      </c>
      <c r="BY90" s="175">
        <v>0.5</v>
      </c>
      <c r="BZ90" s="175">
        <v>0.5</v>
      </c>
      <c r="CA90" s="175">
        <v>0.5</v>
      </c>
      <c r="CB90" s="175">
        <v>0.5</v>
      </c>
      <c r="CC90" s="175">
        <v>0.5</v>
      </c>
      <c r="CD90" s="175">
        <v>0.5</v>
      </c>
      <c r="CE90" s="175">
        <v>0.5</v>
      </c>
      <c r="CF90" s="175">
        <v>0.5</v>
      </c>
      <c r="CG90" s="175">
        <v>0.5</v>
      </c>
      <c r="CH90" s="175">
        <v>0.5</v>
      </c>
      <c r="CI90" s="175">
        <v>0.5</v>
      </c>
      <c r="CJ90" s="175">
        <v>0.5</v>
      </c>
      <c r="CK90" s="175">
        <v>0.5</v>
      </c>
      <c r="CL90" s="175">
        <v>0.5</v>
      </c>
      <c r="CM90" s="175">
        <v>0.5</v>
      </c>
      <c r="CN90" s="175">
        <v>0.5</v>
      </c>
      <c r="CO90" s="175">
        <v>0.5</v>
      </c>
      <c r="CP90" s="175">
        <v>0</v>
      </c>
      <c r="CQ90" s="175">
        <v>0</v>
      </c>
    </row>
    <row r="91" spans="1:95" s="175" customFormat="1" ht="16" x14ac:dyDescent="0.2">
      <c r="A91" t="s">
        <v>223</v>
      </c>
      <c r="B91" s="175">
        <v>0</v>
      </c>
      <c r="C91" s="175">
        <v>0.5</v>
      </c>
      <c r="D91" s="175">
        <v>0.5</v>
      </c>
      <c r="E91" s="175">
        <v>0.5</v>
      </c>
      <c r="F91" s="175">
        <v>0.5</v>
      </c>
      <c r="G91" s="175">
        <v>0.5</v>
      </c>
      <c r="H91" s="175">
        <v>0.5</v>
      </c>
      <c r="I91" s="175">
        <v>0.5</v>
      </c>
      <c r="J91" s="175">
        <v>0.5</v>
      </c>
      <c r="K91" s="175">
        <v>0.5</v>
      </c>
      <c r="L91" s="175">
        <v>0.5</v>
      </c>
      <c r="M91" s="175">
        <v>0.5</v>
      </c>
      <c r="N91" s="175">
        <v>0.5</v>
      </c>
      <c r="O91" s="175">
        <v>0.5</v>
      </c>
      <c r="P91" s="175">
        <v>0.5</v>
      </c>
      <c r="Q91" s="175">
        <v>0.5</v>
      </c>
      <c r="R91" s="175">
        <v>0.5</v>
      </c>
      <c r="S91" s="175">
        <v>0.5</v>
      </c>
      <c r="T91" s="175">
        <v>0.5</v>
      </c>
      <c r="U91" s="175">
        <v>0.5</v>
      </c>
      <c r="V91" s="175">
        <v>0.5</v>
      </c>
      <c r="W91" s="175">
        <v>0.5</v>
      </c>
      <c r="X91" s="175">
        <v>0.5</v>
      </c>
      <c r="Y91" s="175">
        <v>0.5</v>
      </c>
      <c r="Z91" s="175">
        <v>0.5</v>
      </c>
      <c r="AA91" s="175">
        <v>0.5</v>
      </c>
      <c r="AB91" s="175">
        <v>0.5</v>
      </c>
      <c r="AC91" s="175">
        <v>0.5</v>
      </c>
      <c r="AD91" s="175">
        <v>0.5</v>
      </c>
      <c r="AE91" s="175">
        <v>0.5</v>
      </c>
      <c r="AF91" s="175">
        <v>0.5</v>
      </c>
      <c r="AG91" s="175">
        <v>0.5</v>
      </c>
      <c r="AH91" s="175">
        <v>0.5</v>
      </c>
      <c r="AI91" s="175">
        <v>0.5</v>
      </c>
      <c r="AJ91" s="175">
        <v>0.5</v>
      </c>
      <c r="AK91" s="175">
        <v>0.5</v>
      </c>
      <c r="AL91" s="175">
        <v>0.5</v>
      </c>
      <c r="AM91" s="175">
        <v>0.5</v>
      </c>
      <c r="AN91" s="175">
        <v>0.5</v>
      </c>
      <c r="AO91" s="175">
        <v>0.5</v>
      </c>
      <c r="AP91" s="175">
        <v>0.5</v>
      </c>
      <c r="AQ91" s="175">
        <v>0.5</v>
      </c>
      <c r="AR91" s="175">
        <v>0.5</v>
      </c>
      <c r="AS91" s="175">
        <v>0.5</v>
      </c>
      <c r="AT91" s="175">
        <v>0.5</v>
      </c>
      <c r="AU91" s="175">
        <v>0.5</v>
      </c>
      <c r="AV91" s="175">
        <v>0.5</v>
      </c>
      <c r="AW91" s="175">
        <v>0.5</v>
      </c>
      <c r="AX91" s="175">
        <v>0.5</v>
      </c>
      <c r="AY91" s="175">
        <v>0.5</v>
      </c>
      <c r="AZ91" s="175">
        <v>0.5</v>
      </c>
      <c r="BA91" s="175">
        <v>0.5</v>
      </c>
      <c r="BB91" s="175">
        <v>0.5</v>
      </c>
      <c r="BC91" s="175">
        <v>0.5</v>
      </c>
      <c r="BD91" s="175">
        <v>0.5</v>
      </c>
      <c r="BE91" s="175">
        <v>0.5</v>
      </c>
      <c r="BF91" s="175">
        <v>0.5</v>
      </c>
      <c r="BG91" s="175">
        <v>0.5</v>
      </c>
      <c r="BH91" s="175">
        <v>0.5</v>
      </c>
      <c r="BI91" s="175">
        <v>0.5</v>
      </c>
      <c r="BJ91" s="175">
        <v>0.5</v>
      </c>
      <c r="BK91" s="175">
        <v>0.5</v>
      </c>
      <c r="BL91" s="175">
        <v>0.5</v>
      </c>
      <c r="BM91" s="175">
        <v>0.5</v>
      </c>
      <c r="BN91" s="175">
        <v>0.5</v>
      </c>
      <c r="BO91" s="175">
        <v>0.5</v>
      </c>
      <c r="BP91" s="175">
        <v>0.5</v>
      </c>
      <c r="BQ91" s="175">
        <v>0.5</v>
      </c>
      <c r="BR91" s="175">
        <v>0.5</v>
      </c>
      <c r="BS91" s="175">
        <v>0.5</v>
      </c>
      <c r="BT91" s="175">
        <v>0.5</v>
      </c>
      <c r="BU91" s="175">
        <v>0.5</v>
      </c>
      <c r="BV91" s="175">
        <v>0.5</v>
      </c>
      <c r="BW91" s="175">
        <v>0.5</v>
      </c>
      <c r="BX91" s="175">
        <v>0.5</v>
      </c>
      <c r="BY91" s="175">
        <v>0.5</v>
      </c>
      <c r="BZ91" s="175">
        <v>0.5</v>
      </c>
      <c r="CA91" s="175">
        <v>0.5</v>
      </c>
      <c r="CB91" s="175">
        <v>0.5</v>
      </c>
      <c r="CC91" s="175">
        <v>0.5</v>
      </c>
      <c r="CD91" s="175">
        <v>0.5</v>
      </c>
      <c r="CE91" s="175">
        <v>0.5</v>
      </c>
      <c r="CF91" s="175">
        <v>0.5</v>
      </c>
      <c r="CG91" s="175">
        <v>0.5</v>
      </c>
      <c r="CH91" s="175">
        <v>0.5</v>
      </c>
      <c r="CI91" s="175">
        <v>0.5</v>
      </c>
      <c r="CJ91" s="175">
        <v>0.5</v>
      </c>
      <c r="CK91" s="175">
        <v>0.5</v>
      </c>
      <c r="CL91" s="175">
        <v>0.5</v>
      </c>
      <c r="CM91" s="175">
        <v>0.5</v>
      </c>
      <c r="CN91" s="175">
        <v>0.5</v>
      </c>
      <c r="CO91" s="175">
        <v>0.5</v>
      </c>
      <c r="CP91" s="175">
        <v>0</v>
      </c>
      <c r="CQ91" s="175">
        <v>0</v>
      </c>
    </row>
    <row r="92" spans="1:95" s="175" customFormat="1" ht="16" x14ac:dyDescent="0.2">
      <c r="A92" t="s">
        <v>224</v>
      </c>
      <c r="B92" s="175">
        <v>0</v>
      </c>
      <c r="C92" s="175">
        <v>0.5</v>
      </c>
      <c r="D92" s="175">
        <v>0.5</v>
      </c>
      <c r="E92" s="175">
        <v>0.5</v>
      </c>
      <c r="F92" s="175">
        <v>0.5</v>
      </c>
      <c r="G92" s="175">
        <v>0.5</v>
      </c>
      <c r="H92" s="175">
        <v>0.5</v>
      </c>
      <c r="I92" s="175">
        <v>0.5</v>
      </c>
      <c r="J92" s="175">
        <v>0.5</v>
      </c>
      <c r="K92" s="175">
        <v>0.5</v>
      </c>
      <c r="L92" s="175">
        <v>0.5</v>
      </c>
      <c r="M92" s="175">
        <v>0.5</v>
      </c>
      <c r="N92" s="175">
        <v>0.5</v>
      </c>
      <c r="O92" s="175">
        <v>0.5</v>
      </c>
      <c r="P92" s="175">
        <v>0.5</v>
      </c>
      <c r="Q92" s="175">
        <v>0.5</v>
      </c>
      <c r="R92" s="175">
        <v>0.5</v>
      </c>
      <c r="S92" s="175">
        <v>0.5</v>
      </c>
      <c r="T92" s="175">
        <v>0.5</v>
      </c>
      <c r="U92" s="175">
        <v>0.5</v>
      </c>
      <c r="V92" s="175">
        <v>0.5</v>
      </c>
      <c r="W92" s="175">
        <v>0.5</v>
      </c>
      <c r="X92" s="175">
        <v>0.5</v>
      </c>
      <c r="Y92" s="175">
        <v>0.5</v>
      </c>
      <c r="Z92" s="175">
        <v>0.5</v>
      </c>
      <c r="AA92" s="175">
        <v>0.5</v>
      </c>
      <c r="AB92" s="175">
        <v>0.5</v>
      </c>
      <c r="AC92" s="175">
        <v>0.5</v>
      </c>
      <c r="AD92" s="175">
        <v>0.5</v>
      </c>
      <c r="AE92" s="175">
        <v>0.5</v>
      </c>
      <c r="AF92" s="175">
        <v>0.5</v>
      </c>
      <c r="AG92" s="175">
        <v>0.5</v>
      </c>
      <c r="AH92" s="175">
        <v>0.5</v>
      </c>
      <c r="AI92" s="175">
        <v>0.5</v>
      </c>
      <c r="AJ92" s="175">
        <v>0.5</v>
      </c>
      <c r="AK92" s="175">
        <v>0.5</v>
      </c>
      <c r="AL92" s="175">
        <v>0.5</v>
      </c>
      <c r="AM92" s="175">
        <v>0.5</v>
      </c>
      <c r="AN92" s="175">
        <v>0.5</v>
      </c>
      <c r="AO92" s="175">
        <v>0.5</v>
      </c>
      <c r="AP92" s="175">
        <v>0.5</v>
      </c>
      <c r="AQ92" s="175">
        <v>0.5</v>
      </c>
      <c r="AR92" s="175">
        <v>0.5</v>
      </c>
      <c r="AS92" s="175">
        <v>0.5</v>
      </c>
      <c r="AT92" s="175">
        <v>0.5</v>
      </c>
      <c r="AU92" s="175">
        <v>0.5</v>
      </c>
      <c r="AV92" s="175">
        <v>0.5</v>
      </c>
      <c r="AW92" s="175">
        <v>0.5</v>
      </c>
      <c r="AX92" s="175">
        <v>0.5</v>
      </c>
      <c r="AY92" s="175">
        <v>0.5</v>
      </c>
      <c r="AZ92" s="175">
        <v>0.5</v>
      </c>
      <c r="BA92" s="175">
        <v>0.5</v>
      </c>
      <c r="BB92" s="175">
        <v>0.5</v>
      </c>
      <c r="BC92" s="175">
        <v>0.5</v>
      </c>
      <c r="BD92" s="175">
        <v>0.5</v>
      </c>
      <c r="BE92" s="175">
        <v>0.5</v>
      </c>
      <c r="BF92" s="175">
        <v>0.5</v>
      </c>
      <c r="BG92" s="175">
        <v>0.5</v>
      </c>
      <c r="BH92" s="175">
        <v>0.5</v>
      </c>
      <c r="BI92" s="175">
        <v>0.5</v>
      </c>
      <c r="BJ92" s="175">
        <v>0.5</v>
      </c>
      <c r="BK92" s="175">
        <v>0.5</v>
      </c>
      <c r="BL92" s="175">
        <v>0.5</v>
      </c>
      <c r="BM92" s="175">
        <v>0.5</v>
      </c>
      <c r="BN92" s="175">
        <v>0.5</v>
      </c>
      <c r="BO92" s="175">
        <v>0.5</v>
      </c>
      <c r="BP92" s="175">
        <v>0.5</v>
      </c>
      <c r="BQ92" s="175">
        <v>0.5</v>
      </c>
      <c r="BR92" s="175">
        <v>0.5</v>
      </c>
      <c r="BS92" s="175">
        <v>0.5</v>
      </c>
      <c r="BT92" s="175">
        <v>0.5</v>
      </c>
      <c r="BU92" s="175">
        <v>0.5</v>
      </c>
      <c r="BV92" s="175">
        <v>0.5</v>
      </c>
      <c r="BW92" s="175">
        <v>0.5</v>
      </c>
      <c r="BX92" s="175">
        <v>0.5</v>
      </c>
      <c r="BY92" s="175">
        <v>0.5</v>
      </c>
      <c r="BZ92" s="175">
        <v>0.5</v>
      </c>
      <c r="CA92" s="175">
        <v>0.5</v>
      </c>
      <c r="CB92" s="175">
        <v>0.5</v>
      </c>
      <c r="CC92" s="175">
        <v>0.5</v>
      </c>
      <c r="CD92" s="175">
        <v>0.5</v>
      </c>
      <c r="CE92" s="175">
        <v>0.5</v>
      </c>
      <c r="CF92" s="175">
        <v>0.5</v>
      </c>
      <c r="CG92" s="175">
        <v>0.5</v>
      </c>
      <c r="CH92" s="175">
        <v>0.5</v>
      </c>
      <c r="CI92" s="175">
        <v>0.5</v>
      </c>
      <c r="CJ92" s="175">
        <v>0.5</v>
      </c>
      <c r="CK92" s="175">
        <v>0.5</v>
      </c>
      <c r="CL92" s="175">
        <v>0.5</v>
      </c>
      <c r="CM92" s="175">
        <v>0.5</v>
      </c>
      <c r="CN92" s="175">
        <v>0.5</v>
      </c>
      <c r="CO92" s="175">
        <v>0.5</v>
      </c>
      <c r="CP92" s="175">
        <v>0</v>
      </c>
      <c r="CQ92" s="175">
        <v>0</v>
      </c>
    </row>
    <row r="93" spans="1:95" s="175" customFormat="1" ht="16" x14ac:dyDescent="0.2">
      <c r="A93" t="s">
        <v>225</v>
      </c>
      <c r="B93" s="175">
        <v>0</v>
      </c>
      <c r="C93" s="175">
        <v>0.5</v>
      </c>
      <c r="D93" s="175">
        <v>0.5</v>
      </c>
      <c r="E93" s="175">
        <v>0.5</v>
      </c>
      <c r="F93" s="175">
        <v>0.5</v>
      </c>
      <c r="G93" s="175">
        <v>0.5</v>
      </c>
      <c r="H93" s="175">
        <v>0.5</v>
      </c>
      <c r="I93" s="175">
        <v>0.5</v>
      </c>
      <c r="J93" s="175">
        <v>0.5</v>
      </c>
      <c r="K93" s="175">
        <v>0.5</v>
      </c>
      <c r="L93" s="175">
        <v>0.5</v>
      </c>
      <c r="M93" s="175">
        <v>0.5</v>
      </c>
      <c r="N93" s="175">
        <v>0.5</v>
      </c>
      <c r="O93" s="175">
        <v>0.5</v>
      </c>
      <c r="P93" s="175">
        <v>0.5</v>
      </c>
      <c r="Q93" s="175">
        <v>0.5</v>
      </c>
      <c r="R93" s="175">
        <v>0.5</v>
      </c>
      <c r="S93" s="175">
        <v>0.5</v>
      </c>
      <c r="T93" s="175">
        <v>0.5</v>
      </c>
      <c r="U93" s="175">
        <v>0.5</v>
      </c>
      <c r="V93" s="175">
        <v>0.5</v>
      </c>
      <c r="W93" s="175">
        <v>0.5</v>
      </c>
      <c r="X93" s="175">
        <v>0.5</v>
      </c>
      <c r="Y93" s="175">
        <v>0.5</v>
      </c>
      <c r="Z93" s="175">
        <v>0.5</v>
      </c>
      <c r="AA93" s="175">
        <v>0.5</v>
      </c>
      <c r="AB93" s="175">
        <v>0.5</v>
      </c>
      <c r="AC93" s="175">
        <v>0.5</v>
      </c>
      <c r="AD93" s="175">
        <v>0.5</v>
      </c>
      <c r="AE93" s="175">
        <v>0.5</v>
      </c>
      <c r="AF93" s="175">
        <v>0.5</v>
      </c>
      <c r="AG93" s="175">
        <v>0.5</v>
      </c>
      <c r="AH93" s="175">
        <v>0.5</v>
      </c>
      <c r="AI93" s="175">
        <v>0.5</v>
      </c>
      <c r="AJ93" s="175">
        <v>0.5</v>
      </c>
      <c r="AK93" s="175">
        <v>0.5</v>
      </c>
      <c r="AL93" s="175">
        <v>0.5</v>
      </c>
      <c r="AM93" s="175">
        <v>0.5</v>
      </c>
      <c r="AN93" s="175">
        <v>0.5</v>
      </c>
      <c r="AO93" s="175">
        <v>0.5</v>
      </c>
      <c r="AP93" s="175">
        <v>0.5</v>
      </c>
      <c r="AQ93" s="175">
        <v>0.5</v>
      </c>
      <c r="AR93" s="175">
        <v>0.5</v>
      </c>
      <c r="AS93" s="175">
        <v>0.5</v>
      </c>
      <c r="AT93" s="175">
        <v>0.5</v>
      </c>
      <c r="AU93" s="175">
        <v>0.5</v>
      </c>
      <c r="AV93" s="175">
        <v>0.5</v>
      </c>
      <c r="AW93" s="175">
        <v>0.5</v>
      </c>
      <c r="AX93" s="175">
        <v>0.5</v>
      </c>
      <c r="AY93" s="175">
        <v>0.5</v>
      </c>
      <c r="AZ93" s="175">
        <v>0.5</v>
      </c>
      <c r="BA93" s="175">
        <v>0.5</v>
      </c>
      <c r="BB93" s="175">
        <v>0.5</v>
      </c>
      <c r="BC93" s="175">
        <v>0.5</v>
      </c>
      <c r="BD93" s="175">
        <v>0.5</v>
      </c>
      <c r="BE93" s="175">
        <v>0.5</v>
      </c>
      <c r="BF93" s="175">
        <v>0.5</v>
      </c>
      <c r="BG93" s="175">
        <v>0.5</v>
      </c>
      <c r="BH93" s="175">
        <v>0.5</v>
      </c>
      <c r="BI93" s="175">
        <v>0.5</v>
      </c>
      <c r="BJ93" s="175">
        <v>0.5</v>
      </c>
      <c r="BK93" s="175">
        <v>0.5</v>
      </c>
      <c r="BL93" s="175">
        <v>0.5</v>
      </c>
      <c r="BM93" s="175">
        <v>0.5</v>
      </c>
      <c r="BN93" s="175">
        <v>0.5</v>
      </c>
      <c r="BO93" s="175">
        <v>0.5</v>
      </c>
      <c r="BP93" s="175">
        <v>0.5</v>
      </c>
      <c r="BQ93" s="175">
        <v>0.5</v>
      </c>
      <c r="BR93" s="175">
        <v>0.5</v>
      </c>
      <c r="BS93" s="175">
        <v>0.5</v>
      </c>
      <c r="BT93" s="175">
        <v>0.5</v>
      </c>
      <c r="BU93" s="175">
        <v>0.5</v>
      </c>
      <c r="BV93" s="175">
        <v>0.5</v>
      </c>
      <c r="BW93" s="175">
        <v>0.5</v>
      </c>
      <c r="BX93" s="175">
        <v>0.5</v>
      </c>
      <c r="BY93" s="175">
        <v>0.5</v>
      </c>
      <c r="BZ93" s="175">
        <v>0.5</v>
      </c>
      <c r="CA93" s="175">
        <v>0.5</v>
      </c>
      <c r="CB93" s="175">
        <v>0.5</v>
      </c>
      <c r="CC93" s="175">
        <v>0.5</v>
      </c>
      <c r="CD93" s="175">
        <v>0.5</v>
      </c>
      <c r="CE93" s="175">
        <v>0.5</v>
      </c>
      <c r="CF93" s="175">
        <v>0.5</v>
      </c>
      <c r="CG93" s="175">
        <v>0.5</v>
      </c>
      <c r="CH93" s="175">
        <v>0.5</v>
      </c>
      <c r="CI93" s="175">
        <v>0.5</v>
      </c>
      <c r="CJ93" s="175">
        <v>0.5</v>
      </c>
      <c r="CK93" s="175">
        <v>0.5</v>
      </c>
      <c r="CL93" s="175">
        <v>0.5</v>
      </c>
      <c r="CM93" s="175">
        <v>0.5</v>
      </c>
      <c r="CN93" s="175">
        <v>0.5</v>
      </c>
      <c r="CO93" s="175">
        <v>0.5</v>
      </c>
      <c r="CP93" s="175">
        <v>0</v>
      </c>
      <c r="CQ93" s="175">
        <v>0</v>
      </c>
    </row>
    <row r="94" spans="1:95" s="175" customFormat="1" ht="16" x14ac:dyDescent="0.2">
      <c r="A94" t="s">
        <v>226</v>
      </c>
      <c r="B94" s="175">
        <v>0</v>
      </c>
      <c r="C94" s="175">
        <v>0.5</v>
      </c>
      <c r="D94" s="175">
        <v>0.5</v>
      </c>
      <c r="E94" s="175">
        <v>0.5</v>
      </c>
      <c r="F94" s="175">
        <v>0.5</v>
      </c>
      <c r="G94" s="175">
        <v>0.5</v>
      </c>
      <c r="H94" s="175">
        <v>0.5</v>
      </c>
      <c r="I94" s="175">
        <v>0.5</v>
      </c>
      <c r="J94" s="175">
        <v>0.5</v>
      </c>
      <c r="K94" s="175">
        <v>0.5</v>
      </c>
      <c r="L94" s="175">
        <v>0.5</v>
      </c>
      <c r="M94" s="175">
        <v>0.5</v>
      </c>
      <c r="N94" s="175">
        <v>0.5</v>
      </c>
      <c r="O94" s="175">
        <v>0.5</v>
      </c>
      <c r="P94" s="175">
        <v>0.5</v>
      </c>
      <c r="Q94" s="175">
        <v>0.5</v>
      </c>
      <c r="R94" s="175">
        <v>0.5</v>
      </c>
      <c r="S94" s="175">
        <v>0.5</v>
      </c>
      <c r="T94" s="175">
        <v>0.5</v>
      </c>
      <c r="U94" s="175">
        <v>0.5</v>
      </c>
      <c r="V94" s="175">
        <v>0.5</v>
      </c>
      <c r="W94" s="175">
        <v>0.5</v>
      </c>
      <c r="X94" s="175">
        <v>0.5</v>
      </c>
      <c r="Y94" s="175">
        <v>0.5</v>
      </c>
      <c r="Z94" s="175">
        <v>0.5</v>
      </c>
      <c r="AA94" s="175">
        <v>0.5</v>
      </c>
      <c r="AB94" s="175">
        <v>0.5</v>
      </c>
      <c r="AC94" s="175">
        <v>0.5</v>
      </c>
      <c r="AD94" s="175">
        <v>0.5</v>
      </c>
      <c r="AE94" s="175">
        <v>0.5</v>
      </c>
      <c r="AF94" s="175">
        <v>0.5</v>
      </c>
      <c r="AG94" s="175">
        <v>0.5</v>
      </c>
      <c r="AH94" s="175">
        <v>0.5</v>
      </c>
      <c r="AI94" s="175">
        <v>0.5</v>
      </c>
      <c r="AJ94" s="175">
        <v>0.5</v>
      </c>
      <c r="AK94" s="175">
        <v>0.5</v>
      </c>
      <c r="AL94" s="175">
        <v>0.5</v>
      </c>
      <c r="AM94" s="175">
        <v>0.5</v>
      </c>
      <c r="AN94" s="175">
        <v>0.5</v>
      </c>
      <c r="AO94" s="175">
        <v>0.5</v>
      </c>
      <c r="AP94" s="175">
        <v>0.5</v>
      </c>
      <c r="AQ94" s="175">
        <v>0.5</v>
      </c>
      <c r="AR94" s="175">
        <v>0.5</v>
      </c>
      <c r="AS94" s="175">
        <v>0.5</v>
      </c>
      <c r="AT94" s="175">
        <v>0.5</v>
      </c>
      <c r="AU94" s="175">
        <v>0.5</v>
      </c>
      <c r="AV94" s="175">
        <v>0.5</v>
      </c>
      <c r="AW94" s="175">
        <v>0.5</v>
      </c>
      <c r="AX94" s="175">
        <v>0.5</v>
      </c>
      <c r="AY94" s="175">
        <v>0.5</v>
      </c>
      <c r="AZ94" s="175">
        <v>0.5</v>
      </c>
      <c r="BA94" s="175">
        <v>0.5</v>
      </c>
      <c r="BB94" s="175">
        <v>0.5</v>
      </c>
      <c r="BC94" s="175">
        <v>0.5</v>
      </c>
      <c r="BD94" s="175">
        <v>0.5</v>
      </c>
      <c r="BE94" s="175">
        <v>0.5</v>
      </c>
      <c r="BF94" s="175">
        <v>0.5</v>
      </c>
      <c r="BG94" s="175">
        <v>0.5</v>
      </c>
      <c r="BH94" s="175">
        <v>0.5</v>
      </c>
      <c r="BI94" s="175">
        <v>0.5</v>
      </c>
      <c r="BJ94" s="175">
        <v>0.5</v>
      </c>
      <c r="BK94" s="175">
        <v>0.5</v>
      </c>
      <c r="BL94" s="175">
        <v>0.5</v>
      </c>
      <c r="BM94" s="175">
        <v>0.5</v>
      </c>
      <c r="BN94" s="175">
        <v>0.5</v>
      </c>
      <c r="BO94" s="175">
        <v>0.5</v>
      </c>
      <c r="BP94" s="175">
        <v>0.5</v>
      </c>
      <c r="BQ94" s="175">
        <v>0.5</v>
      </c>
      <c r="BR94" s="175">
        <v>0.5</v>
      </c>
      <c r="BS94" s="175">
        <v>0.5</v>
      </c>
      <c r="BT94" s="175">
        <v>0.5</v>
      </c>
      <c r="BU94" s="175">
        <v>0.5</v>
      </c>
      <c r="BV94" s="175">
        <v>0.5</v>
      </c>
      <c r="BW94" s="175">
        <v>0.5</v>
      </c>
      <c r="BX94" s="175">
        <v>0.5</v>
      </c>
      <c r="BY94" s="175">
        <v>0.5</v>
      </c>
      <c r="BZ94" s="175">
        <v>0.5</v>
      </c>
      <c r="CA94" s="175">
        <v>0.5</v>
      </c>
      <c r="CB94" s="175">
        <v>0.5</v>
      </c>
      <c r="CC94" s="175">
        <v>0.5</v>
      </c>
      <c r="CD94" s="175">
        <v>0.5</v>
      </c>
      <c r="CE94" s="175">
        <v>0.5</v>
      </c>
      <c r="CF94" s="175">
        <v>0.5</v>
      </c>
      <c r="CG94" s="175">
        <v>0.5</v>
      </c>
      <c r="CH94" s="175">
        <v>0.5</v>
      </c>
      <c r="CI94" s="175">
        <v>0.5</v>
      </c>
      <c r="CJ94" s="175">
        <v>0.5</v>
      </c>
      <c r="CK94" s="175">
        <v>0.5</v>
      </c>
      <c r="CL94" s="175">
        <v>0.5</v>
      </c>
      <c r="CM94" s="175">
        <v>0.5</v>
      </c>
      <c r="CN94" s="175">
        <v>0.5</v>
      </c>
      <c r="CO94" s="175">
        <v>0.5</v>
      </c>
      <c r="CP94" s="175">
        <v>0</v>
      </c>
      <c r="CQ94" s="175">
        <v>0</v>
      </c>
    </row>
    <row r="95" spans="1:95" s="175" customFormat="1" ht="16" x14ac:dyDescent="0.2">
      <c r="A95" s="175" t="s">
        <v>123</v>
      </c>
      <c r="B95" s="175">
        <v>0</v>
      </c>
      <c r="C95" s="175">
        <v>0.5</v>
      </c>
      <c r="D95" s="175">
        <v>0.5</v>
      </c>
      <c r="E95" s="175">
        <v>0.5</v>
      </c>
      <c r="F95" s="175">
        <v>0.5</v>
      </c>
      <c r="G95" s="175">
        <v>0.5</v>
      </c>
      <c r="H95" s="175">
        <v>0.5</v>
      </c>
      <c r="I95" s="175">
        <v>0.5</v>
      </c>
      <c r="J95" s="175">
        <v>0.5</v>
      </c>
      <c r="K95" s="175">
        <v>0.5</v>
      </c>
      <c r="L95" s="175">
        <v>0.5</v>
      </c>
      <c r="M95" s="175">
        <v>0.5</v>
      </c>
      <c r="N95" s="175">
        <v>0.5</v>
      </c>
      <c r="O95" s="175">
        <v>0.5</v>
      </c>
      <c r="P95" s="175">
        <v>0.5</v>
      </c>
      <c r="Q95" s="175">
        <v>0.5</v>
      </c>
      <c r="R95" s="175">
        <v>0.5</v>
      </c>
      <c r="S95" s="175">
        <v>0.5</v>
      </c>
      <c r="T95" s="175">
        <v>0.5</v>
      </c>
      <c r="U95" s="175">
        <v>0.5</v>
      </c>
      <c r="V95" s="175">
        <v>0.5</v>
      </c>
      <c r="W95" s="175">
        <v>0.5</v>
      </c>
      <c r="X95" s="175">
        <v>0.5</v>
      </c>
      <c r="Y95" s="175">
        <v>0.5</v>
      </c>
      <c r="Z95" s="175">
        <v>0.5</v>
      </c>
      <c r="AA95" s="175">
        <v>0.5</v>
      </c>
      <c r="AB95" s="175">
        <v>0.5</v>
      </c>
      <c r="AC95" s="175">
        <v>0.5</v>
      </c>
      <c r="AD95" s="175">
        <v>0.5</v>
      </c>
      <c r="AE95" s="175">
        <v>0.5</v>
      </c>
      <c r="AF95" s="175">
        <v>0.5</v>
      </c>
      <c r="AG95" s="175">
        <v>0.5</v>
      </c>
      <c r="AH95" s="175">
        <v>0.5</v>
      </c>
      <c r="AI95" s="175">
        <v>0.5</v>
      </c>
      <c r="AJ95" s="175">
        <v>0.5</v>
      </c>
      <c r="AK95" s="175">
        <v>0.5</v>
      </c>
      <c r="AL95" s="175">
        <v>0.5</v>
      </c>
      <c r="AM95" s="175">
        <v>0.5</v>
      </c>
      <c r="AN95" s="175">
        <v>0.5</v>
      </c>
      <c r="AO95" s="175">
        <v>0.5</v>
      </c>
      <c r="AP95" s="175">
        <v>0.5</v>
      </c>
      <c r="AQ95" s="175">
        <v>0.5</v>
      </c>
      <c r="AR95" s="175">
        <v>0.5</v>
      </c>
      <c r="AS95" s="175">
        <v>0.5</v>
      </c>
      <c r="AT95" s="175">
        <v>0.5</v>
      </c>
      <c r="AU95" s="175">
        <v>0.5</v>
      </c>
      <c r="AV95" s="175">
        <v>0.5</v>
      </c>
      <c r="AW95" s="175">
        <v>0.5</v>
      </c>
      <c r="AX95" s="175">
        <v>0.5</v>
      </c>
      <c r="AY95" s="175">
        <v>0.5</v>
      </c>
      <c r="AZ95" s="175">
        <v>0.5</v>
      </c>
      <c r="BA95" s="175">
        <v>0.5</v>
      </c>
      <c r="BB95" s="175">
        <v>0.5</v>
      </c>
      <c r="BC95" s="175">
        <v>0.5</v>
      </c>
      <c r="BD95" s="175">
        <v>0.5</v>
      </c>
      <c r="BE95" s="175">
        <v>0.5</v>
      </c>
      <c r="BF95" s="175">
        <v>0.5</v>
      </c>
      <c r="BG95" s="175">
        <v>0.5</v>
      </c>
      <c r="BH95" s="175">
        <v>0.5</v>
      </c>
      <c r="BI95" s="175">
        <v>0.5</v>
      </c>
      <c r="BJ95" s="175">
        <v>0.5</v>
      </c>
      <c r="BK95" s="175">
        <v>0.5</v>
      </c>
      <c r="BL95" s="175">
        <v>0.5</v>
      </c>
      <c r="BM95" s="175">
        <v>0.5</v>
      </c>
      <c r="BN95" s="175">
        <v>0.5</v>
      </c>
      <c r="BO95" s="175">
        <v>0.5</v>
      </c>
      <c r="BP95" s="175">
        <v>0.5</v>
      </c>
      <c r="BQ95" s="175">
        <v>0.5</v>
      </c>
      <c r="BR95" s="175">
        <v>0.5</v>
      </c>
      <c r="BS95" s="175">
        <v>0.5</v>
      </c>
      <c r="BT95" s="175">
        <v>0.5</v>
      </c>
      <c r="BU95" s="175">
        <v>0.5</v>
      </c>
      <c r="BV95" s="175">
        <v>0.5</v>
      </c>
      <c r="BW95" s="175">
        <v>0.5</v>
      </c>
      <c r="BX95" s="175">
        <v>0.5</v>
      </c>
      <c r="BY95" s="175">
        <v>0.5</v>
      </c>
      <c r="BZ95" s="175">
        <v>0.5</v>
      </c>
      <c r="CA95" s="175">
        <v>0.5</v>
      </c>
      <c r="CB95" s="175">
        <v>0.5</v>
      </c>
      <c r="CC95" s="175">
        <v>0.5</v>
      </c>
      <c r="CD95" s="175">
        <v>0.5</v>
      </c>
      <c r="CE95" s="175">
        <v>0.5</v>
      </c>
      <c r="CF95" s="175">
        <v>0.5</v>
      </c>
      <c r="CG95" s="175">
        <v>0.5</v>
      </c>
      <c r="CH95" s="175">
        <v>0.5</v>
      </c>
      <c r="CI95" s="175">
        <v>0.5</v>
      </c>
      <c r="CJ95" s="175">
        <v>0.5</v>
      </c>
      <c r="CK95" s="175">
        <v>0.5</v>
      </c>
      <c r="CL95" s="175">
        <v>0.5</v>
      </c>
      <c r="CM95" s="175">
        <v>0.5</v>
      </c>
      <c r="CN95" s="175">
        <v>0.5</v>
      </c>
      <c r="CO95" s="175">
        <v>0.5</v>
      </c>
      <c r="CP95" s="175">
        <v>0</v>
      </c>
      <c r="CQ95" s="175">
        <v>0</v>
      </c>
    </row>
    <row r="96" spans="1:95" s="175" customFormat="1" ht="16" x14ac:dyDescent="0.2">
      <c r="A96" t="s">
        <v>272</v>
      </c>
      <c r="B96" s="175">
        <v>0</v>
      </c>
      <c r="C96" s="175">
        <v>0.5</v>
      </c>
      <c r="D96" s="175">
        <v>0.5</v>
      </c>
      <c r="E96" s="175">
        <v>0.5</v>
      </c>
      <c r="F96" s="175">
        <v>0.5</v>
      </c>
      <c r="G96" s="175">
        <v>0.5</v>
      </c>
      <c r="H96" s="175">
        <v>0.5</v>
      </c>
      <c r="I96" s="175">
        <v>0.5</v>
      </c>
      <c r="J96" s="175">
        <v>0.5</v>
      </c>
      <c r="K96" s="175">
        <v>0.5</v>
      </c>
      <c r="L96" s="175">
        <v>0.5</v>
      </c>
      <c r="M96" s="175">
        <v>0.5</v>
      </c>
      <c r="N96" s="175">
        <v>0.5</v>
      </c>
      <c r="O96" s="175">
        <v>0.5</v>
      </c>
      <c r="P96" s="175">
        <v>0.5</v>
      </c>
      <c r="Q96" s="175">
        <v>0.5</v>
      </c>
      <c r="R96" s="175">
        <v>0.5</v>
      </c>
      <c r="S96" s="175">
        <v>0.5</v>
      </c>
      <c r="T96" s="175">
        <v>0.5</v>
      </c>
      <c r="U96" s="175">
        <v>0.5</v>
      </c>
      <c r="V96" s="175">
        <v>0.5</v>
      </c>
      <c r="W96" s="175">
        <v>0.5</v>
      </c>
      <c r="X96" s="175">
        <v>0.5</v>
      </c>
      <c r="Y96" s="175">
        <v>0.5</v>
      </c>
      <c r="Z96" s="175">
        <v>0.5</v>
      </c>
      <c r="AA96" s="175">
        <v>0.5</v>
      </c>
      <c r="AB96" s="175">
        <v>0.5</v>
      </c>
      <c r="AC96" s="175">
        <v>0.5</v>
      </c>
      <c r="AD96" s="175">
        <v>0.5</v>
      </c>
      <c r="AE96" s="175">
        <v>0.5</v>
      </c>
      <c r="AF96" s="175">
        <v>0.5</v>
      </c>
      <c r="AG96" s="175">
        <v>0.5</v>
      </c>
      <c r="AH96" s="175">
        <v>0.5</v>
      </c>
      <c r="AI96" s="175">
        <v>0.5</v>
      </c>
      <c r="AJ96" s="175">
        <v>0.5</v>
      </c>
      <c r="AK96" s="175">
        <v>0.5</v>
      </c>
      <c r="AL96" s="175">
        <v>0.5</v>
      </c>
      <c r="AM96" s="175">
        <v>0.5</v>
      </c>
      <c r="AN96" s="175">
        <v>0.5</v>
      </c>
      <c r="AO96" s="175">
        <v>0.5</v>
      </c>
      <c r="AP96" s="175">
        <v>0.5</v>
      </c>
      <c r="AQ96" s="175">
        <v>0.5</v>
      </c>
      <c r="AR96" s="175">
        <v>0.5</v>
      </c>
      <c r="AS96" s="175">
        <v>0.5</v>
      </c>
      <c r="AT96" s="175">
        <v>0.5</v>
      </c>
      <c r="AU96" s="175">
        <v>0.5</v>
      </c>
      <c r="AV96" s="175">
        <v>0.5</v>
      </c>
      <c r="AW96" s="175">
        <v>0.5</v>
      </c>
      <c r="AX96" s="175">
        <v>0.5</v>
      </c>
      <c r="AY96" s="175">
        <v>0.5</v>
      </c>
      <c r="AZ96" s="175">
        <v>0.5</v>
      </c>
      <c r="BA96" s="175">
        <v>0.5</v>
      </c>
      <c r="BB96" s="175">
        <v>0.5</v>
      </c>
      <c r="BC96" s="175">
        <v>0.5</v>
      </c>
      <c r="BD96" s="175">
        <v>0.5</v>
      </c>
      <c r="BE96" s="175">
        <v>0.5</v>
      </c>
      <c r="BF96" s="175">
        <v>0.5</v>
      </c>
      <c r="BG96" s="175">
        <v>0.5</v>
      </c>
      <c r="BH96" s="175">
        <v>0.5</v>
      </c>
      <c r="BI96" s="175">
        <v>0.5</v>
      </c>
      <c r="BJ96" s="175">
        <v>0.5</v>
      </c>
      <c r="BK96" s="175">
        <v>0.5</v>
      </c>
      <c r="BL96" s="175">
        <v>0.5</v>
      </c>
      <c r="BM96" s="175">
        <v>0.5</v>
      </c>
      <c r="BN96" s="175">
        <v>0.5</v>
      </c>
      <c r="BO96" s="175">
        <v>0.5</v>
      </c>
      <c r="BP96" s="175">
        <v>0.5</v>
      </c>
      <c r="BQ96" s="175">
        <v>0.5</v>
      </c>
      <c r="BR96" s="175">
        <v>0.5</v>
      </c>
      <c r="BS96" s="175">
        <v>0.5</v>
      </c>
      <c r="BT96" s="175">
        <v>0.5</v>
      </c>
      <c r="BU96" s="175">
        <v>0.5</v>
      </c>
      <c r="BV96" s="175">
        <v>0.5</v>
      </c>
      <c r="BW96" s="175">
        <v>0.5</v>
      </c>
      <c r="BX96" s="175">
        <v>0.5</v>
      </c>
      <c r="BY96" s="175">
        <v>0.5</v>
      </c>
      <c r="BZ96" s="175">
        <v>0.5</v>
      </c>
      <c r="CA96" s="175">
        <v>0.5</v>
      </c>
      <c r="CB96" s="175">
        <v>0.5</v>
      </c>
      <c r="CC96" s="175">
        <v>0.5</v>
      </c>
      <c r="CD96" s="175">
        <v>0.5</v>
      </c>
      <c r="CE96" s="175">
        <v>0.5</v>
      </c>
      <c r="CF96" s="175">
        <v>0.5</v>
      </c>
      <c r="CG96" s="175">
        <v>0.5</v>
      </c>
      <c r="CH96" s="175">
        <v>0.5</v>
      </c>
      <c r="CI96" s="175">
        <v>0.5</v>
      </c>
      <c r="CJ96" s="175">
        <v>0.5</v>
      </c>
      <c r="CK96" s="175">
        <v>0.5</v>
      </c>
      <c r="CL96" s="175">
        <v>0.5</v>
      </c>
      <c r="CM96" s="175">
        <v>0.5</v>
      </c>
      <c r="CN96" s="175">
        <v>0.5</v>
      </c>
      <c r="CO96" s="175">
        <v>0.5</v>
      </c>
      <c r="CP96" s="175">
        <v>0</v>
      </c>
      <c r="CQ96" s="17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CQ96"/>
  <sheetViews>
    <sheetView topLeftCell="A86" workbookViewId="0">
      <selection activeCell="A107" sqref="A107"/>
    </sheetView>
  </sheetViews>
  <sheetFormatPr baseColWidth="10" defaultRowHeight="16" x14ac:dyDescent="0.2"/>
  <cols>
    <col min="1" max="1" width="39.83203125" style="190" bestFit="1" customWidth="1"/>
    <col min="2" max="16384" width="10.83203125" style="190"/>
  </cols>
  <sheetData>
    <row r="1" spans="1:95" x14ac:dyDescent="0.2">
      <c r="A1" s="189" t="s">
        <v>139</v>
      </c>
      <c r="B1" s="175" t="s">
        <v>172</v>
      </c>
      <c r="C1" s="175" t="s">
        <v>173</v>
      </c>
      <c r="D1" s="175" t="s">
        <v>174</v>
      </c>
      <c r="E1" s="175" t="s">
        <v>175</v>
      </c>
      <c r="F1" s="175" t="s">
        <v>176</v>
      </c>
      <c r="G1" s="175" t="s">
        <v>177</v>
      </c>
      <c r="H1" s="175" t="s">
        <v>161</v>
      </c>
      <c r="I1" s="175" t="s">
        <v>178</v>
      </c>
      <c r="J1" s="175" t="s">
        <v>179</v>
      </c>
      <c r="K1" s="175" t="s">
        <v>180</v>
      </c>
      <c r="L1" s="175" t="s">
        <v>181</v>
      </c>
      <c r="M1" s="175" t="s">
        <v>182</v>
      </c>
      <c r="N1" s="175" t="s">
        <v>245</v>
      </c>
      <c r="O1" s="175" t="s">
        <v>183</v>
      </c>
      <c r="P1" s="175" t="s">
        <v>184</v>
      </c>
      <c r="Q1" s="175" t="s">
        <v>228</v>
      </c>
      <c r="R1" s="175" t="s">
        <v>185</v>
      </c>
      <c r="S1" s="175" t="s">
        <v>246</v>
      </c>
      <c r="T1" s="175" t="s">
        <v>229</v>
      </c>
      <c r="U1" s="175" t="s">
        <v>186</v>
      </c>
      <c r="V1" s="175" t="s">
        <v>187</v>
      </c>
      <c r="W1" s="175" t="s">
        <v>188</v>
      </c>
      <c r="X1" s="175" t="s">
        <v>189</v>
      </c>
      <c r="Y1" s="175" t="s">
        <v>190</v>
      </c>
      <c r="Z1" s="175" t="s">
        <v>191</v>
      </c>
      <c r="AA1" s="175" t="s">
        <v>192</v>
      </c>
      <c r="AB1" s="175" t="s">
        <v>193</v>
      </c>
      <c r="AC1" s="175" t="s">
        <v>247</v>
      </c>
      <c r="AD1" s="175" t="s">
        <v>248</v>
      </c>
      <c r="AE1" s="190" t="s">
        <v>249</v>
      </c>
      <c r="AF1" s="190" t="s">
        <v>250</v>
      </c>
      <c r="AG1" s="190" t="s">
        <v>251</v>
      </c>
      <c r="AH1" s="190" t="s">
        <v>252</v>
      </c>
      <c r="AI1" s="190" t="s">
        <v>253</v>
      </c>
      <c r="AJ1" s="190" t="s">
        <v>254</v>
      </c>
      <c r="AK1" s="190" t="s">
        <v>255</v>
      </c>
      <c r="AL1" s="190" t="s">
        <v>194</v>
      </c>
      <c r="AM1" s="190" t="s">
        <v>256</v>
      </c>
      <c r="AN1" s="190" t="s">
        <v>195</v>
      </c>
      <c r="AO1" s="190" t="s">
        <v>196</v>
      </c>
      <c r="AP1" s="190" t="s">
        <v>197</v>
      </c>
      <c r="AQ1" s="190" t="s">
        <v>198</v>
      </c>
      <c r="AR1" s="190" t="s">
        <v>199</v>
      </c>
      <c r="AS1" s="190" t="s">
        <v>232</v>
      </c>
      <c r="AT1" s="190" t="s">
        <v>200</v>
      </c>
      <c r="AU1" s="190" t="s">
        <v>201</v>
      </c>
      <c r="AV1" s="190" t="s">
        <v>202</v>
      </c>
      <c r="AW1" s="190" t="s">
        <v>203</v>
      </c>
      <c r="AX1" s="190" t="s">
        <v>204</v>
      </c>
      <c r="AY1" s="190" t="s">
        <v>257</v>
      </c>
      <c r="AZ1" s="190" t="s">
        <v>258</v>
      </c>
      <c r="BA1" s="190" t="s">
        <v>259</v>
      </c>
      <c r="BB1" s="190" t="s">
        <v>260</v>
      </c>
      <c r="BC1" s="190" t="s">
        <v>261</v>
      </c>
      <c r="BD1" s="190" t="s">
        <v>233</v>
      </c>
      <c r="BE1" s="190" t="s">
        <v>234</v>
      </c>
      <c r="BF1" s="190" t="s">
        <v>205</v>
      </c>
      <c r="BG1" s="190" t="s">
        <v>206</v>
      </c>
      <c r="BH1" s="190" t="s">
        <v>207</v>
      </c>
      <c r="BI1" s="190" t="s">
        <v>262</v>
      </c>
      <c r="BJ1" s="190" t="s">
        <v>208</v>
      </c>
      <c r="BK1" s="190" t="s">
        <v>263</v>
      </c>
      <c r="BL1" s="190" t="s">
        <v>209</v>
      </c>
      <c r="BM1" s="190" t="s">
        <v>264</v>
      </c>
      <c r="BN1" s="190" t="s">
        <v>210</v>
      </c>
      <c r="BO1" s="190" t="s">
        <v>235</v>
      </c>
      <c r="BP1" s="190" t="s">
        <v>211</v>
      </c>
      <c r="BQ1" s="190" t="s">
        <v>265</v>
      </c>
      <c r="BR1" s="190" t="s">
        <v>212</v>
      </c>
      <c r="BS1" s="190" t="s">
        <v>213</v>
      </c>
      <c r="BT1" s="190" t="s">
        <v>236</v>
      </c>
      <c r="BU1" s="190" t="s">
        <v>237</v>
      </c>
      <c r="BV1" s="190" t="s">
        <v>214</v>
      </c>
      <c r="BW1" s="190" t="s">
        <v>238</v>
      </c>
      <c r="BX1" s="190" t="s">
        <v>239</v>
      </c>
      <c r="BY1" s="190" t="s">
        <v>240</v>
      </c>
      <c r="BZ1" s="190" t="s">
        <v>215</v>
      </c>
      <c r="CA1" s="190" t="s">
        <v>216</v>
      </c>
      <c r="CB1" s="190" t="s">
        <v>217</v>
      </c>
      <c r="CC1" s="190" t="s">
        <v>266</v>
      </c>
      <c r="CD1" s="190" t="s">
        <v>267</v>
      </c>
      <c r="CE1" s="190" t="s">
        <v>218</v>
      </c>
      <c r="CF1" s="190" t="s">
        <v>219</v>
      </c>
      <c r="CG1" s="190" t="s">
        <v>220</v>
      </c>
      <c r="CH1" s="190" t="s">
        <v>221</v>
      </c>
      <c r="CI1" s="190" t="s">
        <v>268</v>
      </c>
      <c r="CJ1" s="190" t="s">
        <v>269</v>
      </c>
      <c r="CK1" s="190" t="s">
        <v>222</v>
      </c>
      <c r="CL1" s="190" t="s">
        <v>270</v>
      </c>
      <c r="CM1" s="190" t="s">
        <v>223</v>
      </c>
      <c r="CN1" s="190" t="s">
        <v>224</v>
      </c>
      <c r="CO1" s="190" t="s">
        <v>225</v>
      </c>
      <c r="CP1" s="190" t="s">
        <v>226</v>
      </c>
      <c r="CQ1" s="190" t="s">
        <v>123</v>
      </c>
    </row>
    <row r="2" spans="1:95" s="175" customFormat="1" x14ac:dyDescent="0.2">
      <c r="A2" s="175" t="s">
        <v>172</v>
      </c>
      <c r="B2" s="175">
        <v>0</v>
      </c>
      <c r="C2" s="175">
        <v>0</v>
      </c>
      <c r="D2" s="175">
        <v>0</v>
      </c>
      <c r="E2" s="175">
        <v>0</v>
      </c>
      <c r="F2" s="175">
        <v>0</v>
      </c>
      <c r="G2" s="175">
        <v>0</v>
      </c>
      <c r="H2" s="175">
        <v>0</v>
      </c>
      <c r="I2" s="175">
        <v>0</v>
      </c>
      <c r="J2" s="175">
        <v>0</v>
      </c>
      <c r="K2" s="175">
        <v>0</v>
      </c>
      <c r="L2" s="175">
        <v>0</v>
      </c>
      <c r="M2" s="175">
        <v>0</v>
      </c>
      <c r="N2" s="175">
        <v>0</v>
      </c>
      <c r="O2" s="175">
        <v>0</v>
      </c>
      <c r="P2" s="175">
        <v>0</v>
      </c>
      <c r="Q2" s="175">
        <v>0</v>
      </c>
      <c r="R2" s="175">
        <v>0</v>
      </c>
      <c r="S2" s="175">
        <v>0</v>
      </c>
      <c r="T2" s="175">
        <v>0</v>
      </c>
      <c r="U2" s="175">
        <v>0</v>
      </c>
      <c r="V2" s="175">
        <v>0</v>
      </c>
      <c r="W2" s="175">
        <v>0</v>
      </c>
      <c r="X2" s="175">
        <v>0</v>
      </c>
      <c r="Y2" s="175">
        <v>0</v>
      </c>
      <c r="Z2" s="175">
        <v>0</v>
      </c>
      <c r="AA2" s="175">
        <v>0</v>
      </c>
      <c r="AB2" s="175">
        <v>0</v>
      </c>
      <c r="AC2" s="175">
        <v>0</v>
      </c>
      <c r="AD2" s="175">
        <v>0</v>
      </c>
      <c r="AE2" s="175">
        <v>0</v>
      </c>
      <c r="AF2" s="175">
        <v>0</v>
      </c>
      <c r="AG2" s="175">
        <v>0</v>
      </c>
      <c r="AH2" s="175">
        <v>0</v>
      </c>
      <c r="AI2" s="175">
        <v>0</v>
      </c>
      <c r="AJ2" s="175">
        <v>0</v>
      </c>
      <c r="AK2" s="175">
        <v>0</v>
      </c>
      <c r="AL2" s="175">
        <v>0</v>
      </c>
      <c r="AM2" s="175">
        <v>0</v>
      </c>
      <c r="AN2" s="175">
        <v>0</v>
      </c>
      <c r="AO2" s="175">
        <v>0</v>
      </c>
      <c r="AP2" s="175">
        <v>0</v>
      </c>
      <c r="AQ2" s="175">
        <v>0</v>
      </c>
      <c r="AR2" s="175">
        <v>0</v>
      </c>
      <c r="AS2" s="175">
        <v>0</v>
      </c>
      <c r="AT2" s="175">
        <v>0</v>
      </c>
      <c r="AU2" s="175">
        <v>0</v>
      </c>
      <c r="AV2" s="175">
        <v>0</v>
      </c>
      <c r="AW2" s="175">
        <v>0</v>
      </c>
      <c r="AX2" s="175">
        <v>0</v>
      </c>
      <c r="AY2" s="175">
        <v>0</v>
      </c>
      <c r="AZ2" s="175">
        <v>0</v>
      </c>
      <c r="BA2" s="175">
        <v>0</v>
      </c>
      <c r="BB2" s="175">
        <v>0</v>
      </c>
      <c r="BC2" s="175">
        <v>0</v>
      </c>
      <c r="BD2" s="175">
        <v>0</v>
      </c>
      <c r="BE2" s="175">
        <v>0</v>
      </c>
      <c r="BF2" s="175">
        <v>0</v>
      </c>
      <c r="BG2" s="175">
        <v>0</v>
      </c>
      <c r="BH2" s="175">
        <v>0</v>
      </c>
      <c r="BI2" s="175">
        <v>0</v>
      </c>
      <c r="BJ2" s="175">
        <v>0</v>
      </c>
      <c r="BK2" s="175">
        <v>0</v>
      </c>
      <c r="BL2" s="175">
        <v>0</v>
      </c>
      <c r="BM2" s="175">
        <v>0</v>
      </c>
      <c r="BN2" s="175">
        <v>0</v>
      </c>
      <c r="BO2" s="175">
        <v>0</v>
      </c>
      <c r="BP2" s="175">
        <v>0</v>
      </c>
      <c r="BQ2" s="175">
        <v>0</v>
      </c>
      <c r="BR2" s="175">
        <v>0</v>
      </c>
      <c r="BS2" s="175">
        <v>0</v>
      </c>
      <c r="BT2" s="175">
        <v>0</v>
      </c>
      <c r="BU2" s="175">
        <v>0</v>
      </c>
      <c r="BV2" s="175">
        <v>0</v>
      </c>
      <c r="BW2" s="175">
        <v>0</v>
      </c>
      <c r="BX2" s="175">
        <v>0</v>
      </c>
      <c r="BY2" s="175">
        <v>0</v>
      </c>
      <c r="BZ2" s="175">
        <v>0</v>
      </c>
      <c r="CA2" s="175">
        <v>0</v>
      </c>
      <c r="CB2" s="175">
        <v>0</v>
      </c>
      <c r="CC2" s="175">
        <v>0</v>
      </c>
      <c r="CD2" s="175">
        <v>0</v>
      </c>
      <c r="CE2" s="175">
        <v>0</v>
      </c>
      <c r="CF2" s="175">
        <v>0</v>
      </c>
      <c r="CG2" s="175">
        <v>0</v>
      </c>
      <c r="CH2" s="175">
        <v>0</v>
      </c>
      <c r="CI2" s="175">
        <v>0</v>
      </c>
      <c r="CJ2" s="175">
        <v>0</v>
      </c>
      <c r="CK2" s="175">
        <v>0</v>
      </c>
      <c r="CL2" s="175">
        <v>0</v>
      </c>
      <c r="CM2" s="175">
        <v>0</v>
      </c>
      <c r="CN2" s="175">
        <v>0</v>
      </c>
      <c r="CO2" s="175">
        <v>0</v>
      </c>
      <c r="CP2" s="175">
        <v>0</v>
      </c>
      <c r="CQ2" s="175">
        <v>0</v>
      </c>
    </row>
    <row r="3" spans="1:95" s="175" customFormat="1" x14ac:dyDescent="0.2">
      <c r="A3" s="175" t="s">
        <v>173</v>
      </c>
      <c r="B3" s="175">
        <v>0</v>
      </c>
      <c r="C3" s="175">
        <v>0</v>
      </c>
      <c r="D3" s="175">
        <v>0</v>
      </c>
      <c r="E3" s="175">
        <v>0</v>
      </c>
      <c r="F3" s="175">
        <v>0</v>
      </c>
      <c r="G3" s="175">
        <v>0</v>
      </c>
      <c r="H3" s="175">
        <v>0</v>
      </c>
      <c r="I3" s="175">
        <v>0</v>
      </c>
      <c r="J3" s="175">
        <v>0</v>
      </c>
      <c r="K3" s="175">
        <v>0</v>
      </c>
      <c r="L3" s="175">
        <v>0</v>
      </c>
      <c r="M3" s="175">
        <v>0</v>
      </c>
      <c r="N3" s="175">
        <v>0</v>
      </c>
      <c r="O3" s="175">
        <v>0</v>
      </c>
      <c r="P3" s="175">
        <v>0</v>
      </c>
      <c r="Q3" s="175">
        <v>0</v>
      </c>
      <c r="R3" s="175">
        <v>0</v>
      </c>
      <c r="S3" s="175">
        <v>0</v>
      </c>
      <c r="T3" s="175">
        <v>0</v>
      </c>
      <c r="U3" s="175">
        <v>0</v>
      </c>
      <c r="V3" s="175">
        <v>0</v>
      </c>
      <c r="W3" s="175">
        <v>0</v>
      </c>
      <c r="X3" s="175">
        <v>0</v>
      </c>
      <c r="Y3" s="175">
        <v>0</v>
      </c>
      <c r="Z3" s="175">
        <v>0</v>
      </c>
      <c r="AA3" s="175">
        <v>0</v>
      </c>
      <c r="AB3" s="175">
        <v>0</v>
      </c>
      <c r="AC3" s="175">
        <v>0</v>
      </c>
      <c r="AD3" s="175">
        <v>0</v>
      </c>
      <c r="AE3" s="175">
        <v>0</v>
      </c>
      <c r="AF3" s="175">
        <v>0</v>
      </c>
      <c r="AG3" s="175">
        <v>0</v>
      </c>
      <c r="AH3" s="175">
        <v>0</v>
      </c>
      <c r="AI3" s="175">
        <v>0</v>
      </c>
      <c r="AJ3" s="175">
        <v>0</v>
      </c>
      <c r="AK3" s="175">
        <v>0</v>
      </c>
      <c r="AL3" s="175">
        <v>0</v>
      </c>
      <c r="AM3" s="175">
        <v>0</v>
      </c>
      <c r="AN3" s="175">
        <v>0</v>
      </c>
      <c r="AO3" s="175">
        <v>0</v>
      </c>
      <c r="AP3" s="175">
        <v>0</v>
      </c>
      <c r="AQ3" s="175">
        <v>0</v>
      </c>
      <c r="AR3" s="175">
        <v>0</v>
      </c>
      <c r="AS3" s="175">
        <v>0</v>
      </c>
      <c r="AT3" s="175">
        <v>0</v>
      </c>
      <c r="AU3" s="175">
        <v>0</v>
      </c>
      <c r="AV3" s="175">
        <v>0</v>
      </c>
      <c r="AW3" s="175">
        <v>0</v>
      </c>
      <c r="AX3" s="175">
        <v>0</v>
      </c>
      <c r="AY3" s="175">
        <v>0</v>
      </c>
      <c r="AZ3" s="175">
        <v>0</v>
      </c>
      <c r="BA3" s="175">
        <v>0</v>
      </c>
      <c r="BB3" s="175">
        <v>0</v>
      </c>
      <c r="BC3" s="175">
        <v>0</v>
      </c>
      <c r="BD3" s="175">
        <v>0</v>
      </c>
      <c r="BE3" s="175">
        <v>0</v>
      </c>
      <c r="BF3" s="175">
        <v>0</v>
      </c>
      <c r="BG3" s="175">
        <v>0</v>
      </c>
      <c r="BH3" s="175">
        <v>0</v>
      </c>
      <c r="BI3" s="175">
        <v>0</v>
      </c>
      <c r="BJ3" s="175">
        <v>0</v>
      </c>
      <c r="BK3" s="175">
        <v>0</v>
      </c>
      <c r="BL3" s="175">
        <v>0</v>
      </c>
      <c r="BM3" s="175">
        <v>0</v>
      </c>
      <c r="BN3" s="175">
        <v>0</v>
      </c>
      <c r="BO3" s="175">
        <v>0</v>
      </c>
      <c r="BP3" s="175">
        <v>0</v>
      </c>
      <c r="BQ3" s="175">
        <v>0</v>
      </c>
      <c r="BR3" s="175">
        <v>0</v>
      </c>
      <c r="BS3" s="175">
        <v>0</v>
      </c>
      <c r="BT3" s="175">
        <v>0</v>
      </c>
      <c r="BU3" s="175">
        <v>0</v>
      </c>
      <c r="BV3" s="175">
        <v>0</v>
      </c>
      <c r="BW3" s="175">
        <v>0</v>
      </c>
      <c r="BX3" s="175">
        <v>0</v>
      </c>
      <c r="BY3" s="175">
        <v>0</v>
      </c>
      <c r="BZ3" s="175">
        <v>0</v>
      </c>
      <c r="CA3" s="175">
        <v>0</v>
      </c>
      <c r="CB3" s="175">
        <v>0</v>
      </c>
      <c r="CC3" s="175">
        <v>0</v>
      </c>
      <c r="CD3" s="175">
        <v>0</v>
      </c>
      <c r="CE3" s="175">
        <v>0</v>
      </c>
      <c r="CF3" s="175">
        <v>0</v>
      </c>
      <c r="CG3" s="175">
        <v>0</v>
      </c>
      <c r="CH3" s="175">
        <v>0</v>
      </c>
      <c r="CI3" s="175">
        <v>0</v>
      </c>
      <c r="CJ3" s="175">
        <v>0</v>
      </c>
      <c r="CK3" s="175">
        <v>0</v>
      </c>
      <c r="CL3" s="175">
        <v>0</v>
      </c>
      <c r="CM3" s="175">
        <v>0</v>
      </c>
      <c r="CN3" s="175">
        <v>0</v>
      </c>
      <c r="CO3" s="175">
        <v>0</v>
      </c>
      <c r="CP3" s="175">
        <v>0</v>
      </c>
      <c r="CQ3" s="175">
        <v>0</v>
      </c>
    </row>
    <row r="4" spans="1:95" s="175" customFormat="1" x14ac:dyDescent="0.2">
      <c r="A4" s="175" t="s">
        <v>174</v>
      </c>
      <c r="B4" s="175">
        <v>0</v>
      </c>
      <c r="C4" s="175">
        <v>0</v>
      </c>
      <c r="D4" s="175">
        <v>0</v>
      </c>
      <c r="E4" s="175">
        <v>0</v>
      </c>
      <c r="F4" s="175">
        <v>0</v>
      </c>
      <c r="G4" s="175">
        <v>0</v>
      </c>
      <c r="H4" s="175">
        <v>0</v>
      </c>
      <c r="I4" s="175">
        <v>0</v>
      </c>
      <c r="J4" s="175">
        <v>0</v>
      </c>
      <c r="K4" s="175">
        <v>0</v>
      </c>
      <c r="L4" s="175">
        <v>0</v>
      </c>
      <c r="M4" s="175">
        <v>0</v>
      </c>
      <c r="N4" s="175">
        <v>0</v>
      </c>
      <c r="O4" s="175">
        <v>0</v>
      </c>
      <c r="P4" s="175">
        <v>0</v>
      </c>
      <c r="Q4" s="175">
        <v>0</v>
      </c>
      <c r="R4" s="175">
        <v>0</v>
      </c>
      <c r="S4" s="175">
        <v>0</v>
      </c>
      <c r="T4" s="175">
        <v>0</v>
      </c>
      <c r="U4" s="175">
        <v>0</v>
      </c>
      <c r="V4" s="175">
        <v>0</v>
      </c>
      <c r="W4" s="175">
        <v>0</v>
      </c>
      <c r="X4" s="175">
        <v>0</v>
      </c>
      <c r="Y4" s="175">
        <v>0</v>
      </c>
      <c r="Z4" s="175">
        <v>0</v>
      </c>
      <c r="AA4" s="175">
        <v>0</v>
      </c>
      <c r="AB4" s="175">
        <v>0</v>
      </c>
      <c r="AC4" s="175">
        <v>0</v>
      </c>
      <c r="AD4" s="175">
        <v>0</v>
      </c>
      <c r="AE4" s="175">
        <v>0</v>
      </c>
      <c r="AF4" s="175">
        <v>0</v>
      </c>
      <c r="AG4" s="175">
        <v>0</v>
      </c>
      <c r="AH4" s="175">
        <v>0</v>
      </c>
      <c r="AI4" s="175">
        <v>0</v>
      </c>
      <c r="AJ4" s="175">
        <v>0</v>
      </c>
      <c r="AK4" s="175">
        <v>0</v>
      </c>
      <c r="AL4" s="175">
        <v>0</v>
      </c>
      <c r="AM4" s="175">
        <v>0</v>
      </c>
      <c r="AN4" s="175">
        <v>0</v>
      </c>
      <c r="AO4" s="175">
        <v>0</v>
      </c>
      <c r="AP4" s="175">
        <v>0</v>
      </c>
      <c r="AQ4" s="175">
        <v>0</v>
      </c>
      <c r="AR4" s="175">
        <v>0</v>
      </c>
      <c r="AS4" s="175">
        <v>0</v>
      </c>
      <c r="AT4" s="175">
        <v>0</v>
      </c>
      <c r="AU4" s="175">
        <v>0</v>
      </c>
      <c r="AV4" s="175">
        <v>0</v>
      </c>
      <c r="AW4" s="175">
        <v>0</v>
      </c>
      <c r="AX4" s="175">
        <v>0</v>
      </c>
      <c r="AY4" s="175">
        <v>0</v>
      </c>
      <c r="AZ4" s="175">
        <v>0</v>
      </c>
      <c r="BA4" s="175">
        <v>0</v>
      </c>
      <c r="BB4" s="175">
        <v>0</v>
      </c>
      <c r="BC4" s="175">
        <v>0</v>
      </c>
      <c r="BD4" s="175">
        <v>0</v>
      </c>
      <c r="BE4" s="175">
        <v>0</v>
      </c>
      <c r="BF4" s="175">
        <v>0</v>
      </c>
      <c r="BG4" s="175">
        <v>0</v>
      </c>
      <c r="BH4" s="175">
        <v>0</v>
      </c>
      <c r="BI4" s="175">
        <v>0</v>
      </c>
      <c r="BJ4" s="175">
        <v>0</v>
      </c>
      <c r="BK4" s="175">
        <v>0</v>
      </c>
      <c r="BL4" s="175">
        <v>0</v>
      </c>
      <c r="BM4" s="175">
        <v>0</v>
      </c>
      <c r="BN4" s="175">
        <v>0</v>
      </c>
      <c r="BO4" s="175">
        <v>0</v>
      </c>
      <c r="BP4" s="175">
        <v>0</v>
      </c>
      <c r="BQ4" s="175">
        <v>0</v>
      </c>
      <c r="BR4" s="175">
        <v>0</v>
      </c>
      <c r="BS4" s="175">
        <v>0</v>
      </c>
      <c r="BT4" s="175">
        <v>0</v>
      </c>
      <c r="BU4" s="175">
        <v>0</v>
      </c>
      <c r="BV4" s="175">
        <v>0</v>
      </c>
      <c r="BW4" s="175">
        <v>0</v>
      </c>
      <c r="BX4" s="175">
        <v>0</v>
      </c>
      <c r="BY4" s="175">
        <v>0</v>
      </c>
      <c r="BZ4" s="175">
        <v>0</v>
      </c>
      <c r="CA4" s="175">
        <v>0</v>
      </c>
      <c r="CB4" s="175">
        <v>0</v>
      </c>
      <c r="CC4" s="175">
        <v>0</v>
      </c>
      <c r="CD4" s="175">
        <v>0</v>
      </c>
      <c r="CE4" s="175">
        <v>0</v>
      </c>
      <c r="CF4" s="175">
        <v>0</v>
      </c>
      <c r="CG4" s="175">
        <v>0</v>
      </c>
      <c r="CH4" s="175">
        <v>0</v>
      </c>
      <c r="CI4" s="175">
        <v>0</v>
      </c>
      <c r="CJ4" s="175">
        <v>0</v>
      </c>
      <c r="CK4" s="175">
        <v>0</v>
      </c>
      <c r="CL4" s="175">
        <v>0</v>
      </c>
      <c r="CM4" s="175">
        <v>0</v>
      </c>
      <c r="CN4" s="175">
        <v>0</v>
      </c>
      <c r="CO4" s="175">
        <v>0</v>
      </c>
      <c r="CP4" s="175">
        <v>0</v>
      </c>
      <c r="CQ4" s="175">
        <v>0</v>
      </c>
    </row>
    <row r="5" spans="1:95" s="175" customFormat="1" x14ac:dyDescent="0.2">
      <c r="A5" s="175" t="s">
        <v>175</v>
      </c>
      <c r="B5" s="175">
        <v>0</v>
      </c>
      <c r="C5" s="175">
        <v>0</v>
      </c>
      <c r="D5" s="175">
        <v>0</v>
      </c>
      <c r="E5" s="175">
        <v>0</v>
      </c>
      <c r="F5" s="175">
        <v>0</v>
      </c>
      <c r="G5" s="175">
        <v>0</v>
      </c>
      <c r="H5" s="175">
        <v>0</v>
      </c>
      <c r="I5" s="175">
        <v>0</v>
      </c>
      <c r="J5" s="175">
        <v>0</v>
      </c>
      <c r="K5" s="175">
        <v>0</v>
      </c>
      <c r="L5" s="175">
        <v>0</v>
      </c>
      <c r="M5" s="175">
        <v>0</v>
      </c>
      <c r="N5" s="175">
        <v>0</v>
      </c>
      <c r="O5" s="175">
        <v>0</v>
      </c>
      <c r="P5" s="175">
        <v>0</v>
      </c>
      <c r="Q5" s="175">
        <v>0</v>
      </c>
      <c r="R5" s="175">
        <v>0</v>
      </c>
      <c r="S5" s="175">
        <v>0</v>
      </c>
      <c r="T5" s="175">
        <v>0</v>
      </c>
      <c r="U5" s="175">
        <v>0</v>
      </c>
      <c r="V5" s="175">
        <v>0</v>
      </c>
      <c r="W5" s="175">
        <v>0</v>
      </c>
      <c r="X5" s="175">
        <v>0</v>
      </c>
      <c r="Y5" s="175">
        <v>0</v>
      </c>
      <c r="Z5" s="175">
        <v>0</v>
      </c>
      <c r="AA5" s="175">
        <v>0</v>
      </c>
      <c r="AB5" s="175">
        <v>0</v>
      </c>
      <c r="AC5" s="175">
        <v>0</v>
      </c>
      <c r="AD5" s="175">
        <v>0</v>
      </c>
      <c r="AE5" s="175">
        <v>0</v>
      </c>
      <c r="AF5" s="175">
        <v>0</v>
      </c>
      <c r="AG5" s="175">
        <v>0</v>
      </c>
      <c r="AH5" s="175">
        <v>0</v>
      </c>
      <c r="AI5" s="175">
        <v>0</v>
      </c>
      <c r="AJ5" s="175">
        <v>0</v>
      </c>
      <c r="AK5" s="175">
        <v>0</v>
      </c>
      <c r="AL5" s="175">
        <v>0</v>
      </c>
      <c r="AM5" s="175">
        <v>0</v>
      </c>
      <c r="AN5" s="175">
        <v>0</v>
      </c>
      <c r="AO5" s="175">
        <v>0</v>
      </c>
      <c r="AP5" s="175">
        <v>0</v>
      </c>
      <c r="AQ5" s="175">
        <v>0</v>
      </c>
      <c r="AR5" s="175">
        <v>0</v>
      </c>
      <c r="AS5" s="175">
        <v>0</v>
      </c>
      <c r="AT5" s="175">
        <v>0</v>
      </c>
      <c r="AU5" s="175">
        <v>0</v>
      </c>
      <c r="AV5" s="175">
        <v>0</v>
      </c>
      <c r="AW5" s="175">
        <v>0</v>
      </c>
      <c r="AX5" s="175">
        <v>0</v>
      </c>
      <c r="AY5" s="175">
        <v>0</v>
      </c>
      <c r="AZ5" s="175">
        <v>0</v>
      </c>
      <c r="BA5" s="175">
        <v>0</v>
      </c>
      <c r="BB5" s="175">
        <v>0</v>
      </c>
      <c r="BC5" s="175">
        <v>0</v>
      </c>
      <c r="BD5" s="175">
        <v>0</v>
      </c>
      <c r="BE5" s="175">
        <v>0</v>
      </c>
      <c r="BF5" s="175">
        <v>0</v>
      </c>
      <c r="BG5" s="175">
        <v>0</v>
      </c>
      <c r="BH5" s="175">
        <v>0</v>
      </c>
      <c r="BI5" s="175">
        <v>0</v>
      </c>
      <c r="BJ5" s="175">
        <v>0</v>
      </c>
      <c r="BK5" s="175">
        <v>0</v>
      </c>
      <c r="BL5" s="175">
        <v>0</v>
      </c>
      <c r="BM5" s="175">
        <v>0</v>
      </c>
      <c r="BN5" s="175">
        <v>0</v>
      </c>
      <c r="BO5" s="175">
        <v>0</v>
      </c>
      <c r="BP5" s="175">
        <v>0</v>
      </c>
      <c r="BQ5" s="175">
        <v>0</v>
      </c>
      <c r="BR5" s="175">
        <v>0</v>
      </c>
      <c r="BS5" s="175">
        <v>0</v>
      </c>
      <c r="BT5" s="175">
        <v>0</v>
      </c>
      <c r="BU5" s="175">
        <v>0</v>
      </c>
      <c r="BV5" s="175">
        <v>0</v>
      </c>
      <c r="BW5" s="175">
        <v>0</v>
      </c>
      <c r="BX5" s="175">
        <v>0</v>
      </c>
      <c r="BY5" s="175">
        <v>0</v>
      </c>
      <c r="BZ5" s="175">
        <v>0</v>
      </c>
      <c r="CA5" s="175">
        <v>0</v>
      </c>
      <c r="CB5" s="175">
        <v>0</v>
      </c>
      <c r="CC5" s="175">
        <v>0</v>
      </c>
      <c r="CD5" s="175">
        <v>0</v>
      </c>
      <c r="CE5" s="175">
        <v>0</v>
      </c>
      <c r="CF5" s="175">
        <v>0</v>
      </c>
      <c r="CG5" s="175">
        <v>0</v>
      </c>
      <c r="CH5" s="175">
        <v>0</v>
      </c>
      <c r="CI5" s="175">
        <v>0</v>
      </c>
      <c r="CJ5" s="175">
        <v>0</v>
      </c>
      <c r="CK5" s="175">
        <v>0</v>
      </c>
      <c r="CL5" s="175">
        <v>0</v>
      </c>
      <c r="CM5" s="175">
        <v>0</v>
      </c>
      <c r="CN5" s="175">
        <v>0</v>
      </c>
      <c r="CO5" s="175">
        <v>0</v>
      </c>
      <c r="CP5" s="175">
        <v>0</v>
      </c>
      <c r="CQ5" s="175">
        <v>0</v>
      </c>
    </row>
    <row r="6" spans="1:95" s="175" customFormat="1" x14ac:dyDescent="0.2">
      <c r="A6" s="175" t="s">
        <v>176</v>
      </c>
      <c r="B6" s="175">
        <v>0</v>
      </c>
      <c r="C6" s="175">
        <v>0</v>
      </c>
      <c r="D6" s="175">
        <v>0</v>
      </c>
      <c r="E6" s="175">
        <v>0</v>
      </c>
      <c r="F6" s="175">
        <v>0</v>
      </c>
      <c r="G6" s="175">
        <v>0</v>
      </c>
      <c r="H6" s="175">
        <v>0</v>
      </c>
      <c r="I6" s="175">
        <v>0</v>
      </c>
      <c r="J6" s="175">
        <v>0</v>
      </c>
      <c r="K6" s="175">
        <v>0</v>
      </c>
      <c r="L6" s="175">
        <v>0</v>
      </c>
      <c r="M6" s="175">
        <v>0</v>
      </c>
      <c r="N6" s="175">
        <v>0</v>
      </c>
      <c r="O6" s="175">
        <v>0</v>
      </c>
      <c r="P6" s="175">
        <v>0</v>
      </c>
      <c r="Q6" s="175">
        <v>0</v>
      </c>
      <c r="R6" s="175">
        <v>0</v>
      </c>
      <c r="S6" s="175">
        <v>0</v>
      </c>
      <c r="T6" s="175">
        <v>0</v>
      </c>
      <c r="U6" s="175">
        <v>0</v>
      </c>
      <c r="V6" s="175">
        <v>0</v>
      </c>
      <c r="W6" s="175">
        <v>0</v>
      </c>
      <c r="X6" s="175">
        <v>0</v>
      </c>
      <c r="Y6" s="175">
        <v>0</v>
      </c>
      <c r="Z6" s="175">
        <v>0</v>
      </c>
      <c r="AA6" s="175">
        <v>0</v>
      </c>
      <c r="AB6" s="175">
        <v>0</v>
      </c>
      <c r="AC6" s="175">
        <v>0</v>
      </c>
      <c r="AD6" s="175">
        <v>0</v>
      </c>
      <c r="AE6" s="175">
        <v>0</v>
      </c>
      <c r="AF6" s="175">
        <v>0</v>
      </c>
      <c r="AG6" s="175">
        <v>0</v>
      </c>
      <c r="AH6" s="175">
        <v>0</v>
      </c>
      <c r="AI6" s="175">
        <v>0</v>
      </c>
      <c r="AJ6" s="175">
        <v>0</v>
      </c>
      <c r="AK6" s="175">
        <v>0</v>
      </c>
      <c r="AL6" s="175">
        <v>0</v>
      </c>
      <c r="AM6" s="175">
        <v>0</v>
      </c>
      <c r="AN6" s="175">
        <v>0</v>
      </c>
      <c r="AO6" s="175">
        <v>0</v>
      </c>
      <c r="AP6" s="175">
        <v>0</v>
      </c>
      <c r="AQ6" s="175">
        <v>0</v>
      </c>
      <c r="AR6" s="175">
        <v>0</v>
      </c>
      <c r="AS6" s="175">
        <v>0</v>
      </c>
      <c r="AT6" s="175">
        <v>0</v>
      </c>
      <c r="AU6" s="175">
        <v>0</v>
      </c>
      <c r="AV6" s="175">
        <v>0</v>
      </c>
      <c r="AW6" s="175">
        <v>0</v>
      </c>
      <c r="AX6" s="175">
        <v>0</v>
      </c>
      <c r="AY6" s="175">
        <v>0</v>
      </c>
      <c r="AZ6" s="175">
        <v>0</v>
      </c>
      <c r="BA6" s="175">
        <v>0</v>
      </c>
      <c r="BB6" s="175">
        <v>0</v>
      </c>
      <c r="BC6" s="175">
        <v>0</v>
      </c>
      <c r="BD6" s="175">
        <v>0</v>
      </c>
      <c r="BE6" s="175">
        <v>0</v>
      </c>
      <c r="BF6" s="175">
        <v>0</v>
      </c>
      <c r="BG6" s="175">
        <v>0</v>
      </c>
      <c r="BH6" s="175">
        <v>0</v>
      </c>
      <c r="BI6" s="175">
        <v>0</v>
      </c>
      <c r="BJ6" s="175">
        <v>0</v>
      </c>
      <c r="BK6" s="175">
        <v>0</v>
      </c>
      <c r="BL6" s="175">
        <v>0</v>
      </c>
      <c r="BM6" s="175">
        <v>0</v>
      </c>
      <c r="BN6" s="175">
        <v>0</v>
      </c>
      <c r="BO6" s="175">
        <v>0</v>
      </c>
      <c r="BP6" s="175">
        <v>0</v>
      </c>
      <c r="BQ6" s="175">
        <v>0</v>
      </c>
      <c r="BR6" s="175">
        <v>0</v>
      </c>
      <c r="BS6" s="175">
        <v>0</v>
      </c>
      <c r="BT6" s="175">
        <v>0</v>
      </c>
      <c r="BU6" s="175">
        <v>0</v>
      </c>
      <c r="BV6" s="175">
        <v>0</v>
      </c>
      <c r="BW6" s="175">
        <v>0</v>
      </c>
      <c r="BX6" s="175">
        <v>0</v>
      </c>
      <c r="BY6" s="175">
        <v>0</v>
      </c>
      <c r="BZ6" s="175">
        <v>0</v>
      </c>
      <c r="CA6" s="175">
        <v>0</v>
      </c>
      <c r="CB6" s="175">
        <v>0</v>
      </c>
      <c r="CC6" s="175">
        <v>0</v>
      </c>
      <c r="CD6" s="175">
        <v>0</v>
      </c>
      <c r="CE6" s="175">
        <v>0</v>
      </c>
      <c r="CF6" s="175">
        <v>0</v>
      </c>
      <c r="CG6" s="175">
        <v>0</v>
      </c>
      <c r="CH6" s="175">
        <v>0</v>
      </c>
      <c r="CI6" s="175">
        <v>0</v>
      </c>
      <c r="CJ6" s="175">
        <v>0</v>
      </c>
      <c r="CK6" s="175">
        <v>0</v>
      </c>
      <c r="CL6" s="175">
        <v>0</v>
      </c>
      <c r="CM6" s="175">
        <v>0</v>
      </c>
      <c r="CN6" s="175">
        <v>0</v>
      </c>
      <c r="CO6" s="175">
        <v>0</v>
      </c>
      <c r="CP6" s="175">
        <v>0</v>
      </c>
      <c r="CQ6" s="175">
        <v>0</v>
      </c>
    </row>
    <row r="7" spans="1:95" s="175" customFormat="1" x14ac:dyDescent="0.2">
      <c r="A7" s="175" t="s">
        <v>177</v>
      </c>
      <c r="B7" s="175">
        <v>0</v>
      </c>
      <c r="C7" s="175">
        <v>0</v>
      </c>
      <c r="D7" s="175">
        <v>0</v>
      </c>
      <c r="E7" s="175">
        <v>0</v>
      </c>
      <c r="F7" s="175">
        <v>0</v>
      </c>
      <c r="G7" s="175">
        <v>0</v>
      </c>
      <c r="H7" s="175">
        <v>0</v>
      </c>
      <c r="I7" s="175">
        <v>0</v>
      </c>
      <c r="J7" s="175">
        <v>0</v>
      </c>
      <c r="K7" s="175">
        <v>0</v>
      </c>
      <c r="L7" s="175">
        <v>0</v>
      </c>
      <c r="M7" s="175">
        <v>0</v>
      </c>
      <c r="N7" s="175">
        <v>0</v>
      </c>
      <c r="O7" s="175">
        <v>0</v>
      </c>
      <c r="P7" s="175">
        <v>0</v>
      </c>
      <c r="Q7" s="175">
        <v>0</v>
      </c>
      <c r="R7" s="175">
        <v>0</v>
      </c>
      <c r="S7" s="175">
        <v>0</v>
      </c>
      <c r="T7" s="175">
        <v>0</v>
      </c>
      <c r="U7" s="175">
        <v>0</v>
      </c>
      <c r="V7" s="175">
        <v>0</v>
      </c>
      <c r="W7" s="175">
        <v>0</v>
      </c>
      <c r="X7" s="175">
        <v>0</v>
      </c>
      <c r="Y7" s="175">
        <v>0</v>
      </c>
      <c r="Z7" s="175">
        <v>0</v>
      </c>
      <c r="AA7" s="175">
        <v>0</v>
      </c>
      <c r="AB7" s="175">
        <v>0</v>
      </c>
      <c r="AC7" s="175">
        <v>0</v>
      </c>
      <c r="AD7" s="175">
        <v>0</v>
      </c>
      <c r="AE7" s="175">
        <v>0</v>
      </c>
      <c r="AF7" s="175">
        <v>0</v>
      </c>
      <c r="AG7" s="175">
        <v>0</v>
      </c>
      <c r="AH7" s="175">
        <v>0</v>
      </c>
      <c r="AI7" s="175">
        <v>0</v>
      </c>
      <c r="AJ7" s="175">
        <v>0</v>
      </c>
      <c r="AK7" s="175">
        <v>0</v>
      </c>
      <c r="AL7" s="175">
        <v>0</v>
      </c>
      <c r="AM7" s="175">
        <v>0</v>
      </c>
      <c r="AN7" s="175">
        <v>0</v>
      </c>
      <c r="AO7" s="175">
        <v>0</v>
      </c>
      <c r="AP7" s="175">
        <v>0</v>
      </c>
      <c r="AQ7" s="175">
        <v>0</v>
      </c>
      <c r="AR7" s="175">
        <v>0</v>
      </c>
      <c r="AS7" s="175">
        <v>0</v>
      </c>
      <c r="AT7" s="175">
        <v>0</v>
      </c>
      <c r="AU7" s="175">
        <v>0</v>
      </c>
      <c r="AV7" s="175">
        <v>0</v>
      </c>
      <c r="AW7" s="175">
        <v>0</v>
      </c>
      <c r="AX7" s="175">
        <v>0</v>
      </c>
      <c r="AY7" s="175">
        <v>0</v>
      </c>
      <c r="AZ7" s="175">
        <v>0</v>
      </c>
      <c r="BA7" s="175">
        <v>0</v>
      </c>
      <c r="BB7" s="175">
        <v>0</v>
      </c>
      <c r="BC7" s="175">
        <v>0</v>
      </c>
      <c r="BD7" s="175">
        <v>0</v>
      </c>
      <c r="BE7" s="175">
        <v>0</v>
      </c>
      <c r="BF7" s="175">
        <v>0</v>
      </c>
      <c r="BG7" s="175">
        <v>0</v>
      </c>
      <c r="BH7" s="175">
        <v>0</v>
      </c>
      <c r="BI7" s="175">
        <v>0</v>
      </c>
      <c r="BJ7" s="175">
        <v>0</v>
      </c>
      <c r="BK7" s="175">
        <v>0</v>
      </c>
      <c r="BL7" s="175">
        <v>0</v>
      </c>
      <c r="BM7" s="175">
        <v>0</v>
      </c>
      <c r="BN7" s="175">
        <v>0</v>
      </c>
      <c r="BO7" s="175">
        <v>0</v>
      </c>
      <c r="BP7" s="175">
        <v>0</v>
      </c>
      <c r="BQ7" s="175">
        <v>0</v>
      </c>
      <c r="BR7" s="175">
        <v>0</v>
      </c>
      <c r="BS7" s="175">
        <v>0</v>
      </c>
      <c r="BT7" s="175">
        <v>0</v>
      </c>
      <c r="BU7" s="175">
        <v>0</v>
      </c>
      <c r="BV7" s="175">
        <v>0</v>
      </c>
      <c r="BW7" s="175">
        <v>0</v>
      </c>
      <c r="BX7" s="175">
        <v>0</v>
      </c>
      <c r="BY7" s="175">
        <v>0</v>
      </c>
      <c r="BZ7" s="175">
        <v>0</v>
      </c>
      <c r="CA7" s="175">
        <v>0</v>
      </c>
      <c r="CB7" s="175">
        <v>0</v>
      </c>
      <c r="CC7" s="175">
        <v>0</v>
      </c>
      <c r="CD7" s="175">
        <v>0</v>
      </c>
      <c r="CE7" s="175">
        <v>0</v>
      </c>
      <c r="CF7" s="175">
        <v>0</v>
      </c>
      <c r="CG7" s="175">
        <v>0</v>
      </c>
      <c r="CH7" s="175">
        <v>0</v>
      </c>
      <c r="CI7" s="175">
        <v>0</v>
      </c>
      <c r="CJ7" s="175">
        <v>0</v>
      </c>
      <c r="CK7" s="175">
        <v>0</v>
      </c>
      <c r="CL7" s="175">
        <v>0</v>
      </c>
      <c r="CM7" s="175">
        <v>0</v>
      </c>
      <c r="CN7" s="175">
        <v>0</v>
      </c>
      <c r="CO7" s="175">
        <v>0</v>
      </c>
      <c r="CP7" s="175">
        <v>0</v>
      </c>
      <c r="CQ7" s="175">
        <v>0</v>
      </c>
    </row>
    <row r="8" spans="1:95" s="175" customFormat="1" x14ac:dyDescent="0.2">
      <c r="A8" s="175" t="s">
        <v>161</v>
      </c>
      <c r="B8" s="175">
        <v>0</v>
      </c>
      <c r="C8" s="175">
        <v>0</v>
      </c>
      <c r="D8" s="175">
        <v>0</v>
      </c>
      <c r="E8" s="175">
        <v>0</v>
      </c>
      <c r="F8" s="175">
        <v>0</v>
      </c>
      <c r="G8" s="175">
        <v>0</v>
      </c>
      <c r="H8" s="175">
        <v>0</v>
      </c>
      <c r="I8" s="175">
        <v>0</v>
      </c>
      <c r="J8" s="175">
        <v>0</v>
      </c>
      <c r="K8" s="175">
        <v>0</v>
      </c>
      <c r="L8" s="175">
        <v>0</v>
      </c>
      <c r="M8" s="175">
        <v>0</v>
      </c>
      <c r="N8" s="175">
        <v>0</v>
      </c>
      <c r="O8" s="175">
        <v>0</v>
      </c>
      <c r="P8" s="175">
        <v>0</v>
      </c>
      <c r="Q8" s="175">
        <v>0</v>
      </c>
      <c r="R8" s="175">
        <v>0</v>
      </c>
      <c r="S8" s="175">
        <v>0</v>
      </c>
      <c r="T8" s="175">
        <v>0</v>
      </c>
      <c r="U8" s="175">
        <v>0</v>
      </c>
      <c r="V8" s="175">
        <v>0</v>
      </c>
      <c r="W8" s="175">
        <v>0</v>
      </c>
      <c r="X8" s="175">
        <v>0</v>
      </c>
      <c r="Y8" s="175">
        <v>0</v>
      </c>
      <c r="Z8" s="175">
        <v>0</v>
      </c>
      <c r="AA8" s="175">
        <v>0</v>
      </c>
      <c r="AB8" s="175">
        <v>0</v>
      </c>
      <c r="AC8" s="175">
        <v>0</v>
      </c>
      <c r="AD8" s="175">
        <v>0</v>
      </c>
      <c r="AE8" s="175">
        <v>0</v>
      </c>
      <c r="AF8" s="175">
        <v>0</v>
      </c>
      <c r="AG8" s="175">
        <v>0</v>
      </c>
      <c r="AH8" s="175">
        <v>0</v>
      </c>
      <c r="AI8" s="175">
        <v>0</v>
      </c>
      <c r="AJ8" s="175">
        <v>0</v>
      </c>
      <c r="AK8" s="175">
        <v>0</v>
      </c>
      <c r="AL8" s="175">
        <v>0</v>
      </c>
      <c r="AM8" s="175">
        <v>0</v>
      </c>
      <c r="AN8" s="175">
        <v>0</v>
      </c>
      <c r="AO8" s="175">
        <v>0</v>
      </c>
      <c r="AP8" s="175">
        <v>0</v>
      </c>
      <c r="AQ8" s="175">
        <v>0</v>
      </c>
      <c r="AR8" s="175">
        <v>0</v>
      </c>
      <c r="AS8" s="175">
        <v>0</v>
      </c>
      <c r="AT8" s="175">
        <v>0</v>
      </c>
      <c r="AU8" s="175">
        <v>0</v>
      </c>
      <c r="AV8" s="175">
        <v>0</v>
      </c>
      <c r="AW8" s="175">
        <v>0</v>
      </c>
      <c r="AX8" s="175">
        <v>0</v>
      </c>
      <c r="AY8" s="175">
        <v>0</v>
      </c>
      <c r="AZ8" s="175">
        <v>0</v>
      </c>
      <c r="BA8" s="175">
        <v>0</v>
      </c>
      <c r="BB8" s="175">
        <v>0</v>
      </c>
      <c r="BC8" s="175">
        <v>0</v>
      </c>
      <c r="BD8" s="175">
        <v>0</v>
      </c>
      <c r="BE8" s="175">
        <v>0</v>
      </c>
      <c r="BF8" s="175">
        <v>0</v>
      </c>
      <c r="BG8" s="175">
        <v>0</v>
      </c>
      <c r="BH8" s="175">
        <v>0</v>
      </c>
      <c r="BI8" s="175">
        <v>0</v>
      </c>
      <c r="BJ8" s="175">
        <v>0</v>
      </c>
      <c r="BK8" s="175">
        <v>0</v>
      </c>
      <c r="BL8" s="175">
        <v>0</v>
      </c>
      <c r="BM8" s="175">
        <v>0</v>
      </c>
      <c r="BN8" s="175">
        <v>0</v>
      </c>
      <c r="BO8" s="175">
        <v>0</v>
      </c>
      <c r="BP8" s="175">
        <v>0</v>
      </c>
      <c r="BQ8" s="175">
        <v>0</v>
      </c>
      <c r="BR8" s="175">
        <v>0</v>
      </c>
      <c r="BS8" s="175">
        <v>0</v>
      </c>
      <c r="BT8" s="175">
        <v>0</v>
      </c>
      <c r="BU8" s="175">
        <v>0</v>
      </c>
      <c r="BV8" s="175">
        <v>0</v>
      </c>
      <c r="BW8" s="175">
        <v>0</v>
      </c>
      <c r="BX8" s="175">
        <v>0</v>
      </c>
      <c r="BY8" s="175">
        <v>0</v>
      </c>
      <c r="BZ8" s="175">
        <v>0</v>
      </c>
      <c r="CA8" s="175">
        <v>0</v>
      </c>
      <c r="CB8" s="175">
        <v>0</v>
      </c>
      <c r="CC8" s="175">
        <v>0</v>
      </c>
      <c r="CD8" s="175">
        <v>0</v>
      </c>
      <c r="CE8" s="175">
        <v>0</v>
      </c>
      <c r="CF8" s="175">
        <v>0</v>
      </c>
      <c r="CG8" s="175">
        <v>0</v>
      </c>
      <c r="CH8" s="175">
        <v>0</v>
      </c>
      <c r="CI8" s="175">
        <v>0</v>
      </c>
      <c r="CJ8" s="175">
        <v>0</v>
      </c>
      <c r="CK8" s="175">
        <v>0</v>
      </c>
      <c r="CL8" s="175">
        <v>0</v>
      </c>
      <c r="CM8" s="175">
        <v>0</v>
      </c>
      <c r="CN8" s="175">
        <v>0</v>
      </c>
      <c r="CO8" s="175">
        <v>0</v>
      </c>
      <c r="CP8" s="175">
        <v>0</v>
      </c>
      <c r="CQ8" s="175">
        <v>0</v>
      </c>
    </row>
    <row r="9" spans="1:95" s="175" customFormat="1" x14ac:dyDescent="0.2">
      <c r="A9" s="175" t="s">
        <v>178</v>
      </c>
      <c r="B9" s="175">
        <v>0</v>
      </c>
      <c r="C9" s="175">
        <v>0</v>
      </c>
      <c r="D9" s="175">
        <v>0</v>
      </c>
      <c r="E9" s="175">
        <v>0</v>
      </c>
      <c r="F9" s="175">
        <v>0</v>
      </c>
      <c r="G9" s="175">
        <v>0</v>
      </c>
      <c r="H9" s="175">
        <v>0</v>
      </c>
      <c r="I9" s="175">
        <v>0</v>
      </c>
      <c r="J9" s="175">
        <v>0</v>
      </c>
      <c r="K9" s="175">
        <v>0</v>
      </c>
      <c r="L9" s="175">
        <v>0</v>
      </c>
      <c r="M9" s="175">
        <v>0</v>
      </c>
      <c r="N9" s="175">
        <v>0</v>
      </c>
      <c r="O9" s="175">
        <v>0</v>
      </c>
      <c r="P9" s="175">
        <v>0</v>
      </c>
      <c r="Q9" s="175">
        <v>0</v>
      </c>
      <c r="R9" s="175">
        <v>0</v>
      </c>
      <c r="S9" s="175">
        <v>0</v>
      </c>
      <c r="T9" s="175">
        <v>0</v>
      </c>
      <c r="U9" s="175">
        <v>0</v>
      </c>
      <c r="V9" s="175">
        <v>0</v>
      </c>
      <c r="W9" s="175">
        <v>0</v>
      </c>
      <c r="X9" s="175">
        <v>0</v>
      </c>
      <c r="Y9" s="175">
        <v>0</v>
      </c>
      <c r="Z9" s="175">
        <v>0</v>
      </c>
      <c r="AA9" s="175">
        <v>0</v>
      </c>
      <c r="AB9" s="175">
        <v>0</v>
      </c>
      <c r="AC9" s="175">
        <v>0</v>
      </c>
      <c r="AD9" s="175">
        <v>0</v>
      </c>
      <c r="AE9" s="175">
        <v>0</v>
      </c>
      <c r="AF9" s="175">
        <v>0</v>
      </c>
      <c r="AG9" s="175">
        <v>0</v>
      </c>
      <c r="AH9" s="175">
        <v>0</v>
      </c>
      <c r="AI9" s="175">
        <v>0</v>
      </c>
      <c r="AJ9" s="175">
        <v>0</v>
      </c>
      <c r="AK9" s="175">
        <v>0</v>
      </c>
      <c r="AL9" s="175">
        <v>0</v>
      </c>
      <c r="AM9" s="175">
        <v>0</v>
      </c>
      <c r="AN9" s="175">
        <v>0</v>
      </c>
      <c r="AO9" s="175">
        <v>0</v>
      </c>
      <c r="AP9" s="175">
        <v>0</v>
      </c>
      <c r="AQ9" s="175">
        <v>0</v>
      </c>
      <c r="AR9" s="175">
        <v>0</v>
      </c>
      <c r="AS9" s="175">
        <v>0</v>
      </c>
      <c r="AT9" s="175">
        <v>0</v>
      </c>
      <c r="AU9" s="175">
        <v>0</v>
      </c>
      <c r="AV9" s="175">
        <v>0</v>
      </c>
      <c r="AW9" s="175">
        <v>0</v>
      </c>
      <c r="AX9" s="175">
        <v>0</v>
      </c>
      <c r="AY9" s="175">
        <v>0</v>
      </c>
      <c r="AZ9" s="175">
        <v>0</v>
      </c>
      <c r="BA9" s="175">
        <v>0</v>
      </c>
      <c r="BB9" s="175">
        <v>0</v>
      </c>
      <c r="BC9" s="175">
        <v>0</v>
      </c>
      <c r="BD9" s="175">
        <v>0</v>
      </c>
      <c r="BE9" s="175">
        <v>0</v>
      </c>
      <c r="BF9" s="175">
        <v>0</v>
      </c>
      <c r="BG9" s="175">
        <v>0</v>
      </c>
      <c r="BH9" s="175">
        <v>0</v>
      </c>
      <c r="BI9" s="175">
        <v>0</v>
      </c>
      <c r="BJ9" s="175">
        <v>0</v>
      </c>
      <c r="BK9" s="175">
        <v>0</v>
      </c>
      <c r="BL9" s="175">
        <v>0</v>
      </c>
      <c r="BM9" s="175">
        <v>0</v>
      </c>
      <c r="BN9" s="175">
        <v>0</v>
      </c>
      <c r="BO9" s="175">
        <v>0</v>
      </c>
      <c r="BP9" s="175">
        <v>0</v>
      </c>
      <c r="BQ9" s="175">
        <v>0</v>
      </c>
      <c r="BR9" s="175">
        <v>0</v>
      </c>
      <c r="BS9" s="175">
        <v>0</v>
      </c>
      <c r="BT9" s="175">
        <v>0</v>
      </c>
      <c r="BU9" s="175">
        <v>0</v>
      </c>
      <c r="BV9" s="175">
        <v>0</v>
      </c>
      <c r="BW9" s="175">
        <v>0</v>
      </c>
      <c r="BX9" s="175">
        <v>0</v>
      </c>
      <c r="BY9" s="175">
        <v>0</v>
      </c>
      <c r="BZ9" s="175">
        <v>0</v>
      </c>
      <c r="CA9" s="175">
        <v>0</v>
      </c>
      <c r="CB9" s="175">
        <v>0</v>
      </c>
      <c r="CC9" s="175">
        <v>0</v>
      </c>
      <c r="CD9" s="175">
        <v>0</v>
      </c>
      <c r="CE9" s="175">
        <v>0</v>
      </c>
      <c r="CF9" s="175">
        <v>0</v>
      </c>
      <c r="CG9" s="175">
        <v>0</v>
      </c>
      <c r="CH9" s="175">
        <v>0</v>
      </c>
      <c r="CI9" s="175">
        <v>0</v>
      </c>
      <c r="CJ9" s="175">
        <v>0</v>
      </c>
      <c r="CK9" s="175">
        <v>0</v>
      </c>
      <c r="CL9" s="175">
        <v>0</v>
      </c>
      <c r="CM9" s="175">
        <v>0</v>
      </c>
      <c r="CN9" s="175">
        <v>0</v>
      </c>
      <c r="CO9" s="175">
        <v>0</v>
      </c>
      <c r="CP9" s="175">
        <v>0</v>
      </c>
      <c r="CQ9" s="175">
        <v>0</v>
      </c>
    </row>
    <row r="10" spans="1:95" s="175" customFormat="1" x14ac:dyDescent="0.2">
      <c r="A10" s="175" t="s">
        <v>179</v>
      </c>
      <c r="B10" s="175">
        <v>0</v>
      </c>
      <c r="C10" s="175">
        <v>0</v>
      </c>
      <c r="D10" s="175">
        <v>0</v>
      </c>
      <c r="E10" s="175">
        <v>0</v>
      </c>
      <c r="F10" s="175">
        <v>0</v>
      </c>
      <c r="G10" s="175">
        <v>0</v>
      </c>
      <c r="H10" s="175">
        <v>0</v>
      </c>
      <c r="I10" s="175">
        <v>0</v>
      </c>
      <c r="J10" s="175">
        <v>0</v>
      </c>
      <c r="K10" s="175">
        <v>0</v>
      </c>
      <c r="L10" s="175">
        <v>0</v>
      </c>
      <c r="M10" s="175">
        <v>0</v>
      </c>
      <c r="N10" s="175">
        <v>0</v>
      </c>
      <c r="O10" s="175">
        <v>0</v>
      </c>
      <c r="P10" s="175">
        <v>0</v>
      </c>
      <c r="Q10" s="175">
        <v>0</v>
      </c>
      <c r="R10" s="175">
        <v>0</v>
      </c>
      <c r="S10" s="175">
        <v>0</v>
      </c>
      <c r="T10" s="175">
        <v>0</v>
      </c>
      <c r="U10" s="175">
        <v>0</v>
      </c>
      <c r="V10" s="175">
        <v>0</v>
      </c>
      <c r="W10" s="175">
        <v>0</v>
      </c>
      <c r="X10" s="175">
        <v>0</v>
      </c>
      <c r="Y10" s="175">
        <v>0</v>
      </c>
      <c r="Z10" s="175">
        <v>0</v>
      </c>
      <c r="AA10" s="175">
        <v>0</v>
      </c>
      <c r="AB10" s="175">
        <v>0</v>
      </c>
      <c r="AC10" s="175">
        <v>0</v>
      </c>
      <c r="AD10" s="175">
        <v>0</v>
      </c>
      <c r="AE10" s="175">
        <v>0</v>
      </c>
      <c r="AF10" s="175">
        <v>0</v>
      </c>
      <c r="AG10" s="175">
        <v>0</v>
      </c>
      <c r="AH10" s="175">
        <v>0</v>
      </c>
      <c r="AI10" s="175">
        <v>0</v>
      </c>
      <c r="AJ10" s="175">
        <v>0</v>
      </c>
      <c r="AK10" s="175">
        <v>0</v>
      </c>
      <c r="AL10" s="175">
        <v>0</v>
      </c>
      <c r="AM10" s="175">
        <v>0</v>
      </c>
      <c r="AN10" s="175">
        <v>0</v>
      </c>
      <c r="AO10" s="175">
        <v>0</v>
      </c>
      <c r="AP10" s="175">
        <v>0</v>
      </c>
      <c r="AQ10" s="175">
        <v>0</v>
      </c>
      <c r="AR10" s="175">
        <v>0</v>
      </c>
      <c r="AS10" s="175">
        <v>0</v>
      </c>
      <c r="AT10" s="175">
        <v>0</v>
      </c>
      <c r="AU10" s="175">
        <v>0</v>
      </c>
      <c r="AV10" s="175">
        <v>0</v>
      </c>
      <c r="AW10" s="175">
        <v>0</v>
      </c>
      <c r="AX10" s="175">
        <v>0</v>
      </c>
      <c r="AY10" s="175">
        <v>0</v>
      </c>
      <c r="AZ10" s="175">
        <v>0</v>
      </c>
      <c r="BA10" s="175">
        <v>0</v>
      </c>
      <c r="BB10" s="175">
        <v>0</v>
      </c>
      <c r="BC10" s="175">
        <v>0</v>
      </c>
      <c r="BD10" s="175">
        <v>0</v>
      </c>
      <c r="BE10" s="175">
        <v>0</v>
      </c>
      <c r="BF10" s="175">
        <v>0</v>
      </c>
      <c r="BG10" s="175">
        <v>0</v>
      </c>
      <c r="BH10" s="175">
        <v>0</v>
      </c>
      <c r="BI10" s="175">
        <v>0</v>
      </c>
      <c r="BJ10" s="175">
        <v>0</v>
      </c>
      <c r="BK10" s="175">
        <v>0</v>
      </c>
      <c r="BL10" s="175">
        <v>0</v>
      </c>
      <c r="BM10" s="175">
        <v>0</v>
      </c>
      <c r="BN10" s="175">
        <v>0</v>
      </c>
      <c r="BO10" s="175">
        <v>0</v>
      </c>
      <c r="BP10" s="175">
        <v>0</v>
      </c>
      <c r="BQ10" s="175">
        <v>0</v>
      </c>
      <c r="BR10" s="175">
        <v>0</v>
      </c>
      <c r="BS10" s="175">
        <v>0</v>
      </c>
      <c r="BT10" s="175">
        <v>0</v>
      </c>
      <c r="BU10" s="175">
        <v>0</v>
      </c>
      <c r="BV10" s="175">
        <v>0</v>
      </c>
      <c r="BW10" s="175">
        <v>0</v>
      </c>
      <c r="BX10" s="175">
        <v>0</v>
      </c>
      <c r="BY10" s="175">
        <v>0</v>
      </c>
      <c r="BZ10" s="175">
        <v>0</v>
      </c>
      <c r="CA10" s="175">
        <v>0</v>
      </c>
      <c r="CB10" s="175">
        <v>0</v>
      </c>
      <c r="CC10" s="175">
        <v>0</v>
      </c>
      <c r="CD10" s="175">
        <v>0</v>
      </c>
      <c r="CE10" s="175">
        <v>0</v>
      </c>
      <c r="CF10" s="175">
        <v>0</v>
      </c>
      <c r="CG10" s="175">
        <v>0</v>
      </c>
      <c r="CH10" s="175">
        <v>0</v>
      </c>
      <c r="CI10" s="175">
        <v>0</v>
      </c>
      <c r="CJ10" s="175">
        <v>0</v>
      </c>
      <c r="CK10" s="175">
        <v>0</v>
      </c>
      <c r="CL10" s="175">
        <v>0</v>
      </c>
      <c r="CM10" s="175">
        <v>0</v>
      </c>
      <c r="CN10" s="175">
        <v>0</v>
      </c>
      <c r="CO10" s="175">
        <v>0</v>
      </c>
      <c r="CP10" s="175">
        <v>0</v>
      </c>
      <c r="CQ10" s="175">
        <v>0</v>
      </c>
    </row>
    <row r="11" spans="1:95" s="175" customFormat="1" x14ac:dyDescent="0.2">
      <c r="A11" s="175" t="s">
        <v>180</v>
      </c>
      <c r="B11" s="175">
        <v>0</v>
      </c>
      <c r="C11" s="175">
        <v>0</v>
      </c>
      <c r="D11" s="175">
        <v>0</v>
      </c>
      <c r="E11" s="175">
        <v>0</v>
      </c>
      <c r="F11" s="175">
        <v>0</v>
      </c>
      <c r="G11" s="175">
        <v>0</v>
      </c>
      <c r="H11" s="175">
        <v>0</v>
      </c>
      <c r="I11" s="175">
        <v>0</v>
      </c>
      <c r="J11" s="175">
        <v>0</v>
      </c>
      <c r="K11" s="175">
        <v>0</v>
      </c>
      <c r="L11" s="175">
        <v>0</v>
      </c>
      <c r="M11" s="175">
        <v>0</v>
      </c>
      <c r="N11" s="175">
        <v>0</v>
      </c>
      <c r="O11" s="175">
        <v>0</v>
      </c>
      <c r="P11" s="175">
        <v>0</v>
      </c>
      <c r="Q11" s="175">
        <v>0</v>
      </c>
      <c r="R11" s="175">
        <v>0</v>
      </c>
      <c r="S11" s="175">
        <v>0</v>
      </c>
      <c r="T11" s="175">
        <v>0</v>
      </c>
      <c r="U11" s="175">
        <v>0</v>
      </c>
      <c r="V11" s="175">
        <v>0</v>
      </c>
      <c r="W11" s="175">
        <v>0</v>
      </c>
      <c r="X11" s="175">
        <v>0</v>
      </c>
      <c r="Y11" s="175">
        <v>0</v>
      </c>
      <c r="Z11" s="175">
        <v>0</v>
      </c>
      <c r="AA11" s="175">
        <v>0</v>
      </c>
      <c r="AB11" s="175">
        <v>0</v>
      </c>
      <c r="AC11" s="175">
        <v>0</v>
      </c>
      <c r="AD11" s="175">
        <v>0</v>
      </c>
      <c r="AE11" s="175">
        <v>0</v>
      </c>
      <c r="AF11" s="175">
        <v>0</v>
      </c>
      <c r="AG11" s="175">
        <v>0</v>
      </c>
      <c r="AH11" s="175">
        <v>0</v>
      </c>
      <c r="AI11" s="175">
        <v>0</v>
      </c>
      <c r="AJ11" s="175">
        <v>0</v>
      </c>
      <c r="AK11" s="175">
        <v>0</v>
      </c>
      <c r="AL11" s="175">
        <v>0</v>
      </c>
      <c r="AM11" s="175">
        <v>0</v>
      </c>
      <c r="AN11" s="175">
        <v>0</v>
      </c>
      <c r="AO11" s="175">
        <v>0</v>
      </c>
      <c r="AP11" s="175">
        <v>0</v>
      </c>
      <c r="AQ11" s="175">
        <v>0</v>
      </c>
      <c r="AR11" s="175">
        <v>0</v>
      </c>
      <c r="AS11" s="175">
        <v>0</v>
      </c>
      <c r="AT11" s="175">
        <v>0</v>
      </c>
      <c r="AU11" s="175">
        <v>0</v>
      </c>
      <c r="AV11" s="175">
        <v>0</v>
      </c>
      <c r="AW11" s="175">
        <v>0</v>
      </c>
      <c r="AX11" s="175">
        <v>0</v>
      </c>
      <c r="AY11" s="175">
        <v>0</v>
      </c>
      <c r="AZ11" s="175">
        <v>0</v>
      </c>
      <c r="BA11" s="175">
        <v>0</v>
      </c>
      <c r="BB11" s="175">
        <v>0</v>
      </c>
      <c r="BC11" s="175">
        <v>0</v>
      </c>
      <c r="BD11" s="175">
        <v>0</v>
      </c>
      <c r="BE11" s="175">
        <v>0</v>
      </c>
      <c r="BF11" s="175">
        <v>0</v>
      </c>
      <c r="BG11" s="175">
        <v>0</v>
      </c>
      <c r="BH11" s="175">
        <v>0</v>
      </c>
      <c r="BI11" s="175">
        <v>0</v>
      </c>
      <c r="BJ11" s="175">
        <v>0</v>
      </c>
      <c r="BK11" s="175">
        <v>0</v>
      </c>
      <c r="BL11" s="175">
        <v>0</v>
      </c>
      <c r="BM11" s="175">
        <v>0</v>
      </c>
      <c r="BN11" s="175">
        <v>0</v>
      </c>
      <c r="BO11" s="175">
        <v>0</v>
      </c>
      <c r="BP11" s="175">
        <v>0</v>
      </c>
      <c r="BQ11" s="175">
        <v>0</v>
      </c>
      <c r="BR11" s="175">
        <v>0</v>
      </c>
      <c r="BS11" s="175">
        <v>0</v>
      </c>
      <c r="BT11" s="175">
        <v>0</v>
      </c>
      <c r="BU11" s="175">
        <v>0</v>
      </c>
      <c r="BV11" s="175">
        <v>0</v>
      </c>
      <c r="BW11" s="175">
        <v>0</v>
      </c>
      <c r="BX11" s="175">
        <v>0</v>
      </c>
      <c r="BY11" s="175">
        <v>0</v>
      </c>
      <c r="BZ11" s="175">
        <v>0</v>
      </c>
      <c r="CA11" s="175">
        <v>0</v>
      </c>
      <c r="CB11" s="175">
        <v>0</v>
      </c>
      <c r="CC11" s="175">
        <v>0</v>
      </c>
      <c r="CD11" s="175">
        <v>0</v>
      </c>
      <c r="CE11" s="175">
        <v>0</v>
      </c>
      <c r="CF11" s="175">
        <v>0</v>
      </c>
      <c r="CG11" s="175">
        <v>0</v>
      </c>
      <c r="CH11" s="175">
        <v>0</v>
      </c>
      <c r="CI11" s="175">
        <v>0</v>
      </c>
      <c r="CJ11" s="175">
        <v>0</v>
      </c>
      <c r="CK11" s="175">
        <v>0</v>
      </c>
      <c r="CL11" s="175">
        <v>0</v>
      </c>
      <c r="CM11" s="175">
        <v>0</v>
      </c>
      <c r="CN11" s="175">
        <v>0</v>
      </c>
      <c r="CO11" s="175">
        <v>0</v>
      </c>
      <c r="CP11" s="175">
        <v>0</v>
      </c>
      <c r="CQ11" s="175">
        <v>0</v>
      </c>
    </row>
    <row r="12" spans="1:95" s="175" customFormat="1" x14ac:dyDescent="0.2">
      <c r="A12" s="175" t="s">
        <v>181</v>
      </c>
      <c r="B12" s="175">
        <v>0</v>
      </c>
      <c r="C12" s="175">
        <v>0</v>
      </c>
      <c r="D12" s="175">
        <v>0</v>
      </c>
      <c r="E12" s="175">
        <v>0</v>
      </c>
      <c r="F12" s="175">
        <v>0</v>
      </c>
      <c r="G12" s="175">
        <v>0</v>
      </c>
      <c r="H12" s="175">
        <v>0</v>
      </c>
      <c r="I12" s="175">
        <v>0</v>
      </c>
      <c r="J12" s="175">
        <v>0</v>
      </c>
      <c r="K12" s="175">
        <v>0</v>
      </c>
      <c r="L12" s="175">
        <v>0</v>
      </c>
      <c r="M12" s="175">
        <v>0</v>
      </c>
      <c r="N12" s="175">
        <v>0</v>
      </c>
      <c r="O12" s="175">
        <v>0</v>
      </c>
      <c r="P12" s="175">
        <v>0</v>
      </c>
      <c r="Q12" s="175">
        <v>0</v>
      </c>
      <c r="R12" s="175">
        <v>0</v>
      </c>
      <c r="S12" s="175">
        <v>0</v>
      </c>
      <c r="T12" s="175">
        <v>0</v>
      </c>
      <c r="U12" s="175">
        <v>0</v>
      </c>
      <c r="V12" s="175">
        <v>0</v>
      </c>
      <c r="W12" s="175">
        <v>0</v>
      </c>
      <c r="X12" s="175">
        <v>0</v>
      </c>
      <c r="Y12" s="175">
        <v>0</v>
      </c>
      <c r="Z12" s="175">
        <v>0</v>
      </c>
      <c r="AA12" s="175">
        <v>0</v>
      </c>
      <c r="AB12" s="175">
        <v>0</v>
      </c>
      <c r="AC12" s="175">
        <v>0</v>
      </c>
      <c r="AD12" s="175">
        <v>0</v>
      </c>
      <c r="AE12" s="175">
        <v>0</v>
      </c>
      <c r="AF12" s="175">
        <v>0</v>
      </c>
      <c r="AG12" s="175">
        <v>0</v>
      </c>
      <c r="AH12" s="175">
        <v>0</v>
      </c>
      <c r="AI12" s="175">
        <v>0</v>
      </c>
      <c r="AJ12" s="175">
        <v>0</v>
      </c>
      <c r="AK12" s="175">
        <v>0</v>
      </c>
      <c r="AL12" s="175">
        <v>0</v>
      </c>
      <c r="AM12" s="175">
        <v>0</v>
      </c>
      <c r="AN12" s="175">
        <v>0</v>
      </c>
      <c r="AO12" s="175">
        <v>0</v>
      </c>
      <c r="AP12" s="175">
        <v>0</v>
      </c>
      <c r="AQ12" s="175">
        <v>0</v>
      </c>
      <c r="AR12" s="175">
        <v>0</v>
      </c>
      <c r="AS12" s="175">
        <v>0</v>
      </c>
      <c r="AT12" s="175">
        <v>0</v>
      </c>
      <c r="AU12" s="175">
        <v>0</v>
      </c>
      <c r="AV12" s="175">
        <v>0</v>
      </c>
      <c r="AW12" s="175">
        <v>0</v>
      </c>
      <c r="AX12" s="175">
        <v>0</v>
      </c>
      <c r="AY12" s="175">
        <v>0</v>
      </c>
      <c r="AZ12" s="175">
        <v>0</v>
      </c>
      <c r="BA12" s="175">
        <v>0</v>
      </c>
      <c r="BB12" s="175">
        <v>0</v>
      </c>
      <c r="BC12" s="175">
        <v>0</v>
      </c>
      <c r="BD12" s="175">
        <v>0</v>
      </c>
      <c r="BE12" s="175">
        <v>0</v>
      </c>
      <c r="BF12" s="175">
        <v>0</v>
      </c>
      <c r="BG12" s="175">
        <v>0</v>
      </c>
      <c r="BH12" s="175">
        <v>0</v>
      </c>
      <c r="BI12" s="175">
        <v>0</v>
      </c>
      <c r="BJ12" s="175">
        <v>0</v>
      </c>
      <c r="BK12" s="175">
        <v>0</v>
      </c>
      <c r="BL12" s="175">
        <v>0</v>
      </c>
      <c r="BM12" s="175">
        <v>0</v>
      </c>
      <c r="BN12" s="175">
        <v>0</v>
      </c>
      <c r="BO12" s="175">
        <v>0</v>
      </c>
      <c r="BP12" s="175">
        <v>0</v>
      </c>
      <c r="BQ12" s="175">
        <v>0</v>
      </c>
      <c r="BR12" s="175">
        <v>0</v>
      </c>
      <c r="BS12" s="175">
        <v>0</v>
      </c>
      <c r="BT12" s="175">
        <v>0</v>
      </c>
      <c r="BU12" s="175">
        <v>0</v>
      </c>
      <c r="BV12" s="175">
        <v>0</v>
      </c>
      <c r="BW12" s="175">
        <v>0</v>
      </c>
      <c r="BX12" s="175">
        <v>0</v>
      </c>
      <c r="BY12" s="175">
        <v>0</v>
      </c>
      <c r="BZ12" s="175">
        <v>0</v>
      </c>
      <c r="CA12" s="175">
        <v>0</v>
      </c>
      <c r="CB12" s="175">
        <v>0</v>
      </c>
      <c r="CC12" s="175">
        <v>0</v>
      </c>
      <c r="CD12" s="175">
        <v>0</v>
      </c>
      <c r="CE12" s="175">
        <v>0</v>
      </c>
      <c r="CF12" s="175">
        <v>0</v>
      </c>
      <c r="CG12" s="175">
        <v>0</v>
      </c>
      <c r="CH12" s="175">
        <v>0</v>
      </c>
      <c r="CI12" s="175">
        <v>0</v>
      </c>
      <c r="CJ12" s="175">
        <v>0</v>
      </c>
      <c r="CK12" s="175">
        <v>0</v>
      </c>
      <c r="CL12" s="175">
        <v>0</v>
      </c>
      <c r="CM12" s="175">
        <v>0</v>
      </c>
      <c r="CN12" s="175">
        <v>0</v>
      </c>
      <c r="CO12" s="175">
        <v>0</v>
      </c>
      <c r="CP12" s="175">
        <v>0</v>
      </c>
      <c r="CQ12" s="175">
        <v>0</v>
      </c>
    </row>
    <row r="13" spans="1:95" s="175" customFormat="1" x14ac:dyDescent="0.2">
      <c r="A13" s="175" t="s">
        <v>182</v>
      </c>
      <c r="B13" s="175">
        <v>0</v>
      </c>
      <c r="C13" s="175">
        <v>0</v>
      </c>
      <c r="D13" s="175">
        <v>0</v>
      </c>
      <c r="E13" s="175">
        <v>0</v>
      </c>
      <c r="F13" s="175">
        <v>0</v>
      </c>
      <c r="G13" s="175">
        <v>0</v>
      </c>
      <c r="H13" s="175">
        <v>0</v>
      </c>
      <c r="I13" s="175">
        <v>0</v>
      </c>
      <c r="J13" s="175">
        <v>0</v>
      </c>
      <c r="K13" s="175">
        <v>0</v>
      </c>
      <c r="L13" s="175">
        <v>0</v>
      </c>
      <c r="M13" s="175">
        <v>0</v>
      </c>
      <c r="N13" s="175">
        <v>0</v>
      </c>
      <c r="O13" s="175">
        <v>0</v>
      </c>
      <c r="P13" s="175">
        <v>0</v>
      </c>
      <c r="Q13" s="175">
        <v>0</v>
      </c>
      <c r="R13" s="175">
        <v>0</v>
      </c>
      <c r="S13" s="175">
        <v>0</v>
      </c>
      <c r="T13" s="175">
        <v>0</v>
      </c>
      <c r="U13" s="175">
        <v>0</v>
      </c>
      <c r="V13" s="175">
        <v>0</v>
      </c>
      <c r="W13" s="175">
        <v>0</v>
      </c>
      <c r="X13" s="175">
        <v>0</v>
      </c>
      <c r="Y13" s="175">
        <v>0</v>
      </c>
      <c r="Z13" s="175">
        <v>0</v>
      </c>
      <c r="AA13" s="175">
        <v>0</v>
      </c>
      <c r="AB13" s="175">
        <v>0</v>
      </c>
      <c r="AC13" s="175">
        <v>0</v>
      </c>
      <c r="AD13" s="175">
        <v>0</v>
      </c>
      <c r="AE13" s="175">
        <v>0</v>
      </c>
      <c r="AF13" s="175">
        <v>0</v>
      </c>
      <c r="AG13" s="175">
        <v>0</v>
      </c>
      <c r="AH13" s="175">
        <v>0</v>
      </c>
      <c r="AI13" s="175">
        <v>0</v>
      </c>
      <c r="AJ13" s="175">
        <v>0</v>
      </c>
      <c r="AK13" s="175">
        <v>0</v>
      </c>
      <c r="AL13" s="175">
        <v>0</v>
      </c>
      <c r="AM13" s="175">
        <v>0</v>
      </c>
      <c r="AN13" s="175">
        <v>0</v>
      </c>
      <c r="AO13" s="175">
        <v>0</v>
      </c>
      <c r="AP13" s="175">
        <v>0</v>
      </c>
      <c r="AQ13" s="175">
        <v>0</v>
      </c>
      <c r="AR13" s="175">
        <v>0</v>
      </c>
      <c r="AS13" s="175">
        <v>0</v>
      </c>
      <c r="AT13" s="175">
        <v>0</v>
      </c>
      <c r="AU13" s="175">
        <v>0</v>
      </c>
      <c r="AV13" s="175">
        <v>0</v>
      </c>
      <c r="AW13" s="175">
        <v>0</v>
      </c>
      <c r="AX13" s="175">
        <v>0</v>
      </c>
      <c r="AY13" s="175">
        <v>0</v>
      </c>
      <c r="AZ13" s="175">
        <v>0</v>
      </c>
      <c r="BA13" s="175">
        <v>0</v>
      </c>
      <c r="BB13" s="175">
        <v>0</v>
      </c>
      <c r="BC13" s="175">
        <v>0</v>
      </c>
      <c r="BD13" s="175">
        <v>0</v>
      </c>
      <c r="BE13" s="175">
        <v>0</v>
      </c>
      <c r="BF13" s="175">
        <v>0</v>
      </c>
      <c r="BG13" s="175">
        <v>0</v>
      </c>
      <c r="BH13" s="175">
        <v>0</v>
      </c>
      <c r="BI13" s="175">
        <v>0</v>
      </c>
      <c r="BJ13" s="175">
        <v>0</v>
      </c>
      <c r="BK13" s="175">
        <v>0</v>
      </c>
      <c r="BL13" s="175">
        <v>0</v>
      </c>
      <c r="BM13" s="175">
        <v>0</v>
      </c>
      <c r="BN13" s="175">
        <v>0</v>
      </c>
      <c r="BO13" s="175">
        <v>0</v>
      </c>
      <c r="BP13" s="175">
        <v>0</v>
      </c>
      <c r="BQ13" s="175">
        <v>0</v>
      </c>
      <c r="BR13" s="175">
        <v>0</v>
      </c>
      <c r="BS13" s="175">
        <v>0</v>
      </c>
      <c r="BT13" s="175">
        <v>0</v>
      </c>
      <c r="BU13" s="175">
        <v>0</v>
      </c>
      <c r="BV13" s="175">
        <v>0</v>
      </c>
      <c r="BW13" s="175">
        <v>0</v>
      </c>
      <c r="BX13" s="175">
        <v>0</v>
      </c>
      <c r="BY13" s="175">
        <v>0</v>
      </c>
      <c r="BZ13" s="175">
        <v>0</v>
      </c>
      <c r="CA13" s="175">
        <v>0</v>
      </c>
      <c r="CB13" s="175">
        <v>0</v>
      </c>
      <c r="CC13" s="175">
        <v>0</v>
      </c>
      <c r="CD13" s="175">
        <v>0</v>
      </c>
      <c r="CE13" s="175">
        <v>0</v>
      </c>
      <c r="CF13" s="175">
        <v>0</v>
      </c>
      <c r="CG13" s="175">
        <v>0</v>
      </c>
      <c r="CH13" s="175">
        <v>0</v>
      </c>
      <c r="CI13" s="175">
        <v>0</v>
      </c>
      <c r="CJ13" s="175">
        <v>0</v>
      </c>
      <c r="CK13" s="175">
        <v>0</v>
      </c>
      <c r="CL13" s="175">
        <v>0</v>
      </c>
      <c r="CM13" s="175">
        <v>0</v>
      </c>
      <c r="CN13" s="175">
        <v>0</v>
      </c>
      <c r="CO13" s="175">
        <v>0</v>
      </c>
      <c r="CP13" s="175">
        <v>0</v>
      </c>
      <c r="CQ13" s="175">
        <v>0</v>
      </c>
    </row>
    <row r="14" spans="1:95" s="175" customFormat="1" x14ac:dyDescent="0.2">
      <c r="A14" s="175" t="s">
        <v>245</v>
      </c>
      <c r="B14" s="175">
        <v>0</v>
      </c>
      <c r="C14" s="175">
        <v>0</v>
      </c>
      <c r="D14" s="175">
        <v>0</v>
      </c>
      <c r="E14" s="175">
        <v>0</v>
      </c>
      <c r="F14" s="175">
        <v>0</v>
      </c>
      <c r="G14" s="175">
        <v>0</v>
      </c>
      <c r="H14" s="175">
        <v>0</v>
      </c>
      <c r="I14" s="175">
        <v>0</v>
      </c>
      <c r="J14" s="175">
        <v>0</v>
      </c>
      <c r="K14" s="175">
        <v>0</v>
      </c>
      <c r="L14" s="175">
        <v>0</v>
      </c>
      <c r="M14" s="175">
        <v>0</v>
      </c>
      <c r="N14" s="175">
        <v>0</v>
      </c>
      <c r="O14" s="175">
        <v>0</v>
      </c>
      <c r="P14" s="175">
        <v>0</v>
      </c>
      <c r="Q14" s="175">
        <v>0</v>
      </c>
      <c r="R14" s="175">
        <v>0</v>
      </c>
      <c r="S14" s="175">
        <v>0</v>
      </c>
      <c r="T14" s="175">
        <v>0</v>
      </c>
      <c r="U14" s="175">
        <v>0</v>
      </c>
      <c r="V14" s="175">
        <v>0</v>
      </c>
      <c r="W14" s="175">
        <v>0</v>
      </c>
      <c r="X14" s="175">
        <v>0</v>
      </c>
      <c r="Y14" s="175">
        <v>0</v>
      </c>
      <c r="Z14" s="175">
        <v>0</v>
      </c>
      <c r="AA14" s="175">
        <v>0</v>
      </c>
      <c r="AB14" s="175">
        <v>0</v>
      </c>
      <c r="AC14" s="175">
        <v>0</v>
      </c>
      <c r="AD14" s="175">
        <v>0</v>
      </c>
      <c r="AE14" s="175">
        <v>0</v>
      </c>
      <c r="AF14" s="175">
        <v>0</v>
      </c>
      <c r="AG14" s="175">
        <v>0</v>
      </c>
      <c r="AH14" s="175">
        <v>0</v>
      </c>
      <c r="AI14" s="175">
        <v>0</v>
      </c>
      <c r="AJ14" s="175">
        <v>0</v>
      </c>
      <c r="AK14" s="175">
        <v>0</v>
      </c>
      <c r="AL14" s="175">
        <v>0</v>
      </c>
      <c r="AM14" s="175">
        <v>0</v>
      </c>
      <c r="AN14" s="175">
        <v>0</v>
      </c>
      <c r="AO14" s="175">
        <v>0</v>
      </c>
      <c r="AP14" s="175">
        <v>0</v>
      </c>
      <c r="AQ14" s="175">
        <v>0</v>
      </c>
      <c r="AR14" s="175">
        <v>0</v>
      </c>
      <c r="AS14" s="175">
        <v>0</v>
      </c>
      <c r="AT14" s="175">
        <v>0</v>
      </c>
      <c r="AU14" s="175">
        <v>0</v>
      </c>
      <c r="AV14" s="175">
        <v>0</v>
      </c>
      <c r="AW14" s="175">
        <v>0</v>
      </c>
      <c r="AX14" s="175">
        <v>0</v>
      </c>
      <c r="AY14" s="175">
        <v>0</v>
      </c>
      <c r="AZ14" s="175">
        <v>0</v>
      </c>
      <c r="BA14" s="175">
        <v>0</v>
      </c>
      <c r="BB14" s="175">
        <v>0</v>
      </c>
      <c r="BC14" s="175">
        <v>0</v>
      </c>
      <c r="BD14" s="175">
        <v>0</v>
      </c>
      <c r="BE14" s="175">
        <v>0</v>
      </c>
      <c r="BF14" s="175">
        <v>0</v>
      </c>
      <c r="BG14" s="175">
        <v>0</v>
      </c>
      <c r="BH14" s="175">
        <v>0</v>
      </c>
      <c r="BI14" s="175">
        <v>0</v>
      </c>
      <c r="BJ14" s="175">
        <v>0</v>
      </c>
      <c r="BK14" s="175">
        <v>0</v>
      </c>
      <c r="BL14" s="175">
        <v>0</v>
      </c>
      <c r="BM14" s="175">
        <v>0</v>
      </c>
      <c r="BN14" s="175">
        <v>0</v>
      </c>
      <c r="BO14" s="175">
        <v>0</v>
      </c>
      <c r="BP14" s="175">
        <v>0</v>
      </c>
      <c r="BQ14" s="175">
        <v>0</v>
      </c>
      <c r="BR14" s="175">
        <v>0</v>
      </c>
      <c r="BS14" s="175">
        <v>0</v>
      </c>
      <c r="BT14" s="175">
        <v>0</v>
      </c>
      <c r="BU14" s="175">
        <v>0</v>
      </c>
      <c r="BV14" s="175">
        <v>0</v>
      </c>
      <c r="BW14" s="175">
        <v>0</v>
      </c>
      <c r="BX14" s="175">
        <v>0</v>
      </c>
      <c r="BY14" s="175">
        <v>0</v>
      </c>
      <c r="BZ14" s="175">
        <v>0</v>
      </c>
      <c r="CA14" s="175">
        <v>0</v>
      </c>
      <c r="CB14" s="175">
        <v>0</v>
      </c>
      <c r="CC14" s="175">
        <v>0</v>
      </c>
      <c r="CD14" s="175">
        <v>0</v>
      </c>
      <c r="CE14" s="175">
        <v>0</v>
      </c>
      <c r="CF14" s="175">
        <v>0</v>
      </c>
      <c r="CG14" s="175">
        <v>0</v>
      </c>
      <c r="CH14" s="175">
        <v>0</v>
      </c>
      <c r="CI14" s="175">
        <v>0</v>
      </c>
      <c r="CJ14" s="175">
        <v>0</v>
      </c>
      <c r="CK14" s="175">
        <v>0</v>
      </c>
      <c r="CL14" s="175">
        <v>0</v>
      </c>
      <c r="CM14" s="175">
        <v>0</v>
      </c>
      <c r="CN14" s="175">
        <v>0</v>
      </c>
      <c r="CO14" s="175">
        <v>0</v>
      </c>
      <c r="CP14" s="175">
        <v>0</v>
      </c>
      <c r="CQ14" s="175">
        <v>0</v>
      </c>
    </row>
    <row r="15" spans="1:95" s="175" customFormat="1" x14ac:dyDescent="0.2">
      <c r="A15" s="175" t="s">
        <v>183</v>
      </c>
      <c r="B15" s="175">
        <v>0</v>
      </c>
      <c r="C15" s="175">
        <v>0</v>
      </c>
      <c r="D15" s="175">
        <v>0</v>
      </c>
      <c r="E15" s="175">
        <v>0</v>
      </c>
      <c r="F15" s="175">
        <v>0</v>
      </c>
      <c r="G15" s="175">
        <v>0</v>
      </c>
      <c r="H15" s="175">
        <v>0</v>
      </c>
      <c r="I15" s="175">
        <v>0</v>
      </c>
      <c r="J15" s="175">
        <v>0</v>
      </c>
      <c r="K15" s="175">
        <v>0</v>
      </c>
      <c r="L15" s="175">
        <v>0</v>
      </c>
      <c r="M15" s="175">
        <v>0</v>
      </c>
      <c r="N15" s="175">
        <v>0</v>
      </c>
      <c r="O15" s="175">
        <v>0</v>
      </c>
      <c r="P15" s="175">
        <v>0</v>
      </c>
      <c r="Q15" s="175">
        <v>0</v>
      </c>
      <c r="R15" s="175">
        <v>0</v>
      </c>
      <c r="S15" s="175">
        <v>0</v>
      </c>
      <c r="T15" s="175">
        <v>0</v>
      </c>
      <c r="U15" s="175">
        <v>0</v>
      </c>
      <c r="V15" s="175">
        <v>0</v>
      </c>
      <c r="W15" s="175">
        <v>0</v>
      </c>
      <c r="X15" s="175">
        <v>0</v>
      </c>
      <c r="Y15" s="175">
        <v>0</v>
      </c>
      <c r="Z15" s="175">
        <v>0</v>
      </c>
      <c r="AA15" s="175">
        <v>0</v>
      </c>
      <c r="AB15" s="175">
        <v>0</v>
      </c>
      <c r="AC15" s="175">
        <v>0</v>
      </c>
      <c r="AD15" s="175">
        <v>0</v>
      </c>
      <c r="AE15" s="175">
        <v>0</v>
      </c>
      <c r="AF15" s="175">
        <v>0</v>
      </c>
      <c r="AG15" s="175">
        <v>0</v>
      </c>
      <c r="AH15" s="175">
        <v>0</v>
      </c>
      <c r="AI15" s="175">
        <v>0</v>
      </c>
      <c r="AJ15" s="175">
        <v>0</v>
      </c>
      <c r="AK15" s="175">
        <v>0</v>
      </c>
      <c r="AL15" s="175">
        <v>0</v>
      </c>
      <c r="AM15" s="175">
        <v>0</v>
      </c>
      <c r="AN15" s="175">
        <v>0</v>
      </c>
      <c r="AO15" s="175">
        <v>0</v>
      </c>
      <c r="AP15" s="175">
        <v>0</v>
      </c>
      <c r="AQ15" s="175">
        <v>0</v>
      </c>
      <c r="AR15" s="175">
        <v>0</v>
      </c>
      <c r="AS15" s="175">
        <v>0</v>
      </c>
      <c r="AT15" s="175">
        <v>0</v>
      </c>
      <c r="AU15" s="175">
        <v>0</v>
      </c>
      <c r="AV15" s="175">
        <v>0</v>
      </c>
      <c r="AW15" s="175">
        <v>0</v>
      </c>
      <c r="AX15" s="175">
        <v>0</v>
      </c>
      <c r="AY15" s="175">
        <v>0</v>
      </c>
      <c r="AZ15" s="175">
        <v>0</v>
      </c>
      <c r="BA15" s="175">
        <v>0</v>
      </c>
      <c r="BB15" s="175">
        <v>0</v>
      </c>
      <c r="BC15" s="175">
        <v>0</v>
      </c>
      <c r="BD15" s="175">
        <v>0</v>
      </c>
      <c r="BE15" s="175">
        <v>0</v>
      </c>
      <c r="BF15" s="175">
        <v>0</v>
      </c>
      <c r="BG15" s="175">
        <v>0</v>
      </c>
      <c r="BH15" s="175">
        <v>0</v>
      </c>
      <c r="BI15" s="175">
        <v>0</v>
      </c>
      <c r="BJ15" s="175">
        <v>0</v>
      </c>
      <c r="BK15" s="175">
        <v>0</v>
      </c>
      <c r="BL15" s="175">
        <v>0</v>
      </c>
      <c r="BM15" s="175">
        <v>0</v>
      </c>
      <c r="BN15" s="175">
        <v>0</v>
      </c>
      <c r="BO15" s="175">
        <v>0</v>
      </c>
      <c r="BP15" s="175">
        <v>0</v>
      </c>
      <c r="BQ15" s="175">
        <v>0</v>
      </c>
      <c r="BR15" s="175">
        <v>0</v>
      </c>
      <c r="BS15" s="175">
        <v>0</v>
      </c>
      <c r="BT15" s="175">
        <v>0</v>
      </c>
      <c r="BU15" s="175">
        <v>0</v>
      </c>
      <c r="BV15" s="175">
        <v>0</v>
      </c>
      <c r="BW15" s="175">
        <v>0</v>
      </c>
      <c r="BX15" s="175">
        <v>0</v>
      </c>
      <c r="BY15" s="175">
        <v>0</v>
      </c>
      <c r="BZ15" s="175">
        <v>0</v>
      </c>
      <c r="CA15" s="175">
        <v>0</v>
      </c>
      <c r="CB15" s="175">
        <v>0</v>
      </c>
      <c r="CC15" s="175">
        <v>0</v>
      </c>
      <c r="CD15" s="175">
        <v>0</v>
      </c>
      <c r="CE15" s="175">
        <v>0</v>
      </c>
      <c r="CF15" s="175">
        <v>0</v>
      </c>
      <c r="CG15" s="175">
        <v>0</v>
      </c>
      <c r="CH15" s="175">
        <v>0</v>
      </c>
      <c r="CI15" s="175">
        <v>0</v>
      </c>
      <c r="CJ15" s="175">
        <v>0</v>
      </c>
      <c r="CK15" s="175">
        <v>0</v>
      </c>
      <c r="CL15" s="175">
        <v>0</v>
      </c>
      <c r="CM15" s="175">
        <v>0</v>
      </c>
      <c r="CN15" s="175">
        <v>0</v>
      </c>
      <c r="CO15" s="175">
        <v>0</v>
      </c>
      <c r="CP15" s="175">
        <v>0</v>
      </c>
      <c r="CQ15" s="175">
        <v>0</v>
      </c>
    </row>
    <row r="16" spans="1:95" s="175" customFormat="1" x14ac:dyDescent="0.2">
      <c r="A16" s="175" t="s">
        <v>184</v>
      </c>
      <c r="B16" s="175">
        <v>0</v>
      </c>
      <c r="C16" s="175">
        <v>0</v>
      </c>
      <c r="D16" s="175">
        <v>0</v>
      </c>
      <c r="E16" s="175">
        <v>0</v>
      </c>
      <c r="F16" s="175">
        <v>0</v>
      </c>
      <c r="G16" s="175">
        <v>0</v>
      </c>
      <c r="H16" s="175">
        <v>0</v>
      </c>
      <c r="I16" s="175">
        <v>0</v>
      </c>
      <c r="J16" s="175">
        <v>0</v>
      </c>
      <c r="K16" s="175">
        <v>0</v>
      </c>
      <c r="L16" s="175">
        <v>0</v>
      </c>
      <c r="M16" s="175">
        <v>0</v>
      </c>
      <c r="N16" s="175">
        <v>0</v>
      </c>
      <c r="O16" s="175">
        <v>0</v>
      </c>
      <c r="P16" s="175">
        <v>0</v>
      </c>
      <c r="Q16" s="175">
        <v>0</v>
      </c>
      <c r="R16" s="175">
        <v>0</v>
      </c>
      <c r="S16" s="175">
        <v>0</v>
      </c>
      <c r="T16" s="175">
        <v>0</v>
      </c>
      <c r="U16" s="175">
        <v>0</v>
      </c>
      <c r="V16" s="175">
        <v>0</v>
      </c>
      <c r="W16" s="175">
        <v>0</v>
      </c>
      <c r="X16" s="175">
        <v>0</v>
      </c>
      <c r="Y16" s="175">
        <v>0</v>
      </c>
      <c r="Z16" s="175">
        <v>0</v>
      </c>
      <c r="AA16" s="175">
        <v>0</v>
      </c>
      <c r="AB16" s="175">
        <v>0</v>
      </c>
      <c r="AC16" s="175">
        <v>0</v>
      </c>
      <c r="AD16" s="175">
        <v>0</v>
      </c>
      <c r="AE16" s="175">
        <v>0</v>
      </c>
      <c r="AF16" s="175">
        <v>0</v>
      </c>
      <c r="AG16" s="175">
        <v>0</v>
      </c>
      <c r="AH16" s="175">
        <v>0</v>
      </c>
      <c r="AI16" s="175">
        <v>0</v>
      </c>
      <c r="AJ16" s="175">
        <v>0</v>
      </c>
      <c r="AK16" s="175">
        <v>0</v>
      </c>
      <c r="AL16" s="175">
        <v>0</v>
      </c>
      <c r="AM16" s="175">
        <v>0</v>
      </c>
      <c r="AN16" s="175">
        <v>0</v>
      </c>
      <c r="AO16" s="175">
        <v>0</v>
      </c>
      <c r="AP16" s="175">
        <v>0</v>
      </c>
      <c r="AQ16" s="175">
        <v>0</v>
      </c>
      <c r="AR16" s="175">
        <v>0</v>
      </c>
      <c r="AS16" s="175">
        <v>0</v>
      </c>
      <c r="AT16" s="175">
        <v>0</v>
      </c>
      <c r="AU16" s="175">
        <v>0</v>
      </c>
      <c r="AV16" s="175">
        <v>0</v>
      </c>
      <c r="AW16" s="175">
        <v>0</v>
      </c>
      <c r="AX16" s="175">
        <v>0</v>
      </c>
      <c r="AY16" s="175">
        <v>0</v>
      </c>
      <c r="AZ16" s="175">
        <v>0</v>
      </c>
      <c r="BA16" s="175">
        <v>0</v>
      </c>
      <c r="BB16" s="175">
        <v>0</v>
      </c>
      <c r="BC16" s="175">
        <v>0</v>
      </c>
      <c r="BD16" s="175">
        <v>0</v>
      </c>
      <c r="BE16" s="175">
        <v>0</v>
      </c>
      <c r="BF16" s="175">
        <v>0</v>
      </c>
      <c r="BG16" s="175">
        <v>0</v>
      </c>
      <c r="BH16" s="175">
        <v>0</v>
      </c>
      <c r="BI16" s="175">
        <v>0</v>
      </c>
      <c r="BJ16" s="175">
        <v>0</v>
      </c>
      <c r="BK16" s="175">
        <v>0</v>
      </c>
      <c r="BL16" s="175">
        <v>0</v>
      </c>
      <c r="BM16" s="175">
        <v>0</v>
      </c>
      <c r="BN16" s="175">
        <v>0</v>
      </c>
      <c r="BO16" s="175">
        <v>0</v>
      </c>
      <c r="BP16" s="175">
        <v>0</v>
      </c>
      <c r="BQ16" s="175">
        <v>0</v>
      </c>
      <c r="BR16" s="175">
        <v>0</v>
      </c>
      <c r="BS16" s="175">
        <v>0</v>
      </c>
      <c r="BT16" s="175">
        <v>0</v>
      </c>
      <c r="BU16" s="175">
        <v>0</v>
      </c>
      <c r="BV16" s="175">
        <v>0</v>
      </c>
      <c r="BW16" s="175">
        <v>0</v>
      </c>
      <c r="BX16" s="175">
        <v>0</v>
      </c>
      <c r="BY16" s="175">
        <v>0</v>
      </c>
      <c r="BZ16" s="175">
        <v>0</v>
      </c>
      <c r="CA16" s="175">
        <v>0</v>
      </c>
      <c r="CB16" s="175">
        <v>0</v>
      </c>
      <c r="CC16" s="175">
        <v>0</v>
      </c>
      <c r="CD16" s="175">
        <v>0</v>
      </c>
      <c r="CE16" s="175">
        <v>0</v>
      </c>
      <c r="CF16" s="175">
        <v>0</v>
      </c>
      <c r="CG16" s="175">
        <v>0</v>
      </c>
      <c r="CH16" s="175">
        <v>0</v>
      </c>
      <c r="CI16" s="175">
        <v>0</v>
      </c>
      <c r="CJ16" s="175">
        <v>0</v>
      </c>
      <c r="CK16" s="175">
        <v>0</v>
      </c>
      <c r="CL16" s="175">
        <v>0</v>
      </c>
      <c r="CM16" s="175">
        <v>0</v>
      </c>
      <c r="CN16" s="175">
        <v>0</v>
      </c>
      <c r="CO16" s="175">
        <v>0</v>
      </c>
      <c r="CP16" s="175">
        <v>0</v>
      </c>
      <c r="CQ16" s="175">
        <v>0</v>
      </c>
    </row>
    <row r="17" spans="1:95" s="175" customFormat="1" x14ac:dyDescent="0.2">
      <c r="A17" s="175" t="s">
        <v>228</v>
      </c>
      <c r="B17" s="175">
        <v>0</v>
      </c>
      <c r="C17" s="175">
        <v>0</v>
      </c>
      <c r="D17" s="175">
        <v>0</v>
      </c>
      <c r="E17" s="175">
        <v>0</v>
      </c>
      <c r="F17" s="175">
        <v>0</v>
      </c>
      <c r="G17" s="175">
        <v>0</v>
      </c>
      <c r="H17" s="175">
        <v>0</v>
      </c>
      <c r="I17" s="175">
        <v>0</v>
      </c>
      <c r="J17" s="175">
        <v>0</v>
      </c>
      <c r="K17" s="175">
        <v>0</v>
      </c>
      <c r="L17" s="175">
        <v>0</v>
      </c>
      <c r="M17" s="175">
        <v>0</v>
      </c>
      <c r="N17" s="175">
        <v>0</v>
      </c>
      <c r="O17" s="175">
        <v>0</v>
      </c>
      <c r="P17" s="175">
        <v>0</v>
      </c>
      <c r="Q17" s="175">
        <v>0</v>
      </c>
      <c r="R17" s="175">
        <v>0</v>
      </c>
      <c r="S17" s="175">
        <v>0</v>
      </c>
      <c r="T17" s="175">
        <v>0</v>
      </c>
      <c r="U17" s="175">
        <v>0</v>
      </c>
      <c r="V17" s="175">
        <v>0</v>
      </c>
      <c r="W17" s="175">
        <v>0</v>
      </c>
      <c r="X17" s="175">
        <v>0</v>
      </c>
      <c r="Y17" s="175">
        <v>0</v>
      </c>
      <c r="Z17" s="175">
        <v>0</v>
      </c>
      <c r="AA17" s="175">
        <v>0</v>
      </c>
      <c r="AB17" s="175">
        <v>0</v>
      </c>
      <c r="AC17" s="175">
        <v>0</v>
      </c>
      <c r="AD17" s="175">
        <v>0</v>
      </c>
      <c r="AE17" s="175">
        <v>0</v>
      </c>
      <c r="AF17" s="175">
        <v>0</v>
      </c>
      <c r="AG17" s="175">
        <v>0</v>
      </c>
      <c r="AH17" s="175">
        <v>0</v>
      </c>
      <c r="AI17" s="175">
        <v>0</v>
      </c>
      <c r="AJ17" s="175">
        <v>0</v>
      </c>
      <c r="AK17" s="175">
        <v>0</v>
      </c>
      <c r="AL17" s="175">
        <v>0</v>
      </c>
      <c r="AM17" s="175">
        <v>0</v>
      </c>
      <c r="AN17" s="175">
        <v>0</v>
      </c>
      <c r="AO17" s="175">
        <v>0</v>
      </c>
      <c r="AP17" s="175">
        <v>0</v>
      </c>
      <c r="AQ17" s="175">
        <v>0</v>
      </c>
      <c r="AR17" s="175">
        <v>0</v>
      </c>
      <c r="AS17" s="175">
        <v>0</v>
      </c>
      <c r="AT17" s="175">
        <v>0</v>
      </c>
      <c r="AU17" s="175">
        <v>0</v>
      </c>
      <c r="AV17" s="175">
        <v>0</v>
      </c>
      <c r="AW17" s="175">
        <v>0</v>
      </c>
      <c r="AX17" s="175">
        <v>0</v>
      </c>
      <c r="AY17" s="175">
        <v>0</v>
      </c>
      <c r="AZ17" s="175">
        <v>0</v>
      </c>
      <c r="BA17" s="175">
        <v>0</v>
      </c>
      <c r="BB17" s="175">
        <v>0</v>
      </c>
      <c r="BC17" s="175">
        <v>0</v>
      </c>
      <c r="BD17" s="175">
        <v>0</v>
      </c>
      <c r="BE17" s="175">
        <v>0</v>
      </c>
      <c r="BF17" s="175">
        <v>0</v>
      </c>
      <c r="BG17" s="175">
        <v>0</v>
      </c>
      <c r="BH17" s="175">
        <v>0</v>
      </c>
      <c r="BI17" s="175">
        <v>0</v>
      </c>
      <c r="BJ17" s="175">
        <v>0</v>
      </c>
      <c r="BK17" s="175">
        <v>0</v>
      </c>
      <c r="BL17" s="175">
        <v>0</v>
      </c>
      <c r="BM17" s="175">
        <v>0</v>
      </c>
      <c r="BN17" s="175">
        <v>0</v>
      </c>
      <c r="BO17" s="175">
        <v>0</v>
      </c>
      <c r="BP17" s="175">
        <v>0</v>
      </c>
      <c r="BQ17" s="175">
        <v>0</v>
      </c>
      <c r="BR17" s="175">
        <v>0</v>
      </c>
      <c r="BS17" s="175">
        <v>0</v>
      </c>
      <c r="BT17" s="175">
        <v>0</v>
      </c>
      <c r="BU17" s="175">
        <v>0</v>
      </c>
      <c r="BV17" s="175">
        <v>0</v>
      </c>
      <c r="BW17" s="175">
        <v>0</v>
      </c>
      <c r="BX17" s="175">
        <v>0</v>
      </c>
      <c r="BY17" s="175">
        <v>0</v>
      </c>
      <c r="BZ17" s="175">
        <v>0</v>
      </c>
      <c r="CA17" s="175">
        <v>0</v>
      </c>
      <c r="CB17" s="175">
        <v>0</v>
      </c>
      <c r="CC17" s="175">
        <v>0</v>
      </c>
      <c r="CD17" s="175">
        <v>0</v>
      </c>
      <c r="CE17" s="175">
        <v>0</v>
      </c>
      <c r="CF17" s="175">
        <v>0</v>
      </c>
      <c r="CG17" s="175">
        <v>0</v>
      </c>
      <c r="CH17" s="175">
        <v>0</v>
      </c>
      <c r="CI17" s="175">
        <v>0</v>
      </c>
      <c r="CJ17" s="175">
        <v>0</v>
      </c>
      <c r="CK17" s="175">
        <v>0</v>
      </c>
      <c r="CL17" s="175">
        <v>0</v>
      </c>
      <c r="CM17" s="175">
        <v>0</v>
      </c>
      <c r="CN17" s="175">
        <v>0</v>
      </c>
      <c r="CO17" s="175">
        <v>0</v>
      </c>
      <c r="CP17" s="175">
        <v>0</v>
      </c>
      <c r="CQ17" s="175">
        <v>0</v>
      </c>
    </row>
    <row r="18" spans="1:95" s="175" customFormat="1" x14ac:dyDescent="0.2">
      <c r="A18" s="175" t="s">
        <v>185</v>
      </c>
      <c r="B18" s="175">
        <v>0</v>
      </c>
      <c r="C18" s="175">
        <v>0</v>
      </c>
      <c r="D18" s="175">
        <v>0</v>
      </c>
      <c r="E18" s="175">
        <v>0</v>
      </c>
      <c r="F18" s="175">
        <v>0</v>
      </c>
      <c r="G18" s="175">
        <v>0</v>
      </c>
      <c r="H18" s="175">
        <v>0</v>
      </c>
      <c r="I18" s="175">
        <v>0</v>
      </c>
      <c r="J18" s="175">
        <v>0</v>
      </c>
      <c r="K18" s="175">
        <v>0</v>
      </c>
      <c r="L18" s="175">
        <v>0</v>
      </c>
      <c r="M18" s="175">
        <v>0</v>
      </c>
      <c r="N18" s="175">
        <v>0</v>
      </c>
      <c r="O18" s="175">
        <v>0</v>
      </c>
      <c r="P18" s="175">
        <v>0</v>
      </c>
      <c r="Q18" s="175">
        <v>0</v>
      </c>
      <c r="R18" s="175">
        <v>0</v>
      </c>
      <c r="S18" s="175">
        <v>0</v>
      </c>
      <c r="T18" s="175">
        <v>0</v>
      </c>
      <c r="U18" s="175">
        <v>0</v>
      </c>
      <c r="V18" s="175">
        <v>0</v>
      </c>
      <c r="W18" s="175">
        <v>0</v>
      </c>
      <c r="X18" s="175">
        <v>0</v>
      </c>
      <c r="Y18" s="175">
        <v>0</v>
      </c>
      <c r="Z18" s="175">
        <v>0</v>
      </c>
      <c r="AA18" s="175">
        <v>0</v>
      </c>
      <c r="AB18" s="175">
        <v>0</v>
      </c>
      <c r="AC18" s="175">
        <v>0</v>
      </c>
      <c r="AD18" s="175">
        <v>0</v>
      </c>
      <c r="AE18" s="175">
        <v>0</v>
      </c>
      <c r="AF18" s="175">
        <v>0</v>
      </c>
      <c r="AG18" s="175">
        <v>0</v>
      </c>
      <c r="AH18" s="175">
        <v>0</v>
      </c>
      <c r="AI18" s="175">
        <v>0</v>
      </c>
      <c r="AJ18" s="175">
        <v>0</v>
      </c>
      <c r="AK18" s="175">
        <v>0</v>
      </c>
      <c r="AL18" s="175">
        <v>0</v>
      </c>
      <c r="AM18" s="175">
        <v>0</v>
      </c>
      <c r="AN18" s="175">
        <v>0</v>
      </c>
      <c r="AO18" s="175">
        <v>0</v>
      </c>
      <c r="AP18" s="175">
        <v>0</v>
      </c>
      <c r="AQ18" s="175">
        <v>0</v>
      </c>
      <c r="AR18" s="175">
        <v>0</v>
      </c>
      <c r="AS18" s="175">
        <v>0</v>
      </c>
      <c r="AT18" s="175">
        <v>0</v>
      </c>
      <c r="AU18" s="175">
        <v>0</v>
      </c>
      <c r="AV18" s="175">
        <v>0</v>
      </c>
      <c r="AW18" s="175">
        <v>0</v>
      </c>
      <c r="AX18" s="175">
        <v>0</v>
      </c>
      <c r="AY18" s="175">
        <v>0</v>
      </c>
      <c r="AZ18" s="175">
        <v>0</v>
      </c>
      <c r="BA18" s="175">
        <v>0</v>
      </c>
      <c r="BB18" s="175">
        <v>0</v>
      </c>
      <c r="BC18" s="175">
        <v>0</v>
      </c>
      <c r="BD18" s="175">
        <v>0</v>
      </c>
      <c r="BE18" s="175">
        <v>0</v>
      </c>
      <c r="BF18" s="175">
        <v>0</v>
      </c>
      <c r="BG18" s="175">
        <v>0</v>
      </c>
      <c r="BH18" s="175">
        <v>0</v>
      </c>
      <c r="BI18" s="175">
        <v>0</v>
      </c>
      <c r="BJ18" s="175">
        <v>0</v>
      </c>
      <c r="BK18" s="175">
        <v>0</v>
      </c>
      <c r="BL18" s="175">
        <v>0</v>
      </c>
      <c r="BM18" s="175">
        <v>0</v>
      </c>
      <c r="BN18" s="175">
        <v>0</v>
      </c>
      <c r="BO18" s="175">
        <v>0</v>
      </c>
      <c r="BP18" s="175">
        <v>0</v>
      </c>
      <c r="BQ18" s="175">
        <v>0</v>
      </c>
      <c r="BR18" s="175">
        <v>0</v>
      </c>
      <c r="BS18" s="175">
        <v>0</v>
      </c>
      <c r="BT18" s="175">
        <v>0</v>
      </c>
      <c r="BU18" s="175">
        <v>0</v>
      </c>
      <c r="BV18" s="175">
        <v>0</v>
      </c>
      <c r="BW18" s="175">
        <v>0</v>
      </c>
      <c r="BX18" s="175">
        <v>0</v>
      </c>
      <c r="BY18" s="175">
        <v>0</v>
      </c>
      <c r="BZ18" s="175">
        <v>0</v>
      </c>
      <c r="CA18" s="175">
        <v>0</v>
      </c>
      <c r="CB18" s="175">
        <v>0</v>
      </c>
      <c r="CC18" s="175">
        <v>0</v>
      </c>
      <c r="CD18" s="175">
        <v>0</v>
      </c>
      <c r="CE18" s="175">
        <v>0</v>
      </c>
      <c r="CF18" s="175">
        <v>0</v>
      </c>
      <c r="CG18" s="175">
        <v>0</v>
      </c>
      <c r="CH18" s="175">
        <v>0</v>
      </c>
      <c r="CI18" s="175">
        <v>0</v>
      </c>
      <c r="CJ18" s="175">
        <v>0</v>
      </c>
      <c r="CK18" s="175">
        <v>0</v>
      </c>
      <c r="CL18" s="175">
        <v>0</v>
      </c>
      <c r="CM18" s="175">
        <v>0</v>
      </c>
      <c r="CN18" s="175">
        <v>0</v>
      </c>
      <c r="CO18" s="175">
        <v>0</v>
      </c>
      <c r="CP18" s="175">
        <v>0</v>
      </c>
      <c r="CQ18" s="175">
        <v>0</v>
      </c>
    </row>
    <row r="19" spans="1:95" s="175" customFormat="1" x14ac:dyDescent="0.2">
      <c r="A19" s="175" t="s">
        <v>246</v>
      </c>
      <c r="B19" s="175">
        <v>0</v>
      </c>
      <c r="C19" s="175">
        <v>0</v>
      </c>
      <c r="D19" s="175">
        <v>0</v>
      </c>
      <c r="E19" s="175">
        <v>0</v>
      </c>
      <c r="F19" s="175">
        <v>0</v>
      </c>
      <c r="G19" s="175">
        <v>0</v>
      </c>
      <c r="H19" s="175">
        <v>0</v>
      </c>
      <c r="I19" s="175">
        <v>0</v>
      </c>
      <c r="J19" s="175">
        <v>0</v>
      </c>
      <c r="K19" s="175">
        <v>0</v>
      </c>
      <c r="L19" s="175">
        <v>0</v>
      </c>
      <c r="M19" s="175">
        <v>0</v>
      </c>
      <c r="N19" s="175">
        <v>0</v>
      </c>
      <c r="O19" s="175">
        <v>0</v>
      </c>
      <c r="P19" s="175">
        <v>0</v>
      </c>
      <c r="Q19" s="175">
        <v>0</v>
      </c>
      <c r="R19" s="175">
        <v>0</v>
      </c>
      <c r="S19" s="175">
        <v>0</v>
      </c>
      <c r="T19" s="175">
        <v>0</v>
      </c>
      <c r="U19" s="175">
        <v>0</v>
      </c>
      <c r="V19" s="175">
        <v>0</v>
      </c>
      <c r="W19" s="175">
        <v>0</v>
      </c>
      <c r="X19" s="175">
        <v>0</v>
      </c>
      <c r="Y19" s="175">
        <v>0</v>
      </c>
      <c r="Z19" s="175">
        <v>0</v>
      </c>
      <c r="AA19" s="175">
        <v>0</v>
      </c>
      <c r="AB19" s="175">
        <v>0</v>
      </c>
      <c r="AC19" s="175">
        <v>0</v>
      </c>
      <c r="AD19" s="175">
        <v>0</v>
      </c>
      <c r="AE19" s="175">
        <v>0</v>
      </c>
      <c r="AF19" s="175">
        <v>0</v>
      </c>
      <c r="AG19" s="175">
        <v>0</v>
      </c>
      <c r="AH19" s="175">
        <v>0</v>
      </c>
      <c r="AI19" s="175">
        <v>0</v>
      </c>
      <c r="AJ19" s="175">
        <v>0</v>
      </c>
      <c r="AK19" s="175">
        <v>0</v>
      </c>
      <c r="AL19" s="175">
        <v>0</v>
      </c>
      <c r="AM19" s="175">
        <v>0</v>
      </c>
      <c r="AN19" s="175">
        <v>0</v>
      </c>
      <c r="AO19" s="175">
        <v>0</v>
      </c>
      <c r="AP19" s="175">
        <v>0</v>
      </c>
      <c r="AQ19" s="175">
        <v>0</v>
      </c>
      <c r="AR19" s="175">
        <v>0</v>
      </c>
      <c r="AS19" s="175">
        <v>0</v>
      </c>
      <c r="AT19" s="175">
        <v>0</v>
      </c>
      <c r="AU19" s="175">
        <v>0</v>
      </c>
      <c r="AV19" s="175">
        <v>0</v>
      </c>
      <c r="AW19" s="175">
        <v>0</v>
      </c>
      <c r="AX19" s="175">
        <v>0</v>
      </c>
      <c r="AY19" s="175">
        <v>0</v>
      </c>
      <c r="AZ19" s="175">
        <v>0</v>
      </c>
      <c r="BA19" s="175">
        <v>0</v>
      </c>
      <c r="BB19" s="175">
        <v>0</v>
      </c>
      <c r="BC19" s="175">
        <v>0</v>
      </c>
      <c r="BD19" s="175">
        <v>0</v>
      </c>
      <c r="BE19" s="175">
        <v>0</v>
      </c>
      <c r="BF19" s="175">
        <v>0</v>
      </c>
      <c r="BG19" s="175">
        <v>0</v>
      </c>
      <c r="BH19" s="175">
        <v>0</v>
      </c>
      <c r="BI19" s="175">
        <v>0</v>
      </c>
      <c r="BJ19" s="175">
        <v>0</v>
      </c>
      <c r="BK19" s="175">
        <v>0</v>
      </c>
      <c r="BL19" s="175">
        <v>0</v>
      </c>
      <c r="BM19" s="175">
        <v>0</v>
      </c>
      <c r="BN19" s="175">
        <v>0</v>
      </c>
      <c r="BO19" s="175">
        <v>0</v>
      </c>
      <c r="BP19" s="175">
        <v>0</v>
      </c>
      <c r="BQ19" s="175">
        <v>0</v>
      </c>
      <c r="BR19" s="175">
        <v>0</v>
      </c>
      <c r="BS19" s="175">
        <v>0</v>
      </c>
      <c r="BT19" s="175">
        <v>0</v>
      </c>
      <c r="BU19" s="175">
        <v>0</v>
      </c>
      <c r="BV19" s="175">
        <v>0</v>
      </c>
      <c r="BW19" s="175">
        <v>0</v>
      </c>
      <c r="BX19" s="175">
        <v>0</v>
      </c>
      <c r="BY19" s="175">
        <v>0</v>
      </c>
      <c r="BZ19" s="175">
        <v>0</v>
      </c>
      <c r="CA19" s="175">
        <v>0</v>
      </c>
      <c r="CB19" s="175">
        <v>0</v>
      </c>
      <c r="CC19" s="175">
        <v>0</v>
      </c>
      <c r="CD19" s="175">
        <v>0</v>
      </c>
      <c r="CE19" s="175">
        <v>0</v>
      </c>
      <c r="CF19" s="175">
        <v>0</v>
      </c>
      <c r="CG19" s="175">
        <v>0</v>
      </c>
      <c r="CH19" s="175">
        <v>0</v>
      </c>
      <c r="CI19" s="175">
        <v>0</v>
      </c>
      <c r="CJ19" s="175">
        <v>0</v>
      </c>
      <c r="CK19" s="175">
        <v>0</v>
      </c>
      <c r="CL19" s="175">
        <v>0</v>
      </c>
      <c r="CM19" s="175">
        <v>0</v>
      </c>
      <c r="CN19" s="175">
        <v>0</v>
      </c>
      <c r="CO19" s="175">
        <v>0</v>
      </c>
      <c r="CP19" s="175">
        <v>0</v>
      </c>
      <c r="CQ19" s="175">
        <v>0</v>
      </c>
    </row>
    <row r="20" spans="1:95" s="175" customFormat="1" x14ac:dyDescent="0.2">
      <c r="A20" s="175" t="s">
        <v>229</v>
      </c>
      <c r="B20" s="175">
        <v>0</v>
      </c>
      <c r="C20" s="175">
        <v>0</v>
      </c>
      <c r="D20" s="175">
        <v>0</v>
      </c>
      <c r="E20" s="175">
        <v>0</v>
      </c>
      <c r="F20" s="175">
        <v>0</v>
      </c>
      <c r="G20" s="175">
        <v>0</v>
      </c>
      <c r="H20" s="175">
        <v>0</v>
      </c>
      <c r="I20" s="175">
        <v>0</v>
      </c>
      <c r="J20" s="175">
        <v>0</v>
      </c>
      <c r="K20" s="175">
        <v>0</v>
      </c>
      <c r="L20" s="175">
        <v>0</v>
      </c>
      <c r="M20" s="175">
        <v>0</v>
      </c>
      <c r="N20" s="175">
        <v>0</v>
      </c>
      <c r="O20" s="175">
        <v>0</v>
      </c>
      <c r="P20" s="175">
        <v>0</v>
      </c>
      <c r="Q20" s="175">
        <v>0</v>
      </c>
      <c r="R20" s="175">
        <v>0</v>
      </c>
      <c r="S20" s="175">
        <v>0</v>
      </c>
      <c r="T20" s="175">
        <v>0</v>
      </c>
      <c r="U20" s="175">
        <v>0</v>
      </c>
      <c r="V20" s="175">
        <v>0</v>
      </c>
      <c r="W20" s="175">
        <v>0</v>
      </c>
      <c r="X20" s="175">
        <v>0</v>
      </c>
      <c r="Y20" s="175">
        <v>0</v>
      </c>
      <c r="Z20" s="175">
        <v>0</v>
      </c>
      <c r="AA20" s="175">
        <v>0</v>
      </c>
      <c r="AB20" s="175">
        <v>0</v>
      </c>
      <c r="AC20" s="175">
        <v>0</v>
      </c>
      <c r="AD20" s="175">
        <v>0</v>
      </c>
      <c r="AE20" s="175">
        <v>0</v>
      </c>
      <c r="AF20" s="175">
        <v>0</v>
      </c>
      <c r="AG20" s="175">
        <v>0</v>
      </c>
      <c r="AH20" s="175">
        <v>0</v>
      </c>
      <c r="AI20" s="175">
        <v>0</v>
      </c>
      <c r="AJ20" s="175">
        <v>0</v>
      </c>
      <c r="AK20" s="175">
        <v>0</v>
      </c>
      <c r="AL20" s="175">
        <v>0</v>
      </c>
      <c r="AM20" s="175">
        <v>0</v>
      </c>
      <c r="AN20" s="175">
        <v>0</v>
      </c>
      <c r="AO20" s="175">
        <v>0</v>
      </c>
      <c r="AP20" s="175">
        <v>0</v>
      </c>
      <c r="AQ20" s="175">
        <v>0</v>
      </c>
      <c r="AR20" s="175">
        <v>0</v>
      </c>
      <c r="AS20" s="175">
        <v>0</v>
      </c>
      <c r="AT20" s="175">
        <v>0</v>
      </c>
      <c r="AU20" s="175">
        <v>0</v>
      </c>
      <c r="AV20" s="175">
        <v>0</v>
      </c>
      <c r="AW20" s="175">
        <v>0</v>
      </c>
      <c r="AX20" s="175">
        <v>0</v>
      </c>
      <c r="AY20" s="175">
        <v>0</v>
      </c>
      <c r="AZ20" s="175">
        <v>0</v>
      </c>
      <c r="BA20" s="175">
        <v>0</v>
      </c>
      <c r="BB20" s="175">
        <v>0</v>
      </c>
      <c r="BC20" s="175">
        <v>0</v>
      </c>
      <c r="BD20" s="175">
        <v>0</v>
      </c>
      <c r="BE20" s="175">
        <v>0</v>
      </c>
      <c r="BF20" s="175">
        <v>0</v>
      </c>
      <c r="BG20" s="175">
        <v>0</v>
      </c>
      <c r="BH20" s="175">
        <v>0</v>
      </c>
      <c r="BI20" s="175">
        <v>0</v>
      </c>
      <c r="BJ20" s="175">
        <v>0</v>
      </c>
      <c r="BK20" s="175">
        <v>0</v>
      </c>
      <c r="BL20" s="175">
        <v>0</v>
      </c>
      <c r="BM20" s="175">
        <v>0</v>
      </c>
      <c r="BN20" s="175">
        <v>0</v>
      </c>
      <c r="BO20" s="175">
        <v>0</v>
      </c>
      <c r="BP20" s="175">
        <v>0</v>
      </c>
      <c r="BQ20" s="175">
        <v>0</v>
      </c>
      <c r="BR20" s="175">
        <v>0</v>
      </c>
      <c r="BS20" s="175">
        <v>0</v>
      </c>
      <c r="BT20" s="175">
        <v>0</v>
      </c>
      <c r="BU20" s="175">
        <v>0</v>
      </c>
      <c r="BV20" s="175">
        <v>0</v>
      </c>
      <c r="BW20" s="175">
        <v>0</v>
      </c>
      <c r="BX20" s="175">
        <v>0</v>
      </c>
      <c r="BY20" s="175">
        <v>0</v>
      </c>
      <c r="BZ20" s="175">
        <v>0</v>
      </c>
      <c r="CA20" s="175">
        <v>0</v>
      </c>
      <c r="CB20" s="175">
        <v>0</v>
      </c>
      <c r="CC20" s="175">
        <v>0</v>
      </c>
      <c r="CD20" s="175">
        <v>0</v>
      </c>
      <c r="CE20" s="175">
        <v>0</v>
      </c>
      <c r="CF20" s="175">
        <v>0</v>
      </c>
      <c r="CG20" s="175">
        <v>0</v>
      </c>
      <c r="CH20" s="175">
        <v>0</v>
      </c>
      <c r="CI20" s="175">
        <v>0</v>
      </c>
      <c r="CJ20" s="175">
        <v>0</v>
      </c>
      <c r="CK20" s="175">
        <v>0</v>
      </c>
      <c r="CL20" s="175">
        <v>0</v>
      </c>
      <c r="CM20" s="175">
        <v>0</v>
      </c>
      <c r="CN20" s="175">
        <v>0</v>
      </c>
      <c r="CO20" s="175">
        <v>0</v>
      </c>
      <c r="CP20" s="175">
        <v>0</v>
      </c>
      <c r="CQ20" s="175">
        <v>0</v>
      </c>
    </row>
    <row r="21" spans="1:95" s="175" customFormat="1" x14ac:dyDescent="0.2">
      <c r="A21" s="175" t="s">
        <v>186</v>
      </c>
      <c r="B21" s="175">
        <v>0</v>
      </c>
      <c r="C21" s="175">
        <v>0</v>
      </c>
      <c r="D21" s="175">
        <v>0</v>
      </c>
      <c r="E21" s="175">
        <v>0</v>
      </c>
      <c r="F21" s="175">
        <v>0</v>
      </c>
      <c r="G21" s="175">
        <v>0</v>
      </c>
      <c r="H21" s="175">
        <v>0</v>
      </c>
      <c r="I21" s="175">
        <v>0</v>
      </c>
      <c r="J21" s="175">
        <v>0</v>
      </c>
      <c r="K21" s="175">
        <v>0</v>
      </c>
      <c r="L21" s="175">
        <v>0</v>
      </c>
      <c r="M21" s="175">
        <v>0</v>
      </c>
      <c r="N21" s="175">
        <v>0</v>
      </c>
      <c r="O21" s="175">
        <v>0</v>
      </c>
      <c r="P21" s="175">
        <v>0</v>
      </c>
      <c r="Q21" s="175">
        <v>0</v>
      </c>
      <c r="R21" s="175">
        <v>0</v>
      </c>
      <c r="S21" s="175">
        <v>0</v>
      </c>
      <c r="T21" s="175">
        <v>0</v>
      </c>
      <c r="U21" s="175">
        <v>0</v>
      </c>
      <c r="V21" s="175">
        <v>0</v>
      </c>
      <c r="W21" s="175">
        <v>0</v>
      </c>
      <c r="X21" s="175">
        <v>0</v>
      </c>
      <c r="Y21" s="175">
        <v>0</v>
      </c>
      <c r="Z21" s="175">
        <v>0</v>
      </c>
      <c r="AA21" s="175">
        <v>0</v>
      </c>
      <c r="AB21" s="175">
        <v>0</v>
      </c>
      <c r="AC21" s="175">
        <v>0</v>
      </c>
      <c r="AD21" s="175">
        <v>0</v>
      </c>
      <c r="AE21" s="175">
        <v>0</v>
      </c>
      <c r="AF21" s="175">
        <v>0</v>
      </c>
      <c r="AG21" s="175">
        <v>0</v>
      </c>
      <c r="AH21" s="175">
        <v>0</v>
      </c>
      <c r="AI21" s="175">
        <v>0</v>
      </c>
      <c r="AJ21" s="175">
        <v>0</v>
      </c>
      <c r="AK21" s="175">
        <v>0</v>
      </c>
      <c r="AL21" s="175">
        <v>0</v>
      </c>
      <c r="AM21" s="175">
        <v>0</v>
      </c>
      <c r="AN21" s="175">
        <v>0</v>
      </c>
      <c r="AO21" s="175">
        <v>0</v>
      </c>
      <c r="AP21" s="175">
        <v>0</v>
      </c>
      <c r="AQ21" s="175">
        <v>0</v>
      </c>
      <c r="AR21" s="175">
        <v>0</v>
      </c>
      <c r="AS21" s="175">
        <v>0</v>
      </c>
      <c r="AT21" s="175">
        <v>0</v>
      </c>
      <c r="AU21" s="175">
        <v>0</v>
      </c>
      <c r="AV21" s="175">
        <v>0</v>
      </c>
      <c r="AW21" s="175">
        <v>0</v>
      </c>
      <c r="AX21" s="175">
        <v>0</v>
      </c>
      <c r="AY21" s="175">
        <v>0</v>
      </c>
      <c r="AZ21" s="175">
        <v>0</v>
      </c>
      <c r="BA21" s="175">
        <v>0</v>
      </c>
      <c r="BB21" s="175">
        <v>0</v>
      </c>
      <c r="BC21" s="175">
        <v>0</v>
      </c>
      <c r="BD21" s="175">
        <v>0</v>
      </c>
      <c r="BE21" s="175">
        <v>0</v>
      </c>
      <c r="BF21" s="175">
        <v>0</v>
      </c>
      <c r="BG21" s="175">
        <v>0</v>
      </c>
      <c r="BH21" s="175">
        <v>0</v>
      </c>
      <c r="BI21" s="175">
        <v>0</v>
      </c>
      <c r="BJ21" s="175">
        <v>0</v>
      </c>
      <c r="BK21" s="175">
        <v>0</v>
      </c>
      <c r="BL21" s="175">
        <v>0</v>
      </c>
      <c r="BM21" s="175">
        <v>0</v>
      </c>
      <c r="BN21" s="175">
        <v>0</v>
      </c>
      <c r="BO21" s="175">
        <v>0</v>
      </c>
      <c r="BP21" s="175">
        <v>0</v>
      </c>
      <c r="BQ21" s="175">
        <v>0</v>
      </c>
      <c r="BR21" s="175">
        <v>0</v>
      </c>
      <c r="BS21" s="175">
        <v>0</v>
      </c>
      <c r="BT21" s="175">
        <v>0</v>
      </c>
      <c r="BU21" s="175">
        <v>0</v>
      </c>
      <c r="BV21" s="175">
        <v>0</v>
      </c>
      <c r="BW21" s="175">
        <v>0</v>
      </c>
      <c r="BX21" s="175">
        <v>0</v>
      </c>
      <c r="BY21" s="175">
        <v>0</v>
      </c>
      <c r="BZ21" s="175">
        <v>0</v>
      </c>
      <c r="CA21" s="175">
        <v>0</v>
      </c>
      <c r="CB21" s="175">
        <v>0</v>
      </c>
      <c r="CC21" s="175">
        <v>0</v>
      </c>
      <c r="CD21" s="175">
        <v>0</v>
      </c>
      <c r="CE21" s="175">
        <v>0</v>
      </c>
      <c r="CF21" s="175">
        <v>0</v>
      </c>
      <c r="CG21" s="175">
        <v>0</v>
      </c>
      <c r="CH21" s="175">
        <v>0</v>
      </c>
      <c r="CI21" s="175">
        <v>0</v>
      </c>
      <c r="CJ21" s="175">
        <v>0</v>
      </c>
      <c r="CK21" s="175">
        <v>0</v>
      </c>
      <c r="CL21" s="175">
        <v>0</v>
      </c>
      <c r="CM21" s="175">
        <v>0</v>
      </c>
      <c r="CN21" s="175">
        <v>0</v>
      </c>
      <c r="CO21" s="175">
        <v>0</v>
      </c>
      <c r="CP21" s="175">
        <v>0</v>
      </c>
      <c r="CQ21" s="175">
        <v>0</v>
      </c>
    </row>
    <row r="22" spans="1:95" s="175" customFormat="1" x14ac:dyDescent="0.2">
      <c r="A22" s="175" t="s">
        <v>187</v>
      </c>
      <c r="B22" s="175">
        <v>0</v>
      </c>
      <c r="C22" s="175">
        <v>0</v>
      </c>
      <c r="D22" s="175">
        <v>0</v>
      </c>
      <c r="E22" s="175">
        <v>0</v>
      </c>
      <c r="F22" s="175">
        <v>0</v>
      </c>
      <c r="G22" s="175">
        <v>0</v>
      </c>
      <c r="H22" s="175">
        <v>0</v>
      </c>
      <c r="I22" s="175">
        <v>0</v>
      </c>
      <c r="J22" s="175">
        <v>0</v>
      </c>
      <c r="K22" s="175">
        <v>0</v>
      </c>
      <c r="L22" s="175">
        <v>0</v>
      </c>
      <c r="M22" s="175">
        <v>0</v>
      </c>
      <c r="N22" s="175">
        <v>0</v>
      </c>
      <c r="O22" s="175">
        <v>0</v>
      </c>
      <c r="P22" s="175">
        <v>0</v>
      </c>
      <c r="Q22" s="175">
        <v>0</v>
      </c>
      <c r="R22" s="175">
        <v>0</v>
      </c>
      <c r="S22" s="175">
        <v>0</v>
      </c>
      <c r="T22" s="175">
        <v>0</v>
      </c>
      <c r="U22" s="175">
        <v>0</v>
      </c>
      <c r="V22" s="175">
        <v>0</v>
      </c>
      <c r="W22" s="175">
        <v>0</v>
      </c>
      <c r="X22" s="175">
        <v>0</v>
      </c>
      <c r="Y22" s="175">
        <v>0</v>
      </c>
      <c r="Z22" s="175">
        <v>0</v>
      </c>
      <c r="AA22" s="175">
        <v>0</v>
      </c>
      <c r="AB22" s="175">
        <v>0</v>
      </c>
      <c r="AC22" s="175">
        <v>0</v>
      </c>
      <c r="AD22" s="175">
        <v>0</v>
      </c>
      <c r="AE22" s="175">
        <v>0</v>
      </c>
      <c r="AF22" s="175">
        <v>0</v>
      </c>
      <c r="AG22" s="175">
        <v>0</v>
      </c>
      <c r="AH22" s="175">
        <v>0</v>
      </c>
      <c r="AI22" s="175">
        <v>0</v>
      </c>
      <c r="AJ22" s="175">
        <v>0</v>
      </c>
      <c r="AK22" s="175">
        <v>0</v>
      </c>
      <c r="AL22" s="175">
        <v>0</v>
      </c>
      <c r="AM22" s="175">
        <v>0</v>
      </c>
      <c r="AN22" s="175">
        <v>0</v>
      </c>
      <c r="AO22" s="175">
        <v>0</v>
      </c>
      <c r="AP22" s="175">
        <v>0</v>
      </c>
      <c r="AQ22" s="175">
        <v>0</v>
      </c>
      <c r="AR22" s="175">
        <v>0</v>
      </c>
      <c r="AS22" s="175">
        <v>0</v>
      </c>
      <c r="AT22" s="175">
        <v>0</v>
      </c>
      <c r="AU22" s="175">
        <v>0</v>
      </c>
      <c r="AV22" s="175">
        <v>0</v>
      </c>
      <c r="AW22" s="175">
        <v>0</v>
      </c>
      <c r="AX22" s="175">
        <v>0</v>
      </c>
      <c r="AY22" s="175">
        <v>0</v>
      </c>
      <c r="AZ22" s="175">
        <v>0</v>
      </c>
      <c r="BA22" s="175">
        <v>0</v>
      </c>
      <c r="BB22" s="175">
        <v>0</v>
      </c>
      <c r="BC22" s="175">
        <v>0</v>
      </c>
      <c r="BD22" s="175">
        <v>0</v>
      </c>
      <c r="BE22" s="175">
        <v>0</v>
      </c>
      <c r="BF22" s="175">
        <v>0</v>
      </c>
      <c r="BG22" s="175">
        <v>0</v>
      </c>
      <c r="BH22" s="175">
        <v>0</v>
      </c>
      <c r="BI22" s="175">
        <v>0</v>
      </c>
      <c r="BJ22" s="175">
        <v>0</v>
      </c>
      <c r="BK22" s="175">
        <v>0</v>
      </c>
      <c r="BL22" s="175">
        <v>0</v>
      </c>
      <c r="BM22" s="175">
        <v>0</v>
      </c>
      <c r="BN22" s="175">
        <v>0</v>
      </c>
      <c r="BO22" s="175">
        <v>0</v>
      </c>
      <c r="BP22" s="175">
        <v>0</v>
      </c>
      <c r="BQ22" s="175">
        <v>0</v>
      </c>
      <c r="BR22" s="175">
        <v>0</v>
      </c>
      <c r="BS22" s="175">
        <v>0</v>
      </c>
      <c r="BT22" s="175">
        <v>0</v>
      </c>
      <c r="BU22" s="175">
        <v>0</v>
      </c>
      <c r="BV22" s="175">
        <v>0</v>
      </c>
      <c r="BW22" s="175">
        <v>0</v>
      </c>
      <c r="BX22" s="175">
        <v>0</v>
      </c>
      <c r="BY22" s="175">
        <v>0</v>
      </c>
      <c r="BZ22" s="175">
        <v>0</v>
      </c>
      <c r="CA22" s="175">
        <v>0</v>
      </c>
      <c r="CB22" s="175">
        <v>0</v>
      </c>
      <c r="CC22" s="175">
        <v>0</v>
      </c>
      <c r="CD22" s="175">
        <v>0</v>
      </c>
      <c r="CE22" s="175">
        <v>0</v>
      </c>
      <c r="CF22" s="175">
        <v>0</v>
      </c>
      <c r="CG22" s="175">
        <v>0</v>
      </c>
      <c r="CH22" s="175">
        <v>0</v>
      </c>
      <c r="CI22" s="175">
        <v>0</v>
      </c>
      <c r="CJ22" s="175">
        <v>0</v>
      </c>
      <c r="CK22" s="175">
        <v>0</v>
      </c>
      <c r="CL22" s="175">
        <v>0</v>
      </c>
      <c r="CM22" s="175">
        <v>0</v>
      </c>
      <c r="CN22" s="175">
        <v>0</v>
      </c>
      <c r="CO22" s="175">
        <v>0</v>
      </c>
      <c r="CP22" s="175">
        <v>0</v>
      </c>
      <c r="CQ22" s="175">
        <v>0</v>
      </c>
    </row>
    <row r="23" spans="1:95" s="175" customFormat="1" x14ac:dyDescent="0.2">
      <c r="A23" s="175" t="s">
        <v>188</v>
      </c>
      <c r="B23" s="175">
        <v>0</v>
      </c>
      <c r="C23" s="175">
        <v>0</v>
      </c>
      <c r="D23" s="175">
        <v>0</v>
      </c>
      <c r="E23" s="175">
        <v>0</v>
      </c>
      <c r="F23" s="175">
        <v>0</v>
      </c>
      <c r="G23" s="175">
        <v>0</v>
      </c>
      <c r="H23" s="175">
        <v>0</v>
      </c>
      <c r="I23" s="175">
        <v>0</v>
      </c>
      <c r="J23" s="175">
        <v>0</v>
      </c>
      <c r="K23" s="175">
        <v>0</v>
      </c>
      <c r="L23" s="175">
        <v>0</v>
      </c>
      <c r="M23" s="175">
        <v>0</v>
      </c>
      <c r="N23" s="175">
        <v>0</v>
      </c>
      <c r="O23" s="175">
        <v>0</v>
      </c>
      <c r="P23" s="175">
        <v>0</v>
      </c>
      <c r="Q23" s="175">
        <v>0</v>
      </c>
      <c r="R23" s="175">
        <v>0</v>
      </c>
      <c r="S23" s="175">
        <v>0</v>
      </c>
      <c r="T23" s="175">
        <v>0</v>
      </c>
      <c r="U23" s="175">
        <v>0</v>
      </c>
      <c r="V23" s="175">
        <v>0</v>
      </c>
      <c r="W23" s="175">
        <v>0</v>
      </c>
      <c r="X23" s="175">
        <v>0</v>
      </c>
      <c r="Y23" s="175">
        <v>0</v>
      </c>
      <c r="Z23" s="175">
        <v>0</v>
      </c>
      <c r="AA23" s="175">
        <v>0</v>
      </c>
      <c r="AB23" s="175">
        <v>0</v>
      </c>
      <c r="AC23" s="175">
        <v>0</v>
      </c>
      <c r="AD23" s="175">
        <v>0</v>
      </c>
      <c r="AE23" s="175">
        <v>0</v>
      </c>
      <c r="AF23" s="175">
        <v>0</v>
      </c>
      <c r="AG23" s="175">
        <v>0</v>
      </c>
      <c r="AH23" s="175">
        <v>0</v>
      </c>
      <c r="AI23" s="175">
        <v>0</v>
      </c>
      <c r="AJ23" s="175">
        <v>0</v>
      </c>
      <c r="AK23" s="175">
        <v>0</v>
      </c>
      <c r="AL23" s="175">
        <v>0</v>
      </c>
      <c r="AM23" s="175">
        <v>0</v>
      </c>
      <c r="AN23" s="175">
        <v>0</v>
      </c>
      <c r="AO23" s="175">
        <v>0</v>
      </c>
      <c r="AP23" s="175">
        <v>0</v>
      </c>
      <c r="AQ23" s="175">
        <v>0</v>
      </c>
      <c r="AR23" s="175">
        <v>0</v>
      </c>
      <c r="AS23" s="175">
        <v>0</v>
      </c>
      <c r="AT23" s="175">
        <v>0</v>
      </c>
      <c r="AU23" s="175">
        <v>0</v>
      </c>
      <c r="AV23" s="175">
        <v>0</v>
      </c>
      <c r="AW23" s="175">
        <v>0</v>
      </c>
      <c r="AX23" s="175">
        <v>0</v>
      </c>
      <c r="AY23" s="175">
        <v>0</v>
      </c>
      <c r="AZ23" s="175">
        <v>0</v>
      </c>
      <c r="BA23" s="175">
        <v>0</v>
      </c>
      <c r="BB23" s="175">
        <v>0</v>
      </c>
      <c r="BC23" s="175">
        <v>0</v>
      </c>
      <c r="BD23" s="175">
        <v>0</v>
      </c>
      <c r="BE23" s="175">
        <v>0</v>
      </c>
      <c r="BF23" s="175">
        <v>0</v>
      </c>
      <c r="BG23" s="175">
        <v>0</v>
      </c>
      <c r="BH23" s="175">
        <v>0</v>
      </c>
      <c r="BI23" s="175">
        <v>0</v>
      </c>
      <c r="BJ23" s="175">
        <v>0</v>
      </c>
      <c r="BK23" s="175">
        <v>0</v>
      </c>
      <c r="BL23" s="175">
        <v>0</v>
      </c>
      <c r="BM23" s="175">
        <v>0</v>
      </c>
      <c r="BN23" s="175">
        <v>0</v>
      </c>
      <c r="BO23" s="175">
        <v>0</v>
      </c>
      <c r="BP23" s="175">
        <v>0</v>
      </c>
      <c r="BQ23" s="175">
        <v>0</v>
      </c>
      <c r="BR23" s="175">
        <v>0</v>
      </c>
      <c r="BS23" s="175">
        <v>0</v>
      </c>
      <c r="BT23" s="175">
        <v>0</v>
      </c>
      <c r="BU23" s="175">
        <v>0</v>
      </c>
      <c r="BV23" s="175">
        <v>0</v>
      </c>
      <c r="BW23" s="175">
        <v>0</v>
      </c>
      <c r="BX23" s="175">
        <v>0</v>
      </c>
      <c r="BY23" s="175">
        <v>0</v>
      </c>
      <c r="BZ23" s="175">
        <v>0</v>
      </c>
      <c r="CA23" s="175">
        <v>0</v>
      </c>
      <c r="CB23" s="175">
        <v>0</v>
      </c>
      <c r="CC23" s="175">
        <v>0</v>
      </c>
      <c r="CD23" s="175">
        <v>0</v>
      </c>
      <c r="CE23" s="175">
        <v>0</v>
      </c>
      <c r="CF23" s="175">
        <v>0</v>
      </c>
      <c r="CG23" s="175">
        <v>0</v>
      </c>
      <c r="CH23" s="175">
        <v>0</v>
      </c>
      <c r="CI23" s="175">
        <v>0</v>
      </c>
      <c r="CJ23" s="175">
        <v>0</v>
      </c>
      <c r="CK23" s="175">
        <v>0</v>
      </c>
      <c r="CL23" s="175">
        <v>0</v>
      </c>
      <c r="CM23" s="175">
        <v>0</v>
      </c>
      <c r="CN23" s="175">
        <v>0</v>
      </c>
      <c r="CO23" s="175">
        <v>0</v>
      </c>
      <c r="CP23" s="175">
        <v>0</v>
      </c>
      <c r="CQ23" s="175">
        <v>0</v>
      </c>
    </row>
    <row r="24" spans="1:95" s="175" customFormat="1" x14ac:dyDescent="0.2">
      <c r="A24" s="175" t="s">
        <v>189</v>
      </c>
      <c r="B24" s="175">
        <v>0</v>
      </c>
      <c r="C24" s="175">
        <v>0</v>
      </c>
      <c r="D24" s="175">
        <v>0</v>
      </c>
      <c r="E24" s="175">
        <v>0</v>
      </c>
      <c r="F24" s="175">
        <v>0</v>
      </c>
      <c r="G24" s="175">
        <v>0</v>
      </c>
      <c r="H24" s="175">
        <v>0</v>
      </c>
      <c r="I24" s="175">
        <v>0</v>
      </c>
      <c r="J24" s="175">
        <v>0</v>
      </c>
      <c r="K24" s="175">
        <v>0</v>
      </c>
      <c r="L24" s="175">
        <v>0</v>
      </c>
      <c r="M24" s="175">
        <v>0</v>
      </c>
      <c r="N24" s="175">
        <v>0</v>
      </c>
      <c r="O24" s="175">
        <v>0</v>
      </c>
      <c r="P24" s="175">
        <v>0</v>
      </c>
      <c r="Q24" s="175">
        <v>0</v>
      </c>
      <c r="R24" s="175">
        <v>0</v>
      </c>
      <c r="S24" s="175">
        <v>0</v>
      </c>
      <c r="T24" s="175">
        <v>0</v>
      </c>
      <c r="U24" s="175">
        <v>0</v>
      </c>
      <c r="V24" s="175">
        <v>0</v>
      </c>
      <c r="W24" s="175">
        <v>0</v>
      </c>
      <c r="X24" s="175">
        <v>0</v>
      </c>
      <c r="Y24" s="175">
        <v>0</v>
      </c>
      <c r="Z24" s="175">
        <v>0</v>
      </c>
      <c r="AA24" s="175">
        <v>0</v>
      </c>
      <c r="AB24" s="175">
        <v>0</v>
      </c>
      <c r="AC24" s="175">
        <v>0</v>
      </c>
      <c r="AD24" s="175">
        <v>0</v>
      </c>
      <c r="AE24" s="175">
        <v>0</v>
      </c>
      <c r="AF24" s="175">
        <v>0</v>
      </c>
      <c r="AG24" s="175">
        <v>0</v>
      </c>
      <c r="AH24" s="175">
        <v>0</v>
      </c>
      <c r="AI24" s="175">
        <v>0</v>
      </c>
      <c r="AJ24" s="175">
        <v>0</v>
      </c>
      <c r="AK24" s="175">
        <v>0</v>
      </c>
      <c r="AL24" s="175">
        <v>0</v>
      </c>
      <c r="AM24" s="175">
        <v>0</v>
      </c>
      <c r="AN24" s="175">
        <v>0</v>
      </c>
      <c r="AO24" s="175">
        <v>0</v>
      </c>
      <c r="AP24" s="175">
        <v>0</v>
      </c>
      <c r="AQ24" s="175">
        <v>0</v>
      </c>
      <c r="AR24" s="175">
        <v>0</v>
      </c>
      <c r="AS24" s="175">
        <v>0</v>
      </c>
      <c r="AT24" s="175">
        <v>0</v>
      </c>
      <c r="AU24" s="175">
        <v>0</v>
      </c>
      <c r="AV24" s="175">
        <v>0</v>
      </c>
      <c r="AW24" s="175">
        <v>0</v>
      </c>
      <c r="AX24" s="175">
        <v>0</v>
      </c>
      <c r="AY24" s="175">
        <v>0</v>
      </c>
      <c r="AZ24" s="175">
        <v>0</v>
      </c>
      <c r="BA24" s="175">
        <v>0</v>
      </c>
      <c r="BB24" s="175">
        <v>0</v>
      </c>
      <c r="BC24" s="175">
        <v>0</v>
      </c>
      <c r="BD24" s="175">
        <v>0</v>
      </c>
      <c r="BE24" s="175">
        <v>0</v>
      </c>
      <c r="BF24" s="175">
        <v>0</v>
      </c>
      <c r="BG24" s="175">
        <v>0</v>
      </c>
      <c r="BH24" s="175">
        <v>0</v>
      </c>
      <c r="BI24" s="175">
        <v>0</v>
      </c>
      <c r="BJ24" s="175">
        <v>0</v>
      </c>
      <c r="BK24" s="175">
        <v>0</v>
      </c>
      <c r="BL24" s="175">
        <v>0</v>
      </c>
      <c r="BM24" s="175">
        <v>0</v>
      </c>
      <c r="BN24" s="175">
        <v>0</v>
      </c>
      <c r="BO24" s="175">
        <v>0</v>
      </c>
      <c r="BP24" s="175">
        <v>0</v>
      </c>
      <c r="BQ24" s="175">
        <v>0</v>
      </c>
      <c r="BR24" s="175">
        <v>0</v>
      </c>
      <c r="BS24" s="175">
        <v>0</v>
      </c>
      <c r="BT24" s="175">
        <v>0</v>
      </c>
      <c r="BU24" s="175">
        <v>0</v>
      </c>
      <c r="BV24" s="175">
        <v>0</v>
      </c>
      <c r="BW24" s="175">
        <v>0</v>
      </c>
      <c r="BX24" s="175">
        <v>0</v>
      </c>
      <c r="BY24" s="175">
        <v>0</v>
      </c>
      <c r="BZ24" s="175">
        <v>0</v>
      </c>
      <c r="CA24" s="175">
        <v>0</v>
      </c>
      <c r="CB24" s="175">
        <v>0</v>
      </c>
      <c r="CC24" s="175">
        <v>0</v>
      </c>
      <c r="CD24" s="175">
        <v>0</v>
      </c>
      <c r="CE24" s="175">
        <v>0</v>
      </c>
      <c r="CF24" s="175">
        <v>0</v>
      </c>
      <c r="CG24" s="175">
        <v>0</v>
      </c>
      <c r="CH24" s="175">
        <v>0</v>
      </c>
      <c r="CI24" s="175">
        <v>0</v>
      </c>
      <c r="CJ24" s="175">
        <v>0</v>
      </c>
      <c r="CK24" s="175">
        <v>0</v>
      </c>
      <c r="CL24" s="175">
        <v>0</v>
      </c>
      <c r="CM24" s="175">
        <v>0</v>
      </c>
      <c r="CN24" s="175">
        <v>0</v>
      </c>
      <c r="CO24" s="175">
        <v>0</v>
      </c>
      <c r="CP24" s="175">
        <v>0</v>
      </c>
      <c r="CQ24" s="175">
        <v>0</v>
      </c>
    </row>
    <row r="25" spans="1:95" s="175" customFormat="1" x14ac:dyDescent="0.2">
      <c r="A25" s="175" t="s">
        <v>190</v>
      </c>
      <c r="B25" s="175">
        <v>0</v>
      </c>
      <c r="C25" s="175">
        <v>0</v>
      </c>
      <c r="D25" s="175">
        <v>0</v>
      </c>
      <c r="E25" s="175">
        <v>0</v>
      </c>
      <c r="F25" s="175">
        <v>0</v>
      </c>
      <c r="G25" s="175">
        <v>0</v>
      </c>
      <c r="H25" s="175">
        <v>0</v>
      </c>
      <c r="I25" s="175">
        <v>0</v>
      </c>
      <c r="J25" s="175">
        <v>0</v>
      </c>
      <c r="K25" s="175">
        <v>0</v>
      </c>
      <c r="L25" s="175">
        <v>0</v>
      </c>
      <c r="M25" s="175">
        <v>0</v>
      </c>
      <c r="N25" s="175">
        <v>0</v>
      </c>
      <c r="O25" s="175">
        <v>0</v>
      </c>
      <c r="P25" s="175">
        <v>0</v>
      </c>
      <c r="Q25" s="175">
        <v>0</v>
      </c>
      <c r="R25" s="175">
        <v>0</v>
      </c>
      <c r="S25" s="175">
        <v>0</v>
      </c>
      <c r="T25" s="175">
        <v>0</v>
      </c>
      <c r="U25" s="175">
        <v>0</v>
      </c>
      <c r="V25" s="175">
        <v>0</v>
      </c>
      <c r="W25" s="175">
        <v>0</v>
      </c>
      <c r="X25" s="175">
        <v>0</v>
      </c>
      <c r="Y25" s="175">
        <v>0</v>
      </c>
      <c r="Z25" s="175">
        <v>0</v>
      </c>
      <c r="AA25" s="175">
        <v>0</v>
      </c>
      <c r="AB25" s="175">
        <v>0</v>
      </c>
      <c r="AC25" s="175">
        <v>0</v>
      </c>
      <c r="AD25" s="175">
        <v>0</v>
      </c>
      <c r="AE25" s="175">
        <v>0</v>
      </c>
      <c r="AF25" s="175">
        <v>0</v>
      </c>
      <c r="AG25" s="175">
        <v>0</v>
      </c>
      <c r="AH25" s="175">
        <v>0</v>
      </c>
      <c r="AI25" s="175">
        <v>0</v>
      </c>
      <c r="AJ25" s="175">
        <v>0</v>
      </c>
      <c r="AK25" s="175">
        <v>0</v>
      </c>
      <c r="AL25" s="175">
        <v>0</v>
      </c>
      <c r="AM25" s="175">
        <v>0</v>
      </c>
      <c r="AN25" s="175">
        <v>0</v>
      </c>
      <c r="AO25" s="175">
        <v>0</v>
      </c>
      <c r="AP25" s="175">
        <v>0</v>
      </c>
      <c r="AQ25" s="175">
        <v>0</v>
      </c>
      <c r="AR25" s="175">
        <v>0</v>
      </c>
      <c r="AS25" s="175">
        <v>0</v>
      </c>
      <c r="AT25" s="175">
        <v>0</v>
      </c>
      <c r="AU25" s="175">
        <v>0</v>
      </c>
      <c r="AV25" s="175">
        <v>0</v>
      </c>
      <c r="AW25" s="175">
        <v>0</v>
      </c>
      <c r="AX25" s="175">
        <v>0</v>
      </c>
      <c r="AY25" s="175">
        <v>0</v>
      </c>
      <c r="AZ25" s="175">
        <v>0</v>
      </c>
      <c r="BA25" s="175">
        <v>0</v>
      </c>
      <c r="BB25" s="175">
        <v>0</v>
      </c>
      <c r="BC25" s="175">
        <v>0</v>
      </c>
      <c r="BD25" s="175">
        <v>0</v>
      </c>
      <c r="BE25" s="175">
        <v>0</v>
      </c>
      <c r="BF25" s="175">
        <v>0</v>
      </c>
      <c r="BG25" s="175">
        <v>0</v>
      </c>
      <c r="BH25" s="175">
        <v>0</v>
      </c>
      <c r="BI25" s="175">
        <v>0</v>
      </c>
      <c r="BJ25" s="175">
        <v>0</v>
      </c>
      <c r="BK25" s="175">
        <v>0</v>
      </c>
      <c r="BL25" s="175">
        <v>0</v>
      </c>
      <c r="BM25" s="175">
        <v>0</v>
      </c>
      <c r="BN25" s="175">
        <v>0</v>
      </c>
      <c r="BO25" s="175">
        <v>0</v>
      </c>
      <c r="BP25" s="175">
        <v>0</v>
      </c>
      <c r="BQ25" s="175">
        <v>0</v>
      </c>
      <c r="BR25" s="175">
        <v>0</v>
      </c>
      <c r="BS25" s="175">
        <v>0</v>
      </c>
      <c r="BT25" s="175">
        <v>0</v>
      </c>
      <c r="BU25" s="175">
        <v>0</v>
      </c>
      <c r="BV25" s="175">
        <v>0</v>
      </c>
      <c r="BW25" s="175">
        <v>0</v>
      </c>
      <c r="BX25" s="175">
        <v>0</v>
      </c>
      <c r="BY25" s="175">
        <v>0</v>
      </c>
      <c r="BZ25" s="175">
        <v>0</v>
      </c>
      <c r="CA25" s="175">
        <v>0</v>
      </c>
      <c r="CB25" s="175">
        <v>0</v>
      </c>
      <c r="CC25" s="175">
        <v>0</v>
      </c>
      <c r="CD25" s="175">
        <v>0</v>
      </c>
      <c r="CE25" s="175">
        <v>0</v>
      </c>
      <c r="CF25" s="175">
        <v>0</v>
      </c>
      <c r="CG25" s="175">
        <v>0</v>
      </c>
      <c r="CH25" s="175">
        <v>0</v>
      </c>
      <c r="CI25" s="175">
        <v>0</v>
      </c>
      <c r="CJ25" s="175">
        <v>0</v>
      </c>
      <c r="CK25" s="175">
        <v>0</v>
      </c>
      <c r="CL25" s="175">
        <v>0</v>
      </c>
      <c r="CM25" s="175">
        <v>0</v>
      </c>
      <c r="CN25" s="175">
        <v>0</v>
      </c>
      <c r="CO25" s="175">
        <v>0</v>
      </c>
      <c r="CP25" s="175">
        <v>0</v>
      </c>
      <c r="CQ25" s="175">
        <v>0</v>
      </c>
    </row>
    <row r="26" spans="1:95" s="175" customFormat="1" x14ac:dyDescent="0.2">
      <c r="A26" s="175" t="s">
        <v>191</v>
      </c>
      <c r="B26" s="175">
        <v>0</v>
      </c>
      <c r="C26" s="175">
        <v>0</v>
      </c>
      <c r="D26" s="175">
        <v>0</v>
      </c>
      <c r="E26" s="175">
        <v>0</v>
      </c>
      <c r="F26" s="175">
        <v>0</v>
      </c>
      <c r="G26" s="175">
        <v>0</v>
      </c>
      <c r="H26" s="175">
        <v>0</v>
      </c>
      <c r="I26" s="175">
        <v>0</v>
      </c>
      <c r="J26" s="175">
        <v>0</v>
      </c>
      <c r="K26" s="175">
        <v>0</v>
      </c>
      <c r="L26" s="175">
        <v>0</v>
      </c>
      <c r="M26" s="175">
        <v>0</v>
      </c>
      <c r="N26" s="175">
        <v>0</v>
      </c>
      <c r="O26" s="175">
        <v>0</v>
      </c>
      <c r="P26" s="175">
        <v>0</v>
      </c>
      <c r="Q26" s="175">
        <v>0</v>
      </c>
      <c r="R26" s="175">
        <v>0</v>
      </c>
      <c r="S26" s="175">
        <v>0</v>
      </c>
      <c r="T26" s="175">
        <v>0</v>
      </c>
      <c r="U26" s="175">
        <v>0</v>
      </c>
      <c r="V26" s="175">
        <v>0</v>
      </c>
      <c r="W26" s="175">
        <v>0</v>
      </c>
      <c r="X26" s="175">
        <v>0</v>
      </c>
      <c r="Y26" s="175">
        <v>0</v>
      </c>
      <c r="Z26" s="175">
        <v>0</v>
      </c>
      <c r="AA26" s="175">
        <v>0</v>
      </c>
      <c r="AB26" s="175">
        <v>0</v>
      </c>
      <c r="AC26" s="175">
        <v>0</v>
      </c>
      <c r="AD26" s="175">
        <v>0</v>
      </c>
      <c r="AE26" s="175">
        <v>0</v>
      </c>
      <c r="AF26" s="175">
        <v>0</v>
      </c>
      <c r="AG26" s="175">
        <v>0</v>
      </c>
      <c r="AH26" s="175">
        <v>0</v>
      </c>
      <c r="AI26" s="175">
        <v>0</v>
      </c>
      <c r="AJ26" s="175">
        <v>0</v>
      </c>
      <c r="AK26" s="175">
        <v>0</v>
      </c>
      <c r="AL26" s="175">
        <v>0</v>
      </c>
      <c r="AM26" s="175">
        <v>0</v>
      </c>
      <c r="AN26" s="175">
        <v>0</v>
      </c>
      <c r="AO26" s="175">
        <v>0</v>
      </c>
      <c r="AP26" s="175">
        <v>0</v>
      </c>
      <c r="AQ26" s="175">
        <v>0</v>
      </c>
      <c r="AR26" s="175">
        <v>0</v>
      </c>
      <c r="AS26" s="175">
        <v>0</v>
      </c>
      <c r="AT26" s="175">
        <v>0</v>
      </c>
      <c r="AU26" s="175">
        <v>0</v>
      </c>
      <c r="AV26" s="175">
        <v>0</v>
      </c>
      <c r="AW26" s="175">
        <v>0</v>
      </c>
      <c r="AX26" s="175">
        <v>0</v>
      </c>
      <c r="AY26" s="175">
        <v>0</v>
      </c>
      <c r="AZ26" s="175">
        <v>0</v>
      </c>
      <c r="BA26" s="175">
        <v>0</v>
      </c>
      <c r="BB26" s="175">
        <v>0</v>
      </c>
      <c r="BC26" s="175">
        <v>0</v>
      </c>
      <c r="BD26" s="175">
        <v>0</v>
      </c>
      <c r="BE26" s="175">
        <v>0</v>
      </c>
      <c r="BF26" s="175">
        <v>0</v>
      </c>
      <c r="BG26" s="175">
        <v>0</v>
      </c>
      <c r="BH26" s="175">
        <v>0</v>
      </c>
      <c r="BI26" s="175">
        <v>0</v>
      </c>
      <c r="BJ26" s="175">
        <v>0</v>
      </c>
      <c r="BK26" s="175">
        <v>0</v>
      </c>
      <c r="BL26" s="175">
        <v>0</v>
      </c>
      <c r="BM26" s="175">
        <v>0</v>
      </c>
      <c r="BN26" s="175">
        <v>0</v>
      </c>
      <c r="BO26" s="175">
        <v>0</v>
      </c>
      <c r="BP26" s="175">
        <v>0</v>
      </c>
      <c r="BQ26" s="175">
        <v>0</v>
      </c>
      <c r="BR26" s="175">
        <v>0</v>
      </c>
      <c r="BS26" s="175">
        <v>0</v>
      </c>
      <c r="BT26" s="175">
        <v>0</v>
      </c>
      <c r="BU26" s="175">
        <v>0</v>
      </c>
      <c r="BV26" s="175">
        <v>0</v>
      </c>
      <c r="BW26" s="175">
        <v>0</v>
      </c>
      <c r="BX26" s="175">
        <v>0</v>
      </c>
      <c r="BY26" s="175">
        <v>0</v>
      </c>
      <c r="BZ26" s="175">
        <v>0</v>
      </c>
      <c r="CA26" s="175">
        <v>0</v>
      </c>
      <c r="CB26" s="175">
        <v>0</v>
      </c>
      <c r="CC26" s="175">
        <v>0</v>
      </c>
      <c r="CD26" s="175">
        <v>0</v>
      </c>
      <c r="CE26" s="175">
        <v>0</v>
      </c>
      <c r="CF26" s="175">
        <v>0</v>
      </c>
      <c r="CG26" s="175">
        <v>0</v>
      </c>
      <c r="CH26" s="175">
        <v>0</v>
      </c>
      <c r="CI26" s="175">
        <v>0</v>
      </c>
      <c r="CJ26" s="175">
        <v>0</v>
      </c>
      <c r="CK26" s="175">
        <v>0</v>
      </c>
      <c r="CL26" s="175">
        <v>0</v>
      </c>
      <c r="CM26" s="175">
        <v>0</v>
      </c>
      <c r="CN26" s="175">
        <v>0</v>
      </c>
      <c r="CO26" s="175">
        <v>0</v>
      </c>
      <c r="CP26" s="175">
        <v>0</v>
      </c>
      <c r="CQ26" s="175">
        <v>0</v>
      </c>
    </row>
    <row r="27" spans="1:95" s="175" customFormat="1" x14ac:dyDescent="0.2">
      <c r="A27" s="175" t="s">
        <v>192</v>
      </c>
      <c r="B27" s="175">
        <v>0</v>
      </c>
      <c r="C27" s="175">
        <v>0</v>
      </c>
      <c r="D27" s="175">
        <v>0</v>
      </c>
      <c r="E27" s="175">
        <v>0</v>
      </c>
      <c r="F27" s="175">
        <v>0</v>
      </c>
      <c r="G27" s="175">
        <v>0</v>
      </c>
      <c r="H27" s="175">
        <v>0</v>
      </c>
      <c r="I27" s="175">
        <v>0</v>
      </c>
      <c r="J27" s="175">
        <v>0</v>
      </c>
      <c r="K27" s="175">
        <v>0</v>
      </c>
      <c r="L27" s="175">
        <v>0</v>
      </c>
      <c r="M27" s="175">
        <v>0</v>
      </c>
      <c r="N27" s="175">
        <v>0</v>
      </c>
      <c r="O27" s="175">
        <v>0</v>
      </c>
      <c r="P27" s="175">
        <v>0</v>
      </c>
      <c r="Q27" s="175">
        <v>0</v>
      </c>
      <c r="R27" s="175">
        <v>0</v>
      </c>
      <c r="S27" s="175">
        <v>0</v>
      </c>
      <c r="T27" s="175">
        <v>0</v>
      </c>
      <c r="U27" s="175">
        <v>0</v>
      </c>
      <c r="V27" s="175">
        <v>0</v>
      </c>
      <c r="W27" s="175">
        <v>0</v>
      </c>
      <c r="X27" s="175">
        <v>0</v>
      </c>
      <c r="Y27" s="175">
        <v>0</v>
      </c>
      <c r="Z27" s="175">
        <v>0</v>
      </c>
      <c r="AA27" s="175">
        <v>0</v>
      </c>
      <c r="AB27" s="175">
        <v>0</v>
      </c>
      <c r="AC27" s="175">
        <v>0</v>
      </c>
      <c r="AD27" s="175">
        <v>0</v>
      </c>
      <c r="AE27" s="175">
        <v>0</v>
      </c>
      <c r="AF27" s="175">
        <v>0</v>
      </c>
      <c r="AG27" s="175">
        <v>0</v>
      </c>
      <c r="AH27" s="175">
        <v>0</v>
      </c>
      <c r="AI27" s="175">
        <v>0</v>
      </c>
      <c r="AJ27" s="175">
        <v>0</v>
      </c>
      <c r="AK27" s="175">
        <v>0</v>
      </c>
      <c r="AL27" s="175">
        <v>0</v>
      </c>
      <c r="AM27" s="175">
        <v>0</v>
      </c>
      <c r="AN27" s="175">
        <v>0</v>
      </c>
      <c r="AO27" s="175">
        <v>0</v>
      </c>
      <c r="AP27" s="175">
        <v>0</v>
      </c>
      <c r="AQ27" s="175">
        <v>0</v>
      </c>
      <c r="AR27" s="175">
        <v>0</v>
      </c>
      <c r="AS27" s="175">
        <v>0</v>
      </c>
      <c r="AT27" s="175">
        <v>0</v>
      </c>
      <c r="AU27" s="175">
        <v>0</v>
      </c>
      <c r="AV27" s="175">
        <v>0</v>
      </c>
      <c r="AW27" s="175">
        <v>0</v>
      </c>
      <c r="AX27" s="175">
        <v>0</v>
      </c>
      <c r="AY27" s="175">
        <v>0</v>
      </c>
      <c r="AZ27" s="175">
        <v>0</v>
      </c>
      <c r="BA27" s="175">
        <v>0</v>
      </c>
      <c r="BB27" s="175">
        <v>0</v>
      </c>
      <c r="BC27" s="175">
        <v>0</v>
      </c>
      <c r="BD27" s="175">
        <v>0</v>
      </c>
      <c r="BE27" s="175">
        <v>0</v>
      </c>
      <c r="BF27" s="175">
        <v>0</v>
      </c>
      <c r="BG27" s="175">
        <v>0</v>
      </c>
      <c r="BH27" s="175">
        <v>0</v>
      </c>
      <c r="BI27" s="175">
        <v>0</v>
      </c>
      <c r="BJ27" s="175">
        <v>0</v>
      </c>
      <c r="BK27" s="175">
        <v>0</v>
      </c>
      <c r="BL27" s="175">
        <v>0</v>
      </c>
      <c r="BM27" s="175">
        <v>0</v>
      </c>
      <c r="BN27" s="175">
        <v>0</v>
      </c>
      <c r="BO27" s="175">
        <v>0</v>
      </c>
      <c r="BP27" s="175">
        <v>0</v>
      </c>
      <c r="BQ27" s="175">
        <v>0</v>
      </c>
      <c r="BR27" s="175">
        <v>0</v>
      </c>
      <c r="BS27" s="175">
        <v>0</v>
      </c>
      <c r="BT27" s="175">
        <v>0</v>
      </c>
      <c r="BU27" s="175">
        <v>0</v>
      </c>
      <c r="BV27" s="175">
        <v>0</v>
      </c>
      <c r="BW27" s="175">
        <v>0</v>
      </c>
      <c r="BX27" s="175">
        <v>0</v>
      </c>
      <c r="BY27" s="175">
        <v>0</v>
      </c>
      <c r="BZ27" s="175">
        <v>0</v>
      </c>
      <c r="CA27" s="175">
        <v>0</v>
      </c>
      <c r="CB27" s="175">
        <v>0</v>
      </c>
      <c r="CC27" s="175">
        <v>0</v>
      </c>
      <c r="CD27" s="175">
        <v>0</v>
      </c>
      <c r="CE27" s="175">
        <v>0</v>
      </c>
      <c r="CF27" s="175">
        <v>0</v>
      </c>
      <c r="CG27" s="175">
        <v>0</v>
      </c>
      <c r="CH27" s="175">
        <v>0</v>
      </c>
      <c r="CI27" s="175">
        <v>0</v>
      </c>
      <c r="CJ27" s="175">
        <v>0</v>
      </c>
      <c r="CK27" s="175">
        <v>0</v>
      </c>
      <c r="CL27" s="175">
        <v>0</v>
      </c>
      <c r="CM27" s="175">
        <v>0</v>
      </c>
      <c r="CN27" s="175">
        <v>0</v>
      </c>
      <c r="CO27" s="175">
        <v>0</v>
      </c>
      <c r="CP27" s="175">
        <v>0</v>
      </c>
      <c r="CQ27" s="175">
        <v>0</v>
      </c>
    </row>
    <row r="28" spans="1:95" s="175" customFormat="1" x14ac:dyDescent="0.2">
      <c r="A28" s="175" t="s">
        <v>193</v>
      </c>
      <c r="B28" s="175">
        <v>0</v>
      </c>
      <c r="C28" s="175">
        <v>0</v>
      </c>
      <c r="D28" s="175">
        <v>0</v>
      </c>
      <c r="E28" s="175">
        <v>0</v>
      </c>
      <c r="F28" s="175">
        <v>0</v>
      </c>
      <c r="G28" s="175">
        <v>0</v>
      </c>
      <c r="H28" s="175">
        <v>0</v>
      </c>
      <c r="I28" s="175">
        <v>0</v>
      </c>
      <c r="J28" s="175">
        <v>0</v>
      </c>
      <c r="K28" s="175">
        <v>0</v>
      </c>
      <c r="L28" s="175">
        <v>0</v>
      </c>
      <c r="M28" s="175">
        <v>0</v>
      </c>
      <c r="N28" s="175">
        <v>0</v>
      </c>
      <c r="O28" s="175">
        <v>0</v>
      </c>
      <c r="P28" s="175">
        <v>0</v>
      </c>
      <c r="Q28" s="175">
        <v>0</v>
      </c>
      <c r="R28" s="175">
        <v>0</v>
      </c>
      <c r="S28" s="175">
        <v>0</v>
      </c>
      <c r="T28" s="175">
        <v>0</v>
      </c>
      <c r="U28" s="175">
        <v>0</v>
      </c>
      <c r="V28" s="175">
        <v>0</v>
      </c>
      <c r="W28" s="175">
        <v>0</v>
      </c>
      <c r="X28" s="175">
        <v>0</v>
      </c>
      <c r="Y28" s="175">
        <v>0</v>
      </c>
      <c r="Z28" s="175">
        <v>0</v>
      </c>
      <c r="AA28" s="175">
        <v>0</v>
      </c>
      <c r="AB28" s="175">
        <v>0</v>
      </c>
      <c r="AC28" s="175">
        <v>0</v>
      </c>
      <c r="AD28" s="175">
        <v>0</v>
      </c>
      <c r="AE28" s="175">
        <v>0</v>
      </c>
      <c r="AF28" s="175">
        <v>0</v>
      </c>
      <c r="AG28" s="175">
        <v>0</v>
      </c>
      <c r="AH28" s="175">
        <v>0</v>
      </c>
      <c r="AI28" s="175">
        <v>0</v>
      </c>
      <c r="AJ28" s="175">
        <v>0</v>
      </c>
      <c r="AK28" s="175">
        <v>0</v>
      </c>
      <c r="AL28" s="175">
        <v>0</v>
      </c>
      <c r="AM28" s="175">
        <v>0</v>
      </c>
      <c r="AN28" s="175">
        <v>0</v>
      </c>
      <c r="AO28" s="175">
        <v>0</v>
      </c>
      <c r="AP28" s="175">
        <v>0</v>
      </c>
      <c r="AQ28" s="175">
        <v>0</v>
      </c>
      <c r="AR28" s="175">
        <v>0</v>
      </c>
      <c r="AS28" s="175">
        <v>0</v>
      </c>
      <c r="AT28" s="175">
        <v>0</v>
      </c>
      <c r="AU28" s="175">
        <v>0</v>
      </c>
      <c r="AV28" s="175">
        <v>0</v>
      </c>
      <c r="AW28" s="175">
        <v>0</v>
      </c>
      <c r="AX28" s="175">
        <v>0</v>
      </c>
      <c r="AY28" s="175">
        <v>0</v>
      </c>
      <c r="AZ28" s="175">
        <v>0</v>
      </c>
      <c r="BA28" s="175">
        <v>0</v>
      </c>
      <c r="BB28" s="175">
        <v>0</v>
      </c>
      <c r="BC28" s="175">
        <v>0</v>
      </c>
      <c r="BD28" s="175">
        <v>0</v>
      </c>
      <c r="BE28" s="175">
        <v>0</v>
      </c>
      <c r="BF28" s="175">
        <v>0</v>
      </c>
      <c r="BG28" s="175">
        <v>0</v>
      </c>
      <c r="BH28" s="175">
        <v>0</v>
      </c>
      <c r="BI28" s="175">
        <v>0</v>
      </c>
      <c r="BJ28" s="175">
        <v>0</v>
      </c>
      <c r="BK28" s="175">
        <v>0</v>
      </c>
      <c r="BL28" s="175">
        <v>0</v>
      </c>
      <c r="BM28" s="175">
        <v>0</v>
      </c>
      <c r="BN28" s="175">
        <v>0</v>
      </c>
      <c r="BO28" s="175">
        <v>0</v>
      </c>
      <c r="BP28" s="175">
        <v>0</v>
      </c>
      <c r="BQ28" s="175">
        <v>0</v>
      </c>
      <c r="BR28" s="175">
        <v>0</v>
      </c>
      <c r="BS28" s="175">
        <v>0</v>
      </c>
      <c r="BT28" s="175">
        <v>0</v>
      </c>
      <c r="BU28" s="175">
        <v>0</v>
      </c>
      <c r="BV28" s="175">
        <v>0</v>
      </c>
      <c r="BW28" s="175">
        <v>0</v>
      </c>
      <c r="BX28" s="175">
        <v>0</v>
      </c>
      <c r="BY28" s="175">
        <v>0</v>
      </c>
      <c r="BZ28" s="175">
        <v>0</v>
      </c>
      <c r="CA28" s="175">
        <v>0</v>
      </c>
      <c r="CB28" s="175">
        <v>0</v>
      </c>
      <c r="CC28" s="175">
        <v>0</v>
      </c>
      <c r="CD28" s="175">
        <v>0</v>
      </c>
      <c r="CE28" s="175">
        <v>0</v>
      </c>
      <c r="CF28" s="175">
        <v>0</v>
      </c>
      <c r="CG28" s="175">
        <v>0</v>
      </c>
      <c r="CH28" s="175">
        <v>0</v>
      </c>
      <c r="CI28" s="175">
        <v>0</v>
      </c>
      <c r="CJ28" s="175">
        <v>0</v>
      </c>
      <c r="CK28" s="175">
        <v>0</v>
      </c>
      <c r="CL28" s="175">
        <v>0</v>
      </c>
      <c r="CM28" s="175">
        <v>0</v>
      </c>
      <c r="CN28" s="175">
        <v>0</v>
      </c>
      <c r="CO28" s="175">
        <v>0</v>
      </c>
      <c r="CP28" s="175">
        <v>0</v>
      </c>
      <c r="CQ28" s="175">
        <v>0</v>
      </c>
    </row>
    <row r="29" spans="1:95" s="175" customFormat="1" x14ac:dyDescent="0.2">
      <c r="A29" s="175" t="s">
        <v>247</v>
      </c>
      <c r="B29" s="175">
        <v>0</v>
      </c>
      <c r="C29" s="175">
        <v>0</v>
      </c>
      <c r="D29" s="175">
        <v>0</v>
      </c>
      <c r="E29" s="175">
        <v>0</v>
      </c>
      <c r="F29" s="175">
        <v>0</v>
      </c>
      <c r="G29" s="175">
        <v>0</v>
      </c>
      <c r="H29" s="175">
        <v>0</v>
      </c>
      <c r="I29" s="175">
        <v>0</v>
      </c>
      <c r="J29" s="175">
        <v>0</v>
      </c>
      <c r="K29" s="175">
        <v>0</v>
      </c>
      <c r="L29" s="175">
        <v>0</v>
      </c>
      <c r="M29" s="175">
        <v>0</v>
      </c>
      <c r="N29" s="175">
        <v>0</v>
      </c>
      <c r="O29" s="175">
        <v>0</v>
      </c>
      <c r="P29" s="175">
        <v>0</v>
      </c>
      <c r="Q29" s="175">
        <v>0</v>
      </c>
      <c r="R29" s="175">
        <v>0</v>
      </c>
      <c r="S29" s="175">
        <v>0</v>
      </c>
      <c r="T29" s="175">
        <v>0</v>
      </c>
      <c r="U29" s="175">
        <v>0</v>
      </c>
      <c r="V29" s="175">
        <v>0</v>
      </c>
      <c r="W29" s="175">
        <v>0</v>
      </c>
      <c r="X29" s="175">
        <v>0</v>
      </c>
      <c r="Y29" s="175">
        <v>0</v>
      </c>
      <c r="Z29" s="175">
        <v>0</v>
      </c>
      <c r="AA29" s="175">
        <v>0</v>
      </c>
      <c r="AB29" s="175">
        <v>0</v>
      </c>
      <c r="AC29" s="175">
        <v>0</v>
      </c>
      <c r="AD29" s="175">
        <v>0</v>
      </c>
      <c r="AE29" s="175">
        <v>0</v>
      </c>
      <c r="AF29" s="175">
        <v>0</v>
      </c>
      <c r="AG29" s="175">
        <v>0</v>
      </c>
      <c r="AH29" s="175">
        <v>0</v>
      </c>
      <c r="AI29" s="175">
        <v>0</v>
      </c>
      <c r="AJ29" s="175">
        <v>0</v>
      </c>
      <c r="AK29" s="175">
        <v>0</v>
      </c>
      <c r="AL29" s="175">
        <v>0</v>
      </c>
      <c r="AM29" s="175">
        <v>0</v>
      </c>
      <c r="AN29" s="175">
        <v>0</v>
      </c>
      <c r="AO29" s="175">
        <v>0</v>
      </c>
      <c r="AP29" s="175">
        <v>0</v>
      </c>
      <c r="AQ29" s="175">
        <v>0</v>
      </c>
      <c r="AR29" s="175">
        <v>0</v>
      </c>
      <c r="AS29" s="175">
        <v>0</v>
      </c>
      <c r="AT29" s="175">
        <v>0</v>
      </c>
      <c r="AU29" s="175">
        <v>0</v>
      </c>
      <c r="AV29" s="175">
        <v>0</v>
      </c>
      <c r="AW29" s="175">
        <v>0</v>
      </c>
      <c r="AX29" s="175">
        <v>0</v>
      </c>
      <c r="AY29" s="175">
        <v>0</v>
      </c>
      <c r="AZ29" s="175">
        <v>0</v>
      </c>
      <c r="BA29" s="175">
        <v>0</v>
      </c>
      <c r="BB29" s="175">
        <v>0</v>
      </c>
      <c r="BC29" s="175">
        <v>0</v>
      </c>
      <c r="BD29" s="175">
        <v>0</v>
      </c>
      <c r="BE29" s="175">
        <v>0</v>
      </c>
      <c r="BF29" s="175">
        <v>0</v>
      </c>
      <c r="BG29" s="175">
        <v>0</v>
      </c>
      <c r="BH29" s="175">
        <v>0</v>
      </c>
      <c r="BI29" s="175">
        <v>0</v>
      </c>
      <c r="BJ29" s="175">
        <v>0</v>
      </c>
      <c r="BK29" s="175">
        <v>0</v>
      </c>
      <c r="BL29" s="175">
        <v>0</v>
      </c>
      <c r="BM29" s="175">
        <v>0</v>
      </c>
      <c r="BN29" s="175">
        <v>0</v>
      </c>
      <c r="BO29" s="175">
        <v>0</v>
      </c>
      <c r="BP29" s="175">
        <v>0</v>
      </c>
      <c r="BQ29" s="175">
        <v>0</v>
      </c>
      <c r="BR29" s="175">
        <v>0</v>
      </c>
      <c r="BS29" s="175">
        <v>0</v>
      </c>
      <c r="BT29" s="175">
        <v>0</v>
      </c>
      <c r="BU29" s="175">
        <v>0</v>
      </c>
      <c r="BV29" s="175">
        <v>0</v>
      </c>
      <c r="BW29" s="175">
        <v>0</v>
      </c>
      <c r="BX29" s="175">
        <v>0</v>
      </c>
      <c r="BY29" s="175">
        <v>0</v>
      </c>
      <c r="BZ29" s="175">
        <v>0</v>
      </c>
      <c r="CA29" s="175">
        <v>0</v>
      </c>
      <c r="CB29" s="175">
        <v>0</v>
      </c>
      <c r="CC29" s="175">
        <v>0</v>
      </c>
      <c r="CD29" s="175">
        <v>0</v>
      </c>
      <c r="CE29" s="175">
        <v>0</v>
      </c>
      <c r="CF29" s="175">
        <v>0</v>
      </c>
      <c r="CG29" s="175">
        <v>0</v>
      </c>
      <c r="CH29" s="175">
        <v>0</v>
      </c>
      <c r="CI29" s="175">
        <v>0</v>
      </c>
      <c r="CJ29" s="175">
        <v>0</v>
      </c>
      <c r="CK29" s="175">
        <v>0</v>
      </c>
      <c r="CL29" s="175">
        <v>0</v>
      </c>
      <c r="CM29" s="175">
        <v>0</v>
      </c>
      <c r="CN29" s="175">
        <v>0</v>
      </c>
      <c r="CO29" s="175">
        <v>0</v>
      </c>
      <c r="CP29" s="175">
        <v>0</v>
      </c>
      <c r="CQ29" s="175">
        <v>0</v>
      </c>
    </row>
    <row r="30" spans="1:95" s="175" customFormat="1" x14ac:dyDescent="0.2">
      <c r="A30" s="175" t="s">
        <v>248</v>
      </c>
      <c r="B30" s="175">
        <v>0</v>
      </c>
      <c r="C30" s="175">
        <v>0</v>
      </c>
      <c r="D30" s="175">
        <v>0</v>
      </c>
      <c r="E30" s="175">
        <v>0</v>
      </c>
      <c r="F30" s="175">
        <v>0</v>
      </c>
      <c r="G30" s="175">
        <v>0</v>
      </c>
      <c r="H30" s="175">
        <v>0</v>
      </c>
      <c r="I30" s="175">
        <v>0</v>
      </c>
      <c r="J30" s="175">
        <v>0</v>
      </c>
      <c r="K30" s="175">
        <v>0</v>
      </c>
      <c r="L30" s="175">
        <v>0</v>
      </c>
      <c r="M30" s="175">
        <v>0</v>
      </c>
      <c r="N30" s="175">
        <v>0</v>
      </c>
      <c r="O30" s="175">
        <v>0</v>
      </c>
      <c r="P30" s="175">
        <v>0</v>
      </c>
      <c r="Q30" s="175">
        <v>0</v>
      </c>
      <c r="R30" s="175">
        <v>0</v>
      </c>
      <c r="S30" s="175">
        <v>0</v>
      </c>
      <c r="T30" s="175">
        <v>0</v>
      </c>
      <c r="U30" s="175">
        <v>0</v>
      </c>
      <c r="V30" s="175">
        <v>0</v>
      </c>
      <c r="W30" s="175">
        <v>0</v>
      </c>
      <c r="X30" s="175">
        <v>0</v>
      </c>
      <c r="Y30" s="175">
        <v>0</v>
      </c>
      <c r="Z30" s="175">
        <v>0</v>
      </c>
      <c r="AA30" s="175">
        <v>0</v>
      </c>
      <c r="AB30" s="175">
        <v>0</v>
      </c>
      <c r="AC30" s="175">
        <v>0</v>
      </c>
      <c r="AD30" s="175">
        <v>0</v>
      </c>
      <c r="AE30" s="175">
        <v>0</v>
      </c>
      <c r="AF30" s="175">
        <v>0</v>
      </c>
      <c r="AG30" s="175">
        <v>0</v>
      </c>
      <c r="AH30" s="175">
        <v>0</v>
      </c>
      <c r="AI30" s="175">
        <v>0</v>
      </c>
      <c r="AJ30" s="175">
        <v>0</v>
      </c>
      <c r="AK30" s="175">
        <v>0</v>
      </c>
      <c r="AL30" s="175">
        <v>0</v>
      </c>
      <c r="AM30" s="175">
        <v>0</v>
      </c>
      <c r="AN30" s="175">
        <v>0</v>
      </c>
      <c r="AO30" s="175">
        <v>0</v>
      </c>
      <c r="AP30" s="175">
        <v>0</v>
      </c>
      <c r="AQ30" s="175">
        <v>0</v>
      </c>
      <c r="AR30" s="175">
        <v>0</v>
      </c>
      <c r="AS30" s="175">
        <v>0</v>
      </c>
      <c r="AT30" s="175">
        <v>0</v>
      </c>
      <c r="AU30" s="175">
        <v>0</v>
      </c>
      <c r="AV30" s="175">
        <v>0</v>
      </c>
      <c r="AW30" s="175">
        <v>0</v>
      </c>
      <c r="AX30" s="175">
        <v>0</v>
      </c>
      <c r="AY30" s="175">
        <v>0</v>
      </c>
      <c r="AZ30" s="175">
        <v>0</v>
      </c>
      <c r="BA30" s="175">
        <v>0</v>
      </c>
      <c r="BB30" s="175">
        <v>0</v>
      </c>
      <c r="BC30" s="175">
        <v>0</v>
      </c>
      <c r="BD30" s="175">
        <v>0</v>
      </c>
      <c r="BE30" s="175">
        <v>0</v>
      </c>
      <c r="BF30" s="175">
        <v>0</v>
      </c>
      <c r="BG30" s="175">
        <v>0</v>
      </c>
      <c r="BH30" s="175">
        <v>0</v>
      </c>
      <c r="BI30" s="175">
        <v>0</v>
      </c>
      <c r="BJ30" s="175">
        <v>0</v>
      </c>
      <c r="BK30" s="175">
        <v>0</v>
      </c>
      <c r="BL30" s="175">
        <v>0</v>
      </c>
      <c r="BM30" s="175">
        <v>0</v>
      </c>
      <c r="BN30" s="175">
        <v>0</v>
      </c>
      <c r="BO30" s="175">
        <v>0</v>
      </c>
      <c r="BP30" s="175">
        <v>0</v>
      </c>
      <c r="BQ30" s="175">
        <v>0</v>
      </c>
      <c r="BR30" s="175">
        <v>0</v>
      </c>
      <c r="BS30" s="175">
        <v>0</v>
      </c>
      <c r="BT30" s="175">
        <v>0</v>
      </c>
      <c r="BU30" s="175">
        <v>0</v>
      </c>
      <c r="BV30" s="175">
        <v>0</v>
      </c>
      <c r="BW30" s="175">
        <v>0</v>
      </c>
      <c r="BX30" s="175">
        <v>0</v>
      </c>
      <c r="BY30" s="175">
        <v>0</v>
      </c>
      <c r="BZ30" s="175">
        <v>0</v>
      </c>
      <c r="CA30" s="175">
        <v>0</v>
      </c>
      <c r="CB30" s="175">
        <v>0</v>
      </c>
      <c r="CC30" s="175">
        <v>0</v>
      </c>
      <c r="CD30" s="175">
        <v>0</v>
      </c>
      <c r="CE30" s="175">
        <v>0</v>
      </c>
      <c r="CF30" s="175">
        <v>0</v>
      </c>
      <c r="CG30" s="175">
        <v>0</v>
      </c>
      <c r="CH30" s="175">
        <v>0</v>
      </c>
      <c r="CI30" s="175">
        <v>0</v>
      </c>
      <c r="CJ30" s="175">
        <v>0</v>
      </c>
      <c r="CK30" s="175">
        <v>0</v>
      </c>
      <c r="CL30" s="175">
        <v>0</v>
      </c>
      <c r="CM30" s="175">
        <v>0</v>
      </c>
      <c r="CN30" s="175">
        <v>0</v>
      </c>
      <c r="CO30" s="175">
        <v>0</v>
      </c>
      <c r="CP30" s="175">
        <v>0</v>
      </c>
      <c r="CQ30" s="175">
        <v>0</v>
      </c>
    </row>
    <row r="31" spans="1:95" s="175" customFormat="1" x14ac:dyDescent="0.2">
      <c r="A31" s="175" t="s">
        <v>249</v>
      </c>
      <c r="B31" s="175">
        <v>0</v>
      </c>
      <c r="C31" s="175">
        <v>0</v>
      </c>
      <c r="D31" s="175">
        <v>0</v>
      </c>
      <c r="E31" s="175">
        <v>0</v>
      </c>
      <c r="F31" s="175">
        <v>0</v>
      </c>
      <c r="G31" s="175">
        <v>0</v>
      </c>
      <c r="H31" s="175">
        <v>0</v>
      </c>
      <c r="I31" s="175">
        <v>0</v>
      </c>
      <c r="J31" s="175">
        <v>0</v>
      </c>
      <c r="K31" s="175">
        <v>0</v>
      </c>
      <c r="L31" s="175">
        <v>0</v>
      </c>
      <c r="M31" s="175">
        <v>0</v>
      </c>
      <c r="N31" s="175">
        <v>0</v>
      </c>
      <c r="O31" s="175">
        <v>0</v>
      </c>
      <c r="P31" s="175">
        <v>0</v>
      </c>
      <c r="Q31" s="175">
        <v>0</v>
      </c>
      <c r="R31" s="175">
        <v>0</v>
      </c>
      <c r="S31" s="175">
        <v>0</v>
      </c>
      <c r="T31" s="175">
        <v>0</v>
      </c>
      <c r="U31" s="175">
        <v>0</v>
      </c>
      <c r="V31" s="175">
        <v>0</v>
      </c>
      <c r="W31" s="175">
        <v>0</v>
      </c>
      <c r="X31" s="175">
        <v>0</v>
      </c>
      <c r="Y31" s="175">
        <v>0</v>
      </c>
      <c r="Z31" s="175">
        <v>0</v>
      </c>
      <c r="AA31" s="175">
        <v>0</v>
      </c>
      <c r="AB31" s="175">
        <v>0</v>
      </c>
      <c r="AC31" s="175">
        <v>0</v>
      </c>
      <c r="AD31" s="175">
        <v>0</v>
      </c>
      <c r="AE31" s="175">
        <v>0</v>
      </c>
      <c r="AF31" s="175">
        <v>0</v>
      </c>
      <c r="AG31" s="175">
        <v>0</v>
      </c>
      <c r="AH31" s="175">
        <v>0</v>
      </c>
      <c r="AI31" s="175">
        <v>0</v>
      </c>
      <c r="AJ31" s="175">
        <v>0</v>
      </c>
      <c r="AK31" s="175">
        <v>0</v>
      </c>
      <c r="AL31" s="175">
        <v>0</v>
      </c>
      <c r="AM31" s="175">
        <v>0</v>
      </c>
      <c r="AN31" s="175">
        <v>0</v>
      </c>
      <c r="AO31" s="175">
        <v>0</v>
      </c>
      <c r="AP31" s="175">
        <v>0</v>
      </c>
      <c r="AQ31" s="175">
        <v>0</v>
      </c>
      <c r="AR31" s="175">
        <v>0</v>
      </c>
      <c r="AS31" s="175">
        <v>0</v>
      </c>
      <c r="AT31" s="175">
        <v>0</v>
      </c>
      <c r="AU31" s="175">
        <v>0</v>
      </c>
      <c r="AV31" s="175">
        <v>0</v>
      </c>
      <c r="AW31" s="175">
        <v>0</v>
      </c>
      <c r="AX31" s="175">
        <v>0</v>
      </c>
      <c r="AY31" s="175">
        <v>0</v>
      </c>
      <c r="AZ31" s="175">
        <v>0</v>
      </c>
      <c r="BA31" s="175">
        <v>0</v>
      </c>
      <c r="BB31" s="175">
        <v>0</v>
      </c>
      <c r="BC31" s="175">
        <v>0</v>
      </c>
      <c r="BD31" s="175">
        <v>0</v>
      </c>
      <c r="BE31" s="175">
        <v>0</v>
      </c>
      <c r="BF31" s="175">
        <v>0</v>
      </c>
      <c r="BG31" s="175">
        <v>0</v>
      </c>
      <c r="BH31" s="175">
        <v>0</v>
      </c>
      <c r="BI31" s="175">
        <v>0</v>
      </c>
      <c r="BJ31" s="175">
        <v>0</v>
      </c>
      <c r="BK31" s="175">
        <v>0</v>
      </c>
      <c r="BL31" s="175">
        <v>0</v>
      </c>
      <c r="BM31" s="175">
        <v>0</v>
      </c>
      <c r="BN31" s="175">
        <v>0</v>
      </c>
      <c r="BO31" s="175">
        <v>0</v>
      </c>
      <c r="BP31" s="175">
        <v>0</v>
      </c>
      <c r="BQ31" s="175">
        <v>0</v>
      </c>
      <c r="BR31" s="175">
        <v>0</v>
      </c>
      <c r="BS31" s="175">
        <v>0</v>
      </c>
      <c r="BT31" s="175">
        <v>0</v>
      </c>
      <c r="BU31" s="175">
        <v>0</v>
      </c>
      <c r="BV31" s="175">
        <v>0</v>
      </c>
      <c r="BW31" s="175">
        <v>0</v>
      </c>
      <c r="BX31" s="175">
        <v>0</v>
      </c>
      <c r="BY31" s="175">
        <v>0</v>
      </c>
      <c r="BZ31" s="175">
        <v>0</v>
      </c>
      <c r="CA31" s="175">
        <v>0</v>
      </c>
      <c r="CB31" s="175">
        <v>0</v>
      </c>
      <c r="CC31" s="175">
        <v>0</v>
      </c>
      <c r="CD31" s="175">
        <v>0</v>
      </c>
      <c r="CE31" s="175">
        <v>0</v>
      </c>
      <c r="CF31" s="175">
        <v>0</v>
      </c>
      <c r="CG31" s="175">
        <v>0</v>
      </c>
      <c r="CH31" s="175">
        <v>0</v>
      </c>
      <c r="CI31" s="175">
        <v>0</v>
      </c>
      <c r="CJ31" s="175">
        <v>0</v>
      </c>
      <c r="CK31" s="175">
        <v>0</v>
      </c>
      <c r="CL31" s="175">
        <v>0</v>
      </c>
      <c r="CM31" s="175">
        <v>0</v>
      </c>
      <c r="CN31" s="175">
        <v>0</v>
      </c>
      <c r="CO31" s="175">
        <v>0</v>
      </c>
      <c r="CP31" s="175">
        <v>0</v>
      </c>
      <c r="CQ31" s="175">
        <v>0</v>
      </c>
    </row>
    <row r="32" spans="1:95" s="175" customFormat="1" x14ac:dyDescent="0.2">
      <c r="A32" s="175" t="s">
        <v>250</v>
      </c>
      <c r="B32" s="175">
        <v>0</v>
      </c>
      <c r="C32" s="175">
        <v>0</v>
      </c>
      <c r="D32" s="175">
        <v>0</v>
      </c>
      <c r="E32" s="175">
        <v>0</v>
      </c>
      <c r="F32" s="175">
        <v>0</v>
      </c>
      <c r="G32" s="175">
        <v>0</v>
      </c>
      <c r="H32" s="175">
        <v>0</v>
      </c>
      <c r="I32" s="175">
        <v>0</v>
      </c>
      <c r="J32" s="175">
        <v>0</v>
      </c>
      <c r="K32" s="175">
        <v>0</v>
      </c>
      <c r="L32" s="175">
        <v>0</v>
      </c>
      <c r="M32" s="175">
        <v>0</v>
      </c>
      <c r="N32" s="175">
        <v>0</v>
      </c>
      <c r="O32" s="175">
        <v>0</v>
      </c>
      <c r="P32" s="175">
        <v>0</v>
      </c>
      <c r="Q32" s="175">
        <v>0</v>
      </c>
      <c r="R32" s="175">
        <v>0</v>
      </c>
      <c r="S32" s="175">
        <v>0</v>
      </c>
      <c r="T32" s="175">
        <v>0</v>
      </c>
      <c r="U32" s="175">
        <v>0</v>
      </c>
      <c r="V32" s="175">
        <v>0</v>
      </c>
      <c r="W32" s="175">
        <v>0</v>
      </c>
      <c r="X32" s="175">
        <v>0</v>
      </c>
      <c r="Y32" s="175">
        <v>0</v>
      </c>
      <c r="Z32" s="175">
        <v>0</v>
      </c>
      <c r="AA32" s="175">
        <v>0</v>
      </c>
      <c r="AB32" s="175">
        <v>0</v>
      </c>
      <c r="AC32" s="175">
        <v>0</v>
      </c>
      <c r="AD32" s="175">
        <v>0</v>
      </c>
      <c r="AE32" s="175">
        <v>0</v>
      </c>
      <c r="AF32" s="175">
        <v>0</v>
      </c>
      <c r="AG32" s="175">
        <v>0</v>
      </c>
      <c r="AH32" s="175">
        <v>0</v>
      </c>
      <c r="AI32" s="175">
        <v>0</v>
      </c>
      <c r="AJ32" s="175">
        <v>0</v>
      </c>
      <c r="AK32" s="175">
        <v>0</v>
      </c>
      <c r="AL32" s="175">
        <v>0</v>
      </c>
      <c r="AM32" s="175">
        <v>0</v>
      </c>
      <c r="AN32" s="175">
        <v>0</v>
      </c>
      <c r="AO32" s="175">
        <v>0</v>
      </c>
      <c r="AP32" s="175">
        <v>0</v>
      </c>
      <c r="AQ32" s="175">
        <v>0</v>
      </c>
      <c r="AR32" s="175">
        <v>0</v>
      </c>
      <c r="AS32" s="175">
        <v>0</v>
      </c>
      <c r="AT32" s="175">
        <v>0</v>
      </c>
      <c r="AU32" s="175">
        <v>0</v>
      </c>
      <c r="AV32" s="175">
        <v>0</v>
      </c>
      <c r="AW32" s="175">
        <v>0</v>
      </c>
      <c r="AX32" s="175">
        <v>0</v>
      </c>
      <c r="AY32" s="175">
        <v>0</v>
      </c>
      <c r="AZ32" s="175">
        <v>0</v>
      </c>
      <c r="BA32" s="175">
        <v>0</v>
      </c>
      <c r="BB32" s="175">
        <v>0</v>
      </c>
      <c r="BC32" s="175">
        <v>0</v>
      </c>
      <c r="BD32" s="175">
        <v>0</v>
      </c>
      <c r="BE32" s="175">
        <v>0</v>
      </c>
      <c r="BF32" s="175">
        <v>0</v>
      </c>
      <c r="BG32" s="175">
        <v>0</v>
      </c>
      <c r="BH32" s="175">
        <v>0</v>
      </c>
      <c r="BI32" s="175">
        <v>0</v>
      </c>
      <c r="BJ32" s="175">
        <v>0</v>
      </c>
      <c r="BK32" s="175">
        <v>0</v>
      </c>
      <c r="BL32" s="175">
        <v>0</v>
      </c>
      <c r="BM32" s="175">
        <v>0</v>
      </c>
      <c r="BN32" s="175">
        <v>0</v>
      </c>
      <c r="BO32" s="175">
        <v>0</v>
      </c>
      <c r="BP32" s="175">
        <v>0</v>
      </c>
      <c r="BQ32" s="175">
        <v>0</v>
      </c>
      <c r="BR32" s="175">
        <v>0</v>
      </c>
      <c r="BS32" s="175">
        <v>0</v>
      </c>
      <c r="BT32" s="175">
        <v>0</v>
      </c>
      <c r="BU32" s="175">
        <v>0</v>
      </c>
      <c r="BV32" s="175">
        <v>0</v>
      </c>
      <c r="BW32" s="175">
        <v>0</v>
      </c>
      <c r="BX32" s="175">
        <v>0</v>
      </c>
      <c r="BY32" s="175">
        <v>0</v>
      </c>
      <c r="BZ32" s="175">
        <v>0</v>
      </c>
      <c r="CA32" s="175">
        <v>0</v>
      </c>
      <c r="CB32" s="175">
        <v>0</v>
      </c>
      <c r="CC32" s="175">
        <v>0</v>
      </c>
      <c r="CD32" s="175">
        <v>0</v>
      </c>
      <c r="CE32" s="175">
        <v>0</v>
      </c>
      <c r="CF32" s="175">
        <v>0</v>
      </c>
      <c r="CG32" s="175">
        <v>0</v>
      </c>
      <c r="CH32" s="175">
        <v>0</v>
      </c>
      <c r="CI32" s="175">
        <v>0</v>
      </c>
      <c r="CJ32" s="175">
        <v>0</v>
      </c>
      <c r="CK32" s="175">
        <v>0</v>
      </c>
      <c r="CL32" s="175">
        <v>0</v>
      </c>
      <c r="CM32" s="175">
        <v>0</v>
      </c>
      <c r="CN32" s="175">
        <v>0</v>
      </c>
      <c r="CO32" s="175">
        <v>0</v>
      </c>
      <c r="CP32" s="175">
        <v>0</v>
      </c>
      <c r="CQ32" s="175">
        <v>0</v>
      </c>
    </row>
    <row r="33" spans="1:95" s="175" customFormat="1" x14ac:dyDescent="0.2">
      <c r="A33" s="175" t="s">
        <v>251</v>
      </c>
      <c r="B33" s="175">
        <v>0</v>
      </c>
      <c r="C33" s="175">
        <v>0</v>
      </c>
      <c r="D33" s="175">
        <v>0</v>
      </c>
      <c r="E33" s="175">
        <v>0</v>
      </c>
      <c r="F33" s="175">
        <v>0</v>
      </c>
      <c r="G33" s="175">
        <v>0</v>
      </c>
      <c r="H33" s="175">
        <v>0</v>
      </c>
      <c r="I33" s="175">
        <v>0</v>
      </c>
      <c r="J33" s="175">
        <v>0</v>
      </c>
      <c r="K33" s="175">
        <v>0</v>
      </c>
      <c r="L33" s="175">
        <v>0</v>
      </c>
      <c r="M33" s="175">
        <v>0</v>
      </c>
      <c r="N33" s="175">
        <v>0</v>
      </c>
      <c r="O33" s="175">
        <v>0</v>
      </c>
      <c r="P33" s="175">
        <v>0</v>
      </c>
      <c r="Q33" s="175">
        <v>0</v>
      </c>
      <c r="R33" s="175">
        <v>0</v>
      </c>
      <c r="S33" s="175">
        <v>0</v>
      </c>
      <c r="T33" s="175">
        <v>0</v>
      </c>
      <c r="U33" s="175">
        <v>0</v>
      </c>
      <c r="V33" s="175">
        <v>0</v>
      </c>
      <c r="W33" s="175">
        <v>0</v>
      </c>
      <c r="X33" s="175">
        <v>0</v>
      </c>
      <c r="Y33" s="175">
        <v>0</v>
      </c>
      <c r="Z33" s="175">
        <v>0</v>
      </c>
      <c r="AA33" s="175">
        <v>0</v>
      </c>
      <c r="AB33" s="175">
        <v>0</v>
      </c>
      <c r="AC33" s="175">
        <v>0</v>
      </c>
      <c r="AD33" s="175">
        <v>0</v>
      </c>
      <c r="AE33" s="175">
        <v>0</v>
      </c>
      <c r="AF33" s="175">
        <v>0</v>
      </c>
      <c r="AG33" s="175">
        <v>0</v>
      </c>
      <c r="AH33" s="175">
        <v>0</v>
      </c>
      <c r="AI33" s="175">
        <v>0</v>
      </c>
      <c r="AJ33" s="175">
        <v>0</v>
      </c>
      <c r="AK33" s="175">
        <v>0</v>
      </c>
      <c r="AL33" s="175">
        <v>0</v>
      </c>
      <c r="AM33" s="175">
        <v>0</v>
      </c>
      <c r="AN33" s="175">
        <v>0</v>
      </c>
      <c r="AO33" s="175">
        <v>0</v>
      </c>
      <c r="AP33" s="175">
        <v>0</v>
      </c>
      <c r="AQ33" s="175">
        <v>0</v>
      </c>
      <c r="AR33" s="175">
        <v>0</v>
      </c>
      <c r="AS33" s="175">
        <v>0</v>
      </c>
      <c r="AT33" s="175">
        <v>0</v>
      </c>
      <c r="AU33" s="175">
        <v>0</v>
      </c>
      <c r="AV33" s="175">
        <v>0</v>
      </c>
      <c r="AW33" s="175">
        <v>0</v>
      </c>
      <c r="AX33" s="175">
        <v>0</v>
      </c>
      <c r="AY33" s="175">
        <v>0</v>
      </c>
      <c r="AZ33" s="175">
        <v>0</v>
      </c>
      <c r="BA33" s="175">
        <v>0</v>
      </c>
      <c r="BB33" s="175">
        <v>0</v>
      </c>
      <c r="BC33" s="175">
        <v>0</v>
      </c>
      <c r="BD33" s="175">
        <v>0</v>
      </c>
      <c r="BE33" s="175">
        <v>0</v>
      </c>
      <c r="BF33" s="175">
        <v>0</v>
      </c>
      <c r="BG33" s="175">
        <v>0</v>
      </c>
      <c r="BH33" s="175">
        <v>0</v>
      </c>
      <c r="BI33" s="175">
        <v>0</v>
      </c>
      <c r="BJ33" s="175">
        <v>0</v>
      </c>
      <c r="BK33" s="175">
        <v>0</v>
      </c>
      <c r="BL33" s="175">
        <v>0</v>
      </c>
      <c r="BM33" s="175">
        <v>0</v>
      </c>
      <c r="BN33" s="175">
        <v>0</v>
      </c>
      <c r="BO33" s="175">
        <v>0</v>
      </c>
      <c r="BP33" s="175">
        <v>0</v>
      </c>
      <c r="BQ33" s="175">
        <v>0</v>
      </c>
      <c r="BR33" s="175">
        <v>0</v>
      </c>
      <c r="BS33" s="175">
        <v>0</v>
      </c>
      <c r="BT33" s="175">
        <v>0</v>
      </c>
      <c r="BU33" s="175">
        <v>0</v>
      </c>
      <c r="BV33" s="175">
        <v>0</v>
      </c>
      <c r="BW33" s="175">
        <v>0</v>
      </c>
      <c r="BX33" s="175">
        <v>0</v>
      </c>
      <c r="BY33" s="175">
        <v>0</v>
      </c>
      <c r="BZ33" s="175">
        <v>0</v>
      </c>
      <c r="CA33" s="175">
        <v>0</v>
      </c>
      <c r="CB33" s="175">
        <v>0</v>
      </c>
      <c r="CC33" s="175">
        <v>0</v>
      </c>
      <c r="CD33" s="175">
        <v>0</v>
      </c>
      <c r="CE33" s="175">
        <v>0</v>
      </c>
      <c r="CF33" s="175">
        <v>0</v>
      </c>
      <c r="CG33" s="175">
        <v>0</v>
      </c>
      <c r="CH33" s="175">
        <v>0</v>
      </c>
      <c r="CI33" s="175">
        <v>0</v>
      </c>
      <c r="CJ33" s="175">
        <v>0</v>
      </c>
      <c r="CK33" s="175">
        <v>0</v>
      </c>
      <c r="CL33" s="175">
        <v>0</v>
      </c>
      <c r="CM33" s="175">
        <v>0</v>
      </c>
      <c r="CN33" s="175">
        <v>0</v>
      </c>
      <c r="CO33" s="175">
        <v>0</v>
      </c>
      <c r="CP33" s="175">
        <v>0</v>
      </c>
      <c r="CQ33" s="175">
        <v>0</v>
      </c>
    </row>
    <row r="34" spans="1:95" s="175" customFormat="1" x14ac:dyDescent="0.2">
      <c r="A34" s="175" t="s">
        <v>252</v>
      </c>
      <c r="B34" s="175">
        <v>0</v>
      </c>
      <c r="C34" s="175">
        <v>0</v>
      </c>
      <c r="D34" s="175">
        <v>0</v>
      </c>
      <c r="E34" s="175">
        <v>0</v>
      </c>
      <c r="F34" s="175">
        <v>0</v>
      </c>
      <c r="G34" s="175">
        <v>0</v>
      </c>
      <c r="H34" s="175">
        <v>0</v>
      </c>
      <c r="I34" s="175">
        <v>0</v>
      </c>
      <c r="J34" s="175">
        <v>0</v>
      </c>
      <c r="K34" s="175">
        <v>0</v>
      </c>
      <c r="L34" s="175">
        <v>0</v>
      </c>
      <c r="M34" s="175">
        <v>0</v>
      </c>
      <c r="N34" s="175">
        <v>0</v>
      </c>
      <c r="O34" s="175">
        <v>0</v>
      </c>
      <c r="P34" s="175">
        <v>0</v>
      </c>
      <c r="Q34" s="175">
        <v>0</v>
      </c>
      <c r="R34" s="175">
        <v>0</v>
      </c>
      <c r="S34" s="175">
        <v>0</v>
      </c>
      <c r="T34" s="175">
        <v>0</v>
      </c>
      <c r="U34" s="175">
        <v>0</v>
      </c>
      <c r="V34" s="175">
        <v>0</v>
      </c>
      <c r="W34" s="175">
        <v>0</v>
      </c>
      <c r="X34" s="175">
        <v>0</v>
      </c>
      <c r="Y34" s="175">
        <v>0</v>
      </c>
      <c r="Z34" s="175">
        <v>0</v>
      </c>
      <c r="AA34" s="175">
        <v>0</v>
      </c>
      <c r="AB34" s="175">
        <v>0</v>
      </c>
      <c r="AC34" s="175">
        <v>0</v>
      </c>
      <c r="AD34" s="175">
        <v>0</v>
      </c>
      <c r="AE34" s="175">
        <v>0</v>
      </c>
      <c r="AF34" s="175">
        <v>0</v>
      </c>
      <c r="AG34" s="175">
        <v>0</v>
      </c>
      <c r="AH34" s="175">
        <v>0</v>
      </c>
      <c r="AI34" s="175">
        <v>0</v>
      </c>
      <c r="AJ34" s="175">
        <v>0</v>
      </c>
      <c r="AK34" s="175">
        <v>0</v>
      </c>
      <c r="AL34" s="175">
        <v>0</v>
      </c>
      <c r="AM34" s="175">
        <v>0</v>
      </c>
      <c r="AN34" s="175">
        <v>0</v>
      </c>
      <c r="AO34" s="175">
        <v>0</v>
      </c>
      <c r="AP34" s="175">
        <v>0</v>
      </c>
      <c r="AQ34" s="175">
        <v>0</v>
      </c>
      <c r="AR34" s="175">
        <v>0</v>
      </c>
      <c r="AS34" s="175">
        <v>0</v>
      </c>
      <c r="AT34" s="175">
        <v>0</v>
      </c>
      <c r="AU34" s="175">
        <v>0</v>
      </c>
      <c r="AV34" s="175">
        <v>0</v>
      </c>
      <c r="AW34" s="175">
        <v>0</v>
      </c>
      <c r="AX34" s="175">
        <v>0</v>
      </c>
      <c r="AY34" s="175">
        <v>0</v>
      </c>
      <c r="AZ34" s="175">
        <v>0</v>
      </c>
      <c r="BA34" s="175">
        <v>0</v>
      </c>
      <c r="BB34" s="175">
        <v>0</v>
      </c>
      <c r="BC34" s="175">
        <v>0</v>
      </c>
      <c r="BD34" s="175">
        <v>0</v>
      </c>
      <c r="BE34" s="175">
        <v>0</v>
      </c>
      <c r="BF34" s="175">
        <v>0</v>
      </c>
      <c r="BG34" s="175">
        <v>0</v>
      </c>
      <c r="BH34" s="175">
        <v>0</v>
      </c>
      <c r="BI34" s="175">
        <v>0</v>
      </c>
      <c r="BJ34" s="175">
        <v>0</v>
      </c>
      <c r="BK34" s="175">
        <v>0</v>
      </c>
      <c r="BL34" s="175">
        <v>0</v>
      </c>
      <c r="BM34" s="175">
        <v>0</v>
      </c>
      <c r="BN34" s="175">
        <v>0</v>
      </c>
      <c r="BO34" s="175">
        <v>0</v>
      </c>
      <c r="BP34" s="175">
        <v>0</v>
      </c>
      <c r="BQ34" s="175">
        <v>0</v>
      </c>
      <c r="BR34" s="175">
        <v>0</v>
      </c>
      <c r="BS34" s="175">
        <v>0</v>
      </c>
      <c r="BT34" s="175">
        <v>0</v>
      </c>
      <c r="BU34" s="175">
        <v>0</v>
      </c>
      <c r="BV34" s="175">
        <v>0</v>
      </c>
      <c r="BW34" s="175">
        <v>0</v>
      </c>
      <c r="BX34" s="175">
        <v>0</v>
      </c>
      <c r="BY34" s="175">
        <v>0</v>
      </c>
      <c r="BZ34" s="175">
        <v>0</v>
      </c>
      <c r="CA34" s="175">
        <v>0</v>
      </c>
      <c r="CB34" s="175">
        <v>0</v>
      </c>
      <c r="CC34" s="175">
        <v>0</v>
      </c>
      <c r="CD34" s="175">
        <v>0</v>
      </c>
      <c r="CE34" s="175">
        <v>0</v>
      </c>
      <c r="CF34" s="175">
        <v>0</v>
      </c>
      <c r="CG34" s="175">
        <v>0</v>
      </c>
      <c r="CH34" s="175">
        <v>0</v>
      </c>
      <c r="CI34" s="175">
        <v>0</v>
      </c>
      <c r="CJ34" s="175">
        <v>0</v>
      </c>
      <c r="CK34" s="175">
        <v>0</v>
      </c>
      <c r="CL34" s="175">
        <v>0</v>
      </c>
      <c r="CM34" s="175">
        <v>0</v>
      </c>
      <c r="CN34" s="175">
        <v>0</v>
      </c>
      <c r="CO34" s="175">
        <v>0</v>
      </c>
      <c r="CP34" s="175">
        <v>0</v>
      </c>
      <c r="CQ34" s="175">
        <v>0</v>
      </c>
    </row>
    <row r="35" spans="1:95" s="175" customFormat="1" x14ac:dyDescent="0.2">
      <c r="A35" s="175" t="s">
        <v>253</v>
      </c>
      <c r="B35" s="175">
        <v>0</v>
      </c>
      <c r="C35" s="175">
        <v>0</v>
      </c>
      <c r="D35" s="175">
        <v>0</v>
      </c>
      <c r="E35" s="175">
        <v>0</v>
      </c>
      <c r="F35" s="175">
        <v>0</v>
      </c>
      <c r="G35" s="175">
        <v>0</v>
      </c>
      <c r="H35" s="175">
        <v>0</v>
      </c>
      <c r="I35" s="175">
        <v>0</v>
      </c>
      <c r="J35" s="175">
        <v>0</v>
      </c>
      <c r="K35" s="175">
        <v>0</v>
      </c>
      <c r="L35" s="175">
        <v>0</v>
      </c>
      <c r="M35" s="175">
        <v>0</v>
      </c>
      <c r="N35" s="175">
        <v>0</v>
      </c>
      <c r="O35" s="175">
        <v>0</v>
      </c>
      <c r="P35" s="175">
        <v>0</v>
      </c>
      <c r="Q35" s="175">
        <v>0</v>
      </c>
      <c r="R35" s="175">
        <v>0</v>
      </c>
      <c r="S35" s="175">
        <v>0</v>
      </c>
      <c r="T35" s="175">
        <v>0</v>
      </c>
      <c r="U35" s="175">
        <v>0</v>
      </c>
      <c r="V35" s="175">
        <v>0</v>
      </c>
      <c r="W35" s="175">
        <v>0</v>
      </c>
      <c r="X35" s="175">
        <v>0</v>
      </c>
      <c r="Y35" s="175">
        <v>0</v>
      </c>
      <c r="Z35" s="175">
        <v>0</v>
      </c>
      <c r="AA35" s="175">
        <v>0</v>
      </c>
      <c r="AB35" s="175">
        <v>0</v>
      </c>
      <c r="AC35" s="175">
        <v>0</v>
      </c>
      <c r="AD35" s="175">
        <v>0</v>
      </c>
      <c r="AE35" s="175">
        <v>0</v>
      </c>
      <c r="AF35" s="175">
        <v>0</v>
      </c>
      <c r="AG35" s="175">
        <v>0</v>
      </c>
      <c r="AH35" s="175">
        <v>0</v>
      </c>
      <c r="AI35" s="175">
        <v>0</v>
      </c>
      <c r="AJ35" s="175">
        <v>0</v>
      </c>
      <c r="AK35" s="175">
        <v>0</v>
      </c>
      <c r="AL35" s="175">
        <v>0</v>
      </c>
      <c r="AM35" s="175">
        <v>0</v>
      </c>
      <c r="AN35" s="175">
        <v>0</v>
      </c>
      <c r="AO35" s="175">
        <v>0</v>
      </c>
      <c r="AP35" s="175">
        <v>0</v>
      </c>
      <c r="AQ35" s="175">
        <v>0</v>
      </c>
      <c r="AR35" s="175">
        <v>0</v>
      </c>
      <c r="AS35" s="175">
        <v>0</v>
      </c>
      <c r="AT35" s="175">
        <v>0</v>
      </c>
      <c r="AU35" s="175">
        <v>0</v>
      </c>
      <c r="AV35" s="175">
        <v>0</v>
      </c>
      <c r="AW35" s="175">
        <v>0</v>
      </c>
      <c r="AX35" s="175">
        <v>0</v>
      </c>
      <c r="AY35" s="175">
        <v>0</v>
      </c>
      <c r="AZ35" s="175">
        <v>0</v>
      </c>
      <c r="BA35" s="175">
        <v>0</v>
      </c>
      <c r="BB35" s="175">
        <v>0</v>
      </c>
      <c r="BC35" s="175">
        <v>0</v>
      </c>
      <c r="BD35" s="175">
        <v>0</v>
      </c>
      <c r="BE35" s="175">
        <v>0</v>
      </c>
      <c r="BF35" s="175">
        <v>0</v>
      </c>
      <c r="BG35" s="175">
        <v>0</v>
      </c>
      <c r="BH35" s="175">
        <v>0</v>
      </c>
      <c r="BI35" s="175">
        <v>0</v>
      </c>
      <c r="BJ35" s="175">
        <v>0</v>
      </c>
      <c r="BK35" s="175">
        <v>0</v>
      </c>
      <c r="BL35" s="175">
        <v>0</v>
      </c>
      <c r="BM35" s="175">
        <v>0</v>
      </c>
      <c r="BN35" s="175">
        <v>0</v>
      </c>
      <c r="BO35" s="175">
        <v>0</v>
      </c>
      <c r="BP35" s="175">
        <v>0</v>
      </c>
      <c r="BQ35" s="175">
        <v>0</v>
      </c>
      <c r="BR35" s="175">
        <v>0</v>
      </c>
      <c r="BS35" s="175">
        <v>0</v>
      </c>
      <c r="BT35" s="175">
        <v>0</v>
      </c>
      <c r="BU35" s="175">
        <v>0</v>
      </c>
      <c r="BV35" s="175">
        <v>0</v>
      </c>
      <c r="BW35" s="175">
        <v>0</v>
      </c>
      <c r="BX35" s="175">
        <v>0</v>
      </c>
      <c r="BY35" s="175">
        <v>0</v>
      </c>
      <c r="BZ35" s="175">
        <v>0</v>
      </c>
      <c r="CA35" s="175">
        <v>0</v>
      </c>
      <c r="CB35" s="175">
        <v>0</v>
      </c>
      <c r="CC35" s="175">
        <v>0</v>
      </c>
      <c r="CD35" s="175">
        <v>0</v>
      </c>
      <c r="CE35" s="175">
        <v>0</v>
      </c>
      <c r="CF35" s="175">
        <v>0</v>
      </c>
      <c r="CG35" s="175">
        <v>0</v>
      </c>
      <c r="CH35" s="175">
        <v>0</v>
      </c>
      <c r="CI35" s="175">
        <v>0</v>
      </c>
      <c r="CJ35" s="175">
        <v>0</v>
      </c>
      <c r="CK35" s="175">
        <v>0</v>
      </c>
      <c r="CL35" s="175">
        <v>0</v>
      </c>
      <c r="CM35" s="175">
        <v>0</v>
      </c>
      <c r="CN35" s="175">
        <v>0</v>
      </c>
      <c r="CO35" s="175">
        <v>0</v>
      </c>
      <c r="CP35" s="175">
        <v>0</v>
      </c>
      <c r="CQ35" s="175">
        <v>0</v>
      </c>
    </row>
    <row r="36" spans="1:95" s="175" customFormat="1" x14ac:dyDescent="0.2">
      <c r="A36" s="175" t="s">
        <v>254</v>
      </c>
      <c r="B36" s="175">
        <v>0</v>
      </c>
      <c r="C36" s="175">
        <v>0</v>
      </c>
      <c r="D36" s="175">
        <v>0</v>
      </c>
      <c r="E36" s="175">
        <v>0</v>
      </c>
      <c r="F36" s="175">
        <v>0</v>
      </c>
      <c r="G36" s="175">
        <v>0</v>
      </c>
      <c r="H36" s="175">
        <v>0</v>
      </c>
      <c r="I36" s="175">
        <v>0</v>
      </c>
      <c r="J36" s="175">
        <v>0</v>
      </c>
      <c r="K36" s="175">
        <v>0</v>
      </c>
      <c r="L36" s="175">
        <v>0</v>
      </c>
      <c r="M36" s="175">
        <v>0</v>
      </c>
      <c r="N36" s="175">
        <v>0</v>
      </c>
      <c r="O36" s="175">
        <v>0</v>
      </c>
      <c r="P36" s="175">
        <v>0</v>
      </c>
      <c r="Q36" s="175">
        <v>0</v>
      </c>
      <c r="R36" s="175">
        <v>0</v>
      </c>
      <c r="S36" s="175">
        <v>0</v>
      </c>
      <c r="T36" s="175">
        <v>0</v>
      </c>
      <c r="U36" s="175">
        <v>0</v>
      </c>
      <c r="V36" s="175">
        <v>0</v>
      </c>
      <c r="W36" s="175">
        <v>0</v>
      </c>
      <c r="X36" s="175">
        <v>0</v>
      </c>
      <c r="Y36" s="175">
        <v>0</v>
      </c>
      <c r="Z36" s="175">
        <v>0</v>
      </c>
      <c r="AA36" s="175">
        <v>0</v>
      </c>
      <c r="AB36" s="175">
        <v>0</v>
      </c>
      <c r="AC36" s="175">
        <v>0</v>
      </c>
      <c r="AD36" s="175">
        <v>0</v>
      </c>
      <c r="AE36" s="175">
        <v>0</v>
      </c>
      <c r="AF36" s="175">
        <v>0</v>
      </c>
      <c r="AG36" s="175">
        <v>0</v>
      </c>
      <c r="AH36" s="175">
        <v>0</v>
      </c>
      <c r="AI36" s="175">
        <v>0</v>
      </c>
      <c r="AJ36" s="175">
        <v>0</v>
      </c>
      <c r="AK36" s="175">
        <v>0</v>
      </c>
      <c r="AL36" s="175">
        <v>0</v>
      </c>
      <c r="AM36" s="175">
        <v>0</v>
      </c>
      <c r="AN36" s="175">
        <v>0</v>
      </c>
      <c r="AO36" s="175">
        <v>0</v>
      </c>
      <c r="AP36" s="175">
        <v>0</v>
      </c>
      <c r="AQ36" s="175">
        <v>0</v>
      </c>
      <c r="AR36" s="175">
        <v>0</v>
      </c>
      <c r="AS36" s="175">
        <v>0</v>
      </c>
      <c r="AT36" s="175">
        <v>0</v>
      </c>
      <c r="AU36" s="175">
        <v>0</v>
      </c>
      <c r="AV36" s="175">
        <v>0</v>
      </c>
      <c r="AW36" s="175">
        <v>0</v>
      </c>
      <c r="AX36" s="175">
        <v>0</v>
      </c>
      <c r="AY36" s="175">
        <v>0</v>
      </c>
      <c r="AZ36" s="175">
        <v>0</v>
      </c>
      <c r="BA36" s="175">
        <v>0</v>
      </c>
      <c r="BB36" s="175">
        <v>0</v>
      </c>
      <c r="BC36" s="175">
        <v>0</v>
      </c>
      <c r="BD36" s="175">
        <v>0</v>
      </c>
      <c r="BE36" s="175">
        <v>0</v>
      </c>
      <c r="BF36" s="175">
        <v>0</v>
      </c>
      <c r="BG36" s="175">
        <v>0</v>
      </c>
      <c r="BH36" s="175">
        <v>0</v>
      </c>
      <c r="BI36" s="175">
        <v>0</v>
      </c>
      <c r="BJ36" s="175">
        <v>0</v>
      </c>
      <c r="BK36" s="175">
        <v>0</v>
      </c>
      <c r="BL36" s="175">
        <v>0</v>
      </c>
      <c r="BM36" s="175">
        <v>0</v>
      </c>
      <c r="BN36" s="175">
        <v>0</v>
      </c>
      <c r="BO36" s="175">
        <v>0</v>
      </c>
      <c r="BP36" s="175">
        <v>0</v>
      </c>
      <c r="BQ36" s="175">
        <v>0</v>
      </c>
      <c r="BR36" s="175">
        <v>0</v>
      </c>
      <c r="BS36" s="175">
        <v>0</v>
      </c>
      <c r="BT36" s="175">
        <v>0</v>
      </c>
      <c r="BU36" s="175">
        <v>0</v>
      </c>
      <c r="BV36" s="175">
        <v>0</v>
      </c>
      <c r="BW36" s="175">
        <v>0</v>
      </c>
      <c r="BX36" s="175">
        <v>0</v>
      </c>
      <c r="BY36" s="175">
        <v>0</v>
      </c>
      <c r="BZ36" s="175">
        <v>0</v>
      </c>
      <c r="CA36" s="175">
        <v>0</v>
      </c>
      <c r="CB36" s="175">
        <v>0</v>
      </c>
      <c r="CC36" s="175">
        <v>0</v>
      </c>
      <c r="CD36" s="175">
        <v>0</v>
      </c>
      <c r="CE36" s="175">
        <v>0</v>
      </c>
      <c r="CF36" s="175">
        <v>0</v>
      </c>
      <c r="CG36" s="175">
        <v>0</v>
      </c>
      <c r="CH36" s="175">
        <v>0</v>
      </c>
      <c r="CI36" s="175">
        <v>0</v>
      </c>
      <c r="CJ36" s="175">
        <v>0</v>
      </c>
      <c r="CK36" s="175">
        <v>0</v>
      </c>
      <c r="CL36" s="175">
        <v>0</v>
      </c>
      <c r="CM36" s="175">
        <v>0</v>
      </c>
      <c r="CN36" s="175">
        <v>0</v>
      </c>
      <c r="CO36" s="175">
        <v>0</v>
      </c>
      <c r="CP36" s="175">
        <v>0</v>
      </c>
      <c r="CQ36" s="175">
        <v>0</v>
      </c>
    </row>
    <row r="37" spans="1:95" s="175" customFormat="1" x14ac:dyDescent="0.2">
      <c r="A37" s="175" t="s">
        <v>255</v>
      </c>
      <c r="B37" s="175">
        <v>0</v>
      </c>
      <c r="C37" s="175">
        <v>0</v>
      </c>
      <c r="D37" s="175">
        <v>0</v>
      </c>
      <c r="E37" s="175">
        <v>0</v>
      </c>
      <c r="F37" s="175">
        <v>0</v>
      </c>
      <c r="G37" s="175">
        <v>0</v>
      </c>
      <c r="H37" s="175">
        <v>0</v>
      </c>
      <c r="I37" s="175">
        <v>0</v>
      </c>
      <c r="J37" s="175">
        <v>0</v>
      </c>
      <c r="K37" s="175">
        <v>0</v>
      </c>
      <c r="L37" s="175">
        <v>0</v>
      </c>
      <c r="M37" s="175">
        <v>0</v>
      </c>
      <c r="N37" s="175">
        <v>0</v>
      </c>
      <c r="O37" s="175">
        <v>0</v>
      </c>
      <c r="P37" s="175">
        <v>0</v>
      </c>
      <c r="Q37" s="175">
        <v>0</v>
      </c>
      <c r="R37" s="175">
        <v>0</v>
      </c>
      <c r="S37" s="175">
        <v>0</v>
      </c>
      <c r="T37" s="175">
        <v>0</v>
      </c>
      <c r="U37" s="175">
        <v>0</v>
      </c>
      <c r="V37" s="175">
        <v>0</v>
      </c>
      <c r="W37" s="175">
        <v>0</v>
      </c>
      <c r="X37" s="175">
        <v>0</v>
      </c>
      <c r="Y37" s="175">
        <v>0</v>
      </c>
      <c r="Z37" s="175">
        <v>0</v>
      </c>
      <c r="AA37" s="175">
        <v>0</v>
      </c>
      <c r="AB37" s="175">
        <v>0</v>
      </c>
      <c r="AC37" s="175">
        <v>0</v>
      </c>
      <c r="AD37" s="175">
        <v>0</v>
      </c>
      <c r="AE37" s="175">
        <v>0</v>
      </c>
      <c r="AF37" s="175">
        <v>0</v>
      </c>
      <c r="AG37" s="175">
        <v>0</v>
      </c>
      <c r="AH37" s="175">
        <v>0</v>
      </c>
      <c r="AI37" s="175">
        <v>0</v>
      </c>
      <c r="AJ37" s="175">
        <v>0</v>
      </c>
      <c r="AK37" s="175">
        <v>0</v>
      </c>
      <c r="AL37" s="175">
        <v>0</v>
      </c>
      <c r="AM37" s="175">
        <v>0</v>
      </c>
      <c r="AN37" s="175">
        <v>0</v>
      </c>
      <c r="AO37" s="175">
        <v>0</v>
      </c>
      <c r="AP37" s="175">
        <v>0</v>
      </c>
      <c r="AQ37" s="175">
        <v>0</v>
      </c>
      <c r="AR37" s="175">
        <v>0</v>
      </c>
      <c r="AS37" s="175">
        <v>0</v>
      </c>
      <c r="AT37" s="175">
        <v>0</v>
      </c>
      <c r="AU37" s="175">
        <v>0</v>
      </c>
      <c r="AV37" s="175">
        <v>0</v>
      </c>
      <c r="AW37" s="175">
        <v>0</v>
      </c>
      <c r="AX37" s="175">
        <v>0</v>
      </c>
      <c r="AY37" s="175">
        <v>0</v>
      </c>
      <c r="AZ37" s="175">
        <v>0</v>
      </c>
      <c r="BA37" s="175">
        <v>0</v>
      </c>
      <c r="BB37" s="175">
        <v>0</v>
      </c>
      <c r="BC37" s="175">
        <v>0</v>
      </c>
      <c r="BD37" s="175">
        <v>0</v>
      </c>
      <c r="BE37" s="175">
        <v>0</v>
      </c>
      <c r="BF37" s="175">
        <v>0</v>
      </c>
      <c r="BG37" s="175">
        <v>0</v>
      </c>
      <c r="BH37" s="175">
        <v>0</v>
      </c>
      <c r="BI37" s="175">
        <v>0</v>
      </c>
      <c r="BJ37" s="175">
        <v>0</v>
      </c>
      <c r="BK37" s="175">
        <v>0</v>
      </c>
      <c r="BL37" s="175">
        <v>0</v>
      </c>
      <c r="BM37" s="175">
        <v>0</v>
      </c>
      <c r="BN37" s="175">
        <v>0</v>
      </c>
      <c r="BO37" s="175">
        <v>0</v>
      </c>
      <c r="BP37" s="175">
        <v>0</v>
      </c>
      <c r="BQ37" s="175">
        <v>0</v>
      </c>
      <c r="BR37" s="175">
        <v>0</v>
      </c>
      <c r="BS37" s="175">
        <v>0</v>
      </c>
      <c r="BT37" s="175">
        <v>0</v>
      </c>
      <c r="BU37" s="175">
        <v>0</v>
      </c>
      <c r="BV37" s="175">
        <v>0</v>
      </c>
      <c r="BW37" s="175">
        <v>0</v>
      </c>
      <c r="BX37" s="175">
        <v>0</v>
      </c>
      <c r="BY37" s="175">
        <v>0</v>
      </c>
      <c r="BZ37" s="175">
        <v>0</v>
      </c>
      <c r="CA37" s="175">
        <v>0</v>
      </c>
      <c r="CB37" s="175">
        <v>0</v>
      </c>
      <c r="CC37" s="175">
        <v>0</v>
      </c>
      <c r="CD37" s="175">
        <v>0</v>
      </c>
      <c r="CE37" s="175">
        <v>0</v>
      </c>
      <c r="CF37" s="175">
        <v>0</v>
      </c>
      <c r="CG37" s="175">
        <v>0</v>
      </c>
      <c r="CH37" s="175">
        <v>0</v>
      </c>
      <c r="CI37" s="175">
        <v>0</v>
      </c>
      <c r="CJ37" s="175">
        <v>0</v>
      </c>
      <c r="CK37" s="175">
        <v>0</v>
      </c>
      <c r="CL37" s="175">
        <v>0</v>
      </c>
      <c r="CM37" s="175">
        <v>0</v>
      </c>
      <c r="CN37" s="175">
        <v>0</v>
      </c>
      <c r="CO37" s="175">
        <v>0</v>
      </c>
      <c r="CP37" s="175">
        <v>0</v>
      </c>
      <c r="CQ37" s="175">
        <v>0</v>
      </c>
    </row>
    <row r="38" spans="1:95" s="175" customFormat="1" x14ac:dyDescent="0.2">
      <c r="A38" s="175" t="s">
        <v>194</v>
      </c>
      <c r="B38" s="175">
        <v>0</v>
      </c>
      <c r="C38" s="175">
        <v>0</v>
      </c>
      <c r="D38" s="175">
        <v>0</v>
      </c>
      <c r="E38" s="175">
        <v>0</v>
      </c>
      <c r="F38" s="175">
        <v>0</v>
      </c>
      <c r="G38" s="175">
        <v>0</v>
      </c>
      <c r="H38" s="175">
        <v>0</v>
      </c>
      <c r="I38" s="175">
        <v>0</v>
      </c>
      <c r="J38" s="175">
        <v>0</v>
      </c>
      <c r="K38" s="175">
        <v>0</v>
      </c>
      <c r="L38" s="175">
        <v>0</v>
      </c>
      <c r="M38" s="175">
        <v>0</v>
      </c>
      <c r="N38" s="175">
        <v>0</v>
      </c>
      <c r="O38" s="175">
        <v>0</v>
      </c>
      <c r="P38" s="175">
        <v>0</v>
      </c>
      <c r="Q38" s="175">
        <v>0</v>
      </c>
      <c r="R38" s="175">
        <v>0</v>
      </c>
      <c r="S38" s="175">
        <v>0</v>
      </c>
      <c r="T38" s="175">
        <v>0</v>
      </c>
      <c r="U38" s="175">
        <v>0</v>
      </c>
      <c r="V38" s="175">
        <v>0</v>
      </c>
      <c r="W38" s="175">
        <v>0</v>
      </c>
      <c r="X38" s="175">
        <v>0</v>
      </c>
      <c r="Y38" s="175">
        <v>0</v>
      </c>
      <c r="Z38" s="175">
        <v>0</v>
      </c>
      <c r="AA38" s="175">
        <v>0</v>
      </c>
      <c r="AB38" s="175">
        <v>0</v>
      </c>
      <c r="AC38" s="175">
        <v>0</v>
      </c>
      <c r="AD38" s="175">
        <v>0</v>
      </c>
      <c r="AE38" s="175">
        <v>0</v>
      </c>
      <c r="AF38" s="175">
        <v>0</v>
      </c>
      <c r="AG38" s="175">
        <v>0</v>
      </c>
      <c r="AH38" s="175">
        <v>0</v>
      </c>
      <c r="AI38" s="175">
        <v>0</v>
      </c>
      <c r="AJ38" s="175">
        <v>0</v>
      </c>
      <c r="AK38" s="175">
        <v>0</v>
      </c>
      <c r="AL38" s="175">
        <v>0</v>
      </c>
      <c r="AM38" s="175">
        <v>0</v>
      </c>
      <c r="AN38" s="175">
        <v>0</v>
      </c>
      <c r="AO38" s="175">
        <v>0</v>
      </c>
      <c r="AP38" s="175">
        <v>0</v>
      </c>
      <c r="AQ38" s="175">
        <v>0</v>
      </c>
      <c r="AR38" s="175">
        <v>0</v>
      </c>
      <c r="AS38" s="175">
        <v>0</v>
      </c>
      <c r="AT38" s="175">
        <v>0</v>
      </c>
      <c r="AU38" s="175">
        <v>0</v>
      </c>
      <c r="AV38" s="175">
        <v>0</v>
      </c>
      <c r="AW38" s="175">
        <v>0</v>
      </c>
      <c r="AX38" s="175">
        <v>0</v>
      </c>
      <c r="AY38" s="175">
        <v>0</v>
      </c>
      <c r="AZ38" s="175">
        <v>0</v>
      </c>
      <c r="BA38" s="175">
        <v>0</v>
      </c>
      <c r="BB38" s="175">
        <v>0</v>
      </c>
      <c r="BC38" s="175">
        <v>0</v>
      </c>
      <c r="BD38" s="175">
        <v>0</v>
      </c>
      <c r="BE38" s="175">
        <v>0</v>
      </c>
      <c r="BF38" s="175">
        <v>0</v>
      </c>
      <c r="BG38" s="175">
        <v>0</v>
      </c>
      <c r="BH38" s="175">
        <v>0</v>
      </c>
      <c r="BI38" s="175">
        <v>0</v>
      </c>
      <c r="BJ38" s="175">
        <v>0</v>
      </c>
      <c r="BK38" s="175">
        <v>0</v>
      </c>
      <c r="BL38" s="175">
        <v>0</v>
      </c>
      <c r="BM38" s="175">
        <v>0</v>
      </c>
      <c r="BN38" s="175">
        <v>0</v>
      </c>
      <c r="BO38" s="175">
        <v>0</v>
      </c>
      <c r="BP38" s="175">
        <v>0</v>
      </c>
      <c r="BQ38" s="175">
        <v>0</v>
      </c>
      <c r="BR38" s="175">
        <v>0</v>
      </c>
      <c r="BS38" s="175">
        <v>0</v>
      </c>
      <c r="BT38" s="175">
        <v>0</v>
      </c>
      <c r="BU38" s="175">
        <v>0</v>
      </c>
      <c r="BV38" s="175">
        <v>0</v>
      </c>
      <c r="BW38" s="175">
        <v>0</v>
      </c>
      <c r="BX38" s="175">
        <v>0</v>
      </c>
      <c r="BY38" s="175">
        <v>0</v>
      </c>
      <c r="BZ38" s="175">
        <v>0</v>
      </c>
      <c r="CA38" s="175">
        <v>0</v>
      </c>
      <c r="CB38" s="175">
        <v>0</v>
      </c>
      <c r="CC38" s="175">
        <v>0</v>
      </c>
      <c r="CD38" s="175">
        <v>0</v>
      </c>
      <c r="CE38" s="175">
        <v>0</v>
      </c>
      <c r="CF38" s="175">
        <v>0</v>
      </c>
      <c r="CG38" s="175">
        <v>0</v>
      </c>
      <c r="CH38" s="175">
        <v>0</v>
      </c>
      <c r="CI38" s="175">
        <v>0</v>
      </c>
      <c r="CJ38" s="175">
        <v>0</v>
      </c>
      <c r="CK38" s="175">
        <v>0</v>
      </c>
      <c r="CL38" s="175">
        <v>0</v>
      </c>
      <c r="CM38" s="175">
        <v>0</v>
      </c>
      <c r="CN38" s="175">
        <v>0</v>
      </c>
      <c r="CO38" s="175">
        <v>0</v>
      </c>
      <c r="CP38" s="175">
        <v>0</v>
      </c>
      <c r="CQ38" s="175">
        <v>0</v>
      </c>
    </row>
    <row r="39" spans="1:95" s="175" customFormat="1" x14ac:dyDescent="0.2">
      <c r="A39" s="175" t="s">
        <v>256</v>
      </c>
      <c r="B39" s="175">
        <v>0</v>
      </c>
      <c r="C39" s="175">
        <v>0</v>
      </c>
      <c r="D39" s="175">
        <v>0</v>
      </c>
      <c r="E39" s="175">
        <v>0</v>
      </c>
      <c r="F39" s="175">
        <v>0</v>
      </c>
      <c r="G39" s="175">
        <v>0</v>
      </c>
      <c r="H39" s="175">
        <v>0</v>
      </c>
      <c r="I39" s="175">
        <v>0</v>
      </c>
      <c r="J39" s="175">
        <v>0</v>
      </c>
      <c r="K39" s="175">
        <v>0</v>
      </c>
      <c r="L39" s="175">
        <v>0</v>
      </c>
      <c r="M39" s="175">
        <v>0</v>
      </c>
      <c r="N39" s="175">
        <v>0</v>
      </c>
      <c r="O39" s="175">
        <v>0</v>
      </c>
      <c r="P39" s="175">
        <v>0</v>
      </c>
      <c r="Q39" s="175">
        <v>0</v>
      </c>
      <c r="R39" s="175">
        <v>0</v>
      </c>
      <c r="S39" s="175">
        <v>0</v>
      </c>
      <c r="T39" s="175">
        <v>0</v>
      </c>
      <c r="U39" s="175">
        <v>0</v>
      </c>
      <c r="V39" s="175">
        <v>0</v>
      </c>
      <c r="W39" s="175">
        <v>0</v>
      </c>
      <c r="X39" s="175">
        <v>0</v>
      </c>
      <c r="Y39" s="175">
        <v>0</v>
      </c>
      <c r="Z39" s="175">
        <v>0</v>
      </c>
      <c r="AA39" s="175">
        <v>0</v>
      </c>
      <c r="AB39" s="175">
        <v>0</v>
      </c>
      <c r="AC39" s="175">
        <v>0</v>
      </c>
      <c r="AD39" s="175">
        <v>0</v>
      </c>
      <c r="AE39" s="175">
        <v>0</v>
      </c>
      <c r="AF39" s="175">
        <v>0</v>
      </c>
      <c r="AG39" s="175">
        <v>0</v>
      </c>
      <c r="AH39" s="175">
        <v>0</v>
      </c>
      <c r="AI39" s="175">
        <v>0</v>
      </c>
      <c r="AJ39" s="175">
        <v>0</v>
      </c>
      <c r="AK39" s="175">
        <v>0</v>
      </c>
      <c r="AL39" s="175">
        <v>0</v>
      </c>
      <c r="AM39" s="175">
        <v>0</v>
      </c>
      <c r="AN39" s="175">
        <v>0</v>
      </c>
      <c r="AO39" s="175">
        <v>0</v>
      </c>
      <c r="AP39" s="175">
        <v>0</v>
      </c>
      <c r="AQ39" s="175">
        <v>0</v>
      </c>
      <c r="AR39" s="175">
        <v>0</v>
      </c>
      <c r="AS39" s="175">
        <v>0</v>
      </c>
      <c r="AT39" s="175">
        <v>0</v>
      </c>
      <c r="AU39" s="175">
        <v>0</v>
      </c>
      <c r="AV39" s="175">
        <v>0</v>
      </c>
      <c r="AW39" s="175">
        <v>0</v>
      </c>
      <c r="AX39" s="175">
        <v>0</v>
      </c>
      <c r="AY39" s="175">
        <v>0</v>
      </c>
      <c r="AZ39" s="175">
        <v>0</v>
      </c>
      <c r="BA39" s="175">
        <v>0</v>
      </c>
      <c r="BB39" s="175">
        <v>0</v>
      </c>
      <c r="BC39" s="175">
        <v>0</v>
      </c>
      <c r="BD39" s="175">
        <v>0</v>
      </c>
      <c r="BE39" s="175">
        <v>0</v>
      </c>
      <c r="BF39" s="175">
        <v>0</v>
      </c>
      <c r="BG39" s="175">
        <v>0</v>
      </c>
      <c r="BH39" s="175">
        <v>0</v>
      </c>
      <c r="BI39" s="175">
        <v>0</v>
      </c>
      <c r="BJ39" s="175">
        <v>0</v>
      </c>
      <c r="BK39" s="175">
        <v>0</v>
      </c>
      <c r="BL39" s="175">
        <v>0</v>
      </c>
      <c r="BM39" s="175">
        <v>0</v>
      </c>
      <c r="BN39" s="175">
        <v>0</v>
      </c>
      <c r="BO39" s="175">
        <v>0</v>
      </c>
      <c r="BP39" s="175">
        <v>0</v>
      </c>
      <c r="BQ39" s="175">
        <v>0</v>
      </c>
      <c r="BR39" s="175">
        <v>0</v>
      </c>
      <c r="BS39" s="175">
        <v>0</v>
      </c>
      <c r="BT39" s="175">
        <v>0</v>
      </c>
      <c r="BU39" s="175">
        <v>0</v>
      </c>
      <c r="BV39" s="175">
        <v>0</v>
      </c>
      <c r="BW39" s="175">
        <v>0</v>
      </c>
      <c r="BX39" s="175">
        <v>0</v>
      </c>
      <c r="BY39" s="175">
        <v>0</v>
      </c>
      <c r="BZ39" s="175">
        <v>0</v>
      </c>
      <c r="CA39" s="175">
        <v>0</v>
      </c>
      <c r="CB39" s="175">
        <v>0</v>
      </c>
      <c r="CC39" s="175">
        <v>0</v>
      </c>
      <c r="CD39" s="175">
        <v>0</v>
      </c>
      <c r="CE39" s="175">
        <v>0</v>
      </c>
      <c r="CF39" s="175">
        <v>0</v>
      </c>
      <c r="CG39" s="175">
        <v>0</v>
      </c>
      <c r="CH39" s="175">
        <v>0</v>
      </c>
      <c r="CI39" s="175">
        <v>0</v>
      </c>
      <c r="CJ39" s="175">
        <v>0</v>
      </c>
      <c r="CK39" s="175">
        <v>0</v>
      </c>
      <c r="CL39" s="175">
        <v>0</v>
      </c>
      <c r="CM39" s="175">
        <v>0</v>
      </c>
      <c r="CN39" s="175">
        <v>0</v>
      </c>
      <c r="CO39" s="175">
        <v>0</v>
      </c>
      <c r="CP39" s="175">
        <v>0</v>
      </c>
      <c r="CQ39" s="175">
        <v>0</v>
      </c>
    </row>
    <row r="40" spans="1:95" s="175" customFormat="1" x14ac:dyDescent="0.2">
      <c r="A40" s="175" t="s">
        <v>195</v>
      </c>
      <c r="B40" s="175">
        <v>0</v>
      </c>
      <c r="C40" s="175">
        <v>0</v>
      </c>
      <c r="D40" s="175">
        <v>0</v>
      </c>
      <c r="E40" s="175">
        <v>0</v>
      </c>
      <c r="F40" s="175">
        <v>0</v>
      </c>
      <c r="G40" s="175">
        <v>0</v>
      </c>
      <c r="H40" s="175">
        <v>0</v>
      </c>
      <c r="I40" s="175">
        <v>0</v>
      </c>
      <c r="J40" s="175">
        <v>0</v>
      </c>
      <c r="K40" s="175">
        <v>0</v>
      </c>
      <c r="L40" s="175">
        <v>0</v>
      </c>
      <c r="M40" s="175">
        <v>0</v>
      </c>
      <c r="N40" s="175">
        <v>0</v>
      </c>
      <c r="O40" s="175">
        <v>0</v>
      </c>
      <c r="P40" s="175">
        <v>0</v>
      </c>
      <c r="Q40" s="175">
        <v>0</v>
      </c>
      <c r="R40" s="175">
        <v>0</v>
      </c>
      <c r="S40" s="175">
        <v>0</v>
      </c>
      <c r="T40" s="175">
        <v>0</v>
      </c>
      <c r="U40" s="175">
        <v>0</v>
      </c>
      <c r="V40" s="175">
        <v>0</v>
      </c>
      <c r="W40" s="175">
        <v>0</v>
      </c>
      <c r="X40" s="175">
        <v>0</v>
      </c>
      <c r="Y40" s="175">
        <v>0</v>
      </c>
      <c r="Z40" s="175">
        <v>0</v>
      </c>
      <c r="AA40" s="175">
        <v>0</v>
      </c>
      <c r="AB40" s="175">
        <v>0</v>
      </c>
      <c r="AC40" s="175">
        <v>0</v>
      </c>
      <c r="AD40" s="175">
        <v>0</v>
      </c>
      <c r="AE40" s="175">
        <v>0</v>
      </c>
      <c r="AF40" s="175">
        <v>0</v>
      </c>
      <c r="AG40" s="175">
        <v>0</v>
      </c>
      <c r="AH40" s="175">
        <v>0</v>
      </c>
      <c r="AI40" s="175">
        <v>0</v>
      </c>
      <c r="AJ40" s="175">
        <v>0</v>
      </c>
      <c r="AK40" s="175">
        <v>0</v>
      </c>
      <c r="AL40" s="175">
        <v>0</v>
      </c>
      <c r="AM40" s="175">
        <v>0</v>
      </c>
      <c r="AN40" s="175">
        <v>0</v>
      </c>
      <c r="AO40" s="175">
        <v>0</v>
      </c>
      <c r="AP40" s="175">
        <v>0</v>
      </c>
      <c r="AQ40" s="175">
        <v>0</v>
      </c>
      <c r="AR40" s="175">
        <v>0</v>
      </c>
      <c r="AS40" s="175">
        <v>0</v>
      </c>
      <c r="AT40" s="175">
        <v>0</v>
      </c>
      <c r="AU40" s="175">
        <v>0</v>
      </c>
      <c r="AV40" s="175">
        <v>0</v>
      </c>
      <c r="AW40" s="175">
        <v>0</v>
      </c>
      <c r="AX40" s="175">
        <v>0</v>
      </c>
      <c r="AY40" s="175">
        <v>0</v>
      </c>
      <c r="AZ40" s="175">
        <v>0</v>
      </c>
      <c r="BA40" s="175">
        <v>0</v>
      </c>
      <c r="BB40" s="175">
        <v>0</v>
      </c>
      <c r="BC40" s="175">
        <v>0</v>
      </c>
      <c r="BD40" s="175">
        <v>0</v>
      </c>
      <c r="BE40" s="175">
        <v>0</v>
      </c>
      <c r="BF40" s="175">
        <v>0</v>
      </c>
      <c r="BG40" s="175">
        <v>0</v>
      </c>
      <c r="BH40" s="175">
        <v>0</v>
      </c>
      <c r="BI40" s="175">
        <v>0</v>
      </c>
      <c r="BJ40" s="175">
        <v>0</v>
      </c>
      <c r="BK40" s="175">
        <v>0</v>
      </c>
      <c r="BL40" s="175">
        <v>0</v>
      </c>
      <c r="BM40" s="175">
        <v>0</v>
      </c>
      <c r="BN40" s="175">
        <v>0</v>
      </c>
      <c r="BO40" s="175">
        <v>0</v>
      </c>
      <c r="BP40" s="175">
        <v>0</v>
      </c>
      <c r="BQ40" s="175">
        <v>0</v>
      </c>
      <c r="BR40" s="175">
        <v>0</v>
      </c>
      <c r="BS40" s="175">
        <v>0</v>
      </c>
      <c r="BT40" s="175">
        <v>0</v>
      </c>
      <c r="BU40" s="175">
        <v>0</v>
      </c>
      <c r="BV40" s="175">
        <v>0</v>
      </c>
      <c r="BW40" s="175">
        <v>0</v>
      </c>
      <c r="BX40" s="175">
        <v>0</v>
      </c>
      <c r="BY40" s="175">
        <v>0</v>
      </c>
      <c r="BZ40" s="175">
        <v>0</v>
      </c>
      <c r="CA40" s="175">
        <v>0</v>
      </c>
      <c r="CB40" s="175">
        <v>0</v>
      </c>
      <c r="CC40" s="175">
        <v>0</v>
      </c>
      <c r="CD40" s="175">
        <v>0</v>
      </c>
      <c r="CE40" s="175">
        <v>0</v>
      </c>
      <c r="CF40" s="175">
        <v>0</v>
      </c>
      <c r="CG40" s="175">
        <v>0</v>
      </c>
      <c r="CH40" s="175">
        <v>0</v>
      </c>
      <c r="CI40" s="175">
        <v>0</v>
      </c>
      <c r="CJ40" s="175">
        <v>0</v>
      </c>
      <c r="CK40" s="175">
        <v>0</v>
      </c>
      <c r="CL40" s="175">
        <v>0</v>
      </c>
      <c r="CM40" s="175">
        <v>0</v>
      </c>
      <c r="CN40" s="175">
        <v>0</v>
      </c>
      <c r="CO40" s="175">
        <v>0</v>
      </c>
      <c r="CP40" s="175">
        <v>0</v>
      </c>
      <c r="CQ40" s="175">
        <v>0</v>
      </c>
    </row>
    <row r="41" spans="1:95" s="175" customFormat="1" x14ac:dyDescent="0.2">
      <c r="A41" s="175" t="s">
        <v>196</v>
      </c>
      <c r="B41" s="175">
        <v>0</v>
      </c>
      <c r="C41" s="175">
        <v>0</v>
      </c>
      <c r="D41" s="175">
        <v>0</v>
      </c>
      <c r="E41" s="175">
        <v>0</v>
      </c>
      <c r="F41" s="175">
        <v>0</v>
      </c>
      <c r="G41" s="175">
        <v>0</v>
      </c>
      <c r="H41" s="175">
        <v>0</v>
      </c>
      <c r="I41" s="175">
        <v>0</v>
      </c>
      <c r="J41" s="175">
        <v>0</v>
      </c>
      <c r="K41" s="175">
        <v>0</v>
      </c>
      <c r="L41" s="175">
        <v>0</v>
      </c>
      <c r="M41" s="175">
        <v>0</v>
      </c>
      <c r="N41" s="175">
        <v>0</v>
      </c>
      <c r="O41" s="175">
        <v>0</v>
      </c>
      <c r="P41" s="175">
        <v>0</v>
      </c>
      <c r="Q41" s="175">
        <v>0</v>
      </c>
      <c r="R41" s="175">
        <v>0</v>
      </c>
      <c r="S41" s="175">
        <v>0</v>
      </c>
      <c r="T41" s="175">
        <v>0</v>
      </c>
      <c r="U41" s="175">
        <v>0</v>
      </c>
      <c r="V41" s="175">
        <v>0</v>
      </c>
      <c r="W41" s="175">
        <v>0</v>
      </c>
      <c r="X41" s="175">
        <v>0</v>
      </c>
      <c r="Y41" s="175">
        <v>0</v>
      </c>
      <c r="Z41" s="175">
        <v>0</v>
      </c>
      <c r="AA41" s="175">
        <v>0</v>
      </c>
      <c r="AB41" s="175">
        <v>0</v>
      </c>
      <c r="AC41" s="175">
        <v>0</v>
      </c>
      <c r="AD41" s="175">
        <v>0</v>
      </c>
      <c r="AE41" s="175">
        <v>0</v>
      </c>
      <c r="AF41" s="175">
        <v>0</v>
      </c>
      <c r="AG41" s="175">
        <v>0</v>
      </c>
      <c r="AH41" s="175">
        <v>0</v>
      </c>
      <c r="AI41" s="175">
        <v>0</v>
      </c>
      <c r="AJ41" s="175">
        <v>0</v>
      </c>
      <c r="AK41" s="175">
        <v>0</v>
      </c>
      <c r="AL41" s="175">
        <v>0</v>
      </c>
      <c r="AM41" s="175">
        <v>0</v>
      </c>
      <c r="AN41" s="175">
        <v>0</v>
      </c>
      <c r="AO41" s="175">
        <v>0</v>
      </c>
      <c r="AP41" s="175">
        <v>0</v>
      </c>
      <c r="AQ41" s="175">
        <v>0</v>
      </c>
      <c r="AR41" s="175">
        <v>0</v>
      </c>
      <c r="AS41" s="175">
        <v>0</v>
      </c>
      <c r="AT41" s="175">
        <v>0</v>
      </c>
      <c r="AU41" s="175">
        <v>0</v>
      </c>
      <c r="AV41" s="175">
        <v>0</v>
      </c>
      <c r="AW41" s="175">
        <v>0</v>
      </c>
      <c r="AX41" s="175">
        <v>0</v>
      </c>
      <c r="AY41" s="175">
        <v>0</v>
      </c>
      <c r="AZ41" s="175">
        <v>0</v>
      </c>
      <c r="BA41" s="175">
        <v>0</v>
      </c>
      <c r="BB41" s="175">
        <v>0</v>
      </c>
      <c r="BC41" s="175">
        <v>0</v>
      </c>
      <c r="BD41" s="175">
        <v>0</v>
      </c>
      <c r="BE41" s="175">
        <v>0</v>
      </c>
      <c r="BF41" s="175">
        <v>0</v>
      </c>
      <c r="BG41" s="175">
        <v>0</v>
      </c>
      <c r="BH41" s="175">
        <v>0</v>
      </c>
      <c r="BI41" s="175">
        <v>0</v>
      </c>
      <c r="BJ41" s="175">
        <v>0</v>
      </c>
      <c r="BK41" s="175">
        <v>0</v>
      </c>
      <c r="BL41" s="175">
        <v>0</v>
      </c>
      <c r="BM41" s="175">
        <v>0</v>
      </c>
      <c r="BN41" s="175">
        <v>0</v>
      </c>
      <c r="BO41" s="175">
        <v>0</v>
      </c>
      <c r="BP41" s="175">
        <v>0</v>
      </c>
      <c r="BQ41" s="175">
        <v>0</v>
      </c>
      <c r="BR41" s="175">
        <v>0</v>
      </c>
      <c r="BS41" s="175">
        <v>0</v>
      </c>
      <c r="BT41" s="175">
        <v>0</v>
      </c>
      <c r="BU41" s="175">
        <v>0</v>
      </c>
      <c r="BV41" s="175">
        <v>0</v>
      </c>
      <c r="BW41" s="175">
        <v>0</v>
      </c>
      <c r="BX41" s="175">
        <v>0</v>
      </c>
      <c r="BY41" s="175">
        <v>0</v>
      </c>
      <c r="BZ41" s="175">
        <v>0</v>
      </c>
      <c r="CA41" s="175">
        <v>0</v>
      </c>
      <c r="CB41" s="175">
        <v>0</v>
      </c>
      <c r="CC41" s="175">
        <v>0</v>
      </c>
      <c r="CD41" s="175">
        <v>0</v>
      </c>
      <c r="CE41" s="175">
        <v>0</v>
      </c>
      <c r="CF41" s="175">
        <v>0</v>
      </c>
      <c r="CG41" s="175">
        <v>0</v>
      </c>
      <c r="CH41" s="175">
        <v>0</v>
      </c>
      <c r="CI41" s="175">
        <v>0</v>
      </c>
      <c r="CJ41" s="175">
        <v>0</v>
      </c>
      <c r="CK41" s="175">
        <v>0</v>
      </c>
      <c r="CL41" s="175">
        <v>0</v>
      </c>
      <c r="CM41" s="175">
        <v>0</v>
      </c>
      <c r="CN41" s="175">
        <v>0</v>
      </c>
      <c r="CO41" s="175">
        <v>0</v>
      </c>
      <c r="CP41" s="175">
        <v>0</v>
      </c>
      <c r="CQ41" s="175">
        <v>0</v>
      </c>
    </row>
    <row r="42" spans="1:95" s="175" customFormat="1" x14ac:dyDescent="0.2">
      <c r="A42" s="175" t="s">
        <v>197</v>
      </c>
      <c r="B42" s="175">
        <v>0</v>
      </c>
      <c r="C42" s="175">
        <v>0</v>
      </c>
      <c r="D42" s="175">
        <v>0</v>
      </c>
      <c r="E42" s="175">
        <v>0</v>
      </c>
      <c r="F42" s="175">
        <v>0</v>
      </c>
      <c r="G42" s="175">
        <v>0</v>
      </c>
      <c r="H42" s="175">
        <v>0</v>
      </c>
      <c r="I42" s="175">
        <v>0</v>
      </c>
      <c r="J42" s="175">
        <v>0</v>
      </c>
      <c r="K42" s="175">
        <v>0</v>
      </c>
      <c r="L42" s="175">
        <v>0</v>
      </c>
      <c r="M42" s="175">
        <v>0</v>
      </c>
      <c r="N42" s="175">
        <v>0</v>
      </c>
      <c r="O42" s="175">
        <v>0</v>
      </c>
      <c r="P42" s="175">
        <v>0</v>
      </c>
      <c r="Q42" s="175">
        <v>0</v>
      </c>
      <c r="R42" s="175">
        <v>0</v>
      </c>
      <c r="S42" s="175">
        <v>0</v>
      </c>
      <c r="T42" s="175">
        <v>0</v>
      </c>
      <c r="U42" s="175">
        <v>0</v>
      </c>
      <c r="V42" s="175">
        <v>0</v>
      </c>
      <c r="W42" s="175">
        <v>0</v>
      </c>
      <c r="X42" s="175">
        <v>0</v>
      </c>
      <c r="Y42" s="175">
        <v>0</v>
      </c>
      <c r="Z42" s="175">
        <v>0</v>
      </c>
      <c r="AA42" s="175">
        <v>0</v>
      </c>
      <c r="AB42" s="175">
        <v>0</v>
      </c>
      <c r="AC42" s="175">
        <v>0</v>
      </c>
      <c r="AD42" s="175">
        <v>0</v>
      </c>
      <c r="AE42" s="175">
        <v>0</v>
      </c>
      <c r="AF42" s="175">
        <v>0</v>
      </c>
      <c r="AG42" s="175">
        <v>0</v>
      </c>
      <c r="AH42" s="175">
        <v>0</v>
      </c>
      <c r="AI42" s="175">
        <v>0</v>
      </c>
      <c r="AJ42" s="175">
        <v>0</v>
      </c>
      <c r="AK42" s="175">
        <v>0</v>
      </c>
      <c r="AL42" s="175">
        <v>0</v>
      </c>
      <c r="AM42" s="175">
        <v>0</v>
      </c>
      <c r="AN42" s="175">
        <v>0</v>
      </c>
      <c r="AO42" s="175">
        <v>0</v>
      </c>
      <c r="AP42" s="175">
        <v>0</v>
      </c>
      <c r="AQ42" s="175">
        <v>0</v>
      </c>
      <c r="AR42" s="175">
        <v>0</v>
      </c>
      <c r="AS42" s="175">
        <v>0</v>
      </c>
      <c r="AT42" s="175">
        <v>0</v>
      </c>
      <c r="AU42" s="175">
        <v>0</v>
      </c>
      <c r="AV42" s="175">
        <v>0</v>
      </c>
      <c r="AW42" s="175">
        <v>0</v>
      </c>
      <c r="AX42" s="175">
        <v>0</v>
      </c>
      <c r="AY42" s="175">
        <v>0</v>
      </c>
      <c r="AZ42" s="175">
        <v>0</v>
      </c>
      <c r="BA42" s="175">
        <v>0</v>
      </c>
      <c r="BB42" s="175">
        <v>0</v>
      </c>
      <c r="BC42" s="175">
        <v>0</v>
      </c>
      <c r="BD42" s="175">
        <v>0</v>
      </c>
      <c r="BE42" s="175">
        <v>0</v>
      </c>
      <c r="BF42" s="175">
        <v>0</v>
      </c>
      <c r="BG42" s="175">
        <v>0</v>
      </c>
      <c r="BH42" s="175">
        <v>0</v>
      </c>
      <c r="BI42" s="175">
        <v>0</v>
      </c>
      <c r="BJ42" s="175">
        <v>0</v>
      </c>
      <c r="BK42" s="175">
        <v>0</v>
      </c>
      <c r="BL42" s="175">
        <v>0</v>
      </c>
      <c r="BM42" s="175">
        <v>0</v>
      </c>
      <c r="BN42" s="175">
        <v>0</v>
      </c>
      <c r="BO42" s="175">
        <v>0</v>
      </c>
      <c r="BP42" s="175">
        <v>0</v>
      </c>
      <c r="BQ42" s="175">
        <v>0</v>
      </c>
      <c r="BR42" s="175">
        <v>0</v>
      </c>
      <c r="BS42" s="175">
        <v>0</v>
      </c>
      <c r="BT42" s="175">
        <v>0</v>
      </c>
      <c r="BU42" s="175">
        <v>0</v>
      </c>
      <c r="BV42" s="175">
        <v>0</v>
      </c>
      <c r="BW42" s="175">
        <v>0</v>
      </c>
      <c r="BX42" s="175">
        <v>0</v>
      </c>
      <c r="BY42" s="175">
        <v>0</v>
      </c>
      <c r="BZ42" s="175">
        <v>0</v>
      </c>
      <c r="CA42" s="175">
        <v>0</v>
      </c>
      <c r="CB42" s="175">
        <v>0</v>
      </c>
      <c r="CC42" s="175">
        <v>0</v>
      </c>
      <c r="CD42" s="175">
        <v>0</v>
      </c>
      <c r="CE42" s="175">
        <v>0</v>
      </c>
      <c r="CF42" s="175">
        <v>0</v>
      </c>
      <c r="CG42" s="175">
        <v>0</v>
      </c>
      <c r="CH42" s="175">
        <v>0</v>
      </c>
      <c r="CI42" s="175">
        <v>0</v>
      </c>
      <c r="CJ42" s="175">
        <v>0</v>
      </c>
      <c r="CK42" s="175">
        <v>0</v>
      </c>
      <c r="CL42" s="175">
        <v>0</v>
      </c>
      <c r="CM42" s="175">
        <v>0</v>
      </c>
      <c r="CN42" s="175">
        <v>0</v>
      </c>
      <c r="CO42" s="175">
        <v>0</v>
      </c>
      <c r="CP42" s="175">
        <v>0</v>
      </c>
      <c r="CQ42" s="175">
        <v>0</v>
      </c>
    </row>
    <row r="43" spans="1:95" s="175" customFormat="1" x14ac:dyDescent="0.2">
      <c r="A43" s="175" t="s">
        <v>198</v>
      </c>
      <c r="B43" s="175">
        <v>0</v>
      </c>
      <c r="C43" s="175">
        <v>0</v>
      </c>
      <c r="D43" s="175">
        <v>0</v>
      </c>
      <c r="E43" s="175">
        <v>0</v>
      </c>
      <c r="F43" s="175">
        <v>0</v>
      </c>
      <c r="G43" s="175">
        <v>0</v>
      </c>
      <c r="H43" s="175">
        <v>0</v>
      </c>
      <c r="I43" s="175">
        <v>0</v>
      </c>
      <c r="J43" s="175">
        <v>0</v>
      </c>
      <c r="K43" s="175">
        <v>0</v>
      </c>
      <c r="L43" s="175">
        <v>0</v>
      </c>
      <c r="M43" s="175">
        <v>0</v>
      </c>
      <c r="N43" s="175">
        <v>0</v>
      </c>
      <c r="O43" s="175">
        <v>0</v>
      </c>
      <c r="P43" s="175">
        <v>0</v>
      </c>
      <c r="Q43" s="175">
        <v>0</v>
      </c>
      <c r="R43" s="175">
        <v>0</v>
      </c>
      <c r="S43" s="175">
        <v>0</v>
      </c>
      <c r="T43" s="175">
        <v>0</v>
      </c>
      <c r="U43" s="175">
        <v>0</v>
      </c>
      <c r="V43" s="175">
        <v>0</v>
      </c>
      <c r="W43" s="175">
        <v>0</v>
      </c>
      <c r="X43" s="175">
        <v>0</v>
      </c>
      <c r="Y43" s="175">
        <v>0</v>
      </c>
      <c r="Z43" s="175">
        <v>0</v>
      </c>
      <c r="AA43" s="175">
        <v>0</v>
      </c>
      <c r="AB43" s="175">
        <v>0</v>
      </c>
      <c r="AC43" s="175">
        <v>0</v>
      </c>
      <c r="AD43" s="175">
        <v>0</v>
      </c>
      <c r="AE43" s="175">
        <v>0</v>
      </c>
      <c r="AF43" s="175">
        <v>0</v>
      </c>
      <c r="AG43" s="175">
        <v>0</v>
      </c>
      <c r="AH43" s="175">
        <v>0</v>
      </c>
      <c r="AI43" s="175">
        <v>0</v>
      </c>
      <c r="AJ43" s="175">
        <v>0</v>
      </c>
      <c r="AK43" s="175">
        <v>0</v>
      </c>
      <c r="AL43" s="175">
        <v>0</v>
      </c>
      <c r="AM43" s="175">
        <v>0</v>
      </c>
      <c r="AN43" s="175">
        <v>0</v>
      </c>
      <c r="AO43" s="175">
        <v>0</v>
      </c>
      <c r="AP43" s="175">
        <v>0</v>
      </c>
      <c r="AQ43" s="175">
        <v>0</v>
      </c>
      <c r="AR43" s="175">
        <v>0</v>
      </c>
      <c r="AS43" s="175">
        <v>0</v>
      </c>
      <c r="AT43" s="175">
        <v>0</v>
      </c>
      <c r="AU43" s="175">
        <v>0</v>
      </c>
      <c r="AV43" s="175">
        <v>0</v>
      </c>
      <c r="AW43" s="175">
        <v>0</v>
      </c>
      <c r="AX43" s="175">
        <v>0</v>
      </c>
      <c r="AY43" s="175">
        <v>0</v>
      </c>
      <c r="AZ43" s="175">
        <v>0</v>
      </c>
      <c r="BA43" s="175">
        <v>0</v>
      </c>
      <c r="BB43" s="175">
        <v>0</v>
      </c>
      <c r="BC43" s="175">
        <v>0</v>
      </c>
      <c r="BD43" s="175">
        <v>0</v>
      </c>
      <c r="BE43" s="175">
        <v>0</v>
      </c>
      <c r="BF43" s="175">
        <v>0</v>
      </c>
      <c r="BG43" s="175">
        <v>0</v>
      </c>
      <c r="BH43" s="175">
        <v>0</v>
      </c>
      <c r="BI43" s="175">
        <v>0</v>
      </c>
      <c r="BJ43" s="175">
        <v>0</v>
      </c>
      <c r="BK43" s="175">
        <v>0</v>
      </c>
      <c r="BL43" s="175">
        <v>0</v>
      </c>
      <c r="BM43" s="175">
        <v>0</v>
      </c>
      <c r="BN43" s="175">
        <v>0</v>
      </c>
      <c r="BO43" s="175">
        <v>0</v>
      </c>
      <c r="BP43" s="175">
        <v>0</v>
      </c>
      <c r="BQ43" s="175">
        <v>0</v>
      </c>
      <c r="BR43" s="175">
        <v>0</v>
      </c>
      <c r="BS43" s="175">
        <v>0</v>
      </c>
      <c r="BT43" s="175">
        <v>0</v>
      </c>
      <c r="BU43" s="175">
        <v>0</v>
      </c>
      <c r="BV43" s="175">
        <v>0</v>
      </c>
      <c r="BW43" s="175">
        <v>0</v>
      </c>
      <c r="BX43" s="175">
        <v>0</v>
      </c>
      <c r="BY43" s="175">
        <v>0</v>
      </c>
      <c r="BZ43" s="175">
        <v>0</v>
      </c>
      <c r="CA43" s="175">
        <v>0</v>
      </c>
      <c r="CB43" s="175">
        <v>0</v>
      </c>
      <c r="CC43" s="175">
        <v>0</v>
      </c>
      <c r="CD43" s="175">
        <v>0</v>
      </c>
      <c r="CE43" s="175">
        <v>0</v>
      </c>
      <c r="CF43" s="175">
        <v>0</v>
      </c>
      <c r="CG43" s="175">
        <v>0</v>
      </c>
      <c r="CH43" s="175">
        <v>0</v>
      </c>
      <c r="CI43" s="175">
        <v>0</v>
      </c>
      <c r="CJ43" s="175">
        <v>0</v>
      </c>
      <c r="CK43" s="175">
        <v>0</v>
      </c>
      <c r="CL43" s="175">
        <v>0</v>
      </c>
      <c r="CM43" s="175">
        <v>0</v>
      </c>
      <c r="CN43" s="175">
        <v>0</v>
      </c>
      <c r="CO43" s="175">
        <v>0</v>
      </c>
      <c r="CP43" s="175">
        <v>0</v>
      </c>
      <c r="CQ43" s="175">
        <v>0</v>
      </c>
    </row>
    <row r="44" spans="1:95" s="175" customFormat="1" x14ac:dyDescent="0.2">
      <c r="A44" s="175" t="s">
        <v>199</v>
      </c>
      <c r="B44" s="175">
        <v>0</v>
      </c>
      <c r="C44" s="175">
        <v>0</v>
      </c>
      <c r="D44" s="175">
        <v>0</v>
      </c>
      <c r="E44" s="175">
        <v>0</v>
      </c>
      <c r="F44" s="175">
        <v>0</v>
      </c>
      <c r="G44" s="175">
        <v>0</v>
      </c>
      <c r="H44" s="175">
        <v>0</v>
      </c>
      <c r="I44" s="175">
        <v>0</v>
      </c>
      <c r="J44" s="175">
        <v>0</v>
      </c>
      <c r="K44" s="175">
        <v>0</v>
      </c>
      <c r="L44" s="175">
        <v>0</v>
      </c>
      <c r="M44" s="175">
        <v>0</v>
      </c>
      <c r="N44" s="175">
        <v>0</v>
      </c>
      <c r="O44" s="175">
        <v>0</v>
      </c>
      <c r="P44" s="175">
        <v>0</v>
      </c>
      <c r="Q44" s="175">
        <v>0</v>
      </c>
      <c r="R44" s="175">
        <v>0</v>
      </c>
      <c r="S44" s="175">
        <v>0</v>
      </c>
      <c r="T44" s="175">
        <v>0</v>
      </c>
      <c r="U44" s="175">
        <v>0</v>
      </c>
      <c r="V44" s="175">
        <v>0</v>
      </c>
      <c r="W44" s="175">
        <v>0</v>
      </c>
      <c r="X44" s="175">
        <v>0</v>
      </c>
      <c r="Y44" s="175">
        <v>0</v>
      </c>
      <c r="Z44" s="175">
        <v>0</v>
      </c>
      <c r="AA44" s="175">
        <v>0</v>
      </c>
      <c r="AB44" s="175">
        <v>0</v>
      </c>
      <c r="AC44" s="175">
        <v>0</v>
      </c>
      <c r="AD44" s="175">
        <v>0</v>
      </c>
      <c r="AE44" s="175">
        <v>0</v>
      </c>
      <c r="AF44" s="175">
        <v>0</v>
      </c>
      <c r="AG44" s="175">
        <v>0</v>
      </c>
      <c r="AH44" s="175">
        <v>0</v>
      </c>
      <c r="AI44" s="175">
        <v>0</v>
      </c>
      <c r="AJ44" s="175">
        <v>0</v>
      </c>
      <c r="AK44" s="175">
        <v>0</v>
      </c>
      <c r="AL44" s="175">
        <v>0</v>
      </c>
      <c r="AM44" s="175">
        <v>0</v>
      </c>
      <c r="AN44" s="175">
        <v>0</v>
      </c>
      <c r="AO44" s="175">
        <v>0</v>
      </c>
      <c r="AP44" s="175">
        <v>0</v>
      </c>
      <c r="AQ44" s="175">
        <v>0</v>
      </c>
      <c r="AR44" s="175">
        <v>0</v>
      </c>
      <c r="AS44" s="175">
        <v>0</v>
      </c>
      <c r="AT44" s="175">
        <v>0</v>
      </c>
      <c r="AU44" s="175">
        <v>0</v>
      </c>
      <c r="AV44" s="175">
        <v>0</v>
      </c>
      <c r="AW44" s="175">
        <v>0</v>
      </c>
      <c r="AX44" s="175">
        <v>0</v>
      </c>
      <c r="AY44" s="175">
        <v>0</v>
      </c>
      <c r="AZ44" s="175">
        <v>0</v>
      </c>
      <c r="BA44" s="175">
        <v>0</v>
      </c>
      <c r="BB44" s="175">
        <v>0</v>
      </c>
      <c r="BC44" s="175">
        <v>0</v>
      </c>
      <c r="BD44" s="175">
        <v>0</v>
      </c>
      <c r="BE44" s="175">
        <v>0</v>
      </c>
      <c r="BF44" s="175">
        <v>0</v>
      </c>
      <c r="BG44" s="175">
        <v>0</v>
      </c>
      <c r="BH44" s="175">
        <v>0</v>
      </c>
      <c r="BI44" s="175">
        <v>0</v>
      </c>
      <c r="BJ44" s="175">
        <v>0</v>
      </c>
      <c r="BK44" s="175">
        <v>0</v>
      </c>
      <c r="BL44" s="175">
        <v>0</v>
      </c>
      <c r="BM44" s="175">
        <v>0</v>
      </c>
      <c r="BN44" s="175">
        <v>0</v>
      </c>
      <c r="BO44" s="175">
        <v>0</v>
      </c>
      <c r="BP44" s="175">
        <v>0</v>
      </c>
      <c r="BQ44" s="175">
        <v>0</v>
      </c>
      <c r="BR44" s="175">
        <v>0</v>
      </c>
      <c r="BS44" s="175">
        <v>0</v>
      </c>
      <c r="BT44" s="175">
        <v>0</v>
      </c>
      <c r="BU44" s="175">
        <v>0</v>
      </c>
      <c r="BV44" s="175">
        <v>0</v>
      </c>
      <c r="BW44" s="175">
        <v>0</v>
      </c>
      <c r="BX44" s="175">
        <v>0</v>
      </c>
      <c r="BY44" s="175">
        <v>0</v>
      </c>
      <c r="BZ44" s="175">
        <v>0</v>
      </c>
      <c r="CA44" s="175">
        <v>0</v>
      </c>
      <c r="CB44" s="175">
        <v>0</v>
      </c>
      <c r="CC44" s="175">
        <v>0</v>
      </c>
      <c r="CD44" s="175">
        <v>0</v>
      </c>
      <c r="CE44" s="175">
        <v>0</v>
      </c>
      <c r="CF44" s="175">
        <v>0</v>
      </c>
      <c r="CG44" s="175">
        <v>0</v>
      </c>
      <c r="CH44" s="175">
        <v>0</v>
      </c>
      <c r="CI44" s="175">
        <v>0</v>
      </c>
      <c r="CJ44" s="175">
        <v>0</v>
      </c>
      <c r="CK44" s="175">
        <v>0</v>
      </c>
      <c r="CL44" s="175">
        <v>0</v>
      </c>
      <c r="CM44" s="175">
        <v>0</v>
      </c>
      <c r="CN44" s="175">
        <v>0</v>
      </c>
      <c r="CO44" s="175">
        <v>0</v>
      </c>
      <c r="CP44" s="175">
        <v>0</v>
      </c>
      <c r="CQ44" s="175">
        <v>0</v>
      </c>
    </row>
    <row r="45" spans="1:95" s="175" customFormat="1" x14ac:dyDescent="0.2">
      <c r="A45" s="175" t="s">
        <v>232</v>
      </c>
      <c r="B45" s="175">
        <v>0</v>
      </c>
      <c r="C45" s="175">
        <v>0</v>
      </c>
      <c r="D45" s="175">
        <v>0</v>
      </c>
      <c r="E45" s="175">
        <v>0</v>
      </c>
      <c r="F45" s="175">
        <v>0</v>
      </c>
      <c r="G45" s="175">
        <v>0</v>
      </c>
      <c r="H45" s="175">
        <v>0</v>
      </c>
      <c r="I45" s="175">
        <v>0</v>
      </c>
      <c r="J45" s="175">
        <v>0</v>
      </c>
      <c r="K45" s="175">
        <v>0</v>
      </c>
      <c r="L45" s="175">
        <v>0</v>
      </c>
      <c r="M45" s="175">
        <v>0</v>
      </c>
      <c r="N45" s="175">
        <v>0</v>
      </c>
      <c r="O45" s="175">
        <v>0</v>
      </c>
      <c r="P45" s="175">
        <v>0</v>
      </c>
      <c r="Q45" s="175">
        <v>0</v>
      </c>
      <c r="R45" s="175">
        <v>0</v>
      </c>
      <c r="S45" s="175">
        <v>0</v>
      </c>
      <c r="T45" s="175">
        <v>0</v>
      </c>
      <c r="U45" s="175">
        <v>0</v>
      </c>
      <c r="V45" s="175">
        <v>0</v>
      </c>
      <c r="W45" s="175">
        <v>0</v>
      </c>
      <c r="X45" s="175">
        <v>0</v>
      </c>
      <c r="Y45" s="175">
        <v>0</v>
      </c>
      <c r="Z45" s="175">
        <v>0</v>
      </c>
      <c r="AA45" s="175">
        <v>0</v>
      </c>
      <c r="AB45" s="175">
        <v>0</v>
      </c>
      <c r="AC45" s="175">
        <v>0</v>
      </c>
      <c r="AD45" s="175">
        <v>0</v>
      </c>
      <c r="AE45" s="175">
        <v>0</v>
      </c>
      <c r="AF45" s="175">
        <v>0</v>
      </c>
      <c r="AG45" s="175">
        <v>0</v>
      </c>
      <c r="AH45" s="175">
        <v>0</v>
      </c>
      <c r="AI45" s="175">
        <v>0</v>
      </c>
      <c r="AJ45" s="175">
        <v>0</v>
      </c>
      <c r="AK45" s="175">
        <v>0</v>
      </c>
      <c r="AL45" s="175">
        <v>0</v>
      </c>
      <c r="AM45" s="175">
        <v>0</v>
      </c>
      <c r="AN45" s="175">
        <v>0</v>
      </c>
      <c r="AO45" s="175">
        <v>0</v>
      </c>
      <c r="AP45" s="175">
        <v>0</v>
      </c>
      <c r="AQ45" s="175">
        <v>0</v>
      </c>
      <c r="AR45" s="175">
        <v>0</v>
      </c>
      <c r="AS45" s="175">
        <v>0</v>
      </c>
      <c r="AT45" s="175">
        <v>0</v>
      </c>
      <c r="AU45" s="175">
        <v>0</v>
      </c>
      <c r="AV45" s="175">
        <v>0</v>
      </c>
      <c r="AW45" s="175">
        <v>0</v>
      </c>
      <c r="AX45" s="175">
        <v>0</v>
      </c>
      <c r="AY45" s="175">
        <v>0</v>
      </c>
      <c r="AZ45" s="175">
        <v>0</v>
      </c>
      <c r="BA45" s="175">
        <v>0</v>
      </c>
      <c r="BB45" s="175">
        <v>0</v>
      </c>
      <c r="BC45" s="175">
        <v>0</v>
      </c>
      <c r="BD45" s="175">
        <v>0</v>
      </c>
      <c r="BE45" s="175">
        <v>0</v>
      </c>
      <c r="BF45" s="175">
        <v>0</v>
      </c>
      <c r="BG45" s="175">
        <v>0</v>
      </c>
      <c r="BH45" s="175">
        <v>0</v>
      </c>
      <c r="BI45" s="175">
        <v>0</v>
      </c>
      <c r="BJ45" s="175">
        <v>0</v>
      </c>
      <c r="BK45" s="175">
        <v>0</v>
      </c>
      <c r="BL45" s="175">
        <v>0</v>
      </c>
      <c r="BM45" s="175">
        <v>0</v>
      </c>
      <c r="BN45" s="175">
        <v>0</v>
      </c>
      <c r="BO45" s="175">
        <v>0</v>
      </c>
      <c r="BP45" s="175">
        <v>0</v>
      </c>
      <c r="BQ45" s="175">
        <v>0</v>
      </c>
      <c r="BR45" s="175">
        <v>0</v>
      </c>
      <c r="BS45" s="175">
        <v>0</v>
      </c>
      <c r="BT45" s="175">
        <v>0</v>
      </c>
      <c r="BU45" s="175">
        <v>0</v>
      </c>
      <c r="BV45" s="175">
        <v>0</v>
      </c>
      <c r="BW45" s="175">
        <v>0</v>
      </c>
      <c r="BX45" s="175">
        <v>0</v>
      </c>
      <c r="BY45" s="175">
        <v>0</v>
      </c>
      <c r="BZ45" s="175">
        <v>0</v>
      </c>
      <c r="CA45" s="175">
        <v>0</v>
      </c>
      <c r="CB45" s="175">
        <v>0</v>
      </c>
      <c r="CC45" s="175">
        <v>0</v>
      </c>
      <c r="CD45" s="175">
        <v>0</v>
      </c>
      <c r="CE45" s="175">
        <v>0</v>
      </c>
      <c r="CF45" s="175">
        <v>0</v>
      </c>
      <c r="CG45" s="175">
        <v>0</v>
      </c>
      <c r="CH45" s="175">
        <v>0</v>
      </c>
      <c r="CI45" s="175">
        <v>0</v>
      </c>
      <c r="CJ45" s="175">
        <v>0</v>
      </c>
      <c r="CK45" s="175">
        <v>0</v>
      </c>
      <c r="CL45" s="175">
        <v>0</v>
      </c>
      <c r="CM45" s="175">
        <v>0</v>
      </c>
      <c r="CN45" s="175">
        <v>0</v>
      </c>
      <c r="CO45" s="175">
        <v>0</v>
      </c>
      <c r="CP45" s="175">
        <v>0</v>
      </c>
      <c r="CQ45" s="175">
        <v>0</v>
      </c>
    </row>
    <row r="46" spans="1:95" s="175" customFormat="1" x14ac:dyDescent="0.2">
      <c r="A46" s="175" t="s">
        <v>200</v>
      </c>
      <c r="B46" s="175">
        <v>0</v>
      </c>
      <c r="C46" s="175">
        <v>0</v>
      </c>
      <c r="D46" s="175">
        <v>0</v>
      </c>
      <c r="E46" s="175">
        <v>0</v>
      </c>
      <c r="F46" s="175">
        <v>0</v>
      </c>
      <c r="G46" s="175">
        <v>0</v>
      </c>
      <c r="H46" s="175">
        <v>0</v>
      </c>
      <c r="I46" s="175">
        <v>0</v>
      </c>
      <c r="J46" s="175">
        <v>0</v>
      </c>
      <c r="K46" s="175">
        <v>0</v>
      </c>
      <c r="L46" s="175">
        <v>0</v>
      </c>
      <c r="M46" s="175">
        <v>0</v>
      </c>
      <c r="N46" s="175">
        <v>0</v>
      </c>
      <c r="O46" s="175">
        <v>0</v>
      </c>
      <c r="P46" s="175">
        <v>0</v>
      </c>
      <c r="Q46" s="175">
        <v>0</v>
      </c>
      <c r="R46" s="175">
        <v>0</v>
      </c>
      <c r="S46" s="175">
        <v>0</v>
      </c>
      <c r="T46" s="175">
        <v>0</v>
      </c>
      <c r="U46" s="175">
        <v>0</v>
      </c>
      <c r="V46" s="175">
        <v>0</v>
      </c>
      <c r="W46" s="175">
        <v>0</v>
      </c>
      <c r="X46" s="175">
        <v>0</v>
      </c>
      <c r="Y46" s="175">
        <v>0</v>
      </c>
      <c r="Z46" s="175">
        <v>0</v>
      </c>
      <c r="AA46" s="175">
        <v>0</v>
      </c>
      <c r="AB46" s="175">
        <v>0</v>
      </c>
      <c r="AC46" s="175">
        <v>0</v>
      </c>
      <c r="AD46" s="175">
        <v>0</v>
      </c>
      <c r="AE46" s="175">
        <v>0</v>
      </c>
      <c r="AF46" s="175">
        <v>0</v>
      </c>
      <c r="AG46" s="175">
        <v>0</v>
      </c>
      <c r="AH46" s="175">
        <v>0</v>
      </c>
      <c r="AI46" s="175">
        <v>0</v>
      </c>
      <c r="AJ46" s="175">
        <v>0</v>
      </c>
      <c r="AK46" s="175">
        <v>0</v>
      </c>
      <c r="AL46" s="175">
        <v>0</v>
      </c>
      <c r="AM46" s="175">
        <v>0</v>
      </c>
      <c r="AN46" s="175">
        <v>0</v>
      </c>
      <c r="AO46" s="175">
        <v>0</v>
      </c>
      <c r="AP46" s="175">
        <v>0</v>
      </c>
      <c r="AQ46" s="175">
        <v>0</v>
      </c>
      <c r="AR46" s="175">
        <v>0</v>
      </c>
      <c r="AS46" s="175">
        <v>0</v>
      </c>
      <c r="AT46" s="175">
        <v>0</v>
      </c>
      <c r="AU46" s="175">
        <v>0</v>
      </c>
      <c r="AV46" s="175">
        <v>0</v>
      </c>
      <c r="AW46" s="175">
        <v>0</v>
      </c>
      <c r="AX46" s="175">
        <v>0</v>
      </c>
      <c r="AY46" s="175">
        <v>0</v>
      </c>
      <c r="AZ46" s="175">
        <v>0</v>
      </c>
      <c r="BA46" s="175">
        <v>0</v>
      </c>
      <c r="BB46" s="175">
        <v>0</v>
      </c>
      <c r="BC46" s="175">
        <v>0</v>
      </c>
      <c r="BD46" s="175">
        <v>0</v>
      </c>
      <c r="BE46" s="175">
        <v>0</v>
      </c>
      <c r="BF46" s="175">
        <v>0</v>
      </c>
      <c r="BG46" s="175">
        <v>0</v>
      </c>
      <c r="BH46" s="175">
        <v>0</v>
      </c>
      <c r="BI46" s="175">
        <v>0</v>
      </c>
      <c r="BJ46" s="175">
        <v>0</v>
      </c>
      <c r="BK46" s="175">
        <v>0</v>
      </c>
      <c r="BL46" s="175">
        <v>0</v>
      </c>
      <c r="BM46" s="175">
        <v>0</v>
      </c>
      <c r="BN46" s="175">
        <v>0</v>
      </c>
      <c r="BO46" s="175">
        <v>0</v>
      </c>
      <c r="BP46" s="175">
        <v>0</v>
      </c>
      <c r="BQ46" s="175">
        <v>0</v>
      </c>
      <c r="BR46" s="175">
        <v>0</v>
      </c>
      <c r="BS46" s="175">
        <v>0</v>
      </c>
      <c r="BT46" s="175">
        <v>0</v>
      </c>
      <c r="BU46" s="175">
        <v>0</v>
      </c>
      <c r="BV46" s="175">
        <v>0</v>
      </c>
      <c r="BW46" s="175">
        <v>0</v>
      </c>
      <c r="BX46" s="175">
        <v>0</v>
      </c>
      <c r="BY46" s="175">
        <v>0</v>
      </c>
      <c r="BZ46" s="175">
        <v>0</v>
      </c>
      <c r="CA46" s="175">
        <v>0</v>
      </c>
      <c r="CB46" s="175">
        <v>0</v>
      </c>
      <c r="CC46" s="175">
        <v>0</v>
      </c>
      <c r="CD46" s="175">
        <v>0</v>
      </c>
      <c r="CE46" s="175">
        <v>0</v>
      </c>
      <c r="CF46" s="175">
        <v>0</v>
      </c>
      <c r="CG46" s="175">
        <v>0</v>
      </c>
      <c r="CH46" s="175">
        <v>0</v>
      </c>
      <c r="CI46" s="175">
        <v>0</v>
      </c>
      <c r="CJ46" s="175">
        <v>0</v>
      </c>
      <c r="CK46" s="175">
        <v>0</v>
      </c>
      <c r="CL46" s="175">
        <v>0</v>
      </c>
      <c r="CM46" s="175">
        <v>0</v>
      </c>
      <c r="CN46" s="175">
        <v>0</v>
      </c>
      <c r="CO46" s="175">
        <v>0</v>
      </c>
      <c r="CP46" s="175">
        <v>0</v>
      </c>
      <c r="CQ46" s="175">
        <v>0</v>
      </c>
    </row>
    <row r="47" spans="1:95" s="175" customFormat="1" x14ac:dyDescent="0.2">
      <c r="A47" s="175" t="s">
        <v>201</v>
      </c>
      <c r="B47" s="175">
        <v>0</v>
      </c>
      <c r="C47" s="175">
        <v>0</v>
      </c>
      <c r="D47" s="175">
        <v>0</v>
      </c>
      <c r="E47" s="175">
        <v>0</v>
      </c>
      <c r="F47" s="175">
        <v>0</v>
      </c>
      <c r="G47" s="175">
        <v>0</v>
      </c>
      <c r="H47" s="175">
        <v>0</v>
      </c>
      <c r="I47" s="175">
        <v>0</v>
      </c>
      <c r="J47" s="175">
        <v>0</v>
      </c>
      <c r="K47" s="175">
        <v>0</v>
      </c>
      <c r="L47" s="175">
        <v>0</v>
      </c>
      <c r="M47" s="175">
        <v>0</v>
      </c>
      <c r="N47" s="175">
        <v>0</v>
      </c>
      <c r="O47" s="175">
        <v>0</v>
      </c>
      <c r="P47" s="175">
        <v>0</v>
      </c>
      <c r="Q47" s="175">
        <v>0</v>
      </c>
      <c r="R47" s="175">
        <v>0</v>
      </c>
      <c r="S47" s="175">
        <v>0</v>
      </c>
      <c r="T47" s="175">
        <v>0</v>
      </c>
      <c r="U47" s="175">
        <v>0</v>
      </c>
      <c r="V47" s="175">
        <v>0</v>
      </c>
      <c r="W47" s="175">
        <v>0</v>
      </c>
      <c r="X47" s="175">
        <v>0</v>
      </c>
      <c r="Y47" s="175">
        <v>0</v>
      </c>
      <c r="Z47" s="175">
        <v>0</v>
      </c>
      <c r="AA47" s="175">
        <v>0</v>
      </c>
      <c r="AB47" s="175">
        <v>0</v>
      </c>
      <c r="AC47" s="175">
        <v>0</v>
      </c>
      <c r="AD47" s="175">
        <v>0</v>
      </c>
      <c r="AE47" s="175">
        <v>0</v>
      </c>
      <c r="AF47" s="175">
        <v>0</v>
      </c>
      <c r="AG47" s="175">
        <v>0</v>
      </c>
      <c r="AH47" s="175">
        <v>0</v>
      </c>
      <c r="AI47" s="175">
        <v>0</v>
      </c>
      <c r="AJ47" s="175">
        <v>0</v>
      </c>
      <c r="AK47" s="175">
        <v>0</v>
      </c>
      <c r="AL47" s="175">
        <v>0</v>
      </c>
      <c r="AM47" s="175">
        <v>0</v>
      </c>
      <c r="AN47" s="175">
        <v>0</v>
      </c>
      <c r="AO47" s="175">
        <v>0</v>
      </c>
      <c r="AP47" s="175">
        <v>0</v>
      </c>
      <c r="AQ47" s="175">
        <v>0</v>
      </c>
      <c r="AR47" s="175">
        <v>0</v>
      </c>
      <c r="AS47" s="175">
        <v>0</v>
      </c>
      <c r="AT47" s="175">
        <v>0</v>
      </c>
      <c r="AU47" s="175">
        <v>0</v>
      </c>
      <c r="AV47" s="175">
        <v>0</v>
      </c>
      <c r="AW47" s="175">
        <v>0</v>
      </c>
      <c r="AX47" s="175">
        <v>0</v>
      </c>
      <c r="AY47" s="175">
        <v>0</v>
      </c>
      <c r="AZ47" s="175">
        <v>0</v>
      </c>
      <c r="BA47" s="175">
        <v>0</v>
      </c>
      <c r="BB47" s="175">
        <v>0</v>
      </c>
      <c r="BC47" s="175">
        <v>0</v>
      </c>
      <c r="BD47" s="175">
        <v>0</v>
      </c>
      <c r="BE47" s="175">
        <v>0</v>
      </c>
      <c r="BF47" s="175">
        <v>0</v>
      </c>
      <c r="BG47" s="175">
        <v>0</v>
      </c>
      <c r="BH47" s="175">
        <v>0</v>
      </c>
      <c r="BI47" s="175">
        <v>0</v>
      </c>
      <c r="BJ47" s="175">
        <v>0</v>
      </c>
      <c r="BK47" s="175">
        <v>0</v>
      </c>
      <c r="BL47" s="175">
        <v>0</v>
      </c>
      <c r="BM47" s="175">
        <v>0</v>
      </c>
      <c r="BN47" s="175">
        <v>0</v>
      </c>
      <c r="BO47" s="175">
        <v>0</v>
      </c>
      <c r="BP47" s="175">
        <v>0</v>
      </c>
      <c r="BQ47" s="175">
        <v>0</v>
      </c>
      <c r="BR47" s="175">
        <v>0</v>
      </c>
      <c r="BS47" s="175">
        <v>0</v>
      </c>
      <c r="BT47" s="175">
        <v>0</v>
      </c>
      <c r="BU47" s="175">
        <v>0</v>
      </c>
      <c r="BV47" s="175">
        <v>0</v>
      </c>
      <c r="BW47" s="175">
        <v>0</v>
      </c>
      <c r="BX47" s="175">
        <v>0</v>
      </c>
      <c r="BY47" s="175">
        <v>0</v>
      </c>
      <c r="BZ47" s="175">
        <v>0</v>
      </c>
      <c r="CA47" s="175">
        <v>0</v>
      </c>
      <c r="CB47" s="175">
        <v>0</v>
      </c>
      <c r="CC47" s="175">
        <v>0</v>
      </c>
      <c r="CD47" s="175">
        <v>0</v>
      </c>
      <c r="CE47" s="175">
        <v>0</v>
      </c>
      <c r="CF47" s="175">
        <v>0</v>
      </c>
      <c r="CG47" s="175">
        <v>0</v>
      </c>
      <c r="CH47" s="175">
        <v>0</v>
      </c>
      <c r="CI47" s="175">
        <v>0</v>
      </c>
      <c r="CJ47" s="175">
        <v>0</v>
      </c>
      <c r="CK47" s="175">
        <v>0</v>
      </c>
      <c r="CL47" s="175">
        <v>0</v>
      </c>
      <c r="CM47" s="175">
        <v>0</v>
      </c>
      <c r="CN47" s="175">
        <v>0</v>
      </c>
      <c r="CO47" s="175">
        <v>0</v>
      </c>
      <c r="CP47" s="175">
        <v>0</v>
      </c>
      <c r="CQ47" s="175">
        <v>0</v>
      </c>
    </row>
    <row r="48" spans="1:95" s="175" customFormat="1" x14ac:dyDescent="0.2">
      <c r="A48" s="175" t="s">
        <v>202</v>
      </c>
      <c r="B48" s="175">
        <v>0</v>
      </c>
      <c r="C48" s="175">
        <v>0</v>
      </c>
      <c r="D48" s="175">
        <v>0</v>
      </c>
      <c r="E48" s="175">
        <v>0</v>
      </c>
      <c r="F48" s="175">
        <v>0</v>
      </c>
      <c r="G48" s="175">
        <v>0</v>
      </c>
      <c r="H48" s="175">
        <v>0</v>
      </c>
      <c r="I48" s="175">
        <v>0</v>
      </c>
      <c r="J48" s="175">
        <v>0</v>
      </c>
      <c r="K48" s="175">
        <v>0</v>
      </c>
      <c r="L48" s="175">
        <v>0</v>
      </c>
      <c r="M48" s="175">
        <v>0</v>
      </c>
      <c r="N48" s="175">
        <v>0</v>
      </c>
      <c r="O48" s="175">
        <v>0</v>
      </c>
      <c r="P48" s="175">
        <v>0</v>
      </c>
      <c r="Q48" s="175">
        <v>0</v>
      </c>
      <c r="R48" s="175">
        <v>0</v>
      </c>
      <c r="S48" s="175">
        <v>0</v>
      </c>
      <c r="T48" s="175">
        <v>0</v>
      </c>
      <c r="U48" s="175">
        <v>0</v>
      </c>
      <c r="V48" s="175">
        <v>0</v>
      </c>
      <c r="W48" s="175">
        <v>0</v>
      </c>
      <c r="X48" s="175">
        <v>0</v>
      </c>
      <c r="Y48" s="175">
        <v>0</v>
      </c>
      <c r="Z48" s="175">
        <v>0</v>
      </c>
      <c r="AA48" s="175">
        <v>0</v>
      </c>
      <c r="AB48" s="175">
        <v>0</v>
      </c>
      <c r="AC48" s="175">
        <v>0</v>
      </c>
      <c r="AD48" s="175">
        <v>0</v>
      </c>
      <c r="AE48" s="175">
        <v>0</v>
      </c>
      <c r="AF48" s="175">
        <v>0</v>
      </c>
      <c r="AG48" s="175">
        <v>0</v>
      </c>
      <c r="AH48" s="175">
        <v>0</v>
      </c>
      <c r="AI48" s="175">
        <v>0</v>
      </c>
      <c r="AJ48" s="175">
        <v>0</v>
      </c>
      <c r="AK48" s="175">
        <v>0</v>
      </c>
      <c r="AL48" s="175">
        <v>0</v>
      </c>
      <c r="AM48" s="175">
        <v>0</v>
      </c>
      <c r="AN48" s="175">
        <v>0</v>
      </c>
      <c r="AO48" s="175">
        <v>0</v>
      </c>
      <c r="AP48" s="175">
        <v>0</v>
      </c>
      <c r="AQ48" s="175">
        <v>0</v>
      </c>
      <c r="AR48" s="175">
        <v>0</v>
      </c>
      <c r="AS48" s="175">
        <v>0</v>
      </c>
      <c r="AT48" s="175">
        <v>0</v>
      </c>
      <c r="AU48" s="175">
        <v>0</v>
      </c>
      <c r="AV48" s="175">
        <v>0</v>
      </c>
      <c r="AW48" s="175">
        <v>0</v>
      </c>
      <c r="AX48" s="175">
        <v>0</v>
      </c>
      <c r="AY48" s="175">
        <v>0</v>
      </c>
      <c r="AZ48" s="175">
        <v>0</v>
      </c>
      <c r="BA48" s="175">
        <v>0</v>
      </c>
      <c r="BB48" s="175">
        <v>0</v>
      </c>
      <c r="BC48" s="175">
        <v>0</v>
      </c>
      <c r="BD48" s="175">
        <v>0</v>
      </c>
      <c r="BE48" s="175">
        <v>0</v>
      </c>
      <c r="BF48" s="175">
        <v>0</v>
      </c>
      <c r="BG48" s="175">
        <v>0</v>
      </c>
      <c r="BH48" s="175">
        <v>0</v>
      </c>
      <c r="BI48" s="175">
        <v>0</v>
      </c>
      <c r="BJ48" s="175">
        <v>0</v>
      </c>
      <c r="BK48" s="175">
        <v>0</v>
      </c>
      <c r="BL48" s="175">
        <v>0</v>
      </c>
      <c r="BM48" s="175">
        <v>0</v>
      </c>
      <c r="BN48" s="175">
        <v>0</v>
      </c>
      <c r="BO48" s="175">
        <v>0</v>
      </c>
      <c r="BP48" s="175">
        <v>0</v>
      </c>
      <c r="BQ48" s="175">
        <v>0</v>
      </c>
      <c r="BR48" s="175">
        <v>0</v>
      </c>
      <c r="BS48" s="175">
        <v>0</v>
      </c>
      <c r="BT48" s="175">
        <v>0</v>
      </c>
      <c r="BU48" s="175">
        <v>0</v>
      </c>
      <c r="BV48" s="175">
        <v>0</v>
      </c>
      <c r="BW48" s="175">
        <v>0</v>
      </c>
      <c r="BX48" s="175">
        <v>0</v>
      </c>
      <c r="BY48" s="175">
        <v>0</v>
      </c>
      <c r="BZ48" s="175">
        <v>0</v>
      </c>
      <c r="CA48" s="175">
        <v>0</v>
      </c>
      <c r="CB48" s="175">
        <v>0</v>
      </c>
      <c r="CC48" s="175">
        <v>0</v>
      </c>
      <c r="CD48" s="175">
        <v>0</v>
      </c>
      <c r="CE48" s="175">
        <v>0</v>
      </c>
      <c r="CF48" s="175">
        <v>0</v>
      </c>
      <c r="CG48" s="175">
        <v>0</v>
      </c>
      <c r="CH48" s="175">
        <v>0</v>
      </c>
      <c r="CI48" s="175">
        <v>0</v>
      </c>
      <c r="CJ48" s="175">
        <v>0</v>
      </c>
      <c r="CK48" s="175">
        <v>0</v>
      </c>
      <c r="CL48" s="175">
        <v>0</v>
      </c>
      <c r="CM48" s="175">
        <v>0</v>
      </c>
      <c r="CN48" s="175">
        <v>0</v>
      </c>
      <c r="CO48" s="175">
        <v>0</v>
      </c>
      <c r="CP48" s="175">
        <v>0</v>
      </c>
      <c r="CQ48" s="175">
        <v>0</v>
      </c>
    </row>
    <row r="49" spans="1:95" s="175" customFormat="1" x14ac:dyDescent="0.2">
      <c r="A49" s="175" t="s">
        <v>203</v>
      </c>
      <c r="B49" s="175">
        <v>0</v>
      </c>
      <c r="C49" s="175">
        <v>0</v>
      </c>
      <c r="D49" s="175">
        <v>0</v>
      </c>
      <c r="E49" s="175">
        <v>0</v>
      </c>
      <c r="F49" s="175">
        <v>0</v>
      </c>
      <c r="G49" s="175">
        <v>0</v>
      </c>
      <c r="H49" s="175">
        <v>0</v>
      </c>
      <c r="I49" s="175">
        <v>0</v>
      </c>
      <c r="J49" s="175">
        <v>0</v>
      </c>
      <c r="K49" s="175">
        <v>0</v>
      </c>
      <c r="L49" s="175">
        <v>0</v>
      </c>
      <c r="M49" s="175">
        <v>0</v>
      </c>
      <c r="N49" s="175">
        <v>0</v>
      </c>
      <c r="O49" s="175">
        <v>0</v>
      </c>
      <c r="P49" s="175">
        <v>0</v>
      </c>
      <c r="Q49" s="175">
        <v>0</v>
      </c>
      <c r="R49" s="175">
        <v>0</v>
      </c>
      <c r="S49" s="175">
        <v>0</v>
      </c>
      <c r="T49" s="175">
        <v>0</v>
      </c>
      <c r="U49" s="175">
        <v>0</v>
      </c>
      <c r="V49" s="175">
        <v>0</v>
      </c>
      <c r="W49" s="175">
        <v>0</v>
      </c>
      <c r="X49" s="175">
        <v>0</v>
      </c>
      <c r="Y49" s="175">
        <v>0</v>
      </c>
      <c r="Z49" s="175">
        <v>0</v>
      </c>
      <c r="AA49" s="175">
        <v>0</v>
      </c>
      <c r="AB49" s="175">
        <v>0</v>
      </c>
      <c r="AC49" s="175">
        <v>0</v>
      </c>
      <c r="AD49" s="175">
        <v>0</v>
      </c>
      <c r="AE49" s="175">
        <v>0</v>
      </c>
      <c r="AF49" s="175">
        <v>0</v>
      </c>
      <c r="AG49" s="175">
        <v>0</v>
      </c>
      <c r="AH49" s="175">
        <v>0</v>
      </c>
      <c r="AI49" s="175">
        <v>0</v>
      </c>
      <c r="AJ49" s="175">
        <v>0</v>
      </c>
      <c r="AK49" s="175">
        <v>0</v>
      </c>
      <c r="AL49" s="175">
        <v>0</v>
      </c>
      <c r="AM49" s="175">
        <v>0</v>
      </c>
      <c r="AN49" s="175">
        <v>0</v>
      </c>
      <c r="AO49" s="175">
        <v>0</v>
      </c>
      <c r="AP49" s="175">
        <v>0</v>
      </c>
      <c r="AQ49" s="175">
        <v>0</v>
      </c>
      <c r="AR49" s="175">
        <v>0</v>
      </c>
      <c r="AS49" s="175">
        <v>0</v>
      </c>
      <c r="AT49" s="175">
        <v>0</v>
      </c>
      <c r="AU49" s="175">
        <v>0</v>
      </c>
      <c r="AV49" s="175">
        <v>0</v>
      </c>
      <c r="AW49" s="175">
        <v>0</v>
      </c>
      <c r="AX49" s="175">
        <v>0</v>
      </c>
      <c r="AY49" s="175">
        <v>0</v>
      </c>
      <c r="AZ49" s="175">
        <v>0</v>
      </c>
      <c r="BA49" s="175">
        <v>0</v>
      </c>
      <c r="BB49" s="175">
        <v>0</v>
      </c>
      <c r="BC49" s="175">
        <v>0</v>
      </c>
      <c r="BD49" s="175">
        <v>0</v>
      </c>
      <c r="BE49" s="175">
        <v>0</v>
      </c>
      <c r="BF49" s="175">
        <v>0</v>
      </c>
      <c r="BG49" s="175">
        <v>0</v>
      </c>
      <c r="BH49" s="175">
        <v>0</v>
      </c>
      <c r="BI49" s="175">
        <v>0</v>
      </c>
      <c r="BJ49" s="175">
        <v>0</v>
      </c>
      <c r="BK49" s="175">
        <v>0</v>
      </c>
      <c r="BL49" s="175">
        <v>0</v>
      </c>
      <c r="BM49" s="175">
        <v>0</v>
      </c>
      <c r="BN49" s="175">
        <v>0</v>
      </c>
      <c r="BO49" s="175">
        <v>0</v>
      </c>
      <c r="BP49" s="175">
        <v>0</v>
      </c>
      <c r="BQ49" s="175">
        <v>0</v>
      </c>
      <c r="BR49" s="175">
        <v>0</v>
      </c>
      <c r="BS49" s="175">
        <v>0</v>
      </c>
      <c r="BT49" s="175">
        <v>0</v>
      </c>
      <c r="BU49" s="175">
        <v>0</v>
      </c>
      <c r="BV49" s="175">
        <v>0</v>
      </c>
      <c r="BW49" s="175">
        <v>0</v>
      </c>
      <c r="BX49" s="175">
        <v>0</v>
      </c>
      <c r="BY49" s="175">
        <v>0</v>
      </c>
      <c r="BZ49" s="175">
        <v>0</v>
      </c>
      <c r="CA49" s="175">
        <v>0</v>
      </c>
      <c r="CB49" s="175">
        <v>0</v>
      </c>
      <c r="CC49" s="175">
        <v>0</v>
      </c>
      <c r="CD49" s="175">
        <v>0</v>
      </c>
      <c r="CE49" s="175">
        <v>0</v>
      </c>
      <c r="CF49" s="175">
        <v>0</v>
      </c>
      <c r="CG49" s="175">
        <v>0</v>
      </c>
      <c r="CH49" s="175">
        <v>0</v>
      </c>
      <c r="CI49" s="175">
        <v>0</v>
      </c>
      <c r="CJ49" s="175">
        <v>0</v>
      </c>
      <c r="CK49" s="175">
        <v>0</v>
      </c>
      <c r="CL49" s="175">
        <v>0</v>
      </c>
      <c r="CM49" s="175">
        <v>0</v>
      </c>
      <c r="CN49" s="175">
        <v>0</v>
      </c>
      <c r="CO49" s="175">
        <v>0</v>
      </c>
      <c r="CP49" s="175">
        <v>0</v>
      </c>
      <c r="CQ49" s="175">
        <v>0</v>
      </c>
    </row>
    <row r="50" spans="1:95" s="175" customFormat="1" x14ac:dyDescent="0.2">
      <c r="A50" s="175" t="s">
        <v>204</v>
      </c>
      <c r="B50" s="175">
        <v>0</v>
      </c>
      <c r="C50" s="175">
        <v>0</v>
      </c>
      <c r="D50" s="175">
        <v>0</v>
      </c>
      <c r="E50" s="175">
        <v>0</v>
      </c>
      <c r="F50" s="175">
        <v>0</v>
      </c>
      <c r="G50" s="175">
        <v>0</v>
      </c>
      <c r="H50" s="175">
        <v>0</v>
      </c>
      <c r="I50" s="175">
        <v>0</v>
      </c>
      <c r="J50" s="175">
        <v>0</v>
      </c>
      <c r="K50" s="175">
        <v>0</v>
      </c>
      <c r="L50" s="175">
        <v>0</v>
      </c>
      <c r="M50" s="175">
        <v>0</v>
      </c>
      <c r="N50" s="175">
        <v>0</v>
      </c>
      <c r="O50" s="175">
        <v>0</v>
      </c>
      <c r="P50" s="175">
        <v>0</v>
      </c>
      <c r="Q50" s="175">
        <v>0</v>
      </c>
      <c r="R50" s="175">
        <v>0</v>
      </c>
      <c r="S50" s="175">
        <v>0</v>
      </c>
      <c r="T50" s="175">
        <v>0</v>
      </c>
      <c r="U50" s="175">
        <v>0</v>
      </c>
      <c r="V50" s="175">
        <v>0</v>
      </c>
      <c r="W50" s="175">
        <v>0</v>
      </c>
      <c r="X50" s="175">
        <v>0</v>
      </c>
      <c r="Y50" s="175">
        <v>0</v>
      </c>
      <c r="Z50" s="175">
        <v>0</v>
      </c>
      <c r="AA50" s="175">
        <v>0</v>
      </c>
      <c r="AB50" s="175">
        <v>0</v>
      </c>
      <c r="AC50" s="175">
        <v>0</v>
      </c>
      <c r="AD50" s="175">
        <v>0</v>
      </c>
      <c r="AE50" s="175">
        <v>0</v>
      </c>
      <c r="AF50" s="175">
        <v>0</v>
      </c>
      <c r="AG50" s="175">
        <v>0</v>
      </c>
      <c r="AH50" s="175">
        <v>0</v>
      </c>
      <c r="AI50" s="175">
        <v>0</v>
      </c>
      <c r="AJ50" s="175">
        <v>0</v>
      </c>
      <c r="AK50" s="175">
        <v>0</v>
      </c>
      <c r="AL50" s="175">
        <v>0</v>
      </c>
      <c r="AM50" s="175">
        <v>0</v>
      </c>
      <c r="AN50" s="175">
        <v>0</v>
      </c>
      <c r="AO50" s="175">
        <v>0</v>
      </c>
      <c r="AP50" s="175">
        <v>0</v>
      </c>
      <c r="AQ50" s="175">
        <v>0</v>
      </c>
      <c r="AR50" s="175">
        <v>0</v>
      </c>
      <c r="AS50" s="175">
        <v>0</v>
      </c>
      <c r="AT50" s="175">
        <v>0</v>
      </c>
      <c r="AU50" s="175">
        <v>0</v>
      </c>
      <c r="AV50" s="175">
        <v>0</v>
      </c>
      <c r="AW50" s="175">
        <v>0</v>
      </c>
      <c r="AX50" s="175">
        <v>0</v>
      </c>
      <c r="AY50" s="175">
        <v>0</v>
      </c>
      <c r="AZ50" s="175">
        <v>0</v>
      </c>
      <c r="BA50" s="175">
        <v>0</v>
      </c>
      <c r="BB50" s="175">
        <v>0</v>
      </c>
      <c r="BC50" s="175">
        <v>0</v>
      </c>
      <c r="BD50" s="175">
        <v>0</v>
      </c>
      <c r="BE50" s="175">
        <v>0</v>
      </c>
      <c r="BF50" s="175">
        <v>0</v>
      </c>
      <c r="BG50" s="175">
        <v>0</v>
      </c>
      <c r="BH50" s="175">
        <v>0</v>
      </c>
      <c r="BI50" s="175">
        <v>0</v>
      </c>
      <c r="BJ50" s="175">
        <v>0</v>
      </c>
      <c r="BK50" s="175">
        <v>0</v>
      </c>
      <c r="BL50" s="175">
        <v>0</v>
      </c>
      <c r="BM50" s="175">
        <v>0</v>
      </c>
      <c r="BN50" s="175">
        <v>0</v>
      </c>
      <c r="BO50" s="175">
        <v>0</v>
      </c>
      <c r="BP50" s="175">
        <v>0</v>
      </c>
      <c r="BQ50" s="175">
        <v>0</v>
      </c>
      <c r="BR50" s="175">
        <v>0</v>
      </c>
      <c r="BS50" s="175">
        <v>0</v>
      </c>
      <c r="BT50" s="175">
        <v>0</v>
      </c>
      <c r="BU50" s="175">
        <v>0</v>
      </c>
      <c r="BV50" s="175">
        <v>0</v>
      </c>
      <c r="BW50" s="175">
        <v>0</v>
      </c>
      <c r="BX50" s="175">
        <v>0</v>
      </c>
      <c r="BY50" s="175">
        <v>0</v>
      </c>
      <c r="BZ50" s="175">
        <v>0</v>
      </c>
      <c r="CA50" s="175">
        <v>0</v>
      </c>
      <c r="CB50" s="175">
        <v>0</v>
      </c>
      <c r="CC50" s="175">
        <v>0</v>
      </c>
      <c r="CD50" s="175">
        <v>0</v>
      </c>
      <c r="CE50" s="175">
        <v>0</v>
      </c>
      <c r="CF50" s="175">
        <v>0</v>
      </c>
      <c r="CG50" s="175">
        <v>0</v>
      </c>
      <c r="CH50" s="175">
        <v>0</v>
      </c>
      <c r="CI50" s="175">
        <v>0</v>
      </c>
      <c r="CJ50" s="175">
        <v>0</v>
      </c>
      <c r="CK50" s="175">
        <v>0</v>
      </c>
      <c r="CL50" s="175">
        <v>0</v>
      </c>
      <c r="CM50" s="175">
        <v>0</v>
      </c>
      <c r="CN50" s="175">
        <v>0</v>
      </c>
      <c r="CO50" s="175">
        <v>0</v>
      </c>
      <c r="CP50" s="175">
        <v>0</v>
      </c>
      <c r="CQ50" s="175">
        <v>0</v>
      </c>
    </row>
    <row r="51" spans="1:95" s="175" customFormat="1" x14ac:dyDescent="0.2">
      <c r="A51" s="175" t="s">
        <v>257</v>
      </c>
      <c r="B51" s="175">
        <v>0</v>
      </c>
      <c r="C51" s="175">
        <v>0</v>
      </c>
      <c r="D51" s="175">
        <v>0</v>
      </c>
      <c r="E51" s="175">
        <v>0</v>
      </c>
      <c r="F51" s="175">
        <v>0</v>
      </c>
      <c r="G51" s="175">
        <v>0</v>
      </c>
      <c r="H51" s="175">
        <v>0</v>
      </c>
      <c r="I51" s="175">
        <v>0</v>
      </c>
      <c r="J51" s="175">
        <v>0</v>
      </c>
      <c r="K51" s="175">
        <v>0</v>
      </c>
      <c r="L51" s="175">
        <v>0</v>
      </c>
      <c r="M51" s="175">
        <v>0</v>
      </c>
      <c r="N51" s="175">
        <v>0</v>
      </c>
      <c r="O51" s="175">
        <v>0</v>
      </c>
      <c r="P51" s="175">
        <v>0</v>
      </c>
      <c r="Q51" s="175">
        <v>0</v>
      </c>
      <c r="R51" s="175">
        <v>0</v>
      </c>
      <c r="S51" s="175">
        <v>0</v>
      </c>
      <c r="T51" s="175">
        <v>0</v>
      </c>
      <c r="U51" s="175">
        <v>0</v>
      </c>
      <c r="V51" s="175">
        <v>0</v>
      </c>
      <c r="W51" s="175">
        <v>0</v>
      </c>
      <c r="X51" s="175">
        <v>0</v>
      </c>
      <c r="Y51" s="175">
        <v>0</v>
      </c>
      <c r="Z51" s="175">
        <v>0</v>
      </c>
      <c r="AA51" s="175">
        <v>0</v>
      </c>
      <c r="AB51" s="175">
        <v>0</v>
      </c>
      <c r="AC51" s="175">
        <v>0</v>
      </c>
      <c r="AD51" s="175">
        <v>0</v>
      </c>
      <c r="AE51" s="175">
        <v>0</v>
      </c>
      <c r="AF51" s="175">
        <v>0</v>
      </c>
      <c r="AG51" s="175">
        <v>0</v>
      </c>
      <c r="AH51" s="175">
        <v>0</v>
      </c>
      <c r="AI51" s="175">
        <v>0</v>
      </c>
      <c r="AJ51" s="175">
        <v>0</v>
      </c>
      <c r="AK51" s="175">
        <v>0</v>
      </c>
      <c r="AL51" s="175">
        <v>0</v>
      </c>
      <c r="AM51" s="175">
        <v>0</v>
      </c>
      <c r="AN51" s="175">
        <v>0</v>
      </c>
      <c r="AO51" s="175">
        <v>0</v>
      </c>
      <c r="AP51" s="175">
        <v>0</v>
      </c>
      <c r="AQ51" s="175">
        <v>0</v>
      </c>
      <c r="AR51" s="175">
        <v>0</v>
      </c>
      <c r="AS51" s="175">
        <v>0</v>
      </c>
      <c r="AT51" s="175">
        <v>0</v>
      </c>
      <c r="AU51" s="175">
        <v>0</v>
      </c>
      <c r="AV51" s="175">
        <v>0</v>
      </c>
      <c r="AW51" s="175">
        <v>0</v>
      </c>
      <c r="AX51" s="175">
        <v>0</v>
      </c>
      <c r="AY51" s="175">
        <v>0</v>
      </c>
      <c r="AZ51" s="175">
        <v>0</v>
      </c>
      <c r="BA51" s="175">
        <v>0</v>
      </c>
      <c r="BB51" s="175">
        <v>0</v>
      </c>
      <c r="BC51" s="175">
        <v>0</v>
      </c>
      <c r="BD51" s="175">
        <v>0</v>
      </c>
      <c r="BE51" s="175">
        <v>0</v>
      </c>
      <c r="BF51" s="175">
        <v>0</v>
      </c>
      <c r="BG51" s="175">
        <v>0</v>
      </c>
      <c r="BH51" s="175">
        <v>0</v>
      </c>
      <c r="BI51" s="175">
        <v>0</v>
      </c>
      <c r="BJ51" s="175">
        <v>0</v>
      </c>
      <c r="BK51" s="175">
        <v>0</v>
      </c>
      <c r="BL51" s="175">
        <v>0</v>
      </c>
      <c r="BM51" s="175">
        <v>0</v>
      </c>
      <c r="BN51" s="175">
        <v>0</v>
      </c>
      <c r="BO51" s="175">
        <v>0</v>
      </c>
      <c r="BP51" s="175">
        <v>0</v>
      </c>
      <c r="BQ51" s="175">
        <v>0</v>
      </c>
      <c r="BR51" s="175">
        <v>0</v>
      </c>
      <c r="BS51" s="175">
        <v>0</v>
      </c>
      <c r="BT51" s="175">
        <v>0</v>
      </c>
      <c r="BU51" s="175">
        <v>0</v>
      </c>
      <c r="BV51" s="175">
        <v>0</v>
      </c>
      <c r="BW51" s="175">
        <v>0</v>
      </c>
      <c r="BX51" s="175">
        <v>0</v>
      </c>
      <c r="BY51" s="175">
        <v>0</v>
      </c>
      <c r="BZ51" s="175">
        <v>0</v>
      </c>
      <c r="CA51" s="175">
        <v>0</v>
      </c>
      <c r="CB51" s="175">
        <v>0</v>
      </c>
      <c r="CC51" s="175">
        <v>0</v>
      </c>
      <c r="CD51" s="175">
        <v>0</v>
      </c>
      <c r="CE51" s="175">
        <v>0</v>
      </c>
      <c r="CF51" s="175">
        <v>0</v>
      </c>
      <c r="CG51" s="175">
        <v>0</v>
      </c>
      <c r="CH51" s="175">
        <v>0</v>
      </c>
      <c r="CI51" s="175">
        <v>0</v>
      </c>
      <c r="CJ51" s="175">
        <v>0</v>
      </c>
      <c r="CK51" s="175">
        <v>0</v>
      </c>
      <c r="CL51" s="175">
        <v>0</v>
      </c>
      <c r="CM51" s="175">
        <v>0</v>
      </c>
      <c r="CN51" s="175">
        <v>0</v>
      </c>
      <c r="CO51" s="175">
        <v>0</v>
      </c>
      <c r="CP51" s="175">
        <v>0</v>
      </c>
      <c r="CQ51" s="175">
        <v>0</v>
      </c>
    </row>
    <row r="52" spans="1:95" s="175" customFormat="1" x14ac:dyDescent="0.2">
      <c r="A52" s="175" t="s">
        <v>258</v>
      </c>
      <c r="B52" s="175">
        <v>0</v>
      </c>
      <c r="C52" s="175">
        <v>0</v>
      </c>
      <c r="D52" s="175">
        <v>0</v>
      </c>
      <c r="E52" s="175">
        <v>0</v>
      </c>
      <c r="F52" s="175">
        <v>0</v>
      </c>
      <c r="G52" s="175">
        <v>0</v>
      </c>
      <c r="H52" s="175">
        <v>0</v>
      </c>
      <c r="I52" s="175">
        <v>0</v>
      </c>
      <c r="J52" s="175">
        <v>0</v>
      </c>
      <c r="K52" s="175">
        <v>0</v>
      </c>
      <c r="L52" s="175">
        <v>0</v>
      </c>
      <c r="M52" s="175">
        <v>0</v>
      </c>
      <c r="N52" s="175">
        <v>0</v>
      </c>
      <c r="O52" s="175">
        <v>0</v>
      </c>
      <c r="P52" s="175">
        <v>0</v>
      </c>
      <c r="Q52" s="175">
        <v>0</v>
      </c>
      <c r="R52" s="175">
        <v>0</v>
      </c>
      <c r="S52" s="175">
        <v>0</v>
      </c>
      <c r="T52" s="175">
        <v>0</v>
      </c>
      <c r="U52" s="175">
        <v>0</v>
      </c>
      <c r="V52" s="175">
        <v>0</v>
      </c>
      <c r="W52" s="175">
        <v>0</v>
      </c>
      <c r="X52" s="175">
        <v>0</v>
      </c>
      <c r="Y52" s="175">
        <v>0</v>
      </c>
      <c r="Z52" s="175">
        <v>0</v>
      </c>
      <c r="AA52" s="175">
        <v>0</v>
      </c>
      <c r="AB52" s="175">
        <v>0</v>
      </c>
      <c r="AC52" s="175">
        <v>0</v>
      </c>
      <c r="AD52" s="175">
        <v>0</v>
      </c>
      <c r="AE52" s="175">
        <v>0</v>
      </c>
      <c r="AF52" s="175">
        <v>0</v>
      </c>
      <c r="AG52" s="175">
        <v>0</v>
      </c>
      <c r="AH52" s="175">
        <v>0</v>
      </c>
      <c r="AI52" s="175">
        <v>0</v>
      </c>
      <c r="AJ52" s="175">
        <v>0</v>
      </c>
      <c r="AK52" s="175">
        <v>0</v>
      </c>
      <c r="AL52" s="175">
        <v>0</v>
      </c>
      <c r="AM52" s="175">
        <v>0</v>
      </c>
      <c r="AN52" s="175">
        <v>0</v>
      </c>
      <c r="AO52" s="175">
        <v>0</v>
      </c>
      <c r="AP52" s="175">
        <v>0</v>
      </c>
      <c r="AQ52" s="175">
        <v>0</v>
      </c>
      <c r="AR52" s="175">
        <v>0</v>
      </c>
      <c r="AS52" s="175">
        <v>0</v>
      </c>
      <c r="AT52" s="175">
        <v>0</v>
      </c>
      <c r="AU52" s="175">
        <v>0</v>
      </c>
      <c r="AV52" s="175">
        <v>0</v>
      </c>
      <c r="AW52" s="175">
        <v>0</v>
      </c>
      <c r="AX52" s="175">
        <v>0</v>
      </c>
      <c r="AY52" s="175">
        <v>0</v>
      </c>
      <c r="AZ52" s="175">
        <v>0</v>
      </c>
      <c r="BA52" s="175">
        <v>0</v>
      </c>
      <c r="BB52" s="175">
        <v>0</v>
      </c>
      <c r="BC52" s="175">
        <v>0</v>
      </c>
      <c r="BD52" s="175">
        <v>0</v>
      </c>
      <c r="BE52" s="175">
        <v>0</v>
      </c>
      <c r="BF52" s="175">
        <v>0</v>
      </c>
      <c r="BG52" s="175">
        <v>0</v>
      </c>
      <c r="BH52" s="175">
        <v>0</v>
      </c>
      <c r="BI52" s="175">
        <v>0</v>
      </c>
      <c r="BJ52" s="175">
        <v>0</v>
      </c>
      <c r="BK52" s="175">
        <v>0</v>
      </c>
      <c r="BL52" s="175">
        <v>0</v>
      </c>
      <c r="BM52" s="175">
        <v>0</v>
      </c>
      <c r="BN52" s="175">
        <v>0</v>
      </c>
      <c r="BO52" s="175">
        <v>0</v>
      </c>
      <c r="BP52" s="175">
        <v>0</v>
      </c>
      <c r="BQ52" s="175">
        <v>0</v>
      </c>
      <c r="BR52" s="175">
        <v>0</v>
      </c>
      <c r="BS52" s="175">
        <v>0</v>
      </c>
      <c r="BT52" s="175">
        <v>0</v>
      </c>
      <c r="BU52" s="175">
        <v>0</v>
      </c>
      <c r="BV52" s="175">
        <v>0</v>
      </c>
      <c r="BW52" s="175">
        <v>0</v>
      </c>
      <c r="BX52" s="175">
        <v>0</v>
      </c>
      <c r="BY52" s="175">
        <v>0</v>
      </c>
      <c r="BZ52" s="175">
        <v>0</v>
      </c>
      <c r="CA52" s="175">
        <v>0</v>
      </c>
      <c r="CB52" s="175">
        <v>0</v>
      </c>
      <c r="CC52" s="175">
        <v>0</v>
      </c>
      <c r="CD52" s="175">
        <v>0</v>
      </c>
      <c r="CE52" s="175">
        <v>0</v>
      </c>
      <c r="CF52" s="175">
        <v>0</v>
      </c>
      <c r="CG52" s="175">
        <v>0</v>
      </c>
      <c r="CH52" s="175">
        <v>0</v>
      </c>
      <c r="CI52" s="175">
        <v>0</v>
      </c>
      <c r="CJ52" s="175">
        <v>0</v>
      </c>
      <c r="CK52" s="175">
        <v>0</v>
      </c>
      <c r="CL52" s="175">
        <v>0</v>
      </c>
      <c r="CM52" s="175">
        <v>0</v>
      </c>
      <c r="CN52" s="175">
        <v>0</v>
      </c>
      <c r="CO52" s="175">
        <v>0</v>
      </c>
      <c r="CP52" s="175">
        <v>0</v>
      </c>
      <c r="CQ52" s="175">
        <v>0</v>
      </c>
    </row>
    <row r="53" spans="1:95" s="175" customFormat="1" x14ac:dyDescent="0.2">
      <c r="A53" s="175" t="s">
        <v>259</v>
      </c>
      <c r="B53" s="175">
        <v>0</v>
      </c>
      <c r="C53" s="175">
        <v>0</v>
      </c>
      <c r="D53" s="175">
        <v>0</v>
      </c>
      <c r="E53" s="175">
        <v>0</v>
      </c>
      <c r="F53" s="175">
        <v>0</v>
      </c>
      <c r="G53" s="175">
        <v>0</v>
      </c>
      <c r="H53" s="175">
        <v>0</v>
      </c>
      <c r="I53" s="175">
        <v>0</v>
      </c>
      <c r="J53" s="175">
        <v>0</v>
      </c>
      <c r="K53" s="175">
        <v>0</v>
      </c>
      <c r="L53" s="175">
        <v>0</v>
      </c>
      <c r="M53" s="175">
        <v>0</v>
      </c>
      <c r="N53" s="175">
        <v>0</v>
      </c>
      <c r="O53" s="175">
        <v>0</v>
      </c>
      <c r="P53" s="175">
        <v>0</v>
      </c>
      <c r="Q53" s="175">
        <v>0</v>
      </c>
      <c r="R53" s="175">
        <v>0</v>
      </c>
      <c r="S53" s="175">
        <v>0</v>
      </c>
      <c r="T53" s="175">
        <v>0</v>
      </c>
      <c r="U53" s="175">
        <v>0</v>
      </c>
      <c r="V53" s="175">
        <v>0</v>
      </c>
      <c r="W53" s="175">
        <v>0</v>
      </c>
      <c r="X53" s="175">
        <v>0</v>
      </c>
      <c r="Y53" s="175">
        <v>0</v>
      </c>
      <c r="Z53" s="175">
        <v>0</v>
      </c>
      <c r="AA53" s="175">
        <v>0</v>
      </c>
      <c r="AB53" s="175">
        <v>0</v>
      </c>
      <c r="AC53" s="175">
        <v>0</v>
      </c>
      <c r="AD53" s="175">
        <v>0</v>
      </c>
      <c r="AE53" s="175">
        <v>0</v>
      </c>
      <c r="AF53" s="175">
        <v>0</v>
      </c>
      <c r="AG53" s="175">
        <v>0</v>
      </c>
      <c r="AH53" s="175">
        <v>0</v>
      </c>
      <c r="AI53" s="175">
        <v>0</v>
      </c>
      <c r="AJ53" s="175">
        <v>0</v>
      </c>
      <c r="AK53" s="175">
        <v>0</v>
      </c>
      <c r="AL53" s="175">
        <v>0</v>
      </c>
      <c r="AM53" s="175">
        <v>0</v>
      </c>
      <c r="AN53" s="175">
        <v>0</v>
      </c>
      <c r="AO53" s="175">
        <v>0</v>
      </c>
      <c r="AP53" s="175">
        <v>0</v>
      </c>
      <c r="AQ53" s="175">
        <v>0</v>
      </c>
      <c r="AR53" s="175">
        <v>0</v>
      </c>
      <c r="AS53" s="175">
        <v>0</v>
      </c>
      <c r="AT53" s="175">
        <v>0</v>
      </c>
      <c r="AU53" s="175">
        <v>0</v>
      </c>
      <c r="AV53" s="175">
        <v>0</v>
      </c>
      <c r="AW53" s="175">
        <v>0</v>
      </c>
      <c r="AX53" s="175">
        <v>0</v>
      </c>
      <c r="AY53" s="175">
        <v>0</v>
      </c>
      <c r="AZ53" s="175">
        <v>0</v>
      </c>
      <c r="BA53" s="175">
        <v>0</v>
      </c>
      <c r="BB53" s="175">
        <v>0</v>
      </c>
      <c r="BC53" s="175">
        <v>0</v>
      </c>
      <c r="BD53" s="175">
        <v>0</v>
      </c>
      <c r="BE53" s="175">
        <v>0</v>
      </c>
      <c r="BF53" s="175">
        <v>0</v>
      </c>
      <c r="BG53" s="175">
        <v>0</v>
      </c>
      <c r="BH53" s="175">
        <v>0</v>
      </c>
      <c r="BI53" s="175">
        <v>0</v>
      </c>
      <c r="BJ53" s="175">
        <v>0</v>
      </c>
      <c r="BK53" s="175">
        <v>0</v>
      </c>
      <c r="BL53" s="175">
        <v>0</v>
      </c>
      <c r="BM53" s="175">
        <v>0</v>
      </c>
      <c r="BN53" s="175">
        <v>0</v>
      </c>
      <c r="BO53" s="175">
        <v>0</v>
      </c>
      <c r="BP53" s="175">
        <v>0</v>
      </c>
      <c r="BQ53" s="175">
        <v>0</v>
      </c>
      <c r="BR53" s="175">
        <v>0</v>
      </c>
      <c r="BS53" s="175">
        <v>0</v>
      </c>
      <c r="BT53" s="175">
        <v>0</v>
      </c>
      <c r="BU53" s="175">
        <v>0</v>
      </c>
      <c r="BV53" s="175">
        <v>0</v>
      </c>
      <c r="BW53" s="175">
        <v>0</v>
      </c>
      <c r="BX53" s="175">
        <v>0</v>
      </c>
      <c r="BY53" s="175">
        <v>0</v>
      </c>
      <c r="BZ53" s="175">
        <v>0</v>
      </c>
      <c r="CA53" s="175">
        <v>0</v>
      </c>
      <c r="CB53" s="175">
        <v>0</v>
      </c>
      <c r="CC53" s="175">
        <v>0</v>
      </c>
      <c r="CD53" s="175">
        <v>0</v>
      </c>
      <c r="CE53" s="175">
        <v>0</v>
      </c>
      <c r="CF53" s="175">
        <v>0</v>
      </c>
      <c r="CG53" s="175">
        <v>0</v>
      </c>
      <c r="CH53" s="175">
        <v>0</v>
      </c>
      <c r="CI53" s="175">
        <v>0</v>
      </c>
      <c r="CJ53" s="175">
        <v>0</v>
      </c>
      <c r="CK53" s="175">
        <v>0</v>
      </c>
      <c r="CL53" s="175">
        <v>0</v>
      </c>
      <c r="CM53" s="175">
        <v>0</v>
      </c>
      <c r="CN53" s="175">
        <v>0</v>
      </c>
      <c r="CO53" s="175">
        <v>0</v>
      </c>
      <c r="CP53" s="175">
        <v>0</v>
      </c>
      <c r="CQ53" s="175">
        <v>0</v>
      </c>
    </row>
    <row r="54" spans="1:95" s="175" customFormat="1" x14ac:dyDescent="0.2">
      <c r="A54" s="175" t="s">
        <v>260</v>
      </c>
      <c r="B54" s="175">
        <v>0</v>
      </c>
      <c r="C54" s="175">
        <v>0</v>
      </c>
      <c r="D54" s="175">
        <v>0</v>
      </c>
      <c r="E54" s="175">
        <v>0</v>
      </c>
      <c r="F54" s="175">
        <v>0</v>
      </c>
      <c r="G54" s="175">
        <v>0</v>
      </c>
      <c r="H54" s="175">
        <v>0</v>
      </c>
      <c r="I54" s="175">
        <v>0</v>
      </c>
      <c r="J54" s="175">
        <v>0</v>
      </c>
      <c r="K54" s="175">
        <v>0</v>
      </c>
      <c r="L54" s="175">
        <v>0</v>
      </c>
      <c r="M54" s="175">
        <v>0</v>
      </c>
      <c r="N54" s="175">
        <v>0</v>
      </c>
      <c r="O54" s="175">
        <v>0</v>
      </c>
      <c r="P54" s="175">
        <v>0</v>
      </c>
      <c r="Q54" s="175">
        <v>0</v>
      </c>
      <c r="R54" s="175">
        <v>0</v>
      </c>
      <c r="S54" s="175">
        <v>0</v>
      </c>
      <c r="T54" s="175">
        <v>0</v>
      </c>
      <c r="U54" s="175">
        <v>0</v>
      </c>
      <c r="V54" s="175">
        <v>0</v>
      </c>
      <c r="W54" s="175">
        <v>0</v>
      </c>
      <c r="X54" s="175">
        <v>0</v>
      </c>
      <c r="Y54" s="175">
        <v>0</v>
      </c>
      <c r="Z54" s="175">
        <v>0</v>
      </c>
      <c r="AA54" s="175">
        <v>0</v>
      </c>
      <c r="AB54" s="175">
        <v>0</v>
      </c>
      <c r="AC54" s="175">
        <v>0</v>
      </c>
      <c r="AD54" s="175">
        <v>0</v>
      </c>
      <c r="AE54" s="175">
        <v>0</v>
      </c>
      <c r="AF54" s="175">
        <v>0</v>
      </c>
      <c r="AG54" s="175">
        <v>0</v>
      </c>
      <c r="AH54" s="175">
        <v>0</v>
      </c>
      <c r="AI54" s="175">
        <v>0</v>
      </c>
      <c r="AJ54" s="175">
        <v>0</v>
      </c>
      <c r="AK54" s="175">
        <v>0</v>
      </c>
      <c r="AL54" s="175">
        <v>0</v>
      </c>
      <c r="AM54" s="175">
        <v>0</v>
      </c>
      <c r="AN54" s="175">
        <v>0</v>
      </c>
      <c r="AO54" s="175">
        <v>0</v>
      </c>
      <c r="AP54" s="175">
        <v>0</v>
      </c>
      <c r="AQ54" s="175">
        <v>0</v>
      </c>
      <c r="AR54" s="175">
        <v>0</v>
      </c>
      <c r="AS54" s="175">
        <v>0</v>
      </c>
      <c r="AT54" s="175">
        <v>0</v>
      </c>
      <c r="AU54" s="175">
        <v>0</v>
      </c>
      <c r="AV54" s="175">
        <v>0</v>
      </c>
      <c r="AW54" s="175">
        <v>0</v>
      </c>
      <c r="AX54" s="175">
        <v>0</v>
      </c>
      <c r="AY54" s="175">
        <v>0</v>
      </c>
      <c r="AZ54" s="175">
        <v>0</v>
      </c>
      <c r="BA54" s="175">
        <v>0</v>
      </c>
      <c r="BB54" s="175">
        <v>0</v>
      </c>
      <c r="BC54" s="175">
        <v>0</v>
      </c>
      <c r="BD54" s="175">
        <v>0</v>
      </c>
      <c r="BE54" s="175">
        <v>0</v>
      </c>
      <c r="BF54" s="175">
        <v>0</v>
      </c>
      <c r="BG54" s="175">
        <v>0</v>
      </c>
      <c r="BH54" s="175">
        <v>0</v>
      </c>
      <c r="BI54" s="175">
        <v>0</v>
      </c>
      <c r="BJ54" s="175">
        <v>0</v>
      </c>
      <c r="BK54" s="175">
        <v>0</v>
      </c>
      <c r="BL54" s="175">
        <v>0</v>
      </c>
      <c r="BM54" s="175">
        <v>0</v>
      </c>
      <c r="BN54" s="175">
        <v>0</v>
      </c>
      <c r="BO54" s="175">
        <v>0</v>
      </c>
      <c r="BP54" s="175">
        <v>0</v>
      </c>
      <c r="BQ54" s="175">
        <v>0</v>
      </c>
      <c r="BR54" s="175">
        <v>0</v>
      </c>
      <c r="BS54" s="175">
        <v>0</v>
      </c>
      <c r="BT54" s="175">
        <v>0</v>
      </c>
      <c r="BU54" s="175">
        <v>0</v>
      </c>
      <c r="BV54" s="175">
        <v>0</v>
      </c>
      <c r="BW54" s="175">
        <v>0</v>
      </c>
      <c r="BX54" s="175">
        <v>0</v>
      </c>
      <c r="BY54" s="175">
        <v>0</v>
      </c>
      <c r="BZ54" s="175">
        <v>0</v>
      </c>
      <c r="CA54" s="175">
        <v>0</v>
      </c>
      <c r="CB54" s="175">
        <v>0</v>
      </c>
      <c r="CC54" s="175">
        <v>0</v>
      </c>
      <c r="CD54" s="175">
        <v>0</v>
      </c>
      <c r="CE54" s="175">
        <v>0</v>
      </c>
      <c r="CF54" s="175">
        <v>0</v>
      </c>
      <c r="CG54" s="175">
        <v>0</v>
      </c>
      <c r="CH54" s="175">
        <v>0</v>
      </c>
      <c r="CI54" s="175">
        <v>0</v>
      </c>
      <c r="CJ54" s="175">
        <v>0</v>
      </c>
      <c r="CK54" s="175">
        <v>0</v>
      </c>
      <c r="CL54" s="175">
        <v>0</v>
      </c>
      <c r="CM54" s="175">
        <v>0</v>
      </c>
      <c r="CN54" s="175">
        <v>0</v>
      </c>
      <c r="CO54" s="175">
        <v>0</v>
      </c>
      <c r="CP54" s="175">
        <v>0</v>
      </c>
      <c r="CQ54" s="175">
        <v>0</v>
      </c>
    </row>
    <row r="55" spans="1:95" s="175" customFormat="1" x14ac:dyDescent="0.2">
      <c r="A55" s="175" t="s">
        <v>261</v>
      </c>
      <c r="B55" s="175">
        <v>0</v>
      </c>
      <c r="C55" s="175">
        <v>0</v>
      </c>
      <c r="D55" s="175">
        <v>0</v>
      </c>
      <c r="E55" s="175">
        <v>0</v>
      </c>
      <c r="F55" s="175">
        <v>0</v>
      </c>
      <c r="G55" s="175">
        <v>0</v>
      </c>
      <c r="H55" s="175">
        <v>0</v>
      </c>
      <c r="I55" s="175">
        <v>0</v>
      </c>
      <c r="J55" s="175">
        <v>0</v>
      </c>
      <c r="K55" s="175">
        <v>0</v>
      </c>
      <c r="L55" s="175">
        <v>0</v>
      </c>
      <c r="M55" s="175">
        <v>0</v>
      </c>
      <c r="N55" s="175">
        <v>0</v>
      </c>
      <c r="O55" s="175">
        <v>0</v>
      </c>
      <c r="P55" s="175">
        <v>0</v>
      </c>
      <c r="Q55" s="175">
        <v>0</v>
      </c>
      <c r="R55" s="175">
        <v>0</v>
      </c>
      <c r="S55" s="175">
        <v>0</v>
      </c>
      <c r="T55" s="175">
        <v>0</v>
      </c>
      <c r="U55" s="175">
        <v>0</v>
      </c>
      <c r="V55" s="175">
        <v>0</v>
      </c>
      <c r="W55" s="175">
        <v>0</v>
      </c>
      <c r="X55" s="175">
        <v>0</v>
      </c>
      <c r="Y55" s="175">
        <v>0</v>
      </c>
      <c r="Z55" s="175">
        <v>0</v>
      </c>
      <c r="AA55" s="175">
        <v>0</v>
      </c>
      <c r="AB55" s="175">
        <v>0</v>
      </c>
      <c r="AC55" s="175">
        <v>0</v>
      </c>
      <c r="AD55" s="175">
        <v>0</v>
      </c>
      <c r="AE55" s="175">
        <v>0</v>
      </c>
      <c r="AF55" s="175">
        <v>0</v>
      </c>
      <c r="AG55" s="175">
        <v>0</v>
      </c>
      <c r="AH55" s="175">
        <v>0</v>
      </c>
      <c r="AI55" s="175">
        <v>0</v>
      </c>
      <c r="AJ55" s="175">
        <v>0</v>
      </c>
      <c r="AK55" s="175">
        <v>0</v>
      </c>
      <c r="AL55" s="175">
        <v>0</v>
      </c>
      <c r="AM55" s="175">
        <v>0</v>
      </c>
      <c r="AN55" s="175">
        <v>0</v>
      </c>
      <c r="AO55" s="175">
        <v>0</v>
      </c>
      <c r="AP55" s="175">
        <v>0</v>
      </c>
      <c r="AQ55" s="175">
        <v>0</v>
      </c>
      <c r="AR55" s="175">
        <v>0</v>
      </c>
      <c r="AS55" s="175">
        <v>0</v>
      </c>
      <c r="AT55" s="175">
        <v>0</v>
      </c>
      <c r="AU55" s="175">
        <v>0</v>
      </c>
      <c r="AV55" s="175">
        <v>0</v>
      </c>
      <c r="AW55" s="175">
        <v>0</v>
      </c>
      <c r="AX55" s="175">
        <v>0</v>
      </c>
      <c r="AY55" s="175">
        <v>0</v>
      </c>
      <c r="AZ55" s="175">
        <v>0</v>
      </c>
      <c r="BA55" s="175">
        <v>0</v>
      </c>
      <c r="BB55" s="175">
        <v>0</v>
      </c>
      <c r="BC55" s="175">
        <v>0</v>
      </c>
      <c r="BD55" s="175">
        <v>0</v>
      </c>
      <c r="BE55" s="175">
        <v>0</v>
      </c>
      <c r="BF55" s="175">
        <v>0</v>
      </c>
      <c r="BG55" s="175">
        <v>0</v>
      </c>
      <c r="BH55" s="175">
        <v>0</v>
      </c>
      <c r="BI55" s="175">
        <v>0</v>
      </c>
      <c r="BJ55" s="175">
        <v>0</v>
      </c>
      <c r="BK55" s="175">
        <v>0</v>
      </c>
      <c r="BL55" s="175">
        <v>0</v>
      </c>
      <c r="BM55" s="175">
        <v>0</v>
      </c>
      <c r="BN55" s="175">
        <v>0</v>
      </c>
      <c r="BO55" s="175">
        <v>0</v>
      </c>
      <c r="BP55" s="175">
        <v>0</v>
      </c>
      <c r="BQ55" s="175">
        <v>0</v>
      </c>
      <c r="BR55" s="175">
        <v>0</v>
      </c>
      <c r="BS55" s="175">
        <v>0</v>
      </c>
      <c r="BT55" s="175">
        <v>0</v>
      </c>
      <c r="BU55" s="175">
        <v>0</v>
      </c>
      <c r="BV55" s="175">
        <v>0</v>
      </c>
      <c r="BW55" s="175">
        <v>0</v>
      </c>
      <c r="BX55" s="175">
        <v>0</v>
      </c>
      <c r="BY55" s="175">
        <v>0</v>
      </c>
      <c r="BZ55" s="175">
        <v>0</v>
      </c>
      <c r="CA55" s="175">
        <v>0</v>
      </c>
      <c r="CB55" s="175">
        <v>0</v>
      </c>
      <c r="CC55" s="175">
        <v>0</v>
      </c>
      <c r="CD55" s="175">
        <v>0</v>
      </c>
      <c r="CE55" s="175">
        <v>0</v>
      </c>
      <c r="CF55" s="175">
        <v>0</v>
      </c>
      <c r="CG55" s="175">
        <v>0</v>
      </c>
      <c r="CH55" s="175">
        <v>0</v>
      </c>
      <c r="CI55" s="175">
        <v>0</v>
      </c>
      <c r="CJ55" s="175">
        <v>0</v>
      </c>
      <c r="CK55" s="175">
        <v>0</v>
      </c>
      <c r="CL55" s="175">
        <v>0</v>
      </c>
      <c r="CM55" s="175">
        <v>0</v>
      </c>
      <c r="CN55" s="175">
        <v>0</v>
      </c>
      <c r="CO55" s="175">
        <v>0</v>
      </c>
      <c r="CP55" s="175">
        <v>0</v>
      </c>
      <c r="CQ55" s="175">
        <v>0</v>
      </c>
    </row>
    <row r="56" spans="1:95" s="175" customFormat="1" x14ac:dyDescent="0.2">
      <c r="A56" s="175" t="s">
        <v>233</v>
      </c>
      <c r="B56" s="175">
        <v>0</v>
      </c>
      <c r="C56" s="175">
        <v>0</v>
      </c>
      <c r="D56" s="175">
        <v>0</v>
      </c>
      <c r="E56" s="175">
        <v>0</v>
      </c>
      <c r="F56" s="175">
        <v>0</v>
      </c>
      <c r="G56" s="175">
        <v>0</v>
      </c>
      <c r="H56" s="175">
        <v>0</v>
      </c>
      <c r="I56" s="175">
        <v>0</v>
      </c>
      <c r="J56" s="175">
        <v>0</v>
      </c>
      <c r="K56" s="175">
        <v>0</v>
      </c>
      <c r="L56" s="175">
        <v>0</v>
      </c>
      <c r="M56" s="175">
        <v>0</v>
      </c>
      <c r="N56" s="175">
        <v>0</v>
      </c>
      <c r="O56" s="175">
        <v>0</v>
      </c>
      <c r="P56" s="175">
        <v>0</v>
      </c>
      <c r="Q56" s="175">
        <v>0</v>
      </c>
      <c r="R56" s="175">
        <v>0</v>
      </c>
      <c r="S56" s="175">
        <v>0</v>
      </c>
      <c r="T56" s="175">
        <v>0</v>
      </c>
      <c r="U56" s="175">
        <v>0</v>
      </c>
      <c r="V56" s="175">
        <v>0</v>
      </c>
      <c r="W56" s="175">
        <v>0</v>
      </c>
      <c r="X56" s="175">
        <v>0</v>
      </c>
      <c r="Y56" s="175">
        <v>0</v>
      </c>
      <c r="Z56" s="175">
        <v>0</v>
      </c>
      <c r="AA56" s="175">
        <v>0</v>
      </c>
      <c r="AB56" s="175">
        <v>0</v>
      </c>
      <c r="AC56" s="175">
        <v>0</v>
      </c>
      <c r="AD56" s="175">
        <v>0</v>
      </c>
      <c r="AE56" s="175">
        <v>0</v>
      </c>
      <c r="AF56" s="175">
        <v>0</v>
      </c>
      <c r="AG56" s="175">
        <v>0</v>
      </c>
      <c r="AH56" s="175">
        <v>0</v>
      </c>
      <c r="AI56" s="175">
        <v>0</v>
      </c>
      <c r="AJ56" s="175">
        <v>0</v>
      </c>
      <c r="AK56" s="175">
        <v>0</v>
      </c>
      <c r="AL56" s="175">
        <v>0</v>
      </c>
      <c r="AM56" s="175">
        <v>0</v>
      </c>
      <c r="AN56" s="175">
        <v>0</v>
      </c>
      <c r="AO56" s="175">
        <v>0</v>
      </c>
      <c r="AP56" s="175">
        <v>0</v>
      </c>
      <c r="AQ56" s="175">
        <v>0</v>
      </c>
      <c r="AR56" s="175">
        <v>0</v>
      </c>
      <c r="AS56" s="175">
        <v>0</v>
      </c>
      <c r="AT56" s="175">
        <v>0</v>
      </c>
      <c r="AU56" s="175">
        <v>0</v>
      </c>
      <c r="AV56" s="175">
        <v>0</v>
      </c>
      <c r="AW56" s="175">
        <v>0</v>
      </c>
      <c r="AX56" s="175">
        <v>0</v>
      </c>
      <c r="AY56" s="175">
        <v>0</v>
      </c>
      <c r="AZ56" s="175">
        <v>0</v>
      </c>
      <c r="BA56" s="175">
        <v>0</v>
      </c>
      <c r="BB56" s="175">
        <v>0</v>
      </c>
      <c r="BC56" s="175">
        <v>0</v>
      </c>
      <c r="BD56" s="175">
        <v>0</v>
      </c>
      <c r="BE56" s="175">
        <v>0</v>
      </c>
      <c r="BF56" s="175">
        <v>0</v>
      </c>
      <c r="BG56" s="175">
        <v>0</v>
      </c>
      <c r="BH56" s="175">
        <v>0</v>
      </c>
      <c r="BI56" s="175">
        <v>0</v>
      </c>
      <c r="BJ56" s="175">
        <v>0</v>
      </c>
      <c r="BK56" s="175">
        <v>0</v>
      </c>
      <c r="BL56" s="175">
        <v>0</v>
      </c>
      <c r="BM56" s="175">
        <v>0</v>
      </c>
      <c r="BN56" s="175">
        <v>0</v>
      </c>
      <c r="BO56" s="175">
        <v>0</v>
      </c>
      <c r="BP56" s="175">
        <v>0</v>
      </c>
      <c r="BQ56" s="175">
        <v>0</v>
      </c>
      <c r="BR56" s="175">
        <v>0</v>
      </c>
      <c r="BS56" s="175">
        <v>0</v>
      </c>
      <c r="BT56" s="175">
        <v>0</v>
      </c>
      <c r="BU56" s="175">
        <v>0</v>
      </c>
      <c r="BV56" s="175">
        <v>0</v>
      </c>
      <c r="BW56" s="175">
        <v>0</v>
      </c>
      <c r="BX56" s="175">
        <v>0</v>
      </c>
      <c r="BY56" s="175">
        <v>0</v>
      </c>
      <c r="BZ56" s="175">
        <v>0</v>
      </c>
      <c r="CA56" s="175">
        <v>0</v>
      </c>
      <c r="CB56" s="175">
        <v>0</v>
      </c>
      <c r="CC56" s="175">
        <v>0</v>
      </c>
      <c r="CD56" s="175">
        <v>0</v>
      </c>
      <c r="CE56" s="175">
        <v>0</v>
      </c>
      <c r="CF56" s="175">
        <v>0</v>
      </c>
      <c r="CG56" s="175">
        <v>0</v>
      </c>
      <c r="CH56" s="175">
        <v>0</v>
      </c>
      <c r="CI56" s="175">
        <v>0</v>
      </c>
      <c r="CJ56" s="175">
        <v>0</v>
      </c>
      <c r="CK56" s="175">
        <v>0</v>
      </c>
      <c r="CL56" s="175">
        <v>0</v>
      </c>
      <c r="CM56" s="175">
        <v>0</v>
      </c>
      <c r="CN56" s="175">
        <v>0</v>
      </c>
      <c r="CO56" s="175">
        <v>0</v>
      </c>
      <c r="CP56" s="175">
        <v>0</v>
      </c>
      <c r="CQ56" s="175">
        <v>0</v>
      </c>
    </row>
    <row r="57" spans="1:95" s="175" customFormat="1" x14ac:dyDescent="0.2">
      <c r="A57" s="175" t="s">
        <v>234</v>
      </c>
      <c r="B57" s="175">
        <v>0</v>
      </c>
      <c r="C57" s="175">
        <v>0</v>
      </c>
      <c r="D57" s="175">
        <v>0</v>
      </c>
      <c r="E57" s="175">
        <v>0</v>
      </c>
      <c r="F57" s="175">
        <v>0</v>
      </c>
      <c r="G57" s="175">
        <v>0</v>
      </c>
      <c r="H57" s="175">
        <v>0</v>
      </c>
      <c r="I57" s="175">
        <v>0</v>
      </c>
      <c r="J57" s="175">
        <v>0</v>
      </c>
      <c r="K57" s="175">
        <v>0</v>
      </c>
      <c r="L57" s="175">
        <v>0</v>
      </c>
      <c r="M57" s="175">
        <v>0</v>
      </c>
      <c r="N57" s="175">
        <v>0</v>
      </c>
      <c r="O57" s="175">
        <v>0</v>
      </c>
      <c r="P57" s="175">
        <v>0</v>
      </c>
      <c r="Q57" s="175">
        <v>0</v>
      </c>
      <c r="R57" s="175">
        <v>0</v>
      </c>
      <c r="S57" s="175">
        <v>0</v>
      </c>
      <c r="T57" s="175">
        <v>0</v>
      </c>
      <c r="U57" s="175">
        <v>0</v>
      </c>
      <c r="V57" s="175">
        <v>0</v>
      </c>
      <c r="W57" s="175">
        <v>0</v>
      </c>
      <c r="X57" s="175">
        <v>0</v>
      </c>
      <c r="Y57" s="175">
        <v>0</v>
      </c>
      <c r="Z57" s="175">
        <v>0</v>
      </c>
      <c r="AA57" s="175">
        <v>0</v>
      </c>
      <c r="AB57" s="175">
        <v>0</v>
      </c>
      <c r="AC57" s="175">
        <v>0</v>
      </c>
      <c r="AD57" s="175">
        <v>0</v>
      </c>
      <c r="AE57" s="175">
        <v>0</v>
      </c>
      <c r="AF57" s="175">
        <v>0</v>
      </c>
      <c r="AG57" s="175">
        <v>0</v>
      </c>
      <c r="AH57" s="175">
        <v>0</v>
      </c>
      <c r="AI57" s="175">
        <v>0</v>
      </c>
      <c r="AJ57" s="175">
        <v>0</v>
      </c>
      <c r="AK57" s="175">
        <v>0</v>
      </c>
      <c r="AL57" s="175">
        <v>0</v>
      </c>
      <c r="AM57" s="175">
        <v>0</v>
      </c>
      <c r="AN57" s="175">
        <v>0</v>
      </c>
      <c r="AO57" s="175">
        <v>0</v>
      </c>
      <c r="AP57" s="175">
        <v>0</v>
      </c>
      <c r="AQ57" s="175">
        <v>0</v>
      </c>
      <c r="AR57" s="175">
        <v>0</v>
      </c>
      <c r="AS57" s="175">
        <v>0</v>
      </c>
      <c r="AT57" s="175">
        <v>0</v>
      </c>
      <c r="AU57" s="175">
        <v>0</v>
      </c>
      <c r="AV57" s="175">
        <v>0</v>
      </c>
      <c r="AW57" s="175">
        <v>0</v>
      </c>
      <c r="AX57" s="175">
        <v>0</v>
      </c>
      <c r="AY57" s="175">
        <v>0</v>
      </c>
      <c r="AZ57" s="175">
        <v>0</v>
      </c>
      <c r="BA57" s="175">
        <v>0</v>
      </c>
      <c r="BB57" s="175">
        <v>0</v>
      </c>
      <c r="BC57" s="175">
        <v>0</v>
      </c>
      <c r="BD57" s="175">
        <v>0</v>
      </c>
      <c r="BE57" s="175">
        <v>0</v>
      </c>
      <c r="BF57" s="175">
        <v>0</v>
      </c>
      <c r="BG57" s="175">
        <v>0</v>
      </c>
      <c r="BH57" s="175">
        <v>0</v>
      </c>
      <c r="BI57" s="175">
        <v>0</v>
      </c>
      <c r="BJ57" s="175">
        <v>0</v>
      </c>
      <c r="BK57" s="175">
        <v>0</v>
      </c>
      <c r="BL57" s="175">
        <v>0</v>
      </c>
      <c r="BM57" s="175">
        <v>0</v>
      </c>
      <c r="BN57" s="175">
        <v>0</v>
      </c>
      <c r="BO57" s="175">
        <v>0</v>
      </c>
      <c r="BP57" s="175">
        <v>0</v>
      </c>
      <c r="BQ57" s="175">
        <v>0</v>
      </c>
      <c r="BR57" s="175">
        <v>0</v>
      </c>
      <c r="BS57" s="175">
        <v>0</v>
      </c>
      <c r="BT57" s="175">
        <v>0</v>
      </c>
      <c r="BU57" s="175">
        <v>0</v>
      </c>
      <c r="BV57" s="175">
        <v>0</v>
      </c>
      <c r="BW57" s="175">
        <v>0</v>
      </c>
      <c r="BX57" s="175">
        <v>0</v>
      </c>
      <c r="BY57" s="175">
        <v>0</v>
      </c>
      <c r="BZ57" s="175">
        <v>0</v>
      </c>
      <c r="CA57" s="175">
        <v>0</v>
      </c>
      <c r="CB57" s="175">
        <v>0</v>
      </c>
      <c r="CC57" s="175">
        <v>0</v>
      </c>
      <c r="CD57" s="175">
        <v>0</v>
      </c>
      <c r="CE57" s="175">
        <v>0</v>
      </c>
      <c r="CF57" s="175">
        <v>0</v>
      </c>
      <c r="CG57" s="175">
        <v>0</v>
      </c>
      <c r="CH57" s="175">
        <v>0</v>
      </c>
      <c r="CI57" s="175">
        <v>0</v>
      </c>
      <c r="CJ57" s="175">
        <v>0</v>
      </c>
      <c r="CK57" s="175">
        <v>0</v>
      </c>
      <c r="CL57" s="175">
        <v>0</v>
      </c>
      <c r="CM57" s="175">
        <v>0</v>
      </c>
      <c r="CN57" s="175">
        <v>0</v>
      </c>
      <c r="CO57" s="175">
        <v>0</v>
      </c>
      <c r="CP57" s="175">
        <v>0</v>
      </c>
      <c r="CQ57" s="175">
        <v>0</v>
      </c>
    </row>
    <row r="58" spans="1:95" s="175" customFormat="1" x14ac:dyDescent="0.2">
      <c r="A58" s="175" t="s">
        <v>205</v>
      </c>
      <c r="B58" s="175">
        <v>0</v>
      </c>
      <c r="C58" s="175">
        <v>0</v>
      </c>
      <c r="D58" s="175">
        <v>0</v>
      </c>
      <c r="E58" s="175">
        <v>0</v>
      </c>
      <c r="F58" s="175">
        <v>0</v>
      </c>
      <c r="G58" s="175">
        <v>0</v>
      </c>
      <c r="H58" s="175">
        <v>0</v>
      </c>
      <c r="I58" s="175">
        <v>0</v>
      </c>
      <c r="J58" s="175">
        <v>0</v>
      </c>
      <c r="K58" s="175">
        <v>0</v>
      </c>
      <c r="L58" s="175">
        <v>0</v>
      </c>
      <c r="M58" s="175">
        <v>0</v>
      </c>
      <c r="N58" s="175">
        <v>0</v>
      </c>
      <c r="O58" s="175">
        <v>0</v>
      </c>
      <c r="P58" s="175">
        <v>0</v>
      </c>
      <c r="Q58" s="175">
        <v>0</v>
      </c>
      <c r="R58" s="175">
        <v>0</v>
      </c>
      <c r="S58" s="175">
        <v>0</v>
      </c>
      <c r="T58" s="175">
        <v>0</v>
      </c>
      <c r="U58" s="175">
        <v>0</v>
      </c>
      <c r="V58" s="175">
        <v>0</v>
      </c>
      <c r="W58" s="175">
        <v>0</v>
      </c>
      <c r="X58" s="175">
        <v>0</v>
      </c>
      <c r="Y58" s="175">
        <v>0</v>
      </c>
      <c r="Z58" s="175">
        <v>0</v>
      </c>
      <c r="AA58" s="175">
        <v>0</v>
      </c>
      <c r="AB58" s="175">
        <v>0</v>
      </c>
      <c r="AC58" s="175">
        <v>0</v>
      </c>
      <c r="AD58" s="175">
        <v>0</v>
      </c>
      <c r="AE58" s="175">
        <v>0</v>
      </c>
      <c r="AF58" s="175">
        <v>0</v>
      </c>
      <c r="AG58" s="175">
        <v>0</v>
      </c>
      <c r="AH58" s="175">
        <v>0</v>
      </c>
      <c r="AI58" s="175">
        <v>0</v>
      </c>
      <c r="AJ58" s="175">
        <v>0</v>
      </c>
      <c r="AK58" s="175">
        <v>0</v>
      </c>
      <c r="AL58" s="175">
        <v>0</v>
      </c>
      <c r="AM58" s="175">
        <v>0</v>
      </c>
      <c r="AN58" s="175">
        <v>0</v>
      </c>
      <c r="AO58" s="175">
        <v>0</v>
      </c>
      <c r="AP58" s="175">
        <v>0</v>
      </c>
      <c r="AQ58" s="175">
        <v>0</v>
      </c>
      <c r="AR58" s="175">
        <v>0</v>
      </c>
      <c r="AS58" s="175">
        <v>0</v>
      </c>
      <c r="AT58" s="175">
        <v>0</v>
      </c>
      <c r="AU58" s="175">
        <v>0</v>
      </c>
      <c r="AV58" s="175">
        <v>0</v>
      </c>
      <c r="AW58" s="175">
        <v>0</v>
      </c>
      <c r="AX58" s="175">
        <v>0</v>
      </c>
      <c r="AY58" s="175">
        <v>0</v>
      </c>
      <c r="AZ58" s="175">
        <v>0</v>
      </c>
      <c r="BA58" s="175">
        <v>0</v>
      </c>
      <c r="BB58" s="175">
        <v>0</v>
      </c>
      <c r="BC58" s="175">
        <v>0</v>
      </c>
      <c r="BD58" s="175">
        <v>0</v>
      </c>
      <c r="BE58" s="175">
        <v>0</v>
      </c>
      <c r="BF58" s="175">
        <v>0</v>
      </c>
      <c r="BG58" s="175">
        <v>0</v>
      </c>
      <c r="BH58" s="175">
        <v>0</v>
      </c>
      <c r="BI58" s="175">
        <v>0</v>
      </c>
      <c r="BJ58" s="175">
        <v>0</v>
      </c>
      <c r="BK58" s="175">
        <v>0</v>
      </c>
      <c r="BL58" s="175">
        <v>0</v>
      </c>
      <c r="BM58" s="175">
        <v>0</v>
      </c>
      <c r="BN58" s="175">
        <v>0</v>
      </c>
      <c r="BO58" s="175">
        <v>0</v>
      </c>
      <c r="BP58" s="175">
        <v>0</v>
      </c>
      <c r="BQ58" s="175">
        <v>0</v>
      </c>
      <c r="BR58" s="175">
        <v>0</v>
      </c>
      <c r="BS58" s="175">
        <v>0</v>
      </c>
      <c r="BT58" s="175">
        <v>0</v>
      </c>
      <c r="BU58" s="175">
        <v>0</v>
      </c>
      <c r="BV58" s="175">
        <v>0</v>
      </c>
      <c r="BW58" s="175">
        <v>0</v>
      </c>
      <c r="BX58" s="175">
        <v>0</v>
      </c>
      <c r="BY58" s="175">
        <v>0</v>
      </c>
      <c r="BZ58" s="175">
        <v>0</v>
      </c>
      <c r="CA58" s="175">
        <v>0</v>
      </c>
      <c r="CB58" s="175">
        <v>0</v>
      </c>
      <c r="CC58" s="175">
        <v>0</v>
      </c>
      <c r="CD58" s="175">
        <v>0</v>
      </c>
      <c r="CE58" s="175">
        <v>0</v>
      </c>
      <c r="CF58" s="175">
        <v>0</v>
      </c>
      <c r="CG58" s="175">
        <v>0</v>
      </c>
      <c r="CH58" s="175">
        <v>0</v>
      </c>
      <c r="CI58" s="175">
        <v>0</v>
      </c>
      <c r="CJ58" s="175">
        <v>0</v>
      </c>
      <c r="CK58" s="175">
        <v>0</v>
      </c>
      <c r="CL58" s="175">
        <v>0</v>
      </c>
      <c r="CM58" s="175">
        <v>0</v>
      </c>
      <c r="CN58" s="175">
        <v>0</v>
      </c>
      <c r="CO58" s="175">
        <v>0</v>
      </c>
      <c r="CP58" s="175">
        <v>0</v>
      </c>
      <c r="CQ58" s="175">
        <v>0</v>
      </c>
    </row>
    <row r="59" spans="1:95" s="175" customFormat="1" x14ac:dyDescent="0.2">
      <c r="A59" s="175" t="s">
        <v>206</v>
      </c>
      <c r="B59" s="175">
        <v>0</v>
      </c>
      <c r="C59" s="175">
        <v>0</v>
      </c>
      <c r="D59" s="175">
        <v>0</v>
      </c>
      <c r="E59" s="175">
        <v>0</v>
      </c>
      <c r="F59" s="175">
        <v>0</v>
      </c>
      <c r="G59" s="175">
        <v>0</v>
      </c>
      <c r="H59" s="175">
        <v>0</v>
      </c>
      <c r="I59" s="175">
        <v>0</v>
      </c>
      <c r="J59" s="175">
        <v>0</v>
      </c>
      <c r="K59" s="175">
        <v>0</v>
      </c>
      <c r="L59" s="175">
        <v>0</v>
      </c>
      <c r="M59" s="175">
        <v>0</v>
      </c>
      <c r="N59" s="175">
        <v>0</v>
      </c>
      <c r="O59" s="175">
        <v>0</v>
      </c>
      <c r="P59" s="175">
        <v>0</v>
      </c>
      <c r="Q59" s="175">
        <v>0</v>
      </c>
      <c r="R59" s="175">
        <v>0</v>
      </c>
      <c r="S59" s="175">
        <v>0</v>
      </c>
      <c r="T59" s="175">
        <v>0</v>
      </c>
      <c r="U59" s="175">
        <v>0</v>
      </c>
      <c r="V59" s="175">
        <v>0</v>
      </c>
      <c r="W59" s="175">
        <v>0</v>
      </c>
      <c r="X59" s="175">
        <v>0</v>
      </c>
      <c r="Y59" s="175">
        <v>0</v>
      </c>
      <c r="Z59" s="175">
        <v>0</v>
      </c>
      <c r="AA59" s="175">
        <v>0</v>
      </c>
      <c r="AB59" s="175">
        <v>0</v>
      </c>
      <c r="AC59" s="175">
        <v>0</v>
      </c>
      <c r="AD59" s="175">
        <v>0</v>
      </c>
      <c r="AE59" s="175">
        <v>0</v>
      </c>
      <c r="AF59" s="175">
        <v>0</v>
      </c>
      <c r="AG59" s="175">
        <v>0</v>
      </c>
      <c r="AH59" s="175">
        <v>0</v>
      </c>
      <c r="AI59" s="175">
        <v>0</v>
      </c>
      <c r="AJ59" s="175">
        <v>0</v>
      </c>
      <c r="AK59" s="175">
        <v>0</v>
      </c>
      <c r="AL59" s="175">
        <v>0</v>
      </c>
      <c r="AM59" s="175">
        <v>0</v>
      </c>
      <c r="AN59" s="175">
        <v>0</v>
      </c>
      <c r="AO59" s="175">
        <v>0</v>
      </c>
      <c r="AP59" s="175">
        <v>0</v>
      </c>
      <c r="AQ59" s="175">
        <v>0</v>
      </c>
      <c r="AR59" s="175">
        <v>0</v>
      </c>
      <c r="AS59" s="175">
        <v>0</v>
      </c>
      <c r="AT59" s="175">
        <v>0</v>
      </c>
      <c r="AU59" s="175">
        <v>0</v>
      </c>
      <c r="AV59" s="175">
        <v>0</v>
      </c>
      <c r="AW59" s="175">
        <v>0</v>
      </c>
      <c r="AX59" s="175">
        <v>0</v>
      </c>
      <c r="AY59" s="175">
        <v>0</v>
      </c>
      <c r="AZ59" s="175">
        <v>0</v>
      </c>
      <c r="BA59" s="175">
        <v>0</v>
      </c>
      <c r="BB59" s="175">
        <v>0</v>
      </c>
      <c r="BC59" s="175">
        <v>0</v>
      </c>
      <c r="BD59" s="175">
        <v>0</v>
      </c>
      <c r="BE59" s="175">
        <v>0</v>
      </c>
      <c r="BF59" s="175">
        <v>0</v>
      </c>
      <c r="BG59" s="175">
        <v>0</v>
      </c>
      <c r="BH59" s="175">
        <v>0</v>
      </c>
      <c r="BI59" s="175">
        <v>0</v>
      </c>
      <c r="BJ59" s="175">
        <v>0</v>
      </c>
      <c r="BK59" s="175">
        <v>0</v>
      </c>
      <c r="BL59" s="175">
        <v>0</v>
      </c>
      <c r="BM59" s="175">
        <v>0</v>
      </c>
      <c r="BN59" s="175">
        <v>0</v>
      </c>
      <c r="BO59" s="175">
        <v>0</v>
      </c>
      <c r="BP59" s="175">
        <v>0</v>
      </c>
      <c r="BQ59" s="175">
        <v>0</v>
      </c>
      <c r="BR59" s="175">
        <v>0</v>
      </c>
      <c r="BS59" s="175">
        <v>0</v>
      </c>
      <c r="BT59" s="175">
        <v>0</v>
      </c>
      <c r="BU59" s="175">
        <v>0</v>
      </c>
      <c r="BV59" s="175">
        <v>0</v>
      </c>
      <c r="BW59" s="175">
        <v>0</v>
      </c>
      <c r="BX59" s="175">
        <v>0</v>
      </c>
      <c r="BY59" s="175">
        <v>0</v>
      </c>
      <c r="BZ59" s="175">
        <v>0</v>
      </c>
      <c r="CA59" s="175">
        <v>0</v>
      </c>
      <c r="CB59" s="175">
        <v>0</v>
      </c>
      <c r="CC59" s="175">
        <v>0</v>
      </c>
      <c r="CD59" s="175">
        <v>0</v>
      </c>
      <c r="CE59" s="175">
        <v>0</v>
      </c>
      <c r="CF59" s="175">
        <v>0</v>
      </c>
      <c r="CG59" s="175">
        <v>0</v>
      </c>
      <c r="CH59" s="175">
        <v>0</v>
      </c>
      <c r="CI59" s="175">
        <v>0</v>
      </c>
      <c r="CJ59" s="175">
        <v>0</v>
      </c>
      <c r="CK59" s="175">
        <v>0</v>
      </c>
      <c r="CL59" s="175">
        <v>0</v>
      </c>
      <c r="CM59" s="175">
        <v>0</v>
      </c>
      <c r="CN59" s="175">
        <v>0</v>
      </c>
      <c r="CO59" s="175">
        <v>0</v>
      </c>
      <c r="CP59" s="175">
        <v>0</v>
      </c>
      <c r="CQ59" s="175">
        <v>0</v>
      </c>
    </row>
    <row r="60" spans="1:95" s="175" customFormat="1" x14ac:dyDescent="0.2">
      <c r="A60" s="175" t="s">
        <v>207</v>
      </c>
      <c r="B60" s="175">
        <v>0</v>
      </c>
      <c r="C60" s="175">
        <v>0</v>
      </c>
      <c r="D60" s="175">
        <v>0</v>
      </c>
      <c r="E60" s="175">
        <v>0</v>
      </c>
      <c r="F60" s="175">
        <v>0</v>
      </c>
      <c r="G60" s="175">
        <v>0</v>
      </c>
      <c r="H60" s="175">
        <v>0</v>
      </c>
      <c r="I60" s="175">
        <v>0</v>
      </c>
      <c r="J60" s="175">
        <v>0</v>
      </c>
      <c r="K60" s="175">
        <v>0</v>
      </c>
      <c r="L60" s="175">
        <v>0</v>
      </c>
      <c r="M60" s="175">
        <v>0</v>
      </c>
      <c r="N60" s="175">
        <v>0</v>
      </c>
      <c r="O60" s="175">
        <v>0</v>
      </c>
      <c r="P60" s="175">
        <v>0</v>
      </c>
      <c r="Q60" s="175">
        <v>0</v>
      </c>
      <c r="R60" s="175">
        <v>0</v>
      </c>
      <c r="S60" s="175">
        <v>0</v>
      </c>
      <c r="T60" s="175">
        <v>0</v>
      </c>
      <c r="U60" s="175">
        <v>0</v>
      </c>
      <c r="V60" s="175">
        <v>0</v>
      </c>
      <c r="W60" s="175">
        <v>0</v>
      </c>
      <c r="X60" s="175">
        <v>0</v>
      </c>
      <c r="Y60" s="175">
        <v>0</v>
      </c>
      <c r="Z60" s="175">
        <v>0</v>
      </c>
      <c r="AA60" s="175">
        <v>0</v>
      </c>
      <c r="AB60" s="175">
        <v>0</v>
      </c>
      <c r="AC60" s="175">
        <v>0</v>
      </c>
      <c r="AD60" s="175">
        <v>0</v>
      </c>
      <c r="AE60" s="175">
        <v>0</v>
      </c>
      <c r="AF60" s="175">
        <v>0</v>
      </c>
      <c r="AG60" s="175">
        <v>0</v>
      </c>
      <c r="AH60" s="175">
        <v>0</v>
      </c>
      <c r="AI60" s="175">
        <v>0</v>
      </c>
      <c r="AJ60" s="175">
        <v>0</v>
      </c>
      <c r="AK60" s="175">
        <v>0</v>
      </c>
      <c r="AL60" s="175">
        <v>0</v>
      </c>
      <c r="AM60" s="175">
        <v>0</v>
      </c>
      <c r="AN60" s="175">
        <v>0</v>
      </c>
      <c r="AO60" s="175">
        <v>0</v>
      </c>
      <c r="AP60" s="175">
        <v>0</v>
      </c>
      <c r="AQ60" s="175">
        <v>0</v>
      </c>
      <c r="AR60" s="175">
        <v>0</v>
      </c>
      <c r="AS60" s="175">
        <v>0</v>
      </c>
      <c r="AT60" s="175">
        <v>0</v>
      </c>
      <c r="AU60" s="175">
        <v>0</v>
      </c>
      <c r="AV60" s="175">
        <v>0</v>
      </c>
      <c r="AW60" s="175">
        <v>0</v>
      </c>
      <c r="AX60" s="175">
        <v>0</v>
      </c>
      <c r="AY60" s="175">
        <v>0</v>
      </c>
      <c r="AZ60" s="175">
        <v>0</v>
      </c>
      <c r="BA60" s="175">
        <v>0</v>
      </c>
      <c r="BB60" s="175">
        <v>0</v>
      </c>
      <c r="BC60" s="175">
        <v>0</v>
      </c>
      <c r="BD60" s="175">
        <v>0</v>
      </c>
      <c r="BE60" s="175">
        <v>0</v>
      </c>
      <c r="BF60" s="175">
        <v>0</v>
      </c>
      <c r="BG60" s="175">
        <v>0</v>
      </c>
      <c r="BH60" s="175">
        <v>0</v>
      </c>
      <c r="BI60" s="175">
        <v>0</v>
      </c>
      <c r="BJ60" s="175">
        <v>0</v>
      </c>
      <c r="BK60" s="175">
        <v>0</v>
      </c>
      <c r="BL60" s="175">
        <v>0</v>
      </c>
      <c r="BM60" s="175">
        <v>0</v>
      </c>
      <c r="BN60" s="175">
        <v>0</v>
      </c>
      <c r="BO60" s="175">
        <v>0</v>
      </c>
      <c r="BP60" s="175">
        <v>0</v>
      </c>
      <c r="BQ60" s="175">
        <v>0</v>
      </c>
      <c r="BR60" s="175">
        <v>0</v>
      </c>
      <c r="BS60" s="175">
        <v>0</v>
      </c>
      <c r="BT60" s="175">
        <v>0</v>
      </c>
      <c r="BU60" s="175">
        <v>0</v>
      </c>
      <c r="BV60" s="175">
        <v>0</v>
      </c>
      <c r="BW60" s="175">
        <v>0</v>
      </c>
      <c r="BX60" s="175">
        <v>0</v>
      </c>
      <c r="BY60" s="175">
        <v>0</v>
      </c>
      <c r="BZ60" s="175">
        <v>0</v>
      </c>
      <c r="CA60" s="175">
        <v>0</v>
      </c>
      <c r="CB60" s="175">
        <v>0</v>
      </c>
      <c r="CC60" s="175">
        <v>0</v>
      </c>
      <c r="CD60" s="175">
        <v>0</v>
      </c>
      <c r="CE60" s="175">
        <v>0</v>
      </c>
      <c r="CF60" s="175">
        <v>0</v>
      </c>
      <c r="CG60" s="175">
        <v>0</v>
      </c>
      <c r="CH60" s="175">
        <v>0</v>
      </c>
      <c r="CI60" s="175">
        <v>0</v>
      </c>
      <c r="CJ60" s="175">
        <v>0</v>
      </c>
      <c r="CK60" s="175">
        <v>0</v>
      </c>
      <c r="CL60" s="175">
        <v>0</v>
      </c>
      <c r="CM60" s="175">
        <v>0</v>
      </c>
      <c r="CN60" s="175">
        <v>0</v>
      </c>
      <c r="CO60" s="175">
        <v>0</v>
      </c>
      <c r="CP60" s="175">
        <v>0</v>
      </c>
      <c r="CQ60" s="175">
        <v>0</v>
      </c>
    </row>
    <row r="61" spans="1:95" s="175" customFormat="1" x14ac:dyDescent="0.2">
      <c r="A61" s="175" t="s">
        <v>262</v>
      </c>
      <c r="B61" s="175">
        <v>0</v>
      </c>
      <c r="C61" s="175">
        <v>0</v>
      </c>
      <c r="D61" s="175">
        <v>0</v>
      </c>
      <c r="E61" s="175">
        <v>0</v>
      </c>
      <c r="F61" s="175">
        <v>0</v>
      </c>
      <c r="G61" s="175">
        <v>0</v>
      </c>
      <c r="H61" s="175">
        <v>0</v>
      </c>
      <c r="I61" s="175">
        <v>0</v>
      </c>
      <c r="J61" s="175">
        <v>0</v>
      </c>
      <c r="K61" s="175">
        <v>0</v>
      </c>
      <c r="L61" s="175">
        <v>0</v>
      </c>
      <c r="M61" s="175">
        <v>0</v>
      </c>
      <c r="N61" s="175">
        <v>0</v>
      </c>
      <c r="O61" s="175">
        <v>0</v>
      </c>
      <c r="P61" s="175">
        <v>0</v>
      </c>
      <c r="Q61" s="175">
        <v>0</v>
      </c>
      <c r="R61" s="175">
        <v>0</v>
      </c>
      <c r="S61" s="175">
        <v>0</v>
      </c>
      <c r="T61" s="175">
        <v>0</v>
      </c>
      <c r="U61" s="175">
        <v>0</v>
      </c>
      <c r="V61" s="175">
        <v>0</v>
      </c>
      <c r="W61" s="175">
        <v>0</v>
      </c>
      <c r="X61" s="175">
        <v>0</v>
      </c>
      <c r="Y61" s="175">
        <v>0</v>
      </c>
      <c r="Z61" s="175">
        <v>0</v>
      </c>
      <c r="AA61" s="175">
        <v>0</v>
      </c>
      <c r="AB61" s="175">
        <v>0</v>
      </c>
      <c r="AC61" s="175">
        <v>0</v>
      </c>
      <c r="AD61" s="175">
        <v>0</v>
      </c>
      <c r="AE61" s="175">
        <v>0</v>
      </c>
      <c r="AF61" s="175">
        <v>0</v>
      </c>
      <c r="AG61" s="175">
        <v>0</v>
      </c>
      <c r="AH61" s="175">
        <v>0</v>
      </c>
      <c r="AI61" s="175">
        <v>0</v>
      </c>
      <c r="AJ61" s="175">
        <v>0</v>
      </c>
      <c r="AK61" s="175">
        <v>0</v>
      </c>
      <c r="AL61" s="175">
        <v>0</v>
      </c>
      <c r="AM61" s="175">
        <v>0</v>
      </c>
      <c r="AN61" s="175">
        <v>0</v>
      </c>
      <c r="AO61" s="175">
        <v>0</v>
      </c>
      <c r="AP61" s="175">
        <v>0</v>
      </c>
      <c r="AQ61" s="175">
        <v>0</v>
      </c>
      <c r="AR61" s="175">
        <v>0</v>
      </c>
      <c r="AS61" s="175">
        <v>0</v>
      </c>
      <c r="AT61" s="175">
        <v>0</v>
      </c>
      <c r="AU61" s="175">
        <v>0</v>
      </c>
      <c r="AV61" s="175">
        <v>0</v>
      </c>
      <c r="AW61" s="175">
        <v>0</v>
      </c>
      <c r="AX61" s="175">
        <v>0</v>
      </c>
      <c r="AY61" s="175">
        <v>0</v>
      </c>
      <c r="AZ61" s="175">
        <v>0</v>
      </c>
      <c r="BA61" s="175">
        <v>0</v>
      </c>
      <c r="BB61" s="175">
        <v>0</v>
      </c>
      <c r="BC61" s="175">
        <v>0</v>
      </c>
      <c r="BD61" s="175">
        <v>0</v>
      </c>
      <c r="BE61" s="175">
        <v>0</v>
      </c>
      <c r="BF61" s="175">
        <v>0</v>
      </c>
      <c r="BG61" s="175">
        <v>0</v>
      </c>
      <c r="BH61" s="175">
        <v>0</v>
      </c>
      <c r="BI61" s="175">
        <v>0</v>
      </c>
      <c r="BJ61" s="175">
        <v>0</v>
      </c>
      <c r="BK61" s="175">
        <v>0</v>
      </c>
      <c r="BL61" s="175">
        <v>0</v>
      </c>
      <c r="BM61" s="175">
        <v>0</v>
      </c>
      <c r="BN61" s="175">
        <v>0</v>
      </c>
      <c r="BO61" s="175">
        <v>0</v>
      </c>
      <c r="BP61" s="175">
        <v>0</v>
      </c>
      <c r="BQ61" s="175">
        <v>0</v>
      </c>
      <c r="BR61" s="175">
        <v>0</v>
      </c>
      <c r="BS61" s="175">
        <v>0</v>
      </c>
      <c r="BT61" s="175">
        <v>0</v>
      </c>
      <c r="BU61" s="175">
        <v>0</v>
      </c>
      <c r="BV61" s="175">
        <v>0</v>
      </c>
      <c r="BW61" s="175">
        <v>0</v>
      </c>
      <c r="BX61" s="175">
        <v>0</v>
      </c>
      <c r="BY61" s="175">
        <v>0</v>
      </c>
      <c r="BZ61" s="175">
        <v>0</v>
      </c>
      <c r="CA61" s="175">
        <v>0</v>
      </c>
      <c r="CB61" s="175">
        <v>0</v>
      </c>
      <c r="CC61" s="175">
        <v>0</v>
      </c>
      <c r="CD61" s="175">
        <v>0</v>
      </c>
      <c r="CE61" s="175">
        <v>0</v>
      </c>
      <c r="CF61" s="175">
        <v>0</v>
      </c>
      <c r="CG61" s="175">
        <v>0</v>
      </c>
      <c r="CH61" s="175">
        <v>0</v>
      </c>
      <c r="CI61" s="175">
        <v>0</v>
      </c>
      <c r="CJ61" s="175">
        <v>0</v>
      </c>
      <c r="CK61" s="175">
        <v>0</v>
      </c>
      <c r="CL61" s="175">
        <v>0</v>
      </c>
      <c r="CM61" s="175">
        <v>0</v>
      </c>
      <c r="CN61" s="175">
        <v>0</v>
      </c>
      <c r="CO61" s="175">
        <v>0</v>
      </c>
      <c r="CP61" s="175">
        <v>0</v>
      </c>
      <c r="CQ61" s="175">
        <v>0</v>
      </c>
    </row>
    <row r="62" spans="1:95" s="175" customFormat="1" x14ac:dyDescent="0.2">
      <c r="A62" s="175" t="s">
        <v>208</v>
      </c>
      <c r="B62" s="175">
        <v>0</v>
      </c>
      <c r="C62" s="175">
        <v>0</v>
      </c>
      <c r="D62" s="175">
        <v>0</v>
      </c>
      <c r="E62" s="175">
        <v>0</v>
      </c>
      <c r="F62" s="175">
        <v>0</v>
      </c>
      <c r="G62" s="175">
        <v>0</v>
      </c>
      <c r="H62" s="175">
        <v>0</v>
      </c>
      <c r="I62" s="175">
        <v>0</v>
      </c>
      <c r="J62" s="175">
        <v>0</v>
      </c>
      <c r="K62" s="175">
        <v>0</v>
      </c>
      <c r="L62" s="175">
        <v>0</v>
      </c>
      <c r="M62" s="175">
        <v>0</v>
      </c>
      <c r="N62" s="175">
        <v>0</v>
      </c>
      <c r="O62" s="175">
        <v>0</v>
      </c>
      <c r="P62" s="175">
        <v>0</v>
      </c>
      <c r="Q62" s="175">
        <v>0</v>
      </c>
      <c r="R62" s="175">
        <v>0</v>
      </c>
      <c r="S62" s="175">
        <v>0</v>
      </c>
      <c r="T62" s="175">
        <v>0</v>
      </c>
      <c r="U62" s="175">
        <v>0</v>
      </c>
      <c r="V62" s="175">
        <v>0</v>
      </c>
      <c r="W62" s="175">
        <v>0</v>
      </c>
      <c r="X62" s="175">
        <v>0</v>
      </c>
      <c r="Y62" s="175">
        <v>0</v>
      </c>
      <c r="Z62" s="175">
        <v>0</v>
      </c>
      <c r="AA62" s="175">
        <v>0</v>
      </c>
      <c r="AB62" s="175">
        <v>0</v>
      </c>
      <c r="AC62" s="175">
        <v>0</v>
      </c>
      <c r="AD62" s="175">
        <v>0</v>
      </c>
      <c r="AE62" s="175">
        <v>0</v>
      </c>
      <c r="AF62" s="175">
        <v>0</v>
      </c>
      <c r="AG62" s="175">
        <v>0</v>
      </c>
      <c r="AH62" s="175">
        <v>0</v>
      </c>
      <c r="AI62" s="175">
        <v>0</v>
      </c>
      <c r="AJ62" s="175">
        <v>0</v>
      </c>
      <c r="AK62" s="175">
        <v>0</v>
      </c>
      <c r="AL62" s="175">
        <v>0</v>
      </c>
      <c r="AM62" s="175">
        <v>0</v>
      </c>
      <c r="AN62" s="175">
        <v>0</v>
      </c>
      <c r="AO62" s="175">
        <v>0</v>
      </c>
      <c r="AP62" s="175">
        <v>0</v>
      </c>
      <c r="AQ62" s="175">
        <v>0</v>
      </c>
      <c r="AR62" s="175">
        <v>0</v>
      </c>
      <c r="AS62" s="175">
        <v>0</v>
      </c>
      <c r="AT62" s="175">
        <v>0</v>
      </c>
      <c r="AU62" s="175">
        <v>0</v>
      </c>
      <c r="AV62" s="175">
        <v>0</v>
      </c>
      <c r="AW62" s="175">
        <v>0</v>
      </c>
      <c r="AX62" s="175">
        <v>0</v>
      </c>
      <c r="AY62" s="175">
        <v>0</v>
      </c>
      <c r="AZ62" s="175">
        <v>0</v>
      </c>
      <c r="BA62" s="175">
        <v>0</v>
      </c>
      <c r="BB62" s="175">
        <v>0</v>
      </c>
      <c r="BC62" s="175">
        <v>0</v>
      </c>
      <c r="BD62" s="175">
        <v>0</v>
      </c>
      <c r="BE62" s="175">
        <v>0</v>
      </c>
      <c r="BF62" s="175">
        <v>0</v>
      </c>
      <c r="BG62" s="175">
        <v>0</v>
      </c>
      <c r="BH62" s="175">
        <v>0</v>
      </c>
      <c r="BI62" s="175">
        <v>0</v>
      </c>
      <c r="BJ62" s="175">
        <v>0</v>
      </c>
      <c r="BK62" s="175">
        <v>0</v>
      </c>
      <c r="BL62" s="175">
        <v>0</v>
      </c>
      <c r="BM62" s="175">
        <v>0</v>
      </c>
      <c r="BN62" s="175">
        <v>0</v>
      </c>
      <c r="BO62" s="175">
        <v>0</v>
      </c>
      <c r="BP62" s="175">
        <v>0</v>
      </c>
      <c r="BQ62" s="175">
        <v>0</v>
      </c>
      <c r="BR62" s="175">
        <v>0</v>
      </c>
      <c r="BS62" s="175">
        <v>0</v>
      </c>
      <c r="BT62" s="175">
        <v>0</v>
      </c>
      <c r="BU62" s="175">
        <v>0</v>
      </c>
      <c r="BV62" s="175">
        <v>0</v>
      </c>
      <c r="BW62" s="175">
        <v>0</v>
      </c>
      <c r="BX62" s="175">
        <v>0</v>
      </c>
      <c r="BY62" s="175">
        <v>0</v>
      </c>
      <c r="BZ62" s="175">
        <v>0</v>
      </c>
      <c r="CA62" s="175">
        <v>0</v>
      </c>
      <c r="CB62" s="175">
        <v>0</v>
      </c>
      <c r="CC62" s="175">
        <v>0</v>
      </c>
      <c r="CD62" s="175">
        <v>0</v>
      </c>
      <c r="CE62" s="175">
        <v>0</v>
      </c>
      <c r="CF62" s="175">
        <v>0</v>
      </c>
      <c r="CG62" s="175">
        <v>0</v>
      </c>
      <c r="CH62" s="175">
        <v>0</v>
      </c>
      <c r="CI62" s="175">
        <v>0</v>
      </c>
      <c r="CJ62" s="175">
        <v>0</v>
      </c>
      <c r="CK62" s="175">
        <v>0</v>
      </c>
      <c r="CL62" s="175">
        <v>0</v>
      </c>
      <c r="CM62" s="175">
        <v>0</v>
      </c>
      <c r="CN62" s="175">
        <v>0</v>
      </c>
      <c r="CO62" s="175">
        <v>0</v>
      </c>
      <c r="CP62" s="175">
        <v>0</v>
      </c>
      <c r="CQ62" s="175">
        <v>0</v>
      </c>
    </row>
    <row r="63" spans="1:95" s="175" customFormat="1" x14ac:dyDescent="0.2">
      <c r="A63" s="175" t="s">
        <v>263</v>
      </c>
      <c r="B63" s="175">
        <v>0</v>
      </c>
      <c r="C63" s="175">
        <v>0</v>
      </c>
      <c r="D63" s="175">
        <v>0</v>
      </c>
      <c r="E63" s="175">
        <v>0</v>
      </c>
      <c r="F63" s="175">
        <v>0</v>
      </c>
      <c r="G63" s="175">
        <v>0</v>
      </c>
      <c r="H63" s="175">
        <v>0</v>
      </c>
      <c r="I63" s="175">
        <v>0</v>
      </c>
      <c r="J63" s="175">
        <v>0</v>
      </c>
      <c r="K63" s="175">
        <v>0</v>
      </c>
      <c r="L63" s="175">
        <v>0</v>
      </c>
      <c r="M63" s="175">
        <v>0</v>
      </c>
      <c r="N63" s="175">
        <v>0</v>
      </c>
      <c r="O63" s="175">
        <v>0</v>
      </c>
      <c r="P63" s="175">
        <v>0</v>
      </c>
      <c r="Q63" s="175">
        <v>0</v>
      </c>
      <c r="R63" s="175">
        <v>0</v>
      </c>
      <c r="S63" s="175">
        <v>0</v>
      </c>
      <c r="T63" s="175">
        <v>0</v>
      </c>
      <c r="U63" s="175">
        <v>0</v>
      </c>
      <c r="V63" s="175">
        <v>0</v>
      </c>
      <c r="W63" s="175">
        <v>0</v>
      </c>
      <c r="X63" s="175">
        <v>0</v>
      </c>
      <c r="Y63" s="175">
        <v>0</v>
      </c>
      <c r="Z63" s="175">
        <v>0</v>
      </c>
      <c r="AA63" s="175">
        <v>0</v>
      </c>
      <c r="AB63" s="175">
        <v>0</v>
      </c>
      <c r="AC63" s="175">
        <v>0</v>
      </c>
      <c r="AD63" s="175">
        <v>0</v>
      </c>
      <c r="AE63" s="175">
        <v>0</v>
      </c>
      <c r="AF63" s="175">
        <v>0</v>
      </c>
      <c r="AG63" s="175">
        <v>0</v>
      </c>
      <c r="AH63" s="175">
        <v>0</v>
      </c>
      <c r="AI63" s="175">
        <v>0</v>
      </c>
      <c r="AJ63" s="175">
        <v>0</v>
      </c>
      <c r="AK63" s="175">
        <v>0</v>
      </c>
      <c r="AL63" s="175">
        <v>0</v>
      </c>
      <c r="AM63" s="175">
        <v>0</v>
      </c>
      <c r="AN63" s="175">
        <v>0</v>
      </c>
      <c r="AO63" s="175">
        <v>0</v>
      </c>
      <c r="AP63" s="175">
        <v>0</v>
      </c>
      <c r="AQ63" s="175">
        <v>0</v>
      </c>
      <c r="AR63" s="175">
        <v>0</v>
      </c>
      <c r="AS63" s="175">
        <v>0</v>
      </c>
      <c r="AT63" s="175">
        <v>0</v>
      </c>
      <c r="AU63" s="175">
        <v>0</v>
      </c>
      <c r="AV63" s="175">
        <v>0</v>
      </c>
      <c r="AW63" s="175">
        <v>0</v>
      </c>
      <c r="AX63" s="175">
        <v>0</v>
      </c>
      <c r="AY63" s="175">
        <v>0</v>
      </c>
      <c r="AZ63" s="175">
        <v>0</v>
      </c>
      <c r="BA63" s="175">
        <v>0</v>
      </c>
      <c r="BB63" s="175">
        <v>0</v>
      </c>
      <c r="BC63" s="175">
        <v>0</v>
      </c>
      <c r="BD63" s="175">
        <v>0</v>
      </c>
      <c r="BE63" s="175">
        <v>0</v>
      </c>
      <c r="BF63" s="175">
        <v>0</v>
      </c>
      <c r="BG63" s="175">
        <v>0</v>
      </c>
      <c r="BH63" s="175">
        <v>0</v>
      </c>
      <c r="BI63" s="175">
        <v>0</v>
      </c>
      <c r="BJ63" s="175">
        <v>0</v>
      </c>
      <c r="BK63" s="175">
        <v>0</v>
      </c>
      <c r="BL63" s="175">
        <v>0</v>
      </c>
      <c r="BM63" s="175">
        <v>0</v>
      </c>
      <c r="BN63" s="175">
        <v>0</v>
      </c>
      <c r="BO63" s="175">
        <v>0</v>
      </c>
      <c r="BP63" s="175">
        <v>0</v>
      </c>
      <c r="BQ63" s="175">
        <v>0</v>
      </c>
      <c r="BR63" s="175">
        <v>0</v>
      </c>
      <c r="BS63" s="175">
        <v>0</v>
      </c>
      <c r="BT63" s="175">
        <v>0</v>
      </c>
      <c r="BU63" s="175">
        <v>0</v>
      </c>
      <c r="BV63" s="175">
        <v>0</v>
      </c>
      <c r="BW63" s="175">
        <v>0</v>
      </c>
      <c r="BX63" s="175">
        <v>0</v>
      </c>
      <c r="BY63" s="175">
        <v>0</v>
      </c>
      <c r="BZ63" s="175">
        <v>0</v>
      </c>
      <c r="CA63" s="175">
        <v>0</v>
      </c>
      <c r="CB63" s="175">
        <v>0</v>
      </c>
      <c r="CC63" s="175">
        <v>0</v>
      </c>
      <c r="CD63" s="175">
        <v>0</v>
      </c>
      <c r="CE63" s="175">
        <v>0</v>
      </c>
      <c r="CF63" s="175">
        <v>0</v>
      </c>
      <c r="CG63" s="175">
        <v>0</v>
      </c>
      <c r="CH63" s="175">
        <v>0</v>
      </c>
      <c r="CI63" s="175">
        <v>0</v>
      </c>
      <c r="CJ63" s="175">
        <v>0</v>
      </c>
      <c r="CK63" s="175">
        <v>0</v>
      </c>
      <c r="CL63" s="175">
        <v>0</v>
      </c>
      <c r="CM63" s="175">
        <v>0</v>
      </c>
      <c r="CN63" s="175">
        <v>0</v>
      </c>
      <c r="CO63" s="175">
        <v>0</v>
      </c>
      <c r="CP63" s="175">
        <v>0</v>
      </c>
      <c r="CQ63" s="175">
        <v>0</v>
      </c>
    </row>
    <row r="64" spans="1:95" s="175" customFormat="1" x14ac:dyDescent="0.2">
      <c r="A64" s="175" t="s">
        <v>209</v>
      </c>
      <c r="B64" s="175">
        <v>0</v>
      </c>
      <c r="C64" s="175">
        <v>0</v>
      </c>
      <c r="D64" s="175">
        <v>0</v>
      </c>
      <c r="E64" s="175">
        <v>0</v>
      </c>
      <c r="F64" s="175">
        <v>0</v>
      </c>
      <c r="G64" s="175">
        <v>0</v>
      </c>
      <c r="H64" s="175">
        <v>0</v>
      </c>
      <c r="I64" s="175">
        <v>0</v>
      </c>
      <c r="J64" s="175">
        <v>0</v>
      </c>
      <c r="K64" s="175">
        <v>0</v>
      </c>
      <c r="L64" s="175">
        <v>0</v>
      </c>
      <c r="M64" s="175">
        <v>0</v>
      </c>
      <c r="N64" s="175">
        <v>0</v>
      </c>
      <c r="O64" s="175">
        <v>0</v>
      </c>
      <c r="P64" s="175">
        <v>0</v>
      </c>
      <c r="Q64" s="175">
        <v>0</v>
      </c>
      <c r="R64" s="175">
        <v>0</v>
      </c>
      <c r="S64" s="175">
        <v>0</v>
      </c>
      <c r="T64" s="175">
        <v>0</v>
      </c>
      <c r="U64" s="175">
        <v>0</v>
      </c>
      <c r="V64" s="175">
        <v>0</v>
      </c>
      <c r="W64" s="175">
        <v>0</v>
      </c>
      <c r="X64" s="175">
        <v>0</v>
      </c>
      <c r="Y64" s="175">
        <v>0</v>
      </c>
      <c r="Z64" s="175">
        <v>0</v>
      </c>
      <c r="AA64" s="175">
        <v>0</v>
      </c>
      <c r="AB64" s="175">
        <v>0</v>
      </c>
      <c r="AC64" s="175">
        <v>0</v>
      </c>
      <c r="AD64" s="175">
        <v>0</v>
      </c>
      <c r="AE64" s="175">
        <v>0</v>
      </c>
      <c r="AF64" s="175">
        <v>0</v>
      </c>
      <c r="AG64" s="175">
        <v>0</v>
      </c>
      <c r="AH64" s="175">
        <v>0</v>
      </c>
      <c r="AI64" s="175">
        <v>0</v>
      </c>
      <c r="AJ64" s="175">
        <v>0</v>
      </c>
      <c r="AK64" s="175">
        <v>0</v>
      </c>
      <c r="AL64" s="175">
        <v>0</v>
      </c>
      <c r="AM64" s="175">
        <v>0</v>
      </c>
      <c r="AN64" s="175">
        <v>0</v>
      </c>
      <c r="AO64" s="175">
        <v>0</v>
      </c>
      <c r="AP64" s="175">
        <v>0</v>
      </c>
      <c r="AQ64" s="175">
        <v>0</v>
      </c>
      <c r="AR64" s="175">
        <v>0</v>
      </c>
      <c r="AS64" s="175">
        <v>0</v>
      </c>
      <c r="AT64" s="175">
        <v>0</v>
      </c>
      <c r="AU64" s="175">
        <v>0</v>
      </c>
      <c r="AV64" s="175">
        <v>0</v>
      </c>
      <c r="AW64" s="175">
        <v>0</v>
      </c>
      <c r="AX64" s="175">
        <v>0</v>
      </c>
      <c r="AY64" s="175">
        <v>0</v>
      </c>
      <c r="AZ64" s="175">
        <v>0</v>
      </c>
      <c r="BA64" s="175">
        <v>0</v>
      </c>
      <c r="BB64" s="175">
        <v>0</v>
      </c>
      <c r="BC64" s="175">
        <v>0</v>
      </c>
      <c r="BD64" s="175">
        <v>0</v>
      </c>
      <c r="BE64" s="175">
        <v>0</v>
      </c>
      <c r="BF64" s="175">
        <v>0</v>
      </c>
      <c r="BG64" s="175">
        <v>0</v>
      </c>
      <c r="BH64" s="175">
        <v>0</v>
      </c>
      <c r="BI64" s="175">
        <v>0</v>
      </c>
      <c r="BJ64" s="175">
        <v>0</v>
      </c>
      <c r="BK64" s="175">
        <v>0</v>
      </c>
      <c r="BL64" s="175">
        <v>0</v>
      </c>
      <c r="BM64" s="175">
        <v>0</v>
      </c>
      <c r="BN64" s="175">
        <v>0</v>
      </c>
      <c r="BO64" s="175">
        <v>0</v>
      </c>
      <c r="BP64" s="175">
        <v>0</v>
      </c>
      <c r="BQ64" s="175">
        <v>0</v>
      </c>
      <c r="BR64" s="175">
        <v>0</v>
      </c>
      <c r="BS64" s="175">
        <v>0</v>
      </c>
      <c r="BT64" s="175">
        <v>0</v>
      </c>
      <c r="BU64" s="175">
        <v>0</v>
      </c>
      <c r="BV64" s="175">
        <v>0</v>
      </c>
      <c r="BW64" s="175">
        <v>0</v>
      </c>
      <c r="BX64" s="175">
        <v>0</v>
      </c>
      <c r="BY64" s="175">
        <v>0</v>
      </c>
      <c r="BZ64" s="175">
        <v>0</v>
      </c>
      <c r="CA64" s="175">
        <v>0</v>
      </c>
      <c r="CB64" s="175">
        <v>0</v>
      </c>
      <c r="CC64" s="175">
        <v>0</v>
      </c>
      <c r="CD64" s="175">
        <v>0</v>
      </c>
      <c r="CE64" s="175">
        <v>0</v>
      </c>
      <c r="CF64" s="175">
        <v>0</v>
      </c>
      <c r="CG64" s="175">
        <v>0</v>
      </c>
      <c r="CH64" s="175">
        <v>0</v>
      </c>
      <c r="CI64" s="175">
        <v>0</v>
      </c>
      <c r="CJ64" s="175">
        <v>0</v>
      </c>
      <c r="CK64" s="175">
        <v>0</v>
      </c>
      <c r="CL64" s="175">
        <v>0</v>
      </c>
      <c r="CM64" s="175">
        <v>0</v>
      </c>
      <c r="CN64" s="175">
        <v>0</v>
      </c>
      <c r="CO64" s="175">
        <v>0</v>
      </c>
      <c r="CP64" s="175">
        <v>0</v>
      </c>
      <c r="CQ64" s="175">
        <v>0</v>
      </c>
    </row>
    <row r="65" spans="1:95" s="175" customFormat="1" x14ac:dyDescent="0.2">
      <c r="A65" s="175" t="s">
        <v>264</v>
      </c>
      <c r="B65" s="175">
        <v>0</v>
      </c>
      <c r="C65" s="175">
        <v>0</v>
      </c>
      <c r="D65" s="175">
        <v>0</v>
      </c>
      <c r="E65" s="175">
        <v>0</v>
      </c>
      <c r="F65" s="175">
        <v>0</v>
      </c>
      <c r="G65" s="175">
        <v>0</v>
      </c>
      <c r="H65" s="175">
        <v>0</v>
      </c>
      <c r="I65" s="175">
        <v>0</v>
      </c>
      <c r="J65" s="175">
        <v>0</v>
      </c>
      <c r="K65" s="175">
        <v>0</v>
      </c>
      <c r="L65" s="175">
        <v>0</v>
      </c>
      <c r="M65" s="175">
        <v>0</v>
      </c>
      <c r="N65" s="175">
        <v>0</v>
      </c>
      <c r="O65" s="175">
        <v>0</v>
      </c>
      <c r="P65" s="175">
        <v>0</v>
      </c>
      <c r="Q65" s="175">
        <v>0</v>
      </c>
      <c r="R65" s="175">
        <v>0</v>
      </c>
      <c r="S65" s="175">
        <v>0</v>
      </c>
      <c r="T65" s="175">
        <v>0</v>
      </c>
      <c r="U65" s="175">
        <v>0</v>
      </c>
      <c r="V65" s="175">
        <v>0</v>
      </c>
      <c r="W65" s="175">
        <v>0</v>
      </c>
      <c r="X65" s="175">
        <v>0</v>
      </c>
      <c r="Y65" s="175">
        <v>0</v>
      </c>
      <c r="Z65" s="175">
        <v>0</v>
      </c>
      <c r="AA65" s="175">
        <v>0</v>
      </c>
      <c r="AB65" s="175">
        <v>0</v>
      </c>
      <c r="AC65" s="175">
        <v>0</v>
      </c>
      <c r="AD65" s="175">
        <v>0</v>
      </c>
      <c r="AE65" s="175">
        <v>0</v>
      </c>
      <c r="AF65" s="175">
        <v>0</v>
      </c>
      <c r="AG65" s="175">
        <v>0</v>
      </c>
      <c r="AH65" s="175">
        <v>0</v>
      </c>
      <c r="AI65" s="175">
        <v>0</v>
      </c>
      <c r="AJ65" s="175">
        <v>0</v>
      </c>
      <c r="AK65" s="175">
        <v>0</v>
      </c>
      <c r="AL65" s="175">
        <v>0</v>
      </c>
      <c r="AM65" s="175">
        <v>0</v>
      </c>
      <c r="AN65" s="175">
        <v>0</v>
      </c>
      <c r="AO65" s="175">
        <v>0</v>
      </c>
      <c r="AP65" s="175">
        <v>0</v>
      </c>
      <c r="AQ65" s="175">
        <v>0</v>
      </c>
      <c r="AR65" s="175">
        <v>0</v>
      </c>
      <c r="AS65" s="175">
        <v>0</v>
      </c>
      <c r="AT65" s="175">
        <v>0</v>
      </c>
      <c r="AU65" s="175">
        <v>0</v>
      </c>
      <c r="AV65" s="175">
        <v>0</v>
      </c>
      <c r="AW65" s="175">
        <v>0</v>
      </c>
      <c r="AX65" s="175">
        <v>0</v>
      </c>
      <c r="AY65" s="175">
        <v>0</v>
      </c>
      <c r="AZ65" s="175">
        <v>0</v>
      </c>
      <c r="BA65" s="175">
        <v>0</v>
      </c>
      <c r="BB65" s="175">
        <v>0</v>
      </c>
      <c r="BC65" s="175">
        <v>0</v>
      </c>
      <c r="BD65" s="175">
        <v>0</v>
      </c>
      <c r="BE65" s="175">
        <v>0</v>
      </c>
      <c r="BF65" s="175">
        <v>0</v>
      </c>
      <c r="BG65" s="175">
        <v>0</v>
      </c>
      <c r="BH65" s="175">
        <v>0</v>
      </c>
      <c r="BI65" s="175">
        <v>0</v>
      </c>
      <c r="BJ65" s="175">
        <v>0</v>
      </c>
      <c r="BK65" s="175">
        <v>0</v>
      </c>
      <c r="BL65" s="175">
        <v>0</v>
      </c>
      <c r="BM65" s="175">
        <v>0</v>
      </c>
      <c r="BN65" s="175">
        <v>0</v>
      </c>
      <c r="BO65" s="175">
        <v>0</v>
      </c>
      <c r="BP65" s="175">
        <v>0</v>
      </c>
      <c r="BQ65" s="175">
        <v>0</v>
      </c>
      <c r="BR65" s="175">
        <v>0</v>
      </c>
      <c r="BS65" s="175">
        <v>0</v>
      </c>
      <c r="BT65" s="175">
        <v>0</v>
      </c>
      <c r="BU65" s="175">
        <v>0</v>
      </c>
      <c r="BV65" s="175">
        <v>0</v>
      </c>
      <c r="BW65" s="175">
        <v>0</v>
      </c>
      <c r="BX65" s="175">
        <v>0</v>
      </c>
      <c r="BY65" s="175">
        <v>0</v>
      </c>
      <c r="BZ65" s="175">
        <v>0</v>
      </c>
      <c r="CA65" s="175">
        <v>0</v>
      </c>
      <c r="CB65" s="175">
        <v>0</v>
      </c>
      <c r="CC65" s="175">
        <v>0</v>
      </c>
      <c r="CD65" s="175">
        <v>0</v>
      </c>
      <c r="CE65" s="175">
        <v>0</v>
      </c>
      <c r="CF65" s="175">
        <v>0</v>
      </c>
      <c r="CG65" s="175">
        <v>0</v>
      </c>
      <c r="CH65" s="175">
        <v>0</v>
      </c>
      <c r="CI65" s="175">
        <v>0</v>
      </c>
      <c r="CJ65" s="175">
        <v>0</v>
      </c>
      <c r="CK65" s="175">
        <v>0</v>
      </c>
      <c r="CL65" s="175">
        <v>0</v>
      </c>
      <c r="CM65" s="175">
        <v>0</v>
      </c>
      <c r="CN65" s="175">
        <v>0</v>
      </c>
      <c r="CO65" s="175">
        <v>0</v>
      </c>
      <c r="CP65" s="175">
        <v>0</v>
      </c>
      <c r="CQ65" s="175">
        <v>0</v>
      </c>
    </row>
    <row r="66" spans="1:95" s="175" customFormat="1" x14ac:dyDescent="0.2">
      <c r="A66" s="175" t="s">
        <v>210</v>
      </c>
      <c r="B66" s="175">
        <v>0</v>
      </c>
      <c r="C66" s="175">
        <v>0</v>
      </c>
      <c r="D66" s="175">
        <v>0</v>
      </c>
      <c r="E66" s="175">
        <v>0</v>
      </c>
      <c r="F66" s="175">
        <v>0</v>
      </c>
      <c r="G66" s="175">
        <v>0</v>
      </c>
      <c r="H66" s="175">
        <v>0</v>
      </c>
      <c r="I66" s="175">
        <v>0</v>
      </c>
      <c r="J66" s="175">
        <v>0</v>
      </c>
      <c r="K66" s="175">
        <v>0</v>
      </c>
      <c r="L66" s="175">
        <v>0</v>
      </c>
      <c r="M66" s="175">
        <v>0</v>
      </c>
      <c r="N66" s="175">
        <v>0</v>
      </c>
      <c r="O66" s="175">
        <v>0</v>
      </c>
      <c r="P66" s="175">
        <v>0</v>
      </c>
      <c r="Q66" s="175">
        <v>0</v>
      </c>
      <c r="R66" s="175">
        <v>0</v>
      </c>
      <c r="S66" s="175">
        <v>0</v>
      </c>
      <c r="T66" s="175">
        <v>0</v>
      </c>
      <c r="U66" s="175">
        <v>0</v>
      </c>
      <c r="V66" s="175">
        <v>0</v>
      </c>
      <c r="W66" s="175">
        <v>0</v>
      </c>
      <c r="X66" s="175">
        <v>0</v>
      </c>
      <c r="Y66" s="175">
        <v>0</v>
      </c>
      <c r="Z66" s="175">
        <v>0</v>
      </c>
      <c r="AA66" s="175">
        <v>0</v>
      </c>
      <c r="AB66" s="175">
        <v>0</v>
      </c>
      <c r="AC66" s="175">
        <v>0</v>
      </c>
      <c r="AD66" s="175">
        <v>0</v>
      </c>
      <c r="AE66" s="175">
        <v>0</v>
      </c>
      <c r="AF66" s="175">
        <v>0</v>
      </c>
      <c r="AG66" s="175">
        <v>0</v>
      </c>
      <c r="AH66" s="175">
        <v>0</v>
      </c>
      <c r="AI66" s="175">
        <v>0</v>
      </c>
      <c r="AJ66" s="175">
        <v>0</v>
      </c>
      <c r="AK66" s="175">
        <v>0</v>
      </c>
      <c r="AL66" s="175">
        <v>0</v>
      </c>
      <c r="AM66" s="175">
        <v>0</v>
      </c>
      <c r="AN66" s="175">
        <v>0</v>
      </c>
      <c r="AO66" s="175">
        <v>0</v>
      </c>
      <c r="AP66" s="175">
        <v>0</v>
      </c>
      <c r="AQ66" s="175">
        <v>0</v>
      </c>
      <c r="AR66" s="175">
        <v>0</v>
      </c>
      <c r="AS66" s="175">
        <v>0</v>
      </c>
      <c r="AT66" s="175">
        <v>0</v>
      </c>
      <c r="AU66" s="175">
        <v>0</v>
      </c>
      <c r="AV66" s="175">
        <v>0</v>
      </c>
      <c r="AW66" s="175">
        <v>0</v>
      </c>
      <c r="AX66" s="175">
        <v>0</v>
      </c>
      <c r="AY66" s="175">
        <v>0</v>
      </c>
      <c r="AZ66" s="175">
        <v>0</v>
      </c>
      <c r="BA66" s="175">
        <v>0</v>
      </c>
      <c r="BB66" s="175">
        <v>0</v>
      </c>
      <c r="BC66" s="175">
        <v>0</v>
      </c>
      <c r="BD66" s="175">
        <v>0</v>
      </c>
      <c r="BE66" s="175">
        <v>0</v>
      </c>
      <c r="BF66" s="175">
        <v>0</v>
      </c>
      <c r="BG66" s="175">
        <v>0</v>
      </c>
      <c r="BH66" s="175">
        <v>0</v>
      </c>
      <c r="BI66" s="175">
        <v>0</v>
      </c>
      <c r="BJ66" s="175">
        <v>0</v>
      </c>
      <c r="BK66" s="175">
        <v>0</v>
      </c>
      <c r="BL66" s="175">
        <v>0</v>
      </c>
      <c r="BM66" s="175">
        <v>0</v>
      </c>
      <c r="BN66" s="175">
        <v>0</v>
      </c>
      <c r="BO66" s="175">
        <v>0</v>
      </c>
      <c r="BP66" s="175">
        <v>0</v>
      </c>
      <c r="BQ66" s="175">
        <v>0</v>
      </c>
      <c r="BR66" s="175">
        <v>0</v>
      </c>
      <c r="BS66" s="175">
        <v>0</v>
      </c>
      <c r="BT66" s="175">
        <v>0</v>
      </c>
      <c r="BU66" s="175">
        <v>0</v>
      </c>
      <c r="BV66" s="175">
        <v>0</v>
      </c>
      <c r="BW66" s="175">
        <v>0</v>
      </c>
      <c r="BX66" s="175">
        <v>0</v>
      </c>
      <c r="BY66" s="175">
        <v>0</v>
      </c>
      <c r="BZ66" s="175">
        <v>0</v>
      </c>
      <c r="CA66" s="175">
        <v>0</v>
      </c>
      <c r="CB66" s="175">
        <v>0</v>
      </c>
      <c r="CC66" s="175">
        <v>0</v>
      </c>
      <c r="CD66" s="175">
        <v>0</v>
      </c>
      <c r="CE66" s="175">
        <v>0</v>
      </c>
      <c r="CF66" s="175">
        <v>0</v>
      </c>
      <c r="CG66" s="175">
        <v>0</v>
      </c>
      <c r="CH66" s="175">
        <v>0</v>
      </c>
      <c r="CI66" s="175">
        <v>0</v>
      </c>
      <c r="CJ66" s="175">
        <v>0</v>
      </c>
      <c r="CK66" s="175">
        <v>0</v>
      </c>
      <c r="CL66" s="175">
        <v>0</v>
      </c>
      <c r="CM66" s="175">
        <v>0</v>
      </c>
      <c r="CN66" s="175">
        <v>0</v>
      </c>
      <c r="CO66" s="175">
        <v>0</v>
      </c>
      <c r="CP66" s="175">
        <v>0</v>
      </c>
      <c r="CQ66" s="175">
        <v>0</v>
      </c>
    </row>
    <row r="67" spans="1:95" s="175" customFormat="1" x14ac:dyDescent="0.2">
      <c r="A67" s="175" t="s">
        <v>235</v>
      </c>
      <c r="B67" s="175">
        <v>0</v>
      </c>
      <c r="C67" s="175">
        <v>0</v>
      </c>
      <c r="D67" s="175">
        <v>0</v>
      </c>
      <c r="E67" s="175">
        <v>0</v>
      </c>
      <c r="F67" s="175">
        <v>0</v>
      </c>
      <c r="G67" s="175">
        <v>0</v>
      </c>
      <c r="H67" s="175">
        <v>0</v>
      </c>
      <c r="I67" s="175">
        <v>0</v>
      </c>
      <c r="J67" s="175">
        <v>0</v>
      </c>
      <c r="K67" s="175">
        <v>0</v>
      </c>
      <c r="L67" s="175">
        <v>0</v>
      </c>
      <c r="M67" s="175">
        <v>0</v>
      </c>
      <c r="N67" s="175">
        <v>0</v>
      </c>
      <c r="O67" s="175">
        <v>0</v>
      </c>
      <c r="P67" s="175">
        <v>0</v>
      </c>
      <c r="Q67" s="175">
        <v>0</v>
      </c>
      <c r="R67" s="175">
        <v>0</v>
      </c>
      <c r="S67" s="175">
        <v>0</v>
      </c>
      <c r="T67" s="175">
        <v>0</v>
      </c>
      <c r="U67" s="175">
        <v>0</v>
      </c>
      <c r="V67" s="175">
        <v>0</v>
      </c>
      <c r="W67" s="175">
        <v>0</v>
      </c>
      <c r="X67" s="175">
        <v>0</v>
      </c>
      <c r="Y67" s="175">
        <v>0</v>
      </c>
      <c r="Z67" s="175">
        <v>0</v>
      </c>
      <c r="AA67" s="175">
        <v>0</v>
      </c>
      <c r="AB67" s="175">
        <v>0</v>
      </c>
      <c r="AC67" s="175">
        <v>0</v>
      </c>
      <c r="AD67" s="175">
        <v>0</v>
      </c>
      <c r="AE67" s="175">
        <v>0</v>
      </c>
      <c r="AF67" s="175">
        <v>0</v>
      </c>
      <c r="AG67" s="175">
        <v>0</v>
      </c>
      <c r="AH67" s="175">
        <v>0</v>
      </c>
      <c r="AI67" s="175">
        <v>0</v>
      </c>
      <c r="AJ67" s="175">
        <v>0</v>
      </c>
      <c r="AK67" s="175">
        <v>0</v>
      </c>
      <c r="AL67" s="175">
        <v>0</v>
      </c>
      <c r="AM67" s="175">
        <v>0</v>
      </c>
      <c r="AN67" s="175">
        <v>0</v>
      </c>
      <c r="AO67" s="175">
        <v>0</v>
      </c>
      <c r="AP67" s="175">
        <v>0</v>
      </c>
      <c r="AQ67" s="175">
        <v>0</v>
      </c>
      <c r="AR67" s="175">
        <v>0</v>
      </c>
      <c r="AS67" s="175">
        <v>0</v>
      </c>
      <c r="AT67" s="175">
        <v>0</v>
      </c>
      <c r="AU67" s="175">
        <v>0</v>
      </c>
      <c r="AV67" s="175">
        <v>0</v>
      </c>
      <c r="AW67" s="175">
        <v>0</v>
      </c>
      <c r="AX67" s="175">
        <v>0</v>
      </c>
      <c r="AY67" s="175">
        <v>0</v>
      </c>
      <c r="AZ67" s="175">
        <v>0</v>
      </c>
      <c r="BA67" s="175">
        <v>0</v>
      </c>
      <c r="BB67" s="175">
        <v>0</v>
      </c>
      <c r="BC67" s="175">
        <v>0</v>
      </c>
      <c r="BD67" s="175">
        <v>0</v>
      </c>
      <c r="BE67" s="175">
        <v>0</v>
      </c>
      <c r="BF67" s="175">
        <v>0</v>
      </c>
      <c r="BG67" s="175">
        <v>0</v>
      </c>
      <c r="BH67" s="175">
        <v>0</v>
      </c>
      <c r="BI67" s="175">
        <v>0</v>
      </c>
      <c r="BJ67" s="175">
        <v>0</v>
      </c>
      <c r="BK67" s="175">
        <v>0</v>
      </c>
      <c r="BL67" s="175">
        <v>0</v>
      </c>
      <c r="BM67" s="175">
        <v>0</v>
      </c>
      <c r="BN67" s="175">
        <v>0</v>
      </c>
      <c r="BO67" s="175">
        <v>0</v>
      </c>
      <c r="BP67" s="175">
        <v>0</v>
      </c>
      <c r="BQ67" s="175">
        <v>0</v>
      </c>
      <c r="BR67" s="175">
        <v>0</v>
      </c>
      <c r="BS67" s="175">
        <v>0</v>
      </c>
      <c r="BT67" s="175">
        <v>0</v>
      </c>
      <c r="BU67" s="175">
        <v>0</v>
      </c>
      <c r="BV67" s="175">
        <v>0</v>
      </c>
      <c r="BW67" s="175">
        <v>0</v>
      </c>
      <c r="BX67" s="175">
        <v>0</v>
      </c>
      <c r="BY67" s="175">
        <v>0</v>
      </c>
      <c r="BZ67" s="175">
        <v>0</v>
      </c>
      <c r="CA67" s="175">
        <v>0</v>
      </c>
      <c r="CB67" s="175">
        <v>0</v>
      </c>
      <c r="CC67" s="175">
        <v>0</v>
      </c>
      <c r="CD67" s="175">
        <v>0</v>
      </c>
      <c r="CE67" s="175">
        <v>0</v>
      </c>
      <c r="CF67" s="175">
        <v>0</v>
      </c>
      <c r="CG67" s="175">
        <v>0</v>
      </c>
      <c r="CH67" s="175">
        <v>0</v>
      </c>
      <c r="CI67" s="175">
        <v>0</v>
      </c>
      <c r="CJ67" s="175">
        <v>0</v>
      </c>
      <c r="CK67" s="175">
        <v>0</v>
      </c>
      <c r="CL67" s="175">
        <v>0</v>
      </c>
      <c r="CM67" s="175">
        <v>0</v>
      </c>
      <c r="CN67" s="175">
        <v>0</v>
      </c>
      <c r="CO67" s="175">
        <v>0</v>
      </c>
      <c r="CP67" s="175">
        <v>0</v>
      </c>
      <c r="CQ67" s="175">
        <v>0</v>
      </c>
    </row>
    <row r="68" spans="1:95" s="175" customFormat="1" x14ac:dyDescent="0.2">
      <c r="A68" s="175" t="s">
        <v>211</v>
      </c>
      <c r="B68" s="175">
        <v>0</v>
      </c>
      <c r="C68" s="175">
        <v>0</v>
      </c>
      <c r="D68" s="175">
        <v>0</v>
      </c>
      <c r="E68" s="175">
        <v>0</v>
      </c>
      <c r="F68" s="175">
        <v>0</v>
      </c>
      <c r="G68" s="175">
        <v>0</v>
      </c>
      <c r="H68" s="175">
        <v>0</v>
      </c>
      <c r="I68" s="175">
        <v>0</v>
      </c>
      <c r="J68" s="175">
        <v>0</v>
      </c>
      <c r="K68" s="175">
        <v>0</v>
      </c>
      <c r="L68" s="175">
        <v>0</v>
      </c>
      <c r="M68" s="175">
        <v>0</v>
      </c>
      <c r="N68" s="175">
        <v>0</v>
      </c>
      <c r="O68" s="175">
        <v>0</v>
      </c>
      <c r="P68" s="175">
        <v>0</v>
      </c>
      <c r="Q68" s="175">
        <v>0</v>
      </c>
      <c r="R68" s="175">
        <v>0</v>
      </c>
      <c r="S68" s="175">
        <v>0</v>
      </c>
      <c r="T68" s="175">
        <v>0</v>
      </c>
      <c r="U68" s="175">
        <v>0</v>
      </c>
      <c r="V68" s="175">
        <v>0</v>
      </c>
      <c r="W68" s="175">
        <v>0</v>
      </c>
      <c r="X68" s="175">
        <v>0</v>
      </c>
      <c r="Y68" s="175">
        <v>0</v>
      </c>
      <c r="Z68" s="175">
        <v>0</v>
      </c>
      <c r="AA68" s="175">
        <v>0</v>
      </c>
      <c r="AB68" s="175">
        <v>0</v>
      </c>
      <c r="AC68" s="175">
        <v>0</v>
      </c>
      <c r="AD68" s="175">
        <v>0</v>
      </c>
      <c r="AE68" s="175">
        <v>0</v>
      </c>
      <c r="AF68" s="175">
        <v>0</v>
      </c>
      <c r="AG68" s="175">
        <v>0</v>
      </c>
      <c r="AH68" s="175">
        <v>0</v>
      </c>
      <c r="AI68" s="175">
        <v>0</v>
      </c>
      <c r="AJ68" s="175">
        <v>0</v>
      </c>
      <c r="AK68" s="175">
        <v>0</v>
      </c>
      <c r="AL68" s="175">
        <v>0</v>
      </c>
      <c r="AM68" s="175">
        <v>0</v>
      </c>
      <c r="AN68" s="175">
        <v>0</v>
      </c>
      <c r="AO68" s="175">
        <v>0</v>
      </c>
      <c r="AP68" s="175">
        <v>0</v>
      </c>
      <c r="AQ68" s="175">
        <v>0</v>
      </c>
      <c r="AR68" s="175">
        <v>0</v>
      </c>
      <c r="AS68" s="175">
        <v>0</v>
      </c>
      <c r="AT68" s="175">
        <v>0</v>
      </c>
      <c r="AU68" s="175">
        <v>0</v>
      </c>
      <c r="AV68" s="175">
        <v>0</v>
      </c>
      <c r="AW68" s="175">
        <v>0</v>
      </c>
      <c r="AX68" s="175">
        <v>0</v>
      </c>
      <c r="AY68" s="175">
        <v>0</v>
      </c>
      <c r="AZ68" s="175">
        <v>0</v>
      </c>
      <c r="BA68" s="175">
        <v>0</v>
      </c>
      <c r="BB68" s="175">
        <v>0</v>
      </c>
      <c r="BC68" s="175">
        <v>0</v>
      </c>
      <c r="BD68" s="175">
        <v>0</v>
      </c>
      <c r="BE68" s="175">
        <v>0</v>
      </c>
      <c r="BF68" s="175">
        <v>0</v>
      </c>
      <c r="BG68" s="175">
        <v>0</v>
      </c>
      <c r="BH68" s="175">
        <v>0</v>
      </c>
      <c r="BI68" s="175">
        <v>0</v>
      </c>
      <c r="BJ68" s="175">
        <v>0</v>
      </c>
      <c r="BK68" s="175">
        <v>0</v>
      </c>
      <c r="BL68" s="175">
        <v>0</v>
      </c>
      <c r="BM68" s="175">
        <v>0</v>
      </c>
      <c r="BN68" s="175">
        <v>0</v>
      </c>
      <c r="BO68" s="175">
        <v>0</v>
      </c>
      <c r="BP68" s="175">
        <v>0</v>
      </c>
      <c r="BQ68" s="175">
        <v>0</v>
      </c>
      <c r="BR68" s="175">
        <v>0</v>
      </c>
      <c r="BS68" s="175">
        <v>0</v>
      </c>
      <c r="BT68" s="175">
        <v>0</v>
      </c>
      <c r="BU68" s="175">
        <v>0</v>
      </c>
      <c r="BV68" s="175">
        <v>0</v>
      </c>
      <c r="BW68" s="175">
        <v>0</v>
      </c>
      <c r="BX68" s="175">
        <v>0</v>
      </c>
      <c r="BY68" s="175">
        <v>0</v>
      </c>
      <c r="BZ68" s="175">
        <v>0</v>
      </c>
      <c r="CA68" s="175">
        <v>0</v>
      </c>
      <c r="CB68" s="175">
        <v>0</v>
      </c>
      <c r="CC68" s="175">
        <v>0</v>
      </c>
      <c r="CD68" s="175">
        <v>0</v>
      </c>
      <c r="CE68" s="175">
        <v>0</v>
      </c>
      <c r="CF68" s="175">
        <v>0</v>
      </c>
      <c r="CG68" s="175">
        <v>0</v>
      </c>
      <c r="CH68" s="175">
        <v>0</v>
      </c>
      <c r="CI68" s="175">
        <v>0</v>
      </c>
      <c r="CJ68" s="175">
        <v>0</v>
      </c>
      <c r="CK68" s="175">
        <v>0</v>
      </c>
      <c r="CL68" s="175">
        <v>0</v>
      </c>
      <c r="CM68" s="175">
        <v>0</v>
      </c>
      <c r="CN68" s="175">
        <v>0</v>
      </c>
      <c r="CO68" s="175">
        <v>0</v>
      </c>
      <c r="CP68" s="175">
        <v>0</v>
      </c>
      <c r="CQ68" s="175">
        <v>0</v>
      </c>
    </row>
    <row r="69" spans="1:95" s="175" customFormat="1" x14ac:dyDescent="0.2">
      <c r="A69" s="175" t="s">
        <v>265</v>
      </c>
      <c r="B69" s="175">
        <v>0</v>
      </c>
      <c r="C69" s="175">
        <v>0</v>
      </c>
      <c r="D69" s="175">
        <v>0</v>
      </c>
      <c r="E69" s="175">
        <v>0</v>
      </c>
      <c r="F69" s="175">
        <v>0</v>
      </c>
      <c r="G69" s="175">
        <v>0</v>
      </c>
      <c r="H69" s="175">
        <v>0</v>
      </c>
      <c r="I69" s="175">
        <v>0</v>
      </c>
      <c r="J69" s="175">
        <v>0</v>
      </c>
      <c r="K69" s="175">
        <v>0</v>
      </c>
      <c r="L69" s="175">
        <v>0</v>
      </c>
      <c r="M69" s="175">
        <v>0</v>
      </c>
      <c r="N69" s="175">
        <v>0</v>
      </c>
      <c r="O69" s="175">
        <v>0</v>
      </c>
      <c r="P69" s="175">
        <v>0</v>
      </c>
      <c r="Q69" s="175">
        <v>0</v>
      </c>
      <c r="R69" s="175">
        <v>0</v>
      </c>
      <c r="S69" s="175">
        <v>0</v>
      </c>
      <c r="T69" s="175">
        <v>0</v>
      </c>
      <c r="U69" s="175">
        <v>0</v>
      </c>
      <c r="V69" s="175">
        <v>0</v>
      </c>
      <c r="W69" s="175">
        <v>0</v>
      </c>
      <c r="X69" s="175">
        <v>0</v>
      </c>
      <c r="Y69" s="175">
        <v>0</v>
      </c>
      <c r="Z69" s="175">
        <v>0</v>
      </c>
      <c r="AA69" s="175">
        <v>0</v>
      </c>
      <c r="AB69" s="175">
        <v>0</v>
      </c>
      <c r="AC69" s="175">
        <v>0</v>
      </c>
      <c r="AD69" s="175">
        <v>0</v>
      </c>
      <c r="AE69" s="175">
        <v>0</v>
      </c>
      <c r="AF69" s="175">
        <v>0</v>
      </c>
      <c r="AG69" s="175">
        <v>0</v>
      </c>
      <c r="AH69" s="175">
        <v>0</v>
      </c>
      <c r="AI69" s="175">
        <v>0</v>
      </c>
      <c r="AJ69" s="175">
        <v>0</v>
      </c>
      <c r="AK69" s="175">
        <v>0</v>
      </c>
      <c r="AL69" s="175">
        <v>0</v>
      </c>
      <c r="AM69" s="175">
        <v>0</v>
      </c>
      <c r="AN69" s="175">
        <v>0</v>
      </c>
      <c r="AO69" s="175">
        <v>0</v>
      </c>
      <c r="AP69" s="175">
        <v>0</v>
      </c>
      <c r="AQ69" s="175">
        <v>0</v>
      </c>
      <c r="AR69" s="175">
        <v>0</v>
      </c>
      <c r="AS69" s="175">
        <v>0</v>
      </c>
      <c r="AT69" s="175">
        <v>0</v>
      </c>
      <c r="AU69" s="175">
        <v>0</v>
      </c>
      <c r="AV69" s="175">
        <v>0</v>
      </c>
      <c r="AW69" s="175">
        <v>0</v>
      </c>
      <c r="AX69" s="175">
        <v>0</v>
      </c>
      <c r="AY69" s="175">
        <v>0</v>
      </c>
      <c r="AZ69" s="175">
        <v>0</v>
      </c>
      <c r="BA69" s="175">
        <v>0</v>
      </c>
      <c r="BB69" s="175">
        <v>0</v>
      </c>
      <c r="BC69" s="175">
        <v>0</v>
      </c>
      <c r="BD69" s="175">
        <v>0</v>
      </c>
      <c r="BE69" s="175">
        <v>0</v>
      </c>
      <c r="BF69" s="175">
        <v>0</v>
      </c>
      <c r="BG69" s="175">
        <v>0</v>
      </c>
      <c r="BH69" s="175">
        <v>0</v>
      </c>
      <c r="BI69" s="175">
        <v>0</v>
      </c>
      <c r="BJ69" s="175">
        <v>0</v>
      </c>
      <c r="BK69" s="175">
        <v>0</v>
      </c>
      <c r="BL69" s="175">
        <v>0</v>
      </c>
      <c r="BM69" s="175">
        <v>0</v>
      </c>
      <c r="BN69" s="175">
        <v>0</v>
      </c>
      <c r="BO69" s="175">
        <v>0</v>
      </c>
      <c r="BP69" s="175">
        <v>0</v>
      </c>
      <c r="BQ69" s="175">
        <v>0</v>
      </c>
      <c r="BR69" s="175">
        <v>0</v>
      </c>
      <c r="BS69" s="175">
        <v>0</v>
      </c>
      <c r="BT69" s="175">
        <v>0</v>
      </c>
      <c r="BU69" s="175">
        <v>0</v>
      </c>
      <c r="BV69" s="175">
        <v>0</v>
      </c>
      <c r="BW69" s="175">
        <v>0</v>
      </c>
      <c r="BX69" s="175">
        <v>0</v>
      </c>
      <c r="BY69" s="175">
        <v>0</v>
      </c>
      <c r="BZ69" s="175">
        <v>0</v>
      </c>
      <c r="CA69" s="175">
        <v>0</v>
      </c>
      <c r="CB69" s="175">
        <v>0</v>
      </c>
      <c r="CC69" s="175">
        <v>0</v>
      </c>
      <c r="CD69" s="175">
        <v>0</v>
      </c>
      <c r="CE69" s="175">
        <v>0</v>
      </c>
      <c r="CF69" s="175">
        <v>0</v>
      </c>
      <c r="CG69" s="175">
        <v>0</v>
      </c>
      <c r="CH69" s="175">
        <v>0</v>
      </c>
      <c r="CI69" s="175">
        <v>0</v>
      </c>
      <c r="CJ69" s="175">
        <v>0</v>
      </c>
      <c r="CK69" s="175">
        <v>0</v>
      </c>
      <c r="CL69" s="175">
        <v>0</v>
      </c>
      <c r="CM69" s="175">
        <v>0</v>
      </c>
      <c r="CN69" s="175">
        <v>0</v>
      </c>
      <c r="CO69" s="175">
        <v>0</v>
      </c>
      <c r="CP69" s="175">
        <v>0</v>
      </c>
      <c r="CQ69" s="175">
        <v>0</v>
      </c>
    </row>
    <row r="70" spans="1:95" s="175" customFormat="1" x14ac:dyDescent="0.2">
      <c r="A70" s="175" t="s">
        <v>212</v>
      </c>
      <c r="B70" s="175">
        <v>0</v>
      </c>
      <c r="C70" s="175">
        <v>0</v>
      </c>
      <c r="D70" s="175">
        <v>0</v>
      </c>
      <c r="E70" s="175">
        <v>0</v>
      </c>
      <c r="F70" s="175">
        <v>0</v>
      </c>
      <c r="G70" s="175">
        <v>0</v>
      </c>
      <c r="H70" s="175">
        <v>0</v>
      </c>
      <c r="I70" s="175">
        <v>0</v>
      </c>
      <c r="J70" s="175">
        <v>0</v>
      </c>
      <c r="K70" s="175">
        <v>0</v>
      </c>
      <c r="L70" s="175">
        <v>0</v>
      </c>
      <c r="M70" s="175">
        <v>0</v>
      </c>
      <c r="N70" s="175">
        <v>0</v>
      </c>
      <c r="O70" s="175">
        <v>0</v>
      </c>
      <c r="P70" s="175">
        <v>0</v>
      </c>
      <c r="Q70" s="175">
        <v>0</v>
      </c>
      <c r="R70" s="175">
        <v>0</v>
      </c>
      <c r="S70" s="175">
        <v>0</v>
      </c>
      <c r="T70" s="175">
        <v>0</v>
      </c>
      <c r="U70" s="175">
        <v>0</v>
      </c>
      <c r="V70" s="175">
        <v>0</v>
      </c>
      <c r="W70" s="175">
        <v>0</v>
      </c>
      <c r="X70" s="175">
        <v>0</v>
      </c>
      <c r="Y70" s="175">
        <v>0</v>
      </c>
      <c r="Z70" s="175">
        <v>0</v>
      </c>
      <c r="AA70" s="175">
        <v>0</v>
      </c>
      <c r="AB70" s="175">
        <v>0</v>
      </c>
      <c r="AC70" s="175">
        <v>0</v>
      </c>
      <c r="AD70" s="175">
        <v>0</v>
      </c>
      <c r="AE70" s="175">
        <v>0</v>
      </c>
      <c r="AF70" s="175">
        <v>0</v>
      </c>
      <c r="AG70" s="175">
        <v>0</v>
      </c>
      <c r="AH70" s="175">
        <v>0</v>
      </c>
      <c r="AI70" s="175">
        <v>0</v>
      </c>
      <c r="AJ70" s="175">
        <v>0</v>
      </c>
      <c r="AK70" s="175">
        <v>0</v>
      </c>
      <c r="AL70" s="175">
        <v>0</v>
      </c>
      <c r="AM70" s="175">
        <v>0</v>
      </c>
      <c r="AN70" s="175">
        <v>0</v>
      </c>
      <c r="AO70" s="175">
        <v>0</v>
      </c>
      <c r="AP70" s="175">
        <v>0</v>
      </c>
      <c r="AQ70" s="175">
        <v>0</v>
      </c>
      <c r="AR70" s="175">
        <v>0</v>
      </c>
      <c r="AS70" s="175">
        <v>0</v>
      </c>
      <c r="AT70" s="175">
        <v>0</v>
      </c>
      <c r="AU70" s="175">
        <v>0</v>
      </c>
      <c r="AV70" s="175">
        <v>0</v>
      </c>
      <c r="AW70" s="175">
        <v>0</v>
      </c>
      <c r="AX70" s="175">
        <v>0</v>
      </c>
      <c r="AY70" s="175">
        <v>0</v>
      </c>
      <c r="AZ70" s="175">
        <v>0</v>
      </c>
      <c r="BA70" s="175">
        <v>0</v>
      </c>
      <c r="BB70" s="175">
        <v>0</v>
      </c>
      <c r="BC70" s="175">
        <v>0</v>
      </c>
      <c r="BD70" s="175">
        <v>0</v>
      </c>
      <c r="BE70" s="175">
        <v>0</v>
      </c>
      <c r="BF70" s="175">
        <v>0</v>
      </c>
      <c r="BG70" s="175">
        <v>0</v>
      </c>
      <c r="BH70" s="175">
        <v>0</v>
      </c>
      <c r="BI70" s="175">
        <v>0</v>
      </c>
      <c r="BJ70" s="175">
        <v>0</v>
      </c>
      <c r="BK70" s="175">
        <v>0</v>
      </c>
      <c r="BL70" s="175">
        <v>0</v>
      </c>
      <c r="BM70" s="175">
        <v>0</v>
      </c>
      <c r="BN70" s="175">
        <v>0</v>
      </c>
      <c r="BO70" s="175">
        <v>0</v>
      </c>
      <c r="BP70" s="175">
        <v>0</v>
      </c>
      <c r="BQ70" s="175">
        <v>0</v>
      </c>
      <c r="BR70" s="175">
        <v>0</v>
      </c>
      <c r="BS70" s="175">
        <v>0</v>
      </c>
      <c r="BT70" s="175">
        <v>0</v>
      </c>
      <c r="BU70" s="175">
        <v>0</v>
      </c>
      <c r="BV70" s="175">
        <v>0</v>
      </c>
      <c r="BW70" s="175">
        <v>0</v>
      </c>
      <c r="BX70" s="175">
        <v>0</v>
      </c>
      <c r="BY70" s="175">
        <v>0</v>
      </c>
      <c r="BZ70" s="175">
        <v>0</v>
      </c>
      <c r="CA70" s="175">
        <v>0</v>
      </c>
      <c r="CB70" s="175">
        <v>0</v>
      </c>
      <c r="CC70" s="175">
        <v>0</v>
      </c>
      <c r="CD70" s="175">
        <v>0</v>
      </c>
      <c r="CE70" s="175">
        <v>0</v>
      </c>
      <c r="CF70" s="175">
        <v>0</v>
      </c>
      <c r="CG70" s="175">
        <v>0</v>
      </c>
      <c r="CH70" s="175">
        <v>0</v>
      </c>
      <c r="CI70" s="175">
        <v>0</v>
      </c>
      <c r="CJ70" s="175">
        <v>0</v>
      </c>
      <c r="CK70" s="175">
        <v>0</v>
      </c>
      <c r="CL70" s="175">
        <v>0</v>
      </c>
      <c r="CM70" s="175">
        <v>0</v>
      </c>
      <c r="CN70" s="175">
        <v>0</v>
      </c>
      <c r="CO70" s="175">
        <v>0</v>
      </c>
      <c r="CP70" s="175">
        <v>0</v>
      </c>
      <c r="CQ70" s="175">
        <v>0</v>
      </c>
    </row>
    <row r="71" spans="1:95" s="175" customFormat="1" x14ac:dyDescent="0.2">
      <c r="A71" s="175" t="s">
        <v>213</v>
      </c>
      <c r="B71" s="175">
        <v>0</v>
      </c>
      <c r="C71" s="175">
        <v>0</v>
      </c>
      <c r="D71" s="175">
        <v>0</v>
      </c>
      <c r="E71" s="175">
        <v>0</v>
      </c>
      <c r="F71" s="175">
        <v>0</v>
      </c>
      <c r="G71" s="175">
        <v>0</v>
      </c>
      <c r="H71" s="175">
        <v>0</v>
      </c>
      <c r="I71" s="175">
        <v>0</v>
      </c>
      <c r="J71" s="175">
        <v>0</v>
      </c>
      <c r="K71" s="175">
        <v>0</v>
      </c>
      <c r="L71" s="175">
        <v>0</v>
      </c>
      <c r="M71" s="175">
        <v>0</v>
      </c>
      <c r="N71" s="175">
        <v>0</v>
      </c>
      <c r="O71" s="175">
        <v>0</v>
      </c>
      <c r="P71" s="175">
        <v>0</v>
      </c>
      <c r="Q71" s="175">
        <v>0</v>
      </c>
      <c r="R71" s="175">
        <v>0</v>
      </c>
      <c r="S71" s="175">
        <v>0</v>
      </c>
      <c r="T71" s="175">
        <v>0</v>
      </c>
      <c r="U71" s="175">
        <v>0</v>
      </c>
      <c r="V71" s="175">
        <v>0</v>
      </c>
      <c r="W71" s="175">
        <v>0</v>
      </c>
      <c r="X71" s="175">
        <v>0</v>
      </c>
      <c r="Y71" s="175">
        <v>0</v>
      </c>
      <c r="Z71" s="175">
        <v>0</v>
      </c>
      <c r="AA71" s="175">
        <v>0</v>
      </c>
      <c r="AB71" s="175">
        <v>0</v>
      </c>
      <c r="AC71" s="175">
        <v>0</v>
      </c>
      <c r="AD71" s="175">
        <v>0</v>
      </c>
      <c r="AE71" s="175">
        <v>0</v>
      </c>
      <c r="AF71" s="175">
        <v>0</v>
      </c>
      <c r="AG71" s="175">
        <v>0</v>
      </c>
      <c r="AH71" s="175">
        <v>0</v>
      </c>
      <c r="AI71" s="175">
        <v>0</v>
      </c>
      <c r="AJ71" s="175">
        <v>0</v>
      </c>
      <c r="AK71" s="175">
        <v>0</v>
      </c>
      <c r="AL71" s="175">
        <v>0</v>
      </c>
      <c r="AM71" s="175">
        <v>0</v>
      </c>
      <c r="AN71" s="175">
        <v>0</v>
      </c>
      <c r="AO71" s="175">
        <v>0</v>
      </c>
      <c r="AP71" s="175">
        <v>0</v>
      </c>
      <c r="AQ71" s="175">
        <v>0</v>
      </c>
      <c r="AR71" s="175">
        <v>0</v>
      </c>
      <c r="AS71" s="175">
        <v>0</v>
      </c>
      <c r="AT71" s="175">
        <v>0</v>
      </c>
      <c r="AU71" s="175">
        <v>0</v>
      </c>
      <c r="AV71" s="175">
        <v>0</v>
      </c>
      <c r="AW71" s="175">
        <v>0</v>
      </c>
      <c r="AX71" s="175">
        <v>0</v>
      </c>
      <c r="AY71" s="175">
        <v>0</v>
      </c>
      <c r="AZ71" s="175">
        <v>0</v>
      </c>
      <c r="BA71" s="175">
        <v>0</v>
      </c>
      <c r="BB71" s="175">
        <v>0</v>
      </c>
      <c r="BC71" s="175">
        <v>0</v>
      </c>
      <c r="BD71" s="175">
        <v>0</v>
      </c>
      <c r="BE71" s="175">
        <v>0</v>
      </c>
      <c r="BF71" s="175">
        <v>0</v>
      </c>
      <c r="BG71" s="175">
        <v>0</v>
      </c>
      <c r="BH71" s="175">
        <v>0</v>
      </c>
      <c r="BI71" s="175">
        <v>0</v>
      </c>
      <c r="BJ71" s="175">
        <v>0</v>
      </c>
      <c r="BK71" s="175">
        <v>0</v>
      </c>
      <c r="BL71" s="175">
        <v>0</v>
      </c>
      <c r="BM71" s="175">
        <v>0</v>
      </c>
      <c r="BN71" s="175">
        <v>0</v>
      </c>
      <c r="BO71" s="175">
        <v>0</v>
      </c>
      <c r="BP71" s="175">
        <v>0</v>
      </c>
      <c r="BQ71" s="175">
        <v>0</v>
      </c>
      <c r="BR71" s="175">
        <v>0</v>
      </c>
      <c r="BS71" s="175">
        <v>0</v>
      </c>
      <c r="BT71" s="175">
        <v>0</v>
      </c>
      <c r="BU71" s="175">
        <v>0</v>
      </c>
      <c r="BV71" s="175">
        <v>0</v>
      </c>
      <c r="BW71" s="175">
        <v>0</v>
      </c>
      <c r="BX71" s="175">
        <v>0</v>
      </c>
      <c r="BY71" s="175">
        <v>0</v>
      </c>
      <c r="BZ71" s="175">
        <v>0</v>
      </c>
      <c r="CA71" s="175">
        <v>0</v>
      </c>
      <c r="CB71" s="175">
        <v>0</v>
      </c>
      <c r="CC71" s="175">
        <v>0</v>
      </c>
      <c r="CD71" s="175">
        <v>0</v>
      </c>
      <c r="CE71" s="175">
        <v>0</v>
      </c>
      <c r="CF71" s="175">
        <v>0</v>
      </c>
      <c r="CG71" s="175">
        <v>0</v>
      </c>
      <c r="CH71" s="175">
        <v>0</v>
      </c>
      <c r="CI71" s="175">
        <v>0</v>
      </c>
      <c r="CJ71" s="175">
        <v>0</v>
      </c>
      <c r="CK71" s="175">
        <v>0</v>
      </c>
      <c r="CL71" s="175">
        <v>0</v>
      </c>
      <c r="CM71" s="175">
        <v>0</v>
      </c>
      <c r="CN71" s="175">
        <v>0</v>
      </c>
      <c r="CO71" s="175">
        <v>0</v>
      </c>
      <c r="CP71" s="175">
        <v>0</v>
      </c>
      <c r="CQ71" s="175">
        <v>0</v>
      </c>
    </row>
    <row r="72" spans="1:95" s="175" customFormat="1" x14ac:dyDescent="0.2">
      <c r="A72" s="175" t="s">
        <v>236</v>
      </c>
      <c r="B72" s="175">
        <v>0</v>
      </c>
      <c r="C72" s="175">
        <v>0</v>
      </c>
      <c r="D72" s="175">
        <v>0</v>
      </c>
      <c r="E72" s="175">
        <v>0</v>
      </c>
      <c r="F72" s="175">
        <v>0</v>
      </c>
      <c r="G72" s="175">
        <v>0</v>
      </c>
      <c r="H72" s="175">
        <v>0</v>
      </c>
      <c r="I72" s="175">
        <v>0</v>
      </c>
      <c r="J72" s="175">
        <v>0</v>
      </c>
      <c r="K72" s="175">
        <v>0</v>
      </c>
      <c r="L72" s="175">
        <v>0</v>
      </c>
      <c r="M72" s="175">
        <v>0</v>
      </c>
      <c r="N72" s="175">
        <v>0</v>
      </c>
      <c r="O72" s="175">
        <v>0</v>
      </c>
      <c r="P72" s="175">
        <v>0</v>
      </c>
      <c r="Q72" s="175">
        <v>0</v>
      </c>
      <c r="R72" s="175">
        <v>0</v>
      </c>
      <c r="S72" s="175">
        <v>0</v>
      </c>
      <c r="T72" s="175">
        <v>0</v>
      </c>
      <c r="U72" s="175">
        <v>0</v>
      </c>
      <c r="V72" s="175">
        <v>0</v>
      </c>
      <c r="W72" s="175">
        <v>0</v>
      </c>
      <c r="X72" s="175">
        <v>0</v>
      </c>
      <c r="Y72" s="175">
        <v>0</v>
      </c>
      <c r="Z72" s="175">
        <v>0</v>
      </c>
      <c r="AA72" s="175">
        <v>0</v>
      </c>
      <c r="AB72" s="175">
        <v>0</v>
      </c>
      <c r="AC72" s="175">
        <v>0</v>
      </c>
      <c r="AD72" s="175">
        <v>0</v>
      </c>
      <c r="AE72" s="175">
        <v>0</v>
      </c>
      <c r="AF72" s="175">
        <v>0</v>
      </c>
      <c r="AG72" s="175">
        <v>0</v>
      </c>
      <c r="AH72" s="175">
        <v>0</v>
      </c>
      <c r="AI72" s="175">
        <v>0</v>
      </c>
      <c r="AJ72" s="175">
        <v>0</v>
      </c>
      <c r="AK72" s="175">
        <v>0</v>
      </c>
      <c r="AL72" s="175">
        <v>0</v>
      </c>
      <c r="AM72" s="175">
        <v>0</v>
      </c>
      <c r="AN72" s="175">
        <v>0</v>
      </c>
      <c r="AO72" s="175">
        <v>0</v>
      </c>
      <c r="AP72" s="175">
        <v>0</v>
      </c>
      <c r="AQ72" s="175">
        <v>0</v>
      </c>
      <c r="AR72" s="175">
        <v>0</v>
      </c>
      <c r="AS72" s="175">
        <v>0</v>
      </c>
      <c r="AT72" s="175">
        <v>0</v>
      </c>
      <c r="AU72" s="175">
        <v>0</v>
      </c>
      <c r="AV72" s="175">
        <v>0</v>
      </c>
      <c r="AW72" s="175">
        <v>0</v>
      </c>
      <c r="AX72" s="175">
        <v>0</v>
      </c>
      <c r="AY72" s="175">
        <v>0</v>
      </c>
      <c r="AZ72" s="175">
        <v>0</v>
      </c>
      <c r="BA72" s="175">
        <v>0</v>
      </c>
      <c r="BB72" s="175">
        <v>0</v>
      </c>
      <c r="BC72" s="175">
        <v>0</v>
      </c>
      <c r="BD72" s="175">
        <v>0</v>
      </c>
      <c r="BE72" s="175">
        <v>0</v>
      </c>
      <c r="BF72" s="175">
        <v>0</v>
      </c>
      <c r="BG72" s="175">
        <v>0</v>
      </c>
      <c r="BH72" s="175">
        <v>0</v>
      </c>
      <c r="BI72" s="175">
        <v>0</v>
      </c>
      <c r="BJ72" s="175">
        <v>0</v>
      </c>
      <c r="BK72" s="175">
        <v>0</v>
      </c>
      <c r="BL72" s="175">
        <v>0</v>
      </c>
      <c r="BM72" s="175">
        <v>0</v>
      </c>
      <c r="BN72" s="175">
        <v>0</v>
      </c>
      <c r="BO72" s="175">
        <v>0</v>
      </c>
      <c r="BP72" s="175">
        <v>0</v>
      </c>
      <c r="BQ72" s="175">
        <v>0</v>
      </c>
      <c r="BR72" s="175">
        <v>0</v>
      </c>
      <c r="BS72" s="175">
        <v>0</v>
      </c>
      <c r="BT72" s="175">
        <v>0</v>
      </c>
      <c r="BU72" s="175">
        <v>0</v>
      </c>
      <c r="BV72" s="175">
        <v>0</v>
      </c>
      <c r="BW72" s="175">
        <v>0</v>
      </c>
      <c r="BX72" s="175">
        <v>0</v>
      </c>
      <c r="BY72" s="175">
        <v>0</v>
      </c>
      <c r="BZ72" s="175">
        <v>0</v>
      </c>
      <c r="CA72" s="175">
        <v>0</v>
      </c>
      <c r="CB72" s="175">
        <v>0</v>
      </c>
      <c r="CC72" s="175">
        <v>0</v>
      </c>
      <c r="CD72" s="175">
        <v>0</v>
      </c>
      <c r="CE72" s="175">
        <v>0</v>
      </c>
      <c r="CF72" s="175">
        <v>0</v>
      </c>
      <c r="CG72" s="175">
        <v>0</v>
      </c>
      <c r="CH72" s="175">
        <v>0</v>
      </c>
      <c r="CI72" s="175">
        <v>0</v>
      </c>
      <c r="CJ72" s="175">
        <v>0</v>
      </c>
      <c r="CK72" s="175">
        <v>0</v>
      </c>
      <c r="CL72" s="175">
        <v>0</v>
      </c>
      <c r="CM72" s="175">
        <v>0</v>
      </c>
      <c r="CN72" s="175">
        <v>0</v>
      </c>
      <c r="CO72" s="175">
        <v>0</v>
      </c>
      <c r="CP72" s="175">
        <v>0</v>
      </c>
      <c r="CQ72" s="175">
        <v>0</v>
      </c>
    </row>
    <row r="73" spans="1:95" s="175" customFormat="1" x14ac:dyDescent="0.2">
      <c r="A73" s="175" t="s">
        <v>237</v>
      </c>
      <c r="B73" s="175">
        <v>0</v>
      </c>
      <c r="C73" s="175">
        <v>0</v>
      </c>
      <c r="D73" s="175">
        <v>0</v>
      </c>
      <c r="E73" s="175">
        <v>0</v>
      </c>
      <c r="F73" s="175">
        <v>0</v>
      </c>
      <c r="G73" s="175">
        <v>0</v>
      </c>
      <c r="H73" s="175">
        <v>0</v>
      </c>
      <c r="I73" s="175">
        <v>0</v>
      </c>
      <c r="J73" s="175">
        <v>0</v>
      </c>
      <c r="K73" s="175">
        <v>0</v>
      </c>
      <c r="L73" s="175">
        <v>0</v>
      </c>
      <c r="M73" s="175">
        <v>0</v>
      </c>
      <c r="N73" s="175">
        <v>0</v>
      </c>
      <c r="O73" s="175">
        <v>0</v>
      </c>
      <c r="P73" s="175">
        <v>0</v>
      </c>
      <c r="Q73" s="175">
        <v>0</v>
      </c>
      <c r="R73" s="175">
        <v>0</v>
      </c>
      <c r="S73" s="175">
        <v>0</v>
      </c>
      <c r="T73" s="175">
        <v>0</v>
      </c>
      <c r="U73" s="175">
        <v>0</v>
      </c>
      <c r="V73" s="175">
        <v>0</v>
      </c>
      <c r="W73" s="175">
        <v>0</v>
      </c>
      <c r="X73" s="175">
        <v>0</v>
      </c>
      <c r="Y73" s="175">
        <v>0</v>
      </c>
      <c r="Z73" s="175">
        <v>0</v>
      </c>
      <c r="AA73" s="175">
        <v>0</v>
      </c>
      <c r="AB73" s="175">
        <v>0</v>
      </c>
      <c r="AC73" s="175">
        <v>0</v>
      </c>
      <c r="AD73" s="175">
        <v>0</v>
      </c>
      <c r="AE73" s="175">
        <v>0</v>
      </c>
      <c r="AF73" s="175">
        <v>0</v>
      </c>
      <c r="AG73" s="175">
        <v>0</v>
      </c>
      <c r="AH73" s="175">
        <v>0</v>
      </c>
      <c r="AI73" s="175">
        <v>0</v>
      </c>
      <c r="AJ73" s="175">
        <v>0</v>
      </c>
      <c r="AK73" s="175">
        <v>0</v>
      </c>
      <c r="AL73" s="175">
        <v>0</v>
      </c>
      <c r="AM73" s="175">
        <v>0</v>
      </c>
      <c r="AN73" s="175">
        <v>0</v>
      </c>
      <c r="AO73" s="175">
        <v>0</v>
      </c>
      <c r="AP73" s="175">
        <v>0</v>
      </c>
      <c r="AQ73" s="175">
        <v>0</v>
      </c>
      <c r="AR73" s="175">
        <v>0</v>
      </c>
      <c r="AS73" s="175">
        <v>0</v>
      </c>
      <c r="AT73" s="175">
        <v>0</v>
      </c>
      <c r="AU73" s="175">
        <v>0</v>
      </c>
      <c r="AV73" s="175">
        <v>0</v>
      </c>
      <c r="AW73" s="175">
        <v>0</v>
      </c>
      <c r="AX73" s="175">
        <v>0</v>
      </c>
      <c r="AY73" s="175">
        <v>0</v>
      </c>
      <c r="AZ73" s="175">
        <v>0</v>
      </c>
      <c r="BA73" s="175">
        <v>0</v>
      </c>
      <c r="BB73" s="175">
        <v>0</v>
      </c>
      <c r="BC73" s="175">
        <v>0</v>
      </c>
      <c r="BD73" s="175">
        <v>0</v>
      </c>
      <c r="BE73" s="175">
        <v>0</v>
      </c>
      <c r="BF73" s="175">
        <v>0</v>
      </c>
      <c r="BG73" s="175">
        <v>0</v>
      </c>
      <c r="BH73" s="175">
        <v>0</v>
      </c>
      <c r="BI73" s="175">
        <v>0</v>
      </c>
      <c r="BJ73" s="175">
        <v>0</v>
      </c>
      <c r="BK73" s="175">
        <v>0</v>
      </c>
      <c r="BL73" s="175">
        <v>0</v>
      </c>
      <c r="BM73" s="175">
        <v>0</v>
      </c>
      <c r="BN73" s="175">
        <v>0</v>
      </c>
      <c r="BO73" s="175">
        <v>0</v>
      </c>
      <c r="BP73" s="175">
        <v>0</v>
      </c>
      <c r="BQ73" s="175">
        <v>0</v>
      </c>
      <c r="BR73" s="175">
        <v>0</v>
      </c>
      <c r="BS73" s="175">
        <v>0</v>
      </c>
      <c r="BT73" s="175">
        <v>0</v>
      </c>
      <c r="BU73" s="175">
        <v>0</v>
      </c>
      <c r="BV73" s="175">
        <v>0</v>
      </c>
      <c r="BW73" s="175">
        <v>0</v>
      </c>
      <c r="BX73" s="175">
        <v>0</v>
      </c>
      <c r="BY73" s="175">
        <v>0</v>
      </c>
      <c r="BZ73" s="175">
        <v>0</v>
      </c>
      <c r="CA73" s="175">
        <v>0</v>
      </c>
      <c r="CB73" s="175">
        <v>0</v>
      </c>
      <c r="CC73" s="175">
        <v>0</v>
      </c>
      <c r="CD73" s="175">
        <v>0</v>
      </c>
      <c r="CE73" s="175">
        <v>0</v>
      </c>
      <c r="CF73" s="175">
        <v>0</v>
      </c>
      <c r="CG73" s="175">
        <v>0</v>
      </c>
      <c r="CH73" s="175">
        <v>0</v>
      </c>
      <c r="CI73" s="175">
        <v>0</v>
      </c>
      <c r="CJ73" s="175">
        <v>0</v>
      </c>
      <c r="CK73" s="175">
        <v>0</v>
      </c>
      <c r="CL73" s="175">
        <v>0</v>
      </c>
      <c r="CM73" s="175">
        <v>0</v>
      </c>
      <c r="CN73" s="175">
        <v>0</v>
      </c>
      <c r="CO73" s="175">
        <v>0</v>
      </c>
      <c r="CP73" s="175">
        <v>0</v>
      </c>
      <c r="CQ73" s="175">
        <v>0</v>
      </c>
    </row>
    <row r="74" spans="1:95" s="175" customFormat="1" x14ac:dyDescent="0.2">
      <c r="A74" s="175" t="s">
        <v>214</v>
      </c>
      <c r="B74" s="175">
        <v>0</v>
      </c>
      <c r="C74" s="175">
        <v>0</v>
      </c>
      <c r="D74" s="175">
        <v>0</v>
      </c>
      <c r="E74" s="175">
        <v>0</v>
      </c>
      <c r="F74" s="175">
        <v>0</v>
      </c>
      <c r="G74" s="175">
        <v>0</v>
      </c>
      <c r="H74" s="175">
        <v>0</v>
      </c>
      <c r="I74" s="175">
        <v>0</v>
      </c>
      <c r="J74" s="175">
        <v>0</v>
      </c>
      <c r="K74" s="175">
        <v>0</v>
      </c>
      <c r="L74" s="175">
        <v>0</v>
      </c>
      <c r="M74" s="175">
        <v>0</v>
      </c>
      <c r="N74" s="175">
        <v>0</v>
      </c>
      <c r="O74" s="175">
        <v>0</v>
      </c>
      <c r="P74" s="175">
        <v>0</v>
      </c>
      <c r="Q74" s="175">
        <v>0</v>
      </c>
      <c r="R74" s="175">
        <v>0</v>
      </c>
      <c r="S74" s="175">
        <v>0</v>
      </c>
      <c r="T74" s="175">
        <v>0</v>
      </c>
      <c r="U74" s="175">
        <v>0</v>
      </c>
      <c r="V74" s="175">
        <v>0</v>
      </c>
      <c r="W74" s="175">
        <v>0</v>
      </c>
      <c r="X74" s="175">
        <v>0</v>
      </c>
      <c r="Y74" s="175">
        <v>0</v>
      </c>
      <c r="Z74" s="175">
        <v>0</v>
      </c>
      <c r="AA74" s="175">
        <v>0</v>
      </c>
      <c r="AB74" s="175">
        <v>0</v>
      </c>
      <c r="AC74" s="175">
        <v>0</v>
      </c>
      <c r="AD74" s="175">
        <v>0</v>
      </c>
      <c r="AE74" s="175">
        <v>0</v>
      </c>
      <c r="AF74" s="175">
        <v>0</v>
      </c>
      <c r="AG74" s="175">
        <v>0</v>
      </c>
      <c r="AH74" s="175">
        <v>0</v>
      </c>
      <c r="AI74" s="175">
        <v>0</v>
      </c>
      <c r="AJ74" s="175">
        <v>0</v>
      </c>
      <c r="AK74" s="175">
        <v>0</v>
      </c>
      <c r="AL74" s="175">
        <v>0</v>
      </c>
      <c r="AM74" s="175">
        <v>0</v>
      </c>
      <c r="AN74" s="175">
        <v>0</v>
      </c>
      <c r="AO74" s="175">
        <v>0</v>
      </c>
      <c r="AP74" s="175">
        <v>0</v>
      </c>
      <c r="AQ74" s="175">
        <v>0</v>
      </c>
      <c r="AR74" s="175">
        <v>0</v>
      </c>
      <c r="AS74" s="175">
        <v>0</v>
      </c>
      <c r="AT74" s="175">
        <v>0</v>
      </c>
      <c r="AU74" s="175">
        <v>0</v>
      </c>
      <c r="AV74" s="175">
        <v>0</v>
      </c>
      <c r="AW74" s="175">
        <v>0</v>
      </c>
      <c r="AX74" s="175">
        <v>0</v>
      </c>
      <c r="AY74" s="175">
        <v>0</v>
      </c>
      <c r="AZ74" s="175">
        <v>0</v>
      </c>
      <c r="BA74" s="175">
        <v>0</v>
      </c>
      <c r="BB74" s="175">
        <v>0</v>
      </c>
      <c r="BC74" s="175">
        <v>0</v>
      </c>
      <c r="BD74" s="175">
        <v>0</v>
      </c>
      <c r="BE74" s="175">
        <v>0</v>
      </c>
      <c r="BF74" s="175">
        <v>0</v>
      </c>
      <c r="BG74" s="175">
        <v>0</v>
      </c>
      <c r="BH74" s="175">
        <v>0</v>
      </c>
      <c r="BI74" s="175">
        <v>0</v>
      </c>
      <c r="BJ74" s="175">
        <v>0</v>
      </c>
      <c r="BK74" s="175">
        <v>0</v>
      </c>
      <c r="BL74" s="175">
        <v>0</v>
      </c>
      <c r="BM74" s="175">
        <v>0</v>
      </c>
      <c r="BN74" s="175">
        <v>0</v>
      </c>
      <c r="BO74" s="175">
        <v>0</v>
      </c>
      <c r="BP74" s="175">
        <v>0</v>
      </c>
      <c r="BQ74" s="175">
        <v>0</v>
      </c>
      <c r="BR74" s="175">
        <v>0</v>
      </c>
      <c r="BS74" s="175">
        <v>0</v>
      </c>
      <c r="BT74" s="175">
        <v>0</v>
      </c>
      <c r="BU74" s="175">
        <v>0</v>
      </c>
      <c r="BV74" s="175">
        <v>0</v>
      </c>
      <c r="BW74" s="175">
        <v>0</v>
      </c>
      <c r="BX74" s="175">
        <v>0</v>
      </c>
      <c r="BY74" s="175">
        <v>0</v>
      </c>
      <c r="BZ74" s="175">
        <v>0</v>
      </c>
      <c r="CA74" s="175">
        <v>0</v>
      </c>
      <c r="CB74" s="175">
        <v>0</v>
      </c>
      <c r="CC74" s="175">
        <v>0</v>
      </c>
      <c r="CD74" s="175">
        <v>0</v>
      </c>
      <c r="CE74" s="175">
        <v>0</v>
      </c>
      <c r="CF74" s="175">
        <v>0</v>
      </c>
      <c r="CG74" s="175">
        <v>0</v>
      </c>
      <c r="CH74" s="175">
        <v>0</v>
      </c>
      <c r="CI74" s="175">
        <v>0</v>
      </c>
      <c r="CJ74" s="175">
        <v>0</v>
      </c>
      <c r="CK74" s="175">
        <v>0</v>
      </c>
      <c r="CL74" s="175">
        <v>0</v>
      </c>
      <c r="CM74" s="175">
        <v>0</v>
      </c>
      <c r="CN74" s="175">
        <v>0</v>
      </c>
      <c r="CO74" s="175">
        <v>0</v>
      </c>
      <c r="CP74" s="175">
        <v>0</v>
      </c>
      <c r="CQ74" s="175">
        <v>0</v>
      </c>
    </row>
    <row r="75" spans="1:95" s="175" customFormat="1" x14ac:dyDescent="0.2">
      <c r="A75" s="175" t="s">
        <v>238</v>
      </c>
      <c r="B75" s="175">
        <v>0</v>
      </c>
      <c r="C75" s="175">
        <v>0</v>
      </c>
      <c r="D75" s="175">
        <v>0</v>
      </c>
      <c r="E75" s="175">
        <v>0</v>
      </c>
      <c r="F75" s="175">
        <v>0</v>
      </c>
      <c r="G75" s="175">
        <v>0</v>
      </c>
      <c r="H75" s="175">
        <v>0</v>
      </c>
      <c r="I75" s="175">
        <v>0</v>
      </c>
      <c r="J75" s="175">
        <v>0</v>
      </c>
      <c r="K75" s="175">
        <v>0</v>
      </c>
      <c r="L75" s="175">
        <v>0</v>
      </c>
      <c r="M75" s="175">
        <v>0</v>
      </c>
      <c r="N75" s="175">
        <v>0</v>
      </c>
      <c r="O75" s="175">
        <v>0</v>
      </c>
      <c r="P75" s="175">
        <v>0</v>
      </c>
      <c r="Q75" s="175">
        <v>0</v>
      </c>
      <c r="R75" s="175">
        <v>0</v>
      </c>
      <c r="S75" s="175">
        <v>0</v>
      </c>
      <c r="T75" s="175">
        <v>0</v>
      </c>
      <c r="U75" s="175">
        <v>0</v>
      </c>
      <c r="V75" s="175">
        <v>0</v>
      </c>
      <c r="W75" s="175">
        <v>0</v>
      </c>
      <c r="X75" s="175">
        <v>0</v>
      </c>
      <c r="Y75" s="175">
        <v>0</v>
      </c>
      <c r="Z75" s="175">
        <v>0</v>
      </c>
      <c r="AA75" s="175">
        <v>0</v>
      </c>
      <c r="AB75" s="175">
        <v>0</v>
      </c>
      <c r="AC75" s="175">
        <v>0</v>
      </c>
      <c r="AD75" s="175">
        <v>0</v>
      </c>
      <c r="AE75" s="175">
        <v>0</v>
      </c>
      <c r="AF75" s="175">
        <v>0</v>
      </c>
      <c r="AG75" s="175">
        <v>0</v>
      </c>
      <c r="AH75" s="175">
        <v>0</v>
      </c>
      <c r="AI75" s="175">
        <v>0</v>
      </c>
      <c r="AJ75" s="175">
        <v>0</v>
      </c>
      <c r="AK75" s="175">
        <v>0</v>
      </c>
      <c r="AL75" s="175">
        <v>0</v>
      </c>
      <c r="AM75" s="175">
        <v>0</v>
      </c>
      <c r="AN75" s="175">
        <v>0</v>
      </c>
      <c r="AO75" s="175">
        <v>0</v>
      </c>
      <c r="AP75" s="175">
        <v>0</v>
      </c>
      <c r="AQ75" s="175">
        <v>0</v>
      </c>
      <c r="AR75" s="175">
        <v>0</v>
      </c>
      <c r="AS75" s="175">
        <v>0</v>
      </c>
      <c r="AT75" s="175">
        <v>0</v>
      </c>
      <c r="AU75" s="175">
        <v>0</v>
      </c>
      <c r="AV75" s="175">
        <v>0</v>
      </c>
      <c r="AW75" s="175">
        <v>0</v>
      </c>
      <c r="AX75" s="175">
        <v>0</v>
      </c>
      <c r="AY75" s="175">
        <v>0</v>
      </c>
      <c r="AZ75" s="175">
        <v>0</v>
      </c>
      <c r="BA75" s="175">
        <v>0</v>
      </c>
      <c r="BB75" s="175">
        <v>0</v>
      </c>
      <c r="BC75" s="175">
        <v>0</v>
      </c>
      <c r="BD75" s="175">
        <v>0</v>
      </c>
      <c r="BE75" s="175">
        <v>0</v>
      </c>
      <c r="BF75" s="175">
        <v>0</v>
      </c>
      <c r="BG75" s="175">
        <v>0</v>
      </c>
      <c r="BH75" s="175">
        <v>0</v>
      </c>
      <c r="BI75" s="175">
        <v>0</v>
      </c>
      <c r="BJ75" s="175">
        <v>0</v>
      </c>
      <c r="BK75" s="175">
        <v>0</v>
      </c>
      <c r="BL75" s="175">
        <v>0</v>
      </c>
      <c r="BM75" s="175">
        <v>0</v>
      </c>
      <c r="BN75" s="175">
        <v>0</v>
      </c>
      <c r="BO75" s="175">
        <v>0</v>
      </c>
      <c r="BP75" s="175">
        <v>0</v>
      </c>
      <c r="BQ75" s="175">
        <v>0</v>
      </c>
      <c r="BR75" s="175">
        <v>0</v>
      </c>
      <c r="BS75" s="175">
        <v>0</v>
      </c>
      <c r="BT75" s="175">
        <v>0</v>
      </c>
      <c r="BU75" s="175">
        <v>0</v>
      </c>
      <c r="BV75" s="175">
        <v>0</v>
      </c>
      <c r="BW75" s="175">
        <v>0</v>
      </c>
      <c r="BX75" s="175">
        <v>0</v>
      </c>
      <c r="BY75" s="175">
        <v>0</v>
      </c>
      <c r="BZ75" s="175">
        <v>0</v>
      </c>
      <c r="CA75" s="175">
        <v>0</v>
      </c>
      <c r="CB75" s="175">
        <v>0</v>
      </c>
      <c r="CC75" s="175">
        <v>0</v>
      </c>
      <c r="CD75" s="175">
        <v>0</v>
      </c>
      <c r="CE75" s="175">
        <v>0</v>
      </c>
      <c r="CF75" s="175">
        <v>0</v>
      </c>
      <c r="CG75" s="175">
        <v>0</v>
      </c>
      <c r="CH75" s="175">
        <v>0</v>
      </c>
      <c r="CI75" s="175">
        <v>0</v>
      </c>
      <c r="CJ75" s="175">
        <v>0</v>
      </c>
      <c r="CK75" s="175">
        <v>0</v>
      </c>
      <c r="CL75" s="175">
        <v>0</v>
      </c>
      <c r="CM75" s="175">
        <v>0</v>
      </c>
      <c r="CN75" s="175">
        <v>0</v>
      </c>
      <c r="CO75" s="175">
        <v>0</v>
      </c>
      <c r="CP75" s="175">
        <v>0</v>
      </c>
      <c r="CQ75" s="175">
        <v>0</v>
      </c>
    </row>
    <row r="76" spans="1:95" s="175" customFormat="1" x14ac:dyDescent="0.2">
      <c r="A76" s="175" t="s">
        <v>239</v>
      </c>
      <c r="B76" s="175">
        <v>0</v>
      </c>
      <c r="C76" s="175">
        <v>0</v>
      </c>
      <c r="D76" s="175">
        <v>0</v>
      </c>
      <c r="E76" s="175">
        <v>0</v>
      </c>
      <c r="F76" s="175">
        <v>0</v>
      </c>
      <c r="G76" s="175">
        <v>0</v>
      </c>
      <c r="H76" s="175">
        <v>0</v>
      </c>
      <c r="I76" s="175">
        <v>0</v>
      </c>
      <c r="J76" s="175">
        <v>0</v>
      </c>
      <c r="K76" s="175">
        <v>0</v>
      </c>
      <c r="L76" s="175">
        <v>0</v>
      </c>
      <c r="M76" s="175">
        <v>0</v>
      </c>
      <c r="N76" s="175">
        <v>0</v>
      </c>
      <c r="O76" s="175">
        <v>0</v>
      </c>
      <c r="P76" s="175">
        <v>0</v>
      </c>
      <c r="Q76" s="175">
        <v>0</v>
      </c>
      <c r="R76" s="175">
        <v>0</v>
      </c>
      <c r="S76" s="175">
        <v>0</v>
      </c>
      <c r="T76" s="175">
        <v>0</v>
      </c>
      <c r="U76" s="175">
        <v>0</v>
      </c>
      <c r="V76" s="175">
        <v>0</v>
      </c>
      <c r="W76" s="175">
        <v>0</v>
      </c>
      <c r="X76" s="175">
        <v>0</v>
      </c>
      <c r="Y76" s="175">
        <v>0</v>
      </c>
      <c r="Z76" s="175">
        <v>0</v>
      </c>
      <c r="AA76" s="175">
        <v>0</v>
      </c>
      <c r="AB76" s="175">
        <v>0</v>
      </c>
      <c r="AC76" s="175">
        <v>0</v>
      </c>
      <c r="AD76" s="175">
        <v>0</v>
      </c>
      <c r="AE76" s="175">
        <v>0</v>
      </c>
      <c r="AF76" s="175">
        <v>0</v>
      </c>
      <c r="AG76" s="175">
        <v>0</v>
      </c>
      <c r="AH76" s="175">
        <v>0</v>
      </c>
      <c r="AI76" s="175">
        <v>0</v>
      </c>
      <c r="AJ76" s="175">
        <v>0</v>
      </c>
      <c r="AK76" s="175">
        <v>0</v>
      </c>
      <c r="AL76" s="175">
        <v>0</v>
      </c>
      <c r="AM76" s="175">
        <v>0</v>
      </c>
      <c r="AN76" s="175">
        <v>0</v>
      </c>
      <c r="AO76" s="175">
        <v>0</v>
      </c>
      <c r="AP76" s="175">
        <v>0</v>
      </c>
      <c r="AQ76" s="175">
        <v>0</v>
      </c>
      <c r="AR76" s="175">
        <v>0</v>
      </c>
      <c r="AS76" s="175">
        <v>0</v>
      </c>
      <c r="AT76" s="175">
        <v>0</v>
      </c>
      <c r="AU76" s="175">
        <v>0</v>
      </c>
      <c r="AV76" s="175">
        <v>0</v>
      </c>
      <c r="AW76" s="175">
        <v>0</v>
      </c>
      <c r="AX76" s="175">
        <v>0</v>
      </c>
      <c r="AY76" s="175">
        <v>0</v>
      </c>
      <c r="AZ76" s="175">
        <v>0</v>
      </c>
      <c r="BA76" s="175">
        <v>0</v>
      </c>
      <c r="BB76" s="175">
        <v>0</v>
      </c>
      <c r="BC76" s="175">
        <v>0</v>
      </c>
      <c r="BD76" s="175">
        <v>0</v>
      </c>
      <c r="BE76" s="175">
        <v>0</v>
      </c>
      <c r="BF76" s="175">
        <v>0</v>
      </c>
      <c r="BG76" s="175">
        <v>0</v>
      </c>
      <c r="BH76" s="175">
        <v>0</v>
      </c>
      <c r="BI76" s="175">
        <v>0</v>
      </c>
      <c r="BJ76" s="175">
        <v>0</v>
      </c>
      <c r="BK76" s="175">
        <v>0</v>
      </c>
      <c r="BL76" s="175">
        <v>0</v>
      </c>
      <c r="BM76" s="175">
        <v>0</v>
      </c>
      <c r="BN76" s="175">
        <v>0</v>
      </c>
      <c r="BO76" s="175">
        <v>0</v>
      </c>
      <c r="BP76" s="175">
        <v>0</v>
      </c>
      <c r="BQ76" s="175">
        <v>0</v>
      </c>
      <c r="BR76" s="175">
        <v>0</v>
      </c>
      <c r="BS76" s="175">
        <v>0</v>
      </c>
      <c r="BT76" s="175">
        <v>0</v>
      </c>
      <c r="BU76" s="175">
        <v>0</v>
      </c>
      <c r="BV76" s="175">
        <v>0</v>
      </c>
      <c r="BW76" s="175">
        <v>0</v>
      </c>
      <c r="BX76" s="175">
        <v>0</v>
      </c>
      <c r="BY76" s="175">
        <v>0</v>
      </c>
      <c r="BZ76" s="175">
        <v>0</v>
      </c>
      <c r="CA76" s="175">
        <v>0</v>
      </c>
      <c r="CB76" s="175">
        <v>0</v>
      </c>
      <c r="CC76" s="175">
        <v>0</v>
      </c>
      <c r="CD76" s="175">
        <v>0</v>
      </c>
      <c r="CE76" s="175">
        <v>0</v>
      </c>
      <c r="CF76" s="175">
        <v>0</v>
      </c>
      <c r="CG76" s="175">
        <v>0</v>
      </c>
      <c r="CH76" s="175">
        <v>0</v>
      </c>
      <c r="CI76" s="175">
        <v>0</v>
      </c>
      <c r="CJ76" s="175">
        <v>0</v>
      </c>
      <c r="CK76" s="175">
        <v>0</v>
      </c>
      <c r="CL76" s="175">
        <v>0</v>
      </c>
      <c r="CM76" s="175">
        <v>0</v>
      </c>
      <c r="CN76" s="175">
        <v>0</v>
      </c>
      <c r="CO76" s="175">
        <v>0</v>
      </c>
      <c r="CP76" s="175">
        <v>0</v>
      </c>
      <c r="CQ76" s="175">
        <v>0</v>
      </c>
    </row>
    <row r="77" spans="1:95" s="175" customFormat="1" x14ac:dyDescent="0.2">
      <c r="A77" s="175" t="s">
        <v>240</v>
      </c>
      <c r="B77" s="175">
        <v>0</v>
      </c>
      <c r="C77" s="175">
        <v>0</v>
      </c>
      <c r="D77" s="175">
        <v>0</v>
      </c>
      <c r="E77" s="175">
        <v>0</v>
      </c>
      <c r="F77" s="175">
        <v>0</v>
      </c>
      <c r="G77" s="175">
        <v>0</v>
      </c>
      <c r="H77" s="175">
        <v>0</v>
      </c>
      <c r="I77" s="175">
        <v>0</v>
      </c>
      <c r="J77" s="175">
        <v>0</v>
      </c>
      <c r="K77" s="175">
        <v>0</v>
      </c>
      <c r="L77" s="175">
        <v>0</v>
      </c>
      <c r="M77" s="175">
        <v>0</v>
      </c>
      <c r="N77" s="175">
        <v>0</v>
      </c>
      <c r="O77" s="175">
        <v>0</v>
      </c>
      <c r="P77" s="175">
        <v>0</v>
      </c>
      <c r="Q77" s="175">
        <v>0</v>
      </c>
      <c r="R77" s="175">
        <v>0</v>
      </c>
      <c r="S77" s="175">
        <v>0</v>
      </c>
      <c r="T77" s="175">
        <v>0</v>
      </c>
      <c r="U77" s="175">
        <v>0</v>
      </c>
      <c r="V77" s="175">
        <v>0</v>
      </c>
      <c r="W77" s="175">
        <v>0</v>
      </c>
      <c r="X77" s="175">
        <v>0</v>
      </c>
      <c r="Y77" s="175">
        <v>0</v>
      </c>
      <c r="Z77" s="175">
        <v>0</v>
      </c>
      <c r="AA77" s="175">
        <v>0</v>
      </c>
      <c r="AB77" s="175">
        <v>0</v>
      </c>
      <c r="AC77" s="175">
        <v>0</v>
      </c>
      <c r="AD77" s="175">
        <v>0</v>
      </c>
      <c r="AE77" s="175">
        <v>0</v>
      </c>
      <c r="AF77" s="175">
        <v>0</v>
      </c>
      <c r="AG77" s="175">
        <v>0</v>
      </c>
      <c r="AH77" s="175">
        <v>0</v>
      </c>
      <c r="AI77" s="175">
        <v>0</v>
      </c>
      <c r="AJ77" s="175">
        <v>0</v>
      </c>
      <c r="AK77" s="175">
        <v>0</v>
      </c>
      <c r="AL77" s="175">
        <v>0</v>
      </c>
      <c r="AM77" s="175">
        <v>0</v>
      </c>
      <c r="AN77" s="175">
        <v>0</v>
      </c>
      <c r="AO77" s="175">
        <v>0</v>
      </c>
      <c r="AP77" s="175">
        <v>0</v>
      </c>
      <c r="AQ77" s="175">
        <v>0</v>
      </c>
      <c r="AR77" s="175">
        <v>0</v>
      </c>
      <c r="AS77" s="175">
        <v>0</v>
      </c>
      <c r="AT77" s="175">
        <v>0</v>
      </c>
      <c r="AU77" s="175">
        <v>0</v>
      </c>
      <c r="AV77" s="175">
        <v>0</v>
      </c>
      <c r="AW77" s="175">
        <v>0</v>
      </c>
      <c r="AX77" s="175">
        <v>0</v>
      </c>
      <c r="AY77" s="175">
        <v>0</v>
      </c>
      <c r="AZ77" s="175">
        <v>0</v>
      </c>
      <c r="BA77" s="175">
        <v>0</v>
      </c>
      <c r="BB77" s="175">
        <v>0</v>
      </c>
      <c r="BC77" s="175">
        <v>0</v>
      </c>
      <c r="BD77" s="175">
        <v>0</v>
      </c>
      <c r="BE77" s="175">
        <v>0</v>
      </c>
      <c r="BF77" s="175">
        <v>0</v>
      </c>
      <c r="BG77" s="175">
        <v>0</v>
      </c>
      <c r="BH77" s="175">
        <v>0</v>
      </c>
      <c r="BI77" s="175">
        <v>0</v>
      </c>
      <c r="BJ77" s="175">
        <v>0</v>
      </c>
      <c r="BK77" s="175">
        <v>0</v>
      </c>
      <c r="BL77" s="175">
        <v>0</v>
      </c>
      <c r="BM77" s="175">
        <v>0</v>
      </c>
      <c r="BN77" s="175">
        <v>0</v>
      </c>
      <c r="BO77" s="175">
        <v>0</v>
      </c>
      <c r="BP77" s="175">
        <v>0</v>
      </c>
      <c r="BQ77" s="175">
        <v>0</v>
      </c>
      <c r="BR77" s="175">
        <v>0</v>
      </c>
      <c r="BS77" s="175">
        <v>0</v>
      </c>
      <c r="BT77" s="175">
        <v>0</v>
      </c>
      <c r="BU77" s="175">
        <v>0</v>
      </c>
      <c r="BV77" s="175">
        <v>0</v>
      </c>
      <c r="BW77" s="175">
        <v>0</v>
      </c>
      <c r="BX77" s="175">
        <v>0</v>
      </c>
      <c r="BY77" s="175">
        <v>0</v>
      </c>
      <c r="BZ77" s="175">
        <v>0</v>
      </c>
      <c r="CA77" s="175">
        <v>0</v>
      </c>
      <c r="CB77" s="175">
        <v>0</v>
      </c>
      <c r="CC77" s="175">
        <v>0</v>
      </c>
      <c r="CD77" s="175">
        <v>0</v>
      </c>
      <c r="CE77" s="175">
        <v>0</v>
      </c>
      <c r="CF77" s="175">
        <v>0</v>
      </c>
      <c r="CG77" s="175">
        <v>0</v>
      </c>
      <c r="CH77" s="175">
        <v>0</v>
      </c>
      <c r="CI77" s="175">
        <v>0</v>
      </c>
      <c r="CJ77" s="175">
        <v>0</v>
      </c>
      <c r="CK77" s="175">
        <v>0</v>
      </c>
      <c r="CL77" s="175">
        <v>0</v>
      </c>
      <c r="CM77" s="175">
        <v>0</v>
      </c>
      <c r="CN77" s="175">
        <v>0</v>
      </c>
      <c r="CO77" s="175">
        <v>0</v>
      </c>
      <c r="CP77" s="175">
        <v>0</v>
      </c>
      <c r="CQ77" s="175">
        <v>0</v>
      </c>
    </row>
    <row r="78" spans="1:95" s="175" customFormat="1" x14ac:dyDescent="0.2">
      <c r="A78" s="175" t="s">
        <v>215</v>
      </c>
      <c r="B78" s="175">
        <v>0</v>
      </c>
      <c r="C78" s="175">
        <v>0</v>
      </c>
      <c r="D78" s="175">
        <v>0</v>
      </c>
      <c r="E78" s="175">
        <v>0</v>
      </c>
      <c r="F78" s="175">
        <v>0</v>
      </c>
      <c r="G78" s="175">
        <v>0</v>
      </c>
      <c r="H78" s="175">
        <v>0</v>
      </c>
      <c r="I78" s="175">
        <v>0</v>
      </c>
      <c r="J78" s="175">
        <v>0</v>
      </c>
      <c r="K78" s="175">
        <v>0</v>
      </c>
      <c r="L78" s="175">
        <v>0</v>
      </c>
      <c r="M78" s="175">
        <v>0</v>
      </c>
      <c r="N78" s="175">
        <v>0</v>
      </c>
      <c r="O78" s="175">
        <v>0</v>
      </c>
      <c r="P78" s="175">
        <v>0</v>
      </c>
      <c r="Q78" s="175">
        <v>0</v>
      </c>
      <c r="R78" s="175">
        <v>0</v>
      </c>
      <c r="S78" s="175">
        <v>0</v>
      </c>
      <c r="T78" s="175">
        <v>0</v>
      </c>
      <c r="U78" s="175">
        <v>0</v>
      </c>
      <c r="V78" s="175">
        <v>0</v>
      </c>
      <c r="W78" s="175">
        <v>0</v>
      </c>
      <c r="X78" s="175">
        <v>0</v>
      </c>
      <c r="Y78" s="175">
        <v>0</v>
      </c>
      <c r="Z78" s="175">
        <v>0</v>
      </c>
      <c r="AA78" s="175">
        <v>0</v>
      </c>
      <c r="AB78" s="175">
        <v>0</v>
      </c>
      <c r="AC78" s="175">
        <v>0</v>
      </c>
      <c r="AD78" s="175">
        <v>0</v>
      </c>
      <c r="AE78" s="175">
        <v>0</v>
      </c>
      <c r="AF78" s="175">
        <v>0</v>
      </c>
      <c r="AG78" s="175">
        <v>0</v>
      </c>
      <c r="AH78" s="175">
        <v>0</v>
      </c>
      <c r="AI78" s="175">
        <v>0</v>
      </c>
      <c r="AJ78" s="175">
        <v>0</v>
      </c>
      <c r="AK78" s="175">
        <v>0</v>
      </c>
      <c r="AL78" s="175">
        <v>0</v>
      </c>
      <c r="AM78" s="175">
        <v>0</v>
      </c>
      <c r="AN78" s="175">
        <v>0</v>
      </c>
      <c r="AO78" s="175">
        <v>0</v>
      </c>
      <c r="AP78" s="175">
        <v>0</v>
      </c>
      <c r="AQ78" s="175">
        <v>0</v>
      </c>
      <c r="AR78" s="175">
        <v>0</v>
      </c>
      <c r="AS78" s="175">
        <v>0</v>
      </c>
      <c r="AT78" s="175">
        <v>0</v>
      </c>
      <c r="AU78" s="175">
        <v>0</v>
      </c>
      <c r="AV78" s="175">
        <v>0</v>
      </c>
      <c r="AW78" s="175">
        <v>0</v>
      </c>
      <c r="AX78" s="175">
        <v>0</v>
      </c>
      <c r="AY78" s="175">
        <v>0</v>
      </c>
      <c r="AZ78" s="175">
        <v>0</v>
      </c>
      <c r="BA78" s="175">
        <v>0</v>
      </c>
      <c r="BB78" s="175">
        <v>0</v>
      </c>
      <c r="BC78" s="175">
        <v>0</v>
      </c>
      <c r="BD78" s="175">
        <v>0</v>
      </c>
      <c r="BE78" s="175">
        <v>0</v>
      </c>
      <c r="BF78" s="175">
        <v>0</v>
      </c>
      <c r="BG78" s="175">
        <v>0</v>
      </c>
      <c r="BH78" s="175">
        <v>0</v>
      </c>
      <c r="BI78" s="175">
        <v>0</v>
      </c>
      <c r="BJ78" s="175">
        <v>0</v>
      </c>
      <c r="BK78" s="175">
        <v>0</v>
      </c>
      <c r="BL78" s="175">
        <v>0</v>
      </c>
      <c r="BM78" s="175">
        <v>0</v>
      </c>
      <c r="BN78" s="175">
        <v>0</v>
      </c>
      <c r="BO78" s="175">
        <v>0</v>
      </c>
      <c r="BP78" s="175">
        <v>0</v>
      </c>
      <c r="BQ78" s="175">
        <v>0</v>
      </c>
      <c r="BR78" s="175">
        <v>0</v>
      </c>
      <c r="BS78" s="175">
        <v>0</v>
      </c>
      <c r="BT78" s="175">
        <v>0</v>
      </c>
      <c r="BU78" s="175">
        <v>0</v>
      </c>
      <c r="BV78" s="175">
        <v>0</v>
      </c>
      <c r="BW78" s="175">
        <v>0</v>
      </c>
      <c r="BX78" s="175">
        <v>0</v>
      </c>
      <c r="BY78" s="175">
        <v>0</v>
      </c>
      <c r="BZ78" s="175">
        <v>0</v>
      </c>
      <c r="CA78" s="175">
        <v>0</v>
      </c>
      <c r="CB78" s="175">
        <v>0</v>
      </c>
      <c r="CC78" s="175">
        <v>0</v>
      </c>
      <c r="CD78" s="175">
        <v>0</v>
      </c>
      <c r="CE78" s="175">
        <v>0</v>
      </c>
      <c r="CF78" s="175">
        <v>0</v>
      </c>
      <c r="CG78" s="175">
        <v>0</v>
      </c>
      <c r="CH78" s="175">
        <v>0</v>
      </c>
      <c r="CI78" s="175">
        <v>0</v>
      </c>
      <c r="CJ78" s="175">
        <v>0</v>
      </c>
      <c r="CK78" s="175">
        <v>0</v>
      </c>
      <c r="CL78" s="175">
        <v>0</v>
      </c>
      <c r="CM78" s="175">
        <v>0</v>
      </c>
      <c r="CN78" s="175">
        <v>0</v>
      </c>
      <c r="CO78" s="175">
        <v>0</v>
      </c>
      <c r="CP78" s="175">
        <v>0</v>
      </c>
      <c r="CQ78" s="175">
        <v>0</v>
      </c>
    </row>
    <row r="79" spans="1:95" s="175" customFormat="1" x14ac:dyDescent="0.2">
      <c r="A79" s="175" t="s">
        <v>216</v>
      </c>
      <c r="B79" s="175">
        <v>0</v>
      </c>
      <c r="C79" s="175">
        <v>0</v>
      </c>
      <c r="D79" s="175">
        <v>0</v>
      </c>
      <c r="E79" s="175">
        <v>0</v>
      </c>
      <c r="F79" s="175">
        <v>0</v>
      </c>
      <c r="G79" s="175">
        <v>0</v>
      </c>
      <c r="H79" s="175">
        <v>0</v>
      </c>
      <c r="I79" s="175">
        <v>0</v>
      </c>
      <c r="J79" s="175">
        <v>0</v>
      </c>
      <c r="K79" s="175">
        <v>0</v>
      </c>
      <c r="L79" s="175">
        <v>0</v>
      </c>
      <c r="M79" s="175">
        <v>0</v>
      </c>
      <c r="N79" s="175">
        <v>0</v>
      </c>
      <c r="O79" s="175">
        <v>0</v>
      </c>
      <c r="P79" s="175">
        <v>0</v>
      </c>
      <c r="Q79" s="175">
        <v>0</v>
      </c>
      <c r="R79" s="175">
        <v>0</v>
      </c>
      <c r="S79" s="175">
        <v>0</v>
      </c>
      <c r="T79" s="175">
        <v>0</v>
      </c>
      <c r="U79" s="175">
        <v>0</v>
      </c>
      <c r="V79" s="175">
        <v>0</v>
      </c>
      <c r="W79" s="175">
        <v>0</v>
      </c>
      <c r="X79" s="175">
        <v>0</v>
      </c>
      <c r="Y79" s="175">
        <v>0</v>
      </c>
      <c r="Z79" s="175">
        <v>0</v>
      </c>
      <c r="AA79" s="175">
        <v>0</v>
      </c>
      <c r="AB79" s="175">
        <v>0</v>
      </c>
      <c r="AC79" s="175">
        <v>0</v>
      </c>
      <c r="AD79" s="175">
        <v>0</v>
      </c>
      <c r="AE79" s="175">
        <v>0</v>
      </c>
      <c r="AF79" s="175">
        <v>0</v>
      </c>
      <c r="AG79" s="175">
        <v>0</v>
      </c>
      <c r="AH79" s="175">
        <v>0</v>
      </c>
      <c r="AI79" s="175">
        <v>0</v>
      </c>
      <c r="AJ79" s="175">
        <v>0</v>
      </c>
      <c r="AK79" s="175">
        <v>0</v>
      </c>
      <c r="AL79" s="175">
        <v>0</v>
      </c>
      <c r="AM79" s="175">
        <v>0</v>
      </c>
      <c r="AN79" s="175">
        <v>0</v>
      </c>
      <c r="AO79" s="175">
        <v>0</v>
      </c>
      <c r="AP79" s="175">
        <v>0</v>
      </c>
      <c r="AQ79" s="175">
        <v>0</v>
      </c>
      <c r="AR79" s="175">
        <v>0</v>
      </c>
      <c r="AS79" s="175">
        <v>0</v>
      </c>
      <c r="AT79" s="175">
        <v>0</v>
      </c>
      <c r="AU79" s="175">
        <v>0</v>
      </c>
      <c r="AV79" s="175">
        <v>0</v>
      </c>
      <c r="AW79" s="175">
        <v>0</v>
      </c>
      <c r="AX79" s="175">
        <v>0</v>
      </c>
      <c r="AY79" s="175">
        <v>0</v>
      </c>
      <c r="AZ79" s="175">
        <v>0</v>
      </c>
      <c r="BA79" s="175">
        <v>0</v>
      </c>
      <c r="BB79" s="175">
        <v>0</v>
      </c>
      <c r="BC79" s="175">
        <v>0</v>
      </c>
      <c r="BD79" s="175">
        <v>0</v>
      </c>
      <c r="BE79" s="175">
        <v>0</v>
      </c>
      <c r="BF79" s="175">
        <v>0</v>
      </c>
      <c r="BG79" s="175">
        <v>0</v>
      </c>
      <c r="BH79" s="175">
        <v>0</v>
      </c>
      <c r="BI79" s="175">
        <v>0</v>
      </c>
      <c r="BJ79" s="175">
        <v>0</v>
      </c>
      <c r="BK79" s="175">
        <v>0</v>
      </c>
      <c r="BL79" s="175">
        <v>0</v>
      </c>
      <c r="BM79" s="175">
        <v>0</v>
      </c>
      <c r="BN79" s="175">
        <v>0</v>
      </c>
      <c r="BO79" s="175">
        <v>0</v>
      </c>
      <c r="BP79" s="175">
        <v>0</v>
      </c>
      <c r="BQ79" s="175">
        <v>0</v>
      </c>
      <c r="BR79" s="175">
        <v>0</v>
      </c>
      <c r="BS79" s="175">
        <v>0</v>
      </c>
      <c r="BT79" s="175">
        <v>0</v>
      </c>
      <c r="BU79" s="175">
        <v>0</v>
      </c>
      <c r="BV79" s="175">
        <v>0</v>
      </c>
      <c r="BW79" s="175">
        <v>0</v>
      </c>
      <c r="BX79" s="175">
        <v>0</v>
      </c>
      <c r="BY79" s="175">
        <v>0</v>
      </c>
      <c r="BZ79" s="175">
        <v>0</v>
      </c>
      <c r="CA79" s="175">
        <v>0</v>
      </c>
      <c r="CB79" s="175">
        <v>0</v>
      </c>
      <c r="CC79" s="175">
        <v>0</v>
      </c>
      <c r="CD79" s="175">
        <v>0</v>
      </c>
      <c r="CE79" s="175">
        <v>0</v>
      </c>
      <c r="CF79" s="175">
        <v>0</v>
      </c>
      <c r="CG79" s="175">
        <v>0</v>
      </c>
      <c r="CH79" s="175">
        <v>0</v>
      </c>
      <c r="CI79" s="175">
        <v>0</v>
      </c>
      <c r="CJ79" s="175">
        <v>0</v>
      </c>
      <c r="CK79" s="175">
        <v>0</v>
      </c>
      <c r="CL79" s="175">
        <v>0</v>
      </c>
      <c r="CM79" s="175">
        <v>0</v>
      </c>
      <c r="CN79" s="175">
        <v>0</v>
      </c>
      <c r="CO79" s="175">
        <v>0</v>
      </c>
      <c r="CP79" s="175">
        <v>0</v>
      </c>
      <c r="CQ79" s="175">
        <v>0</v>
      </c>
    </row>
    <row r="80" spans="1:95" s="175" customFormat="1" x14ac:dyDescent="0.2">
      <c r="A80" s="175" t="s">
        <v>217</v>
      </c>
      <c r="B80" s="175">
        <v>0</v>
      </c>
      <c r="C80" s="175">
        <v>0</v>
      </c>
      <c r="D80" s="175">
        <v>0</v>
      </c>
      <c r="E80" s="175">
        <v>0</v>
      </c>
      <c r="F80" s="175">
        <v>0</v>
      </c>
      <c r="G80" s="175">
        <v>0</v>
      </c>
      <c r="H80" s="175">
        <v>0</v>
      </c>
      <c r="I80" s="175">
        <v>0</v>
      </c>
      <c r="J80" s="175">
        <v>0</v>
      </c>
      <c r="K80" s="175">
        <v>0</v>
      </c>
      <c r="L80" s="175">
        <v>0</v>
      </c>
      <c r="M80" s="175">
        <v>0</v>
      </c>
      <c r="N80" s="175">
        <v>0</v>
      </c>
      <c r="O80" s="175">
        <v>0</v>
      </c>
      <c r="P80" s="175">
        <v>0</v>
      </c>
      <c r="Q80" s="175">
        <v>0</v>
      </c>
      <c r="R80" s="175">
        <v>0</v>
      </c>
      <c r="S80" s="175">
        <v>0</v>
      </c>
      <c r="T80" s="175">
        <v>0</v>
      </c>
      <c r="U80" s="175">
        <v>0</v>
      </c>
      <c r="V80" s="175">
        <v>0</v>
      </c>
      <c r="W80" s="175">
        <v>0</v>
      </c>
      <c r="X80" s="175">
        <v>0</v>
      </c>
      <c r="Y80" s="175">
        <v>0</v>
      </c>
      <c r="Z80" s="175">
        <v>0</v>
      </c>
      <c r="AA80" s="175">
        <v>0</v>
      </c>
      <c r="AB80" s="175">
        <v>0</v>
      </c>
      <c r="AC80" s="175">
        <v>0</v>
      </c>
      <c r="AD80" s="175">
        <v>0</v>
      </c>
      <c r="AE80" s="175">
        <v>0</v>
      </c>
      <c r="AF80" s="175">
        <v>0</v>
      </c>
      <c r="AG80" s="175">
        <v>0</v>
      </c>
      <c r="AH80" s="175">
        <v>0</v>
      </c>
      <c r="AI80" s="175">
        <v>0</v>
      </c>
      <c r="AJ80" s="175">
        <v>0</v>
      </c>
      <c r="AK80" s="175">
        <v>0</v>
      </c>
      <c r="AL80" s="175">
        <v>0</v>
      </c>
      <c r="AM80" s="175">
        <v>0</v>
      </c>
      <c r="AN80" s="175">
        <v>0</v>
      </c>
      <c r="AO80" s="175">
        <v>0</v>
      </c>
      <c r="AP80" s="175">
        <v>0</v>
      </c>
      <c r="AQ80" s="175">
        <v>0</v>
      </c>
      <c r="AR80" s="175">
        <v>0</v>
      </c>
      <c r="AS80" s="175">
        <v>0</v>
      </c>
      <c r="AT80" s="175">
        <v>0</v>
      </c>
      <c r="AU80" s="175">
        <v>0</v>
      </c>
      <c r="AV80" s="175">
        <v>0</v>
      </c>
      <c r="AW80" s="175">
        <v>0</v>
      </c>
      <c r="AX80" s="175">
        <v>0</v>
      </c>
      <c r="AY80" s="175">
        <v>0</v>
      </c>
      <c r="AZ80" s="175">
        <v>0</v>
      </c>
      <c r="BA80" s="175">
        <v>0</v>
      </c>
      <c r="BB80" s="175">
        <v>0</v>
      </c>
      <c r="BC80" s="175">
        <v>0</v>
      </c>
      <c r="BD80" s="175">
        <v>0</v>
      </c>
      <c r="BE80" s="175">
        <v>0</v>
      </c>
      <c r="BF80" s="175">
        <v>0</v>
      </c>
      <c r="BG80" s="175">
        <v>0</v>
      </c>
      <c r="BH80" s="175">
        <v>0</v>
      </c>
      <c r="BI80" s="175">
        <v>0</v>
      </c>
      <c r="BJ80" s="175">
        <v>0</v>
      </c>
      <c r="BK80" s="175">
        <v>0</v>
      </c>
      <c r="BL80" s="175">
        <v>0</v>
      </c>
      <c r="BM80" s="175">
        <v>0</v>
      </c>
      <c r="BN80" s="175">
        <v>0</v>
      </c>
      <c r="BO80" s="175">
        <v>0</v>
      </c>
      <c r="BP80" s="175">
        <v>0</v>
      </c>
      <c r="BQ80" s="175">
        <v>0</v>
      </c>
      <c r="BR80" s="175">
        <v>0</v>
      </c>
      <c r="BS80" s="175">
        <v>0</v>
      </c>
      <c r="BT80" s="175">
        <v>0</v>
      </c>
      <c r="BU80" s="175">
        <v>0</v>
      </c>
      <c r="BV80" s="175">
        <v>0</v>
      </c>
      <c r="BW80" s="175">
        <v>0</v>
      </c>
      <c r="BX80" s="175">
        <v>0</v>
      </c>
      <c r="BY80" s="175">
        <v>0</v>
      </c>
      <c r="BZ80" s="175">
        <v>0</v>
      </c>
      <c r="CA80" s="175">
        <v>0</v>
      </c>
      <c r="CB80" s="175">
        <v>0</v>
      </c>
      <c r="CC80" s="175">
        <v>0</v>
      </c>
      <c r="CD80" s="175">
        <v>0</v>
      </c>
      <c r="CE80" s="175">
        <v>0</v>
      </c>
      <c r="CF80" s="175">
        <v>0</v>
      </c>
      <c r="CG80" s="175">
        <v>0</v>
      </c>
      <c r="CH80" s="175">
        <v>0</v>
      </c>
      <c r="CI80" s="175">
        <v>0</v>
      </c>
      <c r="CJ80" s="175">
        <v>0</v>
      </c>
      <c r="CK80" s="175">
        <v>0</v>
      </c>
      <c r="CL80" s="175">
        <v>0</v>
      </c>
      <c r="CM80" s="175">
        <v>0</v>
      </c>
      <c r="CN80" s="175">
        <v>0</v>
      </c>
      <c r="CO80" s="175">
        <v>0</v>
      </c>
      <c r="CP80" s="175">
        <v>0</v>
      </c>
      <c r="CQ80" s="175">
        <v>0</v>
      </c>
    </row>
    <row r="81" spans="1:95" s="175" customFormat="1" x14ac:dyDescent="0.2">
      <c r="A81" s="175" t="s">
        <v>266</v>
      </c>
      <c r="B81" s="175">
        <v>0</v>
      </c>
      <c r="C81" s="175">
        <v>0</v>
      </c>
      <c r="D81" s="175">
        <v>0</v>
      </c>
      <c r="E81" s="175">
        <v>0</v>
      </c>
      <c r="F81" s="175">
        <v>0</v>
      </c>
      <c r="G81" s="175">
        <v>0</v>
      </c>
      <c r="H81" s="175">
        <v>0</v>
      </c>
      <c r="I81" s="175">
        <v>0</v>
      </c>
      <c r="J81" s="175">
        <v>0</v>
      </c>
      <c r="K81" s="175">
        <v>0</v>
      </c>
      <c r="L81" s="175">
        <v>0</v>
      </c>
      <c r="M81" s="175">
        <v>0</v>
      </c>
      <c r="N81" s="175">
        <v>0</v>
      </c>
      <c r="O81" s="175">
        <v>0</v>
      </c>
      <c r="P81" s="175">
        <v>0</v>
      </c>
      <c r="Q81" s="175">
        <v>0</v>
      </c>
      <c r="R81" s="175">
        <v>0</v>
      </c>
      <c r="S81" s="175">
        <v>0</v>
      </c>
      <c r="T81" s="175">
        <v>0</v>
      </c>
      <c r="U81" s="175">
        <v>0</v>
      </c>
      <c r="V81" s="175">
        <v>0</v>
      </c>
      <c r="W81" s="175">
        <v>0</v>
      </c>
      <c r="X81" s="175">
        <v>0</v>
      </c>
      <c r="Y81" s="175">
        <v>0</v>
      </c>
      <c r="Z81" s="175">
        <v>0</v>
      </c>
      <c r="AA81" s="175">
        <v>0</v>
      </c>
      <c r="AB81" s="175">
        <v>0</v>
      </c>
      <c r="AC81" s="175">
        <v>0</v>
      </c>
      <c r="AD81" s="175">
        <v>0</v>
      </c>
      <c r="AE81" s="175">
        <v>0</v>
      </c>
      <c r="AF81" s="175">
        <v>0</v>
      </c>
      <c r="AG81" s="175">
        <v>0</v>
      </c>
      <c r="AH81" s="175">
        <v>0</v>
      </c>
      <c r="AI81" s="175">
        <v>0</v>
      </c>
      <c r="AJ81" s="175">
        <v>0</v>
      </c>
      <c r="AK81" s="175">
        <v>0</v>
      </c>
      <c r="AL81" s="175">
        <v>0</v>
      </c>
      <c r="AM81" s="175">
        <v>0</v>
      </c>
      <c r="AN81" s="175">
        <v>0</v>
      </c>
      <c r="AO81" s="175">
        <v>0</v>
      </c>
      <c r="AP81" s="175">
        <v>0</v>
      </c>
      <c r="AQ81" s="175">
        <v>0</v>
      </c>
      <c r="AR81" s="175">
        <v>0</v>
      </c>
      <c r="AS81" s="175">
        <v>0</v>
      </c>
      <c r="AT81" s="175">
        <v>0</v>
      </c>
      <c r="AU81" s="175">
        <v>0</v>
      </c>
      <c r="AV81" s="175">
        <v>0</v>
      </c>
      <c r="AW81" s="175">
        <v>0</v>
      </c>
      <c r="AX81" s="175">
        <v>0</v>
      </c>
      <c r="AY81" s="175">
        <v>0</v>
      </c>
      <c r="AZ81" s="175">
        <v>0</v>
      </c>
      <c r="BA81" s="175">
        <v>0</v>
      </c>
      <c r="BB81" s="175">
        <v>0</v>
      </c>
      <c r="BC81" s="175">
        <v>0</v>
      </c>
      <c r="BD81" s="175">
        <v>0</v>
      </c>
      <c r="BE81" s="175">
        <v>0</v>
      </c>
      <c r="BF81" s="175">
        <v>0</v>
      </c>
      <c r="BG81" s="175">
        <v>0</v>
      </c>
      <c r="BH81" s="175">
        <v>0</v>
      </c>
      <c r="BI81" s="175">
        <v>0</v>
      </c>
      <c r="BJ81" s="175">
        <v>0</v>
      </c>
      <c r="BK81" s="175">
        <v>0</v>
      </c>
      <c r="BL81" s="175">
        <v>0</v>
      </c>
      <c r="BM81" s="175">
        <v>0</v>
      </c>
      <c r="BN81" s="175">
        <v>0</v>
      </c>
      <c r="BO81" s="175">
        <v>0</v>
      </c>
      <c r="BP81" s="175">
        <v>0</v>
      </c>
      <c r="BQ81" s="175">
        <v>0</v>
      </c>
      <c r="BR81" s="175">
        <v>0</v>
      </c>
      <c r="BS81" s="175">
        <v>0</v>
      </c>
      <c r="BT81" s="175">
        <v>0</v>
      </c>
      <c r="BU81" s="175">
        <v>0</v>
      </c>
      <c r="BV81" s="175">
        <v>0</v>
      </c>
      <c r="BW81" s="175">
        <v>0</v>
      </c>
      <c r="BX81" s="175">
        <v>0</v>
      </c>
      <c r="BY81" s="175">
        <v>0</v>
      </c>
      <c r="BZ81" s="175">
        <v>0</v>
      </c>
      <c r="CA81" s="175">
        <v>0</v>
      </c>
      <c r="CB81" s="175">
        <v>0</v>
      </c>
      <c r="CC81" s="175">
        <v>0</v>
      </c>
      <c r="CD81" s="175">
        <v>0</v>
      </c>
      <c r="CE81" s="175">
        <v>0</v>
      </c>
      <c r="CF81" s="175">
        <v>0</v>
      </c>
      <c r="CG81" s="175">
        <v>0</v>
      </c>
      <c r="CH81" s="175">
        <v>0</v>
      </c>
      <c r="CI81" s="175">
        <v>0</v>
      </c>
      <c r="CJ81" s="175">
        <v>0</v>
      </c>
      <c r="CK81" s="175">
        <v>0</v>
      </c>
      <c r="CL81" s="175">
        <v>0</v>
      </c>
      <c r="CM81" s="175">
        <v>0</v>
      </c>
      <c r="CN81" s="175">
        <v>0</v>
      </c>
      <c r="CO81" s="175">
        <v>0</v>
      </c>
      <c r="CP81" s="175">
        <v>0</v>
      </c>
      <c r="CQ81" s="175">
        <v>0</v>
      </c>
    </row>
    <row r="82" spans="1:95" s="175" customFormat="1" x14ac:dyDescent="0.2">
      <c r="A82" s="175" t="s">
        <v>267</v>
      </c>
      <c r="B82" s="175">
        <v>0</v>
      </c>
      <c r="C82" s="175">
        <v>0</v>
      </c>
      <c r="D82" s="175">
        <v>0</v>
      </c>
      <c r="E82" s="175">
        <v>0</v>
      </c>
      <c r="F82" s="175">
        <v>0</v>
      </c>
      <c r="G82" s="175">
        <v>0</v>
      </c>
      <c r="H82" s="175">
        <v>0</v>
      </c>
      <c r="I82" s="175">
        <v>0</v>
      </c>
      <c r="J82" s="175">
        <v>0</v>
      </c>
      <c r="K82" s="175">
        <v>0</v>
      </c>
      <c r="L82" s="175">
        <v>0</v>
      </c>
      <c r="M82" s="175">
        <v>0</v>
      </c>
      <c r="N82" s="175">
        <v>0</v>
      </c>
      <c r="O82" s="175">
        <v>0</v>
      </c>
      <c r="P82" s="175">
        <v>0</v>
      </c>
      <c r="Q82" s="175">
        <v>0</v>
      </c>
      <c r="R82" s="175">
        <v>0</v>
      </c>
      <c r="S82" s="175">
        <v>0</v>
      </c>
      <c r="T82" s="175">
        <v>0</v>
      </c>
      <c r="U82" s="175">
        <v>0</v>
      </c>
      <c r="V82" s="175">
        <v>0</v>
      </c>
      <c r="W82" s="175">
        <v>0</v>
      </c>
      <c r="X82" s="175">
        <v>0</v>
      </c>
      <c r="Y82" s="175">
        <v>0</v>
      </c>
      <c r="Z82" s="175">
        <v>0</v>
      </c>
      <c r="AA82" s="175">
        <v>0</v>
      </c>
      <c r="AB82" s="175">
        <v>0</v>
      </c>
      <c r="AC82" s="175">
        <v>0</v>
      </c>
      <c r="AD82" s="175">
        <v>0</v>
      </c>
      <c r="AE82" s="175">
        <v>0</v>
      </c>
      <c r="AF82" s="175">
        <v>0</v>
      </c>
      <c r="AG82" s="175">
        <v>0</v>
      </c>
      <c r="AH82" s="175">
        <v>0</v>
      </c>
      <c r="AI82" s="175">
        <v>0</v>
      </c>
      <c r="AJ82" s="175">
        <v>0</v>
      </c>
      <c r="AK82" s="175">
        <v>0</v>
      </c>
      <c r="AL82" s="175">
        <v>0</v>
      </c>
      <c r="AM82" s="175">
        <v>0</v>
      </c>
      <c r="AN82" s="175">
        <v>0</v>
      </c>
      <c r="AO82" s="175">
        <v>0</v>
      </c>
      <c r="AP82" s="175">
        <v>0</v>
      </c>
      <c r="AQ82" s="175">
        <v>0</v>
      </c>
      <c r="AR82" s="175">
        <v>0</v>
      </c>
      <c r="AS82" s="175">
        <v>0</v>
      </c>
      <c r="AT82" s="175">
        <v>0</v>
      </c>
      <c r="AU82" s="175">
        <v>0</v>
      </c>
      <c r="AV82" s="175">
        <v>0</v>
      </c>
      <c r="AW82" s="175">
        <v>0</v>
      </c>
      <c r="AX82" s="175">
        <v>0</v>
      </c>
      <c r="AY82" s="175">
        <v>0</v>
      </c>
      <c r="AZ82" s="175">
        <v>0</v>
      </c>
      <c r="BA82" s="175">
        <v>0</v>
      </c>
      <c r="BB82" s="175">
        <v>0</v>
      </c>
      <c r="BC82" s="175">
        <v>0</v>
      </c>
      <c r="BD82" s="175">
        <v>0</v>
      </c>
      <c r="BE82" s="175">
        <v>0</v>
      </c>
      <c r="BF82" s="175">
        <v>0</v>
      </c>
      <c r="BG82" s="175">
        <v>0</v>
      </c>
      <c r="BH82" s="175">
        <v>0</v>
      </c>
      <c r="BI82" s="175">
        <v>0</v>
      </c>
      <c r="BJ82" s="175">
        <v>0</v>
      </c>
      <c r="BK82" s="175">
        <v>0</v>
      </c>
      <c r="BL82" s="175">
        <v>0</v>
      </c>
      <c r="BM82" s="175">
        <v>0</v>
      </c>
      <c r="BN82" s="175">
        <v>0</v>
      </c>
      <c r="BO82" s="175">
        <v>0</v>
      </c>
      <c r="BP82" s="175">
        <v>0</v>
      </c>
      <c r="BQ82" s="175">
        <v>0</v>
      </c>
      <c r="BR82" s="175">
        <v>0</v>
      </c>
      <c r="BS82" s="175">
        <v>0</v>
      </c>
      <c r="BT82" s="175">
        <v>0</v>
      </c>
      <c r="BU82" s="175">
        <v>0</v>
      </c>
      <c r="BV82" s="175">
        <v>0</v>
      </c>
      <c r="BW82" s="175">
        <v>0</v>
      </c>
      <c r="BX82" s="175">
        <v>0</v>
      </c>
      <c r="BY82" s="175">
        <v>0</v>
      </c>
      <c r="BZ82" s="175">
        <v>0</v>
      </c>
      <c r="CA82" s="175">
        <v>0</v>
      </c>
      <c r="CB82" s="175">
        <v>0</v>
      </c>
      <c r="CC82" s="175">
        <v>0</v>
      </c>
      <c r="CD82" s="175">
        <v>0</v>
      </c>
      <c r="CE82" s="175">
        <v>0</v>
      </c>
      <c r="CF82" s="175">
        <v>0</v>
      </c>
      <c r="CG82" s="175">
        <v>0</v>
      </c>
      <c r="CH82" s="175">
        <v>0</v>
      </c>
      <c r="CI82" s="175">
        <v>0</v>
      </c>
      <c r="CJ82" s="175">
        <v>0</v>
      </c>
      <c r="CK82" s="175">
        <v>0</v>
      </c>
      <c r="CL82" s="175">
        <v>0</v>
      </c>
      <c r="CM82" s="175">
        <v>0</v>
      </c>
      <c r="CN82" s="175">
        <v>0</v>
      </c>
      <c r="CO82" s="175">
        <v>0</v>
      </c>
      <c r="CP82" s="175">
        <v>0</v>
      </c>
      <c r="CQ82" s="175">
        <v>0</v>
      </c>
    </row>
    <row r="83" spans="1:95" s="175" customFormat="1" x14ac:dyDescent="0.2">
      <c r="A83" s="175" t="s">
        <v>218</v>
      </c>
      <c r="B83" s="175">
        <v>0</v>
      </c>
      <c r="C83" s="175">
        <v>0</v>
      </c>
      <c r="D83" s="175">
        <v>0</v>
      </c>
      <c r="E83" s="175">
        <v>0</v>
      </c>
      <c r="F83" s="175">
        <v>0</v>
      </c>
      <c r="G83" s="175">
        <v>0</v>
      </c>
      <c r="H83" s="175">
        <v>0</v>
      </c>
      <c r="I83" s="175">
        <v>0</v>
      </c>
      <c r="J83" s="175">
        <v>0</v>
      </c>
      <c r="K83" s="175">
        <v>0</v>
      </c>
      <c r="L83" s="175">
        <v>0</v>
      </c>
      <c r="M83" s="175">
        <v>0</v>
      </c>
      <c r="N83" s="175">
        <v>0</v>
      </c>
      <c r="O83" s="175">
        <v>0</v>
      </c>
      <c r="P83" s="175">
        <v>0</v>
      </c>
      <c r="Q83" s="175">
        <v>0</v>
      </c>
      <c r="R83" s="175">
        <v>0</v>
      </c>
      <c r="S83" s="175">
        <v>0</v>
      </c>
      <c r="T83" s="175">
        <v>0</v>
      </c>
      <c r="U83" s="175">
        <v>0</v>
      </c>
      <c r="V83" s="175">
        <v>0</v>
      </c>
      <c r="W83" s="175">
        <v>0</v>
      </c>
      <c r="X83" s="175">
        <v>0</v>
      </c>
      <c r="Y83" s="175">
        <v>0</v>
      </c>
      <c r="Z83" s="175">
        <v>0</v>
      </c>
      <c r="AA83" s="175">
        <v>0</v>
      </c>
      <c r="AB83" s="175">
        <v>0</v>
      </c>
      <c r="AC83" s="175">
        <v>0</v>
      </c>
      <c r="AD83" s="175">
        <v>0</v>
      </c>
      <c r="AE83" s="175">
        <v>0</v>
      </c>
      <c r="AF83" s="175">
        <v>0</v>
      </c>
      <c r="AG83" s="175">
        <v>0</v>
      </c>
      <c r="AH83" s="175">
        <v>0</v>
      </c>
      <c r="AI83" s="175">
        <v>0</v>
      </c>
      <c r="AJ83" s="175">
        <v>0</v>
      </c>
      <c r="AK83" s="175">
        <v>0</v>
      </c>
      <c r="AL83" s="175">
        <v>0</v>
      </c>
      <c r="AM83" s="175">
        <v>0</v>
      </c>
      <c r="AN83" s="175">
        <v>0</v>
      </c>
      <c r="AO83" s="175">
        <v>0</v>
      </c>
      <c r="AP83" s="175">
        <v>0</v>
      </c>
      <c r="AQ83" s="175">
        <v>0</v>
      </c>
      <c r="AR83" s="175">
        <v>0</v>
      </c>
      <c r="AS83" s="175">
        <v>0</v>
      </c>
      <c r="AT83" s="175">
        <v>0</v>
      </c>
      <c r="AU83" s="175">
        <v>0</v>
      </c>
      <c r="AV83" s="175">
        <v>0</v>
      </c>
      <c r="AW83" s="175">
        <v>0</v>
      </c>
      <c r="AX83" s="175">
        <v>0</v>
      </c>
      <c r="AY83" s="175">
        <v>0</v>
      </c>
      <c r="AZ83" s="175">
        <v>0</v>
      </c>
      <c r="BA83" s="175">
        <v>0</v>
      </c>
      <c r="BB83" s="175">
        <v>0</v>
      </c>
      <c r="BC83" s="175">
        <v>0</v>
      </c>
      <c r="BD83" s="175">
        <v>0</v>
      </c>
      <c r="BE83" s="175">
        <v>0</v>
      </c>
      <c r="BF83" s="175">
        <v>0</v>
      </c>
      <c r="BG83" s="175">
        <v>0</v>
      </c>
      <c r="BH83" s="175">
        <v>0</v>
      </c>
      <c r="BI83" s="175">
        <v>0</v>
      </c>
      <c r="BJ83" s="175">
        <v>0</v>
      </c>
      <c r="BK83" s="175">
        <v>0</v>
      </c>
      <c r="BL83" s="175">
        <v>0</v>
      </c>
      <c r="BM83" s="175">
        <v>0</v>
      </c>
      <c r="BN83" s="175">
        <v>0</v>
      </c>
      <c r="BO83" s="175">
        <v>0</v>
      </c>
      <c r="BP83" s="175">
        <v>0</v>
      </c>
      <c r="BQ83" s="175">
        <v>0</v>
      </c>
      <c r="BR83" s="175">
        <v>0</v>
      </c>
      <c r="BS83" s="175">
        <v>0</v>
      </c>
      <c r="BT83" s="175">
        <v>0</v>
      </c>
      <c r="BU83" s="175">
        <v>0</v>
      </c>
      <c r="BV83" s="175">
        <v>0</v>
      </c>
      <c r="BW83" s="175">
        <v>0</v>
      </c>
      <c r="BX83" s="175">
        <v>0</v>
      </c>
      <c r="BY83" s="175">
        <v>0</v>
      </c>
      <c r="BZ83" s="175">
        <v>0</v>
      </c>
      <c r="CA83" s="175">
        <v>0</v>
      </c>
      <c r="CB83" s="175">
        <v>0</v>
      </c>
      <c r="CC83" s="175">
        <v>0</v>
      </c>
      <c r="CD83" s="175">
        <v>0</v>
      </c>
      <c r="CE83" s="175">
        <v>0</v>
      </c>
      <c r="CF83" s="175">
        <v>0</v>
      </c>
      <c r="CG83" s="175">
        <v>0</v>
      </c>
      <c r="CH83" s="175">
        <v>0</v>
      </c>
      <c r="CI83" s="175">
        <v>0</v>
      </c>
      <c r="CJ83" s="175">
        <v>0</v>
      </c>
      <c r="CK83" s="175">
        <v>0</v>
      </c>
      <c r="CL83" s="175">
        <v>0</v>
      </c>
      <c r="CM83" s="175">
        <v>0</v>
      </c>
      <c r="CN83" s="175">
        <v>0</v>
      </c>
      <c r="CO83" s="175">
        <v>0</v>
      </c>
      <c r="CP83" s="175">
        <v>0</v>
      </c>
      <c r="CQ83" s="175">
        <v>0</v>
      </c>
    </row>
    <row r="84" spans="1:95" s="175" customFormat="1" x14ac:dyDescent="0.2">
      <c r="A84" s="175" t="s">
        <v>219</v>
      </c>
      <c r="B84" s="175">
        <v>0</v>
      </c>
      <c r="C84" s="175">
        <v>0</v>
      </c>
      <c r="D84" s="175">
        <v>0</v>
      </c>
      <c r="E84" s="175">
        <v>0</v>
      </c>
      <c r="F84" s="175">
        <v>0</v>
      </c>
      <c r="G84" s="175">
        <v>0</v>
      </c>
      <c r="H84" s="175">
        <v>0</v>
      </c>
      <c r="I84" s="175">
        <v>0</v>
      </c>
      <c r="J84" s="175">
        <v>0</v>
      </c>
      <c r="K84" s="175">
        <v>0</v>
      </c>
      <c r="L84" s="175">
        <v>0</v>
      </c>
      <c r="M84" s="175">
        <v>0</v>
      </c>
      <c r="N84" s="175">
        <v>0</v>
      </c>
      <c r="O84" s="175">
        <v>0</v>
      </c>
      <c r="P84" s="175">
        <v>0</v>
      </c>
      <c r="Q84" s="175">
        <v>0</v>
      </c>
      <c r="R84" s="175">
        <v>0</v>
      </c>
      <c r="S84" s="175">
        <v>0</v>
      </c>
      <c r="T84" s="175">
        <v>0</v>
      </c>
      <c r="U84" s="175">
        <v>0</v>
      </c>
      <c r="V84" s="175">
        <v>0</v>
      </c>
      <c r="W84" s="175">
        <v>0</v>
      </c>
      <c r="X84" s="175">
        <v>0</v>
      </c>
      <c r="Y84" s="175">
        <v>0</v>
      </c>
      <c r="Z84" s="175">
        <v>0</v>
      </c>
      <c r="AA84" s="175">
        <v>0</v>
      </c>
      <c r="AB84" s="175">
        <v>0</v>
      </c>
      <c r="AC84" s="175">
        <v>0</v>
      </c>
      <c r="AD84" s="175">
        <v>0</v>
      </c>
      <c r="AE84" s="175">
        <v>0</v>
      </c>
      <c r="AF84" s="175">
        <v>0</v>
      </c>
      <c r="AG84" s="175">
        <v>0</v>
      </c>
      <c r="AH84" s="175">
        <v>0</v>
      </c>
      <c r="AI84" s="175">
        <v>0</v>
      </c>
      <c r="AJ84" s="175">
        <v>0</v>
      </c>
      <c r="AK84" s="175">
        <v>0</v>
      </c>
      <c r="AL84" s="175">
        <v>0</v>
      </c>
      <c r="AM84" s="175">
        <v>0</v>
      </c>
      <c r="AN84" s="175">
        <v>0</v>
      </c>
      <c r="AO84" s="175">
        <v>0</v>
      </c>
      <c r="AP84" s="175">
        <v>0</v>
      </c>
      <c r="AQ84" s="175">
        <v>0</v>
      </c>
      <c r="AR84" s="175">
        <v>0</v>
      </c>
      <c r="AS84" s="175">
        <v>0</v>
      </c>
      <c r="AT84" s="175">
        <v>0</v>
      </c>
      <c r="AU84" s="175">
        <v>0</v>
      </c>
      <c r="AV84" s="175">
        <v>0</v>
      </c>
      <c r="AW84" s="175">
        <v>0</v>
      </c>
      <c r="AX84" s="175">
        <v>0</v>
      </c>
      <c r="AY84" s="175">
        <v>0</v>
      </c>
      <c r="AZ84" s="175">
        <v>0</v>
      </c>
      <c r="BA84" s="175">
        <v>0</v>
      </c>
      <c r="BB84" s="175">
        <v>0</v>
      </c>
      <c r="BC84" s="175">
        <v>0</v>
      </c>
      <c r="BD84" s="175">
        <v>0</v>
      </c>
      <c r="BE84" s="175">
        <v>0</v>
      </c>
      <c r="BF84" s="175">
        <v>0</v>
      </c>
      <c r="BG84" s="175">
        <v>0</v>
      </c>
      <c r="BH84" s="175">
        <v>0</v>
      </c>
      <c r="BI84" s="175">
        <v>0</v>
      </c>
      <c r="BJ84" s="175">
        <v>0</v>
      </c>
      <c r="BK84" s="175">
        <v>0</v>
      </c>
      <c r="BL84" s="175">
        <v>0</v>
      </c>
      <c r="BM84" s="175">
        <v>0</v>
      </c>
      <c r="BN84" s="175">
        <v>0</v>
      </c>
      <c r="BO84" s="175">
        <v>0</v>
      </c>
      <c r="BP84" s="175">
        <v>0</v>
      </c>
      <c r="BQ84" s="175">
        <v>0</v>
      </c>
      <c r="BR84" s="175">
        <v>0</v>
      </c>
      <c r="BS84" s="175">
        <v>0</v>
      </c>
      <c r="BT84" s="175">
        <v>0</v>
      </c>
      <c r="BU84" s="175">
        <v>0</v>
      </c>
      <c r="BV84" s="175">
        <v>0</v>
      </c>
      <c r="BW84" s="175">
        <v>0</v>
      </c>
      <c r="BX84" s="175">
        <v>0</v>
      </c>
      <c r="BY84" s="175">
        <v>0</v>
      </c>
      <c r="BZ84" s="175">
        <v>0</v>
      </c>
      <c r="CA84" s="175">
        <v>0</v>
      </c>
      <c r="CB84" s="175">
        <v>0</v>
      </c>
      <c r="CC84" s="175">
        <v>0</v>
      </c>
      <c r="CD84" s="175">
        <v>0</v>
      </c>
      <c r="CE84" s="175">
        <v>0</v>
      </c>
      <c r="CF84" s="175">
        <v>0</v>
      </c>
      <c r="CG84" s="175">
        <v>0</v>
      </c>
      <c r="CH84" s="175">
        <v>0</v>
      </c>
      <c r="CI84" s="175">
        <v>0</v>
      </c>
      <c r="CJ84" s="175">
        <v>0</v>
      </c>
      <c r="CK84" s="175">
        <v>0</v>
      </c>
      <c r="CL84" s="175">
        <v>0</v>
      </c>
      <c r="CM84" s="175">
        <v>0</v>
      </c>
      <c r="CN84" s="175">
        <v>0</v>
      </c>
      <c r="CO84" s="175">
        <v>0</v>
      </c>
      <c r="CP84" s="175">
        <v>0</v>
      </c>
      <c r="CQ84" s="175">
        <v>0</v>
      </c>
    </row>
    <row r="85" spans="1:95" s="175" customFormat="1" x14ac:dyDescent="0.2">
      <c r="A85" s="175" t="s">
        <v>220</v>
      </c>
      <c r="B85" s="175">
        <v>0</v>
      </c>
      <c r="C85" s="175">
        <v>0</v>
      </c>
      <c r="D85" s="175">
        <v>0</v>
      </c>
      <c r="E85" s="175">
        <v>0</v>
      </c>
      <c r="F85" s="175">
        <v>0</v>
      </c>
      <c r="G85" s="175">
        <v>0</v>
      </c>
      <c r="H85" s="175">
        <v>0</v>
      </c>
      <c r="I85" s="175">
        <v>0</v>
      </c>
      <c r="J85" s="175">
        <v>0</v>
      </c>
      <c r="K85" s="175">
        <v>0</v>
      </c>
      <c r="L85" s="175">
        <v>0</v>
      </c>
      <c r="M85" s="175">
        <v>0</v>
      </c>
      <c r="N85" s="175">
        <v>0</v>
      </c>
      <c r="O85" s="175">
        <v>0</v>
      </c>
      <c r="P85" s="175">
        <v>0</v>
      </c>
      <c r="Q85" s="175">
        <v>0</v>
      </c>
      <c r="R85" s="175">
        <v>0</v>
      </c>
      <c r="S85" s="175">
        <v>0</v>
      </c>
      <c r="T85" s="175">
        <v>0</v>
      </c>
      <c r="U85" s="175">
        <v>0</v>
      </c>
      <c r="V85" s="175">
        <v>0</v>
      </c>
      <c r="W85" s="175">
        <v>0</v>
      </c>
      <c r="X85" s="175">
        <v>0</v>
      </c>
      <c r="Y85" s="175">
        <v>0</v>
      </c>
      <c r="Z85" s="175">
        <v>0</v>
      </c>
      <c r="AA85" s="175">
        <v>0</v>
      </c>
      <c r="AB85" s="175">
        <v>0</v>
      </c>
      <c r="AC85" s="175">
        <v>0</v>
      </c>
      <c r="AD85" s="175">
        <v>0</v>
      </c>
      <c r="AE85" s="175">
        <v>0</v>
      </c>
      <c r="AF85" s="175">
        <v>0</v>
      </c>
      <c r="AG85" s="175">
        <v>0</v>
      </c>
      <c r="AH85" s="175">
        <v>0</v>
      </c>
      <c r="AI85" s="175">
        <v>0</v>
      </c>
      <c r="AJ85" s="175">
        <v>0</v>
      </c>
      <c r="AK85" s="175">
        <v>0</v>
      </c>
      <c r="AL85" s="175">
        <v>0</v>
      </c>
      <c r="AM85" s="175">
        <v>0</v>
      </c>
      <c r="AN85" s="175">
        <v>0</v>
      </c>
      <c r="AO85" s="175">
        <v>0</v>
      </c>
      <c r="AP85" s="175">
        <v>0</v>
      </c>
      <c r="AQ85" s="175">
        <v>0</v>
      </c>
      <c r="AR85" s="175">
        <v>0</v>
      </c>
      <c r="AS85" s="175">
        <v>0</v>
      </c>
      <c r="AT85" s="175">
        <v>0</v>
      </c>
      <c r="AU85" s="175">
        <v>0</v>
      </c>
      <c r="AV85" s="175">
        <v>0</v>
      </c>
      <c r="AW85" s="175">
        <v>0</v>
      </c>
      <c r="AX85" s="175">
        <v>0</v>
      </c>
      <c r="AY85" s="175">
        <v>0</v>
      </c>
      <c r="AZ85" s="175">
        <v>0</v>
      </c>
      <c r="BA85" s="175">
        <v>0</v>
      </c>
      <c r="BB85" s="175">
        <v>0</v>
      </c>
      <c r="BC85" s="175">
        <v>0</v>
      </c>
      <c r="BD85" s="175">
        <v>0</v>
      </c>
      <c r="BE85" s="175">
        <v>0</v>
      </c>
      <c r="BF85" s="175">
        <v>0</v>
      </c>
      <c r="BG85" s="175">
        <v>0</v>
      </c>
      <c r="BH85" s="175">
        <v>0</v>
      </c>
      <c r="BI85" s="175">
        <v>0</v>
      </c>
      <c r="BJ85" s="175">
        <v>0</v>
      </c>
      <c r="BK85" s="175">
        <v>0</v>
      </c>
      <c r="BL85" s="175">
        <v>0</v>
      </c>
      <c r="BM85" s="175">
        <v>0</v>
      </c>
      <c r="BN85" s="175">
        <v>0</v>
      </c>
      <c r="BO85" s="175">
        <v>0</v>
      </c>
      <c r="BP85" s="175">
        <v>0</v>
      </c>
      <c r="BQ85" s="175">
        <v>0</v>
      </c>
      <c r="BR85" s="175">
        <v>0</v>
      </c>
      <c r="BS85" s="175">
        <v>0</v>
      </c>
      <c r="BT85" s="175">
        <v>0</v>
      </c>
      <c r="BU85" s="175">
        <v>0</v>
      </c>
      <c r="BV85" s="175">
        <v>0</v>
      </c>
      <c r="BW85" s="175">
        <v>0</v>
      </c>
      <c r="BX85" s="175">
        <v>0</v>
      </c>
      <c r="BY85" s="175">
        <v>0</v>
      </c>
      <c r="BZ85" s="175">
        <v>0</v>
      </c>
      <c r="CA85" s="175">
        <v>0</v>
      </c>
      <c r="CB85" s="175">
        <v>0</v>
      </c>
      <c r="CC85" s="175">
        <v>0</v>
      </c>
      <c r="CD85" s="175">
        <v>0</v>
      </c>
      <c r="CE85" s="175">
        <v>0</v>
      </c>
      <c r="CF85" s="175">
        <v>0</v>
      </c>
      <c r="CG85" s="175">
        <v>0</v>
      </c>
      <c r="CH85" s="175">
        <v>0</v>
      </c>
      <c r="CI85" s="175">
        <v>0</v>
      </c>
      <c r="CJ85" s="175">
        <v>0</v>
      </c>
      <c r="CK85" s="175">
        <v>0</v>
      </c>
      <c r="CL85" s="175">
        <v>0</v>
      </c>
      <c r="CM85" s="175">
        <v>0</v>
      </c>
      <c r="CN85" s="175">
        <v>0</v>
      </c>
      <c r="CO85" s="175">
        <v>0</v>
      </c>
      <c r="CP85" s="175">
        <v>0</v>
      </c>
      <c r="CQ85" s="175">
        <v>0</v>
      </c>
    </row>
    <row r="86" spans="1:95" s="175" customFormat="1" x14ac:dyDescent="0.2">
      <c r="A86" s="175" t="s">
        <v>221</v>
      </c>
      <c r="B86" s="175">
        <v>0</v>
      </c>
      <c r="C86" s="175">
        <v>0</v>
      </c>
      <c r="D86" s="175">
        <v>0</v>
      </c>
      <c r="E86" s="175">
        <v>0</v>
      </c>
      <c r="F86" s="175">
        <v>0</v>
      </c>
      <c r="G86" s="175">
        <v>0</v>
      </c>
      <c r="H86" s="175">
        <v>0</v>
      </c>
      <c r="I86" s="175">
        <v>0</v>
      </c>
      <c r="J86" s="175">
        <v>0</v>
      </c>
      <c r="K86" s="175">
        <v>0</v>
      </c>
      <c r="L86" s="175">
        <v>0</v>
      </c>
      <c r="M86" s="175">
        <v>0</v>
      </c>
      <c r="N86" s="175">
        <v>0</v>
      </c>
      <c r="O86" s="175">
        <v>0</v>
      </c>
      <c r="P86" s="175">
        <v>0</v>
      </c>
      <c r="Q86" s="175">
        <v>0</v>
      </c>
      <c r="R86" s="175">
        <v>0</v>
      </c>
      <c r="S86" s="175">
        <v>0</v>
      </c>
      <c r="T86" s="175">
        <v>0</v>
      </c>
      <c r="U86" s="175">
        <v>0</v>
      </c>
      <c r="V86" s="175">
        <v>0</v>
      </c>
      <c r="W86" s="175">
        <v>0</v>
      </c>
      <c r="X86" s="175">
        <v>0</v>
      </c>
      <c r="Y86" s="175">
        <v>0</v>
      </c>
      <c r="Z86" s="175">
        <v>0</v>
      </c>
      <c r="AA86" s="175">
        <v>0</v>
      </c>
      <c r="AB86" s="175">
        <v>0</v>
      </c>
      <c r="AC86" s="175">
        <v>0</v>
      </c>
      <c r="AD86" s="175">
        <v>0</v>
      </c>
      <c r="AE86" s="175">
        <v>0</v>
      </c>
      <c r="AF86" s="175">
        <v>0</v>
      </c>
      <c r="AG86" s="175">
        <v>0</v>
      </c>
      <c r="AH86" s="175">
        <v>0</v>
      </c>
      <c r="AI86" s="175">
        <v>0</v>
      </c>
      <c r="AJ86" s="175">
        <v>0</v>
      </c>
      <c r="AK86" s="175">
        <v>0</v>
      </c>
      <c r="AL86" s="175">
        <v>0</v>
      </c>
      <c r="AM86" s="175">
        <v>0</v>
      </c>
      <c r="AN86" s="175">
        <v>0</v>
      </c>
      <c r="AO86" s="175">
        <v>0</v>
      </c>
      <c r="AP86" s="175">
        <v>0</v>
      </c>
      <c r="AQ86" s="175">
        <v>0</v>
      </c>
      <c r="AR86" s="175">
        <v>0</v>
      </c>
      <c r="AS86" s="175">
        <v>0</v>
      </c>
      <c r="AT86" s="175">
        <v>0</v>
      </c>
      <c r="AU86" s="175">
        <v>0</v>
      </c>
      <c r="AV86" s="175">
        <v>0</v>
      </c>
      <c r="AW86" s="175">
        <v>0</v>
      </c>
      <c r="AX86" s="175">
        <v>0</v>
      </c>
      <c r="AY86" s="175">
        <v>0</v>
      </c>
      <c r="AZ86" s="175">
        <v>0</v>
      </c>
      <c r="BA86" s="175">
        <v>0</v>
      </c>
      <c r="BB86" s="175">
        <v>0</v>
      </c>
      <c r="BC86" s="175">
        <v>0</v>
      </c>
      <c r="BD86" s="175">
        <v>0</v>
      </c>
      <c r="BE86" s="175">
        <v>0</v>
      </c>
      <c r="BF86" s="175">
        <v>0</v>
      </c>
      <c r="BG86" s="175">
        <v>0</v>
      </c>
      <c r="BH86" s="175">
        <v>0</v>
      </c>
      <c r="BI86" s="175">
        <v>0</v>
      </c>
      <c r="BJ86" s="175">
        <v>0</v>
      </c>
      <c r="BK86" s="175">
        <v>0</v>
      </c>
      <c r="BL86" s="175">
        <v>0</v>
      </c>
      <c r="BM86" s="175">
        <v>0</v>
      </c>
      <c r="BN86" s="175">
        <v>0</v>
      </c>
      <c r="BO86" s="175">
        <v>0</v>
      </c>
      <c r="BP86" s="175">
        <v>0</v>
      </c>
      <c r="BQ86" s="175">
        <v>0</v>
      </c>
      <c r="BR86" s="175">
        <v>0</v>
      </c>
      <c r="BS86" s="175">
        <v>0</v>
      </c>
      <c r="BT86" s="175">
        <v>0</v>
      </c>
      <c r="BU86" s="175">
        <v>0</v>
      </c>
      <c r="BV86" s="175">
        <v>0</v>
      </c>
      <c r="BW86" s="175">
        <v>0</v>
      </c>
      <c r="BX86" s="175">
        <v>0</v>
      </c>
      <c r="BY86" s="175">
        <v>0</v>
      </c>
      <c r="BZ86" s="175">
        <v>0</v>
      </c>
      <c r="CA86" s="175">
        <v>0</v>
      </c>
      <c r="CB86" s="175">
        <v>0</v>
      </c>
      <c r="CC86" s="175">
        <v>0</v>
      </c>
      <c r="CD86" s="175">
        <v>0</v>
      </c>
      <c r="CE86" s="175">
        <v>0</v>
      </c>
      <c r="CF86" s="175">
        <v>0</v>
      </c>
      <c r="CG86" s="175">
        <v>0</v>
      </c>
      <c r="CH86" s="175">
        <v>0</v>
      </c>
      <c r="CI86" s="175">
        <v>0</v>
      </c>
      <c r="CJ86" s="175">
        <v>0</v>
      </c>
      <c r="CK86" s="175">
        <v>0</v>
      </c>
      <c r="CL86" s="175">
        <v>0</v>
      </c>
      <c r="CM86" s="175">
        <v>0</v>
      </c>
      <c r="CN86" s="175">
        <v>0</v>
      </c>
      <c r="CO86" s="175">
        <v>0</v>
      </c>
      <c r="CP86" s="175">
        <v>0</v>
      </c>
      <c r="CQ86" s="175">
        <v>0</v>
      </c>
    </row>
    <row r="87" spans="1:95" s="175" customFormat="1" x14ac:dyDescent="0.2">
      <c r="A87" s="175" t="s">
        <v>268</v>
      </c>
      <c r="B87" s="175">
        <v>0</v>
      </c>
      <c r="C87" s="175">
        <v>0</v>
      </c>
      <c r="D87" s="175">
        <v>0</v>
      </c>
      <c r="E87" s="175">
        <v>0</v>
      </c>
      <c r="F87" s="175">
        <v>0</v>
      </c>
      <c r="G87" s="175">
        <v>0</v>
      </c>
      <c r="H87" s="175">
        <v>0</v>
      </c>
      <c r="I87" s="175">
        <v>0</v>
      </c>
      <c r="J87" s="175">
        <v>0</v>
      </c>
      <c r="K87" s="175">
        <v>0</v>
      </c>
      <c r="L87" s="175">
        <v>0</v>
      </c>
      <c r="M87" s="175">
        <v>0</v>
      </c>
      <c r="N87" s="175">
        <v>0</v>
      </c>
      <c r="O87" s="175">
        <v>0</v>
      </c>
      <c r="P87" s="175">
        <v>0</v>
      </c>
      <c r="Q87" s="175">
        <v>0</v>
      </c>
      <c r="R87" s="175">
        <v>0</v>
      </c>
      <c r="S87" s="175">
        <v>0</v>
      </c>
      <c r="T87" s="175">
        <v>0</v>
      </c>
      <c r="U87" s="175">
        <v>0</v>
      </c>
      <c r="V87" s="175">
        <v>0</v>
      </c>
      <c r="W87" s="175">
        <v>0</v>
      </c>
      <c r="X87" s="175">
        <v>0</v>
      </c>
      <c r="Y87" s="175">
        <v>0</v>
      </c>
      <c r="Z87" s="175">
        <v>0</v>
      </c>
      <c r="AA87" s="175">
        <v>0</v>
      </c>
      <c r="AB87" s="175">
        <v>0</v>
      </c>
      <c r="AC87" s="175">
        <v>0</v>
      </c>
      <c r="AD87" s="175">
        <v>0</v>
      </c>
      <c r="AE87" s="175">
        <v>0</v>
      </c>
      <c r="AF87" s="175">
        <v>0</v>
      </c>
      <c r="AG87" s="175">
        <v>0</v>
      </c>
      <c r="AH87" s="175">
        <v>0</v>
      </c>
      <c r="AI87" s="175">
        <v>0</v>
      </c>
      <c r="AJ87" s="175">
        <v>0</v>
      </c>
      <c r="AK87" s="175">
        <v>0</v>
      </c>
      <c r="AL87" s="175">
        <v>0</v>
      </c>
      <c r="AM87" s="175">
        <v>0</v>
      </c>
      <c r="AN87" s="175">
        <v>0</v>
      </c>
      <c r="AO87" s="175">
        <v>0</v>
      </c>
      <c r="AP87" s="175">
        <v>0</v>
      </c>
      <c r="AQ87" s="175">
        <v>0</v>
      </c>
      <c r="AR87" s="175">
        <v>0</v>
      </c>
      <c r="AS87" s="175">
        <v>0</v>
      </c>
      <c r="AT87" s="175">
        <v>0</v>
      </c>
      <c r="AU87" s="175">
        <v>0</v>
      </c>
      <c r="AV87" s="175">
        <v>0</v>
      </c>
      <c r="AW87" s="175">
        <v>0</v>
      </c>
      <c r="AX87" s="175">
        <v>0</v>
      </c>
      <c r="AY87" s="175">
        <v>0</v>
      </c>
      <c r="AZ87" s="175">
        <v>0</v>
      </c>
      <c r="BA87" s="175">
        <v>0</v>
      </c>
      <c r="BB87" s="175">
        <v>0</v>
      </c>
      <c r="BC87" s="175">
        <v>0</v>
      </c>
      <c r="BD87" s="175">
        <v>0</v>
      </c>
      <c r="BE87" s="175">
        <v>0</v>
      </c>
      <c r="BF87" s="175">
        <v>0</v>
      </c>
      <c r="BG87" s="175">
        <v>0</v>
      </c>
      <c r="BH87" s="175">
        <v>0</v>
      </c>
      <c r="BI87" s="175">
        <v>0</v>
      </c>
      <c r="BJ87" s="175">
        <v>0</v>
      </c>
      <c r="BK87" s="175">
        <v>0</v>
      </c>
      <c r="BL87" s="175">
        <v>0</v>
      </c>
      <c r="BM87" s="175">
        <v>0</v>
      </c>
      <c r="BN87" s="175">
        <v>0</v>
      </c>
      <c r="BO87" s="175">
        <v>0</v>
      </c>
      <c r="BP87" s="175">
        <v>0</v>
      </c>
      <c r="BQ87" s="175">
        <v>0</v>
      </c>
      <c r="BR87" s="175">
        <v>0</v>
      </c>
      <c r="BS87" s="175">
        <v>0</v>
      </c>
      <c r="BT87" s="175">
        <v>0</v>
      </c>
      <c r="BU87" s="175">
        <v>0</v>
      </c>
      <c r="BV87" s="175">
        <v>0</v>
      </c>
      <c r="BW87" s="175">
        <v>0</v>
      </c>
      <c r="BX87" s="175">
        <v>0</v>
      </c>
      <c r="BY87" s="175">
        <v>0</v>
      </c>
      <c r="BZ87" s="175">
        <v>0</v>
      </c>
      <c r="CA87" s="175">
        <v>0</v>
      </c>
      <c r="CB87" s="175">
        <v>0</v>
      </c>
      <c r="CC87" s="175">
        <v>0</v>
      </c>
      <c r="CD87" s="175">
        <v>0</v>
      </c>
      <c r="CE87" s="175">
        <v>0</v>
      </c>
      <c r="CF87" s="175">
        <v>0</v>
      </c>
      <c r="CG87" s="175">
        <v>0</v>
      </c>
      <c r="CH87" s="175">
        <v>0</v>
      </c>
      <c r="CI87" s="175">
        <v>0</v>
      </c>
      <c r="CJ87" s="175">
        <v>0</v>
      </c>
      <c r="CK87" s="175">
        <v>0</v>
      </c>
      <c r="CL87" s="175">
        <v>0</v>
      </c>
      <c r="CM87" s="175">
        <v>0</v>
      </c>
      <c r="CN87" s="175">
        <v>0</v>
      </c>
      <c r="CO87" s="175">
        <v>0</v>
      </c>
      <c r="CP87" s="175">
        <v>0</v>
      </c>
      <c r="CQ87" s="175">
        <v>0</v>
      </c>
    </row>
    <row r="88" spans="1:95" s="175" customFormat="1" x14ac:dyDescent="0.2">
      <c r="A88" s="175" t="s">
        <v>269</v>
      </c>
      <c r="B88" s="175">
        <v>0</v>
      </c>
      <c r="C88" s="175">
        <v>0</v>
      </c>
      <c r="D88" s="175">
        <v>0</v>
      </c>
      <c r="E88" s="175">
        <v>0</v>
      </c>
      <c r="F88" s="175">
        <v>0</v>
      </c>
      <c r="G88" s="175">
        <v>0</v>
      </c>
      <c r="H88" s="175">
        <v>0</v>
      </c>
      <c r="I88" s="175">
        <v>0</v>
      </c>
      <c r="J88" s="175">
        <v>0</v>
      </c>
      <c r="K88" s="175">
        <v>0</v>
      </c>
      <c r="L88" s="175">
        <v>0</v>
      </c>
      <c r="M88" s="175">
        <v>0</v>
      </c>
      <c r="N88" s="175">
        <v>0</v>
      </c>
      <c r="O88" s="175">
        <v>0</v>
      </c>
      <c r="P88" s="175">
        <v>0</v>
      </c>
      <c r="Q88" s="175">
        <v>0</v>
      </c>
      <c r="R88" s="175">
        <v>0</v>
      </c>
      <c r="S88" s="175">
        <v>0</v>
      </c>
      <c r="T88" s="175">
        <v>0</v>
      </c>
      <c r="U88" s="175">
        <v>0</v>
      </c>
      <c r="V88" s="175">
        <v>0</v>
      </c>
      <c r="W88" s="175">
        <v>0</v>
      </c>
      <c r="X88" s="175">
        <v>0</v>
      </c>
      <c r="Y88" s="175">
        <v>0</v>
      </c>
      <c r="Z88" s="175">
        <v>0</v>
      </c>
      <c r="AA88" s="175">
        <v>0</v>
      </c>
      <c r="AB88" s="175">
        <v>0</v>
      </c>
      <c r="AC88" s="175">
        <v>0</v>
      </c>
      <c r="AD88" s="175">
        <v>0</v>
      </c>
      <c r="AE88" s="175">
        <v>0</v>
      </c>
      <c r="AF88" s="175">
        <v>0</v>
      </c>
      <c r="AG88" s="175">
        <v>0</v>
      </c>
      <c r="AH88" s="175">
        <v>0</v>
      </c>
      <c r="AI88" s="175">
        <v>0</v>
      </c>
      <c r="AJ88" s="175">
        <v>0</v>
      </c>
      <c r="AK88" s="175">
        <v>0</v>
      </c>
      <c r="AL88" s="175">
        <v>0</v>
      </c>
      <c r="AM88" s="175">
        <v>0</v>
      </c>
      <c r="AN88" s="175">
        <v>0</v>
      </c>
      <c r="AO88" s="175">
        <v>0</v>
      </c>
      <c r="AP88" s="175">
        <v>0</v>
      </c>
      <c r="AQ88" s="175">
        <v>0</v>
      </c>
      <c r="AR88" s="175">
        <v>0</v>
      </c>
      <c r="AS88" s="175">
        <v>0</v>
      </c>
      <c r="AT88" s="175">
        <v>0</v>
      </c>
      <c r="AU88" s="175">
        <v>0</v>
      </c>
      <c r="AV88" s="175">
        <v>0</v>
      </c>
      <c r="AW88" s="175">
        <v>0</v>
      </c>
      <c r="AX88" s="175">
        <v>0</v>
      </c>
      <c r="AY88" s="175">
        <v>0</v>
      </c>
      <c r="AZ88" s="175">
        <v>0</v>
      </c>
      <c r="BA88" s="175">
        <v>0</v>
      </c>
      <c r="BB88" s="175">
        <v>0</v>
      </c>
      <c r="BC88" s="175">
        <v>0</v>
      </c>
      <c r="BD88" s="175">
        <v>0</v>
      </c>
      <c r="BE88" s="175">
        <v>0</v>
      </c>
      <c r="BF88" s="175">
        <v>0</v>
      </c>
      <c r="BG88" s="175">
        <v>0</v>
      </c>
      <c r="BH88" s="175">
        <v>0</v>
      </c>
      <c r="BI88" s="175">
        <v>0</v>
      </c>
      <c r="BJ88" s="175">
        <v>0</v>
      </c>
      <c r="BK88" s="175">
        <v>0</v>
      </c>
      <c r="BL88" s="175">
        <v>0</v>
      </c>
      <c r="BM88" s="175">
        <v>0</v>
      </c>
      <c r="BN88" s="175">
        <v>0</v>
      </c>
      <c r="BO88" s="175">
        <v>0</v>
      </c>
      <c r="BP88" s="175">
        <v>0</v>
      </c>
      <c r="BQ88" s="175">
        <v>0</v>
      </c>
      <c r="BR88" s="175">
        <v>0</v>
      </c>
      <c r="BS88" s="175">
        <v>0</v>
      </c>
      <c r="BT88" s="175">
        <v>0</v>
      </c>
      <c r="BU88" s="175">
        <v>0</v>
      </c>
      <c r="BV88" s="175">
        <v>0</v>
      </c>
      <c r="BW88" s="175">
        <v>0</v>
      </c>
      <c r="BX88" s="175">
        <v>0</v>
      </c>
      <c r="BY88" s="175">
        <v>0</v>
      </c>
      <c r="BZ88" s="175">
        <v>0</v>
      </c>
      <c r="CA88" s="175">
        <v>0</v>
      </c>
      <c r="CB88" s="175">
        <v>0</v>
      </c>
      <c r="CC88" s="175">
        <v>0</v>
      </c>
      <c r="CD88" s="175">
        <v>0</v>
      </c>
      <c r="CE88" s="175">
        <v>0</v>
      </c>
      <c r="CF88" s="175">
        <v>0</v>
      </c>
      <c r="CG88" s="175">
        <v>0</v>
      </c>
      <c r="CH88" s="175">
        <v>0</v>
      </c>
      <c r="CI88" s="175">
        <v>0</v>
      </c>
      <c r="CJ88" s="175">
        <v>0</v>
      </c>
      <c r="CK88" s="175">
        <v>0</v>
      </c>
      <c r="CL88" s="175">
        <v>0</v>
      </c>
      <c r="CM88" s="175">
        <v>0</v>
      </c>
      <c r="CN88" s="175">
        <v>0</v>
      </c>
      <c r="CO88" s="175">
        <v>0</v>
      </c>
      <c r="CP88" s="175">
        <v>0</v>
      </c>
      <c r="CQ88" s="175">
        <v>0</v>
      </c>
    </row>
    <row r="89" spans="1:95" s="175" customFormat="1" x14ac:dyDescent="0.2">
      <c r="A89" s="175" t="s">
        <v>222</v>
      </c>
      <c r="B89" s="175">
        <v>0</v>
      </c>
      <c r="C89" s="175">
        <v>0</v>
      </c>
      <c r="D89" s="175">
        <v>0</v>
      </c>
      <c r="E89" s="175">
        <v>0</v>
      </c>
      <c r="F89" s="175">
        <v>0</v>
      </c>
      <c r="G89" s="175">
        <v>0</v>
      </c>
      <c r="H89" s="175">
        <v>0</v>
      </c>
      <c r="I89" s="175">
        <v>0</v>
      </c>
      <c r="J89" s="175">
        <v>0</v>
      </c>
      <c r="K89" s="175">
        <v>0</v>
      </c>
      <c r="L89" s="175">
        <v>0</v>
      </c>
      <c r="M89" s="175">
        <v>0</v>
      </c>
      <c r="N89" s="175">
        <v>0</v>
      </c>
      <c r="O89" s="175">
        <v>0</v>
      </c>
      <c r="P89" s="175">
        <v>0</v>
      </c>
      <c r="Q89" s="175">
        <v>0</v>
      </c>
      <c r="R89" s="175">
        <v>0</v>
      </c>
      <c r="S89" s="175">
        <v>0</v>
      </c>
      <c r="T89" s="175">
        <v>0</v>
      </c>
      <c r="U89" s="175">
        <v>0</v>
      </c>
      <c r="V89" s="175">
        <v>0</v>
      </c>
      <c r="W89" s="175">
        <v>0</v>
      </c>
      <c r="X89" s="175">
        <v>0</v>
      </c>
      <c r="Y89" s="175">
        <v>0</v>
      </c>
      <c r="Z89" s="175">
        <v>0</v>
      </c>
      <c r="AA89" s="175">
        <v>0</v>
      </c>
      <c r="AB89" s="175">
        <v>0</v>
      </c>
      <c r="AC89" s="175">
        <v>0</v>
      </c>
      <c r="AD89" s="175">
        <v>0</v>
      </c>
      <c r="AE89" s="175">
        <v>0</v>
      </c>
      <c r="AF89" s="175">
        <v>0</v>
      </c>
      <c r="AG89" s="175">
        <v>0</v>
      </c>
      <c r="AH89" s="175">
        <v>0</v>
      </c>
      <c r="AI89" s="175">
        <v>0</v>
      </c>
      <c r="AJ89" s="175">
        <v>0</v>
      </c>
      <c r="AK89" s="175">
        <v>0</v>
      </c>
      <c r="AL89" s="175">
        <v>0</v>
      </c>
      <c r="AM89" s="175">
        <v>0</v>
      </c>
      <c r="AN89" s="175">
        <v>0</v>
      </c>
      <c r="AO89" s="175">
        <v>0</v>
      </c>
      <c r="AP89" s="175">
        <v>0</v>
      </c>
      <c r="AQ89" s="175">
        <v>0</v>
      </c>
      <c r="AR89" s="175">
        <v>0</v>
      </c>
      <c r="AS89" s="175">
        <v>0</v>
      </c>
      <c r="AT89" s="175">
        <v>0</v>
      </c>
      <c r="AU89" s="175">
        <v>0</v>
      </c>
      <c r="AV89" s="175">
        <v>0</v>
      </c>
      <c r="AW89" s="175">
        <v>0</v>
      </c>
      <c r="AX89" s="175">
        <v>0</v>
      </c>
      <c r="AY89" s="175">
        <v>0</v>
      </c>
      <c r="AZ89" s="175">
        <v>0</v>
      </c>
      <c r="BA89" s="175">
        <v>0</v>
      </c>
      <c r="BB89" s="175">
        <v>0</v>
      </c>
      <c r="BC89" s="175">
        <v>0</v>
      </c>
      <c r="BD89" s="175">
        <v>0</v>
      </c>
      <c r="BE89" s="175">
        <v>0</v>
      </c>
      <c r="BF89" s="175">
        <v>0</v>
      </c>
      <c r="BG89" s="175">
        <v>0</v>
      </c>
      <c r="BH89" s="175">
        <v>0</v>
      </c>
      <c r="BI89" s="175">
        <v>0</v>
      </c>
      <c r="BJ89" s="175">
        <v>0</v>
      </c>
      <c r="BK89" s="175">
        <v>0</v>
      </c>
      <c r="BL89" s="175">
        <v>0</v>
      </c>
      <c r="BM89" s="175">
        <v>0</v>
      </c>
      <c r="BN89" s="175">
        <v>0</v>
      </c>
      <c r="BO89" s="175">
        <v>0</v>
      </c>
      <c r="BP89" s="175">
        <v>0</v>
      </c>
      <c r="BQ89" s="175">
        <v>0</v>
      </c>
      <c r="BR89" s="175">
        <v>0</v>
      </c>
      <c r="BS89" s="175">
        <v>0</v>
      </c>
      <c r="BT89" s="175">
        <v>0</v>
      </c>
      <c r="BU89" s="175">
        <v>0</v>
      </c>
      <c r="BV89" s="175">
        <v>0</v>
      </c>
      <c r="BW89" s="175">
        <v>0</v>
      </c>
      <c r="BX89" s="175">
        <v>0</v>
      </c>
      <c r="BY89" s="175">
        <v>0</v>
      </c>
      <c r="BZ89" s="175">
        <v>0</v>
      </c>
      <c r="CA89" s="175">
        <v>0</v>
      </c>
      <c r="CB89" s="175">
        <v>0</v>
      </c>
      <c r="CC89" s="175">
        <v>0</v>
      </c>
      <c r="CD89" s="175">
        <v>0</v>
      </c>
      <c r="CE89" s="175">
        <v>0</v>
      </c>
      <c r="CF89" s="175">
        <v>0</v>
      </c>
      <c r="CG89" s="175">
        <v>0</v>
      </c>
      <c r="CH89" s="175">
        <v>0</v>
      </c>
      <c r="CI89" s="175">
        <v>0</v>
      </c>
      <c r="CJ89" s="175">
        <v>0</v>
      </c>
      <c r="CK89" s="175">
        <v>0</v>
      </c>
      <c r="CL89" s="175">
        <v>0</v>
      </c>
      <c r="CM89" s="175">
        <v>0</v>
      </c>
      <c r="CN89" s="175">
        <v>0</v>
      </c>
      <c r="CO89" s="175">
        <v>0</v>
      </c>
      <c r="CP89" s="175">
        <v>0</v>
      </c>
      <c r="CQ89" s="175">
        <v>0</v>
      </c>
    </row>
    <row r="90" spans="1:95" s="175" customFormat="1" x14ac:dyDescent="0.2">
      <c r="A90" s="175" t="s">
        <v>270</v>
      </c>
      <c r="B90" s="175">
        <v>0</v>
      </c>
      <c r="C90" s="175">
        <v>0</v>
      </c>
      <c r="D90" s="175">
        <v>0</v>
      </c>
      <c r="E90" s="175">
        <v>0</v>
      </c>
      <c r="F90" s="175">
        <v>0</v>
      </c>
      <c r="G90" s="175">
        <v>0</v>
      </c>
      <c r="H90" s="175">
        <v>0</v>
      </c>
      <c r="I90" s="175">
        <v>0</v>
      </c>
      <c r="J90" s="175">
        <v>0</v>
      </c>
      <c r="K90" s="175">
        <v>0</v>
      </c>
      <c r="L90" s="175">
        <v>0</v>
      </c>
      <c r="M90" s="175">
        <v>0</v>
      </c>
      <c r="N90" s="175">
        <v>0</v>
      </c>
      <c r="O90" s="175">
        <v>0</v>
      </c>
      <c r="P90" s="175">
        <v>0</v>
      </c>
      <c r="Q90" s="175">
        <v>0</v>
      </c>
      <c r="R90" s="175">
        <v>0</v>
      </c>
      <c r="S90" s="175">
        <v>0</v>
      </c>
      <c r="T90" s="175">
        <v>0</v>
      </c>
      <c r="U90" s="175">
        <v>0</v>
      </c>
      <c r="V90" s="175">
        <v>0</v>
      </c>
      <c r="W90" s="175">
        <v>0</v>
      </c>
      <c r="X90" s="175">
        <v>0</v>
      </c>
      <c r="Y90" s="175">
        <v>0</v>
      </c>
      <c r="Z90" s="175">
        <v>0</v>
      </c>
      <c r="AA90" s="175">
        <v>0</v>
      </c>
      <c r="AB90" s="175">
        <v>0</v>
      </c>
      <c r="AC90" s="175">
        <v>0</v>
      </c>
      <c r="AD90" s="175">
        <v>0</v>
      </c>
      <c r="AE90" s="175">
        <v>0</v>
      </c>
      <c r="AF90" s="175">
        <v>0</v>
      </c>
      <c r="AG90" s="175">
        <v>0</v>
      </c>
      <c r="AH90" s="175">
        <v>0</v>
      </c>
      <c r="AI90" s="175">
        <v>0</v>
      </c>
      <c r="AJ90" s="175">
        <v>0</v>
      </c>
      <c r="AK90" s="175">
        <v>0</v>
      </c>
      <c r="AL90" s="175">
        <v>0</v>
      </c>
      <c r="AM90" s="175">
        <v>0</v>
      </c>
      <c r="AN90" s="175">
        <v>0</v>
      </c>
      <c r="AO90" s="175">
        <v>0</v>
      </c>
      <c r="AP90" s="175">
        <v>0</v>
      </c>
      <c r="AQ90" s="175">
        <v>0</v>
      </c>
      <c r="AR90" s="175">
        <v>0</v>
      </c>
      <c r="AS90" s="175">
        <v>0</v>
      </c>
      <c r="AT90" s="175">
        <v>0</v>
      </c>
      <c r="AU90" s="175">
        <v>0</v>
      </c>
      <c r="AV90" s="175">
        <v>0</v>
      </c>
      <c r="AW90" s="175">
        <v>0</v>
      </c>
      <c r="AX90" s="175">
        <v>0</v>
      </c>
      <c r="AY90" s="175">
        <v>0</v>
      </c>
      <c r="AZ90" s="175">
        <v>0</v>
      </c>
      <c r="BA90" s="175">
        <v>0</v>
      </c>
      <c r="BB90" s="175">
        <v>0</v>
      </c>
      <c r="BC90" s="175">
        <v>0</v>
      </c>
      <c r="BD90" s="175">
        <v>0</v>
      </c>
      <c r="BE90" s="175">
        <v>0</v>
      </c>
      <c r="BF90" s="175">
        <v>0</v>
      </c>
      <c r="BG90" s="175">
        <v>0</v>
      </c>
      <c r="BH90" s="175">
        <v>0</v>
      </c>
      <c r="BI90" s="175">
        <v>0</v>
      </c>
      <c r="BJ90" s="175">
        <v>0</v>
      </c>
      <c r="BK90" s="175">
        <v>0</v>
      </c>
      <c r="BL90" s="175">
        <v>0</v>
      </c>
      <c r="BM90" s="175">
        <v>0</v>
      </c>
      <c r="BN90" s="175">
        <v>0</v>
      </c>
      <c r="BO90" s="175">
        <v>0</v>
      </c>
      <c r="BP90" s="175">
        <v>0</v>
      </c>
      <c r="BQ90" s="175">
        <v>0</v>
      </c>
      <c r="BR90" s="175">
        <v>0</v>
      </c>
      <c r="BS90" s="175">
        <v>0</v>
      </c>
      <c r="BT90" s="175">
        <v>0</v>
      </c>
      <c r="BU90" s="175">
        <v>0</v>
      </c>
      <c r="BV90" s="175">
        <v>0</v>
      </c>
      <c r="BW90" s="175">
        <v>0</v>
      </c>
      <c r="BX90" s="175">
        <v>0</v>
      </c>
      <c r="BY90" s="175">
        <v>0</v>
      </c>
      <c r="BZ90" s="175">
        <v>0</v>
      </c>
      <c r="CA90" s="175">
        <v>0</v>
      </c>
      <c r="CB90" s="175">
        <v>0</v>
      </c>
      <c r="CC90" s="175">
        <v>0</v>
      </c>
      <c r="CD90" s="175">
        <v>0</v>
      </c>
      <c r="CE90" s="175">
        <v>0</v>
      </c>
      <c r="CF90" s="175">
        <v>0</v>
      </c>
      <c r="CG90" s="175">
        <v>0</v>
      </c>
      <c r="CH90" s="175">
        <v>0</v>
      </c>
      <c r="CI90" s="175">
        <v>0</v>
      </c>
      <c r="CJ90" s="175">
        <v>0</v>
      </c>
      <c r="CK90" s="175">
        <v>0</v>
      </c>
      <c r="CL90" s="175">
        <v>0</v>
      </c>
      <c r="CM90" s="175">
        <v>0</v>
      </c>
      <c r="CN90" s="175">
        <v>0</v>
      </c>
      <c r="CO90" s="175">
        <v>0</v>
      </c>
      <c r="CP90" s="175">
        <v>0</v>
      </c>
      <c r="CQ90" s="175">
        <v>0</v>
      </c>
    </row>
    <row r="91" spans="1:95" s="175" customFormat="1" x14ac:dyDescent="0.2">
      <c r="A91" s="175" t="s">
        <v>223</v>
      </c>
      <c r="B91" s="175">
        <v>0</v>
      </c>
      <c r="C91" s="175">
        <v>0</v>
      </c>
      <c r="D91" s="175">
        <v>0</v>
      </c>
      <c r="E91" s="175">
        <v>0</v>
      </c>
      <c r="F91" s="175">
        <v>0</v>
      </c>
      <c r="G91" s="175">
        <v>0</v>
      </c>
      <c r="H91" s="175">
        <v>0</v>
      </c>
      <c r="I91" s="175">
        <v>0</v>
      </c>
      <c r="J91" s="175">
        <v>0</v>
      </c>
      <c r="K91" s="175">
        <v>0</v>
      </c>
      <c r="L91" s="175">
        <v>0</v>
      </c>
      <c r="M91" s="175">
        <v>0</v>
      </c>
      <c r="N91" s="175">
        <v>0</v>
      </c>
      <c r="O91" s="175">
        <v>0</v>
      </c>
      <c r="P91" s="175">
        <v>0</v>
      </c>
      <c r="Q91" s="175">
        <v>0</v>
      </c>
      <c r="R91" s="175">
        <v>0</v>
      </c>
      <c r="S91" s="175">
        <v>0</v>
      </c>
      <c r="T91" s="175">
        <v>0</v>
      </c>
      <c r="U91" s="175">
        <v>0</v>
      </c>
      <c r="V91" s="175">
        <v>0</v>
      </c>
      <c r="W91" s="175">
        <v>0</v>
      </c>
      <c r="X91" s="175">
        <v>0</v>
      </c>
      <c r="Y91" s="175">
        <v>0</v>
      </c>
      <c r="Z91" s="175">
        <v>0</v>
      </c>
      <c r="AA91" s="175">
        <v>0</v>
      </c>
      <c r="AB91" s="175">
        <v>0</v>
      </c>
      <c r="AC91" s="175">
        <v>0</v>
      </c>
      <c r="AD91" s="175">
        <v>0</v>
      </c>
      <c r="AE91" s="175">
        <v>0</v>
      </c>
      <c r="AF91" s="175">
        <v>0</v>
      </c>
      <c r="AG91" s="175">
        <v>0</v>
      </c>
      <c r="AH91" s="175">
        <v>0</v>
      </c>
      <c r="AI91" s="175">
        <v>0</v>
      </c>
      <c r="AJ91" s="175">
        <v>0</v>
      </c>
      <c r="AK91" s="175">
        <v>0</v>
      </c>
      <c r="AL91" s="175">
        <v>0</v>
      </c>
      <c r="AM91" s="175">
        <v>0</v>
      </c>
      <c r="AN91" s="175">
        <v>0</v>
      </c>
      <c r="AO91" s="175">
        <v>0</v>
      </c>
      <c r="AP91" s="175">
        <v>0</v>
      </c>
      <c r="AQ91" s="175">
        <v>0</v>
      </c>
      <c r="AR91" s="175">
        <v>0</v>
      </c>
      <c r="AS91" s="175">
        <v>0</v>
      </c>
      <c r="AT91" s="175">
        <v>0</v>
      </c>
      <c r="AU91" s="175">
        <v>0</v>
      </c>
      <c r="AV91" s="175">
        <v>0</v>
      </c>
      <c r="AW91" s="175">
        <v>0</v>
      </c>
      <c r="AX91" s="175">
        <v>0</v>
      </c>
      <c r="AY91" s="175">
        <v>0</v>
      </c>
      <c r="AZ91" s="175">
        <v>0</v>
      </c>
      <c r="BA91" s="175">
        <v>0</v>
      </c>
      <c r="BB91" s="175">
        <v>0</v>
      </c>
      <c r="BC91" s="175">
        <v>0</v>
      </c>
      <c r="BD91" s="175">
        <v>0</v>
      </c>
      <c r="BE91" s="175">
        <v>0</v>
      </c>
      <c r="BF91" s="175">
        <v>0</v>
      </c>
      <c r="BG91" s="175">
        <v>0</v>
      </c>
      <c r="BH91" s="175">
        <v>0</v>
      </c>
      <c r="BI91" s="175">
        <v>0</v>
      </c>
      <c r="BJ91" s="175">
        <v>0</v>
      </c>
      <c r="BK91" s="175">
        <v>0</v>
      </c>
      <c r="BL91" s="175">
        <v>0</v>
      </c>
      <c r="BM91" s="175">
        <v>0</v>
      </c>
      <c r="BN91" s="175">
        <v>0</v>
      </c>
      <c r="BO91" s="175">
        <v>0</v>
      </c>
      <c r="BP91" s="175">
        <v>0</v>
      </c>
      <c r="BQ91" s="175">
        <v>0</v>
      </c>
      <c r="BR91" s="175">
        <v>0</v>
      </c>
      <c r="BS91" s="175">
        <v>0</v>
      </c>
      <c r="BT91" s="175">
        <v>0</v>
      </c>
      <c r="BU91" s="175">
        <v>0</v>
      </c>
      <c r="BV91" s="175">
        <v>0</v>
      </c>
      <c r="BW91" s="175">
        <v>0</v>
      </c>
      <c r="BX91" s="175">
        <v>0</v>
      </c>
      <c r="BY91" s="175">
        <v>0</v>
      </c>
      <c r="BZ91" s="175">
        <v>0</v>
      </c>
      <c r="CA91" s="175">
        <v>0</v>
      </c>
      <c r="CB91" s="175">
        <v>0</v>
      </c>
      <c r="CC91" s="175">
        <v>0</v>
      </c>
      <c r="CD91" s="175">
        <v>0</v>
      </c>
      <c r="CE91" s="175">
        <v>0</v>
      </c>
      <c r="CF91" s="175">
        <v>0</v>
      </c>
      <c r="CG91" s="175">
        <v>0</v>
      </c>
      <c r="CH91" s="175">
        <v>0</v>
      </c>
      <c r="CI91" s="175">
        <v>0</v>
      </c>
      <c r="CJ91" s="175">
        <v>0</v>
      </c>
      <c r="CK91" s="175">
        <v>0</v>
      </c>
      <c r="CL91" s="175">
        <v>0</v>
      </c>
      <c r="CM91" s="175">
        <v>0</v>
      </c>
      <c r="CN91" s="175">
        <v>0</v>
      </c>
      <c r="CO91" s="175">
        <v>0</v>
      </c>
      <c r="CP91" s="175">
        <v>0</v>
      </c>
      <c r="CQ91" s="175">
        <v>0</v>
      </c>
    </row>
    <row r="92" spans="1:95" s="175" customFormat="1" x14ac:dyDescent="0.2">
      <c r="A92" s="175" t="s">
        <v>224</v>
      </c>
      <c r="B92" s="175">
        <v>0</v>
      </c>
      <c r="C92" s="175">
        <v>0</v>
      </c>
      <c r="D92" s="175">
        <v>0</v>
      </c>
      <c r="E92" s="175">
        <v>0</v>
      </c>
      <c r="F92" s="175">
        <v>0</v>
      </c>
      <c r="G92" s="175">
        <v>0</v>
      </c>
      <c r="H92" s="175">
        <v>0</v>
      </c>
      <c r="I92" s="175">
        <v>0</v>
      </c>
      <c r="J92" s="175">
        <v>0</v>
      </c>
      <c r="K92" s="175">
        <v>0</v>
      </c>
      <c r="L92" s="175">
        <v>0</v>
      </c>
      <c r="M92" s="175">
        <v>0</v>
      </c>
      <c r="N92" s="175">
        <v>0</v>
      </c>
      <c r="O92" s="175">
        <v>0</v>
      </c>
      <c r="P92" s="175">
        <v>0</v>
      </c>
      <c r="Q92" s="175">
        <v>0</v>
      </c>
      <c r="R92" s="175">
        <v>0</v>
      </c>
      <c r="S92" s="175">
        <v>0</v>
      </c>
      <c r="T92" s="175">
        <v>0</v>
      </c>
      <c r="U92" s="175">
        <v>0</v>
      </c>
      <c r="V92" s="175">
        <v>0</v>
      </c>
      <c r="W92" s="175">
        <v>0</v>
      </c>
      <c r="X92" s="175">
        <v>0</v>
      </c>
      <c r="Y92" s="175">
        <v>0</v>
      </c>
      <c r="Z92" s="175">
        <v>0</v>
      </c>
      <c r="AA92" s="175">
        <v>0</v>
      </c>
      <c r="AB92" s="175">
        <v>0</v>
      </c>
      <c r="AC92" s="175">
        <v>0</v>
      </c>
      <c r="AD92" s="175">
        <v>0</v>
      </c>
      <c r="AE92" s="175">
        <v>0</v>
      </c>
      <c r="AF92" s="175">
        <v>0</v>
      </c>
      <c r="AG92" s="175">
        <v>0</v>
      </c>
      <c r="AH92" s="175">
        <v>0</v>
      </c>
      <c r="AI92" s="175">
        <v>0</v>
      </c>
      <c r="AJ92" s="175">
        <v>0</v>
      </c>
      <c r="AK92" s="175">
        <v>0</v>
      </c>
      <c r="AL92" s="175">
        <v>0</v>
      </c>
      <c r="AM92" s="175">
        <v>0</v>
      </c>
      <c r="AN92" s="175">
        <v>0</v>
      </c>
      <c r="AO92" s="175">
        <v>0</v>
      </c>
      <c r="AP92" s="175">
        <v>0</v>
      </c>
      <c r="AQ92" s="175">
        <v>0</v>
      </c>
      <c r="AR92" s="175">
        <v>0</v>
      </c>
      <c r="AS92" s="175">
        <v>0</v>
      </c>
      <c r="AT92" s="175">
        <v>0</v>
      </c>
      <c r="AU92" s="175">
        <v>0</v>
      </c>
      <c r="AV92" s="175">
        <v>0</v>
      </c>
      <c r="AW92" s="175">
        <v>0</v>
      </c>
      <c r="AX92" s="175">
        <v>0</v>
      </c>
      <c r="AY92" s="175">
        <v>0</v>
      </c>
      <c r="AZ92" s="175">
        <v>0</v>
      </c>
      <c r="BA92" s="175">
        <v>0</v>
      </c>
      <c r="BB92" s="175">
        <v>0</v>
      </c>
      <c r="BC92" s="175">
        <v>0</v>
      </c>
      <c r="BD92" s="175">
        <v>0</v>
      </c>
      <c r="BE92" s="175">
        <v>0</v>
      </c>
      <c r="BF92" s="175">
        <v>0</v>
      </c>
      <c r="BG92" s="175">
        <v>0</v>
      </c>
      <c r="BH92" s="175">
        <v>0</v>
      </c>
      <c r="BI92" s="175">
        <v>0</v>
      </c>
      <c r="BJ92" s="175">
        <v>0</v>
      </c>
      <c r="BK92" s="175">
        <v>0</v>
      </c>
      <c r="BL92" s="175">
        <v>0</v>
      </c>
      <c r="BM92" s="175">
        <v>0</v>
      </c>
      <c r="BN92" s="175">
        <v>0</v>
      </c>
      <c r="BO92" s="175">
        <v>0</v>
      </c>
      <c r="BP92" s="175">
        <v>0</v>
      </c>
      <c r="BQ92" s="175">
        <v>0</v>
      </c>
      <c r="BR92" s="175">
        <v>0</v>
      </c>
      <c r="BS92" s="175">
        <v>0</v>
      </c>
      <c r="BT92" s="175">
        <v>0</v>
      </c>
      <c r="BU92" s="175">
        <v>0</v>
      </c>
      <c r="BV92" s="175">
        <v>0</v>
      </c>
      <c r="BW92" s="175">
        <v>0</v>
      </c>
      <c r="BX92" s="175">
        <v>0</v>
      </c>
      <c r="BY92" s="175">
        <v>0</v>
      </c>
      <c r="BZ92" s="175">
        <v>0</v>
      </c>
      <c r="CA92" s="175">
        <v>0</v>
      </c>
      <c r="CB92" s="175">
        <v>0</v>
      </c>
      <c r="CC92" s="175">
        <v>0</v>
      </c>
      <c r="CD92" s="175">
        <v>0</v>
      </c>
      <c r="CE92" s="175">
        <v>0</v>
      </c>
      <c r="CF92" s="175">
        <v>0</v>
      </c>
      <c r="CG92" s="175">
        <v>0</v>
      </c>
      <c r="CH92" s="175">
        <v>0</v>
      </c>
      <c r="CI92" s="175">
        <v>0</v>
      </c>
      <c r="CJ92" s="175">
        <v>0</v>
      </c>
      <c r="CK92" s="175">
        <v>0</v>
      </c>
      <c r="CL92" s="175">
        <v>0</v>
      </c>
      <c r="CM92" s="175">
        <v>0</v>
      </c>
      <c r="CN92" s="175">
        <v>0</v>
      </c>
      <c r="CO92" s="175">
        <v>0</v>
      </c>
      <c r="CP92" s="175">
        <v>0</v>
      </c>
      <c r="CQ92" s="175">
        <v>0</v>
      </c>
    </row>
    <row r="93" spans="1:95" s="175" customFormat="1" x14ac:dyDescent="0.2">
      <c r="A93" s="175" t="s">
        <v>225</v>
      </c>
      <c r="B93" s="175">
        <v>0</v>
      </c>
      <c r="C93" s="175">
        <v>0</v>
      </c>
      <c r="D93" s="175">
        <v>0</v>
      </c>
      <c r="E93" s="175">
        <v>0</v>
      </c>
      <c r="F93" s="175">
        <v>0</v>
      </c>
      <c r="G93" s="175">
        <v>0</v>
      </c>
      <c r="H93" s="175">
        <v>0</v>
      </c>
      <c r="I93" s="175">
        <v>0</v>
      </c>
      <c r="J93" s="175">
        <v>0</v>
      </c>
      <c r="K93" s="175">
        <v>0</v>
      </c>
      <c r="L93" s="175">
        <v>0</v>
      </c>
      <c r="M93" s="175">
        <v>0</v>
      </c>
      <c r="N93" s="175">
        <v>0</v>
      </c>
      <c r="O93" s="175">
        <v>0</v>
      </c>
      <c r="P93" s="175">
        <v>0</v>
      </c>
      <c r="Q93" s="175">
        <v>0</v>
      </c>
      <c r="R93" s="175">
        <v>0</v>
      </c>
      <c r="S93" s="175">
        <v>0</v>
      </c>
      <c r="T93" s="175">
        <v>0</v>
      </c>
      <c r="U93" s="175">
        <v>0</v>
      </c>
      <c r="V93" s="175">
        <v>0</v>
      </c>
      <c r="W93" s="175">
        <v>0</v>
      </c>
      <c r="X93" s="175">
        <v>0</v>
      </c>
      <c r="Y93" s="175">
        <v>0</v>
      </c>
      <c r="Z93" s="175">
        <v>0</v>
      </c>
      <c r="AA93" s="175">
        <v>0</v>
      </c>
      <c r="AB93" s="175">
        <v>0</v>
      </c>
      <c r="AC93" s="175">
        <v>0</v>
      </c>
      <c r="AD93" s="175">
        <v>0</v>
      </c>
      <c r="AE93" s="175">
        <v>0</v>
      </c>
      <c r="AF93" s="175">
        <v>0</v>
      </c>
      <c r="AG93" s="175">
        <v>0</v>
      </c>
      <c r="AH93" s="175">
        <v>0</v>
      </c>
      <c r="AI93" s="175">
        <v>0</v>
      </c>
      <c r="AJ93" s="175">
        <v>0</v>
      </c>
      <c r="AK93" s="175">
        <v>0</v>
      </c>
      <c r="AL93" s="175">
        <v>0</v>
      </c>
      <c r="AM93" s="175">
        <v>0</v>
      </c>
      <c r="AN93" s="175">
        <v>0</v>
      </c>
      <c r="AO93" s="175">
        <v>0</v>
      </c>
      <c r="AP93" s="175">
        <v>0</v>
      </c>
      <c r="AQ93" s="175">
        <v>0</v>
      </c>
      <c r="AR93" s="175">
        <v>0</v>
      </c>
      <c r="AS93" s="175">
        <v>0</v>
      </c>
      <c r="AT93" s="175">
        <v>0</v>
      </c>
      <c r="AU93" s="175">
        <v>0</v>
      </c>
      <c r="AV93" s="175">
        <v>0</v>
      </c>
      <c r="AW93" s="175">
        <v>0</v>
      </c>
      <c r="AX93" s="175">
        <v>0</v>
      </c>
      <c r="AY93" s="175">
        <v>0</v>
      </c>
      <c r="AZ93" s="175">
        <v>0</v>
      </c>
      <c r="BA93" s="175">
        <v>0</v>
      </c>
      <c r="BB93" s="175">
        <v>0</v>
      </c>
      <c r="BC93" s="175">
        <v>0</v>
      </c>
      <c r="BD93" s="175">
        <v>0</v>
      </c>
      <c r="BE93" s="175">
        <v>0</v>
      </c>
      <c r="BF93" s="175">
        <v>0</v>
      </c>
      <c r="BG93" s="175">
        <v>0</v>
      </c>
      <c r="BH93" s="175">
        <v>0</v>
      </c>
      <c r="BI93" s="175">
        <v>0</v>
      </c>
      <c r="BJ93" s="175">
        <v>0</v>
      </c>
      <c r="BK93" s="175">
        <v>0</v>
      </c>
      <c r="BL93" s="175">
        <v>0</v>
      </c>
      <c r="BM93" s="175">
        <v>0</v>
      </c>
      <c r="BN93" s="175">
        <v>0</v>
      </c>
      <c r="BO93" s="175">
        <v>0</v>
      </c>
      <c r="BP93" s="175">
        <v>0</v>
      </c>
      <c r="BQ93" s="175">
        <v>0</v>
      </c>
      <c r="BR93" s="175">
        <v>0</v>
      </c>
      <c r="BS93" s="175">
        <v>0</v>
      </c>
      <c r="BT93" s="175">
        <v>0</v>
      </c>
      <c r="BU93" s="175">
        <v>0</v>
      </c>
      <c r="BV93" s="175">
        <v>0</v>
      </c>
      <c r="BW93" s="175">
        <v>0</v>
      </c>
      <c r="BX93" s="175">
        <v>0</v>
      </c>
      <c r="BY93" s="175">
        <v>0</v>
      </c>
      <c r="BZ93" s="175">
        <v>0</v>
      </c>
      <c r="CA93" s="175">
        <v>0</v>
      </c>
      <c r="CB93" s="175">
        <v>0</v>
      </c>
      <c r="CC93" s="175">
        <v>0</v>
      </c>
      <c r="CD93" s="175">
        <v>0</v>
      </c>
      <c r="CE93" s="175">
        <v>0</v>
      </c>
      <c r="CF93" s="175">
        <v>0</v>
      </c>
      <c r="CG93" s="175">
        <v>0</v>
      </c>
      <c r="CH93" s="175">
        <v>0</v>
      </c>
      <c r="CI93" s="175">
        <v>0</v>
      </c>
      <c r="CJ93" s="175">
        <v>0</v>
      </c>
      <c r="CK93" s="175">
        <v>0</v>
      </c>
      <c r="CL93" s="175">
        <v>0</v>
      </c>
      <c r="CM93" s="175">
        <v>0</v>
      </c>
      <c r="CN93" s="175">
        <v>0</v>
      </c>
      <c r="CO93" s="175">
        <v>0</v>
      </c>
      <c r="CP93" s="175">
        <v>0</v>
      </c>
      <c r="CQ93" s="175">
        <v>0</v>
      </c>
    </row>
    <row r="94" spans="1:95" s="175" customFormat="1" x14ac:dyDescent="0.2">
      <c r="A94" s="175" t="s">
        <v>226</v>
      </c>
      <c r="B94" s="175">
        <v>0</v>
      </c>
      <c r="C94" s="175">
        <v>0</v>
      </c>
      <c r="D94" s="175">
        <v>0</v>
      </c>
      <c r="E94" s="175">
        <v>0</v>
      </c>
      <c r="F94" s="175">
        <v>0</v>
      </c>
      <c r="G94" s="175">
        <v>0</v>
      </c>
      <c r="H94" s="175">
        <v>0</v>
      </c>
      <c r="I94" s="175">
        <v>0</v>
      </c>
      <c r="J94" s="175">
        <v>0</v>
      </c>
      <c r="K94" s="175">
        <v>0</v>
      </c>
      <c r="L94" s="175">
        <v>0</v>
      </c>
      <c r="M94" s="175">
        <v>0</v>
      </c>
      <c r="N94" s="175">
        <v>0</v>
      </c>
      <c r="O94" s="175">
        <v>0</v>
      </c>
      <c r="P94" s="175">
        <v>0</v>
      </c>
      <c r="Q94" s="175">
        <v>0</v>
      </c>
      <c r="R94" s="175">
        <v>0</v>
      </c>
      <c r="S94" s="175">
        <v>0</v>
      </c>
      <c r="T94" s="175">
        <v>0</v>
      </c>
      <c r="U94" s="175">
        <v>0</v>
      </c>
      <c r="V94" s="175">
        <v>0</v>
      </c>
      <c r="W94" s="175">
        <v>0</v>
      </c>
      <c r="X94" s="175">
        <v>0</v>
      </c>
      <c r="Y94" s="175">
        <v>0</v>
      </c>
      <c r="Z94" s="175">
        <v>0</v>
      </c>
      <c r="AA94" s="175">
        <v>0</v>
      </c>
      <c r="AB94" s="175">
        <v>0</v>
      </c>
      <c r="AC94" s="175">
        <v>0</v>
      </c>
      <c r="AD94" s="175">
        <v>0</v>
      </c>
      <c r="AE94" s="175">
        <v>0</v>
      </c>
      <c r="AF94" s="175">
        <v>0</v>
      </c>
      <c r="AG94" s="175">
        <v>0</v>
      </c>
      <c r="AH94" s="175">
        <v>0</v>
      </c>
      <c r="AI94" s="175">
        <v>0</v>
      </c>
      <c r="AJ94" s="175">
        <v>0</v>
      </c>
      <c r="AK94" s="175">
        <v>0</v>
      </c>
      <c r="AL94" s="175">
        <v>0</v>
      </c>
      <c r="AM94" s="175">
        <v>0</v>
      </c>
      <c r="AN94" s="175">
        <v>0</v>
      </c>
      <c r="AO94" s="175">
        <v>0</v>
      </c>
      <c r="AP94" s="175">
        <v>0</v>
      </c>
      <c r="AQ94" s="175">
        <v>0</v>
      </c>
      <c r="AR94" s="175">
        <v>0</v>
      </c>
      <c r="AS94" s="175">
        <v>0</v>
      </c>
      <c r="AT94" s="175">
        <v>0</v>
      </c>
      <c r="AU94" s="175">
        <v>0</v>
      </c>
      <c r="AV94" s="175">
        <v>0</v>
      </c>
      <c r="AW94" s="175">
        <v>0</v>
      </c>
      <c r="AX94" s="175">
        <v>0</v>
      </c>
      <c r="AY94" s="175">
        <v>0</v>
      </c>
      <c r="AZ94" s="175">
        <v>0</v>
      </c>
      <c r="BA94" s="175">
        <v>0</v>
      </c>
      <c r="BB94" s="175">
        <v>0</v>
      </c>
      <c r="BC94" s="175">
        <v>0</v>
      </c>
      <c r="BD94" s="175">
        <v>0</v>
      </c>
      <c r="BE94" s="175">
        <v>0</v>
      </c>
      <c r="BF94" s="175">
        <v>0</v>
      </c>
      <c r="BG94" s="175">
        <v>0</v>
      </c>
      <c r="BH94" s="175">
        <v>0</v>
      </c>
      <c r="BI94" s="175">
        <v>0</v>
      </c>
      <c r="BJ94" s="175">
        <v>0</v>
      </c>
      <c r="BK94" s="175">
        <v>0</v>
      </c>
      <c r="BL94" s="175">
        <v>0</v>
      </c>
      <c r="BM94" s="175">
        <v>0</v>
      </c>
      <c r="BN94" s="175">
        <v>0</v>
      </c>
      <c r="BO94" s="175">
        <v>0</v>
      </c>
      <c r="BP94" s="175">
        <v>0</v>
      </c>
      <c r="BQ94" s="175">
        <v>0</v>
      </c>
      <c r="BR94" s="175">
        <v>0</v>
      </c>
      <c r="BS94" s="175">
        <v>0</v>
      </c>
      <c r="BT94" s="175">
        <v>0</v>
      </c>
      <c r="BU94" s="175">
        <v>0</v>
      </c>
      <c r="BV94" s="175">
        <v>0</v>
      </c>
      <c r="BW94" s="175">
        <v>0</v>
      </c>
      <c r="BX94" s="175">
        <v>0</v>
      </c>
      <c r="BY94" s="175">
        <v>0</v>
      </c>
      <c r="BZ94" s="175">
        <v>0</v>
      </c>
      <c r="CA94" s="175">
        <v>0</v>
      </c>
      <c r="CB94" s="175">
        <v>0</v>
      </c>
      <c r="CC94" s="175">
        <v>0</v>
      </c>
      <c r="CD94" s="175">
        <v>0</v>
      </c>
      <c r="CE94" s="175">
        <v>0</v>
      </c>
      <c r="CF94" s="175">
        <v>0</v>
      </c>
      <c r="CG94" s="175">
        <v>0</v>
      </c>
      <c r="CH94" s="175">
        <v>0</v>
      </c>
      <c r="CI94" s="175">
        <v>0</v>
      </c>
      <c r="CJ94" s="175">
        <v>0</v>
      </c>
      <c r="CK94" s="175">
        <v>0</v>
      </c>
      <c r="CL94" s="175">
        <v>0</v>
      </c>
      <c r="CM94" s="175">
        <v>0</v>
      </c>
      <c r="CN94" s="175">
        <v>0</v>
      </c>
      <c r="CO94" s="175">
        <v>0</v>
      </c>
      <c r="CP94" s="175">
        <v>0</v>
      </c>
      <c r="CQ94" s="175">
        <v>0</v>
      </c>
    </row>
    <row r="95" spans="1:95" s="175" customFormat="1" x14ac:dyDescent="0.2">
      <c r="A95" s="175" t="s">
        <v>123</v>
      </c>
      <c r="B95" s="175">
        <v>0</v>
      </c>
      <c r="C95" s="175">
        <v>0</v>
      </c>
      <c r="D95" s="175">
        <v>0</v>
      </c>
      <c r="E95" s="175">
        <v>0</v>
      </c>
      <c r="F95" s="175">
        <v>0</v>
      </c>
      <c r="G95" s="175">
        <v>0</v>
      </c>
      <c r="H95" s="175">
        <v>0</v>
      </c>
      <c r="I95" s="175">
        <v>0</v>
      </c>
      <c r="J95" s="175">
        <v>0</v>
      </c>
      <c r="K95" s="175">
        <v>0</v>
      </c>
      <c r="L95" s="175">
        <v>0</v>
      </c>
      <c r="M95" s="175">
        <v>0</v>
      </c>
      <c r="N95" s="175">
        <v>0</v>
      </c>
      <c r="O95" s="175">
        <v>0</v>
      </c>
      <c r="P95" s="175">
        <v>0</v>
      </c>
      <c r="Q95" s="175">
        <v>0</v>
      </c>
      <c r="R95" s="175">
        <v>0</v>
      </c>
      <c r="S95" s="175">
        <v>0</v>
      </c>
      <c r="T95" s="175">
        <v>0</v>
      </c>
      <c r="U95" s="175">
        <v>0</v>
      </c>
      <c r="V95" s="175">
        <v>0</v>
      </c>
      <c r="W95" s="175">
        <v>0</v>
      </c>
      <c r="X95" s="175">
        <v>0</v>
      </c>
      <c r="Y95" s="175">
        <v>0</v>
      </c>
      <c r="Z95" s="175">
        <v>0</v>
      </c>
      <c r="AA95" s="175">
        <v>0</v>
      </c>
      <c r="AB95" s="175">
        <v>0</v>
      </c>
      <c r="AC95" s="175">
        <v>0</v>
      </c>
      <c r="AD95" s="175">
        <v>0</v>
      </c>
      <c r="AE95" s="175">
        <v>0</v>
      </c>
      <c r="AF95" s="175">
        <v>0</v>
      </c>
      <c r="AG95" s="175">
        <v>0</v>
      </c>
      <c r="AH95" s="175">
        <v>0</v>
      </c>
      <c r="AI95" s="175">
        <v>0</v>
      </c>
      <c r="AJ95" s="175">
        <v>0</v>
      </c>
      <c r="AK95" s="175">
        <v>0</v>
      </c>
      <c r="AL95" s="175">
        <v>0</v>
      </c>
      <c r="AM95" s="175">
        <v>0</v>
      </c>
      <c r="AN95" s="175">
        <v>0</v>
      </c>
      <c r="AO95" s="175">
        <v>0</v>
      </c>
      <c r="AP95" s="175">
        <v>0</v>
      </c>
      <c r="AQ95" s="175">
        <v>0</v>
      </c>
      <c r="AR95" s="175">
        <v>0</v>
      </c>
      <c r="AS95" s="175">
        <v>0</v>
      </c>
      <c r="AT95" s="175">
        <v>0</v>
      </c>
      <c r="AU95" s="175">
        <v>0</v>
      </c>
      <c r="AV95" s="175">
        <v>0</v>
      </c>
      <c r="AW95" s="175">
        <v>0</v>
      </c>
      <c r="AX95" s="175">
        <v>0</v>
      </c>
      <c r="AY95" s="175">
        <v>0</v>
      </c>
      <c r="AZ95" s="175">
        <v>0</v>
      </c>
      <c r="BA95" s="175">
        <v>0</v>
      </c>
      <c r="BB95" s="175">
        <v>0</v>
      </c>
      <c r="BC95" s="175">
        <v>0</v>
      </c>
      <c r="BD95" s="175">
        <v>0</v>
      </c>
      <c r="BE95" s="175">
        <v>0</v>
      </c>
      <c r="BF95" s="175">
        <v>0</v>
      </c>
      <c r="BG95" s="175">
        <v>0</v>
      </c>
      <c r="BH95" s="175">
        <v>0</v>
      </c>
      <c r="BI95" s="175">
        <v>0</v>
      </c>
      <c r="BJ95" s="175">
        <v>0</v>
      </c>
      <c r="BK95" s="175">
        <v>0</v>
      </c>
      <c r="BL95" s="175">
        <v>0</v>
      </c>
      <c r="BM95" s="175">
        <v>0</v>
      </c>
      <c r="BN95" s="175">
        <v>0</v>
      </c>
      <c r="BO95" s="175">
        <v>0</v>
      </c>
      <c r="BP95" s="175">
        <v>0</v>
      </c>
      <c r="BQ95" s="175">
        <v>0</v>
      </c>
      <c r="BR95" s="175">
        <v>0</v>
      </c>
      <c r="BS95" s="175">
        <v>0</v>
      </c>
      <c r="BT95" s="175">
        <v>0</v>
      </c>
      <c r="BU95" s="175">
        <v>0</v>
      </c>
      <c r="BV95" s="175">
        <v>0</v>
      </c>
      <c r="BW95" s="175">
        <v>0</v>
      </c>
      <c r="BX95" s="175">
        <v>0</v>
      </c>
      <c r="BY95" s="175">
        <v>0</v>
      </c>
      <c r="BZ95" s="175">
        <v>0</v>
      </c>
      <c r="CA95" s="175">
        <v>0</v>
      </c>
      <c r="CB95" s="175">
        <v>0</v>
      </c>
      <c r="CC95" s="175">
        <v>0</v>
      </c>
      <c r="CD95" s="175">
        <v>0</v>
      </c>
      <c r="CE95" s="175">
        <v>0</v>
      </c>
      <c r="CF95" s="175">
        <v>0</v>
      </c>
      <c r="CG95" s="175">
        <v>0</v>
      </c>
      <c r="CH95" s="175">
        <v>0</v>
      </c>
      <c r="CI95" s="175">
        <v>0</v>
      </c>
      <c r="CJ95" s="175">
        <v>0</v>
      </c>
      <c r="CK95" s="175">
        <v>0</v>
      </c>
      <c r="CL95" s="175">
        <v>0</v>
      </c>
      <c r="CM95" s="175">
        <v>0</v>
      </c>
      <c r="CN95" s="175">
        <v>0</v>
      </c>
      <c r="CO95" s="175">
        <v>0</v>
      </c>
      <c r="CP95" s="175">
        <v>0</v>
      </c>
      <c r="CQ95" s="175">
        <v>0</v>
      </c>
    </row>
    <row r="96" spans="1:95" s="175" customFormat="1" x14ac:dyDescent="0.2">
      <c r="A96" s="175" t="s">
        <v>272</v>
      </c>
      <c r="B96" s="175">
        <v>0</v>
      </c>
      <c r="C96" s="175">
        <v>0</v>
      </c>
      <c r="D96" s="175">
        <v>0</v>
      </c>
      <c r="E96" s="175">
        <v>0</v>
      </c>
      <c r="F96" s="175">
        <v>0</v>
      </c>
      <c r="G96" s="175">
        <v>0</v>
      </c>
      <c r="H96" s="175">
        <v>0</v>
      </c>
      <c r="I96" s="175">
        <v>0</v>
      </c>
      <c r="J96" s="175">
        <v>0</v>
      </c>
      <c r="K96" s="175">
        <v>0</v>
      </c>
      <c r="L96" s="175">
        <v>0</v>
      </c>
      <c r="M96" s="175">
        <v>0</v>
      </c>
      <c r="N96" s="175">
        <v>0</v>
      </c>
      <c r="O96" s="175">
        <v>0</v>
      </c>
      <c r="P96" s="175">
        <v>0</v>
      </c>
      <c r="Q96" s="175">
        <v>0</v>
      </c>
      <c r="R96" s="175">
        <v>0</v>
      </c>
      <c r="S96" s="175">
        <v>0</v>
      </c>
      <c r="T96" s="175">
        <v>0</v>
      </c>
      <c r="U96" s="175">
        <v>0</v>
      </c>
      <c r="V96" s="175">
        <v>0</v>
      </c>
      <c r="W96" s="175">
        <v>0</v>
      </c>
      <c r="X96" s="175">
        <v>0</v>
      </c>
      <c r="Y96" s="175">
        <v>0</v>
      </c>
      <c r="Z96" s="175">
        <v>0</v>
      </c>
      <c r="AA96" s="175">
        <v>0</v>
      </c>
      <c r="AB96" s="175">
        <v>0</v>
      </c>
      <c r="AC96" s="175">
        <v>0</v>
      </c>
      <c r="AD96" s="175">
        <v>0</v>
      </c>
      <c r="AE96" s="175">
        <v>0</v>
      </c>
      <c r="AF96" s="175">
        <v>0</v>
      </c>
      <c r="AG96" s="175">
        <v>0</v>
      </c>
      <c r="AH96" s="175">
        <v>0</v>
      </c>
      <c r="AI96" s="175">
        <v>0</v>
      </c>
      <c r="AJ96" s="175">
        <v>0</v>
      </c>
      <c r="AK96" s="175">
        <v>0</v>
      </c>
      <c r="AL96" s="175">
        <v>0</v>
      </c>
      <c r="AM96" s="175">
        <v>0</v>
      </c>
      <c r="AN96" s="175">
        <v>0</v>
      </c>
      <c r="AO96" s="175">
        <v>0</v>
      </c>
      <c r="AP96" s="175">
        <v>0</v>
      </c>
      <c r="AQ96" s="175">
        <v>0</v>
      </c>
      <c r="AR96" s="175">
        <v>0</v>
      </c>
      <c r="AS96" s="175">
        <v>0</v>
      </c>
      <c r="AT96" s="175">
        <v>0</v>
      </c>
      <c r="AU96" s="175">
        <v>0</v>
      </c>
      <c r="AV96" s="175">
        <v>0</v>
      </c>
      <c r="AW96" s="175">
        <v>0</v>
      </c>
      <c r="AX96" s="175">
        <v>0</v>
      </c>
      <c r="AY96" s="175">
        <v>0</v>
      </c>
      <c r="AZ96" s="175">
        <v>0</v>
      </c>
      <c r="BA96" s="175">
        <v>0</v>
      </c>
      <c r="BB96" s="175">
        <v>0</v>
      </c>
      <c r="BC96" s="175">
        <v>0</v>
      </c>
      <c r="BD96" s="175">
        <v>0</v>
      </c>
      <c r="BE96" s="175">
        <v>0</v>
      </c>
      <c r="BF96" s="175">
        <v>0</v>
      </c>
      <c r="BG96" s="175">
        <v>0</v>
      </c>
      <c r="BH96" s="175">
        <v>0</v>
      </c>
      <c r="BI96" s="175">
        <v>0</v>
      </c>
      <c r="BJ96" s="175">
        <v>0</v>
      </c>
      <c r="BK96" s="175">
        <v>0</v>
      </c>
      <c r="BL96" s="175">
        <v>0</v>
      </c>
      <c r="BM96" s="175">
        <v>0</v>
      </c>
      <c r="BN96" s="175">
        <v>0</v>
      </c>
      <c r="BO96" s="175">
        <v>0</v>
      </c>
      <c r="BP96" s="175">
        <v>0</v>
      </c>
      <c r="BQ96" s="175">
        <v>0</v>
      </c>
      <c r="BR96" s="175">
        <v>0</v>
      </c>
      <c r="BS96" s="175">
        <v>0</v>
      </c>
      <c r="BT96" s="175">
        <v>0</v>
      </c>
      <c r="BU96" s="175">
        <v>0</v>
      </c>
      <c r="BV96" s="175">
        <v>0</v>
      </c>
      <c r="BW96" s="175">
        <v>0</v>
      </c>
      <c r="BX96" s="175">
        <v>0</v>
      </c>
      <c r="BY96" s="175">
        <v>0</v>
      </c>
      <c r="BZ96" s="175">
        <v>0</v>
      </c>
      <c r="CA96" s="175">
        <v>0</v>
      </c>
      <c r="CB96" s="175">
        <v>0</v>
      </c>
      <c r="CC96" s="175">
        <v>0</v>
      </c>
      <c r="CD96" s="175">
        <v>0</v>
      </c>
      <c r="CE96" s="175">
        <v>0</v>
      </c>
      <c r="CF96" s="175">
        <v>0</v>
      </c>
      <c r="CG96" s="175">
        <v>0</v>
      </c>
      <c r="CH96" s="175">
        <v>0</v>
      </c>
      <c r="CI96" s="175">
        <v>0</v>
      </c>
      <c r="CJ96" s="175">
        <v>0</v>
      </c>
      <c r="CK96" s="175">
        <v>0</v>
      </c>
      <c r="CL96" s="175">
        <v>0</v>
      </c>
      <c r="CM96" s="175">
        <v>0</v>
      </c>
      <c r="CN96" s="175">
        <v>0</v>
      </c>
      <c r="CO96" s="175">
        <v>0</v>
      </c>
      <c r="CP96" s="175">
        <v>0</v>
      </c>
      <c r="CQ96" s="17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topLeftCell="A84" workbookViewId="0">
      <selection activeCell="B99" sqref="B99"/>
    </sheetView>
  </sheetViews>
  <sheetFormatPr baseColWidth="10" defaultRowHeight="16" x14ac:dyDescent="0.2"/>
  <cols>
    <col min="1" max="1" width="12.6640625" style="175" customWidth="1"/>
    <col min="2" max="2" width="46.5" style="175" bestFit="1" customWidth="1"/>
    <col min="3" max="3" width="16" style="175" bestFit="1" customWidth="1"/>
    <col min="4" max="4" width="16.33203125" style="175" bestFit="1" customWidth="1"/>
    <col min="5" max="16384" width="10.83203125" style="175"/>
  </cols>
  <sheetData>
    <row r="1" spans="1:3" ht="34" x14ac:dyDescent="0.2">
      <c r="A1" s="185" t="s">
        <v>83</v>
      </c>
      <c r="B1" s="186" t="s">
        <v>0</v>
      </c>
      <c r="C1" s="175" t="s">
        <v>271</v>
      </c>
    </row>
    <row r="2" spans="1:3" x14ac:dyDescent="0.2">
      <c r="A2" s="175">
        <v>1</v>
      </c>
      <c r="B2" s="175" t="s">
        <v>172</v>
      </c>
      <c r="C2" s="182">
        <v>0.8</v>
      </c>
    </row>
    <row r="3" spans="1:3" x14ac:dyDescent="0.2">
      <c r="A3" s="175">
        <v>2</v>
      </c>
      <c r="B3" s="175" t="s">
        <v>173</v>
      </c>
      <c r="C3" s="182">
        <v>0.8</v>
      </c>
    </row>
    <row r="4" spans="1:3" x14ac:dyDescent="0.2">
      <c r="A4" s="175">
        <v>3</v>
      </c>
      <c r="B4" s="175" t="s">
        <v>174</v>
      </c>
      <c r="C4" s="182">
        <v>0.8</v>
      </c>
    </row>
    <row r="5" spans="1:3" x14ac:dyDescent="0.2">
      <c r="A5" s="175">
        <v>4</v>
      </c>
      <c r="B5" s="175" t="s">
        <v>175</v>
      </c>
      <c r="C5" s="182">
        <v>0.8</v>
      </c>
    </row>
    <row r="6" spans="1:3" x14ac:dyDescent="0.2">
      <c r="A6" s="175">
        <v>5</v>
      </c>
      <c r="B6" s="175" t="s">
        <v>176</v>
      </c>
      <c r="C6" s="182">
        <v>0.8</v>
      </c>
    </row>
    <row r="7" spans="1:3" x14ac:dyDescent="0.2">
      <c r="A7" s="175">
        <v>6</v>
      </c>
      <c r="B7" s="175" t="s">
        <v>177</v>
      </c>
      <c r="C7" s="182">
        <v>0.8</v>
      </c>
    </row>
    <row r="8" spans="1:3" x14ac:dyDescent="0.2">
      <c r="A8" s="175">
        <v>7</v>
      </c>
      <c r="B8" s="175" t="s">
        <v>161</v>
      </c>
      <c r="C8" s="182">
        <v>0.8</v>
      </c>
    </row>
    <row r="9" spans="1:3" x14ac:dyDescent="0.2">
      <c r="A9" s="175">
        <v>8</v>
      </c>
      <c r="B9" s="175" t="s">
        <v>178</v>
      </c>
      <c r="C9" s="182">
        <v>0.8</v>
      </c>
    </row>
    <row r="10" spans="1:3" x14ac:dyDescent="0.2">
      <c r="A10" s="175">
        <v>9</v>
      </c>
      <c r="B10" s="175" t="s">
        <v>179</v>
      </c>
      <c r="C10" s="182">
        <v>0.8</v>
      </c>
    </row>
    <row r="11" spans="1:3" x14ac:dyDescent="0.2">
      <c r="A11" s="175">
        <v>10</v>
      </c>
      <c r="B11" s="175" t="s">
        <v>180</v>
      </c>
      <c r="C11" s="182">
        <v>0.8</v>
      </c>
    </row>
    <row r="12" spans="1:3" x14ac:dyDescent="0.2">
      <c r="A12" s="175">
        <v>11</v>
      </c>
      <c r="B12" s="175" t="s">
        <v>181</v>
      </c>
      <c r="C12" s="182">
        <v>0.8</v>
      </c>
    </row>
    <row r="13" spans="1:3" x14ac:dyDescent="0.2">
      <c r="A13" s="175">
        <v>12</v>
      </c>
      <c r="B13" s="175" t="s">
        <v>182</v>
      </c>
      <c r="C13" s="182">
        <v>0.8</v>
      </c>
    </row>
    <row r="14" spans="1:3" x14ac:dyDescent="0.2">
      <c r="A14" s="175">
        <v>13</v>
      </c>
      <c r="B14" s="175" t="s">
        <v>245</v>
      </c>
      <c r="C14" s="182">
        <v>0.8</v>
      </c>
    </row>
    <row r="15" spans="1:3" x14ac:dyDescent="0.2">
      <c r="A15" s="175">
        <v>14</v>
      </c>
      <c r="B15" s="175" t="s">
        <v>183</v>
      </c>
      <c r="C15" s="182">
        <v>0.8</v>
      </c>
    </row>
    <row r="16" spans="1:3" x14ac:dyDescent="0.2">
      <c r="A16" s="175">
        <v>15</v>
      </c>
      <c r="B16" s="175" t="s">
        <v>184</v>
      </c>
      <c r="C16" s="182">
        <v>0.8</v>
      </c>
    </row>
    <row r="17" spans="1:3" x14ac:dyDescent="0.2">
      <c r="A17" s="175">
        <v>16</v>
      </c>
      <c r="B17" s="175" t="s">
        <v>228</v>
      </c>
      <c r="C17" s="182">
        <v>0.8</v>
      </c>
    </row>
    <row r="18" spans="1:3" x14ac:dyDescent="0.2">
      <c r="A18" s="175">
        <v>17</v>
      </c>
      <c r="B18" s="175" t="s">
        <v>185</v>
      </c>
      <c r="C18" s="182">
        <v>0.8</v>
      </c>
    </row>
    <row r="19" spans="1:3" x14ac:dyDescent="0.2">
      <c r="A19" s="175">
        <v>18</v>
      </c>
      <c r="B19" s="175" t="s">
        <v>246</v>
      </c>
      <c r="C19" s="182">
        <v>0.8</v>
      </c>
    </row>
    <row r="20" spans="1:3" x14ac:dyDescent="0.2">
      <c r="A20" s="175">
        <v>19</v>
      </c>
      <c r="B20" s="175" t="s">
        <v>229</v>
      </c>
      <c r="C20" s="182">
        <v>0.8</v>
      </c>
    </row>
    <row r="21" spans="1:3" x14ac:dyDescent="0.2">
      <c r="A21" s="175">
        <v>20</v>
      </c>
      <c r="B21" s="175" t="s">
        <v>186</v>
      </c>
      <c r="C21" s="182">
        <v>0.8</v>
      </c>
    </row>
    <row r="22" spans="1:3" x14ac:dyDescent="0.2">
      <c r="A22" s="175">
        <v>21</v>
      </c>
      <c r="B22" s="175" t="s">
        <v>187</v>
      </c>
      <c r="C22" s="182">
        <v>0.8</v>
      </c>
    </row>
    <row r="23" spans="1:3" x14ac:dyDescent="0.2">
      <c r="A23" s="175">
        <v>22</v>
      </c>
      <c r="B23" s="175" t="s">
        <v>188</v>
      </c>
      <c r="C23" s="182">
        <v>0.8</v>
      </c>
    </row>
    <row r="24" spans="1:3" x14ac:dyDescent="0.2">
      <c r="A24" s="175">
        <v>23</v>
      </c>
      <c r="B24" s="175" t="s">
        <v>189</v>
      </c>
      <c r="C24" s="182">
        <v>0.8</v>
      </c>
    </row>
    <row r="25" spans="1:3" x14ac:dyDescent="0.2">
      <c r="A25" s="175">
        <v>24</v>
      </c>
      <c r="B25" s="175" t="s">
        <v>230</v>
      </c>
      <c r="C25" s="182">
        <v>0.8</v>
      </c>
    </row>
    <row r="26" spans="1:3" x14ac:dyDescent="0.2">
      <c r="A26" s="175">
        <v>25</v>
      </c>
      <c r="B26" s="175" t="s">
        <v>231</v>
      </c>
      <c r="C26" s="182">
        <v>0.8</v>
      </c>
    </row>
    <row r="27" spans="1:3" x14ac:dyDescent="0.2">
      <c r="A27" s="175">
        <v>26</v>
      </c>
      <c r="B27" s="175" t="s">
        <v>192</v>
      </c>
      <c r="C27" s="182">
        <v>0.8</v>
      </c>
    </row>
    <row r="28" spans="1:3" x14ac:dyDescent="0.2">
      <c r="A28" s="175">
        <v>27</v>
      </c>
      <c r="B28" s="175" t="s">
        <v>193</v>
      </c>
      <c r="C28" s="182">
        <v>0.8</v>
      </c>
    </row>
    <row r="29" spans="1:3" x14ac:dyDescent="0.2">
      <c r="A29" s="175">
        <v>28</v>
      </c>
      <c r="B29" s="175" t="s">
        <v>247</v>
      </c>
      <c r="C29" s="182">
        <v>0.8</v>
      </c>
    </row>
    <row r="30" spans="1:3" x14ac:dyDescent="0.2">
      <c r="A30" s="175">
        <v>29</v>
      </c>
      <c r="B30" s="175" t="s">
        <v>248</v>
      </c>
      <c r="C30" s="182">
        <v>0.8</v>
      </c>
    </row>
    <row r="31" spans="1:3" x14ac:dyDescent="0.2">
      <c r="A31" s="175">
        <v>30</v>
      </c>
      <c r="B31" s="175" t="s">
        <v>249</v>
      </c>
      <c r="C31" s="182">
        <v>0.8</v>
      </c>
    </row>
    <row r="32" spans="1:3" x14ac:dyDescent="0.2">
      <c r="A32" s="175">
        <v>31</v>
      </c>
      <c r="B32" s="175" t="s">
        <v>250</v>
      </c>
      <c r="C32" s="182">
        <v>0.8</v>
      </c>
    </row>
    <row r="33" spans="1:3" x14ac:dyDescent="0.2">
      <c r="A33" s="175">
        <v>32</v>
      </c>
      <c r="B33" s="175" t="s">
        <v>251</v>
      </c>
      <c r="C33" s="182">
        <v>0.8</v>
      </c>
    </row>
    <row r="34" spans="1:3" x14ac:dyDescent="0.2">
      <c r="A34" s="175">
        <v>33</v>
      </c>
      <c r="B34" s="175" t="s">
        <v>252</v>
      </c>
      <c r="C34" s="182">
        <v>0.8</v>
      </c>
    </row>
    <row r="35" spans="1:3" x14ac:dyDescent="0.2">
      <c r="A35" s="175">
        <v>34</v>
      </c>
      <c r="B35" s="175" t="s">
        <v>253</v>
      </c>
      <c r="C35" s="182">
        <v>0.8</v>
      </c>
    </row>
    <row r="36" spans="1:3" x14ac:dyDescent="0.2">
      <c r="A36" s="175">
        <v>35</v>
      </c>
      <c r="B36" s="175" t="s">
        <v>254</v>
      </c>
      <c r="C36" s="182">
        <v>0.8</v>
      </c>
    </row>
    <row r="37" spans="1:3" x14ac:dyDescent="0.2">
      <c r="A37" s="175">
        <v>36</v>
      </c>
      <c r="B37" s="175" t="s">
        <v>255</v>
      </c>
      <c r="C37" s="182">
        <v>0.8</v>
      </c>
    </row>
    <row r="38" spans="1:3" x14ac:dyDescent="0.2">
      <c r="A38" s="175">
        <v>37</v>
      </c>
      <c r="B38" s="175" t="s">
        <v>194</v>
      </c>
      <c r="C38" s="182">
        <v>0.8</v>
      </c>
    </row>
    <row r="39" spans="1:3" x14ac:dyDescent="0.2">
      <c r="A39" s="175">
        <v>38</v>
      </c>
      <c r="B39" s="175" t="s">
        <v>256</v>
      </c>
      <c r="C39" s="182">
        <v>0.8</v>
      </c>
    </row>
    <row r="40" spans="1:3" x14ac:dyDescent="0.2">
      <c r="A40" s="175">
        <v>39</v>
      </c>
      <c r="B40" s="175" t="s">
        <v>195</v>
      </c>
      <c r="C40" s="182">
        <v>0.8</v>
      </c>
    </row>
    <row r="41" spans="1:3" x14ac:dyDescent="0.2">
      <c r="A41" s="175">
        <v>40</v>
      </c>
      <c r="B41" s="175" t="s">
        <v>196</v>
      </c>
      <c r="C41" s="182">
        <v>0.8</v>
      </c>
    </row>
    <row r="42" spans="1:3" x14ac:dyDescent="0.2">
      <c r="A42" s="175">
        <v>41</v>
      </c>
      <c r="B42" s="175" t="s">
        <v>197</v>
      </c>
      <c r="C42" s="182">
        <v>0.8</v>
      </c>
    </row>
    <row r="43" spans="1:3" x14ac:dyDescent="0.2">
      <c r="A43" s="175">
        <v>42</v>
      </c>
      <c r="B43" s="175" t="s">
        <v>198</v>
      </c>
      <c r="C43" s="182">
        <v>0.8</v>
      </c>
    </row>
    <row r="44" spans="1:3" x14ac:dyDescent="0.2">
      <c r="A44" s="175">
        <v>43</v>
      </c>
      <c r="B44" s="175" t="s">
        <v>199</v>
      </c>
      <c r="C44" s="182">
        <v>0.8</v>
      </c>
    </row>
    <row r="45" spans="1:3" x14ac:dyDescent="0.2">
      <c r="A45" s="175">
        <v>44</v>
      </c>
      <c r="B45" s="175" t="s">
        <v>232</v>
      </c>
      <c r="C45" s="182">
        <v>0.8</v>
      </c>
    </row>
    <row r="46" spans="1:3" x14ac:dyDescent="0.2">
      <c r="A46" s="175">
        <v>45</v>
      </c>
      <c r="B46" s="175" t="s">
        <v>200</v>
      </c>
      <c r="C46" s="182">
        <v>0.8</v>
      </c>
    </row>
    <row r="47" spans="1:3" x14ac:dyDescent="0.2">
      <c r="A47" s="175">
        <v>46</v>
      </c>
      <c r="B47" s="175" t="s">
        <v>201</v>
      </c>
      <c r="C47" s="182">
        <v>0.8</v>
      </c>
    </row>
    <row r="48" spans="1:3" x14ac:dyDescent="0.2">
      <c r="A48" s="175">
        <v>47</v>
      </c>
      <c r="B48" s="175" t="s">
        <v>202</v>
      </c>
      <c r="C48" s="182">
        <v>0.8</v>
      </c>
    </row>
    <row r="49" spans="1:3" x14ac:dyDescent="0.2">
      <c r="A49" s="175">
        <v>48</v>
      </c>
      <c r="B49" s="175" t="s">
        <v>203</v>
      </c>
      <c r="C49" s="182">
        <v>0.8</v>
      </c>
    </row>
    <row r="50" spans="1:3" x14ac:dyDescent="0.2">
      <c r="A50" s="175">
        <v>49</v>
      </c>
      <c r="B50" s="175" t="s">
        <v>204</v>
      </c>
      <c r="C50" s="182">
        <v>0.8</v>
      </c>
    </row>
    <row r="51" spans="1:3" x14ac:dyDescent="0.2">
      <c r="A51" s="175">
        <v>50</v>
      </c>
      <c r="B51" s="175" t="s">
        <v>257</v>
      </c>
      <c r="C51" s="182">
        <v>0.8</v>
      </c>
    </row>
    <row r="52" spans="1:3" x14ac:dyDescent="0.2">
      <c r="A52" s="175">
        <v>51</v>
      </c>
      <c r="B52" s="175" t="s">
        <v>258</v>
      </c>
      <c r="C52" s="182">
        <v>0.8</v>
      </c>
    </row>
    <row r="53" spans="1:3" x14ac:dyDescent="0.2">
      <c r="A53" s="175">
        <v>52</v>
      </c>
      <c r="B53" s="175" t="s">
        <v>259</v>
      </c>
      <c r="C53" s="182">
        <v>0.8</v>
      </c>
    </row>
    <row r="54" spans="1:3" x14ac:dyDescent="0.2">
      <c r="A54" s="175">
        <v>53</v>
      </c>
      <c r="B54" s="175" t="s">
        <v>260</v>
      </c>
      <c r="C54" s="182">
        <v>0.8</v>
      </c>
    </row>
    <row r="55" spans="1:3" x14ac:dyDescent="0.2">
      <c r="A55" s="175">
        <v>54</v>
      </c>
      <c r="B55" s="175" t="s">
        <v>261</v>
      </c>
      <c r="C55" s="182">
        <v>0.8</v>
      </c>
    </row>
    <row r="56" spans="1:3" x14ac:dyDescent="0.2">
      <c r="A56" s="175">
        <v>55</v>
      </c>
      <c r="B56" s="175" t="s">
        <v>233</v>
      </c>
      <c r="C56" s="182">
        <v>0.8</v>
      </c>
    </row>
    <row r="57" spans="1:3" x14ac:dyDescent="0.2">
      <c r="A57" s="175">
        <v>56</v>
      </c>
      <c r="B57" s="175" t="s">
        <v>234</v>
      </c>
      <c r="C57" s="182">
        <v>0.8</v>
      </c>
    </row>
    <row r="58" spans="1:3" x14ac:dyDescent="0.2">
      <c r="A58" s="175">
        <v>57</v>
      </c>
      <c r="B58" s="175" t="s">
        <v>205</v>
      </c>
      <c r="C58" s="182">
        <v>0.8</v>
      </c>
    </row>
    <row r="59" spans="1:3" x14ac:dyDescent="0.2">
      <c r="A59" s="175">
        <v>58</v>
      </c>
      <c r="B59" s="175" t="s">
        <v>206</v>
      </c>
      <c r="C59" s="182">
        <v>0.8</v>
      </c>
    </row>
    <row r="60" spans="1:3" x14ac:dyDescent="0.2">
      <c r="A60" s="175">
        <v>59</v>
      </c>
      <c r="B60" s="175" t="s">
        <v>207</v>
      </c>
      <c r="C60" s="182">
        <v>0.8</v>
      </c>
    </row>
    <row r="61" spans="1:3" x14ac:dyDescent="0.2">
      <c r="A61" s="175">
        <v>60</v>
      </c>
      <c r="B61" s="175" t="s">
        <v>262</v>
      </c>
      <c r="C61" s="182">
        <v>0.8</v>
      </c>
    </row>
    <row r="62" spans="1:3" x14ac:dyDescent="0.2">
      <c r="A62" s="175">
        <v>61</v>
      </c>
      <c r="B62" s="175" t="s">
        <v>208</v>
      </c>
      <c r="C62" s="182">
        <v>0.8</v>
      </c>
    </row>
    <row r="63" spans="1:3" x14ac:dyDescent="0.2">
      <c r="A63" s="175">
        <v>62</v>
      </c>
      <c r="B63" s="175" t="s">
        <v>263</v>
      </c>
      <c r="C63" s="182">
        <v>0.8</v>
      </c>
    </row>
    <row r="64" spans="1:3" x14ac:dyDescent="0.2">
      <c r="A64" s="175">
        <v>63</v>
      </c>
      <c r="B64" s="175" t="s">
        <v>209</v>
      </c>
      <c r="C64" s="182">
        <v>0.8</v>
      </c>
    </row>
    <row r="65" spans="1:3" x14ac:dyDescent="0.2">
      <c r="A65" s="175">
        <v>64</v>
      </c>
      <c r="B65" s="175" t="s">
        <v>264</v>
      </c>
      <c r="C65" s="182">
        <v>0.8</v>
      </c>
    </row>
    <row r="66" spans="1:3" x14ac:dyDescent="0.2">
      <c r="A66" s="175">
        <v>65</v>
      </c>
      <c r="B66" s="175" t="s">
        <v>210</v>
      </c>
      <c r="C66" s="182">
        <v>0.8</v>
      </c>
    </row>
    <row r="67" spans="1:3" x14ac:dyDescent="0.2">
      <c r="A67" s="175">
        <v>66</v>
      </c>
      <c r="B67" s="175" t="s">
        <v>235</v>
      </c>
      <c r="C67" s="182">
        <v>0.8</v>
      </c>
    </row>
    <row r="68" spans="1:3" x14ac:dyDescent="0.2">
      <c r="A68" s="175">
        <v>67</v>
      </c>
      <c r="B68" s="175" t="s">
        <v>211</v>
      </c>
      <c r="C68" s="182">
        <v>0.8</v>
      </c>
    </row>
    <row r="69" spans="1:3" x14ac:dyDescent="0.2">
      <c r="A69" s="175">
        <v>68</v>
      </c>
      <c r="B69" s="175" t="s">
        <v>265</v>
      </c>
      <c r="C69" s="182">
        <v>0.8</v>
      </c>
    </row>
    <row r="70" spans="1:3" x14ac:dyDescent="0.2">
      <c r="A70" s="175">
        <v>69</v>
      </c>
      <c r="B70" s="175" t="s">
        <v>212</v>
      </c>
      <c r="C70" s="182">
        <v>0.8</v>
      </c>
    </row>
    <row r="71" spans="1:3" x14ac:dyDescent="0.2">
      <c r="A71" s="175">
        <v>70</v>
      </c>
      <c r="B71" s="175" t="s">
        <v>213</v>
      </c>
      <c r="C71" s="182">
        <v>0.8</v>
      </c>
    </row>
    <row r="72" spans="1:3" x14ac:dyDescent="0.2">
      <c r="A72" s="175">
        <v>71</v>
      </c>
      <c r="B72" s="175" t="s">
        <v>236</v>
      </c>
      <c r="C72" s="182">
        <v>0.8</v>
      </c>
    </row>
    <row r="73" spans="1:3" x14ac:dyDescent="0.2">
      <c r="A73" s="175">
        <v>72</v>
      </c>
      <c r="B73" s="175" t="s">
        <v>237</v>
      </c>
      <c r="C73" s="182">
        <v>0.8</v>
      </c>
    </row>
    <row r="74" spans="1:3" x14ac:dyDescent="0.2">
      <c r="A74" s="175">
        <v>73</v>
      </c>
      <c r="B74" s="175" t="s">
        <v>214</v>
      </c>
      <c r="C74" s="182">
        <v>0.8</v>
      </c>
    </row>
    <row r="75" spans="1:3" x14ac:dyDescent="0.2">
      <c r="A75" s="175">
        <v>74</v>
      </c>
      <c r="B75" s="175" t="s">
        <v>238</v>
      </c>
      <c r="C75" s="182">
        <v>0.8</v>
      </c>
    </row>
    <row r="76" spans="1:3" x14ac:dyDescent="0.2">
      <c r="A76" s="175">
        <v>75</v>
      </c>
      <c r="B76" s="175" t="s">
        <v>239</v>
      </c>
      <c r="C76" s="182">
        <v>0.8</v>
      </c>
    </row>
    <row r="77" spans="1:3" x14ac:dyDescent="0.2">
      <c r="A77" s="175">
        <v>76</v>
      </c>
      <c r="B77" s="175" t="s">
        <v>240</v>
      </c>
      <c r="C77" s="182">
        <v>0.8</v>
      </c>
    </row>
    <row r="78" spans="1:3" x14ac:dyDescent="0.2">
      <c r="A78" s="175">
        <v>77</v>
      </c>
      <c r="B78" s="175" t="s">
        <v>215</v>
      </c>
      <c r="C78" s="182">
        <v>0.8</v>
      </c>
    </row>
    <row r="79" spans="1:3" x14ac:dyDescent="0.2">
      <c r="A79" s="175">
        <v>78</v>
      </c>
      <c r="B79" s="175" t="s">
        <v>216</v>
      </c>
      <c r="C79" s="182">
        <v>0.8</v>
      </c>
    </row>
    <row r="80" spans="1:3" x14ac:dyDescent="0.2">
      <c r="A80" s="175">
        <v>79</v>
      </c>
      <c r="B80" s="175" t="s">
        <v>217</v>
      </c>
      <c r="C80" s="182">
        <v>0.8</v>
      </c>
    </row>
    <row r="81" spans="1:3" x14ac:dyDescent="0.2">
      <c r="A81" s="175">
        <v>80</v>
      </c>
      <c r="B81" s="175" t="s">
        <v>266</v>
      </c>
      <c r="C81" s="182">
        <v>0.8</v>
      </c>
    </row>
    <row r="82" spans="1:3" x14ac:dyDescent="0.2">
      <c r="A82" s="175">
        <v>81</v>
      </c>
      <c r="B82" s="175" t="s">
        <v>267</v>
      </c>
      <c r="C82" s="182">
        <v>0.8</v>
      </c>
    </row>
    <row r="83" spans="1:3" x14ac:dyDescent="0.2">
      <c r="A83" s="175">
        <v>82</v>
      </c>
      <c r="B83" s="175" t="s">
        <v>218</v>
      </c>
      <c r="C83" s="182">
        <v>0.8</v>
      </c>
    </row>
    <row r="84" spans="1:3" x14ac:dyDescent="0.2">
      <c r="A84" s="175">
        <v>83</v>
      </c>
      <c r="B84" s="175" t="s">
        <v>219</v>
      </c>
      <c r="C84" s="182">
        <v>0.8</v>
      </c>
    </row>
    <row r="85" spans="1:3" x14ac:dyDescent="0.2">
      <c r="A85" s="175">
        <v>84</v>
      </c>
      <c r="B85" s="175" t="s">
        <v>220</v>
      </c>
      <c r="C85" s="182">
        <v>0.8</v>
      </c>
    </row>
    <row r="86" spans="1:3" x14ac:dyDescent="0.2">
      <c r="A86" s="175">
        <v>85</v>
      </c>
      <c r="B86" s="175" t="s">
        <v>221</v>
      </c>
      <c r="C86" s="182">
        <v>0.8</v>
      </c>
    </row>
    <row r="87" spans="1:3" x14ac:dyDescent="0.2">
      <c r="A87" s="175">
        <v>86</v>
      </c>
      <c r="B87" s="175" t="s">
        <v>268</v>
      </c>
      <c r="C87" s="182">
        <v>0.8</v>
      </c>
    </row>
    <row r="88" spans="1:3" x14ac:dyDescent="0.2">
      <c r="A88" s="175">
        <v>87</v>
      </c>
      <c r="B88" s="175" t="s">
        <v>269</v>
      </c>
      <c r="C88" s="182">
        <v>0.8</v>
      </c>
    </row>
    <row r="89" spans="1:3" x14ac:dyDescent="0.2">
      <c r="A89" s="175">
        <v>88</v>
      </c>
      <c r="B89" s="175" t="s">
        <v>222</v>
      </c>
      <c r="C89" s="182">
        <v>0.8</v>
      </c>
    </row>
    <row r="90" spans="1:3" x14ac:dyDescent="0.2">
      <c r="A90" s="175">
        <v>89</v>
      </c>
      <c r="B90" s="175" t="s">
        <v>270</v>
      </c>
      <c r="C90" s="182">
        <v>0.8</v>
      </c>
    </row>
    <row r="91" spans="1:3" x14ac:dyDescent="0.2">
      <c r="A91" s="175">
        <v>90</v>
      </c>
      <c r="B91" s="175" t="s">
        <v>223</v>
      </c>
      <c r="C91" s="182">
        <v>0.8</v>
      </c>
    </row>
    <row r="92" spans="1:3" x14ac:dyDescent="0.2">
      <c r="A92" s="175">
        <v>91</v>
      </c>
      <c r="B92" s="175" t="s">
        <v>224</v>
      </c>
      <c r="C92" s="182">
        <v>0.8</v>
      </c>
    </row>
    <row r="93" spans="1:3" x14ac:dyDescent="0.2">
      <c r="A93" s="175">
        <v>92</v>
      </c>
      <c r="B93" s="175" t="s">
        <v>225</v>
      </c>
      <c r="C93" s="182">
        <v>0.8</v>
      </c>
    </row>
    <row r="94" spans="1:3" x14ac:dyDescent="0.2">
      <c r="A94" s="175">
        <v>93</v>
      </c>
      <c r="B94" s="175" t="s">
        <v>226</v>
      </c>
      <c r="C94" s="182">
        <v>0.8</v>
      </c>
    </row>
    <row r="95" spans="1:3" x14ac:dyDescent="0.2">
      <c r="A95" s="175">
        <v>94</v>
      </c>
      <c r="B95" s="175" t="s">
        <v>123</v>
      </c>
      <c r="C95" s="182">
        <v>0.8</v>
      </c>
    </row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95"/>
  <sheetViews>
    <sheetView topLeftCell="A78" workbookViewId="0">
      <selection activeCell="A100" sqref="A100"/>
    </sheetView>
  </sheetViews>
  <sheetFormatPr baseColWidth="10" defaultRowHeight="16" x14ac:dyDescent="0.2"/>
  <cols>
    <col min="1" max="1" width="12.6640625" style="175" customWidth="1"/>
    <col min="2" max="2" width="46.5" style="175" bestFit="1" customWidth="1"/>
    <col min="3" max="3" width="16" style="175" bestFit="1" customWidth="1"/>
    <col min="4" max="4" width="16.33203125" style="175" bestFit="1" customWidth="1"/>
    <col min="5" max="16384" width="10.83203125" style="175"/>
  </cols>
  <sheetData>
    <row r="1" spans="1:3" ht="34" x14ac:dyDescent="0.2">
      <c r="A1" s="185" t="s">
        <v>82</v>
      </c>
      <c r="B1" s="186" t="s">
        <v>0</v>
      </c>
      <c r="C1" s="175" t="s">
        <v>271</v>
      </c>
    </row>
    <row r="2" spans="1:3" x14ac:dyDescent="0.2">
      <c r="A2" s="175">
        <v>1</v>
      </c>
      <c r="B2" s="175" t="s">
        <v>172</v>
      </c>
      <c r="C2" s="182">
        <v>0.8</v>
      </c>
    </row>
    <row r="3" spans="1:3" x14ac:dyDescent="0.2">
      <c r="A3" s="175">
        <v>2</v>
      </c>
      <c r="B3" s="175" t="s">
        <v>173</v>
      </c>
      <c r="C3" s="182">
        <v>0.8</v>
      </c>
    </row>
    <row r="4" spans="1:3" x14ac:dyDescent="0.2">
      <c r="A4" s="175">
        <v>3</v>
      </c>
      <c r="B4" s="175" t="s">
        <v>174</v>
      </c>
      <c r="C4" s="182">
        <v>0.8</v>
      </c>
    </row>
    <row r="5" spans="1:3" x14ac:dyDescent="0.2">
      <c r="A5" s="175">
        <v>4</v>
      </c>
      <c r="B5" s="175" t="s">
        <v>175</v>
      </c>
      <c r="C5" s="182">
        <v>0.8</v>
      </c>
    </row>
    <row r="6" spans="1:3" x14ac:dyDescent="0.2">
      <c r="A6" s="175">
        <v>5</v>
      </c>
      <c r="B6" s="175" t="s">
        <v>176</v>
      </c>
      <c r="C6" s="182">
        <v>0.8</v>
      </c>
    </row>
    <row r="7" spans="1:3" x14ac:dyDescent="0.2">
      <c r="A7" s="175">
        <v>6</v>
      </c>
      <c r="B7" s="175" t="s">
        <v>177</v>
      </c>
      <c r="C7" s="182">
        <v>0.8</v>
      </c>
    </row>
    <row r="8" spans="1:3" x14ac:dyDescent="0.2">
      <c r="A8" s="175">
        <v>7</v>
      </c>
      <c r="B8" s="175" t="s">
        <v>161</v>
      </c>
      <c r="C8" s="182">
        <v>0.8</v>
      </c>
    </row>
    <row r="9" spans="1:3" x14ac:dyDescent="0.2">
      <c r="A9" s="175">
        <v>8</v>
      </c>
      <c r="B9" s="175" t="s">
        <v>178</v>
      </c>
      <c r="C9" s="182">
        <v>0.8</v>
      </c>
    </row>
    <row r="10" spans="1:3" x14ac:dyDescent="0.2">
      <c r="A10" s="175">
        <v>9</v>
      </c>
      <c r="B10" s="175" t="s">
        <v>179</v>
      </c>
      <c r="C10" s="182">
        <v>0.8</v>
      </c>
    </row>
    <row r="11" spans="1:3" x14ac:dyDescent="0.2">
      <c r="A11" s="175">
        <v>10</v>
      </c>
      <c r="B11" s="175" t="s">
        <v>180</v>
      </c>
      <c r="C11" s="182">
        <v>0.8</v>
      </c>
    </row>
    <row r="12" spans="1:3" x14ac:dyDescent="0.2">
      <c r="A12" s="175">
        <v>11</v>
      </c>
      <c r="B12" s="175" t="s">
        <v>181</v>
      </c>
      <c r="C12" s="182">
        <v>0.8</v>
      </c>
    </row>
    <row r="13" spans="1:3" x14ac:dyDescent="0.2">
      <c r="A13" s="175">
        <v>12</v>
      </c>
      <c r="B13" s="175" t="s">
        <v>182</v>
      </c>
      <c r="C13" s="182">
        <v>0.8</v>
      </c>
    </row>
    <row r="14" spans="1:3" x14ac:dyDescent="0.2">
      <c r="A14" s="175">
        <v>13</v>
      </c>
      <c r="B14" s="175" t="s">
        <v>245</v>
      </c>
      <c r="C14" s="182">
        <v>0.8</v>
      </c>
    </row>
    <row r="15" spans="1:3" x14ac:dyDescent="0.2">
      <c r="A15" s="175">
        <v>14</v>
      </c>
      <c r="B15" s="175" t="s">
        <v>183</v>
      </c>
      <c r="C15" s="182">
        <v>0.8</v>
      </c>
    </row>
    <row r="16" spans="1:3" x14ac:dyDescent="0.2">
      <c r="A16" s="175">
        <v>15</v>
      </c>
      <c r="B16" s="175" t="s">
        <v>184</v>
      </c>
      <c r="C16" s="182">
        <v>0.8</v>
      </c>
    </row>
    <row r="17" spans="1:3" x14ac:dyDescent="0.2">
      <c r="A17" s="175">
        <v>16</v>
      </c>
      <c r="B17" s="175" t="s">
        <v>228</v>
      </c>
      <c r="C17" s="182">
        <v>0.8</v>
      </c>
    </row>
    <row r="18" spans="1:3" x14ac:dyDescent="0.2">
      <c r="A18" s="175">
        <v>17</v>
      </c>
      <c r="B18" s="175" t="s">
        <v>185</v>
      </c>
      <c r="C18" s="182">
        <v>0.8</v>
      </c>
    </row>
    <row r="19" spans="1:3" x14ac:dyDescent="0.2">
      <c r="A19" s="175">
        <v>18</v>
      </c>
      <c r="B19" s="175" t="s">
        <v>246</v>
      </c>
      <c r="C19" s="182">
        <v>0.8</v>
      </c>
    </row>
    <row r="20" spans="1:3" x14ac:dyDescent="0.2">
      <c r="A20" s="175">
        <v>19</v>
      </c>
      <c r="B20" s="175" t="s">
        <v>229</v>
      </c>
      <c r="C20" s="182">
        <v>0.8</v>
      </c>
    </row>
    <row r="21" spans="1:3" x14ac:dyDescent="0.2">
      <c r="A21" s="175">
        <v>20</v>
      </c>
      <c r="B21" s="175" t="s">
        <v>186</v>
      </c>
      <c r="C21" s="182">
        <v>0.8</v>
      </c>
    </row>
    <row r="22" spans="1:3" x14ac:dyDescent="0.2">
      <c r="A22" s="175">
        <v>21</v>
      </c>
      <c r="B22" s="175" t="s">
        <v>187</v>
      </c>
      <c r="C22" s="182">
        <v>0.8</v>
      </c>
    </row>
    <row r="23" spans="1:3" x14ac:dyDescent="0.2">
      <c r="A23" s="175">
        <v>22</v>
      </c>
      <c r="B23" s="175" t="s">
        <v>188</v>
      </c>
      <c r="C23" s="182">
        <v>0.8</v>
      </c>
    </row>
    <row r="24" spans="1:3" x14ac:dyDescent="0.2">
      <c r="A24" s="175">
        <v>23</v>
      </c>
      <c r="B24" s="175" t="s">
        <v>189</v>
      </c>
      <c r="C24" s="182">
        <v>0.8</v>
      </c>
    </row>
    <row r="25" spans="1:3" x14ac:dyDescent="0.2">
      <c r="A25" s="175">
        <v>24</v>
      </c>
      <c r="B25" s="175" t="s">
        <v>230</v>
      </c>
      <c r="C25" s="182">
        <v>0.8</v>
      </c>
    </row>
    <row r="26" spans="1:3" x14ac:dyDescent="0.2">
      <c r="A26" s="175">
        <v>25</v>
      </c>
      <c r="B26" s="175" t="s">
        <v>231</v>
      </c>
      <c r="C26" s="182">
        <v>0.8</v>
      </c>
    </row>
    <row r="27" spans="1:3" x14ac:dyDescent="0.2">
      <c r="A27" s="175">
        <v>26</v>
      </c>
      <c r="B27" s="175" t="s">
        <v>192</v>
      </c>
      <c r="C27" s="182">
        <v>0.8</v>
      </c>
    </row>
    <row r="28" spans="1:3" x14ac:dyDescent="0.2">
      <c r="A28" s="175">
        <v>27</v>
      </c>
      <c r="B28" s="175" t="s">
        <v>193</v>
      </c>
      <c r="C28" s="182">
        <v>0.8</v>
      </c>
    </row>
    <row r="29" spans="1:3" x14ac:dyDescent="0.2">
      <c r="A29" s="175">
        <v>28</v>
      </c>
      <c r="B29" s="175" t="s">
        <v>247</v>
      </c>
      <c r="C29" s="182">
        <v>0.8</v>
      </c>
    </row>
    <row r="30" spans="1:3" x14ac:dyDescent="0.2">
      <c r="A30" s="175">
        <v>29</v>
      </c>
      <c r="B30" s="175" t="s">
        <v>248</v>
      </c>
      <c r="C30" s="182">
        <v>0.8</v>
      </c>
    </row>
    <row r="31" spans="1:3" x14ac:dyDescent="0.2">
      <c r="A31" s="175">
        <v>30</v>
      </c>
      <c r="B31" s="175" t="s">
        <v>249</v>
      </c>
      <c r="C31" s="182">
        <v>0.8</v>
      </c>
    </row>
    <row r="32" spans="1:3" x14ac:dyDescent="0.2">
      <c r="A32" s="175">
        <v>31</v>
      </c>
      <c r="B32" s="175" t="s">
        <v>250</v>
      </c>
      <c r="C32" s="182">
        <v>0.8</v>
      </c>
    </row>
    <row r="33" spans="1:3" x14ac:dyDescent="0.2">
      <c r="A33" s="175">
        <v>32</v>
      </c>
      <c r="B33" s="175" t="s">
        <v>251</v>
      </c>
      <c r="C33" s="182">
        <v>0.8</v>
      </c>
    </row>
    <row r="34" spans="1:3" x14ac:dyDescent="0.2">
      <c r="A34" s="175">
        <v>33</v>
      </c>
      <c r="B34" s="175" t="s">
        <v>252</v>
      </c>
      <c r="C34" s="182">
        <v>0.8</v>
      </c>
    </row>
    <row r="35" spans="1:3" x14ac:dyDescent="0.2">
      <c r="A35" s="175">
        <v>34</v>
      </c>
      <c r="B35" s="175" t="s">
        <v>253</v>
      </c>
      <c r="C35" s="182">
        <v>0.8</v>
      </c>
    </row>
    <row r="36" spans="1:3" x14ac:dyDescent="0.2">
      <c r="A36" s="175">
        <v>35</v>
      </c>
      <c r="B36" s="175" t="s">
        <v>254</v>
      </c>
      <c r="C36" s="182">
        <v>0.8</v>
      </c>
    </row>
    <row r="37" spans="1:3" x14ac:dyDescent="0.2">
      <c r="A37" s="175">
        <v>36</v>
      </c>
      <c r="B37" s="175" t="s">
        <v>255</v>
      </c>
      <c r="C37" s="182">
        <v>0.8</v>
      </c>
    </row>
    <row r="38" spans="1:3" x14ac:dyDescent="0.2">
      <c r="A38" s="175">
        <v>37</v>
      </c>
      <c r="B38" s="175" t="s">
        <v>194</v>
      </c>
      <c r="C38" s="182">
        <v>0.8</v>
      </c>
    </row>
    <row r="39" spans="1:3" x14ac:dyDescent="0.2">
      <c r="A39" s="175">
        <v>38</v>
      </c>
      <c r="B39" s="175" t="s">
        <v>256</v>
      </c>
      <c r="C39" s="182">
        <v>0.8</v>
      </c>
    </row>
    <row r="40" spans="1:3" x14ac:dyDescent="0.2">
      <c r="A40" s="175">
        <v>39</v>
      </c>
      <c r="B40" s="175" t="s">
        <v>195</v>
      </c>
      <c r="C40" s="182">
        <v>0.8</v>
      </c>
    </row>
    <row r="41" spans="1:3" x14ac:dyDescent="0.2">
      <c r="A41" s="175">
        <v>40</v>
      </c>
      <c r="B41" s="175" t="s">
        <v>196</v>
      </c>
      <c r="C41" s="182">
        <v>0.8</v>
      </c>
    </row>
    <row r="42" spans="1:3" x14ac:dyDescent="0.2">
      <c r="A42" s="175">
        <v>41</v>
      </c>
      <c r="B42" s="175" t="s">
        <v>197</v>
      </c>
      <c r="C42" s="182">
        <v>0.8</v>
      </c>
    </row>
    <row r="43" spans="1:3" x14ac:dyDescent="0.2">
      <c r="A43" s="175">
        <v>42</v>
      </c>
      <c r="B43" s="175" t="s">
        <v>198</v>
      </c>
      <c r="C43" s="182">
        <v>0.8</v>
      </c>
    </row>
    <row r="44" spans="1:3" x14ac:dyDescent="0.2">
      <c r="A44" s="175">
        <v>43</v>
      </c>
      <c r="B44" s="175" t="s">
        <v>199</v>
      </c>
      <c r="C44" s="182">
        <v>0.8</v>
      </c>
    </row>
    <row r="45" spans="1:3" x14ac:dyDescent="0.2">
      <c r="A45" s="175">
        <v>44</v>
      </c>
      <c r="B45" s="175" t="s">
        <v>232</v>
      </c>
      <c r="C45" s="182">
        <v>0.8</v>
      </c>
    </row>
    <row r="46" spans="1:3" x14ac:dyDescent="0.2">
      <c r="A46" s="175">
        <v>45</v>
      </c>
      <c r="B46" s="175" t="s">
        <v>200</v>
      </c>
      <c r="C46" s="182">
        <v>0.8</v>
      </c>
    </row>
    <row r="47" spans="1:3" x14ac:dyDescent="0.2">
      <c r="A47" s="175">
        <v>46</v>
      </c>
      <c r="B47" s="175" t="s">
        <v>201</v>
      </c>
      <c r="C47" s="182">
        <v>0.8</v>
      </c>
    </row>
    <row r="48" spans="1:3" x14ac:dyDescent="0.2">
      <c r="A48" s="175">
        <v>47</v>
      </c>
      <c r="B48" s="175" t="s">
        <v>202</v>
      </c>
      <c r="C48" s="182">
        <v>0.8</v>
      </c>
    </row>
    <row r="49" spans="1:3" x14ac:dyDescent="0.2">
      <c r="A49" s="175">
        <v>48</v>
      </c>
      <c r="B49" s="175" t="s">
        <v>203</v>
      </c>
      <c r="C49" s="182">
        <v>0.8</v>
      </c>
    </row>
    <row r="50" spans="1:3" x14ac:dyDescent="0.2">
      <c r="A50" s="175">
        <v>49</v>
      </c>
      <c r="B50" s="175" t="s">
        <v>204</v>
      </c>
      <c r="C50" s="182">
        <v>0.8</v>
      </c>
    </row>
    <row r="51" spans="1:3" x14ac:dyDescent="0.2">
      <c r="A51" s="175">
        <v>50</v>
      </c>
      <c r="B51" s="175" t="s">
        <v>257</v>
      </c>
      <c r="C51" s="182">
        <v>0.8</v>
      </c>
    </row>
    <row r="52" spans="1:3" x14ac:dyDescent="0.2">
      <c r="A52" s="175">
        <v>51</v>
      </c>
      <c r="B52" s="175" t="s">
        <v>258</v>
      </c>
      <c r="C52" s="182">
        <v>0.8</v>
      </c>
    </row>
    <row r="53" spans="1:3" x14ac:dyDescent="0.2">
      <c r="A53" s="175">
        <v>52</v>
      </c>
      <c r="B53" s="175" t="s">
        <v>259</v>
      </c>
      <c r="C53" s="182">
        <v>0.8</v>
      </c>
    </row>
    <row r="54" spans="1:3" x14ac:dyDescent="0.2">
      <c r="A54" s="175">
        <v>53</v>
      </c>
      <c r="B54" s="175" t="s">
        <v>260</v>
      </c>
      <c r="C54" s="182">
        <v>0.8</v>
      </c>
    </row>
    <row r="55" spans="1:3" x14ac:dyDescent="0.2">
      <c r="A55" s="175">
        <v>54</v>
      </c>
      <c r="B55" s="175" t="s">
        <v>261</v>
      </c>
      <c r="C55" s="182">
        <v>0.8</v>
      </c>
    </row>
    <row r="56" spans="1:3" x14ac:dyDescent="0.2">
      <c r="A56" s="175">
        <v>55</v>
      </c>
      <c r="B56" s="175" t="s">
        <v>233</v>
      </c>
      <c r="C56" s="182">
        <v>0.8</v>
      </c>
    </row>
    <row r="57" spans="1:3" x14ac:dyDescent="0.2">
      <c r="A57" s="175">
        <v>56</v>
      </c>
      <c r="B57" s="175" t="s">
        <v>234</v>
      </c>
      <c r="C57" s="182">
        <v>0.8</v>
      </c>
    </row>
    <row r="58" spans="1:3" x14ac:dyDescent="0.2">
      <c r="A58" s="175">
        <v>57</v>
      </c>
      <c r="B58" s="175" t="s">
        <v>205</v>
      </c>
      <c r="C58" s="182">
        <v>0.8</v>
      </c>
    </row>
    <row r="59" spans="1:3" x14ac:dyDescent="0.2">
      <c r="A59" s="175">
        <v>58</v>
      </c>
      <c r="B59" s="175" t="s">
        <v>206</v>
      </c>
      <c r="C59" s="182">
        <v>0.8</v>
      </c>
    </row>
    <row r="60" spans="1:3" x14ac:dyDescent="0.2">
      <c r="A60" s="175">
        <v>59</v>
      </c>
      <c r="B60" s="175" t="s">
        <v>207</v>
      </c>
      <c r="C60" s="182">
        <v>0.8</v>
      </c>
    </row>
    <row r="61" spans="1:3" x14ac:dyDescent="0.2">
      <c r="A61" s="175">
        <v>60</v>
      </c>
      <c r="B61" s="175" t="s">
        <v>262</v>
      </c>
      <c r="C61" s="182">
        <v>0.8</v>
      </c>
    </row>
    <row r="62" spans="1:3" x14ac:dyDescent="0.2">
      <c r="A62" s="175">
        <v>61</v>
      </c>
      <c r="B62" s="175" t="s">
        <v>208</v>
      </c>
      <c r="C62" s="182">
        <v>0.8</v>
      </c>
    </row>
    <row r="63" spans="1:3" x14ac:dyDescent="0.2">
      <c r="A63" s="175">
        <v>62</v>
      </c>
      <c r="B63" s="175" t="s">
        <v>263</v>
      </c>
      <c r="C63" s="182">
        <v>0.8</v>
      </c>
    </row>
    <row r="64" spans="1:3" x14ac:dyDescent="0.2">
      <c r="A64" s="175">
        <v>63</v>
      </c>
      <c r="B64" s="175" t="s">
        <v>209</v>
      </c>
      <c r="C64" s="182">
        <v>0.8</v>
      </c>
    </row>
    <row r="65" spans="1:3" x14ac:dyDescent="0.2">
      <c r="A65" s="175">
        <v>64</v>
      </c>
      <c r="B65" s="175" t="s">
        <v>264</v>
      </c>
      <c r="C65" s="182">
        <v>0.8</v>
      </c>
    </row>
    <row r="66" spans="1:3" x14ac:dyDescent="0.2">
      <c r="A66" s="175">
        <v>65</v>
      </c>
      <c r="B66" s="175" t="s">
        <v>210</v>
      </c>
      <c r="C66" s="182">
        <v>0.8</v>
      </c>
    </row>
    <row r="67" spans="1:3" x14ac:dyDescent="0.2">
      <c r="A67" s="175">
        <v>66</v>
      </c>
      <c r="B67" s="175" t="s">
        <v>235</v>
      </c>
      <c r="C67" s="182">
        <v>0.8</v>
      </c>
    </row>
    <row r="68" spans="1:3" x14ac:dyDescent="0.2">
      <c r="A68" s="175">
        <v>67</v>
      </c>
      <c r="B68" s="175" t="s">
        <v>211</v>
      </c>
      <c r="C68" s="182">
        <v>0.8</v>
      </c>
    </row>
    <row r="69" spans="1:3" x14ac:dyDescent="0.2">
      <c r="A69" s="175">
        <v>68</v>
      </c>
      <c r="B69" s="175" t="s">
        <v>265</v>
      </c>
      <c r="C69" s="182">
        <v>0.8</v>
      </c>
    </row>
    <row r="70" spans="1:3" x14ac:dyDescent="0.2">
      <c r="A70" s="175">
        <v>69</v>
      </c>
      <c r="B70" s="175" t="s">
        <v>212</v>
      </c>
      <c r="C70" s="182">
        <v>0.8</v>
      </c>
    </row>
    <row r="71" spans="1:3" x14ac:dyDescent="0.2">
      <c r="A71" s="175">
        <v>70</v>
      </c>
      <c r="B71" s="175" t="s">
        <v>213</v>
      </c>
      <c r="C71" s="182">
        <v>0.8</v>
      </c>
    </row>
    <row r="72" spans="1:3" x14ac:dyDescent="0.2">
      <c r="A72" s="175">
        <v>71</v>
      </c>
      <c r="B72" s="175" t="s">
        <v>236</v>
      </c>
      <c r="C72" s="182">
        <v>0.8</v>
      </c>
    </row>
    <row r="73" spans="1:3" x14ac:dyDescent="0.2">
      <c r="A73" s="175">
        <v>72</v>
      </c>
      <c r="B73" s="175" t="s">
        <v>237</v>
      </c>
      <c r="C73" s="182">
        <v>0.8</v>
      </c>
    </row>
    <row r="74" spans="1:3" x14ac:dyDescent="0.2">
      <c r="A74" s="175">
        <v>73</v>
      </c>
      <c r="B74" s="175" t="s">
        <v>214</v>
      </c>
      <c r="C74" s="182">
        <v>0.8</v>
      </c>
    </row>
    <row r="75" spans="1:3" x14ac:dyDescent="0.2">
      <c r="A75" s="175">
        <v>74</v>
      </c>
      <c r="B75" s="175" t="s">
        <v>238</v>
      </c>
      <c r="C75" s="182">
        <v>0.8</v>
      </c>
    </row>
    <row r="76" spans="1:3" x14ac:dyDescent="0.2">
      <c r="A76" s="175">
        <v>75</v>
      </c>
      <c r="B76" s="175" t="s">
        <v>239</v>
      </c>
      <c r="C76" s="182">
        <v>0.8</v>
      </c>
    </row>
    <row r="77" spans="1:3" x14ac:dyDescent="0.2">
      <c r="A77" s="175">
        <v>76</v>
      </c>
      <c r="B77" s="175" t="s">
        <v>240</v>
      </c>
      <c r="C77" s="182">
        <v>0.8</v>
      </c>
    </row>
    <row r="78" spans="1:3" x14ac:dyDescent="0.2">
      <c r="A78" s="175">
        <v>77</v>
      </c>
      <c r="B78" s="175" t="s">
        <v>215</v>
      </c>
      <c r="C78" s="182">
        <v>0.8</v>
      </c>
    </row>
    <row r="79" spans="1:3" x14ac:dyDescent="0.2">
      <c r="A79" s="175">
        <v>78</v>
      </c>
      <c r="B79" s="175" t="s">
        <v>216</v>
      </c>
      <c r="C79" s="182">
        <v>0.8</v>
      </c>
    </row>
    <row r="80" spans="1:3" x14ac:dyDescent="0.2">
      <c r="A80" s="175">
        <v>79</v>
      </c>
      <c r="B80" s="175" t="s">
        <v>217</v>
      </c>
      <c r="C80" s="182">
        <v>0.8</v>
      </c>
    </row>
    <row r="81" spans="1:3" x14ac:dyDescent="0.2">
      <c r="A81" s="175">
        <v>80</v>
      </c>
      <c r="B81" s="175" t="s">
        <v>266</v>
      </c>
      <c r="C81" s="182">
        <v>0.8</v>
      </c>
    </row>
    <row r="82" spans="1:3" x14ac:dyDescent="0.2">
      <c r="A82" s="175">
        <v>81</v>
      </c>
      <c r="B82" s="175" t="s">
        <v>267</v>
      </c>
      <c r="C82" s="182">
        <v>0.8</v>
      </c>
    </row>
    <row r="83" spans="1:3" x14ac:dyDescent="0.2">
      <c r="A83" s="175">
        <v>82</v>
      </c>
      <c r="B83" s="175" t="s">
        <v>218</v>
      </c>
      <c r="C83" s="182">
        <v>0.8</v>
      </c>
    </row>
    <row r="84" spans="1:3" x14ac:dyDescent="0.2">
      <c r="A84" s="175">
        <v>83</v>
      </c>
      <c r="B84" s="175" t="s">
        <v>219</v>
      </c>
      <c r="C84" s="182">
        <v>0.8</v>
      </c>
    </row>
    <row r="85" spans="1:3" x14ac:dyDescent="0.2">
      <c r="A85" s="175">
        <v>84</v>
      </c>
      <c r="B85" s="175" t="s">
        <v>220</v>
      </c>
      <c r="C85" s="182">
        <v>0.8</v>
      </c>
    </row>
    <row r="86" spans="1:3" x14ac:dyDescent="0.2">
      <c r="A86" s="175">
        <v>85</v>
      </c>
      <c r="B86" s="175" t="s">
        <v>221</v>
      </c>
      <c r="C86" s="182">
        <v>0.8</v>
      </c>
    </row>
    <row r="87" spans="1:3" x14ac:dyDescent="0.2">
      <c r="A87" s="175">
        <v>86</v>
      </c>
      <c r="B87" s="175" t="s">
        <v>268</v>
      </c>
      <c r="C87" s="182">
        <v>0.8</v>
      </c>
    </row>
    <row r="88" spans="1:3" x14ac:dyDescent="0.2">
      <c r="A88" s="175">
        <v>87</v>
      </c>
      <c r="B88" s="175" t="s">
        <v>269</v>
      </c>
      <c r="C88" s="182">
        <v>0.8</v>
      </c>
    </row>
    <row r="89" spans="1:3" x14ac:dyDescent="0.2">
      <c r="A89" s="175">
        <v>88</v>
      </c>
      <c r="B89" s="175" t="s">
        <v>222</v>
      </c>
      <c r="C89" s="182">
        <v>0.8</v>
      </c>
    </row>
    <row r="90" spans="1:3" x14ac:dyDescent="0.2">
      <c r="A90" s="175">
        <v>89</v>
      </c>
      <c r="B90" s="175" t="s">
        <v>270</v>
      </c>
      <c r="C90" s="182">
        <v>0.8</v>
      </c>
    </row>
    <row r="91" spans="1:3" x14ac:dyDescent="0.2">
      <c r="A91" s="175">
        <v>90</v>
      </c>
      <c r="B91" s="175" t="s">
        <v>223</v>
      </c>
      <c r="C91" s="182">
        <v>0.8</v>
      </c>
    </row>
    <row r="92" spans="1:3" x14ac:dyDescent="0.2">
      <c r="A92" s="175">
        <v>91</v>
      </c>
      <c r="B92" s="175" t="s">
        <v>224</v>
      </c>
      <c r="C92" s="182">
        <v>0.8</v>
      </c>
    </row>
    <row r="93" spans="1:3" x14ac:dyDescent="0.2">
      <c r="A93" s="175">
        <v>92</v>
      </c>
      <c r="B93" s="175" t="s">
        <v>225</v>
      </c>
      <c r="C93" s="182">
        <v>0.8</v>
      </c>
    </row>
    <row r="94" spans="1:3" x14ac:dyDescent="0.2">
      <c r="A94" s="175">
        <v>93</v>
      </c>
      <c r="B94" s="175" t="s">
        <v>226</v>
      </c>
      <c r="C94" s="182">
        <v>0.8</v>
      </c>
    </row>
    <row r="95" spans="1:3" x14ac:dyDescent="0.2">
      <c r="A95" s="175">
        <v>94</v>
      </c>
      <c r="B95" s="175" t="s">
        <v>123</v>
      </c>
      <c r="C95" s="182">
        <v>0.8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3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5">
        <v>1</v>
      </c>
      <c r="B2" s="145" t="s">
        <v>172</v>
      </c>
      <c r="C2" s="7">
        <v>1</v>
      </c>
      <c r="D2" s="6">
        <v>35.528186798095703</v>
      </c>
      <c r="E2" s="8">
        <v>106.83177947998047</v>
      </c>
      <c r="F2" s="9"/>
      <c r="G2" s="8">
        <v>0.36875686049461365</v>
      </c>
      <c r="H2" s="9"/>
      <c r="I2">
        <v>0</v>
      </c>
      <c r="J2"/>
    </row>
    <row r="3" spans="1:10" ht="15" customHeight="1" x14ac:dyDescent="0.15">
      <c r="A3" s="146">
        <v>2</v>
      </c>
      <c r="B3" s="146" t="s">
        <v>173</v>
      </c>
      <c r="C3" s="7">
        <v>2</v>
      </c>
      <c r="D3" s="6">
        <v>40.48577880859375</v>
      </c>
      <c r="E3" s="8">
        <v>2.2815573215484619</v>
      </c>
      <c r="F3" s="8">
        <v>11.47468090057373</v>
      </c>
      <c r="G3" s="8">
        <v>0.57530874013900757</v>
      </c>
      <c r="H3" s="6">
        <v>0.19883404672145844</v>
      </c>
      <c r="I3">
        <v>0</v>
      </c>
      <c r="J3"/>
    </row>
    <row r="4" spans="1:10" ht="15" customHeight="1" x14ac:dyDescent="0.15">
      <c r="A4" s="147">
        <v>3</v>
      </c>
      <c r="B4" s="147" t="s">
        <v>174</v>
      </c>
      <c r="C4" s="7">
        <v>2</v>
      </c>
      <c r="D4" s="6">
        <v>5.2089390754699707</v>
      </c>
      <c r="E4" s="8">
        <v>3.8073561191558838</v>
      </c>
      <c r="F4" s="8">
        <v>18.493612289428711</v>
      </c>
      <c r="G4" s="8">
        <v>0.89723223447799683</v>
      </c>
      <c r="H4" s="6">
        <v>0.20587411522865295</v>
      </c>
      <c r="I4">
        <v>0</v>
      </c>
      <c r="J4"/>
    </row>
    <row r="5" spans="1:10" ht="15" customHeight="1" x14ac:dyDescent="0.15">
      <c r="A5" s="148">
        <v>4</v>
      </c>
      <c r="B5" s="148" t="s">
        <v>175</v>
      </c>
      <c r="C5" s="7">
        <v>2.4305627346038818</v>
      </c>
      <c r="D5" s="6">
        <v>14.579311370849609</v>
      </c>
      <c r="E5" s="8">
        <v>1.7040609121322632</v>
      </c>
      <c r="F5" s="8">
        <v>5.5573587417602539</v>
      </c>
      <c r="G5" s="8">
        <v>0.54624754190444946</v>
      </c>
      <c r="H5" s="6">
        <v>0.30663144588470459</v>
      </c>
      <c r="I5">
        <v>0</v>
      </c>
      <c r="J5"/>
    </row>
    <row r="6" spans="1:10" ht="15" customHeight="1" x14ac:dyDescent="0.15">
      <c r="A6" s="149">
        <v>5</v>
      </c>
      <c r="B6" s="149" t="s">
        <v>176</v>
      </c>
      <c r="C6" s="7">
        <v>2</v>
      </c>
      <c r="D6" s="6">
        <v>3.142855167388916</v>
      </c>
      <c r="E6" s="8">
        <v>84.796234130859375</v>
      </c>
      <c r="F6" s="8">
        <v>219.05419921875</v>
      </c>
      <c r="G6" s="8">
        <v>0.62075901031494141</v>
      </c>
      <c r="H6" s="6">
        <v>0.38710162043571472</v>
      </c>
      <c r="I6">
        <v>0</v>
      </c>
      <c r="J6"/>
    </row>
    <row r="7" spans="1:10" ht="15" customHeight="1" x14ac:dyDescent="0.15">
      <c r="A7" s="150">
        <v>6</v>
      </c>
      <c r="B7" s="150" t="s">
        <v>177</v>
      </c>
      <c r="C7" s="7">
        <v>2.206761360168457</v>
      </c>
      <c r="D7" s="6">
        <v>8.0236539840698242</v>
      </c>
      <c r="E7" s="8">
        <v>14.126697540283203</v>
      </c>
      <c r="F7" s="8">
        <v>82.986640930175781</v>
      </c>
      <c r="G7" s="8">
        <v>0.51099526882171631</v>
      </c>
      <c r="H7" s="6">
        <v>0.17022857069969177</v>
      </c>
      <c r="I7">
        <v>0</v>
      </c>
      <c r="J7"/>
    </row>
    <row r="8" spans="1:10" ht="15" customHeight="1" x14ac:dyDescent="0.15">
      <c r="A8" s="151">
        <v>7</v>
      </c>
      <c r="B8" s="151" t="s">
        <v>161</v>
      </c>
      <c r="C8" s="7">
        <v>2.1135635375976562</v>
      </c>
      <c r="D8" s="6">
        <v>8.5060033798217773</v>
      </c>
      <c r="E8" s="8">
        <v>10.614511489868164</v>
      </c>
      <c r="F8" s="8">
        <v>40.232830047607422</v>
      </c>
      <c r="G8" s="8">
        <v>0.89629334211349487</v>
      </c>
      <c r="H8" s="6">
        <v>0.2638271152973175</v>
      </c>
      <c r="I8">
        <v>0</v>
      </c>
      <c r="J8"/>
    </row>
    <row r="9" spans="1:10" ht="15" customHeight="1" x14ac:dyDescent="0.15">
      <c r="A9" s="152">
        <v>8</v>
      </c>
      <c r="B9" s="152" t="s">
        <v>178</v>
      </c>
      <c r="C9" s="7">
        <v>3.1448707580566406</v>
      </c>
      <c r="D9" s="6">
        <v>4.272733211517334</v>
      </c>
      <c r="E9" s="8">
        <v>2.4824163913726807</v>
      </c>
      <c r="F9" s="8">
        <v>9.378636360168457</v>
      </c>
      <c r="G9" s="8">
        <v>0.89429277181625366</v>
      </c>
      <c r="H9" s="6">
        <v>0.2646884024143219</v>
      </c>
      <c r="I9">
        <v>0</v>
      </c>
      <c r="J9"/>
    </row>
    <row r="10" spans="1:10" ht="15" customHeight="1" x14ac:dyDescent="0.15">
      <c r="A10" s="153">
        <v>9</v>
      </c>
      <c r="B10" s="153" t="s">
        <v>179</v>
      </c>
      <c r="C10" s="7">
        <v>2.2717125415802002</v>
      </c>
      <c r="D10" s="6">
        <v>1.4642798900604248</v>
      </c>
      <c r="E10" s="8">
        <v>8.4310760498046875</v>
      </c>
      <c r="F10" s="8">
        <v>20.310234069824219</v>
      </c>
      <c r="G10" s="8">
        <v>0.54050934314727783</v>
      </c>
      <c r="H10" s="6">
        <v>0.41511467099189758</v>
      </c>
      <c r="I10">
        <v>0</v>
      </c>
      <c r="J10"/>
    </row>
    <row r="11" spans="1:10" ht="15" customHeight="1" x14ac:dyDescent="0.15">
      <c r="A11" s="154">
        <v>10</v>
      </c>
      <c r="B11" s="154" t="s">
        <v>180</v>
      </c>
      <c r="C11" s="7">
        <v>3.164078950881958</v>
      </c>
      <c r="D11" s="6">
        <v>0.69546490907669067</v>
      </c>
      <c r="E11" s="8">
        <v>4.0885477066040039</v>
      </c>
      <c r="F11" s="8">
        <v>11.006743431091309</v>
      </c>
      <c r="G11" s="8">
        <v>0.70842379331588745</v>
      </c>
      <c r="H11" s="6">
        <v>0.37145844101905823</v>
      </c>
      <c r="I11">
        <v>0</v>
      </c>
      <c r="J11"/>
    </row>
    <row r="12" spans="1:10" ht="15" customHeight="1" x14ac:dyDescent="0.15">
      <c r="A12" s="155">
        <v>11</v>
      </c>
      <c r="B12" s="155" t="s">
        <v>181</v>
      </c>
      <c r="C12" s="7">
        <v>2.7670164108276367</v>
      </c>
      <c r="D12" s="6">
        <v>0.57130908966064453</v>
      </c>
      <c r="E12" s="8">
        <v>2.1428701877593994</v>
      </c>
      <c r="F12" s="8">
        <v>9.9657449722290039</v>
      </c>
      <c r="G12" s="8">
        <v>0.68280208110809326</v>
      </c>
      <c r="H12" s="6">
        <v>0.21502357721328735</v>
      </c>
      <c r="I12">
        <v>8.4707207977771759E-2</v>
      </c>
      <c r="J12"/>
    </row>
    <row r="13" spans="1:10" ht="15" customHeight="1" x14ac:dyDescent="0.15">
      <c r="A13" s="156">
        <v>12</v>
      </c>
      <c r="B13" s="156" t="s">
        <v>182</v>
      </c>
      <c r="C13" s="7">
        <v>3.0064284801483154</v>
      </c>
      <c r="D13" s="6">
        <v>1.2545652389526367</v>
      </c>
      <c r="E13" s="8">
        <v>2.7337419986724854</v>
      </c>
      <c r="F13" s="8">
        <v>11.754232406616211</v>
      </c>
      <c r="G13" s="8">
        <v>0.65509229898452759</v>
      </c>
      <c r="H13" s="6">
        <v>0.23257511854171753</v>
      </c>
      <c r="I13">
        <v>9.9595890787895769E-5</v>
      </c>
      <c r="J13"/>
    </row>
    <row r="14" spans="1:10" ht="15" customHeight="1" x14ac:dyDescent="0.15">
      <c r="A14" s="157">
        <v>13</v>
      </c>
      <c r="B14" s="157" t="s">
        <v>245</v>
      </c>
      <c r="C14" s="7">
        <v>3.4656894207000732</v>
      </c>
      <c r="D14" s="6">
        <v>0.66774123907089233</v>
      </c>
      <c r="E14" s="8">
        <v>0.72579258680343628</v>
      </c>
      <c r="F14" s="8">
        <v>4.4581403732299805</v>
      </c>
      <c r="G14" s="8">
        <v>0.7181774377822876</v>
      </c>
      <c r="H14" s="6">
        <v>0.16280163824558258</v>
      </c>
      <c r="I14">
        <v>8.0248445272445679E-2</v>
      </c>
      <c r="J14"/>
    </row>
    <row r="15" spans="1:10" ht="15" customHeight="1" x14ac:dyDescent="0.15">
      <c r="A15" s="158">
        <v>14</v>
      </c>
      <c r="B15" s="158" t="s">
        <v>183</v>
      </c>
      <c r="C15" s="7">
        <v>2.9758212566375732</v>
      </c>
      <c r="D15" s="6">
        <v>0.61479920148849487</v>
      </c>
      <c r="E15" s="8">
        <v>0.32285460829734802</v>
      </c>
      <c r="F15" s="8">
        <v>1.2235914468765259</v>
      </c>
      <c r="G15" s="8">
        <v>0.5074915885925293</v>
      </c>
      <c r="H15" s="6">
        <v>0.26385816931724548</v>
      </c>
      <c r="I15">
        <v>0</v>
      </c>
      <c r="J15"/>
    </row>
    <row r="16" spans="1:10" ht="15" customHeight="1" x14ac:dyDescent="0.15">
      <c r="A16" s="159">
        <v>15</v>
      </c>
      <c r="B16" s="159" t="s">
        <v>184</v>
      </c>
      <c r="C16" s="7">
        <v>3.2452292442321777</v>
      </c>
      <c r="D16" s="8">
        <v>6.3081979751586914</v>
      </c>
      <c r="E16" s="8">
        <v>0.60757863521575928</v>
      </c>
      <c r="F16" s="8">
        <v>2.9340083599090576</v>
      </c>
      <c r="G16" s="6">
        <v>0.78107011318206787</v>
      </c>
      <c r="H16" s="6">
        <v>0.20708142220973969</v>
      </c>
      <c r="I16">
        <v>0</v>
      </c>
      <c r="J16"/>
    </row>
    <row r="17" spans="1:10" ht="15" customHeight="1" x14ac:dyDescent="0.15">
      <c r="A17" s="160">
        <v>16</v>
      </c>
      <c r="B17" s="160" t="s">
        <v>228</v>
      </c>
      <c r="C17" s="7">
        <v>3.2727220058441162</v>
      </c>
      <c r="D17" s="6">
        <v>2.9036576747894287</v>
      </c>
      <c r="E17" s="8">
        <v>0.48314881324768066</v>
      </c>
      <c r="F17" s="8">
        <v>2.4017517566680908</v>
      </c>
      <c r="G17" s="8">
        <v>0.73751282691955566</v>
      </c>
      <c r="H17" s="6">
        <v>0.20116516947746277</v>
      </c>
      <c r="I17">
        <v>0</v>
      </c>
      <c r="J17"/>
    </row>
    <row r="18" spans="1:10" ht="15" customHeight="1" x14ac:dyDescent="0.15">
      <c r="A18" s="161">
        <v>17</v>
      </c>
      <c r="B18" s="161" t="s">
        <v>185</v>
      </c>
      <c r="C18" s="7">
        <v>3.1509773731231689</v>
      </c>
      <c r="D18" s="6">
        <v>0.1083456426858902</v>
      </c>
      <c r="E18" s="8">
        <v>1.1189732551574707</v>
      </c>
      <c r="F18" s="8">
        <v>6.7270197868347168</v>
      </c>
      <c r="G18" s="8">
        <v>0.67360138893127441</v>
      </c>
      <c r="H18" s="6">
        <v>0.16634011268615723</v>
      </c>
      <c r="I18">
        <v>0</v>
      </c>
      <c r="J18"/>
    </row>
    <row r="19" spans="1:10" ht="15" customHeight="1" x14ac:dyDescent="0.15">
      <c r="A19" s="162">
        <v>18</v>
      </c>
      <c r="B19" s="162" t="s">
        <v>246</v>
      </c>
      <c r="C19" s="7">
        <v>3.3673796653747559</v>
      </c>
      <c r="D19" s="6">
        <v>2.0412845611572266</v>
      </c>
      <c r="E19" s="8">
        <v>1.9958349466323853</v>
      </c>
      <c r="F19" s="8">
        <v>4.1901407241821289</v>
      </c>
      <c r="G19" s="8">
        <v>0.7842746376991272</v>
      </c>
      <c r="H19" s="6">
        <v>0.47631692886352539</v>
      </c>
      <c r="I19">
        <v>0</v>
      </c>
      <c r="J19"/>
    </row>
    <row r="20" spans="1:10" ht="15" customHeight="1" x14ac:dyDescent="0.15">
      <c r="A20" s="163">
        <v>19</v>
      </c>
      <c r="B20" s="163" t="s">
        <v>229</v>
      </c>
      <c r="C20" s="7">
        <v>3.8960826396942139</v>
      </c>
      <c r="D20" s="6">
        <v>0.67710793018341064</v>
      </c>
      <c r="E20" s="8">
        <v>3.0879402160644531</v>
      </c>
      <c r="F20" s="8">
        <v>10.054409027099609</v>
      </c>
      <c r="G20" s="8">
        <v>0.71790927648544312</v>
      </c>
      <c r="H20" s="6">
        <v>0.30712300539016724</v>
      </c>
      <c r="I20">
        <v>0.24483203887939453</v>
      </c>
      <c r="J20"/>
    </row>
    <row r="21" spans="1:10" ht="15" customHeight="1" x14ac:dyDescent="0.15">
      <c r="A21" s="164">
        <v>20</v>
      </c>
      <c r="B21" s="164" t="s">
        <v>186</v>
      </c>
      <c r="C21" s="7">
        <v>2.8460917472839355</v>
      </c>
      <c r="D21" s="8">
        <v>3.0232696533203125</v>
      </c>
      <c r="E21" s="8">
        <v>0.51640766859054565</v>
      </c>
      <c r="F21" s="8">
        <v>4.1903338432312012</v>
      </c>
      <c r="G21" s="6">
        <v>0.82146906852722168</v>
      </c>
      <c r="H21" s="6">
        <v>0.12323783338069916</v>
      </c>
      <c r="I21">
        <v>0.50305861234664917</v>
      </c>
      <c r="J21"/>
    </row>
    <row r="22" spans="1:10" ht="15" customHeight="1" x14ac:dyDescent="0.15">
      <c r="A22" s="165">
        <v>21</v>
      </c>
      <c r="B22" s="165" t="s">
        <v>187</v>
      </c>
      <c r="C22" s="7">
        <v>2.7861335277557373</v>
      </c>
      <c r="D22" s="8">
        <v>2.0033054351806641</v>
      </c>
      <c r="E22" s="8">
        <v>0.93449896574020386</v>
      </c>
      <c r="F22" s="8">
        <v>6.373408317565918</v>
      </c>
      <c r="G22" s="6">
        <v>0.77526748180389404</v>
      </c>
      <c r="H22" s="6">
        <v>0.14662468433380127</v>
      </c>
      <c r="I22">
        <v>3.4998614341020584E-2</v>
      </c>
      <c r="J22"/>
    </row>
    <row r="23" spans="1:10" ht="15" customHeight="1" x14ac:dyDescent="0.15">
      <c r="A23" s="166">
        <v>22</v>
      </c>
      <c r="B23" s="166" t="s">
        <v>188</v>
      </c>
      <c r="C23" s="7">
        <v>3.2139549255371094</v>
      </c>
      <c r="D23" s="8">
        <v>1.0259296894073486</v>
      </c>
      <c r="E23" s="8">
        <v>1.4912084341049194</v>
      </c>
      <c r="F23" s="8">
        <v>7.340242862701416</v>
      </c>
      <c r="G23" s="6">
        <v>0.72563481330871582</v>
      </c>
      <c r="H23" s="6">
        <v>0.20315518975257874</v>
      </c>
      <c r="I23">
        <v>6.4889118075370789E-3</v>
      </c>
      <c r="J23"/>
    </row>
    <row r="24" spans="1:10" ht="15" customHeight="1" x14ac:dyDescent="0.15">
      <c r="A24" s="167">
        <v>23</v>
      </c>
      <c r="B24" s="167" t="s">
        <v>189</v>
      </c>
      <c r="C24" s="7">
        <v>3.3884708881378174</v>
      </c>
      <c r="D24" s="8">
        <v>0.4776642918586731</v>
      </c>
      <c r="E24" s="8">
        <v>0.475502610206604</v>
      </c>
      <c r="F24" s="8">
        <v>5.6298632621765137</v>
      </c>
      <c r="G24" s="6">
        <v>0.49294427037239075</v>
      </c>
      <c r="H24" s="6">
        <v>8.4460772573947906E-2</v>
      </c>
      <c r="I24">
        <v>2.6004044339060783E-2</v>
      </c>
      <c r="J24"/>
    </row>
    <row r="25" spans="1:10" ht="15" customHeight="1" x14ac:dyDescent="0.15">
      <c r="A25" s="168">
        <v>24</v>
      </c>
      <c r="B25" s="168" t="s">
        <v>230</v>
      </c>
      <c r="C25" s="7">
        <v>3.1751086711883545</v>
      </c>
      <c r="D25" s="6">
        <v>0.48241224884986877</v>
      </c>
      <c r="E25" s="8">
        <v>1.3005539178848267</v>
      </c>
      <c r="F25" s="8">
        <v>2.7664203643798828</v>
      </c>
      <c r="G25" s="8">
        <v>0.82358729839324951</v>
      </c>
      <c r="H25" s="6">
        <v>0.4701215922832489</v>
      </c>
      <c r="I25">
        <v>0</v>
      </c>
      <c r="J25"/>
    </row>
    <row r="26" spans="1:10" ht="15" customHeight="1" x14ac:dyDescent="0.15">
      <c r="A26" s="169">
        <v>25</v>
      </c>
      <c r="B26" s="169" t="s">
        <v>231</v>
      </c>
      <c r="C26" s="7">
        <v>3.5108742713928223</v>
      </c>
      <c r="D26" s="8">
        <v>7.4039548635482788E-2</v>
      </c>
      <c r="E26" s="8">
        <v>1.4462814331054688</v>
      </c>
      <c r="F26" s="8">
        <v>5.6706018447875977</v>
      </c>
      <c r="G26" s="6">
        <v>0.8752744197845459</v>
      </c>
      <c r="H26" s="6">
        <v>0.25504902005195618</v>
      </c>
      <c r="I26">
        <v>0</v>
      </c>
      <c r="J26"/>
    </row>
    <row r="27" spans="1:10" ht="15" customHeight="1" x14ac:dyDescent="0.15">
      <c r="A27" s="170">
        <v>26</v>
      </c>
      <c r="B27" s="170" t="s">
        <v>192</v>
      </c>
      <c r="C27" s="7">
        <v>3.3995318412780762</v>
      </c>
      <c r="D27" s="6">
        <v>0.39799454808235168</v>
      </c>
      <c r="E27" s="8">
        <v>1.5349066257476807</v>
      </c>
      <c r="F27" s="8">
        <v>4.5358266830444336</v>
      </c>
      <c r="G27" s="8">
        <v>0.84925830364227295</v>
      </c>
      <c r="H27" s="6">
        <v>0.33839622139930725</v>
      </c>
      <c r="I27">
        <v>0</v>
      </c>
      <c r="J27"/>
    </row>
    <row r="28" spans="1:10" ht="15" customHeight="1" x14ac:dyDescent="0.15">
      <c r="A28" s="171">
        <v>27</v>
      </c>
      <c r="B28" s="171" t="s">
        <v>193</v>
      </c>
      <c r="C28" s="7">
        <v>3.2474212646484375</v>
      </c>
      <c r="D28" s="8">
        <v>0.80802500247955322</v>
      </c>
      <c r="E28" s="8">
        <v>1.2425590753555298</v>
      </c>
      <c r="F28" s="8">
        <v>3.1431400775909424</v>
      </c>
      <c r="G28" s="6">
        <v>0.35960841178894043</v>
      </c>
      <c r="H28" s="6">
        <v>0.39532411098480225</v>
      </c>
      <c r="I28">
        <v>0</v>
      </c>
      <c r="J28"/>
    </row>
    <row r="29" spans="1:10" ht="15" customHeight="1" x14ac:dyDescent="0.15">
      <c r="A29" s="172">
        <v>28</v>
      </c>
      <c r="B29" s="172" t="s">
        <v>247</v>
      </c>
      <c r="C29" s="7">
        <v>3.2603106498718262</v>
      </c>
      <c r="D29" s="6">
        <v>0.69368976354598999</v>
      </c>
      <c r="E29" s="8">
        <v>1.7701960802078247</v>
      </c>
      <c r="F29" s="8">
        <v>3.9355714321136475</v>
      </c>
      <c r="G29" s="8">
        <v>0.77686929702758789</v>
      </c>
      <c r="H29" s="6">
        <v>0.44979390501976013</v>
      </c>
      <c r="I29">
        <v>0</v>
      </c>
      <c r="J29"/>
    </row>
    <row r="30" spans="1:10" ht="15" customHeight="1" x14ac:dyDescent="0.15">
      <c r="A30" s="173">
        <v>29</v>
      </c>
      <c r="B30" s="173" t="s">
        <v>248</v>
      </c>
      <c r="C30" s="7">
        <v>3.2292888164520264</v>
      </c>
      <c r="D30" s="6">
        <v>1.3535199165344238</v>
      </c>
      <c r="E30" s="8">
        <v>1.5719459056854248</v>
      </c>
      <c r="F30" s="8">
        <v>6.3904304504394531</v>
      </c>
      <c r="G30" s="8">
        <v>0.72052508592605591</v>
      </c>
      <c r="H30" s="6">
        <v>0.24598436057567596</v>
      </c>
      <c r="I30">
        <v>0</v>
      </c>
      <c r="J30"/>
    </row>
    <row r="31" spans="1:10" ht="15" customHeight="1" x14ac:dyDescent="0.15">
      <c r="A31" s="174">
        <v>30</v>
      </c>
      <c r="B31" s="174" t="s">
        <v>249</v>
      </c>
      <c r="C31" s="7">
        <v>3.114210844039917</v>
      </c>
      <c r="D31" s="6">
        <v>0.9477505087852478</v>
      </c>
      <c r="E31" s="8">
        <v>0.77914172410964966</v>
      </c>
      <c r="F31" s="8">
        <v>3.1964490413665771</v>
      </c>
      <c r="G31" s="8">
        <v>0.76902717351913452</v>
      </c>
      <c r="H31" s="6">
        <v>0.24375227093696594</v>
      </c>
      <c r="I31">
        <v>0</v>
      </c>
      <c r="J31"/>
    </row>
    <row r="32" spans="1:10" ht="15" customHeight="1" x14ac:dyDescent="0.15">
      <c r="A32" s="191">
        <v>31</v>
      </c>
      <c r="B32" s="191" t="s">
        <v>250</v>
      </c>
      <c r="C32" s="7">
        <v>3.2375903129577637</v>
      </c>
      <c r="D32" s="6">
        <v>0.19681926071643829</v>
      </c>
      <c r="E32" s="8">
        <v>1.760054349899292</v>
      </c>
      <c r="F32" s="8">
        <v>4.3635902404785156</v>
      </c>
      <c r="G32" s="8">
        <v>0.70796066522598267</v>
      </c>
      <c r="H32" s="6">
        <v>0.40335005521774292</v>
      </c>
      <c r="I32">
        <v>0</v>
      </c>
      <c r="J32"/>
    </row>
    <row r="33" spans="1:10" ht="15" customHeight="1" x14ac:dyDescent="0.15">
      <c r="A33" s="192">
        <v>32</v>
      </c>
      <c r="B33" s="192" t="s">
        <v>251</v>
      </c>
      <c r="C33" s="7">
        <v>3.3977727890014648</v>
      </c>
      <c r="D33" s="6">
        <v>0.23894241452217102</v>
      </c>
      <c r="E33" s="8">
        <v>0.49563702940940857</v>
      </c>
      <c r="F33" s="8">
        <v>2.1866385936737061</v>
      </c>
      <c r="G33" s="8">
        <v>0.89678287506103516</v>
      </c>
      <c r="H33" s="6">
        <v>0.22666618227958679</v>
      </c>
      <c r="I33">
        <v>0</v>
      </c>
      <c r="J33"/>
    </row>
    <row r="34" spans="1:10" ht="15" customHeight="1" x14ac:dyDescent="0.15">
      <c r="A34" s="193">
        <v>33</v>
      </c>
      <c r="B34" s="193" t="s">
        <v>252</v>
      </c>
      <c r="C34" s="7">
        <v>3.5599069595336914</v>
      </c>
      <c r="D34" s="8">
        <v>0.75295895338058472</v>
      </c>
      <c r="E34" s="8">
        <v>0.18264046311378479</v>
      </c>
      <c r="F34" s="8">
        <v>2.0086793899536133</v>
      </c>
      <c r="G34" s="6">
        <v>0.35160920023918152</v>
      </c>
      <c r="H34" s="6">
        <v>9.0925641357898712E-2</v>
      </c>
      <c r="I34">
        <v>1.4263040386140347E-2</v>
      </c>
      <c r="J34"/>
    </row>
    <row r="35" spans="1:10" ht="15" customHeight="1" x14ac:dyDescent="0.15">
      <c r="A35" s="194">
        <v>34</v>
      </c>
      <c r="B35" s="194" t="s">
        <v>253</v>
      </c>
      <c r="C35" s="7">
        <v>3.8850712776184082</v>
      </c>
      <c r="D35" s="8">
        <v>0.11445021629333496</v>
      </c>
      <c r="E35" s="8">
        <v>0.13331381976604462</v>
      </c>
      <c r="F35" s="8">
        <v>1.8940118551254272</v>
      </c>
      <c r="G35" s="6">
        <v>0.78606438636779785</v>
      </c>
      <c r="H35" s="6">
        <v>7.0387005805969238E-2</v>
      </c>
      <c r="I35">
        <v>3.3854763023555279E-3</v>
      </c>
      <c r="J35"/>
    </row>
    <row r="36" spans="1:10" ht="15" customHeight="1" x14ac:dyDescent="0.15">
      <c r="A36" s="195">
        <v>35</v>
      </c>
      <c r="B36" s="195" t="s">
        <v>254</v>
      </c>
      <c r="C36" s="7">
        <v>3.8176252841949463</v>
      </c>
      <c r="D36" s="8">
        <v>7.990921288728714E-2</v>
      </c>
      <c r="E36" s="8">
        <v>0.16111083328723907</v>
      </c>
      <c r="F36" s="8">
        <v>1.6345784664154053</v>
      </c>
      <c r="G36" s="6">
        <v>0.47471928596496582</v>
      </c>
      <c r="H36" s="6">
        <v>9.856414794921875E-2</v>
      </c>
      <c r="I36">
        <v>1.4353228034451604E-3</v>
      </c>
      <c r="J36"/>
    </row>
    <row r="37" spans="1:10" ht="15" customHeight="1" x14ac:dyDescent="0.15">
      <c r="A37" s="196">
        <v>36</v>
      </c>
      <c r="B37" s="196" t="s">
        <v>255</v>
      </c>
      <c r="C37" s="7">
        <v>4.0357909202575684</v>
      </c>
      <c r="D37" s="8">
        <v>5.7087084278464317E-3</v>
      </c>
      <c r="E37" s="8">
        <v>5.3866580128669739E-2</v>
      </c>
      <c r="F37" s="8">
        <v>2.2943873405456543</v>
      </c>
      <c r="G37" s="6">
        <v>0.20766231417655945</v>
      </c>
      <c r="H37" s="6">
        <v>2.3477545008063316E-2</v>
      </c>
      <c r="I37">
        <v>4.4597654778044671E-5</v>
      </c>
      <c r="J37"/>
    </row>
    <row r="38" spans="1:10" ht="15" customHeight="1" x14ac:dyDescent="0.15">
      <c r="A38" s="197">
        <v>37</v>
      </c>
      <c r="B38" s="197" t="s">
        <v>194</v>
      </c>
      <c r="C38" s="7">
        <v>3.8047780990600586</v>
      </c>
      <c r="D38" s="8">
        <v>0.13529233634471893</v>
      </c>
      <c r="E38" s="8">
        <v>0.13401418924331665</v>
      </c>
      <c r="F38" s="8">
        <v>1.9574310779571533</v>
      </c>
      <c r="G38" s="6">
        <v>0.14324541389942169</v>
      </c>
      <c r="H38" s="6">
        <v>6.8464323878288269E-2</v>
      </c>
      <c r="I38">
        <v>1.0154166375286877E-4</v>
      </c>
      <c r="J38"/>
    </row>
    <row r="39" spans="1:10" ht="15" customHeight="1" x14ac:dyDescent="0.15">
      <c r="A39" s="198">
        <v>38</v>
      </c>
      <c r="B39" s="198" t="s">
        <v>256</v>
      </c>
      <c r="C39" s="7">
        <v>3.5407252311706543</v>
      </c>
      <c r="D39" s="8">
        <v>0.57273745536804199</v>
      </c>
      <c r="E39" s="8">
        <v>0.14474159479141235</v>
      </c>
      <c r="F39" s="8">
        <v>2.6244556903839111</v>
      </c>
      <c r="G39" s="6">
        <v>0.46304407715797424</v>
      </c>
      <c r="H39" s="6">
        <v>5.5151090025901794E-2</v>
      </c>
      <c r="I39">
        <v>1.5922357561066747E-3</v>
      </c>
      <c r="J39"/>
    </row>
    <row r="40" spans="1:10" ht="15" customHeight="1" x14ac:dyDescent="0.15">
      <c r="A40" s="199">
        <v>39</v>
      </c>
      <c r="B40" s="199" t="s">
        <v>195</v>
      </c>
      <c r="C40" s="7">
        <v>3.1673851013183594</v>
      </c>
      <c r="D40" s="8">
        <v>0.33928918838500977</v>
      </c>
      <c r="E40" s="8">
        <v>0.26940152049064636</v>
      </c>
      <c r="F40" s="8">
        <v>1.5711950063705444</v>
      </c>
      <c r="G40" s="6">
        <v>0.68871951103210449</v>
      </c>
      <c r="H40" s="6">
        <v>0.17146281898021698</v>
      </c>
      <c r="I40">
        <v>2.9979258187040614E-8</v>
      </c>
      <c r="J40"/>
    </row>
    <row r="41" spans="1:10" ht="15" customHeight="1" x14ac:dyDescent="0.15">
      <c r="A41" s="200">
        <v>40</v>
      </c>
      <c r="B41" s="200" t="s">
        <v>196</v>
      </c>
      <c r="C41" s="7">
        <v>3.9721548557281494</v>
      </c>
      <c r="D41" s="8">
        <v>0.11393680423498154</v>
      </c>
      <c r="E41" s="8">
        <v>0.34395432472229004</v>
      </c>
      <c r="F41" s="8">
        <v>1.6669659614562988</v>
      </c>
      <c r="G41" s="6">
        <v>0.5059506893157959</v>
      </c>
      <c r="H41" s="6">
        <v>0.20633554458618164</v>
      </c>
      <c r="I41">
        <v>5.1068728789687157E-3</v>
      </c>
      <c r="J41"/>
    </row>
    <row r="42" spans="1:10" ht="15" customHeight="1" x14ac:dyDescent="0.15">
      <c r="A42" s="201">
        <v>41</v>
      </c>
      <c r="B42" s="201" t="s">
        <v>197</v>
      </c>
      <c r="C42" s="7">
        <v>4.1715021133422852</v>
      </c>
      <c r="D42" s="8">
        <v>0.14339384436607361</v>
      </c>
      <c r="E42" s="8">
        <v>0.47011855244636536</v>
      </c>
      <c r="F42" s="8">
        <v>1.6426987648010254</v>
      </c>
      <c r="G42" s="6">
        <v>0.12006425112485886</v>
      </c>
      <c r="H42" s="6">
        <v>0.28618669509887695</v>
      </c>
      <c r="I42">
        <v>2.72564054466784E-3</v>
      </c>
      <c r="J42"/>
    </row>
    <row r="43" spans="1:10" ht="15" customHeight="1" x14ac:dyDescent="0.15">
      <c r="A43" s="202">
        <v>42</v>
      </c>
      <c r="B43" s="202" t="s">
        <v>198</v>
      </c>
      <c r="C43" s="7">
        <v>3.4301736354827881</v>
      </c>
      <c r="D43" s="8">
        <v>8.2267913818359375</v>
      </c>
      <c r="E43" s="8">
        <v>0.41588151454925537</v>
      </c>
      <c r="F43" s="8">
        <v>1.8399938344955444</v>
      </c>
      <c r="G43" s="6">
        <v>0.70456355810165405</v>
      </c>
      <c r="H43" s="6">
        <v>0.22602331638336182</v>
      </c>
      <c r="I43">
        <v>0.86235356330871582</v>
      </c>
      <c r="J43"/>
    </row>
    <row r="44" spans="1:10" ht="15" customHeight="1" x14ac:dyDescent="0.15">
      <c r="A44" s="203">
        <v>43</v>
      </c>
      <c r="B44" s="203" t="s">
        <v>199</v>
      </c>
      <c r="C44" s="7">
        <v>4.2387833595275879</v>
      </c>
      <c r="D44" s="8">
        <v>0.22135785222053528</v>
      </c>
      <c r="E44" s="8">
        <v>0.30621793866157532</v>
      </c>
      <c r="F44" s="8">
        <v>2.4909975528717041</v>
      </c>
      <c r="G44" s="6">
        <v>0.83513140678405762</v>
      </c>
      <c r="H44" s="6">
        <v>0.12292984127998352</v>
      </c>
      <c r="I44">
        <v>4.1814916767179966E-3</v>
      </c>
      <c r="J44"/>
    </row>
    <row r="45" spans="1:10" ht="15" customHeight="1" x14ac:dyDescent="0.15">
      <c r="A45" s="204">
        <v>44</v>
      </c>
      <c r="B45" s="204" t="s">
        <v>232</v>
      </c>
      <c r="C45" s="7">
        <v>4.1762642860412598</v>
      </c>
      <c r="D45" s="8">
        <v>0.32117518782615662</v>
      </c>
      <c r="E45" s="8">
        <v>0.26816776394844055</v>
      </c>
      <c r="F45" s="8">
        <v>2.0620877742767334</v>
      </c>
      <c r="G45" s="6">
        <v>0.57959663867950439</v>
      </c>
      <c r="H45" s="6">
        <v>0.13004672527313232</v>
      </c>
      <c r="I45">
        <v>3.3448081463575363E-2</v>
      </c>
      <c r="J45"/>
    </row>
    <row r="46" spans="1:10" ht="15" customHeight="1" x14ac:dyDescent="0.15">
      <c r="A46" s="205">
        <v>45</v>
      </c>
      <c r="B46" s="205" t="s">
        <v>200</v>
      </c>
      <c r="C46" s="7">
        <v>4.021690845489502</v>
      </c>
      <c r="D46" s="8">
        <v>0.81128650903701782</v>
      </c>
      <c r="E46" s="8">
        <v>8.8901758193969727E-2</v>
      </c>
      <c r="F46" s="8">
        <v>2.047309398651123</v>
      </c>
      <c r="G46" s="6">
        <v>0.80373060703277588</v>
      </c>
      <c r="H46" s="6">
        <v>4.342370480298996E-2</v>
      </c>
      <c r="I46">
        <v>2.2759495303034782E-2</v>
      </c>
      <c r="J46"/>
    </row>
    <row r="47" spans="1:10" ht="15" customHeight="1" x14ac:dyDescent="0.15">
      <c r="A47" s="206">
        <v>46</v>
      </c>
      <c r="B47" s="206" t="s">
        <v>201</v>
      </c>
      <c r="C47" s="7">
        <v>4.1460361480712891</v>
      </c>
      <c r="D47" s="8">
        <v>8.9964494109153748E-2</v>
      </c>
      <c r="E47" s="8">
        <v>0.32699024677276611</v>
      </c>
      <c r="F47" s="8">
        <v>7.1676936149597168</v>
      </c>
      <c r="G47" s="6">
        <v>0.1607038676738739</v>
      </c>
      <c r="H47" s="6">
        <v>4.5620009303092957E-2</v>
      </c>
      <c r="I47">
        <v>4.4547705911099911E-3</v>
      </c>
      <c r="J47"/>
    </row>
    <row r="48" spans="1:10" ht="15" customHeight="1" x14ac:dyDescent="0.15">
      <c r="A48" s="207">
        <v>47</v>
      </c>
      <c r="B48" s="207" t="s">
        <v>202</v>
      </c>
      <c r="C48" s="7">
        <v>3.9023003578186035</v>
      </c>
      <c r="D48" s="8">
        <v>0.11983352154493332</v>
      </c>
      <c r="E48" s="8">
        <v>2.0978114604949951</v>
      </c>
      <c r="F48" s="8">
        <v>5.4210143089294434</v>
      </c>
      <c r="G48" s="6">
        <v>0.69350439310073853</v>
      </c>
      <c r="H48" s="6">
        <v>0.3869776725769043</v>
      </c>
      <c r="I48">
        <v>2.6882883161306381E-2</v>
      </c>
      <c r="J48"/>
    </row>
    <row r="49" spans="1:10" ht="15" customHeight="1" x14ac:dyDescent="0.15">
      <c r="A49" s="208">
        <v>48</v>
      </c>
      <c r="B49" s="208" t="s">
        <v>203</v>
      </c>
      <c r="C49" s="7">
        <v>3.5682618618011475</v>
      </c>
      <c r="D49" s="8">
        <v>0.32789501547813416</v>
      </c>
      <c r="E49" s="8">
        <v>0.227007657289505</v>
      </c>
      <c r="F49" s="8">
        <v>0.94455993175506592</v>
      </c>
      <c r="G49" s="6">
        <v>0.32644632458686829</v>
      </c>
      <c r="H49" s="6">
        <v>0.24033166468143463</v>
      </c>
      <c r="I49">
        <v>3.5254005342721939E-4</v>
      </c>
      <c r="J49"/>
    </row>
    <row r="50" spans="1:10" ht="15" customHeight="1" x14ac:dyDescent="0.15">
      <c r="A50" s="209">
        <v>49</v>
      </c>
      <c r="B50" s="209" t="s">
        <v>204</v>
      </c>
      <c r="C50" s="7">
        <v>3.9404613971710205</v>
      </c>
      <c r="D50" s="8">
        <v>0.8742181658744812</v>
      </c>
      <c r="E50" s="8">
        <v>7.0704862475395203E-2</v>
      </c>
      <c r="F50" s="8">
        <v>2.6968348026275635</v>
      </c>
      <c r="G50" s="6">
        <v>0.89646327495574951</v>
      </c>
      <c r="H50" s="6">
        <v>2.6217721402645111E-2</v>
      </c>
      <c r="I50">
        <v>5.3503667004406452E-3</v>
      </c>
      <c r="J50"/>
    </row>
    <row r="51" spans="1:10" ht="15" customHeight="1" x14ac:dyDescent="0.15">
      <c r="A51" s="210">
        <v>50</v>
      </c>
      <c r="B51" s="210" t="s">
        <v>257</v>
      </c>
      <c r="C51" s="7">
        <v>3.1826362609863281</v>
      </c>
      <c r="D51" s="8">
        <v>8.1952095031738281E-2</v>
      </c>
      <c r="E51" s="8">
        <v>0.11415141075849533</v>
      </c>
      <c r="F51" s="8">
        <v>1.5340960025787354</v>
      </c>
      <c r="G51" s="6">
        <v>0.68481522798538208</v>
      </c>
      <c r="H51" s="6">
        <v>7.4409559369087219E-2</v>
      </c>
      <c r="I51">
        <v>2.3286226205527782E-3</v>
      </c>
      <c r="J51"/>
    </row>
    <row r="52" spans="1:10" ht="15" customHeight="1" x14ac:dyDescent="0.15">
      <c r="A52" s="211">
        <v>51</v>
      </c>
      <c r="B52" s="211" t="s">
        <v>258</v>
      </c>
      <c r="C52" s="7">
        <v>3.3085205554962158</v>
      </c>
      <c r="D52" s="8">
        <v>0.12061600387096405</v>
      </c>
      <c r="E52" s="8">
        <v>4.9299512058496475E-2</v>
      </c>
      <c r="F52" s="8">
        <v>2.2188851833343506</v>
      </c>
      <c r="G52" s="6">
        <v>0.74642658233642578</v>
      </c>
      <c r="H52" s="6">
        <v>2.2218145430088043E-2</v>
      </c>
      <c r="I52">
        <v>2.2760182619094849E-3</v>
      </c>
      <c r="J52"/>
    </row>
    <row r="53" spans="1:10" ht="15" customHeight="1" x14ac:dyDescent="0.15">
      <c r="A53" s="212">
        <v>52</v>
      </c>
      <c r="B53" s="212" t="s">
        <v>259</v>
      </c>
      <c r="C53" s="7">
        <v>3.5519142150878906</v>
      </c>
      <c r="D53" s="8">
        <v>0.23776862025260925</v>
      </c>
      <c r="E53" s="8">
        <v>0.13132975995540619</v>
      </c>
      <c r="F53" s="8">
        <v>2.2742476463317871</v>
      </c>
      <c r="G53" s="6">
        <v>0.86302894353866577</v>
      </c>
      <c r="H53" s="6">
        <v>5.7746462523937225E-2</v>
      </c>
      <c r="I53">
        <v>4.8294826410710812E-3</v>
      </c>
      <c r="J53"/>
    </row>
    <row r="54" spans="1:10" ht="15" customHeight="1" x14ac:dyDescent="0.15">
      <c r="A54" s="213">
        <v>53</v>
      </c>
      <c r="B54" s="213" t="s">
        <v>260</v>
      </c>
      <c r="C54" s="7">
        <v>3.3237731456756592</v>
      </c>
      <c r="D54" s="8">
        <v>0.26874938607215881</v>
      </c>
      <c r="E54" s="8">
        <v>7.910570502281189E-2</v>
      </c>
      <c r="F54" s="8">
        <v>1.7513037919998169</v>
      </c>
      <c r="G54" s="6">
        <v>0.8531029224395752</v>
      </c>
      <c r="H54" s="6">
        <v>4.5169606804847717E-2</v>
      </c>
      <c r="I54">
        <v>1.2758851516991854E-3</v>
      </c>
      <c r="J54"/>
    </row>
    <row r="55" spans="1:10" ht="15" customHeight="1" x14ac:dyDescent="0.15">
      <c r="A55" s="214">
        <v>54</v>
      </c>
      <c r="B55" s="214" t="s">
        <v>261</v>
      </c>
      <c r="C55" s="7">
        <v>3.3641719818115234</v>
      </c>
      <c r="D55" s="8">
        <v>0.22490128874778748</v>
      </c>
      <c r="E55" s="8">
        <v>6.3871324062347412E-2</v>
      </c>
      <c r="F55" s="8">
        <v>1.7679084539413452</v>
      </c>
      <c r="G55" s="6">
        <v>0.57204830646514893</v>
      </c>
      <c r="H55" s="6">
        <v>3.612818568944931E-2</v>
      </c>
      <c r="I55">
        <v>3.296014154329896E-3</v>
      </c>
      <c r="J55"/>
    </row>
    <row r="56" spans="1:10" ht="15" customHeight="1" x14ac:dyDescent="0.15">
      <c r="A56" s="215">
        <v>55</v>
      </c>
      <c r="B56" s="215" t="s">
        <v>233</v>
      </c>
      <c r="C56" s="7">
        <v>3.9640538692474365</v>
      </c>
      <c r="D56" s="8">
        <v>0.58967989683151245</v>
      </c>
      <c r="E56" s="8">
        <v>5.3029142320156097E-2</v>
      </c>
      <c r="F56" s="8">
        <v>0.35176527500152588</v>
      </c>
      <c r="G56" s="6">
        <v>0.65599542856216431</v>
      </c>
      <c r="H56" s="6">
        <v>0.1507515013217926</v>
      </c>
      <c r="I56">
        <v>4.2032781057059765E-3</v>
      </c>
      <c r="J56"/>
    </row>
    <row r="57" spans="1:10" ht="15" customHeight="1" x14ac:dyDescent="0.15">
      <c r="A57" s="216">
        <v>56</v>
      </c>
      <c r="B57" s="216" t="s">
        <v>234</v>
      </c>
      <c r="C57" s="7">
        <v>3.715958833694458</v>
      </c>
      <c r="D57" s="8">
        <v>0.26430314779281616</v>
      </c>
      <c r="E57" s="8">
        <v>0.11744140833616257</v>
      </c>
      <c r="F57" s="8">
        <v>0.46025961637496948</v>
      </c>
      <c r="G57" s="6">
        <v>0.85835212469100952</v>
      </c>
      <c r="H57" s="6">
        <v>0.25516340136528015</v>
      </c>
      <c r="I57">
        <v>3.6717962939292192E-3</v>
      </c>
      <c r="J57"/>
    </row>
    <row r="58" spans="1:10" ht="15" customHeight="1" x14ac:dyDescent="0.15">
      <c r="A58" s="217">
        <v>57</v>
      </c>
      <c r="B58" s="217" t="s">
        <v>205</v>
      </c>
      <c r="C58" s="7">
        <v>3.0832762718200684</v>
      </c>
      <c r="D58" s="8">
        <v>3.853487491607666</v>
      </c>
      <c r="E58" s="8">
        <v>0.32471483945846558</v>
      </c>
      <c r="F58" s="8">
        <v>2.2103378772735596</v>
      </c>
      <c r="G58" s="6">
        <v>0.89405733346939087</v>
      </c>
      <c r="H58" s="6">
        <v>0.14690732955932617</v>
      </c>
      <c r="I58">
        <v>4.6345110982656479E-2</v>
      </c>
      <c r="J58"/>
    </row>
    <row r="59" spans="1:10" ht="15" customHeight="1" x14ac:dyDescent="0.15">
      <c r="A59" s="218">
        <v>58</v>
      </c>
      <c r="B59" s="218" t="s">
        <v>206</v>
      </c>
      <c r="C59" s="7">
        <v>3.999800443649292</v>
      </c>
      <c r="D59" s="8">
        <v>0.50056064128875732</v>
      </c>
      <c r="E59" s="8">
        <v>0.20894365012645721</v>
      </c>
      <c r="F59" s="8">
        <v>1.7115997076034546</v>
      </c>
      <c r="G59" s="6">
        <v>0.48967698216438293</v>
      </c>
      <c r="H59" s="6">
        <v>0.12207506597042084</v>
      </c>
      <c r="I59">
        <v>4.5270593836903572E-3</v>
      </c>
      <c r="J59"/>
    </row>
    <row r="60" spans="1:10" ht="15" customHeight="1" x14ac:dyDescent="0.15">
      <c r="A60" s="219">
        <v>59</v>
      </c>
      <c r="B60" s="219" t="s">
        <v>207</v>
      </c>
      <c r="C60" s="7">
        <v>4.3858480453491211</v>
      </c>
      <c r="D60" s="6">
        <v>3.0807811766862869E-2</v>
      </c>
      <c r="E60" s="8">
        <v>0.17976047098636627</v>
      </c>
      <c r="F60" s="8">
        <v>2.7011513710021973</v>
      </c>
      <c r="G60" s="8">
        <v>0.75539112091064453</v>
      </c>
      <c r="H60" s="6">
        <v>6.6549576818943024E-2</v>
      </c>
      <c r="I60">
        <v>2.6121251285076141E-3</v>
      </c>
      <c r="J60"/>
    </row>
    <row r="61" spans="1:10" ht="15" customHeight="1" x14ac:dyDescent="0.15">
      <c r="A61" s="220">
        <v>60</v>
      </c>
      <c r="B61" s="220" t="s">
        <v>262</v>
      </c>
      <c r="C61" s="7">
        <v>4.2581911087036133</v>
      </c>
      <c r="D61" s="8">
        <v>3.2655273098498583E-3</v>
      </c>
      <c r="E61" s="8">
        <v>9.8205804824829102E-2</v>
      </c>
      <c r="F61" s="8">
        <v>161.41642761230469</v>
      </c>
      <c r="G61" s="6">
        <v>0</v>
      </c>
      <c r="H61" s="6">
        <v>6.0840032529085875E-4</v>
      </c>
      <c r="I61">
        <v>0</v>
      </c>
      <c r="J61"/>
    </row>
    <row r="62" spans="1:10" ht="15" customHeight="1" x14ac:dyDescent="0.15">
      <c r="A62" s="221">
        <v>61</v>
      </c>
      <c r="B62" s="221" t="s">
        <v>208</v>
      </c>
      <c r="C62" s="7">
        <v>3.1688599586486816</v>
      </c>
      <c r="D62" s="8">
        <v>1.2735745403915644E-3</v>
      </c>
      <c r="E62" s="8">
        <v>0.21830970048904419</v>
      </c>
      <c r="F62" s="8">
        <v>249.67915344238281</v>
      </c>
      <c r="G62" s="6">
        <v>0</v>
      </c>
      <c r="H62" s="6">
        <v>8.7436096509918571E-4</v>
      </c>
      <c r="I62">
        <v>0</v>
      </c>
      <c r="J62"/>
    </row>
    <row r="63" spans="1:10" ht="15" customHeight="1" x14ac:dyDescent="0.15">
      <c r="A63" s="222">
        <v>62</v>
      </c>
      <c r="B63" s="222" t="s">
        <v>263</v>
      </c>
      <c r="C63" s="7">
        <v>4.1498966217041016</v>
      </c>
      <c r="D63" s="8">
        <v>3.4569198032841086E-4</v>
      </c>
      <c r="E63" s="8">
        <v>0.12941284477710724</v>
      </c>
      <c r="F63" s="8">
        <v>192.37345886230469</v>
      </c>
      <c r="G63" s="6">
        <v>0</v>
      </c>
      <c r="H63" s="6">
        <v>6.7271670559421182E-4</v>
      </c>
      <c r="I63">
        <v>0</v>
      </c>
      <c r="J63"/>
    </row>
    <row r="64" spans="1:10" ht="15" customHeight="1" x14ac:dyDescent="0.15">
      <c r="A64" s="223">
        <v>63</v>
      </c>
      <c r="B64" s="223" t="s">
        <v>209</v>
      </c>
      <c r="C64" s="7">
        <v>4.1591806411743164</v>
      </c>
      <c r="D64" s="8">
        <v>1.9611201423685998E-4</v>
      </c>
      <c r="E64" s="8">
        <v>7.8962035477161407E-2</v>
      </c>
      <c r="F64" s="8">
        <v>202.30158996582031</v>
      </c>
      <c r="G64" s="6">
        <v>0</v>
      </c>
      <c r="H64" s="6">
        <v>3.9031842607073486E-4</v>
      </c>
      <c r="I64">
        <v>0</v>
      </c>
      <c r="J64"/>
    </row>
    <row r="65" spans="1:10" ht="15" customHeight="1" x14ac:dyDescent="0.15">
      <c r="A65" s="224">
        <v>64</v>
      </c>
      <c r="B65" s="224" t="s">
        <v>264</v>
      </c>
      <c r="C65" s="7">
        <v>4.33538818359375</v>
      </c>
      <c r="D65" s="8">
        <v>5.8713293401524425E-4</v>
      </c>
      <c r="E65" s="8">
        <v>0.11747609078884125</v>
      </c>
      <c r="F65" s="8">
        <v>192.69224548339844</v>
      </c>
      <c r="G65" s="6">
        <v>0</v>
      </c>
      <c r="H65" s="6">
        <v>6.096565630286932E-4</v>
      </c>
      <c r="I65">
        <v>0</v>
      </c>
      <c r="J65"/>
    </row>
    <row r="66" spans="1:10" ht="15" customHeight="1" x14ac:dyDescent="0.15">
      <c r="A66" s="225">
        <v>65</v>
      </c>
      <c r="B66" s="225" t="s">
        <v>210</v>
      </c>
      <c r="C66" s="7">
        <v>4.2664408683776855</v>
      </c>
      <c r="D66" s="8">
        <v>1.0066656395792961E-3</v>
      </c>
      <c r="E66" s="8">
        <v>0.11667721718549728</v>
      </c>
      <c r="F66" s="8">
        <v>170.11636352539062</v>
      </c>
      <c r="G66" s="6">
        <v>0</v>
      </c>
      <c r="H66" s="6">
        <v>6.858670967631042E-4</v>
      </c>
      <c r="I66">
        <v>0</v>
      </c>
      <c r="J66"/>
    </row>
    <row r="67" spans="1:10" ht="15" customHeight="1" x14ac:dyDescent="0.15">
      <c r="A67" s="226">
        <v>66</v>
      </c>
      <c r="B67" s="226" t="s">
        <v>235</v>
      </c>
      <c r="C67" s="7">
        <v>4.7060256004333496</v>
      </c>
      <c r="D67" s="8">
        <v>1.4332306454889476E-4</v>
      </c>
      <c r="E67" s="8">
        <v>8.2553379237651825E-2</v>
      </c>
      <c r="F67" s="8">
        <v>227.08123779296875</v>
      </c>
      <c r="G67" s="6">
        <v>0</v>
      </c>
      <c r="H67" s="6">
        <v>3.635411849245429E-4</v>
      </c>
      <c r="I67">
        <v>0</v>
      </c>
      <c r="J67"/>
    </row>
    <row r="68" spans="1:10" ht="15" customHeight="1" x14ac:dyDescent="0.15">
      <c r="A68" s="227">
        <v>67</v>
      </c>
      <c r="B68" s="227" t="s">
        <v>211</v>
      </c>
      <c r="C68" s="7">
        <v>4.322023868560791</v>
      </c>
      <c r="D68" s="8">
        <v>8.3527696551755071E-4</v>
      </c>
      <c r="E68" s="8">
        <v>1.9796077162027359E-2</v>
      </c>
      <c r="F68" s="8">
        <v>127.49603271484375</v>
      </c>
      <c r="G68" s="6">
        <v>0</v>
      </c>
      <c r="H68" s="6">
        <v>1.5526817878708243E-4</v>
      </c>
      <c r="I68">
        <v>0</v>
      </c>
      <c r="J68"/>
    </row>
    <row r="69" spans="1:10" ht="15" customHeight="1" x14ac:dyDescent="0.15">
      <c r="A69" s="228">
        <v>68</v>
      </c>
      <c r="B69" s="228" t="s">
        <v>265</v>
      </c>
      <c r="C69" s="7">
        <v>4.2460932731628418</v>
      </c>
      <c r="D69" s="8">
        <v>2.8166756965219975E-4</v>
      </c>
      <c r="E69" s="8">
        <v>5.6517329066991806E-2</v>
      </c>
      <c r="F69" s="8">
        <v>194.07368469238281</v>
      </c>
      <c r="G69" s="6">
        <v>0</v>
      </c>
      <c r="H69" s="6">
        <v>2.9121583793312311E-4</v>
      </c>
      <c r="I69">
        <v>0</v>
      </c>
      <c r="J69"/>
    </row>
    <row r="70" spans="1:10" ht="15" customHeight="1" x14ac:dyDescent="0.15">
      <c r="A70" s="229">
        <v>69</v>
      </c>
      <c r="B70" s="229" t="s">
        <v>212</v>
      </c>
      <c r="C70" s="7">
        <v>4.2125949859619141</v>
      </c>
      <c r="D70" s="8">
        <v>4.1018803603947163E-3</v>
      </c>
      <c r="E70" s="8">
        <v>6.4736992120742798E-2</v>
      </c>
      <c r="F70" s="8">
        <v>181.74034118652344</v>
      </c>
      <c r="G70" s="6">
        <v>0</v>
      </c>
      <c r="H70" s="6">
        <v>3.5620594280771911E-4</v>
      </c>
      <c r="I70">
        <v>0</v>
      </c>
      <c r="J70"/>
    </row>
    <row r="71" spans="1:10" ht="15" customHeight="1" x14ac:dyDescent="0.15">
      <c r="A71" s="230">
        <v>70</v>
      </c>
      <c r="B71" s="230" t="s">
        <v>213</v>
      </c>
      <c r="C71" s="7">
        <v>3.8830170631408691</v>
      </c>
      <c r="D71" s="8">
        <v>4.179025418125093E-4</v>
      </c>
      <c r="E71" s="8">
        <v>0.12972001731395721</v>
      </c>
      <c r="F71" s="8">
        <v>424.09881591796875</v>
      </c>
      <c r="G71" s="6">
        <v>0</v>
      </c>
      <c r="H71" s="6">
        <v>3.0587214860133827E-4</v>
      </c>
      <c r="I71">
        <v>0</v>
      </c>
      <c r="J71"/>
    </row>
    <row r="72" spans="1:10" ht="15" customHeight="1" x14ac:dyDescent="0.15">
      <c r="A72" s="231">
        <v>71</v>
      </c>
      <c r="B72" s="231" t="s">
        <v>236</v>
      </c>
      <c r="C72" s="7">
        <v>4.3470721244812012</v>
      </c>
      <c r="D72" s="8">
        <v>2.4969680234789848E-3</v>
      </c>
      <c r="E72" s="8">
        <v>2.8718074783682823E-2</v>
      </c>
      <c r="F72" s="8">
        <v>14.074082374572754</v>
      </c>
      <c r="G72" s="6">
        <v>0</v>
      </c>
      <c r="H72" s="6">
        <v>2.0404935348778963E-3</v>
      </c>
      <c r="I72">
        <v>0</v>
      </c>
      <c r="J72"/>
    </row>
    <row r="73" spans="1:10" ht="15" customHeight="1" x14ac:dyDescent="0.15">
      <c r="A73" s="232">
        <v>72</v>
      </c>
      <c r="B73" s="232" t="s">
        <v>237</v>
      </c>
      <c r="C73" s="7">
        <v>4.6887121200561523</v>
      </c>
      <c r="D73" s="8">
        <v>1.1646884959191084E-3</v>
      </c>
      <c r="E73" s="8">
        <v>2.0390884950757027E-2</v>
      </c>
      <c r="F73" s="8">
        <v>14.474368095397949</v>
      </c>
      <c r="G73" s="6">
        <v>0</v>
      </c>
      <c r="H73" s="6">
        <v>1.4087582239881158E-3</v>
      </c>
      <c r="I73">
        <v>0</v>
      </c>
      <c r="J73"/>
    </row>
    <row r="74" spans="1:10" ht="15" customHeight="1" x14ac:dyDescent="0.15">
      <c r="A74" s="233">
        <v>73</v>
      </c>
      <c r="B74" s="233" t="s">
        <v>214</v>
      </c>
      <c r="C74" s="7">
        <v>4.3749289512634277</v>
      </c>
      <c r="D74" s="8">
        <v>2.508186548948288E-2</v>
      </c>
      <c r="E74" s="8">
        <v>8.3873316645622253E-2</v>
      </c>
      <c r="F74" s="8">
        <v>39.475128173828125</v>
      </c>
      <c r="G74" s="6">
        <v>0.55435448884963989</v>
      </c>
      <c r="H74" s="6">
        <v>2.124713035300374E-3</v>
      </c>
      <c r="I74">
        <v>0</v>
      </c>
      <c r="J74"/>
    </row>
    <row r="75" spans="1:10" ht="15" customHeight="1" x14ac:dyDescent="0.15">
      <c r="A75" s="234">
        <v>74</v>
      </c>
      <c r="B75" s="234" t="s">
        <v>238</v>
      </c>
      <c r="C75" s="7">
        <v>3.4247958660125732</v>
      </c>
      <c r="D75" s="8">
        <v>0.25246617197990417</v>
      </c>
      <c r="E75" s="8">
        <v>3.5324834287166595E-2</v>
      </c>
      <c r="F75" s="8">
        <v>7.0706701278686523</v>
      </c>
      <c r="G75" s="6">
        <v>0.10861300677061081</v>
      </c>
      <c r="H75" s="6">
        <v>4.9959667958319187E-3</v>
      </c>
      <c r="I75">
        <v>0</v>
      </c>
      <c r="J75"/>
    </row>
    <row r="76" spans="1:10" ht="15" customHeight="1" x14ac:dyDescent="0.15">
      <c r="A76" s="235">
        <v>75</v>
      </c>
      <c r="B76" s="235" t="s">
        <v>239</v>
      </c>
      <c r="C76" s="7">
        <v>3.5095822811126709</v>
      </c>
      <c r="D76" s="8">
        <v>5.3732972592115402E-3</v>
      </c>
      <c r="E76" s="8">
        <v>5.0847887992858887E-2</v>
      </c>
      <c r="F76" s="8">
        <v>8.5664587020874023</v>
      </c>
      <c r="G76" s="6">
        <v>4.0478318929672241E-2</v>
      </c>
      <c r="H76" s="6">
        <v>5.9356950223445892E-3</v>
      </c>
      <c r="I76">
        <v>0</v>
      </c>
      <c r="J76"/>
    </row>
    <row r="77" spans="1:10" ht="15" customHeight="1" x14ac:dyDescent="0.15">
      <c r="A77" s="236">
        <v>76</v>
      </c>
      <c r="B77" s="236" t="s">
        <v>240</v>
      </c>
      <c r="C77" s="7">
        <v>3.3380842208862305</v>
      </c>
      <c r="D77" s="8">
        <v>0.12743328511714935</v>
      </c>
      <c r="E77" s="8">
        <v>2.5158654898405075E-2</v>
      </c>
      <c r="F77" s="8">
        <v>6.6194467544555664</v>
      </c>
      <c r="G77" s="6">
        <v>0.29625749588012695</v>
      </c>
      <c r="H77" s="6">
        <v>3.800718579441309E-3</v>
      </c>
      <c r="I77">
        <v>0</v>
      </c>
      <c r="J77"/>
    </row>
    <row r="78" spans="1:10" ht="15" customHeight="1" x14ac:dyDescent="0.15">
      <c r="A78" s="237">
        <v>77</v>
      </c>
      <c r="B78" s="237" t="s">
        <v>215</v>
      </c>
      <c r="C78" s="7">
        <v>4.4326133728027344</v>
      </c>
      <c r="D78" s="8">
        <v>2.6447327807545662E-2</v>
      </c>
      <c r="E78" s="8">
        <v>1.5360424295067787E-2</v>
      </c>
      <c r="F78" s="8">
        <v>8.1900463104248047</v>
      </c>
      <c r="G78" s="6">
        <v>0.34478548169136047</v>
      </c>
      <c r="H78" s="6">
        <v>1.8754990305751562E-3</v>
      </c>
      <c r="I78">
        <v>0</v>
      </c>
      <c r="J78"/>
    </row>
    <row r="79" spans="1:10" ht="15" customHeight="1" x14ac:dyDescent="0.15">
      <c r="A79" s="238">
        <v>78</v>
      </c>
      <c r="B79" s="238" t="s">
        <v>216</v>
      </c>
      <c r="C79" s="7">
        <v>4.2997536659240723</v>
      </c>
      <c r="D79" s="8">
        <v>1.640714704990387E-2</v>
      </c>
      <c r="E79" s="8">
        <v>7.4656024575233459E-2</v>
      </c>
      <c r="F79" s="8">
        <v>25.140939712524414</v>
      </c>
      <c r="G79" s="6">
        <v>0.40336132049560547</v>
      </c>
      <c r="H79" s="6">
        <v>2.9695001430809498E-3</v>
      </c>
      <c r="I79">
        <v>0</v>
      </c>
      <c r="J79"/>
    </row>
    <row r="80" spans="1:10" ht="15" customHeight="1" x14ac:dyDescent="0.15">
      <c r="A80" s="239">
        <v>79</v>
      </c>
      <c r="B80" s="239" t="s">
        <v>217</v>
      </c>
      <c r="C80" s="7">
        <v>4.3352327346801758</v>
      </c>
      <c r="D80" s="8">
        <v>7.1748070418834686E-2</v>
      </c>
      <c r="E80" s="8">
        <v>8.2272328436374664E-2</v>
      </c>
      <c r="F80" s="8">
        <v>14.020078659057617</v>
      </c>
      <c r="G80" s="6">
        <v>0.39458605647087097</v>
      </c>
      <c r="H80" s="6">
        <v>5.8681787922978401E-3</v>
      </c>
      <c r="I80">
        <v>0</v>
      </c>
      <c r="J80"/>
    </row>
    <row r="81" spans="1:10" ht="15" customHeight="1" x14ac:dyDescent="0.15">
      <c r="A81" s="240">
        <v>80</v>
      </c>
      <c r="B81" s="240" t="s">
        <v>266</v>
      </c>
      <c r="C81" s="7">
        <v>4.5173912048339844</v>
      </c>
      <c r="D81" s="8">
        <v>4.0320917963981628E-2</v>
      </c>
      <c r="E81" s="8">
        <v>0.33092027902603149</v>
      </c>
      <c r="F81" s="8">
        <v>18.695318222045898</v>
      </c>
      <c r="G81" s="6">
        <v>0</v>
      </c>
      <c r="H81" s="6">
        <v>1.770070381462574E-2</v>
      </c>
      <c r="I81">
        <v>0</v>
      </c>
      <c r="J81"/>
    </row>
    <row r="82" spans="1:10" ht="15" customHeight="1" x14ac:dyDescent="0.15">
      <c r="A82" s="241">
        <v>81</v>
      </c>
      <c r="B82" s="241" t="s">
        <v>267</v>
      </c>
      <c r="C82" s="7">
        <v>4.2599210739135742</v>
      </c>
      <c r="D82" s="8">
        <v>7.1679279208183289E-2</v>
      </c>
      <c r="E82" s="8">
        <v>0.2371075302362442</v>
      </c>
      <c r="F82" s="8">
        <v>14.76960563659668</v>
      </c>
      <c r="G82" s="6">
        <v>0.14894559979438782</v>
      </c>
      <c r="H82" s="6">
        <v>1.605374738574028E-2</v>
      </c>
      <c r="I82">
        <v>0</v>
      </c>
      <c r="J82"/>
    </row>
    <row r="83" spans="1:10" ht="15" customHeight="1" x14ac:dyDescent="0.15">
      <c r="A83" s="242">
        <v>82</v>
      </c>
      <c r="B83" s="242" t="s">
        <v>218</v>
      </c>
      <c r="C83" s="7">
        <v>4.3409638404846191</v>
      </c>
      <c r="D83" s="8">
        <v>5.5514923296868801E-3</v>
      </c>
      <c r="E83" s="8">
        <v>0.11097575724124908</v>
      </c>
      <c r="F83" s="8">
        <v>49.306129455566406</v>
      </c>
      <c r="G83" s="6">
        <v>5.4511740803718567E-2</v>
      </c>
      <c r="H83" s="6">
        <v>2.2507496178150177E-3</v>
      </c>
      <c r="I83">
        <v>0</v>
      </c>
      <c r="J83"/>
    </row>
    <row r="84" spans="1:10" ht="15" customHeight="1" x14ac:dyDescent="0.15">
      <c r="A84" s="243">
        <v>83</v>
      </c>
      <c r="B84" s="243" t="s">
        <v>219</v>
      </c>
      <c r="C84" s="7">
        <v>3.1135635375976562</v>
      </c>
      <c r="D84" s="8">
        <v>0.54967057704925537</v>
      </c>
      <c r="E84" s="8">
        <v>4.3404892086982727E-2</v>
      </c>
      <c r="F84" s="8">
        <v>5.9751009941101074</v>
      </c>
      <c r="G84" s="6">
        <v>7.9817555844783783E-2</v>
      </c>
      <c r="H84" s="6">
        <v>7.264294195920229E-3</v>
      </c>
      <c r="I84">
        <v>0</v>
      </c>
      <c r="J84"/>
    </row>
    <row r="85" spans="1:10" ht="15" customHeight="1" x14ac:dyDescent="0.15">
      <c r="A85" s="244">
        <v>84</v>
      </c>
      <c r="B85" s="244" t="s">
        <v>220</v>
      </c>
      <c r="C85" s="7">
        <v>3.0301058292388916</v>
      </c>
      <c r="D85" s="8">
        <v>1.2395021915435791</v>
      </c>
      <c r="E85" s="8">
        <v>3.6411736160516739E-2</v>
      </c>
      <c r="F85" s="8">
        <v>12.16475772857666</v>
      </c>
      <c r="G85" s="6">
        <v>8.1745676696300507E-2</v>
      </c>
      <c r="H85" s="6">
        <v>2.9932151082903147E-3</v>
      </c>
      <c r="I85">
        <v>0</v>
      </c>
      <c r="J85"/>
    </row>
    <row r="86" spans="1:10" ht="15" customHeight="1" x14ac:dyDescent="0.15">
      <c r="A86" s="245">
        <v>85</v>
      </c>
      <c r="B86" s="245" t="s">
        <v>221</v>
      </c>
      <c r="C86" s="7">
        <v>4.2965192794799805</v>
      </c>
      <c r="D86" s="8">
        <v>5.2944183349609375E-2</v>
      </c>
      <c r="E86" s="8">
        <v>7.3908485472202301E-2</v>
      </c>
      <c r="F86" s="8">
        <v>34.295886993408203</v>
      </c>
      <c r="G86" s="6">
        <v>7.3800913989543915E-2</v>
      </c>
      <c r="H86" s="6">
        <v>2.155024791136384E-3</v>
      </c>
      <c r="I86">
        <v>0</v>
      </c>
      <c r="J86"/>
    </row>
    <row r="87" spans="1:10" ht="15" customHeight="1" x14ac:dyDescent="0.15">
      <c r="A87" s="246">
        <v>86</v>
      </c>
      <c r="B87" s="246" t="s">
        <v>268</v>
      </c>
      <c r="C87" s="7">
        <v>4.1616086959838867</v>
      </c>
      <c r="D87" s="8">
        <v>6.7745923297479749E-4</v>
      </c>
      <c r="E87" s="8">
        <v>0.21852332353591919</v>
      </c>
      <c r="F87" s="8">
        <v>140.54681396484375</v>
      </c>
      <c r="G87" s="6">
        <v>0</v>
      </c>
      <c r="H87" s="6">
        <v>1.5548081137239933E-3</v>
      </c>
      <c r="I87">
        <v>0</v>
      </c>
      <c r="J87"/>
    </row>
    <row r="88" spans="1:10" ht="15" customHeight="1" x14ac:dyDescent="0.15">
      <c r="A88" s="247">
        <v>87</v>
      </c>
      <c r="B88" s="247" t="s">
        <v>269</v>
      </c>
      <c r="C88" s="7">
        <v>4.1150527000427246</v>
      </c>
      <c r="D88" s="8">
        <v>3.6142411408945918E-4</v>
      </c>
      <c r="E88" s="8">
        <v>0.15400919318199158</v>
      </c>
      <c r="F88" s="8">
        <v>155.96932983398438</v>
      </c>
      <c r="G88" s="6">
        <v>0</v>
      </c>
      <c r="H88" s="6">
        <v>9.8743254784494638E-4</v>
      </c>
      <c r="I88">
        <v>0</v>
      </c>
      <c r="J88"/>
    </row>
    <row r="89" spans="1:10" ht="15" customHeight="1" x14ac:dyDescent="0.15">
      <c r="A89" s="248">
        <v>88</v>
      </c>
      <c r="B89" s="248" t="s">
        <v>222</v>
      </c>
      <c r="C89" s="7">
        <v>4.2539663314819336</v>
      </c>
      <c r="D89" s="8">
        <v>2.3623650486115366E-4</v>
      </c>
      <c r="E89" s="8">
        <v>0.13062684237957001</v>
      </c>
      <c r="F89" s="8">
        <v>137.68734741210938</v>
      </c>
      <c r="G89" s="6">
        <v>0</v>
      </c>
      <c r="H89" s="6">
        <v>9.487207280471921E-4</v>
      </c>
      <c r="I89">
        <v>0</v>
      </c>
      <c r="J89"/>
    </row>
    <row r="90" spans="1:10" ht="15" customHeight="1" x14ac:dyDescent="0.15">
      <c r="A90" s="249">
        <v>89</v>
      </c>
      <c r="B90" s="249" t="s">
        <v>270</v>
      </c>
      <c r="C90" s="7">
        <v>4.0251460075378418</v>
      </c>
      <c r="D90" s="8">
        <v>2.8317572287051007E-5</v>
      </c>
      <c r="E90" s="8">
        <v>0.1065324991941452</v>
      </c>
      <c r="F90" s="8">
        <v>242.84176635742188</v>
      </c>
      <c r="G90" s="6">
        <v>0</v>
      </c>
      <c r="H90" s="6">
        <v>4.3869100045412779E-4</v>
      </c>
      <c r="I90">
        <v>0</v>
      </c>
      <c r="J90"/>
    </row>
    <row r="91" spans="1:10" ht="15" customHeight="1" x14ac:dyDescent="0.15">
      <c r="A91" s="250">
        <v>90</v>
      </c>
      <c r="B91" s="250" t="s">
        <v>223</v>
      </c>
      <c r="C91" s="7">
        <v>4.2381806373596191</v>
      </c>
      <c r="D91" s="8">
        <v>8.1561352999415249E-5</v>
      </c>
      <c r="E91" s="8">
        <v>0.16738259792327881</v>
      </c>
      <c r="F91" s="8">
        <v>195.02702331542969</v>
      </c>
      <c r="G91" s="6">
        <v>0</v>
      </c>
      <c r="H91" s="6">
        <v>8.5825333371758461E-4</v>
      </c>
      <c r="I91">
        <v>0</v>
      </c>
      <c r="J91"/>
    </row>
    <row r="92" spans="1:10" ht="15" customHeight="1" x14ac:dyDescent="0.15">
      <c r="A92" s="251">
        <v>91</v>
      </c>
      <c r="B92" s="251" t="s">
        <v>224</v>
      </c>
      <c r="C92" s="7">
        <v>4.4826335906982422</v>
      </c>
      <c r="D92" s="8">
        <v>7.0714915636926889E-5</v>
      </c>
      <c r="E92" s="8">
        <v>8.92162024974823E-2</v>
      </c>
      <c r="F92" s="8">
        <v>197.555419921875</v>
      </c>
      <c r="G92" s="6">
        <v>0</v>
      </c>
      <c r="H92" s="6">
        <v>4.5160087756812572E-4</v>
      </c>
      <c r="I92">
        <v>0</v>
      </c>
      <c r="J92"/>
    </row>
    <row r="93" spans="1:10" ht="15" customHeight="1" x14ac:dyDescent="0.15">
      <c r="A93" s="252">
        <v>92</v>
      </c>
      <c r="B93" s="252" t="s">
        <v>225</v>
      </c>
      <c r="C93" s="7">
        <v>3.8403770923614502</v>
      </c>
      <c r="D93" s="8">
        <v>2.7972308453172445E-4</v>
      </c>
      <c r="E93" s="8">
        <v>0.17676626145839691</v>
      </c>
      <c r="F93" s="8">
        <v>110.51945495605469</v>
      </c>
      <c r="G93" s="6">
        <v>0</v>
      </c>
      <c r="H93" s="6">
        <v>1.5994131099432707E-3</v>
      </c>
      <c r="I93">
        <v>0</v>
      </c>
      <c r="J93"/>
    </row>
    <row r="94" spans="1:10" ht="15" customHeight="1" x14ac:dyDescent="0.15">
      <c r="A94" s="253">
        <v>93</v>
      </c>
      <c r="B94" s="253" t="s">
        <v>226</v>
      </c>
      <c r="C94" s="7">
        <v>1</v>
      </c>
      <c r="D94" s="8">
        <v>10</v>
      </c>
      <c r="E94" s="9"/>
      <c r="F94" s="9"/>
      <c r="G94" s="6">
        <v>0.24300692975521088</v>
      </c>
      <c r="H94" s="9"/>
      <c r="I94">
        <v>0</v>
      </c>
      <c r="J94"/>
    </row>
    <row r="95" spans="1:10" ht="15" customHeight="1" x14ac:dyDescent="0.15">
      <c r="A95" s="254">
        <v>94</v>
      </c>
      <c r="B95" s="254" t="s">
        <v>123</v>
      </c>
      <c r="C95" s="7">
        <v>1</v>
      </c>
      <c r="D95" s="8">
        <v>5</v>
      </c>
      <c r="E95" s="9"/>
      <c r="F95" s="9"/>
      <c r="G95" s="6">
        <v>0</v>
      </c>
      <c r="H95" s="9"/>
      <c r="I95">
        <v>0</v>
      </c>
      <c r="J95"/>
    </row>
    <row r="96" spans="1:10" ht="15" customHeight="1" x14ac:dyDescent="0.15">
      <c r="A96" s="255">
        <v>95</v>
      </c>
      <c r="B96" s="255" t="s">
        <v>271</v>
      </c>
      <c r="C96" s="7">
        <v>4.3337831497192383</v>
      </c>
      <c r="D96" s="9"/>
      <c r="E96" s="9"/>
      <c r="F96" s="9"/>
      <c r="G96" s="9"/>
      <c r="H96" s="9"/>
      <c r="I96">
        <v>2.0442407131195068</v>
      </c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274</v>
      </c>
      <c r="E1" t="s">
        <v>172</v>
      </c>
      <c r="F1" t="s">
        <v>173</v>
      </c>
      <c r="G1" t="s">
        <v>174</v>
      </c>
      <c r="H1" t="s">
        <v>175</v>
      </c>
      <c r="I1" t="s">
        <v>176</v>
      </c>
      <c r="J1" t="s">
        <v>177</v>
      </c>
      <c r="K1" t="s">
        <v>161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  <c r="Q1" t="s">
        <v>245</v>
      </c>
      <c r="R1" t="s">
        <v>183</v>
      </c>
      <c r="S1" t="s">
        <v>184</v>
      </c>
      <c r="T1" t="s">
        <v>228</v>
      </c>
      <c r="U1" t="s">
        <v>185</v>
      </c>
      <c r="V1" t="s">
        <v>246</v>
      </c>
      <c r="W1" t="s">
        <v>229</v>
      </c>
      <c r="X1" t="s">
        <v>186</v>
      </c>
      <c r="Y1" t="s">
        <v>187</v>
      </c>
      <c r="Z1" t="s">
        <v>188</v>
      </c>
      <c r="AA1" t="s">
        <v>189</v>
      </c>
      <c r="AB1" t="s">
        <v>230</v>
      </c>
      <c r="AC1" t="s">
        <v>231</v>
      </c>
      <c r="AD1" t="s">
        <v>192</v>
      </c>
      <c r="AE1" t="s">
        <v>193</v>
      </c>
      <c r="AF1" t="s">
        <v>247</v>
      </c>
      <c r="AG1" t="s">
        <v>248</v>
      </c>
      <c r="AH1" t="s">
        <v>249</v>
      </c>
      <c r="AI1" t="s">
        <v>250</v>
      </c>
      <c r="AJ1" t="s">
        <v>251</v>
      </c>
      <c r="AK1" t="s">
        <v>252</v>
      </c>
      <c r="AL1" t="s">
        <v>253</v>
      </c>
      <c r="AM1" t="s">
        <v>254</v>
      </c>
      <c r="AN1" t="s">
        <v>255</v>
      </c>
      <c r="AO1" t="s">
        <v>194</v>
      </c>
      <c r="AP1" t="s">
        <v>256</v>
      </c>
      <c r="AQ1" t="s">
        <v>195</v>
      </c>
      <c r="AR1" t="s">
        <v>196</v>
      </c>
      <c r="AS1" t="s">
        <v>197</v>
      </c>
      <c r="AT1" t="s">
        <v>198</v>
      </c>
      <c r="AU1" t="s">
        <v>199</v>
      </c>
      <c r="AV1" t="s">
        <v>232</v>
      </c>
      <c r="AW1" t="s">
        <v>200</v>
      </c>
      <c r="AX1" t="s">
        <v>201</v>
      </c>
      <c r="AY1" t="s">
        <v>202</v>
      </c>
      <c r="AZ1" t="s">
        <v>203</v>
      </c>
      <c r="BA1" t="s">
        <v>204</v>
      </c>
      <c r="BB1" t="s">
        <v>257</v>
      </c>
      <c r="BC1" t="s">
        <v>258</v>
      </c>
      <c r="BD1" t="s">
        <v>259</v>
      </c>
      <c r="BE1" t="s">
        <v>260</v>
      </c>
      <c r="BF1" t="s">
        <v>261</v>
      </c>
      <c r="BG1" t="s">
        <v>233</v>
      </c>
      <c r="BH1" t="s">
        <v>234</v>
      </c>
      <c r="BI1" t="s">
        <v>205</v>
      </c>
      <c r="BJ1" t="s">
        <v>206</v>
      </c>
      <c r="BK1" t="s">
        <v>207</v>
      </c>
      <c r="BL1" t="s">
        <v>262</v>
      </c>
      <c r="BM1" t="s">
        <v>208</v>
      </c>
      <c r="BN1" t="s">
        <v>263</v>
      </c>
      <c r="BO1" t="s">
        <v>209</v>
      </c>
      <c r="BP1" t="s">
        <v>264</v>
      </c>
      <c r="BQ1" t="s">
        <v>210</v>
      </c>
      <c r="BR1" t="s">
        <v>235</v>
      </c>
      <c r="BS1" t="s">
        <v>211</v>
      </c>
      <c r="BT1" t="s">
        <v>265</v>
      </c>
      <c r="BU1" t="s">
        <v>212</v>
      </c>
      <c r="BV1" t="s">
        <v>213</v>
      </c>
      <c r="BW1" t="s">
        <v>236</v>
      </c>
      <c r="BX1" t="s">
        <v>237</v>
      </c>
      <c r="BY1" t="s">
        <v>214</v>
      </c>
      <c r="BZ1" t="s">
        <v>238</v>
      </c>
      <c r="CA1" t="s">
        <v>239</v>
      </c>
      <c r="CB1" t="s">
        <v>240</v>
      </c>
      <c r="CC1" t="s">
        <v>215</v>
      </c>
      <c r="CD1" t="s">
        <v>216</v>
      </c>
      <c r="CE1" t="s">
        <v>217</v>
      </c>
      <c r="CF1" t="s">
        <v>266</v>
      </c>
      <c r="CG1" t="s">
        <v>267</v>
      </c>
      <c r="CH1" t="s">
        <v>218</v>
      </c>
      <c r="CI1" t="s">
        <v>219</v>
      </c>
      <c r="CJ1" t="s">
        <v>220</v>
      </c>
      <c r="CK1" t="s">
        <v>221</v>
      </c>
      <c r="CL1" t="s">
        <v>268</v>
      </c>
      <c r="CM1" t="s">
        <v>269</v>
      </c>
      <c r="CN1" t="s">
        <v>222</v>
      </c>
      <c r="CO1" t="s">
        <v>270</v>
      </c>
      <c r="CP1" t="s">
        <v>223</v>
      </c>
      <c r="CQ1" t="s">
        <v>224</v>
      </c>
      <c r="CR1" t="s">
        <v>225</v>
      </c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172</v>
      </c>
      <c r="B2">
        <v>106.83177947998047</v>
      </c>
      <c r="C2">
        <v>67.43682861328125</v>
      </c>
      <c r="D2"/>
      <c r="E2"/>
      <c r="F2"/>
      <c r="G2" s="22">
        <v>0.55533730983734131</v>
      </c>
      <c r="H2"/>
      <c r="I2" s="316">
        <v>14.634689331054688</v>
      </c>
      <c r="J2" s="281">
        <v>14.866580963134766</v>
      </c>
      <c r="K2" s="266">
        <v>8.6404571533203125</v>
      </c>
      <c r="L2" s="10">
        <v>3.6998461931943893E-2</v>
      </c>
      <c r="M2" s="11">
        <v>0.44902297854423523</v>
      </c>
      <c r="N2"/>
      <c r="O2"/>
      <c r="P2"/>
      <c r="Q2"/>
      <c r="R2"/>
      <c r="S2"/>
      <c r="T2"/>
      <c r="U2"/>
      <c r="V2"/>
      <c r="W2"/>
      <c r="X2" s="10">
        <v>9.4403617084026337E-2</v>
      </c>
      <c r="Y2" s="13">
        <v>0.11746199429035187</v>
      </c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173</v>
      </c>
      <c r="B3">
        <v>2.2815573215484619</v>
      </c>
      <c r="C3">
        <v>0.96895742416381836</v>
      </c>
      <c r="D3"/>
      <c r="E3"/>
      <c r="F3"/>
      <c r="G3"/>
      <c r="H3" s="329">
        <v>0.81607162952423096</v>
      </c>
      <c r="I3"/>
      <c r="J3"/>
      <c r="K3"/>
      <c r="L3"/>
      <c r="M3"/>
      <c r="N3"/>
      <c r="O3" s="15">
        <v>3.5696141421794891E-2</v>
      </c>
      <c r="P3" s="77">
        <v>0.14551073312759399</v>
      </c>
      <c r="Q3" s="16">
        <v>3.0384486541152E-2</v>
      </c>
      <c r="R3" s="22">
        <v>1.4929370023310184E-2</v>
      </c>
      <c r="S3"/>
      <c r="T3" s="257">
        <v>5.3626999258995056E-2</v>
      </c>
      <c r="U3" s="11">
        <v>7.5481841340661049E-3</v>
      </c>
      <c r="V3"/>
      <c r="W3"/>
      <c r="X3" s="10">
        <v>1.3961922377347946E-4</v>
      </c>
      <c r="Y3"/>
      <c r="Z3"/>
      <c r="AA3"/>
      <c r="AB3"/>
      <c r="AC3" s="10">
        <v>3.5064248368144035E-4</v>
      </c>
      <c r="AD3" s="10">
        <v>1.1573532538022846E-4</v>
      </c>
      <c r="AE3"/>
      <c r="AF3" s="10">
        <v>3.6702788202092052E-4</v>
      </c>
      <c r="AG3"/>
      <c r="AH3" s="15">
        <v>3.4936375916004181E-2</v>
      </c>
      <c r="AI3"/>
      <c r="AJ3"/>
      <c r="AK3"/>
      <c r="AL3"/>
      <c r="AM3" s="10">
        <v>5.4343036026693881E-5</v>
      </c>
      <c r="AN3"/>
      <c r="AO3"/>
      <c r="AP3" s="10">
        <v>5.6412329286104068E-5</v>
      </c>
      <c r="AQ3"/>
      <c r="AR3"/>
      <c r="AS3" s="10">
        <v>1.5177241039054934E-5</v>
      </c>
      <c r="AT3" s="10">
        <v>1.1004044208675623E-3</v>
      </c>
      <c r="AU3"/>
      <c r="AV3" s="10">
        <v>2.8317490432527848E-5</v>
      </c>
      <c r="AW3" s="10">
        <v>7.8201096039265394E-4</v>
      </c>
      <c r="AX3"/>
      <c r="AY3"/>
      <c r="AZ3" s="10">
        <v>1.1218615109100938E-3</v>
      </c>
      <c r="BA3"/>
      <c r="BB3"/>
      <c r="BC3"/>
      <c r="BD3"/>
      <c r="BE3"/>
      <c r="BF3"/>
      <c r="BG3" s="10">
        <v>2.6923490804620087E-4</v>
      </c>
      <c r="BH3" s="10">
        <v>4.7118283691816032E-4</v>
      </c>
      <c r="BI3" s="276">
        <v>0.16448776423931122</v>
      </c>
      <c r="BJ3" s="10">
        <v>4.8069743206724524E-4</v>
      </c>
      <c r="BK3"/>
      <c r="BL3"/>
      <c r="BM3"/>
      <c r="BN3"/>
      <c r="BO3" s="10">
        <v>6.9331617851275951E-6</v>
      </c>
      <c r="BP3"/>
      <c r="BQ3" s="10">
        <v>4.6005593503650744E-6</v>
      </c>
      <c r="BR3"/>
      <c r="BS3" s="10">
        <v>7.8575030784122646E-6</v>
      </c>
      <c r="BT3"/>
      <c r="BU3" s="10">
        <v>5.414116894826293E-4</v>
      </c>
      <c r="BV3" s="10">
        <v>3.0021761631360278E-5</v>
      </c>
      <c r="BW3"/>
      <c r="BX3"/>
      <c r="BY3"/>
      <c r="BZ3"/>
      <c r="CA3"/>
      <c r="CB3"/>
      <c r="CC3"/>
      <c r="CD3"/>
      <c r="CE3"/>
      <c r="CF3"/>
      <c r="CG3"/>
      <c r="CH3"/>
      <c r="CI3"/>
      <c r="CJ3" s="13">
        <v>3.4274666104465723E-3</v>
      </c>
      <c r="CK3"/>
      <c r="CL3" s="10">
        <v>3.5958495573140681E-5</v>
      </c>
      <c r="CM3"/>
      <c r="CN3" s="10">
        <v>1.039706376104732E-6</v>
      </c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174</v>
      </c>
      <c r="B4">
        <v>3.8073561191558838</v>
      </c>
      <c r="C4">
        <v>0.39127346873283386</v>
      </c>
      <c r="D4"/>
      <c r="E4"/>
      <c r="F4"/>
      <c r="G4"/>
      <c r="H4" s="68">
        <v>0.35438284277915955</v>
      </c>
      <c r="I4"/>
      <c r="J4"/>
      <c r="K4"/>
      <c r="L4" s="24">
        <v>0.1218436062335968</v>
      </c>
      <c r="M4"/>
      <c r="N4"/>
      <c r="O4" s="22">
        <v>2.2031543776392937E-2</v>
      </c>
      <c r="P4" s="23">
        <v>0.10268113762140274</v>
      </c>
      <c r="Q4" s="13">
        <v>1.0218074545264244E-2</v>
      </c>
      <c r="R4"/>
      <c r="S4" s="20">
        <v>7.6706498861312866E-2</v>
      </c>
      <c r="T4" s="66">
        <v>0.22083848714828491</v>
      </c>
      <c r="U4" s="11">
        <v>1.4991613104939461E-2</v>
      </c>
      <c r="V4" s="65">
        <v>0.15309247374534607</v>
      </c>
      <c r="W4" s="13">
        <v>9.8982658237218857E-3</v>
      </c>
      <c r="X4" s="22">
        <v>2.0109344273805618E-2</v>
      </c>
      <c r="Y4"/>
      <c r="Z4" s="15">
        <v>6.3309207558631897E-2</v>
      </c>
      <c r="AA4" s="10">
        <v>3.6045652814209461E-3</v>
      </c>
      <c r="AB4" s="25">
        <v>9.8874859511852264E-2</v>
      </c>
      <c r="AC4" s="10">
        <v>5.1065691513940692E-4</v>
      </c>
      <c r="AD4" s="16">
        <v>5.0008989870548248E-2</v>
      </c>
      <c r="AE4" s="11">
        <v>1.5292958356440067E-2</v>
      </c>
      <c r="AF4" s="10">
        <v>1.7592193325981498E-3</v>
      </c>
      <c r="AG4" s="10">
        <v>1.8710140138864517E-3</v>
      </c>
      <c r="AH4" s="28">
        <v>0.17841359972953796</v>
      </c>
      <c r="AI4" s="10">
        <v>1.2331899488344789E-3</v>
      </c>
      <c r="AJ4"/>
      <c r="AK4" s="10">
        <v>2.7024548035115004E-4</v>
      </c>
      <c r="AL4" s="10">
        <v>2.3379147751256824E-4</v>
      </c>
      <c r="AM4" s="10">
        <v>6.1044192989356816E-5</v>
      </c>
      <c r="AN4"/>
      <c r="AO4" s="10">
        <v>2.8585363907041028E-5</v>
      </c>
      <c r="AP4" s="10">
        <v>1.4563737204298377E-3</v>
      </c>
      <c r="AQ4" s="13">
        <v>5.1365522667765617E-3</v>
      </c>
      <c r="AR4" s="10">
        <v>2.5602735695429146E-4</v>
      </c>
      <c r="AS4"/>
      <c r="AT4"/>
      <c r="AU4"/>
      <c r="AV4" s="10">
        <v>1.5151304978644475E-5</v>
      </c>
      <c r="AW4" s="10">
        <v>8.7287779024336487E-5</v>
      </c>
      <c r="AX4"/>
      <c r="AY4" s="10">
        <v>1.1018689256161451E-3</v>
      </c>
      <c r="AZ4" s="10">
        <v>2.9717106372117996E-3</v>
      </c>
      <c r="BA4" s="10">
        <v>6.6087121376767755E-4</v>
      </c>
      <c r="BB4" s="10">
        <v>3.7389672797871754E-5</v>
      </c>
      <c r="BC4" s="10">
        <v>1.9952573347836733E-3</v>
      </c>
      <c r="BD4" s="10">
        <v>2.7899220585823059E-3</v>
      </c>
      <c r="BE4" s="10">
        <v>2.0469953306019306E-3</v>
      </c>
      <c r="BF4" s="10">
        <v>1.2540384195744991E-3</v>
      </c>
      <c r="BG4" s="10">
        <v>2.4031042121350765E-3</v>
      </c>
      <c r="BH4" s="10">
        <v>6.4644956728443503E-4</v>
      </c>
      <c r="BI4" s="18">
        <v>6.8814501166343689E-2</v>
      </c>
      <c r="BJ4" s="10">
        <v>1.1024522827938199E-3</v>
      </c>
      <c r="BK4"/>
      <c r="BL4"/>
      <c r="BM4" s="10">
        <v>1.2752655893564224E-3</v>
      </c>
      <c r="BN4"/>
      <c r="BO4" s="10">
        <v>2.656867764017079E-5</v>
      </c>
      <c r="BP4" s="10">
        <v>1.3134810433257371E-4</v>
      </c>
      <c r="BQ4"/>
      <c r="BR4"/>
      <c r="BS4"/>
      <c r="BT4" s="10">
        <v>2.9666387126781046E-4</v>
      </c>
      <c r="BU4" s="10">
        <v>2.7242410578764975E-4</v>
      </c>
      <c r="BV4" s="10">
        <v>7.4052263516932726E-4</v>
      </c>
      <c r="BW4"/>
      <c r="BX4"/>
      <c r="BY4"/>
      <c r="BZ4"/>
      <c r="CA4" s="10">
        <v>3.0823066481389105E-5</v>
      </c>
      <c r="CB4"/>
      <c r="CC4"/>
      <c r="CD4"/>
      <c r="CE4"/>
      <c r="CF4"/>
      <c r="CG4"/>
      <c r="CH4"/>
      <c r="CI4"/>
      <c r="CJ4" s="311">
        <v>1.7982670068740845</v>
      </c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175</v>
      </c>
      <c r="B5">
        <v>1.7040609121322632</v>
      </c>
      <c r="C5">
        <v>0.77322185039520264</v>
      </c>
      <c r="D5"/>
      <c r="E5"/>
      <c r="F5"/>
      <c r="G5"/>
      <c r="H5"/>
      <c r="I5"/>
      <c r="J5"/>
      <c r="K5"/>
      <c r="L5"/>
      <c r="M5"/>
      <c r="N5"/>
      <c r="O5" s="16">
        <v>2.3275822401046753E-2</v>
      </c>
      <c r="P5" s="332">
        <v>0.39490124583244324</v>
      </c>
      <c r="Q5" s="25">
        <v>4.3728560209274292E-2</v>
      </c>
      <c r="R5" s="11">
        <v>6.2161157839000225E-3</v>
      </c>
      <c r="S5"/>
      <c r="T5" s="288">
        <v>0.18737727403640747</v>
      </c>
      <c r="U5" s="22">
        <v>1.0618042200803757E-2</v>
      </c>
      <c r="V5" s="11">
        <v>5.9917275793850422E-3</v>
      </c>
      <c r="W5"/>
      <c r="X5"/>
      <c r="Y5"/>
      <c r="Z5" s="13">
        <v>2.4380988907068968E-3</v>
      </c>
      <c r="AA5" s="22">
        <v>8.9604593813419342E-3</v>
      </c>
      <c r="AB5"/>
      <c r="AC5" s="11">
        <v>8.0315135419368744E-3</v>
      </c>
      <c r="AD5" s="20">
        <v>3.220725804567337E-2</v>
      </c>
      <c r="AE5"/>
      <c r="AF5" s="13">
        <v>3.3028372563421726E-3</v>
      </c>
      <c r="AG5" s="13">
        <v>2.6893159374594688E-3</v>
      </c>
      <c r="AH5" s="257">
        <v>4.0982406586408615E-2</v>
      </c>
      <c r="AI5"/>
      <c r="AJ5"/>
      <c r="AK5" s="10">
        <v>2.9731623362749815E-4</v>
      </c>
      <c r="AL5" s="10">
        <v>3.0913899536244571E-4</v>
      </c>
      <c r="AM5" s="10">
        <v>7.0767092984169722E-4</v>
      </c>
      <c r="AN5" s="10">
        <v>1.388022064929828E-4</v>
      </c>
      <c r="AO5" s="10">
        <v>1.0312248487025499E-3</v>
      </c>
      <c r="AP5" s="11">
        <v>5.2336333319544792E-3</v>
      </c>
      <c r="AQ5"/>
      <c r="AR5" s="13">
        <v>1.9504855154082179E-3</v>
      </c>
      <c r="AS5" s="10">
        <v>2.3777798924129456E-4</v>
      </c>
      <c r="AT5" s="13">
        <v>3.6775462795048952E-3</v>
      </c>
      <c r="AU5" s="10">
        <v>1.5895249089226127E-3</v>
      </c>
      <c r="AV5" s="10">
        <v>7.1318325353786349E-4</v>
      </c>
      <c r="AW5" s="13">
        <v>4.2758979834616184E-3</v>
      </c>
      <c r="AX5"/>
      <c r="AY5"/>
      <c r="AZ5" s="13">
        <v>3.149217227473855E-3</v>
      </c>
      <c r="BA5" s="11">
        <v>5.9850704856216908E-3</v>
      </c>
      <c r="BB5"/>
      <c r="BC5" s="10">
        <v>1.0993642354151234E-4</v>
      </c>
      <c r="BD5"/>
      <c r="BE5" s="10">
        <v>4.8510817578062415E-5</v>
      </c>
      <c r="BF5" s="10">
        <v>4.5014574425294995E-4</v>
      </c>
      <c r="BG5" s="10">
        <v>8.1417191540822387E-4</v>
      </c>
      <c r="BH5" s="13">
        <v>1.7320479964837432E-3</v>
      </c>
      <c r="BI5" s="69">
        <v>8.6219392716884613E-2</v>
      </c>
      <c r="BJ5" s="11">
        <v>7.4105840176343918E-3</v>
      </c>
      <c r="BK5" s="10">
        <v>2.4165530703612603E-5</v>
      </c>
      <c r="BL5"/>
      <c r="BM5" s="10">
        <v>8.1450089055579156E-5</v>
      </c>
      <c r="BN5"/>
      <c r="BO5"/>
      <c r="BP5"/>
      <c r="BQ5" s="10">
        <v>3.7586742109851912E-5</v>
      </c>
      <c r="BR5"/>
      <c r="BS5"/>
      <c r="BT5"/>
      <c r="BU5" s="10">
        <v>3.9720078348182142E-5</v>
      </c>
      <c r="BV5" s="10">
        <v>3.5005719837499782E-5</v>
      </c>
      <c r="BW5"/>
      <c r="BX5"/>
      <c r="BY5"/>
      <c r="BZ5"/>
      <c r="CA5" s="10">
        <v>1.0640820846674615E-6</v>
      </c>
      <c r="CB5"/>
      <c r="CC5"/>
      <c r="CD5" s="10">
        <v>6.5677595557644963E-4</v>
      </c>
      <c r="CE5" s="10">
        <v>1.9508911645971239E-4</v>
      </c>
      <c r="CF5"/>
      <c r="CG5" s="13">
        <v>2.6977588422596455E-3</v>
      </c>
      <c r="CH5"/>
      <c r="CI5"/>
      <c r="CJ5" s="18">
        <v>3.0268572270870209E-2</v>
      </c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176</v>
      </c>
      <c r="B6">
        <v>84.796234130859375</v>
      </c>
      <c r="C6">
        <v>32.158206939697266</v>
      </c>
      <c r="D6"/>
      <c r="E6"/>
      <c r="F6"/>
      <c r="G6"/>
      <c r="H6"/>
      <c r="I6"/>
      <c r="J6" s="333">
        <v>43.805210113525391</v>
      </c>
      <c r="K6" s="108">
        <v>5.6377091407775879</v>
      </c>
      <c r="L6" s="22">
        <v>0.46383696794509888</v>
      </c>
      <c r="M6" s="142">
        <v>2.5711324214935303</v>
      </c>
      <c r="N6" s="13">
        <v>0.10359834134578705</v>
      </c>
      <c r="O6"/>
      <c r="P6"/>
      <c r="Q6"/>
      <c r="R6"/>
      <c r="S6"/>
      <c r="T6"/>
      <c r="U6"/>
      <c r="V6"/>
      <c r="W6"/>
      <c r="X6" s="10">
        <v>5.6539047509431839E-2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177</v>
      </c>
      <c r="B7">
        <v>14.126697540283203</v>
      </c>
      <c r="C7">
        <v>6.9080219268798828</v>
      </c>
      <c r="D7"/>
      <c r="E7"/>
      <c r="F7"/>
      <c r="G7"/>
      <c r="H7"/>
      <c r="I7"/>
      <c r="J7"/>
      <c r="K7" s="285">
        <v>2.1838321685791016</v>
      </c>
      <c r="L7" s="317">
        <v>2.3777964115142822</v>
      </c>
      <c r="M7"/>
      <c r="N7" s="257">
        <v>0.3385869562625885</v>
      </c>
      <c r="O7" s="22">
        <v>8.6640521883964539E-2</v>
      </c>
      <c r="P7"/>
      <c r="Q7"/>
      <c r="R7"/>
      <c r="S7" s="256">
        <v>0.81698775291442871</v>
      </c>
      <c r="T7"/>
      <c r="U7" s="13">
        <v>1.7107034102082253E-2</v>
      </c>
      <c r="V7" s="11">
        <v>4.4861555099487305E-2</v>
      </c>
      <c r="W7" s="13">
        <v>1.5897596254944801E-2</v>
      </c>
      <c r="X7" s="24">
        <v>0.4531359076499939</v>
      </c>
      <c r="Y7" s="16">
        <v>0.20484617352485657</v>
      </c>
      <c r="Z7" s="16">
        <v>0.18894821405410767</v>
      </c>
      <c r="AA7" s="11">
        <v>4.4826701283454895E-2</v>
      </c>
      <c r="AB7" s="13">
        <v>4.0011946111917496E-2</v>
      </c>
      <c r="AC7" s="10">
        <v>8.1556331133469939E-4</v>
      </c>
      <c r="AD7" s="13">
        <v>3.6180749535560608E-2</v>
      </c>
      <c r="AE7" s="13">
        <v>1.6518929973244667E-2</v>
      </c>
      <c r="AF7" s="14">
        <v>0.13173480331897736</v>
      </c>
      <c r="AG7" s="22">
        <v>9.1558985412120819E-2</v>
      </c>
      <c r="AH7"/>
      <c r="AI7" s="22">
        <v>8.7912172079086304E-2</v>
      </c>
      <c r="AJ7" s="10">
        <v>1.0592677630484104E-2</v>
      </c>
      <c r="AK7"/>
      <c r="AL7"/>
      <c r="AM7"/>
      <c r="AN7"/>
      <c r="AO7" s="10">
        <v>1.1051061301259324E-4</v>
      </c>
      <c r="AP7" s="10">
        <v>3.9352369494736195E-3</v>
      </c>
      <c r="AQ7" s="10">
        <v>4.3276706710457802E-3</v>
      </c>
      <c r="AR7"/>
      <c r="AS7"/>
      <c r="AT7"/>
      <c r="AU7"/>
      <c r="AV7"/>
      <c r="AW7"/>
      <c r="AX7"/>
      <c r="AY7" s="10">
        <v>2.6446671690791845E-3</v>
      </c>
      <c r="AZ7"/>
      <c r="BA7"/>
      <c r="BB7"/>
      <c r="BC7"/>
      <c r="BD7" s="10">
        <v>1.1406108387745917E-4</v>
      </c>
      <c r="BE7" s="10">
        <v>7.1438174927607179E-5</v>
      </c>
      <c r="BF7"/>
      <c r="BG7"/>
      <c r="BH7"/>
      <c r="BI7" s="10">
        <v>2.2833182010799646E-3</v>
      </c>
      <c r="BJ7"/>
      <c r="BK7"/>
      <c r="BL7"/>
      <c r="BM7" s="13">
        <v>1.5415101312100887E-2</v>
      </c>
      <c r="BN7"/>
      <c r="BO7" s="10">
        <v>6.2867579799785744E-6</v>
      </c>
      <c r="BP7"/>
      <c r="BQ7"/>
      <c r="BR7"/>
      <c r="BS7"/>
      <c r="BT7" s="10">
        <v>1.5862600412219763E-4</v>
      </c>
      <c r="BU7"/>
      <c r="BV7" s="10">
        <v>5.7222496252506971E-5</v>
      </c>
      <c r="BW7"/>
      <c r="BX7"/>
      <c r="BY7"/>
      <c r="BZ7"/>
      <c r="CA7" s="10">
        <v>4.187416925560683E-5</v>
      </c>
      <c r="CB7" s="10">
        <v>7.1687850868329406E-4</v>
      </c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161</v>
      </c>
      <c r="B8">
        <v>10.614511489868164</v>
      </c>
      <c r="C8">
        <v>1.1007955074310303</v>
      </c>
      <c r="D8"/>
      <c r="E8"/>
      <c r="F8"/>
      <c r="G8"/>
      <c r="H8"/>
      <c r="I8"/>
      <c r="J8"/>
      <c r="K8"/>
      <c r="L8" s="320">
        <v>1.6946845054626465</v>
      </c>
      <c r="M8"/>
      <c r="N8" s="271">
        <v>0.48393672704696655</v>
      </c>
      <c r="O8" s="17">
        <v>0.12538601458072662</v>
      </c>
      <c r="P8"/>
      <c r="Q8"/>
      <c r="R8"/>
      <c r="S8" s="141">
        <v>1.0655936002731323</v>
      </c>
      <c r="T8"/>
      <c r="U8"/>
      <c r="V8" s="28">
        <v>0.50833231210708618</v>
      </c>
      <c r="W8" s="15">
        <v>0.16908656060695648</v>
      </c>
      <c r="X8" s="66">
        <v>0.61514896154403687</v>
      </c>
      <c r="Y8" s="143">
        <v>0.6548122763633728</v>
      </c>
      <c r="Z8" s="280">
        <v>0.56479901075363159</v>
      </c>
      <c r="AA8" s="18">
        <v>0.19446523487567902</v>
      </c>
      <c r="AB8" s="11">
        <v>4.4612407684326172E-2</v>
      </c>
      <c r="AC8" s="13">
        <v>1.5313459560275078E-2</v>
      </c>
      <c r="AD8" s="11">
        <v>3.4065105020999908E-2</v>
      </c>
      <c r="AE8" s="20">
        <v>0.20023453235626221</v>
      </c>
      <c r="AF8" s="16">
        <v>0.14836177229881287</v>
      </c>
      <c r="AG8" s="75">
        <v>0.82395243644714355</v>
      </c>
      <c r="AH8"/>
      <c r="AI8" s="13">
        <v>1.2699976563453674E-2</v>
      </c>
      <c r="AJ8" s="11">
        <v>3.2340157777070999E-2</v>
      </c>
      <c r="AK8" s="14">
        <v>9.9994495511054993E-2</v>
      </c>
      <c r="AL8" s="10">
        <v>6.2906923703849316E-3</v>
      </c>
      <c r="AM8" s="10">
        <v>1.6493578441441059E-3</v>
      </c>
      <c r="AN8"/>
      <c r="AO8" s="10">
        <v>5.0781196914613247E-3</v>
      </c>
      <c r="AP8" s="21">
        <v>8.8366322219371796E-2</v>
      </c>
      <c r="AQ8" s="22">
        <v>5.219615250825882E-2</v>
      </c>
      <c r="AR8" s="10">
        <v>6.5387139329686761E-5</v>
      </c>
      <c r="AS8"/>
      <c r="AT8" s="283">
        <v>1.2540056705474854</v>
      </c>
      <c r="AU8" s="10">
        <v>1.2722203973680735E-4</v>
      </c>
      <c r="AV8" s="10">
        <v>5.9093697927892208E-3</v>
      </c>
      <c r="AW8" s="13">
        <v>1.414190512150526E-2</v>
      </c>
      <c r="AX8" s="10">
        <v>2.3690242960583419E-4</v>
      </c>
      <c r="AY8" s="13">
        <v>1.1545164510607719E-2</v>
      </c>
      <c r="AZ8"/>
      <c r="BA8" s="22">
        <v>6.3582859933376312E-2</v>
      </c>
      <c r="BB8" s="13">
        <v>1.3570534996688366E-2</v>
      </c>
      <c r="BC8" s="13">
        <v>2.4440459907054901E-2</v>
      </c>
      <c r="BD8" s="13">
        <v>1.8798794597387314E-2</v>
      </c>
      <c r="BE8" s="11">
        <v>4.1714206337928772E-2</v>
      </c>
      <c r="BF8" s="11">
        <v>3.3115431666374207E-2</v>
      </c>
      <c r="BG8"/>
      <c r="BH8"/>
      <c r="BI8" s="10">
        <v>5.820895079523325E-3</v>
      </c>
      <c r="BJ8" s="10">
        <v>5.261491984128952E-3</v>
      </c>
      <c r="BK8" s="10">
        <v>1.1627655476331711E-4</v>
      </c>
      <c r="BL8" s="10">
        <v>6.2121351948007941E-4</v>
      </c>
      <c r="BM8" s="13">
        <v>1.4680618420243263E-2</v>
      </c>
      <c r="BN8" s="10">
        <v>7.1339751593768597E-4</v>
      </c>
      <c r="BO8" s="10">
        <v>2.5650823954492807E-4</v>
      </c>
      <c r="BP8"/>
      <c r="BQ8" s="10">
        <v>1.4421147352550179E-4</v>
      </c>
      <c r="BR8" s="10">
        <v>3.2376752642448992E-5</v>
      </c>
      <c r="BS8"/>
      <c r="BT8" s="10">
        <v>1.2331778998486698E-4</v>
      </c>
      <c r="BU8" s="10">
        <v>5.9704515151679516E-3</v>
      </c>
      <c r="BV8" s="10">
        <v>5.714761558920145E-3</v>
      </c>
      <c r="BW8"/>
      <c r="BX8"/>
      <c r="BY8"/>
      <c r="BZ8" s="22">
        <v>6.4670875668525696E-2</v>
      </c>
      <c r="CA8" s="10">
        <v>2.8345708269625902E-3</v>
      </c>
      <c r="CB8" s="21">
        <v>7.6442912220954895E-2</v>
      </c>
      <c r="CC8"/>
      <c r="CD8"/>
      <c r="CE8"/>
      <c r="CF8"/>
      <c r="CG8" s="10">
        <v>5.0091691082343459E-4</v>
      </c>
      <c r="CH8"/>
      <c r="CI8" s="20">
        <v>0.20702454447746277</v>
      </c>
      <c r="CJ8" s="10">
        <v>2.0053498701599892E-6</v>
      </c>
      <c r="CK8"/>
      <c r="CL8"/>
      <c r="CM8"/>
      <c r="CN8"/>
      <c r="CO8" s="10">
        <v>1.3380155724007636E-4</v>
      </c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178</v>
      </c>
      <c r="B9">
        <v>2.4824163913726807</v>
      </c>
      <c r="C9">
        <v>0.26240935921669006</v>
      </c>
      <c r="D9"/>
      <c r="E9"/>
      <c r="F9"/>
      <c r="G9"/>
      <c r="H9"/>
      <c r="I9"/>
      <c r="J9"/>
      <c r="K9"/>
      <c r="L9"/>
      <c r="M9"/>
      <c r="N9" s="14">
        <v>2.4662084877490997E-2</v>
      </c>
      <c r="O9" s="16">
        <v>3.2196119427680969E-2</v>
      </c>
      <c r="P9"/>
      <c r="Q9"/>
      <c r="R9"/>
      <c r="S9" s="143">
        <v>0.14896611869335175</v>
      </c>
      <c r="T9"/>
      <c r="U9"/>
      <c r="V9" s="268">
        <v>0.37998509407043457</v>
      </c>
      <c r="W9" s="331">
        <v>1.0155538320541382</v>
      </c>
      <c r="X9" s="11">
        <v>7.4412557296454906E-3</v>
      </c>
      <c r="Y9" s="14">
        <v>2.4235300719738007E-2</v>
      </c>
      <c r="Z9" s="256">
        <v>0.13952206075191498</v>
      </c>
      <c r="AA9" s="22">
        <v>1.4942721463739872E-2</v>
      </c>
      <c r="AB9" s="14">
        <v>2.4949682876467705E-2</v>
      </c>
      <c r="AC9" s="14">
        <v>2.6489581912755966E-2</v>
      </c>
      <c r="AD9" s="257">
        <v>5.7616695761680603E-2</v>
      </c>
      <c r="AE9"/>
      <c r="AF9" s="13">
        <v>4.8045609146356583E-3</v>
      </c>
      <c r="AG9" s="14">
        <v>2.5931600481271744E-2</v>
      </c>
      <c r="AH9"/>
      <c r="AI9" s="13">
        <v>6.6991648636758327E-3</v>
      </c>
      <c r="AJ9" s="17">
        <v>3.0794905498623848E-2</v>
      </c>
      <c r="AK9" s="11">
        <v>1.0932347737252712E-2</v>
      </c>
      <c r="AL9" s="13">
        <v>6.4074015244841576E-3</v>
      </c>
      <c r="AM9" s="13">
        <v>2.9620563145726919E-3</v>
      </c>
      <c r="AN9"/>
      <c r="AO9" s="21">
        <v>2.1851193159818649E-2</v>
      </c>
      <c r="AP9" s="13">
        <v>6.472619716078043E-3</v>
      </c>
      <c r="AQ9" s="13">
        <v>6.4663751982152462E-3</v>
      </c>
      <c r="AR9"/>
      <c r="AS9"/>
      <c r="AT9" s="257">
        <v>6.023547425866127E-2</v>
      </c>
      <c r="AU9" s="10">
        <v>1.0489125270396471E-3</v>
      </c>
      <c r="AV9" s="10">
        <v>2.6246719062328339E-4</v>
      </c>
      <c r="AW9" s="13">
        <v>5.1700887270271778E-3</v>
      </c>
      <c r="AX9" s="10">
        <v>3.7718217936344445E-4</v>
      </c>
      <c r="AY9" s="14">
        <v>2.6614870876073837E-2</v>
      </c>
      <c r="AZ9"/>
      <c r="BA9" s="13">
        <v>5.8994968421757221E-3</v>
      </c>
      <c r="BB9" s="10">
        <v>2.4622265482321382E-4</v>
      </c>
      <c r="BC9" s="13">
        <v>4.335133358836174E-3</v>
      </c>
      <c r="BD9" s="17">
        <v>2.7215208858251572E-2</v>
      </c>
      <c r="BE9" s="21">
        <v>1.9522098824381828E-2</v>
      </c>
      <c r="BF9" s="13">
        <v>5.6183026172220707E-3</v>
      </c>
      <c r="BG9" s="10">
        <v>3.2299943268299103E-4</v>
      </c>
      <c r="BH9"/>
      <c r="BI9" s="10">
        <v>1.9392685499042273E-3</v>
      </c>
      <c r="BJ9" s="10">
        <v>1.4552746433764696E-3</v>
      </c>
      <c r="BK9"/>
      <c r="BL9"/>
      <c r="BM9" s="10">
        <v>2.2927060490474105E-4</v>
      </c>
      <c r="BN9"/>
      <c r="BO9"/>
      <c r="BP9"/>
      <c r="BQ9"/>
      <c r="BR9"/>
      <c r="BS9" s="10">
        <v>9.6203657449223101E-5</v>
      </c>
      <c r="BT9"/>
      <c r="BU9"/>
      <c r="BV9"/>
      <c r="BW9"/>
      <c r="BX9"/>
      <c r="BY9"/>
      <c r="BZ9"/>
      <c r="CA9" s="10">
        <v>3.3422635169699788E-5</v>
      </c>
      <c r="CB9" s="13">
        <v>2.4492456577718258E-3</v>
      </c>
      <c r="CC9"/>
      <c r="CD9"/>
      <c r="CE9"/>
      <c r="CF9"/>
      <c r="CG9" s="13">
        <v>2.9428445268422365E-3</v>
      </c>
      <c r="CH9"/>
      <c r="CI9"/>
      <c r="CJ9" s="14">
        <v>2.2981531918048859E-2</v>
      </c>
      <c r="CK9" s="11">
        <v>1.0985562577843666E-2</v>
      </c>
      <c r="CL9"/>
      <c r="CM9"/>
      <c r="CN9" s="10">
        <v>7.657676178496331E-5</v>
      </c>
      <c r="CO9" s="10">
        <v>6.7042834416497499E-5</v>
      </c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179</v>
      </c>
      <c r="B10">
        <v>8.4310760498046875</v>
      </c>
      <c r="C10">
        <v>3.8740007877349854</v>
      </c>
      <c r="D10"/>
      <c r="E10"/>
      <c r="F10"/>
      <c r="G10"/>
      <c r="H10"/>
      <c r="I10"/>
      <c r="J10"/>
      <c r="K10"/>
      <c r="L10" s="259">
        <v>1.6486411094665527</v>
      </c>
      <c r="M10"/>
      <c r="N10" s="24">
        <v>0.26686364412307739</v>
      </c>
      <c r="O10"/>
      <c r="P10"/>
      <c r="Q10"/>
      <c r="R10"/>
      <c r="S10" s="284">
        <v>0.63201284408569336</v>
      </c>
      <c r="T10"/>
      <c r="U10"/>
      <c r="V10" s="266">
        <v>0.68386417627334595</v>
      </c>
      <c r="W10" s="11">
        <v>2.5556981563568115E-2</v>
      </c>
      <c r="X10" s="21">
        <v>6.6244199872016907E-2</v>
      </c>
      <c r="Y10" s="296">
        <v>0.83136594295501709</v>
      </c>
      <c r="Z10" s="13">
        <v>1.3043290935456753E-2</v>
      </c>
      <c r="AA10" s="11">
        <v>3.8220029324293137E-2</v>
      </c>
      <c r="AB10"/>
      <c r="AC10"/>
      <c r="AD10" s="21">
        <v>6.9377526640892029E-2</v>
      </c>
      <c r="AE10"/>
      <c r="AF10" s="10">
        <v>1.1408793507143855E-3</v>
      </c>
      <c r="AG10"/>
      <c r="AH10"/>
      <c r="AI10"/>
      <c r="AJ10" s="13">
        <v>2.1051175892353058E-2</v>
      </c>
      <c r="AK10" s="22">
        <v>5.4983224719762802E-2</v>
      </c>
      <c r="AL10" s="10">
        <v>2.7262025978416204E-3</v>
      </c>
      <c r="AM10" s="13">
        <v>1.3219475746154785E-2</v>
      </c>
      <c r="AN10"/>
      <c r="AO10"/>
      <c r="AP10"/>
      <c r="AQ10"/>
      <c r="AR10"/>
      <c r="AS10"/>
      <c r="AT10"/>
      <c r="AU10"/>
      <c r="AV10"/>
      <c r="AW10" s="22">
        <v>5.0803754478693008E-2</v>
      </c>
      <c r="AX10"/>
      <c r="AY10" s="10">
        <v>3.8363379426300526E-3</v>
      </c>
      <c r="AZ10"/>
      <c r="BA10"/>
      <c r="BB10" s="10">
        <v>1.2315585627220571E-4</v>
      </c>
      <c r="BC10"/>
      <c r="BD10" s="16">
        <v>0.11582256853580475</v>
      </c>
      <c r="BE10"/>
      <c r="BF10"/>
      <c r="BG10" s="10">
        <v>3.3171763061545789E-4</v>
      </c>
      <c r="BH10" s="10">
        <v>7.6268578413873911E-4</v>
      </c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 s="10">
        <v>2.2662345145363361E-4</v>
      </c>
      <c r="CB10"/>
      <c r="CC10"/>
      <c r="CD10"/>
      <c r="CE10"/>
      <c r="CF10" s="13">
        <v>1.0907894000411034E-2</v>
      </c>
      <c r="CG10" s="10">
        <v>5.9497840702533722E-3</v>
      </c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180</v>
      </c>
      <c r="B11">
        <v>4.0885477066040039</v>
      </c>
      <c r="C11">
        <v>1.1921231746673584</v>
      </c>
      <c r="D11"/>
      <c r="E11"/>
      <c r="F11"/>
      <c r="G11"/>
      <c r="H11"/>
      <c r="I11"/>
      <c r="J11"/>
      <c r="K11"/>
      <c r="L11" s="328">
        <v>1.0896244049072266</v>
      </c>
      <c r="M11"/>
      <c r="N11"/>
      <c r="O11"/>
      <c r="P11"/>
      <c r="Q11"/>
      <c r="R11"/>
      <c r="S11" s="306">
        <v>0.5896570086479187</v>
      </c>
      <c r="T11"/>
      <c r="U11"/>
      <c r="V11"/>
      <c r="W11" s="291">
        <v>0.70972311496734619</v>
      </c>
      <c r="X11"/>
      <c r="Y11"/>
      <c r="Z11"/>
      <c r="AA11" s="17">
        <v>4.8666298389434814E-2</v>
      </c>
      <c r="AB11"/>
      <c r="AC11"/>
      <c r="AD11" s="23">
        <v>0.11227244883775711</v>
      </c>
      <c r="AE11"/>
      <c r="AF11"/>
      <c r="AG11"/>
      <c r="AH11"/>
      <c r="AI11"/>
      <c r="AJ11"/>
      <c r="AK11" s="22">
        <v>2.1425686776638031E-2</v>
      </c>
      <c r="AL11" s="13">
        <v>1.1870024725794792E-2</v>
      </c>
      <c r="AM11" s="11">
        <v>1.8553238362073898E-2</v>
      </c>
      <c r="AN11"/>
      <c r="AO11"/>
      <c r="AP11"/>
      <c r="AQ11"/>
      <c r="AR11"/>
      <c r="AS11"/>
      <c r="AT11"/>
      <c r="AU11"/>
      <c r="AV11"/>
      <c r="AW11" s="18">
        <v>7.4700839817523956E-2</v>
      </c>
      <c r="AX11"/>
      <c r="AY11" s="10">
        <v>2.4541278835386038E-3</v>
      </c>
      <c r="AZ11"/>
      <c r="BA11" s="142">
        <v>0.12271945178508759</v>
      </c>
      <c r="BB11"/>
      <c r="BC11"/>
      <c r="BD11" s="21">
        <v>3.2678555697202682E-2</v>
      </c>
      <c r="BE11"/>
      <c r="BF11" s="10">
        <v>2.4570135865360498E-3</v>
      </c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 s="10">
        <v>2.4236659519374371E-3</v>
      </c>
      <c r="BV11" s="16">
        <v>5.7198725640773773E-2</v>
      </c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181</v>
      </c>
      <c r="B12">
        <v>2.1428701877593994</v>
      </c>
      <c r="C12">
        <v>0.67971396446228027</v>
      </c>
      <c r="D12" s="292">
        <v>0.14826861023902893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 s="108">
        <v>0.14142885804176331</v>
      </c>
      <c r="U12" s="11">
        <v>9.7795641049742699E-3</v>
      </c>
      <c r="V12" s="64">
        <v>4.4977467507123947E-2</v>
      </c>
      <c r="W12"/>
      <c r="X12"/>
      <c r="Y12"/>
      <c r="Z12"/>
      <c r="AA12"/>
      <c r="AB12"/>
      <c r="AC12"/>
      <c r="AD12"/>
      <c r="AE12"/>
      <c r="AF12" s="280">
        <v>0.11440575122833252</v>
      </c>
      <c r="AG12"/>
      <c r="AH12"/>
      <c r="AI12"/>
      <c r="AJ12"/>
      <c r="AK12" s="20">
        <v>4.3957244604825974E-2</v>
      </c>
      <c r="AL12"/>
      <c r="AM12" s="10">
        <v>3.0395897920243442E-4</v>
      </c>
      <c r="AN12" s="13">
        <v>2.6585692539811134E-3</v>
      </c>
      <c r="AO12" s="26">
        <v>0.16550709307193756</v>
      </c>
      <c r="AP12" s="77">
        <v>0.14069937169551849</v>
      </c>
      <c r="AQ12"/>
      <c r="AR12" s="13">
        <v>3.3045525196939707E-3</v>
      </c>
      <c r="AS12" s="11">
        <v>7.8439852222800255E-3</v>
      </c>
      <c r="AT12" s="288">
        <v>0.23575635254383087</v>
      </c>
      <c r="AU12" s="11">
        <v>7.2327149100601673E-3</v>
      </c>
      <c r="AV12" s="64">
        <v>4.4536083936691284E-2</v>
      </c>
      <c r="AW12" s="25">
        <v>5.473998561501503E-2</v>
      </c>
      <c r="AX12"/>
      <c r="AY12"/>
      <c r="AZ12" s="13">
        <v>4.3402817100286484E-3</v>
      </c>
      <c r="BA12" s="142">
        <v>6.1769083142280579E-2</v>
      </c>
      <c r="BB12" s="11">
        <v>7.2753825224936008E-3</v>
      </c>
      <c r="BC12" s="13">
        <v>5.7028704322874546E-3</v>
      </c>
      <c r="BD12" s="10">
        <v>5.8635516325011849E-4</v>
      </c>
      <c r="BE12"/>
      <c r="BF12" s="257">
        <v>5.1644060760736465E-2</v>
      </c>
      <c r="BG12" s="17">
        <v>2.3213654756546021E-2</v>
      </c>
      <c r="BH12" s="10">
        <v>1.5112304827198386E-3</v>
      </c>
      <c r="BI12" s="256">
        <v>0.12067261338233948</v>
      </c>
      <c r="BJ12" s="21">
        <v>1.7034715041518211E-2</v>
      </c>
      <c r="BK12"/>
      <c r="BL12"/>
      <c r="BM12" s="13">
        <v>3.9458582177758217E-3</v>
      </c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 s="10">
        <v>6.0322403442114592E-5</v>
      </c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182</v>
      </c>
      <c r="B13">
        <v>2.7337419986724854</v>
      </c>
      <c r="C13">
        <v>0.94288867712020874</v>
      </c>
      <c r="D13" s="10">
        <v>7.9386780271306634E-5</v>
      </c>
      <c r="E13"/>
      <c r="F13"/>
      <c r="G13"/>
      <c r="H13"/>
      <c r="I13"/>
      <c r="J13"/>
      <c r="K13"/>
      <c r="L13"/>
      <c r="M13"/>
      <c r="N13"/>
      <c r="O13"/>
      <c r="P13"/>
      <c r="Q13" s="325">
        <v>0.44323942065238953</v>
      </c>
      <c r="R13"/>
      <c r="S13"/>
      <c r="T13" s="261">
        <v>0.24311067163944244</v>
      </c>
      <c r="U13" s="13">
        <v>3.3057248219847679E-3</v>
      </c>
      <c r="V13" s="20">
        <v>5.1805529743432999E-2</v>
      </c>
      <c r="W13"/>
      <c r="X13"/>
      <c r="Y13"/>
      <c r="Z13"/>
      <c r="AA13" s="13">
        <v>5.7947142049670219E-3</v>
      </c>
      <c r="AB13"/>
      <c r="AC13"/>
      <c r="AD13"/>
      <c r="AE13"/>
      <c r="AF13" s="256">
        <v>0.15728910267353058</v>
      </c>
      <c r="AG13" s="19">
        <v>0.11878979951143265</v>
      </c>
      <c r="AH13" s="25">
        <v>7.0278465747833252E-2</v>
      </c>
      <c r="AI13"/>
      <c r="AJ13"/>
      <c r="AK13"/>
      <c r="AL13" s="13">
        <v>6.6208099015057087E-3</v>
      </c>
      <c r="AM13" s="21">
        <v>2.2450847551226616E-2</v>
      </c>
      <c r="AN13" s="10">
        <v>1.1260658357059583E-4</v>
      </c>
      <c r="AO13" s="10">
        <v>1.4626103220507503E-3</v>
      </c>
      <c r="AP13" s="11">
        <v>1.1606330052018166E-2</v>
      </c>
      <c r="AQ13"/>
      <c r="AR13" s="17">
        <v>3.1861048191785812E-2</v>
      </c>
      <c r="AS13" s="13">
        <v>4.10860450938344E-3</v>
      </c>
      <c r="AT13" s="141">
        <v>0.27127015590667725</v>
      </c>
      <c r="AU13" s="13">
        <v>4.2537539266049862E-3</v>
      </c>
      <c r="AV13" s="10">
        <v>4.6405562898144126E-4</v>
      </c>
      <c r="AW13" s="13">
        <v>3.4163938835263252E-3</v>
      </c>
      <c r="AX13"/>
      <c r="AY13"/>
      <c r="AZ13" s="11">
        <v>8.4059610962867737E-3</v>
      </c>
      <c r="BA13" s="14">
        <v>2.5802478194236755E-2</v>
      </c>
      <c r="BB13"/>
      <c r="BC13"/>
      <c r="BD13"/>
      <c r="BE13" s="10">
        <v>4.2582547757774591E-4</v>
      </c>
      <c r="BF13" s="10">
        <v>2.4550913367420435E-3</v>
      </c>
      <c r="BG13" s="21">
        <v>2.2616768255829811E-2</v>
      </c>
      <c r="BH13" s="14">
        <v>2.6273025199770927E-2</v>
      </c>
      <c r="BI13" s="25">
        <v>7.0094585418701172E-2</v>
      </c>
      <c r="BJ13" s="108">
        <v>0.18339268863201141</v>
      </c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 s="10">
        <v>6.6845554101746529E-5</v>
      </c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245</v>
      </c>
      <c r="B14">
        <v>0.72579258680343628</v>
      </c>
      <c r="C14">
        <v>0.20454472303390503</v>
      </c>
      <c r="D14" s="279">
        <v>0.1201789528131485</v>
      </c>
      <c r="E14"/>
      <c r="F14"/>
      <c r="G14"/>
      <c r="H14"/>
      <c r="I14"/>
      <c r="J14"/>
      <c r="K14"/>
      <c r="L14"/>
      <c r="M14"/>
      <c r="N14"/>
      <c r="O14"/>
      <c r="P14"/>
      <c r="Q14" s="256">
        <v>4.1114531457424164E-2</v>
      </c>
      <c r="R14"/>
      <c r="S14"/>
      <c r="T14" s="318">
        <v>0.13002486526966095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 s="10">
        <v>5.5736003560014069E-5</v>
      </c>
      <c r="AN14"/>
      <c r="AO14"/>
      <c r="AP14"/>
      <c r="AQ14"/>
      <c r="AR14" s="10">
        <v>6.8838853621855378E-4</v>
      </c>
      <c r="AS14" s="21">
        <v>5.8455583639442921E-3</v>
      </c>
      <c r="AT14"/>
      <c r="AU14" s="280">
        <v>3.8472596555948257E-2</v>
      </c>
      <c r="AV14" s="13">
        <v>2.0142227876931429E-3</v>
      </c>
      <c r="AW14" s="10">
        <v>3.7634812179021537E-4</v>
      </c>
      <c r="AX14"/>
      <c r="AY14"/>
      <c r="AZ14"/>
      <c r="BA14" s="260">
        <v>9.6784204244613647E-2</v>
      </c>
      <c r="BB14"/>
      <c r="BC14"/>
      <c r="BD14"/>
      <c r="BE14" s="13">
        <v>1.1966651072725654E-3</v>
      </c>
      <c r="BF14"/>
      <c r="BG14"/>
      <c r="BH14"/>
      <c r="BI14"/>
      <c r="BJ14" s="141">
        <v>7.24044069647789E-2</v>
      </c>
      <c r="BK14" s="10">
        <v>4.2105489410459995E-4</v>
      </c>
      <c r="BL14"/>
      <c r="BM14"/>
      <c r="BN14"/>
      <c r="BO14"/>
      <c r="BP14"/>
      <c r="BQ14" s="10">
        <v>3.5284279147163033E-4</v>
      </c>
      <c r="BR14"/>
      <c r="BS14"/>
      <c r="BT14"/>
      <c r="BU14"/>
      <c r="BV14"/>
      <c r="BW14"/>
      <c r="BX14"/>
      <c r="BY14"/>
      <c r="BZ14"/>
      <c r="CA14"/>
      <c r="CB14"/>
      <c r="CC14"/>
      <c r="CD14" s="15">
        <v>1.1317483149468899E-2</v>
      </c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183</v>
      </c>
      <c r="B15">
        <v>0.32285460829734802</v>
      </c>
      <c r="C15">
        <v>0.15900860726833344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 s="67">
        <v>2.0502146333456039E-2</v>
      </c>
      <c r="U15"/>
      <c r="V15"/>
      <c r="W15"/>
      <c r="X15"/>
      <c r="Y15"/>
      <c r="Z15"/>
      <c r="AA15"/>
      <c r="AB15"/>
      <c r="AC15"/>
      <c r="AD15"/>
      <c r="AE15"/>
      <c r="AF15" s="325">
        <v>5.2285529673099518E-2</v>
      </c>
      <c r="AG15"/>
      <c r="AH15"/>
      <c r="AI15"/>
      <c r="AJ15"/>
      <c r="AK15"/>
      <c r="AL15"/>
      <c r="AM15"/>
      <c r="AN15"/>
      <c r="AO15"/>
      <c r="AP15"/>
      <c r="AQ15"/>
      <c r="AR15"/>
      <c r="AS15" s="10">
        <v>4.9817776016425341E-5</v>
      </c>
      <c r="AT15"/>
      <c r="AU15"/>
      <c r="AV15" s="10">
        <v>7.6384822023101151E-5</v>
      </c>
      <c r="AW15" s="17">
        <v>4.1072997264564037E-3</v>
      </c>
      <c r="AX15"/>
      <c r="AY15"/>
      <c r="AZ15"/>
      <c r="BA15"/>
      <c r="BB15"/>
      <c r="BC15"/>
      <c r="BD15"/>
      <c r="BE15"/>
      <c r="BF15"/>
      <c r="BG15" s="110">
        <v>5.859670415520668E-2</v>
      </c>
      <c r="BH15" s="67">
        <v>2.0393911749124527E-2</v>
      </c>
      <c r="BI15"/>
      <c r="BJ15" s="257">
        <v>7.834218442440033E-3</v>
      </c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184</v>
      </c>
      <c r="B16">
        <v>0.60757863521575928</v>
      </c>
      <c r="C16">
        <v>0.13301712274551392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 s="257">
        <v>1.4469937421381474E-2</v>
      </c>
      <c r="T16"/>
      <c r="U16"/>
      <c r="V16" s="24">
        <v>1.8739234656095505E-2</v>
      </c>
      <c r="W16"/>
      <c r="X16"/>
      <c r="Y16"/>
      <c r="Z16"/>
      <c r="AA16"/>
      <c r="AB16"/>
      <c r="AC16"/>
      <c r="AD16"/>
      <c r="AE16"/>
      <c r="AF16" s="13">
        <v>1.0868679964914918E-3</v>
      </c>
      <c r="AG16" s="278">
        <v>7.3571488261222839E-2</v>
      </c>
      <c r="AH16"/>
      <c r="AI16"/>
      <c r="AJ16"/>
      <c r="AK16" s="20">
        <v>1.163003034889698E-2</v>
      </c>
      <c r="AL16"/>
      <c r="AM16"/>
      <c r="AN16"/>
      <c r="AO16" s="10">
        <v>5.680026370100677E-4</v>
      </c>
      <c r="AP16" s="277">
        <v>1.9934466108679771E-2</v>
      </c>
      <c r="AQ16"/>
      <c r="AR16"/>
      <c r="AS16"/>
      <c r="AT16" s="330">
        <v>0.22162008285522461</v>
      </c>
      <c r="AU16" s="10">
        <v>1.1207680654479191E-4</v>
      </c>
      <c r="AV16" s="10">
        <v>4.4674408854916692E-4</v>
      </c>
      <c r="AW16" s="21">
        <v>4.1875969618558884E-3</v>
      </c>
      <c r="AX16" s="10">
        <v>2.2961135255172849E-4</v>
      </c>
      <c r="AY16" s="13">
        <v>8.848256547935307E-4</v>
      </c>
      <c r="AZ16" s="11">
        <v>2.3719074670225382E-3</v>
      </c>
      <c r="BA16"/>
      <c r="BB16" s="10">
        <v>3.2991004991345108E-4</v>
      </c>
      <c r="BC16" s="11">
        <v>2.4311251472681761E-3</v>
      </c>
      <c r="BD16" s="11">
        <v>2.8091005515307188E-3</v>
      </c>
      <c r="BE16" s="13">
        <v>8.9571287389844656E-4</v>
      </c>
      <c r="BF16" s="22">
        <v>3.0735426116734743E-3</v>
      </c>
      <c r="BG16" s="13">
        <v>1.2844288721680641E-3</v>
      </c>
      <c r="BH16" s="11">
        <v>1.798603218048811E-3</v>
      </c>
      <c r="BI16"/>
      <c r="BJ16" s="21">
        <v>4.4120354577898979E-3</v>
      </c>
      <c r="BK16" s="10">
        <v>1.5464937314391136E-4</v>
      </c>
      <c r="BL16" s="13">
        <v>6.1168923275545239E-4</v>
      </c>
      <c r="BM16"/>
      <c r="BN16"/>
      <c r="BO16" s="10">
        <v>4.6618795022368431E-4</v>
      </c>
      <c r="BP16"/>
      <c r="BQ16" s="13">
        <v>9.1741140931844711E-4</v>
      </c>
      <c r="BR16" s="10">
        <v>9.2744987341575325E-5</v>
      </c>
      <c r="BS16" s="10">
        <v>5.8573597925715148E-5</v>
      </c>
      <c r="BT16"/>
      <c r="BU16" s="10">
        <v>4.3163432565052062E-5</v>
      </c>
      <c r="BV16" s="16">
        <v>8.5208006203174591E-3</v>
      </c>
      <c r="BW16"/>
      <c r="BX16" s="10">
        <v>3.6145986086921766E-5</v>
      </c>
      <c r="BY16" s="17">
        <v>7.0316251367330551E-3</v>
      </c>
      <c r="BZ16"/>
      <c r="CA16"/>
      <c r="CB16" s="17">
        <v>7.4527743272483349E-3</v>
      </c>
      <c r="CC16" s="13">
        <v>1.7075694631785154E-3</v>
      </c>
      <c r="CD16" s="13">
        <v>1.6656748484820127E-3</v>
      </c>
      <c r="CE16" s="22">
        <v>3.0381532851606607E-3</v>
      </c>
      <c r="CF16" s="22">
        <v>3.1716984231024981E-3</v>
      </c>
      <c r="CG16"/>
      <c r="CH16" s="10">
        <v>3.8642366416752338E-4</v>
      </c>
      <c r="CI16"/>
      <c r="CJ16"/>
      <c r="CK16" s="290">
        <v>5.162559449672699E-2</v>
      </c>
      <c r="CL16" s="10">
        <v>5.4300675401464105E-4</v>
      </c>
      <c r="CM16" s="10">
        <v>1.4778746117372066E-4</v>
      </c>
      <c r="CN16" s="10">
        <v>2.5630831714806845E-6</v>
      </c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228</v>
      </c>
      <c r="B17">
        <v>0.48314881324768066</v>
      </c>
      <c r="C17">
        <v>0.12682037055492401</v>
      </c>
      <c r="D17"/>
      <c r="E17"/>
      <c r="F17"/>
      <c r="G17"/>
      <c r="H17"/>
      <c r="I17"/>
      <c r="J17"/>
      <c r="K17"/>
      <c r="L17"/>
      <c r="M17"/>
      <c r="N17"/>
      <c r="O17"/>
      <c r="P17"/>
      <c r="Q17" s="15">
        <v>7.7604092657566071E-3</v>
      </c>
      <c r="R17"/>
      <c r="S17"/>
      <c r="T17"/>
      <c r="U17"/>
      <c r="V17"/>
      <c r="W17"/>
      <c r="X17"/>
      <c r="Y17"/>
      <c r="Z17"/>
      <c r="AA17" s="277">
        <v>1.6298256814479828E-2</v>
      </c>
      <c r="AB17"/>
      <c r="AC17"/>
      <c r="AD17"/>
      <c r="AE17" s="261">
        <v>4.2850948870182037E-2</v>
      </c>
      <c r="AF17" s="11">
        <v>2.2261741105467081E-3</v>
      </c>
      <c r="AG17"/>
      <c r="AH17"/>
      <c r="AI17"/>
      <c r="AJ17"/>
      <c r="AK17" s="21">
        <v>4.2603272013366222E-3</v>
      </c>
      <c r="AL17" s="11">
        <v>2.1851963829249144E-3</v>
      </c>
      <c r="AM17" s="13">
        <v>1.381435664370656E-3</v>
      </c>
      <c r="AN17" s="13">
        <v>6.585552473552525E-4</v>
      </c>
      <c r="AO17"/>
      <c r="AP17" s="64">
        <v>1.0813192464411259E-2</v>
      </c>
      <c r="AQ17"/>
      <c r="AR17" s="15">
        <v>7.8367525711655617E-3</v>
      </c>
      <c r="AS17" s="11">
        <v>1.7296095611527562E-3</v>
      </c>
      <c r="AT17" s="63">
        <v>2.627469040453434E-2</v>
      </c>
      <c r="AU17" s="288">
        <v>5.2606929093599319E-2</v>
      </c>
      <c r="AV17" s="21">
        <v>3.6959252320230007E-3</v>
      </c>
      <c r="AW17" s="69">
        <v>2.4958699941635132E-2</v>
      </c>
      <c r="AX17"/>
      <c r="AY17" s="13">
        <v>1.1230291565880179E-3</v>
      </c>
      <c r="AZ17" s="14">
        <v>4.9439691938459873E-3</v>
      </c>
      <c r="BA17" s="281">
        <v>6.6977538168430328E-2</v>
      </c>
      <c r="BB17"/>
      <c r="BC17" s="13">
        <v>7.8472623135894537E-4</v>
      </c>
      <c r="BD17"/>
      <c r="BE17" s="10">
        <v>2.6280265956302173E-5</v>
      </c>
      <c r="BF17"/>
      <c r="BG17" s="21">
        <v>3.9972672238945961E-3</v>
      </c>
      <c r="BH17" s="11">
        <v>2.1584662608802319E-3</v>
      </c>
      <c r="BI17"/>
      <c r="BJ17" s="14">
        <v>4.8295403830707073E-3</v>
      </c>
      <c r="BK17" s="10">
        <v>4.0689585148356855E-4</v>
      </c>
      <c r="BL17" s="27">
        <v>1.7136359587311745E-2</v>
      </c>
      <c r="BM17"/>
      <c r="BN17"/>
      <c r="BO17"/>
      <c r="BP17"/>
      <c r="BQ17" s="10">
        <v>1.7713292618282139E-4</v>
      </c>
      <c r="BR17"/>
      <c r="BS17"/>
      <c r="BT17"/>
      <c r="BU17"/>
      <c r="BV17" s="10">
        <v>4.062375592184253E-5</v>
      </c>
      <c r="BW17"/>
      <c r="BX17" s="10">
        <v>1.7710357496980578E-4</v>
      </c>
      <c r="BY17" s="15">
        <v>7.4507980607450008E-3</v>
      </c>
      <c r="BZ17"/>
      <c r="CA17"/>
      <c r="CB17"/>
      <c r="CC17"/>
      <c r="CD17" s="18">
        <v>8.9366305619478226E-3</v>
      </c>
      <c r="CE17" s="17">
        <v>5.6058047339320183E-3</v>
      </c>
      <c r="CF17" s="23">
        <v>1.3136466965079308E-2</v>
      </c>
      <c r="CG17"/>
      <c r="CH17" s="10">
        <v>2.0255731942597777E-4</v>
      </c>
      <c r="CI17"/>
      <c r="CJ17"/>
      <c r="CK17" s="21">
        <v>3.8366410881280899E-3</v>
      </c>
      <c r="CL17" s="13">
        <v>1.2121459003537893E-3</v>
      </c>
      <c r="CM17" s="13">
        <v>6.3383614178746939E-4</v>
      </c>
      <c r="CN17" s="14">
        <v>4.553643986582756E-3</v>
      </c>
      <c r="CO17"/>
      <c r="CP17" s="11">
        <v>2.1448144689202309E-3</v>
      </c>
      <c r="CQ17" s="10">
        <v>2.990368811879307E-4</v>
      </c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185</v>
      </c>
      <c r="B18">
        <v>1.1189732551574707</v>
      </c>
      <c r="C18">
        <v>0.36523130536079407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 s="25">
        <v>2.867058664560318E-2</v>
      </c>
      <c r="AN18"/>
      <c r="AO18"/>
      <c r="AP18"/>
      <c r="AQ18"/>
      <c r="AR18"/>
      <c r="AS18" s="14">
        <v>1.0129150934517384E-2</v>
      </c>
      <c r="AT18"/>
      <c r="AU18" s="13">
        <v>2.1285591647028923E-3</v>
      </c>
      <c r="AV18"/>
      <c r="AW18"/>
      <c r="AX18"/>
      <c r="AY18"/>
      <c r="AZ18"/>
      <c r="BA18" s="13">
        <v>2.0580077543854713E-3</v>
      </c>
      <c r="BB18"/>
      <c r="BC18"/>
      <c r="BD18"/>
      <c r="BE18"/>
      <c r="BF18"/>
      <c r="BG18"/>
      <c r="BH18"/>
      <c r="BI18"/>
      <c r="BJ18" s="11">
        <v>3.9035985246300697E-3</v>
      </c>
      <c r="BK18"/>
      <c r="BL18" s="320">
        <v>0.17813672125339508</v>
      </c>
      <c r="BM18"/>
      <c r="BN18"/>
      <c r="BO18"/>
      <c r="BP18"/>
      <c r="BQ18" s="22">
        <v>5.6921280920505524E-3</v>
      </c>
      <c r="BR18"/>
      <c r="BS18"/>
      <c r="BT18"/>
      <c r="BU18"/>
      <c r="BV18"/>
      <c r="BW18"/>
      <c r="BX18"/>
      <c r="BY18"/>
      <c r="BZ18"/>
      <c r="CA18"/>
      <c r="CB18"/>
      <c r="CC18"/>
      <c r="CD18" s="282">
        <v>0.10163248330354691</v>
      </c>
      <c r="CE18" s="290">
        <v>9.359055757522583E-2</v>
      </c>
      <c r="CF18" s="21">
        <v>8.3188572898507118E-3</v>
      </c>
      <c r="CG18"/>
      <c r="CH18"/>
      <c r="CI18"/>
      <c r="CJ18"/>
      <c r="CK18" s="12">
        <v>4.2368799448013306E-2</v>
      </c>
      <c r="CL18" s="19">
        <v>4.8301775008440018E-2</v>
      </c>
      <c r="CM18" s="286">
        <v>0.20216670632362366</v>
      </c>
      <c r="CN18"/>
      <c r="CO18" s="10">
        <v>4.125692939851433E-4</v>
      </c>
      <c r="CP18" s="10">
        <v>6.4980861498042941E-4</v>
      </c>
      <c r="CQ18" s="257">
        <v>2.5581557303667068E-2</v>
      </c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246</v>
      </c>
      <c r="B19">
        <v>1.9958349466323853</v>
      </c>
      <c r="C19">
        <v>0.43055221438407898</v>
      </c>
      <c r="D19"/>
      <c r="E19"/>
      <c r="F19"/>
      <c r="G19"/>
      <c r="H19"/>
      <c r="I19"/>
      <c r="J19"/>
      <c r="K19"/>
      <c r="L19"/>
      <c r="M19"/>
      <c r="N19"/>
      <c r="O19"/>
      <c r="P19"/>
      <c r="Q19" s="10">
        <v>3.158747567795217E-4</v>
      </c>
      <c r="R19"/>
      <c r="S19" s="293">
        <v>0.20882716774940491</v>
      </c>
      <c r="T19" s="13">
        <v>2.7859506662935019E-3</v>
      </c>
      <c r="U19"/>
      <c r="V19" s="10">
        <v>1.411416451446712E-3</v>
      </c>
      <c r="W19" s="17">
        <v>2.2799098864197731E-2</v>
      </c>
      <c r="X19"/>
      <c r="Y19" s="22">
        <v>1.0472900234162807E-2</v>
      </c>
      <c r="Z19"/>
      <c r="AA19" s="10">
        <v>4.0187808917835355E-4</v>
      </c>
      <c r="AB19"/>
      <c r="AC19"/>
      <c r="AD19"/>
      <c r="AE19"/>
      <c r="AF19"/>
      <c r="AG19" s="13">
        <v>2.024731133133173E-3</v>
      </c>
      <c r="AH19"/>
      <c r="AI19"/>
      <c r="AJ19"/>
      <c r="AK19" s="14">
        <v>2.0566387102007866E-2</v>
      </c>
      <c r="AL19"/>
      <c r="AM19" s="10">
        <v>5.4798572091385722E-4</v>
      </c>
      <c r="AN19" s="10">
        <v>9.9218777904752642E-6</v>
      </c>
      <c r="AO19" s="10">
        <v>1.5886321198195219E-3</v>
      </c>
      <c r="AP19" s="13">
        <v>3.2514482736587524E-3</v>
      </c>
      <c r="AQ19"/>
      <c r="AR19" s="10">
        <v>2.9172658105380833E-4</v>
      </c>
      <c r="AS19"/>
      <c r="AT19" s="316">
        <v>0.27455496788024902</v>
      </c>
      <c r="AU19" s="20">
        <v>3.7375319749116898E-2</v>
      </c>
      <c r="AV19" s="10">
        <v>1.062318217009306E-3</v>
      </c>
      <c r="AW19" s="277">
        <v>6.648939847946167E-2</v>
      </c>
      <c r="AX19" s="11">
        <v>9.3174232169985771E-3</v>
      </c>
      <c r="AY19" s="10">
        <v>2.3491158208344132E-4</v>
      </c>
      <c r="AZ19" s="257">
        <v>4.7324404120445251E-2</v>
      </c>
      <c r="BA19" s="20">
        <v>4.0342342108488083E-2</v>
      </c>
      <c r="BB19"/>
      <c r="BC19" s="13">
        <v>2.334291348233819E-3</v>
      </c>
      <c r="BD19" s="10">
        <v>1.1556969257071614E-3</v>
      </c>
      <c r="BE19" s="10">
        <v>1.1034394847229123E-3</v>
      </c>
      <c r="BF19" s="13">
        <v>2.7811701875180006E-3</v>
      </c>
      <c r="BG19" s="13">
        <v>2.7732024900615215E-3</v>
      </c>
      <c r="BH19" s="13">
        <v>2.726349513977766E-3</v>
      </c>
      <c r="BI19"/>
      <c r="BJ19" s="17">
        <v>2.4033783003687859E-2</v>
      </c>
      <c r="BK19" s="11">
        <v>6.634577177464962E-3</v>
      </c>
      <c r="BL19" s="13">
        <v>4.8146555200219154E-3</v>
      </c>
      <c r="BM19" s="10">
        <v>2.9575516236945987E-4</v>
      </c>
      <c r="BN19" s="10">
        <v>3.2032813760451972E-4</v>
      </c>
      <c r="BO19" s="10">
        <v>3.1718966783955693E-4</v>
      </c>
      <c r="BP19" s="11">
        <v>7.3671811260282993E-3</v>
      </c>
      <c r="BQ19" s="10">
        <v>8.628230425529182E-4</v>
      </c>
      <c r="BR19"/>
      <c r="BS19" s="11">
        <v>8.4734419360756874E-3</v>
      </c>
      <c r="BT19" s="22">
        <v>9.8934648558497429E-3</v>
      </c>
      <c r="BU19" s="15">
        <v>3.0922913923859596E-2</v>
      </c>
      <c r="BV19" s="13">
        <v>3.7168459966778755E-3</v>
      </c>
      <c r="BW19"/>
      <c r="BX19" s="10">
        <v>4.5556030818261206E-4</v>
      </c>
      <c r="BY19" s="266">
        <v>0.16039277613162994</v>
      </c>
      <c r="BZ19" s="13">
        <v>2.3031099699437618E-3</v>
      </c>
      <c r="CA19" s="10">
        <v>6.6335179144516587E-4</v>
      </c>
      <c r="CB19" s="21">
        <v>1.6173146665096283E-2</v>
      </c>
      <c r="CC19" s="24">
        <v>6.3619449734687805E-2</v>
      </c>
      <c r="CD19" s="13">
        <v>3.3408605959266424E-3</v>
      </c>
      <c r="CE19" s="23">
        <v>5.5073585361242294E-2</v>
      </c>
      <c r="CF19" s="24">
        <v>6.1608295887708664E-2</v>
      </c>
      <c r="CG19" s="280">
        <v>0.10443700850009918</v>
      </c>
      <c r="CH19" s="22">
        <v>1.2702183797955513E-2</v>
      </c>
      <c r="CI19"/>
      <c r="CJ19"/>
      <c r="CK19" s="288">
        <v>0.22092589735984802</v>
      </c>
      <c r="CL19" s="10">
        <v>7.8993034549057484E-4</v>
      </c>
      <c r="CM19"/>
      <c r="CN19" s="10">
        <v>1.4330025805975311E-5</v>
      </c>
      <c r="CO19"/>
      <c r="CP19" s="10">
        <v>2.5983809609897435E-4</v>
      </c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229</v>
      </c>
      <c r="B20">
        <v>3.0879402160644531</v>
      </c>
      <c r="C20">
        <v>0.87107926607131958</v>
      </c>
      <c r="D20" s="283">
        <v>0.36158496141433716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 s="293">
        <v>0.3204214870929718</v>
      </c>
      <c r="AB20"/>
      <c r="AC20"/>
      <c r="AD20"/>
      <c r="AE20"/>
      <c r="AF20"/>
      <c r="AG20"/>
      <c r="AH20"/>
      <c r="AI20"/>
      <c r="AJ20"/>
      <c r="AK20" s="25">
        <v>8.0143965780735016E-2</v>
      </c>
      <c r="AL20"/>
      <c r="AM20"/>
      <c r="AN20"/>
      <c r="AO20"/>
      <c r="AP20" s="11">
        <v>1.0378118604421616E-2</v>
      </c>
      <c r="AQ20"/>
      <c r="AR20"/>
      <c r="AS20" s="21">
        <v>2.311747707426548E-2</v>
      </c>
      <c r="AT20" s="21">
        <v>2.6558045297861099E-2</v>
      </c>
      <c r="AU20" s="10">
        <v>1.8987627699971199E-3</v>
      </c>
      <c r="AV20"/>
      <c r="AW20" s="22">
        <v>1.9118672236800194E-2</v>
      </c>
      <c r="AX20" s="13">
        <v>8.6136301979422569E-3</v>
      </c>
      <c r="AY20" s="14">
        <v>2.7636142447590828E-2</v>
      </c>
      <c r="AZ20"/>
      <c r="BA20" s="64">
        <v>6.5869934856891632E-2</v>
      </c>
      <c r="BB20"/>
      <c r="BC20" s="13">
        <v>3.0981490854173899E-3</v>
      </c>
      <c r="BD20"/>
      <c r="BE20"/>
      <c r="BF20"/>
      <c r="BG20"/>
      <c r="BH20"/>
      <c r="BI20"/>
      <c r="BJ20" s="14">
        <v>3.2975804060697556E-2</v>
      </c>
      <c r="BK20" s="10">
        <v>1.1135597014799714E-3</v>
      </c>
      <c r="BL20" s="277">
        <v>0.10241150110960007</v>
      </c>
      <c r="BM20"/>
      <c r="BN20" s="13">
        <v>5.5726137943565845E-3</v>
      </c>
      <c r="BO20" s="10">
        <v>1.0931439464911819E-3</v>
      </c>
      <c r="BP20" s="17">
        <v>3.6522906273603439E-2</v>
      </c>
      <c r="BQ20" s="14">
        <v>3.180854395031929E-2</v>
      </c>
      <c r="BR20" s="22">
        <v>1.8977910280227661E-2</v>
      </c>
      <c r="BS20"/>
      <c r="BT20" s="13">
        <v>4.4908132404088974E-3</v>
      </c>
      <c r="BU20" s="292">
        <v>0.21212714910507202</v>
      </c>
      <c r="BV20"/>
      <c r="BW20"/>
      <c r="BX20"/>
      <c r="BY20" s="66">
        <v>0.18206711113452911</v>
      </c>
      <c r="BZ20"/>
      <c r="CA20"/>
      <c r="CB20"/>
      <c r="CC20"/>
      <c r="CD20" s="11">
        <v>1.4645070768892765E-2</v>
      </c>
      <c r="CE20" s="28">
        <v>0.14757074415683746</v>
      </c>
      <c r="CF20" s="68">
        <v>0.28335696458816528</v>
      </c>
      <c r="CG20" s="13">
        <v>3.0322896782308817E-3</v>
      </c>
      <c r="CH20" s="22">
        <v>1.7987480387091637E-2</v>
      </c>
      <c r="CI20"/>
      <c r="CJ20"/>
      <c r="CK20" s="63">
        <v>0.17015820741653442</v>
      </c>
      <c r="CL20" s="10">
        <v>1.3592282775789499E-3</v>
      </c>
      <c r="CM20"/>
      <c r="CN20"/>
      <c r="CO20" s="10">
        <v>1.1505881557241082E-3</v>
      </c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186</v>
      </c>
      <c r="B21">
        <v>0.51640766859054565</v>
      </c>
      <c r="C21">
        <v>9.2194743454456329E-2</v>
      </c>
      <c r="D21" s="305">
        <v>0.16639554500579834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 s="22">
        <v>2.8360658325254917E-3</v>
      </c>
      <c r="AG21"/>
      <c r="AH21"/>
      <c r="AI21"/>
      <c r="AJ21"/>
      <c r="AK21"/>
      <c r="AL21"/>
      <c r="AM21"/>
      <c r="AN21" s="10">
        <v>2.4303942336700857E-4</v>
      </c>
      <c r="AO21"/>
      <c r="AP21"/>
      <c r="AQ21"/>
      <c r="AR21"/>
      <c r="AS21" s="64">
        <v>1.1299078352749348E-2</v>
      </c>
      <c r="AT21" s="292">
        <v>3.5940490663051605E-2</v>
      </c>
      <c r="AU21"/>
      <c r="AV21"/>
      <c r="AW21" s="15">
        <v>8.4206964820623398E-3</v>
      </c>
      <c r="AX21" s="11">
        <v>1.6859170282259583E-3</v>
      </c>
      <c r="AY21" s="64">
        <v>1.0728503577411175E-2</v>
      </c>
      <c r="AZ21"/>
      <c r="BA21" s="284">
        <v>3.8038745522499084E-2</v>
      </c>
      <c r="BB21"/>
      <c r="BC21"/>
      <c r="BD21"/>
      <c r="BE21"/>
      <c r="BF21"/>
      <c r="BG21"/>
      <c r="BH21"/>
      <c r="BI21"/>
      <c r="BJ21"/>
      <c r="BK21" s="13">
        <v>1.4110088814049959E-3</v>
      </c>
      <c r="BL21"/>
      <c r="BM21"/>
      <c r="BN21"/>
      <c r="BO21"/>
      <c r="BP21"/>
      <c r="BQ21"/>
      <c r="BR21"/>
      <c r="BS21"/>
      <c r="BT21"/>
      <c r="BU21"/>
      <c r="BV21"/>
      <c r="BW21"/>
      <c r="BX21" s="10">
        <v>1.7725231373333372E-5</v>
      </c>
      <c r="BY21" s="20">
        <v>1.0402542538940907E-2</v>
      </c>
      <c r="BZ21" s="275">
        <v>5.534372478723526E-2</v>
      </c>
      <c r="CA21" s="13">
        <v>1.1982184369117022E-3</v>
      </c>
      <c r="CB21" s="17">
        <v>6.2996922060847282E-3</v>
      </c>
      <c r="CC21" s="14">
        <v>5.4788081906735897E-3</v>
      </c>
      <c r="CD21"/>
      <c r="CE21" s="26">
        <v>3.9010319858789444E-2</v>
      </c>
      <c r="CF21"/>
      <c r="CG21"/>
      <c r="CH21" s="13">
        <v>1.2317291693761945E-3</v>
      </c>
      <c r="CI21"/>
      <c r="CJ21"/>
      <c r="CK21" s="269">
        <v>2.5429178029298782E-2</v>
      </c>
      <c r="CL21"/>
      <c r="CM21"/>
      <c r="CN21"/>
      <c r="CO21" s="10">
        <v>3.7642585084540769E-5</v>
      </c>
      <c r="CP21"/>
      <c r="CQ21" s="10">
        <v>1.4693985576741397E-4</v>
      </c>
      <c r="CR21" s="22">
        <v>2.6173267979174852E-3</v>
      </c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187</v>
      </c>
      <c r="B22">
        <v>0.93449896574020386</v>
      </c>
      <c r="C22">
        <v>0.21001230180263519</v>
      </c>
      <c r="D22" s="20">
        <v>1.7470434308052063E-2</v>
      </c>
      <c r="E22"/>
      <c r="F22"/>
      <c r="G22"/>
      <c r="H22"/>
      <c r="I22"/>
      <c r="J22"/>
      <c r="K22"/>
      <c r="L22"/>
      <c r="M22"/>
      <c r="N22"/>
      <c r="O22"/>
      <c r="P22"/>
      <c r="Q22" s="10">
        <v>7.3312385939061642E-4</v>
      </c>
      <c r="R22"/>
      <c r="S22"/>
      <c r="T22"/>
      <c r="U22"/>
      <c r="V22" s="15">
        <v>1.4177773147821426E-2</v>
      </c>
      <c r="W22" s="19">
        <v>4.0231715887784958E-2</v>
      </c>
      <c r="X22"/>
      <c r="Y22"/>
      <c r="Z22"/>
      <c r="AA22"/>
      <c r="AB22"/>
      <c r="AC22"/>
      <c r="AD22"/>
      <c r="AE22" s="20">
        <v>1.867399550974369E-2</v>
      </c>
      <c r="AF22"/>
      <c r="AG22"/>
      <c r="AH22"/>
      <c r="AI22" s="10">
        <v>3.0231117852963507E-4</v>
      </c>
      <c r="AJ22"/>
      <c r="AK22"/>
      <c r="AL22" s="15">
        <v>1.404873188585043E-2</v>
      </c>
      <c r="AM22" s="11">
        <v>4.1475053876638412E-3</v>
      </c>
      <c r="AN22" s="10">
        <v>2.4528048015781678E-5</v>
      </c>
      <c r="AO22"/>
      <c r="AP22" s="276">
        <v>6.7683413624763489E-2</v>
      </c>
      <c r="AQ22"/>
      <c r="AR22" s="11">
        <v>3.9293910376727581E-3</v>
      </c>
      <c r="AS22" s="14">
        <v>9.1591533273458481E-3</v>
      </c>
      <c r="AT22" s="27">
        <v>3.2797738909721375E-2</v>
      </c>
      <c r="AU22" s="11">
        <v>3.497301833704114E-3</v>
      </c>
      <c r="AV22"/>
      <c r="AW22" s="14">
        <v>9.7725763916969299E-3</v>
      </c>
      <c r="AX22" s="20">
        <v>1.8541594967246056E-2</v>
      </c>
      <c r="AY22" s="276">
        <v>6.8622127175331116E-2</v>
      </c>
      <c r="AZ22"/>
      <c r="BA22" s="292">
        <v>6.4269967377185822E-2</v>
      </c>
      <c r="BB22"/>
      <c r="BC22"/>
      <c r="BD22"/>
      <c r="BE22"/>
      <c r="BF22"/>
      <c r="BG22"/>
      <c r="BH22"/>
      <c r="BI22" s="11">
        <v>4.5021204277873039E-3</v>
      </c>
      <c r="BJ22" s="10">
        <v>5.4746936075389385E-4</v>
      </c>
      <c r="BK22" s="11">
        <v>2.8100474737584591E-3</v>
      </c>
      <c r="BL22" s="69">
        <v>4.7197695821523666E-2</v>
      </c>
      <c r="BM22"/>
      <c r="BN22" s="22">
        <v>5.5886716581881046E-3</v>
      </c>
      <c r="BO22" s="10">
        <v>1.6110806609503925E-4</v>
      </c>
      <c r="BP22" s="16">
        <v>1.2208597734570503E-2</v>
      </c>
      <c r="BQ22" s="17">
        <v>1.136235985904932E-2</v>
      </c>
      <c r="BR22" s="13">
        <v>9.4100023852661252E-4</v>
      </c>
      <c r="BS22"/>
      <c r="BT22"/>
      <c r="BU22" s="24">
        <v>2.9611852020025253E-2</v>
      </c>
      <c r="BV22"/>
      <c r="BW22"/>
      <c r="BX22"/>
      <c r="BY22" s="269">
        <v>4.6193137764930725E-2</v>
      </c>
      <c r="BZ22" s="66">
        <v>5.5381529033184052E-2</v>
      </c>
      <c r="CA22" s="11">
        <v>3.9005875587463379E-3</v>
      </c>
      <c r="CB22" s="20">
        <v>1.7996609210968018E-2</v>
      </c>
      <c r="CC22"/>
      <c r="CD22" s="20">
        <v>1.7643654718995094E-2</v>
      </c>
      <c r="CE22" s="18">
        <v>1.6553517431020737E-2</v>
      </c>
      <c r="CF22" s="10">
        <v>2.420407508907374E-5</v>
      </c>
      <c r="CG22"/>
      <c r="CH22" s="16">
        <v>1.3686234131455421E-2</v>
      </c>
      <c r="CI22"/>
      <c r="CJ22"/>
      <c r="CK22" s="24">
        <v>3.021623007953167E-2</v>
      </c>
      <c r="CL22" s="22">
        <v>5.2329478785395622E-3</v>
      </c>
      <c r="CM22" s="11">
        <v>3.4913008566945791E-3</v>
      </c>
      <c r="CN22"/>
      <c r="CO22" s="10">
        <v>6.338716484606266E-4</v>
      </c>
      <c r="CP22"/>
      <c r="CQ22" s="10">
        <v>4.6147970715537667E-4</v>
      </c>
      <c r="CR22" s="14">
        <v>1.0056996718049049E-2</v>
      </c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188</v>
      </c>
      <c r="B23">
        <v>1.4912084341049194</v>
      </c>
      <c r="C23">
        <v>0.40913566946983337</v>
      </c>
      <c r="D23" s="11">
        <v>6.3249086961150169E-3</v>
      </c>
      <c r="E23"/>
      <c r="F23"/>
      <c r="G23"/>
      <c r="H23"/>
      <c r="I23"/>
      <c r="J23"/>
      <c r="K23"/>
      <c r="L23"/>
      <c r="M23"/>
      <c r="N23"/>
      <c r="O23"/>
      <c r="P23"/>
      <c r="Q23" s="65">
        <v>6.2421493232250214E-2</v>
      </c>
      <c r="R23"/>
      <c r="S23"/>
      <c r="T23" s="257">
        <v>3.5128340125083923E-2</v>
      </c>
      <c r="U23"/>
      <c r="V23"/>
      <c r="W23"/>
      <c r="X23"/>
      <c r="Y23"/>
      <c r="Z23"/>
      <c r="AA23"/>
      <c r="AB23"/>
      <c r="AC23"/>
      <c r="AD23"/>
      <c r="AE23"/>
      <c r="AF23"/>
      <c r="AG23" s="12">
        <v>5.6258581578731537E-2</v>
      </c>
      <c r="AH23"/>
      <c r="AI23" s="10">
        <v>3.1738009420223534E-4</v>
      </c>
      <c r="AJ23"/>
      <c r="AK23" s="261">
        <v>0.13124510645866394</v>
      </c>
      <c r="AL23" s="18">
        <v>2.5035804137587547E-2</v>
      </c>
      <c r="AM23" s="10">
        <v>5.1191612146794796E-4</v>
      </c>
      <c r="AN23" s="13">
        <v>3.5238023847341537E-3</v>
      </c>
      <c r="AO23" s="13">
        <v>3.5495602060109377E-3</v>
      </c>
      <c r="AP23" s="28">
        <v>7.0528514683246613E-2</v>
      </c>
      <c r="AQ23"/>
      <c r="AR23" s="11">
        <v>5.0819665193557739E-3</v>
      </c>
      <c r="AS23" s="11">
        <v>5.3623318672180176E-3</v>
      </c>
      <c r="AT23" s="261">
        <v>0.1309630274772644</v>
      </c>
      <c r="AU23" s="22">
        <v>1.0188677348196507E-2</v>
      </c>
      <c r="AV23" s="28">
        <v>7.1452900767326355E-2</v>
      </c>
      <c r="AW23" s="65">
        <v>6.0166981071233749E-2</v>
      </c>
      <c r="AX23" s="10">
        <v>4.0423264726996422E-4</v>
      </c>
      <c r="AY23" s="66">
        <v>8.9062824845314026E-2</v>
      </c>
      <c r="AZ23"/>
      <c r="BA23" s="284">
        <v>0.11035618185997009</v>
      </c>
      <c r="BB23" s="13">
        <v>1.7021887470036745E-3</v>
      </c>
      <c r="BC23"/>
      <c r="BD23"/>
      <c r="BE23"/>
      <c r="BF23"/>
      <c r="BG23" s="13">
        <v>1.9857389852404594E-3</v>
      </c>
      <c r="BH23"/>
      <c r="BI23"/>
      <c r="BJ23"/>
      <c r="BK23" s="13">
        <v>1.960276160389185E-3</v>
      </c>
      <c r="BL23" s="64">
        <v>3.2891783863306046E-2</v>
      </c>
      <c r="BM23"/>
      <c r="BN23" s="13">
        <v>3.504287451505661E-3</v>
      </c>
      <c r="BO23"/>
      <c r="BP23"/>
      <c r="BQ23" s="15">
        <v>2.3040641099214554E-2</v>
      </c>
      <c r="BR23"/>
      <c r="BS23"/>
      <c r="BT23"/>
      <c r="BU23" s="10">
        <v>2.0693049009423703E-4</v>
      </c>
      <c r="BV23"/>
      <c r="BW23"/>
      <c r="BX23" s="10">
        <v>8.6055410793051124E-4</v>
      </c>
      <c r="BY23" s="18">
        <v>2.5469202548265457E-2</v>
      </c>
      <c r="BZ23" s="25">
        <v>3.9246480911970139E-2</v>
      </c>
      <c r="CA23" s="10">
        <v>6.6335813608020544E-4</v>
      </c>
      <c r="CB23" s="17">
        <v>1.7872888594865799E-2</v>
      </c>
      <c r="CC23"/>
      <c r="CD23" s="16">
        <v>2.114051952958107E-2</v>
      </c>
      <c r="CE23" s="16">
        <v>1.9952088594436646E-2</v>
      </c>
      <c r="CF23"/>
      <c r="CG23"/>
      <c r="CH23" s="22">
        <v>9.9758720025420189E-3</v>
      </c>
      <c r="CI23"/>
      <c r="CJ23"/>
      <c r="CK23"/>
      <c r="CL23" s="13">
        <v>1.9053900614380836E-3</v>
      </c>
      <c r="CM23" s="10">
        <v>2.9398361220955849E-4</v>
      </c>
      <c r="CN23"/>
      <c r="CO23" s="10">
        <v>8.7500736117362976E-4</v>
      </c>
      <c r="CP23"/>
      <c r="CQ23" s="10">
        <v>6.4100016606971622E-4</v>
      </c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189</v>
      </c>
      <c r="B24">
        <v>0.475502610206604</v>
      </c>
      <c r="C24">
        <v>0.241106316447258</v>
      </c>
      <c r="D24" s="299">
        <v>5.4439999163150787E-2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 s="256">
        <v>2.6732441037893295E-2</v>
      </c>
      <c r="AT24"/>
      <c r="AU24"/>
      <c r="AV24"/>
      <c r="AW24"/>
      <c r="AX24"/>
      <c r="AY24"/>
      <c r="AZ24"/>
      <c r="BA24"/>
      <c r="BB24"/>
      <c r="BC24" s="13">
        <v>1.2426640605553985E-3</v>
      </c>
      <c r="BD24"/>
      <c r="BE24"/>
      <c r="BF24"/>
      <c r="BG24"/>
      <c r="BH24"/>
      <c r="BI24"/>
      <c r="BJ24"/>
      <c r="BK24" s="257">
        <v>1.0798313654959202E-2</v>
      </c>
      <c r="BL24"/>
      <c r="BM24"/>
      <c r="BN24"/>
      <c r="BO24"/>
      <c r="BP24"/>
      <c r="BQ24"/>
      <c r="BR24"/>
      <c r="BS24"/>
      <c r="BT24"/>
      <c r="BU24"/>
      <c r="BV24"/>
      <c r="BW24"/>
      <c r="BX24" s="13">
        <v>8.0927816452458501E-4</v>
      </c>
      <c r="BY24" s="11">
        <v>1.4715159777551889E-3</v>
      </c>
      <c r="BZ24"/>
      <c r="CA24" s="10">
        <v>2.9374734731391072E-4</v>
      </c>
      <c r="CB24"/>
      <c r="CC24"/>
      <c r="CD24"/>
      <c r="CE24" s="108">
        <v>3.2038714736700058E-2</v>
      </c>
      <c r="CF24"/>
      <c r="CG24"/>
      <c r="CH24"/>
      <c r="CI24"/>
      <c r="CJ24"/>
      <c r="CK24" s="79">
        <v>0.10512985289096832</v>
      </c>
      <c r="CL24"/>
      <c r="CM24"/>
      <c r="CN24"/>
      <c r="CO24"/>
      <c r="CP24"/>
      <c r="CQ24"/>
      <c r="CR24" s="11">
        <v>1.4397496124729514E-3</v>
      </c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230</v>
      </c>
      <c r="B25">
        <v>1.3005539178848267</v>
      </c>
      <c r="C25">
        <v>0.22943423688411713</v>
      </c>
      <c r="D25"/>
      <c r="E25"/>
      <c r="F25"/>
      <c r="G25"/>
      <c r="H25"/>
      <c r="I25"/>
      <c r="J25"/>
      <c r="K25"/>
      <c r="L25"/>
      <c r="M25"/>
      <c r="N25"/>
      <c r="O25"/>
      <c r="P25"/>
      <c r="Q25" s="289">
        <v>0.14543555676937103</v>
      </c>
      <c r="R25"/>
      <c r="S25"/>
      <c r="T25"/>
      <c r="U25"/>
      <c r="V25"/>
      <c r="W25"/>
      <c r="X25"/>
      <c r="Y25"/>
      <c r="Z25"/>
      <c r="AA25" s="265">
        <v>0.14985336363315582</v>
      </c>
      <c r="AB25"/>
      <c r="AC25"/>
      <c r="AD25"/>
      <c r="AE25" s="286">
        <v>0.2354251891374588</v>
      </c>
      <c r="AF25"/>
      <c r="AG25"/>
      <c r="AH25"/>
      <c r="AI25" s="13">
        <v>2.0104912109673023E-3</v>
      </c>
      <c r="AJ25"/>
      <c r="AK25" s="15">
        <v>1.9620936363935471E-2</v>
      </c>
      <c r="AL25" s="11">
        <v>5.6847510859370232E-3</v>
      </c>
      <c r="AM25"/>
      <c r="AN25"/>
      <c r="AO25" s="11">
        <v>4.4946111738681793E-3</v>
      </c>
      <c r="AP25"/>
      <c r="AQ25"/>
      <c r="AR25" s="10">
        <v>1.3415254943538457E-4</v>
      </c>
      <c r="AS25" s="14">
        <v>1.2567680329084396E-2</v>
      </c>
      <c r="AT25"/>
      <c r="AU25" s="20">
        <v>2.4537224322557449E-2</v>
      </c>
      <c r="AV25" s="63">
        <v>7.2586320340633392E-2</v>
      </c>
      <c r="AW25"/>
      <c r="AX25"/>
      <c r="AY25" s="18">
        <v>2.3436207324266434E-2</v>
      </c>
      <c r="AZ25"/>
      <c r="BA25" s="13">
        <v>2.1863433066755533E-3</v>
      </c>
      <c r="BB25" s="10">
        <v>1.1255900608375669E-3</v>
      </c>
      <c r="BC25"/>
      <c r="BD25"/>
      <c r="BE25" s="13">
        <v>1.5436534304171801E-3</v>
      </c>
      <c r="BF25" s="24">
        <v>4.0349666029214859E-2</v>
      </c>
      <c r="BG25"/>
      <c r="BH25"/>
      <c r="BI25" s="10">
        <v>1.2572798877954483E-3</v>
      </c>
      <c r="BJ25" s="65">
        <v>5.2531477063894272E-2</v>
      </c>
      <c r="BK25"/>
      <c r="BL25" s="277">
        <v>4.3223660439252853E-2</v>
      </c>
      <c r="BM25"/>
      <c r="BN25" s="257">
        <v>3.1832769513130188E-2</v>
      </c>
      <c r="BO25" s="64">
        <v>2.8091980144381523E-2</v>
      </c>
      <c r="BP25"/>
      <c r="BQ25" s="269">
        <v>6.4474537968635559E-2</v>
      </c>
      <c r="BR25"/>
      <c r="BS25"/>
      <c r="BT25"/>
      <c r="BU25"/>
      <c r="BV25"/>
      <c r="BW25"/>
      <c r="BX25"/>
      <c r="BY25"/>
      <c r="BZ25"/>
      <c r="CA25" s="13">
        <v>1.422457629814744E-3</v>
      </c>
      <c r="CB25" s="12">
        <v>4.8993326723575592E-2</v>
      </c>
      <c r="CC25"/>
      <c r="CD25" s="16">
        <v>1.7062075436115265E-2</v>
      </c>
      <c r="CE25" s="257">
        <v>3.0763143673539162E-2</v>
      </c>
      <c r="CF25"/>
      <c r="CG25"/>
      <c r="CH25"/>
      <c r="CI25"/>
      <c r="CJ25"/>
      <c r="CK25"/>
      <c r="CL25"/>
      <c r="CM25" s="13">
        <v>2.2412121761590242E-3</v>
      </c>
      <c r="CN25" s="11">
        <v>4.7109206207096577E-3</v>
      </c>
      <c r="CO25" s="13">
        <v>1.7865448025986552E-3</v>
      </c>
      <c r="CP25" s="10">
        <v>6.6850049188360572E-4</v>
      </c>
      <c r="CQ25" s="10">
        <v>1.0679651750251651E-3</v>
      </c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231</v>
      </c>
      <c r="B26">
        <v>1.4462814331054688</v>
      </c>
      <c r="C26">
        <v>0.18038828670978546</v>
      </c>
      <c r="D26"/>
      <c r="E26"/>
      <c r="F26"/>
      <c r="G26"/>
      <c r="H26"/>
      <c r="I26"/>
      <c r="J26"/>
      <c r="K26"/>
      <c r="L26"/>
      <c r="M26"/>
      <c r="N26"/>
      <c r="O26"/>
      <c r="P26"/>
      <c r="Q26" s="324">
        <v>0.43045875430107117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20">
        <v>2.9238481074571609E-2</v>
      </c>
      <c r="AJ26"/>
      <c r="AK26"/>
      <c r="AL26" s="260">
        <v>0.19356073439121246</v>
      </c>
      <c r="AM26" s="74">
        <v>0.13688896596431732</v>
      </c>
      <c r="AN26"/>
      <c r="AO26"/>
      <c r="AP26"/>
      <c r="AQ26"/>
      <c r="AR26"/>
      <c r="AS26"/>
      <c r="AT26" s="258">
        <v>0.15407578647136688</v>
      </c>
      <c r="AU26" s="276">
        <v>0.10441932827234268</v>
      </c>
      <c r="AV26"/>
      <c r="AW26"/>
      <c r="AX26"/>
      <c r="AY26" s="15">
        <v>2.2890457883477211E-2</v>
      </c>
      <c r="AZ26"/>
      <c r="BA26" s="13">
        <v>3.8444842211902142E-3</v>
      </c>
      <c r="BB26"/>
      <c r="BC26"/>
      <c r="BD26"/>
      <c r="BE26"/>
      <c r="BF26"/>
      <c r="BG26"/>
      <c r="BH26"/>
      <c r="BI26"/>
      <c r="BJ26"/>
      <c r="BK26"/>
      <c r="BL26" s="290">
        <v>0.12284547835588455</v>
      </c>
      <c r="BM26"/>
      <c r="BN26" s="13">
        <v>2.8561211656779051E-3</v>
      </c>
      <c r="BO26"/>
      <c r="BP26"/>
      <c r="BQ26"/>
      <c r="BR26"/>
      <c r="BS26"/>
      <c r="BT26"/>
      <c r="BU26"/>
      <c r="BV26"/>
      <c r="BW26"/>
      <c r="BX26"/>
      <c r="BY26"/>
      <c r="BZ26"/>
      <c r="CA26" s="13">
        <v>2.1446384489536285E-3</v>
      </c>
      <c r="CB26"/>
      <c r="CC26"/>
      <c r="CD26" s="64">
        <v>3.2342333346605301E-2</v>
      </c>
      <c r="CE26" s="20">
        <v>2.843402698636055E-2</v>
      </c>
      <c r="CF26"/>
      <c r="CG26"/>
      <c r="CH26"/>
      <c r="CI26"/>
      <c r="CJ26"/>
      <c r="CK26"/>
      <c r="CL26"/>
      <c r="CM26"/>
      <c r="CN26"/>
      <c r="CO26"/>
      <c r="CP26"/>
      <c r="CQ26" s="13">
        <v>1.8937482964247465E-3</v>
      </c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192</v>
      </c>
      <c r="B27">
        <v>1.5349066257476807</v>
      </c>
      <c r="C27">
        <v>0.23137442767620087</v>
      </c>
      <c r="D27"/>
      <c r="E27"/>
      <c r="F27"/>
      <c r="G27"/>
      <c r="H27"/>
      <c r="I27"/>
      <c r="J27"/>
      <c r="K27"/>
      <c r="L27"/>
      <c r="M27"/>
      <c r="N27"/>
      <c r="O27"/>
      <c r="P27"/>
      <c r="Q27" s="314">
        <v>0.2980484664440155</v>
      </c>
      <c r="R27"/>
      <c r="S27"/>
      <c r="T27"/>
      <c r="U27"/>
      <c r="V27" s="269">
        <v>7.3814645409584045E-2</v>
      </c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 s="14">
        <v>1.3560006394982338E-2</v>
      </c>
      <c r="AL27" s="11">
        <v>5.9046638198196888E-3</v>
      </c>
      <c r="AM27"/>
      <c r="AN27"/>
      <c r="AO27" s="22">
        <v>7.9650068655610085E-3</v>
      </c>
      <c r="AP27"/>
      <c r="AQ27"/>
      <c r="AR27"/>
      <c r="AS27" s="13">
        <v>2.5786722544580698E-3</v>
      </c>
      <c r="AT27" s="327">
        <v>0.48076081275939941</v>
      </c>
      <c r="AU27"/>
      <c r="AV27" s="16">
        <v>2.160920761525631E-2</v>
      </c>
      <c r="AW27"/>
      <c r="AX27"/>
      <c r="AY27" s="19">
        <v>6.5484277904033661E-2</v>
      </c>
      <c r="AZ27"/>
      <c r="BA27" s="23">
        <v>4.3162975460290909E-2</v>
      </c>
      <c r="BB27"/>
      <c r="BC27" s="13">
        <v>2.2477554157376289E-3</v>
      </c>
      <c r="BD27" s="17">
        <v>1.8138451501727104E-2</v>
      </c>
      <c r="BE27"/>
      <c r="BF27"/>
      <c r="BG27"/>
      <c r="BH27"/>
      <c r="BI27"/>
      <c r="BJ27"/>
      <c r="BK27"/>
      <c r="BL27" s="19">
        <v>6.5039552748203278E-2</v>
      </c>
      <c r="BM27"/>
      <c r="BN27" s="21">
        <v>1.0723957791924477E-2</v>
      </c>
      <c r="BO27"/>
      <c r="BP27"/>
      <c r="BQ27"/>
      <c r="BR27"/>
      <c r="BS27"/>
      <c r="BT27"/>
      <c r="BU27"/>
      <c r="BV27"/>
      <c r="BW27"/>
      <c r="BX27"/>
      <c r="BY27" s="264">
        <v>5.9529930353164673E-2</v>
      </c>
      <c r="BZ27"/>
      <c r="CA27" s="13">
        <v>2.9884313698858023E-3</v>
      </c>
      <c r="CB27"/>
      <c r="CC27"/>
      <c r="CD27" s="77">
        <v>9.9289387464523315E-2</v>
      </c>
      <c r="CE27" s="16">
        <v>2.2238550707697868E-2</v>
      </c>
      <c r="CF27"/>
      <c r="CG27"/>
      <c r="CH27" s="11">
        <v>4.7132791951298714E-3</v>
      </c>
      <c r="CI27"/>
      <c r="CJ27"/>
      <c r="CK27"/>
      <c r="CL27" s="13">
        <v>2.6168620679527521E-3</v>
      </c>
      <c r="CM27"/>
      <c r="CN27"/>
      <c r="CO27" s="10">
        <v>1.2902874732390046E-3</v>
      </c>
      <c r="CP27"/>
      <c r="CQ27" s="13">
        <v>1.8269582651555538E-3</v>
      </c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193</v>
      </c>
      <c r="B28">
        <v>1.2425590753555298</v>
      </c>
      <c r="C28">
        <v>0.79572439193725586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22">
        <v>7.8245513141155243E-3</v>
      </c>
      <c r="AJ28"/>
      <c r="AK28"/>
      <c r="AL28"/>
      <c r="AM28"/>
      <c r="AN28"/>
      <c r="AO28"/>
      <c r="AP28"/>
      <c r="AQ28"/>
      <c r="AR28"/>
      <c r="AS28"/>
      <c r="AT28" s="300">
        <v>0.18377317488193512</v>
      </c>
      <c r="AU28" s="11">
        <v>3.9203660562634468E-3</v>
      </c>
      <c r="AV28"/>
      <c r="AW28" s="21">
        <v>9.7731985151767731E-3</v>
      </c>
      <c r="AX28" s="24">
        <v>3.8598109036684036E-2</v>
      </c>
      <c r="AY28" s="16">
        <v>1.6441462561488152E-2</v>
      </c>
      <c r="AZ28"/>
      <c r="BA28" s="25">
        <v>3.2733254134654999E-2</v>
      </c>
      <c r="BB28"/>
      <c r="BC28"/>
      <c r="BD28"/>
      <c r="BE28"/>
      <c r="BF28"/>
      <c r="BG28" s="10">
        <v>1.0769672226160765E-3</v>
      </c>
      <c r="BH28"/>
      <c r="BI28"/>
      <c r="BJ28"/>
      <c r="BK28" s="13">
        <v>1.9307568436488509E-3</v>
      </c>
      <c r="BL28"/>
      <c r="BM28"/>
      <c r="BN28" s="11">
        <v>4.8390785232186317E-3</v>
      </c>
      <c r="BO28" s="11">
        <v>3.9074933156371117E-3</v>
      </c>
      <c r="BP28"/>
      <c r="BQ28" s="142">
        <v>3.5998139530420303E-2</v>
      </c>
      <c r="BR28"/>
      <c r="BS28" s="11">
        <v>4.3587945401668549E-3</v>
      </c>
      <c r="BT28"/>
      <c r="BU28" s="277">
        <v>4.2274992913007736E-2</v>
      </c>
      <c r="BV28"/>
      <c r="BW28"/>
      <c r="BX28"/>
      <c r="BY28" s="20">
        <v>2.4500014260411263E-2</v>
      </c>
      <c r="BZ28"/>
      <c r="CA28" s="13">
        <v>1.5483308816328645E-3</v>
      </c>
      <c r="CB28"/>
      <c r="CC28"/>
      <c r="CD28"/>
      <c r="CE28" s="16">
        <v>1.8027352169156075E-2</v>
      </c>
      <c r="CF28"/>
      <c r="CG28"/>
      <c r="CH28" s="21">
        <v>1.0040776804089546E-2</v>
      </c>
      <c r="CI28"/>
      <c r="CJ28"/>
      <c r="CK28" s="11">
        <v>4.0152226574718952E-3</v>
      </c>
      <c r="CL28"/>
      <c r="CM28"/>
      <c r="CN28"/>
      <c r="CO28"/>
      <c r="CP28"/>
      <c r="CQ28"/>
      <c r="CR28" s="13">
        <v>1.2526648351922631E-3</v>
      </c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247</v>
      </c>
      <c r="B29">
        <v>1.7701960802078247</v>
      </c>
      <c r="C29">
        <v>0.39498510956764221</v>
      </c>
      <c r="D29"/>
      <c r="E29"/>
      <c r="F29"/>
      <c r="G29"/>
      <c r="H29"/>
      <c r="I29"/>
      <c r="J29"/>
      <c r="K29"/>
      <c r="L29"/>
      <c r="M29"/>
      <c r="N29"/>
      <c r="O29"/>
      <c r="P29"/>
      <c r="Q29" s="11">
        <v>8.5336379706859589E-3</v>
      </c>
      <c r="R29"/>
      <c r="S29"/>
      <c r="T29" s="11">
        <v>6.2738941051065922E-3</v>
      </c>
      <c r="U29"/>
      <c r="V29" s="18">
        <v>3.1994450837373734E-2</v>
      </c>
      <c r="W29" s="261">
        <v>0.15705589950084686</v>
      </c>
      <c r="X29"/>
      <c r="Y29"/>
      <c r="Z29"/>
      <c r="AA29" s="22">
        <v>1.1955790221691132E-2</v>
      </c>
      <c r="AB29"/>
      <c r="AC29"/>
      <c r="AD29"/>
      <c r="AE29"/>
      <c r="AF29"/>
      <c r="AG29"/>
      <c r="AH29"/>
      <c r="AI29"/>
      <c r="AJ29"/>
      <c r="AK29" s="27">
        <v>6.2632754445075989E-2</v>
      </c>
      <c r="AL29" s="22">
        <v>9.4192028045654297E-3</v>
      </c>
      <c r="AM29" s="10">
        <v>1.4990352792665362E-3</v>
      </c>
      <c r="AN29" s="10">
        <v>4.5681814663112164E-4</v>
      </c>
      <c r="AO29"/>
      <c r="AP29" s="15">
        <v>2.7648108080029488E-2</v>
      </c>
      <c r="AQ29"/>
      <c r="AR29" s="10">
        <v>7.5622716394718736E-5</v>
      </c>
      <c r="AS29"/>
      <c r="AT29" s="23">
        <v>4.6981953084468842E-2</v>
      </c>
      <c r="AU29" s="11">
        <v>7.8700734302401543E-3</v>
      </c>
      <c r="AV29" s="10">
        <v>1.191808027215302E-3</v>
      </c>
      <c r="AW29" s="28">
        <v>8.2202605903148651E-2</v>
      </c>
      <c r="AX29" s="10">
        <v>6.4568273955956101E-4</v>
      </c>
      <c r="AY29" s="142">
        <v>5.0576366484165192E-2</v>
      </c>
      <c r="AZ29"/>
      <c r="BA29" s="77">
        <v>0.11406275629997253</v>
      </c>
      <c r="BB29"/>
      <c r="BC29"/>
      <c r="BD29" s="14">
        <v>1.7350861802697182E-2</v>
      </c>
      <c r="BE29"/>
      <c r="BF29"/>
      <c r="BG29" s="14">
        <v>1.647716760635376E-2</v>
      </c>
      <c r="BH29" s="13">
        <v>1.9059861078858376E-3</v>
      </c>
      <c r="BI29"/>
      <c r="BJ29" s="21">
        <v>1.5072265639901161E-2</v>
      </c>
      <c r="BK29"/>
      <c r="BL29" s="273">
        <v>0.15360310673713684</v>
      </c>
      <c r="BM29"/>
      <c r="BN29" s="21">
        <v>1.5026431530714035E-2</v>
      </c>
      <c r="BO29" s="17">
        <v>1.9383950158953667E-2</v>
      </c>
      <c r="BP29"/>
      <c r="BQ29" s="17">
        <v>1.9309272989630699E-2</v>
      </c>
      <c r="BR29"/>
      <c r="BS29"/>
      <c r="BT29" s="10">
        <v>1.0632025077939034E-3</v>
      </c>
      <c r="BU29" s="17">
        <v>2.1245062351226807E-2</v>
      </c>
      <c r="BV29" s="18">
        <v>3.0769092962145805E-2</v>
      </c>
      <c r="BW29"/>
      <c r="BX29"/>
      <c r="BY29" s="10">
        <v>1.5499774599447846E-4</v>
      </c>
      <c r="BZ29" s="257">
        <v>4.2133763432502747E-2</v>
      </c>
      <c r="CA29" s="10">
        <v>2.7624916401691735E-4</v>
      </c>
      <c r="CB29"/>
      <c r="CC29"/>
      <c r="CD29" s="11">
        <v>8.0916769802570343E-3</v>
      </c>
      <c r="CE29" s="293">
        <v>0.18353448808193207</v>
      </c>
      <c r="CF29" s="64">
        <v>3.8977678865194321E-2</v>
      </c>
      <c r="CG29"/>
      <c r="CH29"/>
      <c r="CI29"/>
      <c r="CJ29"/>
      <c r="CK29" s="271">
        <v>7.8119836747646332E-2</v>
      </c>
      <c r="CL29" s="277">
        <v>5.9689182788133621E-2</v>
      </c>
      <c r="CM29" s="22">
        <v>8.904237300157547E-3</v>
      </c>
      <c r="CN29" s="14">
        <v>1.697184331715107E-2</v>
      </c>
      <c r="CO29" s="10">
        <v>9.3134428607299924E-4</v>
      </c>
      <c r="CP29" s="13">
        <v>4.254788625985384E-3</v>
      </c>
      <c r="CQ29"/>
      <c r="CR29" s="10">
        <v>8.8813167531043291E-4</v>
      </c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248</v>
      </c>
      <c r="B30">
        <v>1.5719459056854248</v>
      </c>
      <c r="C30">
        <v>0.43931946158409119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 s="277">
        <v>5.2942171692848206E-2</v>
      </c>
      <c r="AH30"/>
      <c r="AI30"/>
      <c r="AJ30"/>
      <c r="AK30" s="21">
        <v>1.3654398731887341E-2</v>
      </c>
      <c r="AL30" s="10">
        <v>4.5562468585558236E-4</v>
      </c>
      <c r="AM30"/>
      <c r="AN30"/>
      <c r="AO30"/>
      <c r="AP30" s="64">
        <v>3.3198155462741852E-2</v>
      </c>
      <c r="AQ30"/>
      <c r="AR30" s="10">
        <v>2.7798650990007445E-5</v>
      </c>
      <c r="AS30" s="13">
        <v>1.8950627418234944E-3</v>
      </c>
      <c r="AT30" s="329">
        <v>0.56159108877182007</v>
      </c>
      <c r="AU30"/>
      <c r="AV30" s="143">
        <v>9.6638709306716919E-2</v>
      </c>
      <c r="AW30" s="16">
        <v>2.2283554077148438E-2</v>
      </c>
      <c r="AX30" s="25">
        <v>3.8726542145013809E-2</v>
      </c>
      <c r="AY30" s="13">
        <v>3.3755016047507524E-3</v>
      </c>
      <c r="AZ30" s="21">
        <v>1.2818770483136177E-2</v>
      </c>
      <c r="BA30" s="20">
        <v>3.1304631382226944E-2</v>
      </c>
      <c r="BB30"/>
      <c r="BC30"/>
      <c r="BD30"/>
      <c r="BE30"/>
      <c r="BF30"/>
      <c r="BG30"/>
      <c r="BH30"/>
      <c r="BI30"/>
      <c r="BJ30"/>
      <c r="BK30" s="13">
        <v>2.809812780469656E-3</v>
      </c>
      <c r="BL30" s="15">
        <v>2.5195308029651642E-2</v>
      </c>
      <c r="BM30"/>
      <c r="BN30" s="10">
        <v>7.3682313086465001E-5</v>
      </c>
      <c r="BO30"/>
      <c r="BP30"/>
      <c r="BQ30" s="13">
        <v>4.5895585790276527E-3</v>
      </c>
      <c r="BR30"/>
      <c r="BS30"/>
      <c r="BT30"/>
      <c r="BU30" s="10">
        <v>1.1571373761398718E-4</v>
      </c>
      <c r="BV30"/>
      <c r="BW30"/>
      <c r="BX30"/>
      <c r="BY30"/>
      <c r="BZ30"/>
      <c r="CA30" s="10">
        <v>3.7006879574619234E-4</v>
      </c>
      <c r="CB30"/>
      <c r="CC30"/>
      <c r="CD30" s="13">
        <v>2.9708277434110641E-3</v>
      </c>
      <c r="CE30" s="271">
        <v>7.145874947309494E-2</v>
      </c>
      <c r="CF30" s="142">
        <v>4.7295887023210526E-2</v>
      </c>
      <c r="CG30"/>
      <c r="CH30"/>
      <c r="CI30"/>
      <c r="CJ30"/>
      <c r="CK30" s="292">
        <v>0.10872627049684525</v>
      </c>
      <c r="CL30"/>
      <c r="CM30"/>
      <c r="CN30"/>
      <c r="CO30"/>
      <c r="CP30"/>
      <c r="CQ30" s="10">
        <v>1.0859136091312394E-4</v>
      </c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249</v>
      </c>
      <c r="B31">
        <v>0.77914172410964966</v>
      </c>
      <c r="C31">
        <v>0.17996056377887726</v>
      </c>
      <c r="D31"/>
      <c r="E31"/>
      <c r="F31"/>
      <c r="G31"/>
      <c r="H31"/>
      <c r="I31"/>
      <c r="J31"/>
      <c r="K31"/>
      <c r="L31"/>
      <c r="M31"/>
      <c r="N31"/>
      <c r="O31"/>
      <c r="P31" s="299">
        <v>8.9317090809345245E-2</v>
      </c>
      <c r="Q31" s="64">
        <v>1.7140574753284454E-2</v>
      </c>
      <c r="R31"/>
      <c r="S31"/>
      <c r="T31" s="298">
        <v>0.160953089594841</v>
      </c>
      <c r="U31"/>
      <c r="V31" s="12">
        <v>2.8985351324081421E-2</v>
      </c>
      <c r="W31" s="299">
        <v>8.891422301530838E-2</v>
      </c>
      <c r="X31"/>
      <c r="Y31"/>
      <c r="Z31"/>
      <c r="AA31" s="14">
        <v>7.6762232929468155E-3</v>
      </c>
      <c r="AB31"/>
      <c r="AC31"/>
      <c r="AD31"/>
      <c r="AE31"/>
      <c r="AF31"/>
      <c r="AG31"/>
      <c r="AH31"/>
      <c r="AI31"/>
      <c r="AJ31"/>
      <c r="AK31" s="21">
        <v>5.5992826819419861E-3</v>
      </c>
      <c r="AL31"/>
      <c r="AM31"/>
      <c r="AN31"/>
      <c r="AO31"/>
      <c r="AP31" s="21">
        <v>5.9786406345665455E-3</v>
      </c>
      <c r="AQ31"/>
      <c r="AR31" s="11">
        <v>3.0647488310933113E-3</v>
      </c>
      <c r="AS31" s="11">
        <v>2.5001922622323036E-3</v>
      </c>
      <c r="AT31"/>
      <c r="AU31" s="20">
        <v>1.5341139398515224E-2</v>
      </c>
      <c r="AV31" s="17">
        <v>9.1679319739341736E-3</v>
      </c>
      <c r="AW31" s="13">
        <v>2.1606378722935915E-3</v>
      </c>
      <c r="AX31"/>
      <c r="AY31" s="14">
        <v>8.0523993819952011E-3</v>
      </c>
      <c r="AZ31"/>
      <c r="BA31" s="69">
        <v>3.9624694734811783E-2</v>
      </c>
      <c r="BB31"/>
      <c r="BC31"/>
      <c r="BD31" s="10">
        <v>7.5635180110111833E-4</v>
      </c>
      <c r="BE31"/>
      <c r="BF31"/>
      <c r="BG31"/>
      <c r="BH31"/>
      <c r="BI31"/>
      <c r="BJ31" s="66">
        <v>4.5494474470615387E-2</v>
      </c>
      <c r="BK31"/>
      <c r="BL31" s="257">
        <v>1.8735563382506371E-2</v>
      </c>
      <c r="BM31"/>
      <c r="BN31"/>
      <c r="BO31"/>
      <c r="BP31"/>
      <c r="BQ31" s="10">
        <v>5.1820505177602172E-4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15">
        <v>1.2421682476997375E-2</v>
      </c>
      <c r="CF31" s="11">
        <v>3.2787148375064135E-3</v>
      </c>
      <c r="CG31"/>
      <c r="CH31"/>
      <c r="CI31"/>
      <c r="CJ31"/>
      <c r="CK31" s="25">
        <v>1.9443115219473839E-2</v>
      </c>
      <c r="CL31" s="16">
        <v>1.0640473105013371E-2</v>
      </c>
      <c r="CM31" s="10">
        <v>4.9746752483770251E-4</v>
      </c>
      <c r="CN31" s="10">
        <v>1.5569687820971012E-4</v>
      </c>
      <c r="CO31"/>
      <c r="CP31" s="11">
        <v>2.7435210067778826E-3</v>
      </c>
      <c r="CQ31" s="10">
        <v>1.9688059182954021E-5</v>
      </c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250</v>
      </c>
      <c r="B32">
        <v>1.760054349899292</v>
      </c>
      <c r="C32">
        <v>0.51400512456893921</v>
      </c>
      <c r="D32"/>
      <c r="E32"/>
      <c r="F32"/>
      <c r="G32"/>
      <c r="H32"/>
      <c r="I32"/>
      <c r="J32"/>
      <c r="K32"/>
      <c r="L32"/>
      <c r="M32"/>
      <c r="N32"/>
      <c r="O32"/>
      <c r="P32"/>
      <c r="Q32" s="14">
        <v>1.7834797501564026E-2</v>
      </c>
      <c r="R32"/>
      <c r="S32"/>
      <c r="T32" s="14">
        <v>1.5971200540661812E-2</v>
      </c>
      <c r="U32"/>
      <c r="V32" s="283">
        <v>0.20559568703174591</v>
      </c>
      <c r="W32"/>
      <c r="X32"/>
      <c r="Y32"/>
      <c r="Z32"/>
      <c r="AA32" s="27">
        <v>6.1397172510623932E-2</v>
      </c>
      <c r="AB32"/>
      <c r="AC32"/>
      <c r="AD32"/>
      <c r="AE32"/>
      <c r="AF32"/>
      <c r="AG32"/>
      <c r="AH32"/>
      <c r="AI32"/>
      <c r="AJ32"/>
      <c r="AK32" s="18">
        <v>3.1337205320596695E-2</v>
      </c>
      <c r="AL32"/>
      <c r="AM32" s="13">
        <v>2.3534654174000025E-3</v>
      </c>
      <c r="AN32"/>
      <c r="AO32"/>
      <c r="AP32" s="67">
        <v>0.10947256535291672</v>
      </c>
      <c r="AQ32"/>
      <c r="AR32"/>
      <c r="AS32" s="14">
        <v>1.572653092443943E-2</v>
      </c>
      <c r="AT32"/>
      <c r="AU32" s="23">
        <v>4.9302097409963608E-2</v>
      </c>
      <c r="AV32" s="22">
        <v>9.2528043314814568E-3</v>
      </c>
      <c r="AW32" s="302">
        <v>0.22201421856880188</v>
      </c>
      <c r="AX32"/>
      <c r="AY32" s="20">
        <v>3.4964375197887421E-2</v>
      </c>
      <c r="AZ32"/>
      <c r="BA32" s="108">
        <v>0.11732599139213562</v>
      </c>
      <c r="BB32"/>
      <c r="BC32"/>
      <c r="BD32" s="13">
        <v>4.6781240962445736E-3</v>
      </c>
      <c r="BE32"/>
      <c r="BF32"/>
      <c r="BG32"/>
      <c r="BH32"/>
      <c r="BI32"/>
      <c r="BJ32" s="18">
        <v>3.2674245536327362E-2</v>
      </c>
      <c r="BK32" s="13">
        <v>2.1419133991003036E-3</v>
      </c>
      <c r="BL32" s="27">
        <v>6.3763760030269623E-2</v>
      </c>
      <c r="BM32"/>
      <c r="BN32" s="13">
        <v>2.339555649086833E-3</v>
      </c>
      <c r="BO32" s="22">
        <v>9.5911016687750816E-3</v>
      </c>
      <c r="BP32"/>
      <c r="BQ32"/>
      <c r="BR32"/>
      <c r="BS32"/>
      <c r="BT32"/>
      <c r="BU32" s="17">
        <v>2.0482979714870453E-2</v>
      </c>
      <c r="BV32"/>
      <c r="BW32"/>
      <c r="BX32"/>
      <c r="BY32" s="64">
        <v>3.6773152649402618E-2</v>
      </c>
      <c r="BZ32"/>
      <c r="CA32"/>
      <c r="CB32"/>
      <c r="CC32"/>
      <c r="CD32" s="17">
        <v>1.9874293357133865E-2</v>
      </c>
      <c r="CE32" s="142">
        <v>5.1365140825510025E-2</v>
      </c>
      <c r="CF32" s="256">
        <v>0.10151041299104691</v>
      </c>
      <c r="CG32"/>
      <c r="CH32" s="13">
        <v>4.4367522932589054E-3</v>
      </c>
      <c r="CI32"/>
      <c r="CJ32"/>
      <c r="CK32"/>
      <c r="CL32" s="13">
        <v>2.579602412879467E-3</v>
      </c>
      <c r="CM32"/>
      <c r="CN32"/>
      <c r="CO32"/>
      <c r="CP32" s="10">
        <v>1.2900546425953507E-3</v>
      </c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251</v>
      </c>
      <c r="B33">
        <v>0.49563702940940857</v>
      </c>
      <c r="C33">
        <v>5.1158230751752853E-2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 s="326">
        <v>0.40100106596946716</v>
      </c>
      <c r="AX33"/>
      <c r="AY33"/>
      <c r="AZ33"/>
      <c r="BA33"/>
      <c r="BB33"/>
      <c r="BC33"/>
      <c r="BD33"/>
      <c r="BE33"/>
      <c r="BF33"/>
      <c r="BG33" s="261">
        <v>4.3477728962898254E-2</v>
      </c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252</v>
      </c>
      <c r="B34">
        <v>0.18264046311378479</v>
      </c>
      <c r="C34">
        <v>0.11842239648103714</v>
      </c>
      <c r="D34" s="293">
        <v>1.8942654132843018E-2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 s="13">
        <v>3.9119325811043382E-4</v>
      </c>
      <c r="AO34"/>
      <c r="AP34" s="142">
        <v>5.4699424654245377E-3</v>
      </c>
      <c r="AQ34"/>
      <c r="AR34"/>
      <c r="AS34" s="13">
        <v>4.5493381912820041E-4</v>
      </c>
      <c r="AT34"/>
      <c r="AU34" s="277">
        <v>6.0108359903097153E-3</v>
      </c>
      <c r="AV34" s="13">
        <v>3.2724507036618888E-4</v>
      </c>
      <c r="AW34" s="21">
        <v>1.6079968772828579E-3</v>
      </c>
      <c r="AX34"/>
      <c r="AY34"/>
      <c r="AZ34"/>
      <c r="BA34" s="25">
        <v>4.5196618884801865E-3</v>
      </c>
      <c r="BB34"/>
      <c r="BC34"/>
      <c r="BD34"/>
      <c r="BE34"/>
      <c r="BF34"/>
      <c r="BG34"/>
      <c r="BH34"/>
      <c r="BI34"/>
      <c r="BJ34" s="257">
        <v>4.3179416097700596E-3</v>
      </c>
      <c r="BK34" s="13">
        <v>2.5612264289520681E-4</v>
      </c>
      <c r="BL34"/>
      <c r="BM34"/>
      <c r="BN34"/>
      <c r="BO34"/>
      <c r="BP34"/>
      <c r="BQ34"/>
      <c r="BR34"/>
      <c r="BS34"/>
      <c r="BT34"/>
      <c r="BU34"/>
      <c r="BV34"/>
      <c r="BW34"/>
      <c r="BX34" s="10">
        <v>3.2683376048225909E-5</v>
      </c>
      <c r="BY34" s="19">
        <v>7.9125463962554932E-3</v>
      </c>
      <c r="BZ34"/>
      <c r="CA34"/>
      <c r="CB34"/>
      <c r="CC34" s="257">
        <v>4.2183781042695045E-3</v>
      </c>
      <c r="CD34" s="21">
        <v>1.3889136025682092E-3</v>
      </c>
      <c r="CE34" s="64">
        <v>4.1124266572296619E-3</v>
      </c>
      <c r="CF34"/>
      <c r="CG34" s="11">
        <v>7.7499833423644304E-4</v>
      </c>
      <c r="CH34" s="20">
        <v>3.4795904066413641E-3</v>
      </c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253</v>
      </c>
      <c r="B35">
        <v>0.13331381976604462</v>
      </c>
      <c r="C35">
        <v>2.8520572930574417E-2</v>
      </c>
      <c r="D35" s="79">
        <v>2.9580339789390564E-2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 s="11">
        <v>4.584729322232306E-4</v>
      </c>
      <c r="AO35"/>
      <c r="AP35"/>
      <c r="AQ35"/>
      <c r="AR35"/>
      <c r="AS35"/>
      <c r="AT35"/>
      <c r="AU35" s="25">
        <v>3.3288456033915281E-3</v>
      </c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 s="27">
        <v>4.7737052664160728E-3</v>
      </c>
      <c r="BK35" s="22">
        <v>8.125058957375586E-4</v>
      </c>
      <c r="BL35"/>
      <c r="BM35"/>
      <c r="BN35"/>
      <c r="BO35"/>
      <c r="BP35"/>
      <c r="BQ35"/>
      <c r="BR35"/>
      <c r="BS35"/>
      <c r="BT35"/>
      <c r="BU35"/>
      <c r="BV35"/>
      <c r="BW35"/>
      <c r="BX35"/>
      <c r="BY35" s="68">
        <v>1.2161517515778542E-2</v>
      </c>
      <c r="BZ35"/>
      <c r="CA35"/>
      <c r="CB35"/>
      <c r="CC35" s="143">
        <v>8.1635033711791039E-3</v>
      </c>
      <c r="CD35" s="292">
        <v>9.1626811772584915E-3</v>
      </c>
      <c r="CE35" s="262">
        <v>2.8396682813763618E-2</v>
      </c>
      <c r="CF35"/>
      <c r="CG35"/>
      <c r="CH35" s="66">
        <v>7.954990491271019E-3</v>
      </c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254</v>
      </c>
      <c r="B36">
        <v>0.16111083328723907</v>
      </c>
      <c r="C36">
        <v>8.4628410637378693E-2</v>
      </c>
      <c r="D36" s="289">
        <v>1.796191930770874E-2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 s="11">
        <v>6.162318168208003E-4</v>
      </c>
      <c r="AO36"/>
      <c r="AP36"/>
      <c r="AQ36"/>
      <c r="AR36"/>
      <c r="AS36"/>
      <c r="AT36"/>
      <c r="AU36" s="25">
        <v>4.1742720641195774E-3</v>
      </c>
      <c r="AV36"/>
      <c r="AW36" s="74">
        <v>1.5212180092930794E-2</v>
      </c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 s="13">
        <v>4.1524492553435266E-4</v>
      </c>
      <c r="BY36" s="11">
        <v>6.7045935429632664E-4</v>
      </c>
      <c r="BZ36"/>
      <c r="CA36"/>
      <c r="CB36"/>
      <c r="CC36" s="23">
        <v>4.4805854558944702E-3</v>
      </c>
      <c r="CD36" s="77">
        <v>1.0311117395758629E-2</v>
      </c>
      <c r="CE36" s="256">
        <v>9.2685883864760399E-3</v>
      </c>
      <c r="CF36"/>
      <c r="CG36"/>
      <c r="CH36" s="270">
        <v>1.3371820561587811E-2</v>
      </c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255</v>
      </c>
      <c r="B37">
        <v>5.3866580128669739E-2</v>
      </c>
      <c r="C37">
        <v>4.2680520564317703E-2</v>
      </c>
      <c r="D37" s="306">
        <v>7.8122145496308804E-3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 s="67">
        <v>3.3738438505679369E-3</v>
      </c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194</v>
      </c>
      <c r="B38">
        <v>0.13401418924331665</v>
      </c>
      <c r="C38">
        <v>0.11481726914644241</v>
      </c>
      <c r="D38" s="22">
        <v>7.5053522596135736E-4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 s="13">
        <v>1.801687030820176E-4</v>
      </c>
      <c r="AO38"/>
      <c r="AP38"/>
      <c r="AQ38"/>
      <c r="AR38"/>
      <c r="AS38"/>
      <c r="AT38"/>
      <c r="AU38" s="18">
        <v>2.3576908279210329E-3</v>
      </c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 s="10">
        <v>1.2386839080136269E-4</v>
      </c>
      <c r="BZ38"/>
      <c r="CA38"/>
      <c r="CB38"/>
      <c r="CC38" s="264">
        <v>5.1830471493303776E-3</v>
      </c>
      <c r="CD38" s="27">
        <v>4.7205546870827675E-3</v>
      </c>
      <c r="CE38" s="277">
        <v>4.5982683077454567E-3</v>
      </c>
      <c r="CF38"/>
      <c r="CG38"/>
      <c r="CH38" s="14">
        <v>1.2827860191464424E-3</v>
      </c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256</v>
      </c>
      <c r="B39">
        <v>0.14474159479141235</v>
      </c>
      <c r="C39">
        <v>7.7719859778881073E-2</v>
      </c>
      <c r="D39" s="20">
        <v>2.7800446841865778E-3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 s="11">
        <v>4.4271309161558747E-4</v>
      </c>
      <c r="AO39"/>
      <c r="AP39" s="66">
        <v>8.4183206781744957E-3</v>
      </c>
      <c r="AQ39"/>
      <c r="AR39"/>
      <c r="AS39" s="13">
        <v>3.3618160523474216E-4</v>
      </c>
      <c r="AT39"/>
      <c r="AU39" s="292">
        <v>9.8379319533705711E-3</v>
      </c>
      <c r="AV39" s="23">
        <v>3.957557026296854E-3</v>
      </c>
      <c r="AW39" s="25">
        <v>3.7162990774959326E-3</v>
      </c>
      <c r="AX39"/>
      <c r="AY39"/>
      <c r="AZ39"/>
      <c r="BA39"/>
      <c r="BB39"/>
      <c r="BC39"/>
      <c r="BD39"/>
      <c r="BE39"/>
      <c r="BF39"/>
      <c r="BG39" s="11">
        <v>6.3076184596866369E-4</v>
      </c>
      <c r="BH39"/>
      <c r="BI39"/>
      <c r="BJ39" s="143">
        <v>8.6977556347846985E-3</v>
      </c>
      <c r="BK39" s="11">
        <v>6.2351766973733902E-4</v>
      </c>
      <c r="BL39"/>
      <c r="BM39"/>
      <c r="BN39"/>
      <c r="BO39"/>
      <c r="BP39"/>
      <c r="BQ39"/>
      <c r="BR39"/>
      <c r="BS39"/>
      <c r="BT39"/>
      <c r="BU39"/>
      <c r="BV39"/>
      <c r="BW39"/>
      <c r="BX39" s="10">
        <v>6.3350067648570985E-5</v>
      </c>
      <c r="BY39" s="64">
        <v>3.2403434161096811E-3</v>
      </c>
      <c r="BZ39"/>
      <c r="CA39"/>
      <c r="CB39"/>
      <c r="CC39" s="15">
        <v>2.2067015524953604E-3</v>
      </c>
      <c r="CD39" s="23">
        <v>4.0057436563074589E-3</v>
      </c>
      <c r="CE39" s="108">
        <v>9.7633041441440582E-3</v>
      </c>
      <c r="CF39"/>
      <c r="CG39" s="277">
        <v>4.9536186270415783E-3</v>
      </c>
      <c r="CH39" s="257">
        <v>3.3475989475846291E-3</v>
      </c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195</v>
      </c>
      <c r="B40">
        <v>0.26940152049064636</v>
      </c>
      <c r="C40">
        <v>8.3859436213970184E-2</v>
      </c>
      <c r="D40" s="10">
        <v>8.8359016103822796E-8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 s="13">
        <v>3.2851329888217151E-4</v>
      </c>
      <c r="AO40"/>
      <c r="AP40" s="11">
        <v>9.8667526617646217E-4</v>
      </c>
      <c r="AQ40"/>
      <c r="AR40"/>
      <c r="AS40" s="13">
        <v>3.2485774136148393E-4</v>
      </c>
      <c r="AT40"/>
      <c r="AU40" s="277">
        <v>8.8383341208100319E-3</v>
      </c>
      <c r="AV40" s="13">
        <v>3.0514301033690572E-4</v>
      </c>
      <c r="AW40" s="323">
        <v>7.4978940188884735E-2</v>
      </c>
      <c r="AX40"/>
      <c r="AY40"/>
      <c r="AZ40"/>
      <c r="BA40" s="10">
        <v>2.1816280786879361E-4</v>
      </c>
      <c r="BB40"/>
      <c r="BC40"/>
      <c r="BD40"/>
      <c r="BE40"/>
      <c r="BF40"/>
      <c r="BG40" s="17">
        <v>2.9143574647605419E-3</v>
      </c>
      <c r="BH40"/>
      <c r="BI40"/>
      <c r="BJ40" s="310">
        <v>6.1942365020513535E-2</v>
      </c>
      <c r="BK40" s="10">
        <v>9.258803038392216E-5</v>
      </c>
      <c r="BL40"/>
      <c r="BM40"/>
      <c r="BN40"/>
      <c r="BO40"/>
      <c r="BP40"/>
      <c r="BQ40"/>
      <c r="BR40"/>
      <c r="BS40"/>
      <c r="BT40"/>
      <c r="BU40"/>
      <c r="BV40"/>
      <c r="BW40"/>
      <c r="BX40" s="10">
        <v>3.2133422791957855E-5</v>
      </c>
      <c r="BY40" s="11">
        <v>1.2406092137098312E-3</v>
      </c>
      <c r="BZ40"/>
      <c r="CA40"/>
      <c r="CB40"/>
      <c r="CC40" s="257">
        <v>6.1784833669662476E-3</v>
      </c>
      <c r="CD40" s="15">
        <v>4.0486855432391167E-3</v>
      </c>
      <c r="CE40" s="20">
        <v>5.0477343611419201E-3</v>
      </c>
      <c r="CF40"/>
      <c r="CG40" s="142">
        <v>7.8092175535857677E-3</v>
      </c>
      <c r="CH40" s="12">
        <v>1.0255193337798119E-2</v>
      </c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196</v>
      </c>
      <c r="B41">
        <v>0.34395432472229004</v>
      </c>
      <c r="C41">
        <v>0.16993039846420288</v>
      </c>
      <c r="D41" s="307">
        <v>4.4821977615356445E-2</v>
      </c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 s="20">
        <v>6.8410392850637436E-3</v>
      </c>
      <c r="AT41"/>
      <c r="AU41" s="286">
        <v>6.2166396528482437E-2</v>
      </c>
      <c r="AV41" s="11">
        <v>1.3086644466966391E-3</v>
      </c>
      <c r="AW41"/>
      <c r="AX41"/>
      <c r="AY41"/>
      <c r="AZ41"/>
      <c r="BA41" s="18">
        <v>6.2230825424194336E-3</v>
      </c>
      <c r="BB41"/>
      <c r="BC41"/>
      <c r="BD41"/>
      <c r="BE41"/>
      <c r="BF41"/>
      <c r="BG41"/>
      <c r="BH41"/>
      <c r="BI41"/>
      <c r="BJ41" s="276">
        <v>2.4650709703564644E-2</v>
      </c>
      <c r="BK41" s="13">
        <v>3.5537482472136617E-4</v>
      </c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 s="266">
        <v>2.7656685560941696E-2</v>
      </c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197</v>
      </c>
      <c r="B42">
        <v>0.47011855244636536</v>
      </c>
      <c r="C42">
        <v>0.41367411613464355</v>
      </c>
      <c r="D42" s="65">
        <v>1.9008072093129158E-2</v>
      </c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 s="14">
        <v>5.0692595541477203E-3</v>
      </c>
      <c r="BL42"/>
      <c r="BM42"/>
      <c r="BN42"/>
      <c r="BO42"/>
      <c r="BP42"/>
      <c r="BQ42"/>
      <c r="BR42"/>
      <c r="BS42"/>
      <c r="BT42"/>
      <c r="BU42"/>
      <c r="BV42"/>
      <c r="BW42"/>
      <c r="BX42" s="11">
        <v>1.4103295980021358E-3</v>
      </c>
      <c r="BY42"/>
      <c r="BZ42"/>
      <c r="CA42"/>
      <c r="CB42"/>
      <c r="CC42" s="108">
        <v>3.0956773087382317E-2</v>
      </c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198</v>
      </c>
      <c r="B43">
        <v>0.41588151454925537</v>
      </c>
      <c r="C43">
        <v>0.12286655604839325</v>
      </c>
      <c r="D43" s="144">
        <v>0.10482259094715118</v>
      </c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 s="21">
        <v>3.4379076678305864E-3</v>
      </c>
      <c r="AL43"/>
      <c r="AM43"/>
      <c r="AN43"/>
      <c r="AO43"/>
      <c r="AP43"/>
      <c r="AQ43"/>
      <c r="AR43"/>
      <c r="AS43" s="16">
        <v>5.4746586829423904E-3</v>
      </c>
      <c r="AT43"/>
      <c r="AU43" s="18">
        <v>7.0508341304957867E-3</v>
      </c>
      <c r="AV43" s="71">
        <v>2.9678152874112129E-2</v>
      </c>
      <c r="AW43" s="296">
        <v>4.052681103348732E-2</v>
      </c>
      <c r="AX43"/>
      <c r="AY43"/>
      <c r="AZ43"/>
      <c r="BA43" s="299">
        <v>4.6980574727058411E-2</v>
      </c>
      <c r="BB43"/>
      <c r="BC43"/>
      <c r="BD43" s="11">
        <v>1.7172181978821754E-3</v>
      </c>
      <c r="BE43"/>
      <c r="BF43"/>
      <c r="BG43" s="21">
        <v>2.8915402945131063E-3</v>
      </c>
      <c r="BH43"/>
      <c r="BI43"/>
      <c r="BJ43" s="21">
        <v>3.0444967560470104E-3</v>
      </c>
      <c r="BK43" s="22">
        <v>2.3794921580702066E-3</v>
      </c>
      <c r="BL43"/>
      <c r="BM43"/>
      <c r="BN43"/>
      <c r="BO43"/>
      <c r="BP43"/>
      <c r="BQ43"/>
      <c r="BR43"/>
      <c r="BS43"/>
      <c r="BT43"/>
      <c r="BU43"/>
      <c r="BV43"/>
      <c r="BW43"/>
      <c r="BX43" s="10">
        <v>5.2119667088845745E-5</v>
      </c>
      <c r="BY43" s="271">
        <v>1.8561987206339836E-2</v>
      </c>
      <c r="BZ43"/>
      <c r="CA43"/>
      <c r="CB43"/>
      <c r="CC43" s="13">
        <v>1.1461542453616858E-3</v>
      </c>
      <c r="CD43" s="16">
        <v>5.5338642559945583E-3</v>
      </c>
      <c r="CE43" s="25">
        <v>1.0814912617206573E-2</v>
      </c>
      <c r="CF43"/>
      <c r="CG43" s="16">
        <v>5.6551485322415829E-3</v>
      </c>
      <c r="CH43" s="21">
        <v>3.2465101685374975E-3</v>
      </c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199</v>
      </c>
      <c r="B44">
        <v>0.30621793866157532</v>
      </c>
      <c r="C44">
        <v>5.0485718995332718E-2</v>
      </c>
      <c r="D44" s="143">
        <v>1.8890189006924629E-2</v>
      </c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 s="256">
        <v>1.7263608053326607E-2</v>
      </c>
      <c r="AX44"/>
      <c r="AY44"/>
      <c r="AZ44"/>
      <c r="BA44" s="322">
        <v>0.10269052535295486</v>
      </c>
      <c r="BB44"/>
      <c r="BC44"/>
      <c r="BD44"/>
      <c r="BE44"/>
      <c r="BF44"/>
      <c r="BG44"/>
      <c r="BH44"/>
      <c r="BI44"/>
      <c r="BJ44"/>
      <c r="BK44" s="14">
        <v>3.1891129910945892E-3</v>
      </c>
      <c r="BL44"/>
      <c r="BM44"/>
      <c r="BN44"/>
      <c r="BO44"/>
      <c r="BP44"/>
      <c r="BQ44"/>
      <c r="BR44"/>
      <c r="BS44"/>
      <c r="BT44"/>
      <c r="BU44"/>
      <c r="BV44"/>
      <c r="BW44"/>
      <c r="BX44" s="21">
        <v>2.6008512359112501E-3</v>
      </c>
      <c r="BY44"/>
      <c r="BZ44"/>
      <c r="CA44"/>
      <c r="CB44"/>
      <c r="CC44" s="266">
        <v>2.4678884074091911E-2</v>
      </c>
      <c r="CD44" s="302">
        <v>3.8718204945325851E-2</v>
      </c>
      <c r="CE44" s="285">
        <v>4.7700826078653336E-2</v>
      </c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232</v>
      </c>
      <c r="B45">
        <v>0.26816776394844055</v>
      </c>
      <c r="C45">
        <v>0.11273863166570663</v>
      </c>
      <c r="D45" s="308">
        <v>0.10414279252290726</v>
      </c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 s="271">
        <v>1.2039124965667725E-2</v>
      </c>
      <c r="AQ45"/>
      <c r="AR45"/>
      <c r="AS45" s="11">
        <v>1.2697349302470684E-3</v>
      </c>
      <c r="AT45"/>
      <c r="AU45"/>
      <c r="AV45"/>
      <c r="AW45" s="10">
        <v>1.5728168364148587E-4</v>
      </c>
      <c r="AX45"/>
      <c r="AY45"/>
      <c r="AZ45"/>
      <c r="BA45" s="65">
        <v>1.0979851707816124E-2</v>
      </c>
      <c r="BB45"/>
      <c r="BC45"/>
      <c r="BD45"/>
      <c r="BE45"/>
      <c r="BF45"/>
      <c r="BG45" s="10">
        <v>5.8957852161256596E-5</v>
      </c>
      <c r="BH45"/>
      <c r="BI45"/>
      <c r="BJ45" s="65">
        <v>1.0961156338453293E-2</v>
      </c>
      <c r="BK45" s="11">
        <v>1.0671300115063787E-3</v>
      </c>
      <c r="BL45"/>
      <c r="BM45"/>
      <c r="BN45"/>
      <c r="BO45"/>
      <c r="BP45"/>
      <c r="BQ45"/>
      <c r="BR45"/>
      <c r="BS45"/>
      <c r="BT45"/>
      <c r="BU45"/>
      <c r="BV45"/>
      <c r="BW45"/>
      <c r="BX45" s="13">
        <v>2.9967265436425805E-4</v>
      </c>
      <c r="BY45"/>
      <c r="BZ45"/>
      <c r="CA45"/>
      <c r="CB45"/>
      <c r="CC45"/>
      <c r="CD45" s="280">
        <v>1.4453432522714138E-2</v>
      </c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200</v>
      </c>
      <c r="B46">
        <v>8.8901758193969727E-2</v>
      </c>
      <c r="C46">
        <v>1.7448693513870239E-2</v>
      </c>
      <c r="D46" s="309">
        <v>2.8053585439920425E-2</v>
      </c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 s="11">
        <v>2.6163519942201674E-4</v>
      </c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 s="71">
        <v>6.300825159996748E-3</v>
      </c>
      <c r="BK46"/>
      <c r="BL46"/>
      <c r="BM46"/>
      <c r="BN46"/>
      <c r="BO46"/>
      <c r="BP46"/>
      <c r="BQ46"/>
      <c r="BR46"/>
      <c r="BS46"/>
      <c r="BT46"/>
      <c r="BU46"/>
      <c r="BV46"/>
      <c r="BW46"/>
      <c r="BX46" s="22">
        <v>4.973995964974165E-4</v>
      </c>
      <c r="BY46" s="288">
        <v>9.7118616104125977E-3</v>
      </c>
      <c r="BZ46"/>
      <c r="CA46"/>
      <c r="CB46"/>
      <c r="CC46" s="306">
        <v>1.2838643975555897E-2</v>
      </c>
      <c r="CD46"/>
      <c r="CE46" s="265">
        <v>1.0251570492982864E-2</v>
      </c>
      <c r="CF46"/>
      <c r="CG46"/>
      <c r="CH46" s="264">
        <v>3.5375391598790884E-3</v>
      </c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201</v>
      </c>
      <c r="B47">
        <v>0.32699024677276611</v>
      </c>
      <c r="C47">
        <v>0.27444165945053101</v>
      </c>
      <c r="D47" s="301">
        <v>4.9516987055540085E-2</v>
      </c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 s="21">
        <v>2.5280800182372332E-3</v>
      </c>
      <c r="BL47"/>
      <c r="BM47"/>
      <c r="BN47"/>
      <c r="BO47"/>
      <c r="BP47"/>
      <c r="BQ47"/>
      <c r="BR47"/>
      <c r="BS47"/>
      <c r="BT47"/>
      <c r="BU47"/>
      <c r="BV47"/>
      <c r="BW47"/>
      <c r="BX47" s="13">
        <v>5.0353171536698937E-4</v>
      </c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202</v>
      </c>
      <c r="B48">
        <v>2.0978114604949951</v>
      </c>
      <c r="C48">
        <v>0.64297002553939819</v>
      </c>
      <c r="D48" s="275">
        <v>0.22433525323867798</v>
      </c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 s="256">
        <v>0.11818777769804001</v>
      </c>
      <c r="AM48" s="13">
        <v>3.7260223180055618E-3</v>
      </c>
      <c r="AN48"/>
      <c r="AO48"/>
      <c r="AP48"/>
      <c r="AQ48"/>
      <c r="AR48"/>
      <c r="AS48" s="15">
        <v>3.1130176037549973E-2</v>
      </c>
      <c r="AT48"/>
      <c r="AU48" s="13">
        <v>3.7151193246245384E-3</v>
      </c>
      <c r="AV48" s="10">
        <v>1.7870042938739061E-3</v>
      </c>
      <c r="AW48" s="21">
        <v>1.8203066661953926E-2</v>
      </c>
      <c r="AX48" s="11">
        <v>7.1319360285997391E-3</v>
      </c>
      <c r="AY48"/>
      <c r="AZ48"/>
      <c r="BA48"/>
      <c r="BB48"/>
      <c r="BC48"/>
      <c r="BD48"/>
      <c r="BE48"/>
      <c r="BF48"/>
      <c r="BG48"/>
      <c r="BH48"/>
      <c r="BI48"/>
      <c r="BJ48"/>
      <c r="BK48" s="11">
        <v>7.2430842556059361E-3</v>
      </c>
      <c r="BL48" s="28">
        <v>9.865240752696991E-2</v>
      </c>
      <c r="BM48"/>
      <c r="BN48" s="64">
        <v>4.5070208609104156E-2</v>
      </c>
      <c r="BO48"/>
      <c r="BP48"/>
      <c r="BQ48" s="23">
        <v>5.8640342205762863E-2</v>
      </c>
      <c r="BR48"/>
      <c r="BS48"/>
      <c r="BT48"/>
      <c r="BU48"/>
      <c r="BV48"/>
      <c r="BW48"/>
      <c r="BX48" s="18">
        <v>3.7453595548868179E-2</v>
      </c>
      <c r="BY48" s="261">
        <v>0.18570347130298615</v>
      </c>
      <c r="BZ48"/>
      <c r="CA48" s="11">
        <v>8.8407937437295914E-3</v>
      </c>
      <c r="CB48"/>
      <c r="CC48"/>
      <c r="CD48" s="265">
        <v>0.24473313987255096</v>
      </c>
      <c r="CE48" s="293">
        <v>0.21815867722034454</v>
      </c>
      <c r="CF48"/>
      <c r="CG48"/>
      <c r="CH48" s="19">
        <v>9.1965198516845703E-2</v>
      </c>
      <c r="CI48"/>
      <c r="CJ48"/>
      <c r="CK48"/>
      <c r="CL48"/>
      <c r="CM48" s="10">
        <v>1.1709014652296901E-3</v>
      </c>
      <c r="CN48"/>
      <c r="CO48"/>
      <c r="CP48"/>
      <c r="CQ48" s="257">
        <v>4.8993315547704697E-2</v>
      </c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203</v>
      </c>
      <c r="B49">
        <v>0.227007657289505</v>
      </c>
      <c r="C49">
        <v>0.15290184319019318</v>
      </c>
      <c r="D49" s="11">
        <v>1.0751613881438971E-3</v>
      </c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 s="259">
        <v>4.4731386005878448E-2</v>
      </c>
      <c r="AX49"/>
      <c r="AY49"/>
      <c r="AZ49"/>
      <c r="BA49"/>
      <c r="BB49"/>
      <c r="BC49"/>
      <c r="BD49"/>
      <c r="BE49"/>
      <c r="BF49"/>
      <c r="BG49" s="14">
        <v>2.3811759892851114E-3</v>
      </c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 s="11">
        <v>6.7904562456533313E-4</v>
      </c>
      <c r="BY49"/>
      <c r="BZ49"/>
      <c r="CA49"/>
      <c r="CB49"/>
      <c r="CC49" s="77">
        <v>1.4663811773061752E-2</v>
      </c>
      <c r="CD49"/>
      <c r="CE49"/>
      <c r="CF49"/>
      <c r="CG49" s="28">
        <v>1.0575230233371258E-2</v>
      </c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204</v>
      </c>
      <c r="B50">
        <v>7.0704862475395203E-2</v>
      </c>
      <c r="C50">
        <v>7.3205498047173023E-3</v>
      </c>
      <c r="D50" s="273">
        <v>6.1201732605695724E-3</v>
      </c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 s="17">
        <v>8.2419457612559199E-4</v>
      </c>
      <c r="AN50"/>
      <c r="AO50"/>
      <c r="AP50"/>
      <c r="AQ50"/>
      <c r="AR50"/>
      <c r="AS50"/>
      <c r="AT50"/>
      <c r="AU50" s="64">
        <v>1.4880391536280513E-3</v>
      </c>
      <c r="AV50"/>
      <c r="AW50" s="78">
        <v>9.9147818982601166E-3</v>
      </c>
      <c r="AX50"/>
      <c r="AY50"/>
      <c r="AZ50"/>
      <c r="BA50"/>
      <c r="BB50"/>
      <c r="BC50"/>
      <c r="BD50"/>
      <c r="BE50"/>
      <c r="BF50"/>
      <c r="BG50"/>
      <c r="BH50"/>
      <c r="BI50"/>
      <c r="BJ50"/>
      <c r="BK50" s="16">
        <v>9.777942905202508E-4</v>
      </c>
      <c r="BL50"/>
      <c r="BM50"/>
      <c r="BN50"/>
      <c r="BO50"/>
      <c r="BP50"/>
      <c r="BQ50"/>
      <c r="BR50"/>
      <c r="BS50"/>
      <c r="BT50"/>
      <c r="BU50"/>
      <c r="BV50"/>
      <c r="BW50"/>
      <c r="BX50" s="11">
        <v>3.0398441595025361E-4</v>
      </c>
      <c r="BY50" s="280">
        <v>3.7670184392482042E-3</v>
      </c>
      <c r="BZ50"/>
      <c r="CA50"/>
      <c r="CB50"/>
      <c r="CC50" s="143">
        <v>4.2556333355605602E-3</v>
      </c>
      <c r="CD50"/>
      <c r="CE50" s="299">
        <v>7.9820891842246056E-3</v>
      </c>
      <c r="CF50" s="321">
        <v>1.9335385411977768E-2</v>
      </c>
      <c r="CG50" s="140">
        <v>8.4152240306138992E-3</v>
      </c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257</v>
      </c>
      <c r="B51">
        <v>0.11415141075849533</v>
      </c>
      <c r="C51">
        <v>3.5978786647319794E-2</v>
      </c>
      <c r="D51" s="267">
        <v>2.8414437547326088E-2</v>
      </c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 s="21">
        <v>8.9215359184890985E-4</v>
      </c>
      <c r="AO51"/>
      <c r="AP51"/>
      <c r="AQ51"/>
      <c r="AR51"/>
      <c r="AS51"/>
      <c r="AT51"/>
      <c r="AU51" s="315">
        <v>2.1835179999470711E-2</v>
      </c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 s="269">
        <v>5.5210059508681297E-3</v>
      </c>
      <c r="CD51" s="17">
        <v>1.3703091535717249E-3</v>
      </c>
      <c r="CE51" s="66">
        <v>6.6878274083137512E-3</v>
      </c>
      <c r="CF51"/>
      <c r="CG51"/>
      <c r="CH51" s="283">
        <v>1.3451708480715752E-2</v>
      </c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258</v>
      </c>
      <c r="B52">
        <v>4.9299512058496475E-2</v>
      </c>
      <c r="C52">
        <v>1.2501046061515808E-2</v>
      </c>
      <c r="D52" s="287">
        <v>1.8869953230023384E-2</v>
      </c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 s="22">
        <v>2.5247520534321666E-4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 s="18">
        <v>8.9908915106207132E-4</v>
      </c>
      <c r="BZ52"/>
      <c r="CA52"/>
      <c r="CB52"/>
      <c r="CC52" s="68">
        <v>4.5835222117602825E-3</v>
      </c>
      <c r="CD52" s="64">
        <v>1.0945344110950828E-3</v>
      </c>
      <c r="CE52" s="314">
        <v>9.558933787047863E-3</v>
      </c>
      <c r="CF52"/>
      <c r="CG52"/>
      <c r="CH52" s="24">
        <v>1.5399581752717495E-3</v>
      </c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259</v>
      </c>
      <c r="B53">
        <v>0.13132975995540619</v>
      </c>
      <c r="C53">
        <v>1.7988376319408417E-2</v>
      </c>
      <c r="D53" s="285">
        <v>2.0311690866947174E-2</v>
      </c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 s="11">
        <v>6.1703042592853308E-4</v>
      </c>
      <c r="AO53"/>
      <c r="AP53" s="271">
        <v>5.8063985779881477E-3</v>
      </c>
      <c r="AQ53"/>
      <c r="AR53"/>
      <c r="AS53" s="13">
        <v>1.3089147978462279E-4</v>
      </c>
      <c r="AT53"/>
      <c r="AU53" s="280">
        <v>6.9007771089673042E-3</v>
      </c>
      <c r="AV53" s="16">
        <v>1.8024799646809697E-3</v>
      </c>
      <c r="AW53" s="18">
        <v>2.4364313576370478E-3</v>
      </c>
      <c r="AX53"/>
      <c r="AY53"/>
      <c r="AZ53"/>
      <c r="BA53"/>
      <c r="BB53"/>
      <c r="BC53"/>
      <c r="BD53"/>
      <c r="BE53"/>
      <c r="BF53"/>
      <c r="BG53"/>
      <c r="BH53"/>
      <c r="BI53"/>
      <c r="BJ53" s="296">
        <v>1.295680645853281E-2</v>
      </c>
      <c r="BK53" s="13">
        <v>1.8852608627639711E-4</v>
      </c>
      <c r="BL53"/>
      <c r="BM53"/>
      <c r="BN53"/>
      <c r="BO53"/>
      <c r="BP53"/>
      <c r="BQ53"/>
      <c r="BR53"/>
      <c r="BS53"/>
      <c r="BT53"/>
      <c r="BU53"/>
      <c r="BV53"/>
      <c r="BW53"/>
      <c r="BX53" s="10">
        <v>4.9391666834708303E-5</v>
      </c>
      <c r="BY53" s="27">
        <v>4.6003377065062523E-3</v>
      </c>
      <c r="BZ53"/>
      <c r="CA53"/>
      <c r="CB53"/>
      <c r="CC53" s="265">
        <v>1.5266235917806625E-2</v>
      </c>
      <c r="CD53" s="28">
        <v>6.0842731036245823E-3</v>
      </c>
      <c r="CE53" s="265">
        <v>1.5260381624102592E-2</v>
      </c>
      <c r="CF53"/>
      <c r="CG53" s="296">
        <v>1.2789944186806679E-2</v>
      </c>
      <c r="CH53" s="67">
        <v>8.1397891044616699E-3</v>
      </c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260</v>
      </c>
      <c r="B54">
        <v>7.910570502281189E-2</v>
      </c>
      <c r="C54">
        <v>1.1620396748185158E-2</v>
      </c>
      <c r="D54" s="143">
        <v>4.7474903985857964E-3</v>
      </c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 s="22">
        <v>4.026374954264611E-4</v>
      </c>
      <c r="AO54"/>
      <c r="AP54" s="295">
        <v>1.1807836592197418E-2</v>
      </c>
      <c r="AQ54"/>
      <c r="AR54"/>
      <c r="AS54" s="11">
        <v>3.7965580122545362E-4</v>
      </c>
      <c r="AT54"/>
      <c r="AU54"/>
      <c r="AV54" s="13">
        <v>1.5409103070851415E-4</v>
      </c>
      <c r="AW54" s="108">
        <v>5.3160549141466618E-3</v>
      </c>
      <c r="AX54"/>
      <c r="AY54"/>
      <c r="AZ54"/>
      <c r="BA54"/>
      <c r="BB54"/>
      <c r="BC54"/>
      <c r="BD54"/>
      <c r="BE54"/>
      <c r="BF54"/>
      <c r="BG54" s="15">
        <v>1.2869476340711117E-3</v>
      </c>
      <c r="BH54"/>
      <c r="BI54"/>
      <c r="BJ54" s="317">
        <v>1.3395621441304684E-2</v>
      </c>
      <c r="BK54" s="14">
        <v>7.8956084325909615E-4</v>
      </c>
      <c r="BL54"/>
      <c r="BM54"/>
      <c r="BN54"/>
      <c r="BO54"/>
      <c r="BP54"/>
      <c r="BQ54"/>
      <c r="BR54"/>
      <c r="BS54"/>
      <c r="BT54"/>
      <c r="BU54"/>
      <c r="BV54"/>
      <c r="BW54"/>
      <c r="BX54"/>
      <c r="BY54" s="14">
        <v>7.1282754652202129E-4</v>
      </c>
      <c r="BZ54"/>
      <c r="CA54"/>
      <c r="CB54"/>
      <c r="CC54" s="77">
        <v>5.0880466587841511E-3</v>
      </c>
      <c r="CD54" s="22">
        <v>5.175112746655941E-4</v>
      </c>
      <c r="CE54" s="318">
        <v>1.4160271733999252E-2</v>
      </c>
      <c r="CF54"/>
      <c r="CG54" s="271">
        <v>3.544108010828495E-3</v>
      </c>
      <c r="CH54" s="77">
        <v>5.1826420240104198E-3</v>
      </c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261</v>
      </c>
      <c r="B55">
        <v>6.3871324062347412E-2</v>
      </c>
      <c r="C55">
        <v>2.7333840727806091E-2</v>
      </c>
      <c r="D55" s="310">
        <v>1.4655381441116333E-2</v>
      </c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 s="11">
        <v>1.8943128816317767E-4</v>
      </c>
      <c r="AO55"/>
      <c r="AP55"/>
      <c r="AQ55"/>
      <c r="AR55"/>
      <c r="AS55"/>
      <c r="AT55"/>
      <c r="AU55"/>
      <c r="AV55"/>
      <c r="AW55" s="256">
        <v>3.616811241954565E-3</v>
      </c>
      <c r="AX55"/>
      <c r="AY55"/>
      <c r="AZ55"/>
      <c r="BA55"/>
      <c r="BB55"/>
      <c r="BC55"/>
      <c r="BD55"/>
      <c r="BE55"/>
      <c r="BF55"/>
      <c r="BG55" s="11">
        <v>1.9498962501529604E-4</v>
      </c>
      <c r="BH55"/>
      <c r="BI55"/>
      <c r="BJ55" s="280">
        <v>3.3830588217824697E-3</v>
      </c>
      <c r="BK55" s="21">
        <v>5.6172371841967106E-4</v>
      </c>
      <c r="BL55"/>
      <c r="BM55"/>
      <c r="BN55"/>
      <c r="BO55"/>
      <c r="BP55"/>
      <c r="BQ55"/>
      <c r="BR55"/>
      <c r="BS55"/>
      <c r="BT55"/>
      <c r="BU55"/>
      <c r="BV55"/>
      <c r="BW55"/>
      <c r="BX55"/>
      <c r="BY55" s="13">
        <v>1.0662081331247464E-4</v>
      </c>
      <c r="BZ55"/>
      <c r="CA55"/>
      <c r="CB55"/>
      <c r="CC55" s="290">
        <v>5.3488602861762047E-3</v>
      </c>
      <c r="CD55" s="10">
        <v>1.7197200577356853E-5</v>
      </c>
      <c r="CE55" s="16">
        <v>8.4787141531705856E-4</v>
      </c>
      <c r="CF55"/>
      <c r="CG55" s="15">
        <v>9.9994847550988197E-4</v>
      </c>
      <c r="CH55" s="293">
        <v>6.6155861131846905E-3</v>
      </c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233</v>
      </c>
      <c r="B56">
        <v>5.3029142320156097E-2</v>
      </c>
      <c r="C56">
        <v>1.8242267891764641E-2</v>
      </c>
      <c r="D56" s="297">
        <v>7.1280673146247864E-3</v>
      </c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 s="319">
        <v>2.593725360929966E-2</v>
      </c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 s="18">
        <v>8.9078058954328299E-4</v>
      </c>
      <c r="CD56"/>
      <c r="CE56"/>
      <c r="CF56"/>
      <c r="CG56" s="15">
        <v>8.3077058661729097E-4</v>
      </c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 t="s">
        <v>234</v>
      </c>
      <c r="B57">
        <v>0.11744140833616257</v>
      </c>
      <c r="C57">
        <v>1.663532666862011E-2</v>
      </c>
      <c r="D57" s="283">
        <v>1.3892366550862789E-2</v>
      </c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 s="274">
        <v>8.2662120461463928E-2</v>
      </c>
      <c r="AX57"/>
      <c r="AY57"/>
      <c r="AZ57"/>
      <c r="BA57"/>
      <c r="BB57"/>
      <c r="BC57"/>
      <c r="BD57"/>
      <c r="BE57"/>
      <c r="BF57"/>
      <c r="BG57" s="27">
        <v>4.2515969835221767E-3</v>
      </c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 t="s">
        <v>205</v>
      </c>
      <c r="B58">
        <v>0.32471483945846558</v>
      </c>
      <c r="C58">
        <v>3.4401156008243561E-2</v>
      </c>
      <c r="D58" s="12">
        <v>1.202679704874754E-2</v>
      </c>
      <c r="E58"/>
      <c r="F58"/>
      <c r="G58"/>
      <c r="H58"/>
      <c r="I58"/>
      <c r="J58"/>
      <c r="K58"/>
      <c r="L58"/>
      <c r="M58"/>
      <c r="N58"/>
      <c r="O58"/>
      <c r="P58"/>
      <c r="Q58" s="269">
        <v>1.5745269134640694E-2</v>
      </c>
      <c r="R58"/>
      <c r="S58"/>
      <c r="T58" s="290">
        <v>2.7395220473408699E-2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 s="12">
        <v>1.1999526061117649E-2</v>
      </c>
      <c r="AL58" s="13">
        <v>3.4953898284584284E-4</v>
      </c>
      <c r="AM58" s="10">
        <v>1.5167868696153164E-4</v>
      </c>
      <c r="AN58" s="13">
        <v>4.0976193849928677E-4</v>
      </c>
      <c r="AO58"/>
      <c r="AP58" s="20">
        <v>6.0595786198973656E-3</v>
      </c>
      <c r="AQ58"/>
      <c r="AR58" s="67">
        <v>2.0186182111501694E-2</v>
      </c>
      <c r="AS58" s="17">
        <v>3.5438912454992533E-3</v>
      </c>
      <c r="AT58" s="275">
        <v>3.4954309463500977E-2</v>
      </c>
      <c r="AU58" s="266">
        <v>2.6391780003905296E-2</v>
      </c>
      <c r="AV58" s="142">
        <v>9.6006542444229126E-3</v>
      </c>
      <c r="AW58" s="108">
        <v>2.1671872586011887E-2</v>
      </c>
      <c r="AX58"/>
      <c r="AY58" s="13">
        <v>9.1983558377251029E-4</v>
      </c>
      <c r="AZ58"/>
      <c r="BA58" s="140">
        <v>3.8621753454208374E-2</v>
      </c>
      <c r="BB58"/>
      <c r="BC58"/>
      <c r="BD58" s="13">
        <v>3.5117633524350822E-4</v>
      </c>
      <c r="BE58"/>
      <c r="BF58"/>
      <c r="BG58" s="13">
        <v>4.6009276411496103E-4</v>
      </c>
      <c r="BH58" s="10">
        <v>5.4755819292040542E-5</v>
      </c>
      <c r="BI58"/>
      <c r="BJ58" s="292">
        <v>2.2036157548427582E-2</v>
      </c>
      <c r="BK58" s="13">
        <v>4.852071579080075E-4</v>
      </c>
      <c r="BL58"/>
      <c r="BM58"/>
      <c r="BN58"/>
      <c r="BO58"/>
      <c r="BP58"/>
      <c r="BQ58"/>
      <c r="BR58"/>
      <c r="BS58"/>
      <c r="BT58"/>
      <c r="BU58"/>
      <c r="BV58"/>
      <c r="BW58"/>
      <c r="BX58" s="10">
        <v>1.5037191042210907E-4</v>
      </c>
      <c r="BY58" s="18">
        <v>5.7857581414282322E-3</v>
      </c>
      <c r="BZ58"/>
      <c r="CA58"/>
      <c r="CB58"/>
      <c r="CC58"/>
      <c r="CD58" s="71">
        <v>2.3087069392204285E-2</v>
      </c>
      <c r="CE58" s="257">
        <v>7.3878997936844826E-3</v>
      </c>
      <c r="CF58"/>
      <c r="CG58" s="10">
        <v>2.0875022164545953E-4</v>
      </c>
      <c r="CH58" s="10">
        <v>2.7875215164385736E-4</v>
      </c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 t="s">
        <v>206</v>
      </c>
      <c r="B59">
        <v>0.20894365012645721</v>
      </c>
      <c r="C59">
        <v>0.10662875324487686</v>
      </c>
      <c r="D59" s="19">
        <v>9.0439775958657265E-3</v>
      </c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 s="10">
        <v>8.022590191103518E-5</v>
      </c>
      <c r="AX59"/>
      <c r="AY59"/>
      <c r="AZ59"/>
      <c r="BA59"/>
      <c r="BB59"/>
      <c r="BC59"/>
      <c r="BD59"/>
      <c r="BE59"/>
      <c r="BF59"/>
      <c r="BG59"/>
      <c r="BH59"/>
      <c r="BI59"/>
      <c r="BJ59"/>
      <c r="BK59" s="10">
        <v>2.564823989814613E-5</v>
      </c>
      <c r="BL59"/>
      <c r="BM59"/>
      <c r="BN59"/>
      <c r="BO59"/>
      <c r="BP59"/>
      <c r="BQ59"/>
      <c r="BR59"/>
      <c r="BS59"/>
      <c r="BT59"/>
      <c r="BU59"/>
      <c r="BV59"/>
      <c r="BW59"/>
      <c r="BX59" s="13">
        <v>2.4500553263351321E-4</v>
      </c>
      <c r="BY59" s="18">
        <v>3.8267381023615599E-3</v>
      </c>
      <c r="BZ59"/>
      <c r="CA59"/>
      <c r="CB59"/>
      <c r="CC59" s="28">
        <v>9.7244689241051674E-3</v>
      </c>
      <c r="CD59"/>
      <c r="CE59" s="320">
        <v>3.3027861267328262E-2</v>
      </c>
      <c r="CF59" s="302">
        <v>2.6231752708554268E-2</v>
      </c>
      <c r="CG59" s="294">
        <v>2.010921947658062E-2</v>
      </c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 t="s">
        <v>207</v>
      </c>
      <c r="B60">
        <v>0.17976047098636627</v>
      </c>
      <c r="C60">
        <v>4.3971005827188492E-2</v>
      </c>
      <c r="D60" s="311">
        <v>8.4787756204605103E-2</v>
      </c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 s="298">
        <v>3.6875735968351364E-2</v>
      </c>
      <c r="BL60"/>
      <c r="BM60"/>
      <c r="BN60"/>
      <c r="BO60"/>
      <c r="BP60"/>
      <c r="BQ60"/>
      <c r="BR60"/>
      <c r="BS60"/>
      <c r="BT60"/>
      <c r="BU60"/>
      <c r="BV60"/>
      <c r="BW60" s="21">
        <v>1.3730740174651146E-3</v>
      </c>
      <c r="BX60" s="13">
        <v>3.5269593354314566E-4</v>
      </c>
      <c r="BY60" s="292">
        <v>1.2400208041071892E-2</v>
      </c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 t="s">
        <v>262</v>
      </c>
      <c r="B61">
        <v>9.8205804824829102E-2</v>
      </c>
      <c r="C61">
        <v>9.8205804824829102E-2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 t="s">
        <v>208</v>
      </c>
      <c r="B62">
        <v>0.21830970048904419</v>
      </c>
      <c r="C62">
        <v>0.21830970048904419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 t="s">
        <v>263</v>
      </c>
      <c r="B63">
        <v>0.12941284477710724</v>
      </c>
      <c r="C63">
        <v>0.12941284477710724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 t="s">
        <v>209</v>
      </c>
      <c r="B64">
        <v>7.8962035477161407E-2</v>
      </c>
      <c r="C64">
        <v>7.8962035477161407E-2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 t="s">
        <v>264</v>
      </c>
      <c r="B65">
        <v>0.11747609078884125</v>
      </c>
      <c r="C65">
        <v>0.11747609078884125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 t="s">
        <v>210</v>
      </c>
      <c r="B66">
        <v>0.11667721718549728</v>
      </c>
      <c r="C66">
        <v>0.11667721718549728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 t="s">
        <v>235</v>
      </c>
      <c r="B67">
        <v>8.2553379237651825E-2</v>
      </c>
      <c r="C67">
        <v>8.2553379237651825E-2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 t="s">
        <v>211</v>
      </c>
      <c r="B68">
        <v>1.9796077162027359E-2</v>
      </c>
      <c r="C68">
        <v>1.9796077162027359E-2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 t="s">
        <v>265</v>
      </c>
      <c r="B69">
        <v>5.6517329066991806E-2</v>
      </c>
      <c r="C69">
        <v>5.6517329066991806E-2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 t="s">
        <v>212</v>
      </c>
      <c r="B70">
        <v>6.4736992120742798E-2</v>
      </c>
      <c r="C70">
        <v>6.4736992120742798E-2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 t="s">
        <v>213</v>
      </c>
      <c r="B71">
        <v>0.12972001731395721</v>
      </c>
      <c r="C71">
        <v>0.12972001731395721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 t="s">
        <v>236</v>
      </c>
      <c r="B72">
        <v>2.8718074783682823E-2</v>
      </c>
      <c r="C72">
        <v>2.8718074783682823E-2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 t="s">
        <v>237</v>
      </c>
      <c r="B73">
        <v>2.0390884950757027E-2</v>
      </c>
      <c r="C73">
        <v>2.0390884950757027E-2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 t="s">
        <v>214</v>
      </c>
      <c r="B74">
        <v>8.3873316645622253E-2</v>
      </c>
      <c r="C74">
        <v>3.7377767264842987E-2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 s="272">
        <v>4.3161530047655106E-2</v>
      </c>
      <c r="BL74"/>
      <c r="BM74"/>
      <c r="BN74"/>
      <c r="BO74"/>
      <c r="BP74"/>
      <c r="BQ74"/>
      <c r="BR74"/>
      <c r="BS74"/>
      <c r="BT74"/>
      <c r="BU74"/>
      <c r="BV74"/>
      <c r="BW74" s="264">
        <v>3.3340223599225283E-3</v>
      </c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 t="s">
        <v>238</v>
      </c>
      <c r="B75">
        <v>3.5324834287166595E-2</v>
      </c>
      <c r="C75">
        <v>3.1488098204135895E-2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 s="275">
        <v>3.836736548691988E-3</v>
      </c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 t="s">
        <v>239</v>
      </c>
      <c r="B76">
        <v>5.0847887992858887E-2</v>
      </c>
      <c r="C76">
        <v>4.8789650201797485E-2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 s="65">
        <v>2.0582370925694704E-3</v>
      </c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 t="s">
        <v>240</v>
      </c>
      <c r="B77">
        <v>2.5158654898405075E-2</v>
      </c>
      <c r="C77">
        <v>1.7705215141177177E-2</v>
      </c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 s="109">
        <v>7.453440222889185E-3</v>
      </c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 t="s">
        <v>215</v>
      </c>
      <c r="B78">
        <v>1.5360424295067787E-2</v>
      </c>
      <c r="C78">
        <v>1.0064372792840004E-2</v>
      </c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 s="312">
        <v>5.2960515022277832E-3</v>
      </c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 t="s">
        <v>216</v>
      </c>
      <c r="B79">
        <v>7.4656024575233459E-2</v>
      </c>
      <c r="C79">
        <v>4.4542670249938965E-2</v>
      </c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 s="313">
        <v>2.1049123257398605E-2</v>
      </c>
      <c r="BL79"/>
      <c r="BM79"/>
      <c r="BN79"/>
      <c r="BO79"/>
      <c r="BP79"/>
      <c r="BQ79"/>
      <c r="BR79"/>
      <c r="BS79"/>
      <c r="BT79"/>
      <c r="BU79"/>
      <c r="BV79"/>
      <c r="BW79" s="278">
        <v>9.0642292052507401E-3</v>
      </c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 t="s">
        <v>217</v>
      </c>
      <c r="B80">
        <v>8.2272328436374664E-2</v>
      </c>
      <c r="C80">
        <v>4.9808815121650696E-2</v>
      </c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 s="263">
        <v>2.3521676659584045E-2</v>
      </c>
      <c r="BL80"/>
      <c r="BM80"/>
      <c r="BN80"/>
      <c r="BO80"/>
      <c r="BP80"/>
      <c r="BQ80"/>
      <c r="BR80"/>
      <c r="BS80"/>
      <c r="BT80"/>
      <c r="BU80"/>
      <c r="BV80"/>
      <c r="BW80" s="275">
        <v>8.9418366551399231E-3</v>
      </c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 t="s">
        <v>266</v>
      </c>
      <c r="B81">
        <v>0.33092027902603149</v>
      </c>
      <c r="C81">
        <v>0.33092027902603149</v>
      </c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 t="s">
        <v>267</v>
      </c>
      <c r="B82">
        <v>0.2371075302362442</v>
      </c>
      <c r="C82">
        <v>0.20179140567779541</v>
      </c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 s="316">
        <v>3.2559394836425781E-2</v>
      </c>
      <c r="BL82"/>
      <c r="BM82"/>
      <c r="BN82"/>
      <c r="BO82"/>
      <c r="BP82"/>
      <c r="BQ82"/>
      <c r="BR82"/>
      <c r="BS82"/>
      <c r="BT82"/>
      <c r="BU82"/>
      <c r="BV82"/>
      <c r="BW82" s="17">
        <v>2.7567262295633554E-3</v>
      </c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 t="s">
        <v>218</v>
      </c>
      <c r="B83">
        <v>0.11097575724124908</v>
      </c>
      <c r="C83">
        <v>0.10492627322673798</v>
      </c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 s="63">
        <v>6.0494816862046719E-3</v>
      </c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 t="s">
        <v>219</v>
      </c>
      <c r="B84">
        <v>4.3404892086982727E-2</v>
      </c>
      <c r="C84">
        <v>3.9940420538187027E-2</v>
      </c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 s="266">
        <v>3.4644724801182747E-3</v>
      </c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 t="s">
        <v>220</v>
      </c>
      <c r="B85">
        <v>3.6411736160516739E-2</v>
      </c>
      <c r="C85">
        <v>3.3435232937335968E-2</v>
      </c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 s="270">
        <v>2.9765020590275526E-3</v>
      </c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 t="s">
        <v>221</v>
      </c>
      <c r="B86">
        <v>7.3908485472202301E-2</v>
      </c>
      <c r="C86">
        <v>6.8453975021839142E-2</v>
      </c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 s="284">
        <v>5.4545137099921703E-3</v>
      </c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 t="s">
        <v>268</v>
      </c>
      <c r="B87">
        <v>0.21852332353591919</v>
      </c>
      <c r="C87">
        <v>0.21852332353591919</v>
      </c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 t="s">
        <v>269</v>
      </c>
      <c r="B88">
        <v>0.15400919318199158</v>
      </c>
      <c r="C88">
        <v>0.15400919318199158</v>
      </c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 t="s">
        <v>222</v>
      </c>
      <c r="B89">
        <v>0.13062684237957001</v>
      </c>
      <c r="C89">
        <v>0.13062684237957001</v>
      </c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 t="s">
        <v>270</v>
      </c>
      <c r="B90">
        <v>0.1065324991941452</v>
      </c>
      <c r="C90">
        <v>0.1065324991941452</v>
      </c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 t="s">
        <v>223</v>
      </c>
      <c r="B91">
        <v>0.16738259792327881</v>
      </c>
      <c r="C91">
        <v>0.16738259792327881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 t="s">
        <v>224</v>
      </c>
      <c r="B92">
        <v>8.92162024974823E-2</v>
      </c>
      <c r="C92">
        <v>8.92162024974823E-2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 t="s">
        <v>225</v>
      </c>
      <c r="B93">
        <v>0.17676626145839691</v>
      </c>
      <c r="C93">
        <v>0.17676626145839691</v>
      </c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 t="s">
        <v>226</v>
      </c>
      <c r="B94"/>
      <c r="C94">
        <v>0.24300692975521088</v>
      </c>
      <c r="D94"/>
      <c r="E94"/>
      <c r="F94" s="8">
        <v>464.5614013671875</v>
      </c>
      <c r="G94" s="8">
        <v>76.601974487304688</v>
      </c>
      <c r="H94" s="8">
        <v>46.137210845947266</v>
      </c>
      <c r="I94" s="8">
        <v>168.51162719726562</v>
      </c>
      <c r="J94"/>
      <c r="K94"/>
      <c r="L94"/>
      <c r="M94" s="8">
        <v>5.7061991691589355</v>
      </c>
      <c r="N94"/>
      <c r="O94" s="8">
        <v>1.8949551582336426</v>
      </c>
      <c r="P94" s="8">
        <v>2.4784376621246338</v>
      </c>
      <c r="Q94" s="8">
        <v>1.5401619486510754E-2</v>
      </c>
      <c r="R94" s="8">
        <v>5.7209189981222153E-2</v>
      </c>
      <c r="S94"/>
      <c r="T94" s="8">
        <v>0.12801143527030945</v>
      </c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 s="8">
        <v>3.1890878453850746E-3</v>
      </c>
      <c r="AT94"/>
      <c r="AU94"/>
      <c r="AV94"/>
      <c r="AW94" s="8">
        <v>5.9768624603748322E-2</v>
      </c>
      <c r="AX94"/>
      <c r="AY94"/>
      <c r="AZ94" s="8">
        <v>4.6607621014118195E-2</v>
      </c>
      <c r="BA94" s="8">
        <v>8.5224257782101631E-3</v>
      </c>
      <c r="BB94"/>
      <c r="BC94"/>
      <c r="BD94"/>
      <c r="BE94"/>
      <c r="BF94"/>
      <c r="BG94"/>
      <c r="BH94" s="8">
        <v>1.7611326184123755E-3</v>
      </c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 t="s">
        <v>123</v>
      </c>
      <c r="B95"/>
      <c r="C95">
        <v>0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78" workbookViewId="0">
      <selection activeCell="D104" sqref="D104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5" customWidth="1"/>
    <col min="4" max="4" width="31" bestFit="1" customWidth="1"/>
    <col min="5" max="5" width="13.83203125" bestFit="1" customWidth="1"/>
    <col min="6" max="6" width="10.1640625" bestFit="1" customWidth="1"/>
    <col min="7" max="7" width="15.33203125" bestFit="1" customWidth="1"/>
    <col min="8" max="8" width="31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167</v>
      </c>
    </row>
    <row r="2" spans="1:12" ht="16" x14ac:dyDescent="0.2">
      <c r="A2" s="1" t="s">
        <v>37</v>
      </c>
      <c r="B2" s="38">
        <v>3</v>
      </c>
      <c r="C2" s="36"/>
      <c r="D2" s="175" t="s">
        <v>38</v>
      </c>
      <c r="E2" s="175">
        <v>1</v>
      </c>
      <c r="F2" s="175">
        <v>1</v>
      </c>
      <c r="G2" s="175">
        <v>1</v>
      </c>
      <c r="H2" s="175" t="s">
        <v>38</v>
      </c>
      <c r="J2" s="54"/>
      <c r="K2" s="55"/>
      <c r="L2" s="61" t="s">
        <v>168</v>
      </c>
    </row>
    <row r="3" spans="1:12" ht="17" thickBot="1" x14ac:dyDescent="0.25">
      <c r="A3" s="1" t="s">
        <v>39</v>
      </c>
      <c r="B3" s="39">
        <v>0</v>
      </c>
      <c r="C3" s="36"/>
      <c r="D3" s="175" t="s">
        <v>40</v>
      </c>
      <c r="E3" s="175">
        <v>2</v>
      </c>
      <c r="F3" s="175">
        <v>1.1000000000000001</v>
      </c>
      <c r="G3" s="175">
        <v>2</v>
      </c>
      <c r="H3" s="175" t="s">
        <v>40</v>
      </c>
      <c r="J3" s="56"/>
      <c r="K3" s="57"/>
    </row>
    <row r="4" spans="1:12" ht="16" x14ac:dyDescent="0.2">
      <c r="D4" s="175" t="s">
        <v>41</v>
      </c>
      <c r="E4" s="175">
        <v>3</v>
      </c>
      <c r="F4" s="175">
        <v>1.2</v>
      </c>
      <c r="G4" s="175">
        <v>3</v>
      </c>
      <c r="H4" s="175" t="s">
        <v>41</v>
      </c>
      <c r="J4" s="56"/>
      <c r="K4" s="57"/>
    </row>
    <row r="5" spans="1:12" ht="16" x14ac:dyDescent="0.2">
      <c r="D5" s="175" t="s">
        <v>172</v>
      </c>
      <c r="E5" s="175">
        <v>4</v>
      </c>
      <c r="F5" s="175">
        <v>2</v>
      </c>
      <c r="G5" s="175">
        <v>4</v>
      </c>
      <c r="H5" s="175" t="s">
        <v>172</v>
      </c>
      <c r="J5" s="56"/>
      <c r="K5" s="57"/>
    </row>
    <row r="6" spans="1:12" ht="17" thickBot="1" x14ac:dyDescent="0.25">
      <c r="A6" s="40" t="s">
        <v>121</v>
      </c>
      <c r="D6" s="175" t="s">
        <v>173</v>
      </c>
      <c r="E6" s="175">
        <v>5</v>
      </c>
      <c r="F6" s="175">
        <v>3</v>
      </c>
      <c r="G6" s="175">
        <v>5</v>
      </c>
      <c r="H6" s="175" t="s">
        <v>173</v>
      </c>
      <c r="J6" s="56"/>
      <c r="K6" s="57"/>
    </row>
    <row r="7" spans="1:12" ht="16" x14ac:dyDescent="0.2">
      <c r="A7" s="35" t="s">
        <v>126</v>
      </c>
      <c r="B7" s="42">
        <v>1</v>
      </c>
      <c r="C7" s="37"/>
      <c r="D7" s="175" t="s">
        <v>174</v>
      </c>
      <c r="E7" s="175">
        <v>6</v>
      </c>
      <c r="F7" s="175">
        <v>3</v>
      </c>
      <c r="G7" s="175">
        <v>6</v>
      </c>
      <c r="H7" s="175" t="s">
        <v>174</v>
      </c>
      <c r="J7" s="56"/>
      <c r="K7" s="57"/>
    </row>
    <row r="8" spans="1:12" ht="16" x14ac:dyDescent="0.2">
      <c r="A8" s="35" t="s">
        <v>38</v>
      </c>
      <c r="B8" s="43">
        <v>1</v>
      </c>
      <c r="C8" s="37"/>
      <c r="D8" s="175" t="s">
        <v>175</v>
      </c>
      <c r="E8" s="175">
        <v>7</v>
      </c>
      <c r="F8" s="175">
        <v>3</v>
      </c>
      <c r="G8" s="175">
        <v>7</v>
      </c>
      <c r="H8" s="175" t="s">
        <v>175</v>
      </c>
      <c r="J8" s="56"/>
      <c r="K8" s="57"/>
    </row>
    <row r="9" spans="1:12" ht="16" x14ac:dyDescent="0.2">
      <c r="A9" s="35" t="s">
        <v>40</v>
      </c>
      <c r="B9" s="43">
        <v>1.1000000000000001</v>
      </c>
      <c r="C9" s="37"/>
      <c r="D9" s="175" t="s">
        <v>176</v>
      </c>
      <c r="E9" s="175">
        <v>8</v>
      </c>
      <c r="F9" s="175">
        <v>3</v>
      </c>
      <c r="G9" s="175">
        <v>8</v>
      </c>
      <c r="H9" s="175" t="s">
        <v>176</v>
      </c>
      <c r="J9" s="56"/>
      <c r="K9" s="57"/>
    </row>
    <row r="10" spans="1:12" ht="16" x14ac:dyDescent="0.2">
      <c r="A10" s="35" t="s">
        <v>41</v>
      </c>
      <c r="B10" s="43">
        <v>1.2</v>
      </c>
      <c r="C10" s="37"/>
      <c r="D10" s="175" t="s">
        <v>177</v>
      </c>
      <c r="E10" s="175">
        <v>9</v>
      </c>
      <c r="F10" s="175">
        <v>3</v>
      </c>
      <c r="G10" s="175">
        <v>9</v>
      </c>
      <c r="H10" s="175" t="s">
        <v>177</v>
      </c>
      <c r="J10" s="56"/>
      <c r="K10" s="57"/>
    </row>
    <row r="11" spans="1:12" ht="12" customHeight="1" x14ac:dyDescent="0.2">
      <c r="A11" s="41" t="s">
        <v>127</v>
      </c>
      <c r="B11" s="43">
        <v>2</v>
      </c>
      <c r="C11" s="37"/>
      <c r="D11" s="175" t="s">
        <v>161</v>
      </c>
      <c r="E11" s="175">
        <v>10</v>
      </c>
      <c r="F11" s="175">
        <v>3</v>
      </c>
      <c r="G11" s="175">
        <v>10</v>
      </c>
      <c r="H11" s="175" t="s">
        <v>161</v>
      </c>
      <c r="J11" s="56"/>
      <c r="K11" s="57"/>
    </row>
    <row r="12" spans="1:12" ht="16" x14ac:dyDescent="0.2">
      <c r="A12" s="35" t="s">
        <v>42</v>
      </c>
      <c r="B12" s="43">
        <v>2.1</v>
      </c>
      <c r="C12" s="37"/>
      <c r="D12" s="175" t="s">
        <v>178</v>
      </c>
      <c r="E12" s="175">
        <v>11</v>
      </c>
      <c r="F12" s="175">
        <v>3</v>
      </c>
      <c r="G12" s="175">
        <v>11</v>
      </c>
      <c r="H12" s="175" t="s">
        <v>178</v>
      </c>
      <c r="J12" s="56"/>
      <c r="K12" s="57"/>
    </row>
    <row r="13" spans="1:12" ht="16" x14ac:dyDescent="0.2">
      <c r="A13" s="35" t="s">
        <v>43</v>
      </c>
      <c r="B13" s="43">
        <v>2.2000000000000002</v>
      </c>
      <c r="C13" s="37"/>
      <c r="D13" s="175" t="s">
        <v>179</v>
      </c>
      <c r="E13" s="175">
        <v>12</v>
      </c>
      <c r="F13" s="175">
        <v>3</v>
      </c>
      <c r="G13" s="175">
        <v>12</v>
      </c>
      <c r="H13" s="175" t="s">
        <v>179</v>
      </c>
      <c r="J13" s="56"/>
      <c r="K13" s="57"/>
    </row>
    <row r="14" spans="1:12" ht="16" x14ac:dyDescent="0.2">
      <c r="A14" s="35" t="s">
        <v>67</v>
      </c>
      <c r="B14" s="43">
        <v>2.2999999999999998</v>
      </c>
      <c r="C14" s="37"/>
      <c r="D14" s="175" t="s">
        <v>180</v>
      </c>
      <c r="E14" s="175">
        <v>13</v>
      </c>
      <c r="F14" s="175">
        <v>3</v>
      </c>
      <c r="G14" s="175">
        <v>13</v>
      </c>
      <c r="H14" s="175" t="s">
        <v>180</v>
      </c>
      <c r="J14" s="56"/>
      <c r="K14" s="57"/>
    </row>
    <row r="15" spans="1:12" ht="16" x14ac:dyDescent="0.2">
      <c r="A15" s="41" t="s">
        <v>128</v>
      </c>
      <c r="B15" s="43">
        <v>3</v>
      </c>
      <c r="C15" s="37"/>
      <c r="D15" s="175" t="s">
        <v>181</v>
      </c>
      <c r="E15" s="175">
        <v>14</v>
      </c>
      <c r="F15" s="175">
        <v>3</v>
      </c>
      <c r="G15" s="175">
        <v>14</v>
      </c>
      <c r="H15" s="175" t="s">
        <v>181</v>
      </c>
      <c r="J15" s="56"/>
      <c r="K15" s="57"/>
    </row>
    <row r="16" spans="1:12" ht="16" x14ac:dyDescent="0.2">
      <c r="A16" s="35" t="s">
        <v>62</v>
      </c>
      <c r="B16" s="43">
        <v>3.11</v>
      </c>
      <c r="C16" s="37"/>
      <c r="D16" s="175" t="s">
        <v>182</v>
      </c>
      <c r="E16" s="175">
        <v>15</v>
      </c>
      <c r="F16" s="175">
        <v>3</v>
      </c>
      <c r="G16" s="175">
        <v>15</v>
      </c>
      <c r="H16" s="175" t="s">
        <v>182</v>
      </c>
      <c r="J16" s="56"/>
      <c r="K16" s="57"/>
    </row>
    <row r="17" spans="1:12" ht="16" x14ac:dyDescent="0.2">
      <c r="A17" s="35" t="s">
        <v>61</v>
      </c>
      <c r="B17" s="43">
        <v>3.12</v>
      </c>
      <c r="C17" s="37"/>
      <c r="D17" s="175" t="s">
        <v>245</v>
      </c>
      <c r="E17" s="175">
        <v>16</v>
      </c>
      <c r="F17" s="175">
        <v>3</v>
      </c>
      <c r="G17" s="175">
        <v>16</v>
      </c>
      <c r="H17" s="175" t="s">
        <v>245</v>
      </c>
      <c r="J17" s="56"/>
      <c r="K17" s="57"/>
    </row>
    <row r="18" spans="1:12" ht="16" x14ac:dyDescent="0.2">
      <c r="A18" s="35" t="s">
        <v>68</v>
      </c>
      <c r="B18" s="43">
        <v>3.13</v>
      </c>
      <c r="C18" s="37"/>
      <c r="D18" s="175" t="s">
        <v>183</v>
      </c>
      <c r="E18" s="175">
        <v>17</v>
      </c>
      <c r="F18" s="175">
        <v>3</v>
      </c>
      <c r="G18" s="175">
        <v>17</v>
      </c>
      <c r="H18" s="175" t="s">
        <v>183</v>
      </c>
      <c r="J18" s="56"/>
      <c r="K18" s="57"/>
    </row>
    <row r="19" spans="1:12" ht="16" x14ac:dyDescent="0.2">
      <c r="A19" s="35" t="s">
        <v>66</v>
      </c>
      <c r="B19" s="43">
        <v>3.21</v>
      </c>
      <c r="C19" s="37"/>
      <c r="D19" s="175" t="s">
        <v>184</v>
      </c>
      <c r="E19" s="175">
        <v>18</v>
      </c>
      <c r="F19" s="175">
        <v>3</v>
      </c>
      <c r="G19" s="175">
        <v>18</v>
      </c>
      <c r="H19" s="175" t="s">
        <v>184</v>
      </c>
      <c r="J19" s="56"/>
      <c r="K19" s="57"/>
    </row>
    <row r="20" spans="1:12" ht="16" x14ac:dyDescent="0.2">
      <c r="A20" s="35" t="s">
        <v>63</v>
      </c>
      <c r="B20" s="43">
        <v>3.22</v>
      </c>
      <c r="C20" s="37"/>
      <c r="D20" s="175" t="s">
        <v>228</v>
      </c>
      <c r="E20" s="175">
        <v>19</v>
      </c>
      <c r="F20" s="175">
        <v>3</v>
      </c>
      <c r="G20" s="175">
        <v>19</v>
      </c>
      <c r="H20" s="175" t="s">
        <v>228</v>
      </c>
      <c r="J20" s="56"/>
      <c r="K20" s="57"/>
    </row>
    <row r="21" spans="1:12" ht="17" thickBot="1" x14ac:dyDescent="0.25">
      <c r="A21" s="35" t="s">
        <v>69</v>
      </c>
      <c r="B21" s="43">
        <v>3.23</v>
      </c>
      <c r="C21" s="37"/>
      <c r="D21" s="175" t="s">
        <v>185</v>
      </c>
      <c r="E21" s="175">
        <v>20</v>
      </c>
      <c r="F21" s="175">
        <v>3</v>
      </c>
      <c r="G21" s="175">
        <v>20</v>
      </c>
      <c r="H21" s="175" t="s">
        <v>185</v>
      </c>
      <c r="J21" s="58"/>
      <c r="K21" s="59"/>
      <c r="L21" s="61" t="s">
        <v>152</v>
      </c>
    </row>
    <row r="22" spans="1:12" ht="16" x14ac:dyDescent="0.2">
      <c r="A22" s="35" t="s">
        <v>64</v>
      </c>
      <c r="B22" s="43">
        <v>8</v>
      </c>
      <c r="C22" s="37"/>
      <c r="D22" s="175" t="s">
        <v>246</v>
      </c>
      <c r="E22" s="175">
        <v>21</v>
      </c>
      <c r="F22" s="175">
        <v>3</v>
      </c>
      <c r="G22" s="175">
        <v>21</v>
      </c>
      <c r="H22" s="175" t="s">
        <v>246</v>
      </c>
    </row>
    <row r="23" spans="1:12" ht="16" x14ac:dyDescent="0.2">
      <c r="A23" s="35" t="s">
        <v>129</v>
      </c>
      <c r="B23" s="43">
        <v>4</v>
      </c>
      <c r="C23" s="37"/>
      <c r="D23" s="175" t="s">
        <v>229</v>
      </c>
      <c r="E23" s="175">
        <v>22</v>
      </c>
      <c r="F23" s="175">
        <v>3</v>
      </c>
      <c r="G23" s="175">
        <v>22</v>
      </c>
      <c r="H23" s="175" t="s">
        <v>229</v>
      </c>
    </row>
    <row r="24" spans="1:12" ht="16" x14ac:dyDescent="0.2">
      <c r="A24" s="35" t="s">
        <v>122</v>
      </c>
      <c r="B24" s="43">
        <v>4.0999999999999996</v>
      </c>
      <c r="C24" s="37"/>
      <c r="D24" s="175" t="s">
        <v>186</v>
      </c>
      <c r="E24" s="175">
        <v>23</v>
      </c>
      <c r="F24" s="175">
        <v>3</v>
      </c>
      <c r="G24" s="175">
        <v>23</v>
      </c>
      <c r="H24" s="175" t="s">
        <v>186</v>
      </c>
    </row>
    <row r="25" spans="1:12" ht="16" x14ac:dyDescent="0.2">
      <c r="A25" s="35" t="s">
        <v>70</v>
      </c>
      <c r="B25" s="43">
        <v>4.2</v>
      </c>
      <c r="C25" s="37"/>
      <c r="D25" s="175" t="s">
        <v>187</v>
      </c>
      <c r="E25" s="175">
        <v>24</v>
      </c>
      <c r="F25" s="175">
        <v>3</v>
      </c>
      <c r="G25" s="175">
        <v>24</v>
      </c>
      <c r="H25" s="175" t="s">
        <v>187</v>
      </c>
    </row>
    <row r="26" spans="1:12" ht="16" x14ac:dyDescent="0.2">
      <c r="A26" s="35" t="s">
        <v>123</v>
      </c>
      <c r="B26" s="43">
        <v>4.3</v>
      </c>
      <c r="C26" s="37"/>
      <c r="D26" s="175" t="s">
        <v>188</v>
      </c>
      <c r="E26" s="175">
        <v>25</v>
      </c>
      <c r="F26" s="175">
        <v>3</v>
      </c>
      <c r="G26" s="175">
        <v>25</v>
      </c>
      <c r="H26" s="175" t="s">
        <v>188</v>
      </c>
    </row>
    <row r="27" spans="1:12" ht="16" x14ac:dyDescent="0.2">
      <c r="A27" s="35" t="s">
        <v>125</v>
      </c>
      <c r="B27" s="43">
        <v>6.1</v>
      </c>
      <c r="D27" s="175" t="s">
        <v>189</v>
      </c>
      <c r="E27" s="175">
        <v>26</v>
      </c>
      <c r="F27" s="175">
        <v>3</v>
      </c>
      <c r="G27" s="175">
        <v>26</v>
      </c>
      <c r="H27" s="175" t="s">
        <v>189</v>
      </c>
    </row>
    <row r="28" spans="1:12" ht="16" x14ac:dyDescent="0.2">
      <c r="A28" s="35" t="s">
        <v>124</v>
      </c>
      <c r="B28" s="43">
        <v>6.2</v>
      </c>
      <c r="D28" s="175" t="s">
        <v>230</v>
      </c>
      <c r="E28" s="175">
        <v>27</v>
      </c>
      <c r="F28" s="175">
        <v>3</v>
      </c>
      <c r="G28" s="175">
        <v>27</v>
      </c>
      <c r="H28" s="175" t="s">
        <v>230</v>
      </c>
    </row>
    <row r="29" spans="1:12" ht="16" x14ac:dyDescent="0.2">
      <c r="A29" s="35" t="s">
        <v>44</v>
      </c>
      <c r="B29" s="43">
        <v>5</v>
      </c>
      <c r="D29" s="175" t="s">
        <v>231</v>
      </c>
      <c r="E29" s="175">
        <v>28</v>
      </c>
      <c r="F29" s="175">
        <v>3</v>
      </c>
      <c r="G29" s="175">
        <v>28</v>
      </c>
      <c r="H29" s="175" t="s">
        <v>231</v>
      </c>
    </row>
    <row r="30" spans="1:12" ht="16" x14ac:dyDescent="0.2">
      <c r="A30" s="35" t="s">
        <v>73</v>
      </c>
      <c r="B30" s="43">
        <v>7</v>
      </c>
      <c r="D30" s="175" t="s">
        <v>192</v>
      </c>
      <c r="E30" s="175">
        <v>29</v>
      </c>
      <c r="F30" s="175">
        <v>3</v>
      </c>
      <c r="G30" s="175">
        <v>29</v>
      </c>
      <c r="H30" s="175" t="s">
        <v>192</v>
      </c>
    </row>
    <row r="31" spans="1:12" ht="16" x14ac:dyDescent="0.2">
      <c r="A31" s="35" t="s">
        <v>170</v>
      </c>
      <c r="B31" s="43">
        <v>3.14</v>
      </c>
      <c r="D31" s="175" t="s">
        <v>193</v>
      </c>
      <c r="E31" s="175">
        <v>30</v>
      </c>
      <c r="F31" s="175">
        <v>3</v>
      </c>
      <c r="G31" s="175">
        <v>30</v>
      </c>
      <c r="H31" s="175" t="s">
        <v>193</v>
      </c>
    </row>
    <row r="32" spans="1:12" ht="12" customHeight="1" thickBot="1" x14ac:dyDescent="0.25">
      <c r="A32" s="41" t="s">
        <v>171</v>
      </c>
      <c r="B32" s="44">
        <v>9</v>
      </c>
      <c r="D32" s="175" t="s">
        <v>247</v>
      </c>
      <c r="E32" s="175">
        <v>31</v>
      </c>
      <c r="F32" s="175">
        <v>3</v>
      </c>
      <c r="G32" s="175">
        <v>31</v>
      </c>
      <c r="H32" s="175" t="s">
        <v>247</v>
      </c>
    </row>
    <row r="33" spans="4:8" customFormat="1" ht="12" customHeight="1" x14ac:dyDescent="0.2">
      <c r="D33" s="175" t="s">
        <v>248</v>
      </c>
      <c r="E33" s="175">
        <v>32</v>
      </c>
      <c r="F33" s="175">
        <v>3</v>
      </c>
      <c r="G33" s="175">
        <v>32</v>
      </c>
      <c r="H33" s="175" t="s">
        <v>248</v>
      </c>
    </row>
    <row r="34" spans="4:8" customFormat="1" ht="12" customHeight="1" x14ac:dyDescent="0.2">
      <c r="D34" s="175" t="s">
        <v>249</v>
      </c>
      <c r="E34" s="175">
        <v>33</v>
      </c>
      <c r="F34" s="175">
        <v>3</v>
      </c>
      <c r="G34" s="175">
        <v>33</v>
      </c>
      <c r="H34" s="175" t="s">
        <v>249</v>
      </c>
    </row>
    <row r="35" spans="4:8" customFormat="1" ht="16" x14ac:dyDescent="0.2">
      <c r="D35" s="175" t="s">
        <v>250</v>
      </c>
      <c r="E35" s="175">
        <v>34</v>
      </c>
      <c r="F35" s="175">
        <v>3</v>
      </c>
      <c r="G35" s="175">
        <v>34</v>
      </c>
      <c r="H35" s="175" t="s">
        <v>250</v>
      </c>
    </row>
    <row r="36" spans="4:8" customFormat="1" ht="16" x14ac:dyDescent="0.2">
      <c r="D36" s="175" t="s">
        <v>251</v>
      </c>
      <c r="E36" s="175">
        <v>35</v>
      </c>
      <c r="F36" s="175">
        <v>3</v>
      </c>
      <c r="G36" s="175">
        <v>35</v>
      </c>
      <c r="H36" s="175" t="s">
        <v>251</v>
      </c>
    </row>
    <row r="37" spans="4:8" customFormat="1" ht="12" customHeight="1" x14ac:dyDescent="0.2">
      <c r="D37" s="175" t="s">
        <v>252</v>
      </c>
      <c r="E37" s="175">
        <v>36</v>
      </c>
      <c r="F37" s="175">
        <v>3</v>
      </c>
      <c r="G37" s="175">
        <v>36</v>
      </c>
      <c r="H37" s="175" t="s">
        <v>252</v>
      </c>
    </row>
    <row r="38" spans="4:8" customFormat="1" ht="16" x14ac:dyDescent="0.2">
      <c r="D38" s="175" t="s">
        <v>253</v>
      </c>
      <c r="E38" s="175">
        <v>37</v>
      </c>
      <c r="F38" s="175">
        <v>3</v>
      </c>
      <c r="G38" s="175">
        <v>37</v>
      </c>
      <c r="H38" s="175" t="s">
        <v>253</v>
      </c>
    </row>
    <row r="39" spans="4:8" customFormat="1" ht="16" x14ac:dyDescent="0.2">
      <c r="D39" s="175" t="s">
        <v>254</v>
      </c>
      <c r="E39" s="175">
        <v>38</v>
      </c>
      <c r="F39" s="175">
        <v>3</v>
      </c>
      <c r="G39" s="175">
        <v>38</v>
      </c>
      <c r="H39" s="175" t="s">
        <v>254</v>
      </c>
    </row>
    <row r="40" spans="4:8" customFormat="1" ht="16" x14ac:dyDescent="0.2">
      <c r="D40" s="175" t="s">
        <v>255</v>
      </c>
      <c r="E40" s="175">
        <v>39</v>
      </c>
      <c r="F40" s="175">
        <v>3</v>
      </c>
      <c r="G40" s="175">
        <v>39</v>
      </c>
      <c r="H40" s="175" t="s">
        <v>255</v>
      </c>
    </row>
    <row r="41" spans="4:8" customFormat="1" ht="16" x14ac:dyDescent="0.2">
      <c r="D41" s="175" t="s">
        <v>194</v>
      </c>
      <c r="E41" s="175">
        <v>40</v>
      </c>
      <c r="F41" s="175">
        <v>3</v>
      </c>
      <c r="G41" s="175">
        <v>40</v>
      </c>
      <c r="H41" s="175" t="s">
        <v>194</v>
      </c>
    </row>
    <row r="42" spans="4:8" customFormat="1" ht="16" x14ac:dyDescent="0.2">
      <c r="D42" s="175" t="s">
        <v>256</v>
      </c>
      <c r="E42" s="175">
        <v>41</v>
      </c>
      <c r="F42" s="175">
        <v>3</v>
      </c>
      <c r="G42" s="175">
        <v>41</v>
      </c>
      <c r="H42" s="175" t="s">
        <v>256</v>
      </c>
    </row>
    <row r="43" spans="4:8" customFormat="1" ht="16" x14ac:dyDescent="0.2">
      <c r="D43" s="175" t="s">
        <v>195</v>
      </c>
      <c r="E43" s="175">
        <v>42</v>
      </c>
      <c r="F43" s="175">
        <v>3</v>
      </c>
      <c r="G43" s="175">
        <v>42</v>
      </c>
      <c r="H43" s="175" t="s">
        <v>195</v>
      </c>
    </row>
    <row r="44" spans="4:8" customFormat="1" ht="16" x14ac:dyDescent="0.2">
      <c r="D44" s="175" t="s">
        <v>196</v>
      </c>
      <c r="E44" s="175">
        <v>43</v>
      </c>
      <c r="F44" s="175">
        <v>3</v>
      </c>
      <c r="G44" s="175">
        <v>43</v>
      </c>
      <c r="H44" s="175" t="s">
        <v>196</v>
      </c>
    </row>
    <row r="45" spans="4:8" customFormat="1" ht="16" x14ac:dyDescent="0.2">
      <c r="D45" s="175" t="s">
        <v>197</v>
      </c>
      <c r="E45" s="175">
        <v>44</v>
      </c>
      <c r="F45" s="175">
        <v>3</v>
      </c>
      <c r="G45" s="175">
        <v>44</v>
      </c>
      <c r="H45" s="175" t="s">
        <v>197</v>
      </c>
    </row>
    <row r="46" spans="4:8" customFormat="1" ht="16" x14ac:dyDescent="0.2">
      <c r="D46" s="175" t="s">
        <v>198</v>
      </c>
      <c r="E46" s="175">
        <v>45</v>
      </c>
      <c r="F46" s="175">
        <v>3</v>
      </c>
      <c r="G46" s="175">
        <v>45</v>
      </c>
      <c r="H46" s="175" t="s">
        <v>198</v>
      </c>
    </row>
    <row r="47" spans="4:8" customFormat="1" ht="16" x14ac:dyDescent="0.2">
      <c r="D47" s="175" t="s">
        <v>199</v>
      </c>
      <c r="E47" s="175">
        <v>46</v>
      </c>
      <c r="F47" s="175">
        <v>3</v>
      </c>
      <c r="G47" s="175">
        <v>46</v>
      </c>
      <c r="H47" s="175" t="s">
        <v>199</v>
      </c>
    </row>
    <row r="48" spans="4:8" customFormat="1" ht="16" x14ac:dyDescent="0.2">
      <c r="D48" s="175" t="s">
        <v>232</v>
      </c>
      <c r="E48" s="175">
        <v>47</v>
      </c>
      <c r="F48" s="175">
        <v>3</v>
      </c>
      <c r="G48" s="175">
        <v>47</v>
      </c>
      <c r="H48" s="175" t="s">
        <v>232</v>
      </c>
    </row>
    <row r="49" spans="4:8" customFormat="1" ht="16" x14ac:dyDescent="0.2">
      <c r="D49" s="175" t="s">
        <v>200</v>
      </c>
      <c r="E49" s="175">
        <v>48</v>
      </c>
      <c r="F49" s="175">
        <v>3</v>
      </c>
      <c r="G49" s="175">
        <v>48</v>
      </c>
      <c r="H49" s="175" t="s">
        <v>200</v>
      </c>
    </row>
    <row r="50" spans="4:8" customFormat="1" ht="12" customHeight="1" x14ac:dyDescent="0.2">
      <c r="D50" s="175" t="s">
        <v>201</v>
      </c>
      <c r="E50" s="175">
        <v>49</v>
      </c>
      <c r="F50" s="175">
        <v>3</v>
      </c>
      <c r="G50" s="175">
        <v>49</v>
      </c>
      <c r="H50" s="175" t="s">
        <v>201</v>
      </c>
    </row>
    <row r="51" spans="4:8" customFormat="1" ht="16" x14ac:dyDescent="0.2">
      <c r="D51" s="175" t="s">
        <v>202</v>
      </c>
      <c r="E51" s="175">
        <v>50</v>
      </c>
      <c r="F51" s="175">
        <v>3</v>
      </c>
      <c r="G51" s="175">
        <v>50</v>
      </c>
      <c r="H51" s="175" t="s">
        <v>202</v>
      </c>
    </row>
    <row r="52" spans="4:8" customFormat="1" ht="12" customHeight="1" x14ac:dyDescent="0.2">
      <c r="D52" s="175" t="s">
        <v>203</v>
      </c>
      <c r="E52" s="175">
        <v>51</v>
      </c>
      <c r="F52" s="175">
        <v>3</v>
      </c>
      <c r="G52" s="175">
        <v>51</v>
      </c>
      <c r="H52" s="175" t="s">
        <v>203</v>
      </c>
    </row>
    <row r="53" spans="4:8" customFormat="1" ht="16" x14ac:dyDescent="0.2">
      <c r="D53" s="175" t="s">
        <v>204</v>
      </c>
      <c r="E53" s="175">
        <v>52</v>
      </c>
      <c r="F53" s="175">
        <v>3</v>
      </c>
      <c r="G53" s="175">
        <v>52</v>
      </c>
      <c r="H53" s="175" t="s">
        <v>204</v>
      </c>
    </row>
    <row r="54" spans="4:8" customFormat="1" ht="12" customHeight="1" x14ac:dyDescent="0.2">
      <c r="D54" s="175" t="s">
        <v>257</v>
      </c>
      <c r="E54" s="175">
        <v>53</v>
      </c>
      <c r="F54" s="175">
        <v>3</v>
      </c>
      <c r="G54" s="175">
        <v>53</v>
      </c>
      <c r="H54" s="175" t="s">
        <v>257</v>
      </c>
    </row>
    <row r="55" spans="4:8" customFormat="1" ht="12" customHeight="1" x14ac:dyDescent="0.2">
      <c r="D55" s="175" t="s">
        <v>258</v>
      </c>
      <c r="E55" s="175">
        <v>54</v>
      </c>
      <c r="F55" s="175">
        <v>3</v>
      </c>
      <c r="G55" s="175">
        <v>54</v>
      </c>
      <c r="H55" s="175" t="s">
        <v>258</v>
      </c>
    </row>
    <row r="56" spans="4:8" customFormat="1" ht="16" x14ac:dyDescent="0.2">
      <c r="D56" s="175" t="s">
        <v>259</v>
      </c>
      <c r="E56" s="175">
        <v>55</v>
      </c>
      <c r="F56" s="175">
        <v>3</v>
      </c>
      <c r="G56" s="175">
        <v>55</v>
      </c>
      <c r="H56" s="175" t="s">
        <v>259</v>
      </c>
    </row>
    <row r="57" spans="4:8" customFormat="1" ht="16" x14ac:dyDescent="0.2">
      <c r="D57" s="175" t="s">
        <v>260</v>
      </c>
      <c r="E57" s="175">
        <v>56</v>
      </c>
      <c r="F57" s="175">
        <v>3</v>
      </c>
      <c r="G57" s="175">
        <v>56</v>
      </c>
      <c r="H57" s="175" t="s">
        <v>260</v>
      </c>
    </row>
    <row r="58" spans="4:8" customFormat="1" ht="16" x14ac:dyDescent="0.2">
      <c r="D58" s="175" t="s">
        <v>261</v>
      </c>
      <c r="E58" s="175">
        <v>57</v>
      </c>
      <c r="F58" s="175">
        <v>3</v>
      </c>
      <c r="G58" s="175">
        <v>57</v>
      </c>
      <c r="H58" s="175" t="s">
        <v>261</v>
      </c>
    </row>
    <row r="59" spans="4:8" customFormat="1" ht="16" x14ac:dyDescent="0.2">
      <c r="D59" s="175" t="s">
        <v>233</v>
      </c>
      <c r="E59" s="175">
        <v>58</v>
      </c>
      <c r="F59" s="175">
        <v>3</v>
      </c>
      <c r="G59" s="175">
        <v>58</v>
      </c>
      <c r="H59" s="175" t="s">
        <v>233</v>
      </c>
    </row>
    <row r="60" spans="4:8" customFormat="1" ht="16" x14ac:dyDescent="0.2">
      <c r="D60" s="175" t="s">
        <v>234</v>
      </c>
      <c r="E60" s="175">
        <v>59</v>
      </c>
      <c r="F60" s="175">
        <v>3</v>
      </c>
      <c r="G60" s="175">
        <v>59</v>
      </c>
      <c r="H60" s="175" t="s">
        <v>234</v>
      </c>
    </row>
    <row r="61" spans="4:8" customFormat="1" ht="16" x14ac:dyDescent="0.2">
      <c r="D61" s="175" t="s">
        <v>205</v>
      </c>
      <c r="E61" s="175">
        <v>60</v>
      </c>
      <c r="F61" s="175">
        <v>3</v>
      </c>
      <c r="G61" s="175">
        <v>60</v>
      </c>
      <c r="H61" s="175" t="s">
        <v>205</v>
      </c>
    </row>
    <row r="62" spans="4:8" customFormat="1" ht="16" x14ac:dyDescent="0.2">
      <c r="D62" s="175" t="s">
        <v>206</v>
      </c>
      <c r="E62" s="175">
        <v>61</v>
      </c>
      <c r="F62" s="175">
        <v>3</v>
      </c>
      <c r="G62" s="175">
        <v>61</v>
      </c>
      <c r="H62" s="175" t="s">
        <v>206</v>
      </c>
    </row>
    <row r="63" spans="4:8" customFormat="1" ht="16" x14ac:dyDescent="0.2">
      <c r="D63" s="175" t="s">
        <v>207</v>
      </c>
      <c r="E63" s="175">
        <v>62</v>
      </c>
      <c r="F63" s="175">
        <v>3</v>
      </c>
      <c r="G63" s="175">
        <v>62</v>
      </c>
      <c r="H63" s="175" t="s">
        <v>207</v>
      </c>
    </row>
    <row r="64" spans="4:8" customFormat="1" ht="16" x14ac:dyDescent="0.2">
      <c r="D64" s="175" t="s">
        <v>262</v>
      </c>
      <c r="E64" s="175">
        <v>63</v>
      </c>
      <c r="F64" s="175">
        <v>3</v>
      </c>
      <c r="G64" s="175">
        <v>63</v>
      </c>
      <c r="H64" s="175" t="s">
        <v>262</v>
      </c>
    </row>
    <row r="65" spans="4:8" customFormat="1" ht="16" x14ac:dyDescent="0.2">
      <c r="D65" s="175" t="s">
        <v>208</v>
      </c>
      <c r="E65" s="175">
        <v>64</v>
      </c>
      <c r="F65" s="175">
        <v>3</v>
      </c>
      <c r="G65" s="175">
        <v>64</v>
      </c>
      <c r="H65" s="175" t="s">
        <v>208</v>
      </c>
    </row>
    <row r="66" spans="4:8" customFormat="1" ht="16" x14ac:dyDescent="0.2">
      <c r="D66" s="175" t="s">
        <v>263</v>
      </c>
      <c r="E66" s="175">
        <v>65</v>
      </c>
      <c r="F66" s="175">
        <v>3</v>
      </c>
      <c r="G66" s="175">
        <v>65</v>
      </c>
      <c r="H66" s="175" t="s">
        <v>263</v>
      </c>
    </row>
    <row r="67" spans="4:8" customFormat="1" ht="16" x14ac:dyDescent="0.2">
      <c r="D67" s="175" t="s">
        <v>209</v>
      </c>
      <c r="E67" s="175">
        <v>66</v>
      </c>
      <c r="F67" s="175">
        <v>3</v>
      </c>
      <c r="G67" s="175">
        <v>66</v>
      </c>
      <c r="H67" s="175" t="s">
        <v>209</v>
      </c>
    </row>
    <row r="68" spans="4:8" customFormat="1" ht="16" x14ac:dyDescent="0.2">
      <c r="D68" s="175" t="s">
        <v>264</v>
      </c>
      <c r="E68" s="175">
        <v>67</v>
      </c>
      <c r="F68" s="175">
        <v>3</v>
      </c>
      <c r="G68" s="175">
        <v>67</v>
      </c>
      <c r="H68" s="175" t="s">
        <v>264</v>
      </c>
    </row>
    <row r="69" spans="4:8" customFormat="1" ht="16" x14ac:dyDescent="0.2">
      <c r="D69" s="175" t="s">
        <v>210</v>
      </c>
      <c r="E69" s="175">
        <v>68</v>
      </c>
      <c r="F69" s="175">
        <v>3</v>
      </c>
      <c r="G69" s="175">
        <v>68</v>
      </c>
      <c r="H69" s="175" t="s">
        <v>210</v>
      </c>
    </row>
    <row r="70" spans="4:8" customFormat="1" ht="16" x14ac:dyDescent="0.2">
      <c r="D70" s="175" t="s">
        <v>235</v>
      </c>
      <c r="E70" s="175">
        <v>69</v>
      </c>
      <c r="F70" s="175">
        <v>3</v>
      </c>
      <c r="G70" s="175">
        <v>69</v>
      </c>
      <c r="H70" s="175" t="s">
        <v>235</v>
      </c>
    </row>
    <row r="71" spans="4:8" customFormat="1" ht="16" x14ac:dyDescent="0.2">
      <c r="D71" s="175" t="s">
        <v>211</v>
      </c>
      <c r="E71" s="175">
        <v>70</v>
      </c>
      <c r="F71" s="175">
        <v>3</v>
      </c>
      <c r="G71" s="175">
        <v>70</v>
      </c>
      <c r="H71" s="175" t="s">
        <v>211</v>
      </c>
    </row>
    <row r="72" spans="4:8" customFormat="1" ht="16" x14ac:dyDescent="0.2">
      <c r="D72" s="175" t="s">
        <v>265</v>
      </c>
      <c r="E72" s="175">
        <v>71</v>
      </c>
      <c r="F72" s="175">
        <v>3</v>
      </c>
      <c r="G72" s="175">
        <v>71</v>
      </c>
      <c r="H72" s="175" t="s">
        <v>265</v>
      </c>
    </row>
    <row r="73" spans="4:8" customFormat="1" ht="16" x14ac:dyDescent="0.2">
      <c r="D73" s="175" t="s">
        <v>212</v>
      </c>
      <c r="E73" s="175">
        <v>72</v>
      </c>
      <c r="F73" s="175">
        <v>3</v>
      </c>
      <c r="G73" s="175">
        <v>72</v>
      </c>
      <c r="H73" s="175" t="s">
        <v>212</v>
      </c>
    </row>
    <row r="74" spans="4:8" customFormat="1" ht="16" x14ac:dyDescent="0.2">
      <c r="D74" s="175" t="s">
        <v>213</v>
      </c>
      <c r="E74" s="175">
        <v>73</v>
      </c>
      <c r="F74" s="175">
        <v>3</v>
      </c>
      <c r="G74" s="175">
        <v>73</v>
      </c>
      <c r="H74" s="175" t="s">
        <v>213</v>
      </c>
    </row>
    <row r="75" spans="4:8" customFormat="1" ht="16" x14ac:dyDescent="0.2">
      <c r="D75" s="175" t="s">
        <v>236</v>
      </c>
      <c r="E75" s="175">
        <v>74</v>
      </c>
      <c r="F75" s="175">
        <v>3</v>
      </c>
      <c r="G75" s="175">
        <v>74</v>
      </c>
      <c r="H75" s="175" t="s">
        <v>236</v>
      </c>
    </row>
    <row r="76" spans="4:8" customFormat="1" ht="16" x14ac:dyDescent="0.2">
      <c r="D76" s="175" t="s">
        <v>237</v>
      </c>
      <c r="E76" s="175">
        <v>75</v>
      </c>
      <c r="F76" s="175">
        <v>3</v>
      </c>
      <c r="G76" s="175">
        <v>75</v>
      </c>
      <c r="H76" s="175" t="s">
        <v>237</v>
      </c>
    </row>
    <row r="77" spans="4:8" customFormat="1" ht="16" x14ac:dyDescent="0.2">
      <c r="D77" s="175" t="s">
        <v>214</v>
      </c>
      <c r="E77" s="175">
        <v>76</v>
      </c>
      <c r="F77" s="175">
        <v>3</v>
      </c>
      <c r="G77" s="175">
        <v>76</v>
      </c>
      <c r="H77" s="175" t="s">
        <v>214</v>
      </c>
    </row>
    <row r="78" spans="4:8" customFormat="1" ht="16" x14ac:dyDescent="0.2">
      <c r="D78" s="175" t="s">
        <v>238</v>
      </c>
      <c r="E78" s="175">
        <v>77</v>
      </c>
      <c r="F78" s="175">
        <v>3</v>
      </c>
      <c r="G78" s="175">
        <v>77</v>
      </c>
      <c r="H78" s="175" t="s">
        <v>238</v>
      </c>
    </row>
    <row r="79" spans="4:8" customFormat="1" ht="16" x14ac:dyDescent="0.2">
      <c r="D79" s="175" t="s">
        <v>239</v>
      </c>
      <c r="E79" s="175">
        <v>78</v>
      </c>
      <c r="F79" s="175">
        <v>3</v>
      </c>
      <c r="G79" s="175">
        <v>78</v>
      </c>
      <c r="H79" s="175" t="s">
        <v>239</v>
      </c>
    </row>
    <row r="80" spans="4:8" customFormat="1" ht="16" x14ac:dyDescent="0.2">
      <c r="D80" s="175" t="s">
        <v>240</v>
      </c>
      <c r="E80" s="175">
        <v>79</v>
      </c>
      <c r="F80" s="175">
        <v>3</v>
      </c>
      <c r="G80" s="175">
        <v>79</v>
      </c>
      <c r="H80" s="175" t="s">
        <v>240</v>
      </c>
    </row>
    <row r="81" spans="4:8" customFormat="1" ht="16" x14ac:dyDescent="0.2">
      <c r="D81" s="175" t="s">
        <v>215</v>
      </c>
      <c r="E81" s="175">
        <v>80</v>
      </c>
      <c r="F81" s="175">
        <v>3</v>
      </c>
      <c r="G81" s="175">
        <v>80</v>
      </c>
      <c r="H81" s="175" t="s">
        <v>215</v>
      </c>
    </row>
    <row r="82" spans="4:8" customFormat="1" ht="16" x14ac:dyDescent="0.2">
      <c r="D82" s="175" t="s">
        <v>216</v>
      </c>
      <c r="E82" s="175">
        <v>81</v>
      </c>
      <c r="F82" s="175">
        <v>3</v>
      </c>
      <c r="G82" s="175">
        <v>81</v>
      </c>
      <c r="H82" s="175" t="s">
        <v>216</v>
      </c>
    </row>
    <row r="83" spans="4:8" customFormat="1" ht="16" x14ac:dyDescent="0.2">
      <c r="D83" s="175" t="s">
        <v>217</v>
      </c>
      <c r="E83" s="175">
        <v>82</v>
      </c>
      <c r="F83" s="175">
        <v>3</v>
      </c>
      <c r="G83" s="175">
        <v>82</v>
      </c>
      <c r="H83" s="175" t="s">
        <v>217</v>
      </c>
    </row>
    <row r="84" spans="4:8" customFormat="1" ht="16" x14ac:dyDescent="0.2">
      <c r="D84" s="175" t="s">
        <v>266</v>
      </c>
      <c r="E84" s="175">
        <v>83</v>
      </c>
      <c r="F84" s="175">
        <v>3</v>
      </c>
      <c r="G84" s="175">
        <v>83</v>
      </c>
      <c r="H84" s="175" t="s">
        <v>266</v>
      </c>
    </row>
    <row r="85" spans="4:8" customFormat="1" ht="16" x14ac:dyDescent="0.2">
      <c r="D85" s="175" t="s">
        <v>267</v>
      </c>
      <c r="E85" s="175">
        <v>84</v>
      </c>
      <c r="F85" s="175">
        <v>3</v>
      </c>
      <c r="G85" s="175">
        <v>84</v>
      </c>
      <c r="H85" s="175" t="s">
        <v>267</v>
      </c>
    </row>
    <row r="86" spans="4:8" customFormat="1" ht="16" x14ac:dyDescent="0.2">
      <c r="D86" s="175" t="s">
        <v>218</v>
      </c>
      <c r="E86" s="175">
        <v>85</v>
      </c>
      <c r="F86" s="175">
        <v>3</v>
      </c>
      <c r="G86" s="175">
        <v>85</v>
      </c>
      <c r="H86" s="175" t="s">
        <v>218</v>
      </c>
    </row>
    <row r="87" spans="4:8" customFormat="1" ht="16" x14ac:dyDescent="0.2">
      <c r="D87" s="175" t="s">
        <v>219</v>
      </c>
      <c r="E87" s="175">
        <v>86</v>
      </c>
      <c r="F87" s="175">
        <v>3</v>
      </c>
      <c r="G87" s="175">
        <v>86</v>
      </c>
      <c r="H87" s="175" t="s">
        <v>219</v>
      </c>
    </row>
    <row r="88" spans="4:8" customFormat="1" ht="16" x14ac:dyDescent="0.2">
      <c r="D88" s="175" t="s">
        <v>220</v>
      </c>
      <c r="E88" s="175">
        <v>87</v>
      </c>
      <c r="F88" s="175">
        <v>3</v>
      </c>
      <c r="G88" s="175">
        <v>87</v>
      </c>
      <c r="H88" s="175" t="s">
        <v>220</v>
      </c>
    </row>
    <row r="89" spans="4:8" customFormat="1" ht="16" x14ac:dyDescent="0.2">
      <c r="D89" s="175" t="s">
        <v>221</v>
      </c>
      <c r="E89" s="175">
        <v>88</v>
      </c>
      <c r="F89" s="175">
        <v>3</v>
      </c>
      <c r="G89" s="175">
        <v>88</v>
      </c>
      <c r="H89" s="175" t="s">
        <v>221</v>
      </c>
    </row>
    <row r="90" spans="4:8" customFormat="1" ht="16" x14ac:dyDescent="0.2">
      <c r="D90" s="175" t="s">
        <v>268</v>
      </c>
      <c r="E90" s="175">
        <v>89</v>
      </c>
      <c r="F90" s="175">
        <v>3</v>
      </c>
      <c r="G90" s="175">
        <v>89</v>
      </c>
      <c r="H90" s="175" t="s">
        <v>268</v>
      </c>
    </row>
    <row r="91" spans="4:8" customFormat="1" ht="16" x14ac:dyDescent="0.2">
      <c r="D91" s="175" t="s">
        <v>269</v>
      </c>
      <c r="E91" s="175">
        <v>90</v>
      </c>
      <c r="F91" s="175">
        <v>3</v>
      </c>
      <c r="G91" s="175">
        <v>90</v>
      </c>
      <c r="H91" s="175" t="s">
        <v>269</v>
      </c>
    </row>
    <row r="92" spans="4:8" customFormat="1" ht="16" x14ac:dyDescent="0.2">
      <c r="D92" s="175" t="s">
        <v>222</v>
      </c>
      <c r="E92" s="175">
        <v>91</v>
      </c>
      <c r="F92" s="175">
        <v>3</v>
      </c>
      <c r="G92" s="175">
        <v>91</v>
      </c>
      <c r="H92" s="175" t="s">
        <v>222</v>
      </c>
    </row>
    <row r="93" spans="4:8" customFormat="1" ht="16" x14ac:dyDescent="0.2">
      <c r="D93" s="175" t="s">
        <v>270</v>
      </c>
      <c r="E93" s="175">
        <v>92</v>
      </c>
      <c r="F93" s="175">
        <v>3</v>
      </c>
      <c r="G93" s="175">
        <v>92</v>
      </c>
      <c r="H93" s="175" t="s">
        <v>270</v>
      </c>
    </row>
    <row r="94" spans="4:8" customFormat="1" ht="16" x14ac:dyDescent="0.2">
      <c r="D94" s="175" t="s">
        <v>223</v>
      </c>
      <c r="E94" s="175">
        <v>93</v>
      </c>
      <c r="F94" s="175">
        <v>3</v>
      </c>
      <c r="G94" s="175">
        <v>93</v>
      </c>
      <c r="H94" s="175" t="s">
        <v>223</v>
      </c>
    </row>
    <row r="95" spans="4:8" customFormat="1" ht="16" x14ac:dyDescent="0.2">
      <c r="D95" s="175" t="s">
        <v>224</v>
      </c>
      <c r="E95" s="175">
        <v>94</v>
      </c>
      <c r="F95" s="175">
        <v>3</v>
      </c>
      <c r="G95" s="175">
        <v>94</v>
      </c>
      <c r="H95" s="175" t="s">
        <v>224</v>
      </c>
    </row>
    <row r="96" spans="4:8" customFormat="1" ht="16" x14ac:dyDescent="0.2">
      <c r="D96" s="175" t="s">
        <v>225</v>
      </c>
      <c r="E96" s="175">
        <v>95</v>
      </c>
      <c r="F96" s="175">
        <v>3</v>
      </c>
      <c r="G96" s="175">
        <v>95</v>
      </c>
      <c r="H96" s="175" t="s">
        <v>225</v>
      </c>
    </row>
    <row r="97" spans="4:8" customFormat="1" ht="16" x14ac:dyDescent="0.2">
      <c r="D97" s="175" t="s">
        <v>226</v>
      </c>
      <c r="E97" s="175">
        <v>96</v>
      </c>
      <c r="F97" s="175">
        <v>4.0999999999999996</v>
      </c>
      <c r="G97" s="175">
        <v>96</v>
      </c>
      <c r="H97" s="175" t="s">
        <v>226</v>
      </c>
    </row>
    <row r="98" spans="4:8" customFormat="1" ht="16" x14ac:dyDescent="0.2">
      <c r="D98" s="175" t="s">
        <v>123</v>
      </c>
      <c r="E98" s="175">
        <v>97</v>
      </c>
      <c r="F98" s="175">
        <v>4.3</v>
      </c>
      <c r="G98" s="175">
        <v>97</v>
      </c>
      <c r="H98" s="175" t="s">
        <v>123</v>
      </c>
    </row>
    <row r="99" spans="4:8" customFormat="1" ht="16" x14ac:dyDescent="0.2">
      <c r="D99" s="175" t="s">
        <v>271</v>
      </c>
      <c r="E99" s="175">
        <v>98</v>
      </c>
      <c r="F99" s="175">
        <v>5</v>
      </c>
      <c r="G99" s="175">
        <v>98</v>
      </c>
      <c r="H99" s="175" t="s">
        <v>271</v>
      </c>
    </row>
    <row r="100" spans="4:8" customFormat="1" ht="16" x14ac:dyDescent="0.2">
      <c r="D100" s="304" t="s">
        <v>138</v>
      </c>
      <c r="E100" s="175">
        <v>99</v>
      </c>
      <c r="F100" s="175">
        <v>6.1</v>
      </c>
      <c r="G100" s="175">
        <v>99</v>
      </c>
      <c r="H100" s="304" t="s">
        <v>138</v>
      </c>
    </row>
    <row r="101" spans="4:8" customFormat="1" ht="16" x14ac:dyDescent="0.2">
      <c r="D101" s="304" t="s">
        <v>45</v>
      </c>
      <c r="E101" s="175">
        <v>100</v>
      </c>
      <c r="F101" s="175">
        <v>6.2</v>
      </c>
      <c r="G101" s="175">
        <v>100</v>
      </c>
      <c r="H101" s="304" t="s">
        <v>45</v>
      </c>
    </row>
    <row r="102" spans="4:8" customFormat="1" x14ac:dyDescent="0.15"/>
    <row r="103" spans="4:8" customFormat="1" x14ac:dyDescent="0.15"/>
    <row r="104" spans="4:8" customFormat="1" x14ac:dyDescent="0.15"/>
    <row r="105" spans="4:8" customFormat="1" x14ac:dyDescent="0.15"/>
    <row r="106" spans="4:8" customFormat="1" x14ac:dyDescent="0.15"/>
    <row r="107" spans="4:8" customFormat="1" x14ac:dyDescent="0.15"/>
    <row r="108" spans="4:8" customFormat="1" x14ac:dyDescent="0.15"/>
    <row r="109" spans="4:8" customFormat="1" x14ac:dyDescent="0.15"/>
    <row r="110" spans="4:8" customFormat="1" x14ac:dyDescent="0.15"/>
    <row r="111" spans="4:8" customFormat="1" x14ac:dyDescent="0.15"/>
    <row r="112" spans="4:8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3" activePane="bottomLeft" state="frozen"/>
      <selection pane="bottomLeft" activeCell="B48" sqref="B48"/>
    </sheetView>
  </sheetViews>
  <sheetFormatPr baseColWidth="10" defaultColWidth="11.5" defaultRowHeight="15" customHeight="1" x14ac:dyDescent="0.15"/>
  <cols>
    <col min="1" max="1" width="26.1640625" style="85" bestFit="1" customWidth="1"/>
    <col min="2" max="5" width="16.1640625" style="84" customWidth="1"/>
    <col min="6" max="6" width="45.6640625" style="84" bestFit="1" customWidth="1"/>
    <col min="7" max="9" width="11.5" style="84"/>
    <col min="10" max="10" width="12.1640625" style="84" bestFit="1" customWidth="1"/>
    <col min="11" max="15" width="11.5" style="84"/>
    <col min="16" max="16" width="11.5" style="72"/>
    <col min="17" max="17" width="14.83203125" style="84" customWidth="1"/>
    <col min="18" max="18" width="22.1640625" style="73" customWidth="1"/>
    <col min="19" max="16384" width="11.5" style="84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6" t="s">
        <v>48</v>
      </c>
      <c r="L1" s="73"/>
      <c r="M1" s="86" t="s">
        <v>119</v>
      </c>
      <c r="N1" s="73"/>
      <c r="O1" s="86" t="s">
        <v>49</v>
      </c>
      <c r="P1" s="76"/>
      <c r="Q1" s="86" t="s">
        <v>50</v>
      </c>
      <c r="R1" s="70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5">
      <c r="A3" s="86" t="s">
        <v>54</v>
      </c>
      <c r="B3" s="92">
        <v>0.5</v>
      </c>
      <c r="C3" s="85" t="s">
        <v>53</v>
      </c>
      <c r="D3" s="88"/>
      <c r="F3" s="175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9">
        <v>0</v>
      </c>
      <c r="R3" s="37">
        <v>0</v>
      </c>
    </row>
    <row r="4" spans="1:23" ht="15" customHeight="1" thickBot="1" x14ac:dyDescent="0.25">
      <c r="F4" s="175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9">
        <v>0</v>
      </c>
      <c r="R4" s="112">
        <v>0</v>
      </c>
    </row>
    <row r="5" spans="1:23" ht="15" customHeight="1" x14ac:dyDescent="0.2">
      <c r="A5" s="86" t="s">
        <v>55</v>
      </c>
      <c r="B5" s="93">
        <v>0.5</v>
      </c>
      <c r="C5" s="85" t="s">
        <v>52</v>
      </c>
      <c r="D5" s="88"/>
      <c r="F5" s="17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9">
        <v>0</v>
      </c>
      <c r="R5" s="112">
        <v>0</v>
      </c>
    </row>
    <row r="6" spans="1:23" ht="15" customHeight="1" thickBot="1" x14ac:dyDescent="0.25">
      <c r="A6" s="86"/>
      <c r="B6" s="94">
        <v>0.5</v>
      </c>
      <c r="C6" s="85" t="s">
        <v>53</v>
      </c>
      <c r="D6" s="88"/>
      <c r="F6" s="175" t="s">
        <v>172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0</v>
      </c>
      <c r="O6">
        <v>0</v>
      </c>
      <c r="P6">
        <v>0</v>
      </c>
      <c r="Q6" s="139">
        <v>0</v>
      </c>
      <c r="R6" s="112">
        <v>0</v>
      </c>
      <c r="S6"/>
      <c r="T6"/>
    </row>
    <row r="7" spans="1:23" ht="15" customHeight="1" thickBot="1" x14ac:dyDescent="0.25">
      <c r="F7" s="175" t="s">
        <v>173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1</v>
      </c>
      <c r="O7">
        <v>0</v>
      </c>
      <c r="P7">
        <v>1</v>
      </c>
      <c r="Q7" s="139">
        <v>0</v>
      </c>
      <c r="R7" s="112">
        <v>1</v>
      </c>
      <c r="S7"/>
      <c r="T7"/>
    </row>
    <row r="8" spans="1:23" ht="15" customHeight="1" x14ac:dyDescent="0.2">
      <c r="A8" s="86" t="s">
        <v>56</v>
      </c>
      <c r="B8" s="93">
        <v>1</v>
      </c>
      <c r="C8" s="175" t="s">
        <v>172</v>
      </c>
      <c r="D8" s="88" t="s">
        <v>160</v>
      </c>
      <c r="F8" s="175" t="s">
        <v>174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1</v>
      </c>
      <c r="O8">
        <v>0</v>
      </c>
      <c r="P8">
        <v>1</v>
      </c>
      <c r="Q8" s="139">
        <v>0</v>
      </c>
      <c r="R8" s="112">
        <v>1</v>
      </c>
      <c r="S8"/>
      <c r="T8"/>
      <c r="W8"/>
    </row>
    <row r="9" spans="1:23" ht="15" customHeight="1" x14ac:dyDescent="0.2">
      <c r="A9" s="125" t="s">
        <v>169</v>
      </c>
      <c r="B9" s="95"/>
      <c r="C9" s="83"/>
      <c r="D9" s="88" t="s">
        <v>160</v>
      </c>
      <c r="F9" s="175" t="s">
        <v>175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1</v>
      </c>
      <c r="O9">
        <v>0</v>
      </c>
      <c r="P9">
        <v>1</v>
      </c>
      <c r="Q9" s="139">
        <v>0</v>
      </c>
      <c r="R9" s="112">
        <v>1</v>
      </c>
      <c r="S9"/>
      <c r="T9"/>
      <c r="W9"/>
    </row>
    <row r="10" spans="1:23" ht="15" customHeight="1" x14ac:dyDescent="0.2">
      <c r="B10" s="95"/>
      <c r="C10" s="83"/>
      <c r="D10" s="88" t="s">
        <v>160</v>
      </c>
      <c r="F10" s="175" t="s">
        <v>176</v>
      </c>
      <c r="G10">
        <v>0</v>
      </c>
      <c r="H10">
        <v>0</v>
      </c>
      <c r="I10">
        <v>0</v>
      </c>
      <c r="J10">
        <v>0</v>
      </c>
      <c r="K10">
        <v>1</v>
      </c>
      <c r="L10">
        <v>0</v>
      </c>
      <c r="M10">
        <v>1</v>
      </c>
      <c r="N10">
        <v>0</v>
      </c>
      <c r="O10">
        <v>1</v>
      </c>
      <c r="P10">
        <v>0</v>
      </c>
      <c r="Q10" s="139">
        <v>0</v>
      </c>
      <c r="R10" s="112">
        <v>0</v>
      </c>
      <c r="S10"/>
      <c r="T10"/>
      <c r="W10"/>
    </row>
    <row r="11" spans="1:23" ht="15" customHeight="1" x14ac:dyDescent="0.2">
      <c r="A11" s="86"/>
      <c r="B11" s="95"/>
      <c r="C11" s="98"/>
      <c r="D11" s="88" t="s">
        <v>160</v>
      </c>
      <c r="F11" s="175" t="s">
        <v>177</v>
      </c>
      <c r="G11">
        <v>0</v>
      </c>
      <c r="H11">
        <v>0</v>
      </c>
      <c r="I11">
        <v>0</v>
      </c>
      <c r="J11">
        <v>0</v>
      </c>
      <c r="K11">
        <v>1</v>
      </c>
      <c r="L11">
        <v>0</v>
      </c>
      <c r="M11">
        <v>0</v>
      </c>
      <c r="N11">
        <v>1</v>
      </c>
      <c r="O11">
        <v>1</v>
      </c>
      <c r="P11">
        <v>0</v>
      </c>
      <c r="Q11" s="139">
        <v>0</v>
      </c>
      <c r="R11" s="112">
        <v>1</v>
      </c>
      <c r="S11"/>
      <c r="T11"/>
      <c r="W11"/>
    </row>
    <row r="12" spans="1:23" ht="15" customHeight="1" x14ac:dyDescent="0.2">
      <c r="B12" s="95"/>
      <c r="C12" s="99"/>
      <c r="D12" s="88" t="s">
        <v>160</v>
      </c>
      <c r="F12" s="175" t="s">
        <v>161</v>
      </c>
      <c r="G12">
        <v>0</v>
      </c>
      <c r="H12">
        <v>0</v>
      </c>
      <c r="I12">
        <v>0</v>
      </c>
      <c r="J12">
        <v>0</v>
      </c>
      <c r="K12">
        <v>1</v>
      </c>
      <c r="L12">
        <v>0</v>
      </c>
      <c r="M12">
        <v>0</v>
      </c>
      <c r="N12">
        <v>1</v>
      </c>
      <c r="O12">
        <v>1</v>
      </c>
      <c r="P12">
        <v>0</v>
      </c>
      <c r="Q12" s="139">
        <v>0</v>
      </c>
      <c r="R12" s="112">
        <v>1</v>
      </c>
      <c r="S12"/>
      <c r="T12"/>
      <c r="W12"/>
    </row>
    <row r="13" spans="1:23" ht="15" customHeight="1" x14ac:dyDescent="0.2">
      <c r="B13" s="95"/>
      <c r="C13" s="99"/>
      <c r="D13" s="88" t="s">
        <v>160</v>
      </c>
      <c r="F13" s="175" t="s">
        <v>178</v>
      </c>
      <c r="G13">
        <v>0</v>
      </c>
      <c r="H13">
        <v>0</v>
      </c>
      <c r="I13">
        <v>0</v>
      </c>
      <c r="J13">
        <v>0</v>
      </c>
      <c r="K13">
        <v>1</v>
      </c>
      <c r="L13">
        <v>0</v>
      </c>
      <c r="M13">
        <v>0</v>
      </c>
      <c r="N13">
        <v>1</v>
      </c>
      <c r="O13">
        <v>1</v>
      </c>
      <c r="P13">
        <v>0</v>
      </c>
      <c r="Q13" s="139">
        <v>0</v>
      </c>
      <c r="R13" s="112">
        <v>1</v>
      </c>
      <c r="S13"/>
      <c r="T13"/>
      <c r="W13"/>
    </row>
    <row r="14" spans="1:23" ht="15" customHeight="1" x14ac:dyDescent="0.2">
      <c r="B14" s="95"/>
      <c r="C14" s="83"/>
      <c r="D14" s="88" t="s">
        <v>160</v>
      </c>
      <c r="F14" s="175" t="s">
        <v>179</v>
      </c>
      <c r="G14">
        <v>0</v>
      </c>
      <c r="H14">
        <v>0</v>
      </c>
      <c r="I14">
        <v>0</v>
      </c>
      <c r="J14">
        <v>0</v>
      </c>
      <c r="K14">
        <v>1</v>
      </c>
      <c r="L14">
        <v>0</v>
      </c>
      <c r="M14">
        <v>0</v>
      </c>
      <c r="N14">
        <v>1</v>
      </c>
      <c r="O14">
        <v>1</v>
      </c>
      <c r="P14">
        <v>0</v>
      </c>
      <c r="Q14" s="139">
        <v>0</v>
      </c>
      <c r="R14" s="112">
        <v>1</v>
      </c>
      <c r="S14"/>
      <c r="T14"/>
      <c r="W14"/>
    </row>
    <row r="15" spans="1:23" ht="15" customHeight="1" x14ac:dyDescent="0.2">
      <c r="B15" s="95"/>
      <c r="C15" s="83"/>
      <c r="D15" s="88" t="s">
        <v>160</v>
      </c>
      <c r="F15" s="175" t="s">
        <v>180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1</v>
      </c>
      <c r="O15">
        <v>1</v>
      </c>
      <c r="P15">
        <v>0</v>
      </c>
      <c r="Q15" s="139">
        <v>0</v>
      </c>
      <c r="R15" s="112">
        <v>1</v>
      </c>
      <c r="S15"/>
      <c r="T15"/>
      <c r="W15"/>
    </row>
    <row r="16" spans="1:23" ht="15" customHeight="1" x14ac:dyDescent="0.2">
      <c r="B16" s="95"/>
      <c r="C16" s="83"/>
      <c r="D16" s="88" t="s">
        <v>160</v>
      </c>
      <c r="F16" s="175" t="s">
        <v>181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1</v>
      </c>
      <c r="O16">
        <v>0</v>
      </c>
      <c r="P16">
        <v>1</v>
      </c>
      <c r="Q16" s="139">
        <v>0</v>
      </c>
      <c r="R16" s="112">
        <v>1</v>
      </c>
      <c r="S16"/>
      <c r="T16"/>
    </row>
    <row r="17" spans="1:20" ht="15" customHeight="1" thickBot="1" x14ac:dyDescent="0.25">
      <c r="B17" s="94"/>
      <c r="C17" s="83"/>
      <c r="D17" s="88" t="s">
        <v>160</v>
      </c>
      <c r="F17" s="175" t="s">
        <v>182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0</v>
      </c>
      <c r="P17">
        <v>1</v>
      </c>
      <c r="Q17" s="139">
        <v>0</v>
      </c>
      <c r="R17" s="112">
        <v>1</v>
      </c>
      <c r="S17"/>
      <c r="T17"/>
    </row>
    <row r="18" spans="1:20" ht="15" customHeight="1" thickBot="1" x14ac:dyDescent="0.25">
      <c r="B18" s="96"/>
      <c r="F18" s="175" t="s">
        <v>245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1</v>
      </c>
      <c r="O18">
        <v>0</v>
      </c>
      <c r="P18">
        <v>1</v>
      </c>
      <c r="Q18" s="139">
        <v>0</v>
      </c>
      <c r="R18" s="112">
        <v>1</v>
      </c>
      <c r="S18"/>
      <c r="T18"/>
    </row>
    <row r="19" spans="1:20" ht="15" customHeight="1" x14ac:dyDescent="0.2">
      <c r="A19" s="86" t="s">
        <v>57</v>
      </c>
      <c r="B19" s="93">
        <v>1</v>
      </c>
      <c r="C19" s="175" t="s">
        <v>172</v>
      </c>
      <c r="D19" s="88" t="s">
        <v>160</v>
      </c>
      <c r="F19" s="175" t="s">
        <v>183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1</v>
      </c>
      <c r="O19">
        <v>0</v>
      </c>
      <c r="P19">
        <v>1</v>
      </c>
      <c r="Q19" s="139">
        <v>0</v>
      </c>
      <c r="R19" s="112">
        <v>1</v>
      </c>
      <c r="S19"/>
      <c r="T19"/>
    </row>
    <row r="20" spans="1:20" ht="15" customHeight="1" x14ac:dyDescent="0.2">
      <c r="A20" s="125" t="s">
        <v>169</v>
      </c>
      <c r="B20" s="95"/>
      <c r="C20" s="83"/>
      <c r="D20" s="88" t="s">
        <v>160</v>
      </c>
      <c r="F20" s="175" t="s">
        <v>184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1</v>
      </c>
      <c r="O20">
        <v>0</v>
      </c>
      <c r="P20">
        <v>1</v>
      </c>
      <c r="Q20" s="139">
        <v>0</v>
      </c>
      <c r="R20" s="112">
        <v>1</v>
      </c>
      <c r="S20"/>
      <c r="T20"/>
    </row>
    <row r="21" spans="1:20" ht="15" customHeight="1" x14ac:dyDescent="0.2">
      <c r="B21" s="95"/>
      <c r="C21" s="83"/>
      <c r="D21" s="88" t="s">
        <v>160</v>
      </c>
      <c r="F21" s="175" t="s">
        <v>228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1</v>
      </c>
      <c r="O21">
        <v>0</v>
      </c>
      <c r="P21">
        <v>1</v>
      </c>
      <c r="Q21" s="139">
        <v>0</v>
      </c>
      <c r="R21" s="112">
        <v>1</v>
      </c>
      <c r="S21"/>
      <c r="T21"/>
    </row>
    <row r="22" spans="1:20" ht="15" customHeight="1" x14ac:dyDescent="0.2">
      <c r="A22" s="84"/>
      <c r="B22" s="95"/>
      <c r="C22" s="98"/>
      <c r="D22" s="88" t="s">
        <v>160</v>
      </c>
      <c r="F22" s="175" t="s">
        <v>185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1</v>
      </c>
      <c r="O22">
        <v>1</v>
      </c>
      <c r="P22">
        <v>0</v>
      </c>
      <c r="Q22" s="139">
        <v>0</v>
      </c>
      <c r="R22" s="112">
        <v>1</v>
      </c>
      <c r="S22"/>
      <c r="T22"/>
    </row>
    <row r="23" spans="1:20" ht="15" customHeight="1" x14ac:dyDescent="0.2">
      <c r="A23" s="84"/>
      <c r="B23" s="95"/>
      <c r="C23" s="99"/>
      <c r="D23" s="88" t="s">
        <v>160</v>
      </c>
      <c r="F23" s="175" t="s">
        <v>246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1</v>
      </c>
      <c r="O23">
        <v>1</v>
      </c>
      <c r="P23">
        <v>0</v>
      </c>
      <c r="Q23" s="139">
        <v>0</v>
      </c>
      <c r="R23" s="112">
        <v>1</v>
      </c>
      <c r="S23"/>
      <c r="T23"/>
    </row>
    <row r="24" spans="1:20" ht="15" customHeight="1" x14ac:dyDescent="0.2">
      <c r="A24" s="84"/>
      <c r="B24" s="95"/>
      <c r="C24" s="99"/>
      <c r="D24" s="88" t="s">
        <v>160</v>
      </c>
      <c r="F24" s="175" t="s">
        <v>229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1</v>
      </c>
      <c r="O24">
        <v>1</v>
      </c>
      <c r="P24">
        <v>0</v>
      </c>
      <c r="Q24" s="139">
        <v>0</v>
      </c>
      <c r="R24" s="112">
        <v>1</v>
      </c>
      <c r="S24"/>
      <c r="T24"/>
    </row>
    <row r="25" spans="1:20" ht="15" customHeight="1" x14ac:dyDescent="0.2">
      <c r="A25" s="84"/>
      <c r="B25" s="95"/>
      <c r="C25" s="83"/>
      <c r="D25" s="88" t="s">
        <v>160</v>
      </c>
      <c r="F25" s="175" t="s">
        <v>186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1</v>
      </c>
      <c r="O25">
        <v>1</v>
      </c>
      <c r="P25">
        <v>0</v>
      </c>
      <c r="Q25" s="139">
        <v>0</v>
      </c>
      <c r="R25" s="112">
        <v>1</v>
      </c>
      <c r="S25"/>
      <c r="T25"/>
    </row>
    <row r="26" spans="1:20" ht="15" customHeight="1" x14ac:dyDescent="0.2">
      <c r="B26" s="95"/>
      <c r="C26" s="83"/>
      <c r="D26" s="88" t="s">
        <v>160</v>
      </c>
      <c r="F26" s="175" t="s">
        <v>187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1</v>
      </c>
      <c r="O26">
        <v>1</v>
      </c>
      <c r="P26">
        <v>0</v>
      </c>
      <c r="Q26" s="139">
        <v>0</v>
      </c>
      <c r="R26" s="112">
        <v>1</v>
      </c>
      <c r="S26"/>
      <c r="T26"/>
    </row>
    <row r="27" spans="1:20" ht="15" customHeight="1" x14ac:dyDescent="0.2">
      <c r="B27" s="95"/>
      <c r="C27" s="83"/>
      <c r="D27" s="88" t="s">
        <v>160</v>
      </c>
      <c r="F27" s="175" t="s">
        <v>188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1</v>
      </c>
      <c r="O27">
        <v>1</v>
      </c>
      <c r="P27">
        <v>0</v>
      </c>
      <c r="Q27" s="139">
        <v>0</v>
      </c>
      <c r="R27" s="112">
        <v>1</v>
      </c>
      <c r="S27"/>
      <c r="T27"/>
    </row>
    <row r="28" spans="1:20" ht="15" customHeight="1" thickBot="1" x14ac:dyDescent="0.25">
      <c r="B28" s="94"/>
      <c r="C28" s="83"/>
      <c r="D28" s="88" t="s">
        <v>160</v>
      </c>
      <c r="F28" s="175" t="s">
        <v>189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1</v>
      </c>
      <c r="O28">
        <v>1</v>
      </c>
      <c r="P28">
        <v>0</v>
      </c>
      <c r="Q28" s="139">
        <v>0</v>
      </c>
      <c r="R28" s="112">
        <v>1</v>
      </c>
      <c r="S28"/>
      <c r="T28"/>
    </row>
    <row r="29" spans="1:20" ht="15" customHeight="1" x14ac:dyDescent="0.2">
      <c r="F29" s="175" t="s">
        <v>230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1</v>
      </c>
      <c r="O29">
        <v>1</v>
      </c>
      <c r="P29">
        <v>0</v>
      </c>
      <c r="Q29" s="139">
        <v>0</v>
      </c>
      <c r="R29" s="112">
        <v>1</v>
      </c>
      <c r="S29"/>
      <c r="T29"/>
    </row>
    <row r="30" spans="1:20" ht="15" customHeight="1" x14ac:dyDescent="0.2">
      <c r="F30" s="175" t="s">
        <v>231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1</v>
      </c>
      <c r="O30">
        <v>1</v>
      </c>
      <c r="P30">
        <v>0</v>
      </c>
      <c r="Q30" s="139">
        <v>0</v>
      </c>
      <c r="R30" s="112">
        <v>1</v>
      </c>
      <c r="S30"/>
      <c r="T30"/>
    </row>
    <row r="31" spans="1:20" ht="15" customHeight="1" x14ac:dyDescent="0.2">
      <c r="A31" s="126"/>
      <c r="B31" s="137" t="s">
        <v>17</v>
      </c>
      <c r="C31" s="137" t="s">
        <v>1</v>
      </c>
      <c r="D31" s="137" t="s">
        <v>162</v>
      </c>
      <c r="E31" s="138" t="s">
        <v>164</v>
      </c>
      <c r="F31" s="175" t="s">
        <v>192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1</v>
      </c>
      <c r="O31">
        <v>1</v>
      </c>
      <c r="P31">
        <v>0</v>
      </c>
      <c r="Q31" s="139">
        <v>0</v>
      </c>
      <c r="R31" s="112">
        <v>1</v>
      </c>
      <c r="S31"/>
      <c r="T31"/>
    </row>
    <row r="32" spans="1:20" ht="15" customHeight="1" x14ac:dyDescent="0.2">
      <c r="A32" s="175" t="s">
        <v>172</v>
      </c>
      <c r="B32" s="96">
        <f>MainOutputs!D2</f>
        <v>35.528186798095703</v>
      </c>
      <c r="C32" s="96">
        <f>MainOutputs!E2</f>
        <v>106.83177947998047</v>
      </c>
      <c r="D32" s="96">
        <f>B32*C32</f>
        <v>3795.5394173377135</v>
      </c>
      <c r="E32" s="128">
        <f>D32/D42</f>
        <v>1</v>
      </c>
      <c r="F32" s="175" t="s">
        <v>193</v>
      </c>
      <c r="G32">
        <v>0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1</v>
      </c>
      <c r="O32">
        <v>1</v>
      </c>
      <c r="P32">
        <v>0</v>
      </c>
      <c r="Q32" s="139">
        <v>0</v>
      </c>
      <c r="R32" s="112">
        <v>1</v>
      </c>
      <c r="S32"/>
      <c r="T32"/>
    </row>
    <row r="33" spans="1:20" ht="15" customHeight="1" x14ac:dyDescent="0.2">
      <c r="A33" s="127"/>
      <c r="B33" s="96"/>
      <c r="C33" s="96"/>
      <c r="D33" s="96"/>
      <c r="E33" s="128"/>
      <c r="F33" s="175" t="s">
        <v>247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1</v>
      </c>
      <c r="O33">
        <v>1</v>
      </c>
      <c r="P33">
        <v>0</v>
      </c>
      <c r="Q33" s="139">
        <v>0</v>
      </c>
      <c r="R33" s="112">
        <v>1</v>
      </c>
      <c r="S33"/>
      <c r="T33"/>
    </row>
    <row r="34" spans="1:20" ht="15" customHeight="1" x14ac:dyDescent="0.2">
      <c r="A34" s="129"/>
      <c r="B34" s="96"/>
      <c r="C34" s="96"/>
      <c r="D34" s="96"/>
      <c r="E34" s="128"/>
      <c r="F34" s="175" t="s">
        <v>248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1</v>
      </c>
      <c r="O34">
        <v>1</v>
      </c>
      <c r="P34">
        <v>0</v>
      </c>
      <c r="Q34" s="139">
        <v>0</v>
      </c>
      <c r="R34" s="112">
        <v>1</v>
      </c>
      <c r="S34"/>
      <c r="T34"/>
    </row>
    <row r="35" spans="1:20" ht="15" customHeight="1" x14ac:dyDescent="0.2">
      <c r="A35" s="130"/>
      <c r="B35" s="96"/>
      <c r="C35" s="96"/>
      <c r="D35" s="96"/>
      <c r="E35" s="128"/>
      <c r="F35" s="175" t="s">
        <v>249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1</v>
      </c>
      <c r="O35">
        <v>1</v>
      </c>
      <c r="P35">
        <v>0</v>
      </c>
      <c r="Q35" s="139">
        <v>0</v>
      </c>
      <c r="R35" s="112">
        <v>1</v>
      </c>
      <c r="S35"/>
      <c r="T35"/>
    </row>
    <row r="36" spans="1:20" ht="15" customHeight="1" x14ac:dyDescent="0.2">
      <c r="A36" s="131"/>
      <c r="B36" s="96"/>
      <c r="C36" s="96"/>
      <c r="D36" s="96"/>
      <c r="E36" s="128"/>
      <c r="F36" s="175" t="s">
        <v>250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1</v>
      </c>
      <c r="O36">
        <v>1</v>
      </c>
      <c r="P36">
        <v>0</v>
      </c>
      <c r="Q36" s="139">
        <v>0</v>
      </c>
      <c r="R36" s="112">
        <v>1</v>
      </c>
      <c r="S36"/>
      <c r="T36"/>
    </row>
    <row r="37" spans="1:20" ht="15" customHeight="1" x14ac:dyDescent="0.2">
      <c r="A37" s="131"/>
      <c r="B37" s="96"/>
      <c r="C37" s="96"/>
      <c r="D37" s="96"/>
      <c r="E37" s="128"/>
      <c r="F37" s="175" t="s">
        <v>251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1</v>
      </c>
      <c r="O37">
        <v>1</v>
      </c>
      <c r="P37">
        <v>0</v>
      </c>
      <c r="Q37" s="139">
        <v>0</v>
      </c>
      <c r="R37" s="112">
        <v>1</v>
      </c>
      <c r="S37"/>
      <c r="T37"/>
    </row>
    <row r="38" spans="1:20" ht="15" customHeight="1" x14ac:dyDescent="0.2">
      <c r="A38" s="132"/>
      <c r="B38" s="96"/>
      <c r="C38" s="96"/>
      <c r="D38" s="96"/>
      <c r="E38" s="128"/>
      <c r="F38" s="175" t="s">
        <v>252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1</v>
      </c>
      <c r="O38">
        <v>0</v>
      </c>
      <c r="P38">
        <v>1</v>
      </c>
      <c r="Q38" s="139">
        <v>0</v>
      </c>
      <c r="R38" s="112">
        <v>1</v>
      </c>
      <c r="S38"/>
      <c r="T38"/>
    </row>
    <row r="39" spans="1:20" ht="15" customHeight="1" x14ac:dyDescent="0.2">
      <c r="A39" s="132"/>
      <c r="B39" s="96"/>
      <c r="C39" s="96"/>
      <c r="D39" s="96"/>
      <c r="E39" s="128"/>
      <c r="F39" s="175" t="s">
        <v>253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1</v>
      </c>
      <c r="O39">
        <v>0</v>
      </c>
      <c r="P39">
        <v>1</v>
      </c>
      <c r="Q39" s="139">
        <v>0</v>
      </c>
      <c r="R39" s="112">
        <v>1</v>
      </c>
      <c r="S39"/>
      <c r="T39"/>
    </row>
    <row r="40" spans="1:20" ht="15" customHeight="1" x14ac:dyDescent="0.2">
      <c r="A40" s="132"/>
      <c r="B40" s="96"/>
      <c r="C40" s="96"/>
      <c r="D40" s="96"/>
      <c r="E40" s="128"/>
      <c r="F40" s="175" t="s">
        <v>254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1</v>
      </c>
      <c r="O40">
        <v>0</v>
      </c>
      <c r="P40">
        <v>1</v>
      </c>
      <c r="Q40" s="139">
        <v>0</v>
      </c>
      <c r="R40" s="112">
        <v>1</v>
      </c>
      <c r="S40"/>
      <c r="T40"/>
    </row>
    <row r="41" spans="1:20" ht="15" customHeight="1" thickBot="1" x14ac:dyDescent="0.25">
      <c r="A41" s="132"/>
      <c r="B41" s="96"/>
      <c r="C41" s="96"/>
      <c r="D41" s="97"/>
      <c r="E41" s="133"/>
      <c r="F41" s="175" t="s">
        <v>255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1</v>
      </c>
      <c r="O41">
        <v>0</v>
      </c>
      <c r="P41">
        <v>1</v>
      </c>
      <c r="Q41" s="139">
        <v>0</v>
      </c>
      <c r="R41" s="112">
        <v>1</v>
      </c>
      <c r="S41"/>
      <c r="T41"/>
    </row>
    <row r="42" spans="1:20" ht="15" customHeight="1" x14ac:dyDescent="0.2">
      <c r="A42" s="134"/>
      <c r="B42" s="135"/>
      <c r="C42" s="135" t="s">
        <v>163</v>
      </c>
      <c r="D42" s="135">
        <f>SUM(D32:D41)</f>
        <v>3795.5394173377135</v>
      </c>
      <c r="E42" s="136">
        <f>SUM(E32:E41)</f>
        <v>1</v>
      </c>
      <c r="F42" s="175" t="s">
        <v>194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1</v>
      </c>
      <c r="O42">
        <v>0</v>
      </c>
      <c r="P42">
        <v>1</v>
      </c>
      <c r="Q42" s="139">
        <v>0</v>
      </c>
      <c r="R42" s="112">
        <v>1</v>
      </c>
      <c r="S42"/>
      <c r="T42"/>
    </row>
    <row r="43" spans="1:20" ht="15" customHeight="1" x14ac:dyDescent="0.2">
      <c r="A43" s="84"/>
      <c r="F43" s="175" t="s">
        <v>256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1</v>
      </c>
      <c r="O43">
        <v>0</v>
      </c>
      <c r="P43">
        <v>1</v>
      </c>
      <c r="Q43" s="139">
        <v>0</v>
      </c>
      <c r="R43" s="112">
        <v>1</v>
      </c>
      <c r="S43"/>
      <c r="T43"/>
    </row>
    <row r="44" spans="1:20" ht="15" customHeight="1" x14ac:dyDescent="0.2">
      <c r="A44" s="84"/>
      <c r="F44" s="175" t="s">
        <v>195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1</v>
      </c>
      <c r="O44">
        <v>0</v>
      </c>
      <c r="P44">
        <v>1</v>
      </c>
      <c r="Q44" s="139">
        <v>0</v>
      </c>
      <c r="R44" s="112">
        <v>1</v>
      </c>
    </row>
    <row r="45" spans="1:20" ht="15" customHeight="1" x14ac:dyDescent="0.2">
      <c r="A45" s="84"/>
      <c r="F45" s="175" t="s">
        <v>196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1</v>
      </c>
      <c r="O45">
        <v>0</v>
      </c>
      <c r="P45">
        <v>1</v>
      </c>
      <c r="Q45" s="139">
        <v>0</v>
      </c>
      <c r="R45" s="112">
        <v>1</v>
      </c>
    </row>
    <row r="46" spans="1:20" ht="15" customHeight="1" x14ac:dyDescent="0.2">
      <c r="A46" s="84"/>
      <c r="F46" s="175" t="s">
        <v>197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1</v>
      </c>
      <c r="O46">
        <v>0</v>
      </c>
      <c r="P46">
        <v>1</v>
      </c>
      <c r="Q46" s="139">
        <v>0</v>
      </c>
      <c r="R46" s="112">
        <v>1</v>
      </c>
    </row>
    <row r="47" spans="1:20" ht="15" customHeight="1" x14ac:dyDescent="0.2">
      <c r="A47" s="84"/>
      <c r="F47" s="175" t="s">
        <v>198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1</v>
      </c>
      <c r="O47">
        <v>0</v>
      </c>
      <c r="P47">
        <v>1</v>
      </c>
      <c r="Q47" s="139">
        <v>0</v>
      </c>
      <c r="R47" s="112">
        <v>1</v>
      </c>
    </row>
    <row r="48" spans="1:20" ht="15" customHeight="1" x14ac:dyDescent="0.2">
      <c r="A48" s="84"/>
      <c r="F48" s="175" t="s">
        <v>199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1</v>
      </c>
      <c r="O48">
        <v>0</v>
      </c>
      <c r="P48">
        <v>1</v>
      </c>
      <c r="Q48" s="139">
        <v>0</v>
      </c>
      <c r="R48" s="112">
        <v>1</v>
      </c>
    </row>
    <row r="49" spans="6:18" s="84" customFormat="1" ht="15" customHeight="1" x14ac:dyDescent="0.2">
      <c r="F49" s="175" t="s">
        <v>232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1</v>
      </c>
      <c r="O49">
        <v>0</v>
      </c>
      <c r="P49">
        <v>1</v>
      </c>
      <c r="Q49" s="139">
        <v>0</v>
      </c>
      <c r="R49" s="112">
        <v>1</v>
      </c>
    </row>
    <row r="50" spans="6:18" s="84" customFormat="1" ht="15" customHeight="1" x14ac:dyDescent="0.2">
      <c r="F50" s="175" t="s">
        <v>200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1</v>
      </c>
      <c r="O50">
        <v>0</v>
      </c>
      <c r="P50">
        <v>1</v>
      </c>
      <c r="Q50" s="139">
        <v>0</v>
      </c>
      <c r="R50" s="112">
        <v>1</v>
      </c>
    </row>
    <row r="51" spans="6:18" s="84" customFormat="1" ht="15" customHeight="1" x14ac:dyDescent="0.2">
      <c r="F51" s="175" t="s">
        <v>201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1</v>
      </c>
      <c r="O51">
        <v>1</v>
      </c>
      <c r="P51">
        <v>0</v>
      </c>
      <c r="Q51" s="139">
        <v>0</v>
      </c>
      <c r="R51" s="112">
        <v>1</v>
      </c>
    </row>
    <row r="52" spans="6:18" s="84" customFormat="1" ht="15" customHeight="1" x14ac:dyDescent="0.2">
      <c r="F52" s="175" t="s">
        <v>202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1</v>
      </c>
      <c r="O52">
        <v>1</v>
      </c>
      <c r="P52">
        <v>0</v>
      </c>
      <c r="Q52" s="139">
        <v>0</v>
      </c>
      <c r="R52" s="112">
        <v>1</v>
      </c>
    </row>
    <row r="53" spans="6:18" s="84" customFormat="1" ht="15" customHeight="1" x14ac:dyDescent="0.2">
      <c r="F53" s="175" t="s">
        <v>203</v>
      </c>
      <c r="G53">
        <v>0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1</v>
      </c>
      <c r="O53">
        <v>0</v>
      </c>
      <c r="P53">
        <v>1</v>
      </c>
      <c r="Q53" s="139">
        <v>0</v>
      </c>
      <c r="R53" s="112">
        <v>1</v>
      </c>
    </row>
    <row r="54" spans="6:18" s="84" customFormat="1" ht="15" customHeight="1" x14ac:dyDescent="0.2">
      <c r="F54" s="175" t="s">
        <v>204</v>
      </c>
      <c r="G54">
        <v>0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1</v>
      </c>
      <c r="O54">
        <v>0</v>
      </c>
      <c r="P54">
        <v>1</v>
      </c>
      <c r="Q54" s="139">
        <v>0</v>
      </c>
      <c r="R54" s="112">
        <v>1</v>
      </c>
    </row>
    <row r="55" spans="6:18" s="84" customFormat="1" ht="15" customHeight="1" x14ac:dyDescent="0.2">
      <c r="F55" s="175" t="s">
        <v>257</v>
      </c>
      <c r="G55">
        <v>0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1</v>
      </c>
      <c r="O55">
        <v>0</v>
      </c>
      <c r="P55">
        <v>1</v>
      </c>
      <c r="Q55" s="139">
        <v>0</v>
      </c>
      <c r="R55" s="112">
        <v>1</v>
      </c>
    </row>
    <row r="56" spans="6:18" s="84" customFormat="1" ht="15" customHeight="1" x14ac:dyDescent="0.2">
      <c r="F56" s="175" t="s">
        <v>258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1</v>
      </c>
      <c r="O56">
        <v>0</v>
      </c>
      <c r="P56">
        <v>1</v>
      </c>
      <c r="Q56" s="139">
        <v>0</v>
      </c>
      <c r="R56" s="112">
        <v>1</v>
      </c>
    </row>
    <row r="57" spans="6:18" s="84" customFormat="1" ht="15" customHeight="1" x14ac:dyDescent="0.2">
      <c r="F57" s="175" t="s">
        <v>259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1</v>
      </c>
      <c r="O57">
        <v>0</v>
      </c>
      <c r="P57">
        <v>1</v>
      </c>
      <c r="Q57" s="139">
        <v>0</v>
      </c>
      <c r="R57" s="112">
        <v>1</v>
      </c>
    </row>
    <row r="58" spans="6:18" s="84" customFormat="1" ht="15" customHeight="1" x14ac:dyDescent="0.2">
      <c r="F58" s="175" t="s">
        <v>260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1</v>
      </c>
      <c r="O58">
        <v>0</v>
      </c>
      <c r="P58">
        <v>1</v>
      </c>
      <c r="Q58" s="139">
        <v>0</v>
      </c>
      <c r="R58" s="112">
        <v>1</v>
      </c>
    </row>
    <row r="59" spans="6:18" s="84" customFormat="1" ht="15" customHeight="1" x14ac:dyDescent="0.2">
      <c r="F59" s="175" t="s">
        <v>261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1</v>
      </c>
      <c r="O59">
        <v>0</v>
      </c>
      <c r="P59">
        <v>1</v>
      </c>
      <c r="Q59" s="139">
        <v>0</v>
      </c>
      <c r="R59" s="112">
        <v>1</v>
      </c>
    </row>
    <row r="60" spans="6:18" s="84" customFormat="1" ht="15" customHeight="1" x14ac:dyDescent="0.2">
      <c r="F60" s="175" t="s">
        <v>233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1</v>
      </c>
      <c r="O60">
        <v>0</v>
      </c>
      <c r="P60">
        <v>1</v>
      </c>
      <c r="Q60" s="139">
        <v>0</v>
      </c>
      <c r="R60" s="112">
        <v>1</v>
      </c>
    </row>
    <row r="61" spans="6:18" s="84" customFormat="1" ht="15" customHeight="1" x14ac:dyDescent="0.2">
      <c r="F61" s="175" t="s">
        <v>234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1</v>
      </c>
      <c r="O61">
        <v>0</v>
      </c>
      <c r="P61">
        <v>1</v>
      </c>
      <c r="Q61" s="139">
        <v>0</v>
      </c>
      <c r="R61" s="112">
        <v>1</v>
      </c>
    </row>
    <row r="62" spans="6:18" s="84" customFormat="1" ht="15" customHeight="1" x14ac:dyDescent="0.2">
      <c r="F62" s="175" t="s">
        <v>205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1</v>
      </c>
      <c r="O62">
        <v>0</v>
      </c>
      <c r="P62">
        <v>1</v>
      </c>
      <c r="Q62" s="139">
        <v>0</v>
      </c>
      <c r="R62" s="112">
        <v>1</v>
      </c>
    </row>
    <row r="63" spans="6:18" s="84" customFormat="1" ht="15" customHeight="1" x14ac:dyDescent="0.2">
      <c r="F63" s="175" t="s">
        <v>206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1</v>
      </c>
      <c r="O63">
        <v>0</v>
      </c>
      <c r="P63">
        <v>1</v>
      </c>
      <c r="Q63" s="139">
        <v>0</v>
      </c>
      <c r="R63" s="112">
        <v>1</v>
      </c>
    </row>
    <row r="64" spans="6:18" s="84" customFormat="1" ht="15" customHeight="1" x14ac:dyDescent="0.2">
      <c r="F64" s="175" t="s">
        <v>207</v>
      </c>
      <c r="G64">
        <v>0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1</v>
      </c>
      <c r="O64">
        <v>1</v>
      </c>
      <c r="P64">
        <v>0</v>
      </c>
      <c r="Q64" s="139">
        <v>0</v>
      </c>
      <c r="R64" s="112">
        <v>1</v>
      </c>
    </row>
    <row r="65" spans="1:18" ht="15" customHeight="1" x14ac:dyDescent="0.2">
      <c r="F65" s="175" t="s">
        <v>262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1</v>
      </c>
      <c r="O65">
        <v>1</v>
      </c>
      <c r="P65">
        <v>0</v>
      </c>
      <c r="Q65" s="139">
        <v>0</v>
      </c>
      <c r="R65" s="112">
        <v>1</v>
      </c>
    </row>
    <row r="66" spans="1:18" ht="15" customHeight="1" x14ac:dyDescent="0.2">
      <c r="F66" s="175" t="s">
        <v>208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1</v>
      </c>
      <c r="O66">
        <v>1</v>
      </c>
      <c r="P66">
        <v>0</v>
      </c>
      <c r="Q66" s="139">
        <v>0</v>
      </c>
      <c r="R66" s="112">
        <v>1</v>
      </c>
    </row>
    <row r="67" spans="1:18" ht="15" customHeight="1" x14ac:dyDescent="0.2">
      <c r="F67" s="175" t="s">
        <v>263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1</v>
      </c>
      <c r="O67">
        <v>1</v>
      </c>
      <c r="P67">
        <v>0</v>
      </c>
      <c r="Q67" s="139">
        <v>0</v>
      </c>
      <c r="R67" s="112">
        <v>1</v>
      </c>
    </row>
    <row r="68" spans="1:18" ht="15" customHeight="1" x14ac:dyDescent="0.2">
      <c r="F68" s="175" t="s">
        <v>209</v>
      </c>
      <c r="G68">
        <v>0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1</v>
      </c>
      <c r="O68">
        <v>1</v>
      </c>
      <c r="P68">
        <v>0</v>
      </c>
      <c r="Q68" s="139">
        <v>0</v>
      </c>
      <c r="R68" s="112">
        <v>1</v>
      </c>
    </row>
    <row r="69" spans="1:18" ht="15" customHeight="1" x14ac:dyDescent="0.2">
      <c r="F69" s="175" t="s">
        <v>264</v>
      </c>
      <c r="G69">
        <v>0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1</v>
      </c>
      <c r="O69">
        <v>1</v>
      </c>
      <c r="P69">
        <v>0</v>
      </c>
      <c r="Q69" s="139">
        <v>0</v>
      </c>
      <c r="R69" s="112">
        <v>1</v>
      </c>
    </row>
    <row r="70" spans="1:18" ht="15" customHeight="1" x14ac:dyDescent="0.2">
      <c r="F70" s="175" t="s">
        <v>210</v>
      </c>
      <c r="G70">
        <v>0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1</v>
      </c>
      <c r="O70">
        <v>1</v>
      </c>
      <c r="P70">
        <v>0</v>
      </c>
      <c r="Q70" s="139">
        <v>0</v>
      </c>
      <c r="R70" s="112">
        <v>1</v>
      </c>
    </row>
    <row r="71" spans="1:18" ht="15" customHeight="1" x14ac:dyDescent="0.2">
      <c r="F71" s="175" t="s">
        <v>235</v>
      </c>
      <c r="G71">
        <v>0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1</v>
      </c>
      <c r="O71">
        <v>1</v>
      </c>
      <c r="P71">
        <v>0</v>
      </c>
      <c r="Q71" s="139">
        <v>0</v>
      </c>
      <c r="R71" s="112">
        <v>1</v>
      </c>
    </row>
    <row r="72" spans="1:18" ht="15" customHeight="1" x14ac:dyDescent="0.2">
      <c r="F72" s="175" t="s">
        <v>211</v>
      </c>
      <c r="G72">
        <v>0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1</v>
      </c>
      <c r="O72">
        <v>1</v>
      </c>
      <c r="P72">
        <v>0</v>
      </c>
      <c r="Q72" s="139">
        <v>0</v>
      </c>
      <c r="R72" s="112">
        <v>1</v>
      </c>
    </row>
    <row r="73" spans="1:18" ht="15" customHeight="1" x14ac:dyDescent="0.2">
      <c r="F73" s="175" t="s">
        <v>265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1</v>
      </c>
      <c r="O73">
        <v>1</v>
      </c>
      <c r="P73">
        <v>0</v>
      </c>
      <c r="Q73" s="139">
        <v>0</v>
      </c>
      <c r="R73" s="112">
        <v>1</v>
      </c>
    </row>
    <row r="74" spans="1:18" ht="15" customHeight="1" x14ac:dyDescent="0.2">
      <c r="F74" s="175" t="s">
        <v>212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1</v>
      </c>
      <c r="O74">
        <v>1</v>
      </c>
      <c r="P74">
        <v>0</v>
      </c>
      <c r="Q74" s="139">
        <v>0</v>
      </c>
      <c r="R74" s="112">
        <v>1</v>
      </c>
    </row>
    <row r="75" spans="1:18" ht="15" customHeight="1" x14ac:dyDescent="0.2">
      <c r="F75" s="175" t="s">
        <v>213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1</v>
      </c>
      <c r="O75">
        <v>1</v>
      </c>
      <c r="P75">
        <v>0</v>
      </c>
      <c r="Q75" s="139">
        <v>0</v>
      </c>
      <c r="R75" s="112">
        <v>1</v>
      </c>
    </row>
    <row r="76" spans="1:18" ht="15" customHeight="1" x14ac:dyDescent="0.2">
      <c r="A76" s="84"/>
      <c r="F76" s="175" t="s">
        <v>236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0</v>
      </c>
      <c r="N76">
        <v>1</v>
      </c>
      <c r="O76">
        <v>1</v>
      </c>
      <c r="P76">
        <v>0</v>
      </c>
      <c r="Q76" s="139">
        <v>0</v>
      </c>
      <c r="R76" s="112">
        <v>1</v>
      </c>
    </row>
    <row r="77" spans="1:18" ht="15" customHeight="1" x14ac:dyDescent="0.2">
      <c r="A77" s="84"/>
      <c r="F77" s="175" t="s">
        <v>237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1</v>
      </c>
      <c r="O77">
        <v>1</v>
      </c>
      <c r="P77">
        <v>0</v>
      </c>
      <c r="Q77" s="139">
        <v>0</v>
      </c>
      <c r="R77" s="112">
        <v>1</v>
      </c>
    </row>
    <row r="78" spans="1:18" ht="15" customHeight="1" x14ac:dyDescent="0.2">
      <c r="A78" s="84"/>
      <c r="F78" s="175" t="s">
        <v>214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1</v>
      </c>
      <c r="O78">
        <v>1</v>
      </c>
      <c r="P78">
        <v>0</v>
      </c>
      <c r="Q78" s="139">
        <v>0</v>
      </c>
      <c r="R78" s="112">
        <v>1</v>
      </c>
    </row>
    <row r="79" spans="1:18" ht="15" customHeight="1" x14ac:dyDescent="0.2">
      <c r="A79" s="84"/>
      <c r="F79" s="175" t="s">
        <v>238</v>
      </c>
      <c r="G79">
        <v>0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1</v>
      </c>
      <c r="O79">
        <v>1</v>
      </c>
      <c r="P79">
        <v>0</v>
      </c>
      <c r="Q79" s="139">
        <v>0</v>
      </c>
      <c r="R79" s="112">
        <v>1</v>
      </c>
    </row>
    <row r="80" spans="1:18" ht="15" customHeight="1" x14ac:dyDescent="0.2">
      <c r="A80" s="84"/>
      <c r="F80" s="175" t="s">
        <v>239</v>
      </c>
      <c r="G80">
        <v>0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1</v>
      </c>
      <c r="O80">
        <v>1</v>
      </c>
      <c r="P80">
        <v>0</v>
      </c>
      <c r="Q80" s="139">
        <v>0</v>
      </c>
      <c r="R80" s="112">
        <v>1</v>
      </c>
    </row>
    <row r="81" spans="1:18" ht="15" customHeight="1" x14ac:dyDescent="0.2">
      <c r="A81" s="84"/>
      <c r="F81" s="175" t="s">
        <v>240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1</v>
      </c>
      <c r="O81">
        <v>1</v>
      </c>
      <c r="P81">
        <v>0</v>
      </c>
      <c r="Q81" s="139">
        <v>0</v>
      </c>
      <c r="R81" s="112">
        <v>1</v>
      </c>
    </row>
    <row r="82" spans="1:18" ht="15" customHeight="1" x14ac:dyDescent="0.2">
      <c r="A82" s="84"/>
      <c r="F82" s="175" t="s">
        <v>215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1</v>
      </c>
      <c r="O82">
        <v>1</v>
      </c>
      <c r="P82">
        <v>0</v>
      </c>
      <c r="Q82" s="139">
        <v>0</v>
      </c>
      <c r="R82" s="112">
        <v>1</v>
      </c>
    </row>
    <row r="83" spans="1:18" ht="15" customHeight="1" x14ac:dyDescent="0.2">
      <c r="A83" s="84"/>
      <c r="F83" s="175" t="s">
        <v>216</v>
      </c>
      <c r="G83">
        <v>0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1</v>
      </c>
      <c r="O83">
        <v>1</v>
      </c>
      <c r="P83">
        <v>0</v>
      </c>
      <c r="Q83" s="139">
        <v>0</v>
      </c>
      <c r="R83" s="112">
        <v>1</v>
      </c>
    </row>
    <row r="84" spans="1:18" ht="15" customHeight="1" x14ac:dyDescent="0.2">
      <c r="A84" s="84"/>
      <c r="F84" s="175" t="s">
        <v>217</v>
      </c>
      <c r="G84">
        <v>0</v>
      </c>
      <c r="H84">
        <v>0</v>
      </c>
      <c r="I84">
        <v>0</v>
      </c>
      <c r="J84">
        <v>0</v>
      </c>
      <c r="K84">
        <v>0</v>
      </c>
      <c r="L84">
        <v>1</v>
      </c>
      <c r="M84">
        <v>0</v>
      </c>
      <c r="N84">
        <v>1</v>
      </c>
      <c r="O84">
        <v>1</v>
      </c>
      <c r="P84">
        <v>0</v>
      </c>
      <c r="Q84" s="139">
        <v>0</v>
      </c>
      <c r="R84" s="112">
        <v>1</v>
      </c>
    </row>
    <row r="85" spans="1:18" ht="15" customHeight="1" x14ac:dyDescent="0.2">
      <c r="A85" s="84"/>
      <c r="F85" s="175" t="s">
        <v>266</v>
      </c>
      <c r="G85">
        <v>0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1</v>
      </c>
      <c r="O85">
        <v>1</v>
      </c>
      <c r="P85">
        <v>0</v>
      </c>
      <c r="Q85" s="139">
        <v>0</v>
      </c>
      <c r="R85" s="112">
        <v>1</v>
      </c>
    </row>
    <row r="86" spans="1:18" ht="15" customHeight="1" x14ac:dyDescent="0.2">
      <c r="A86" s="84"/>
      <c r="F86" s="175" t="s">
        <v>267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1</v>
      </c>
      <c r="O86">
        <v>1</v>
      </c>
      <c r="P86">
        <v>0</v>
      </c>
      <c r="Q86" s="139">
        <v>0</v>
      </c>
      <c r="R86" s="112">
        <v>1</v>
      </c>
    </row>
    <row r="87" spans="1:18" ht="15" customHeight="1" x14ac:dyDescent="0.2">
      <c r="A87" s="84"/>
      <c r="F87" s="175" t="s">
        <v>218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1</v>
      </c>
      <c r="O87">
        <v>1</v>
      </c>
      <c r="P87">
        <v>0</v>
      </c>
      <c r="Q87" s="139">
        <v>0</v>
      </c>
      <c r="R87" s="112">
        <v>1</v>
      </c>
    </row>
    <row r="88" spans="1:18" ht="15" customHeight="1" x14ac:dyDescent="0.2">
      <c r="A88" s="84"/>
      <c r="F88" s="175" t="s">
        <v>219</v>
      </c>
      <c r="G88">
        <v>0</v>
      </c>
      <c r="H88">
        <v>0</v>
      </c>
      <c r="I88">
        <v>0</v>
      </c>
      <c r="J88">
        <v>0</v>
      </c>
      <c r="K88">
        <v>0</v>
      </c>
      <c r="L88">
        <v>1</v>
      </c>
      <c r="M88">
        <v>0</v>
      </c>
      <c r="N88">
        <v>1</v>
      </c>
      <c r="O88">
        <v>1</v>
      </c>
      <c r="P88">
        <v>0</v>
      </c>
      <c r="Q88" s="139">
        <v>0</v>
      </c>
      <c r="R88" s="112">
        <v>1</v>
      </c>
    </row>
    <row r="89" spans="1:18" ht="15" customHeight="1" x14ac:dyDescent="0.2">
      <c r="A89" s="84"/>
      <c r="F89" s="175" t="s">
        <v>220</v>
      </c>
      <c r="G89">
        <v>0</v>
      </c>
      <c r="H89">
        <v>0</v>
      </c>
      <c r="I89">
        <v>0</v>
      </c>
      <c r="J89">
        <v>0</v>
      </c>
      <c r="K89">
        <v>0</v>
      </c>
      <c r="L89">
        <v>1</v>
      </c>
      <c r="M89">
        <v>0</v>
      </c>
      <c r="N89">
        <v>1</v>
      </c>
      <c r="O89">
        <v>1</v>
      </c>
      <c r="P89">
        <v>0</v>
      </c>
      <c r="Q89" s="139">
        <v>0</v>
      </c>
      <c r="R89" s="112">
        <v>1</v>
      </c>
    </row>
    <row r="90" spans="1:18" ht="15" customHeight="1" x14ac:dyDescent="0.2">
      <c r="A90" s="84"/>
      <c r="F90" s="175" t="s">
        <v>221</v>
      </c>
      <c r="G90">
        <v>0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1</v>
      </c>
      <c r="O90">
        <v>1</v>
      </c>
      <c r="P90">
        <v>0</v>
      </c>
      <c r="Q90" s="139">
        <v>0</v>
      </c>
      <c r="R90" s="112">
        <v>1</v>
      </c>
    </row>
    <row r="91" spans="1:18" ht="15" customHeight="1" x14ac:dyDescent="0.2">
      <c r="A91" s="84"/>
      <c r="F91" s="175" t="s">
        <v>268</v>
      </c>
      <c r="G91">
        <v>0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1</v>
      </c>
      <c r="O91">
        <v>1</v>
      </c>
      <c r="P91">
        <v>0</v>
      </c>
      <c r="Q91" s="139">
        <v>0</v>
      </c>
      <c r="R91" s="112">
        <v>1</v>
      </c>
    </row>
    <row r="92" spans="1:18" ht="15" customHeight="1" x14ac:dyDescent="0.2">
      <c r="A92" s="84"/>
      <c r="F92" s="175" t="s">
        <v>269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1</v>
      </c>
      <c r="O92">
        <v>1</v>
      </c>
      <c r="P92">
        <v>0</v>
      </c>
      <c r="Q92" s="139">
        <v>0</v>
      </c>
      <c r="R92" s="112">
        <v>1</v>
      </c>
    </row>
    <row r="93" spans="1:18" ht="15" customHeight="1" x14ac:dyDescent="0.2">
      <c r="A93" s="84"/>
      <c r="F93" s="175" t="s">
        <v>222</v>
      </c>
      <c r="G93">
        <v>0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1</v>
      </c>
      <c r="O93">
        <v>1</v>
      </c>
      <c r="P93">
        <v>0</v>
      </c>
      <c r="Q93" s="139">
        <v>0</v>
      </c>
      <c r="R93" s="112">
        <v>1</v>
      </c>
    </row>
    <row r="94" spans="1:18" ht="15" customHeight="1" x14ac:dyDescent="0.2">
      <c r="A94" s="84"/>
      <c r="F94" s="175" t="s">
        <v>270</v>
      </c>
      <c r="G94">
        <v>0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1</v>
      </c>
      <c r="O94">
        <v>1</v>
      </c>
      <c r="P94">
        <v>0</v>
      </c>
      <c r="Q94" s="139">
        <v>0</v>
      </c>
      <c r="R94" s="112">
        <v>1</v>
      </c>
    </row>
    <row r="95" spans="1:18" ht="15" customHeight="1" x14ac:dyDescent="0.2">
      <c r="A95" s="84"/>
      <c r="F95" s="175" t="s">
        <v>223</v>
      </c>
      <c r="G95">
        <v>0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1</v>
      </c>
      <c r="O95">
        <v>1</v>
      </c>
      <c r="P95">
        <v>0</v>
      </c>
      <c r="Q95" s="139">
        <v>0</v>
      </c>
      <c r="R95" s="112">
        <v>1</v>
      </c>
    </row>
    <row r="96" spans="1:18" ht="15" customHeight="1" x14ac:dyDescent="0.2">
      <c r="A96" s="84"/>
      <c r="F96" s="175" t="s">
        <v>224</v>
      </c>
      <c r="G96">
        <v>0</v>
      </c>
      <c r="H96">
        <v>0</v>
      </c>
      <c r="I96">
        <v>0</v>
      </c>
      <c r="J96">
        <v>0</v>
      </c>
      <c r="K96">
        <v>0</v>
      </c>
      <c r="L96">
        <v>1</v>
      </c>
      <c r="M96">
        <v>0</v>
      </c>
      <c r="N96">
        <v>1</v>
      </c>
      <c r="O96">
        <v>1</v>
      </c>
      <c r="P96">
        <v>0</v>
      </c>
      <c r="Q96" s="139">
        <v>0</v>
      </c>
      <c r="R96" s="112">
        <v>1</v>
      </c>
    </row>
    <row r="97" spans="1:18" ht="15" customHeight="1" x14ac:dyDescent="0.2">
      <c r="A97" s="84"/>
      <c r="F97" s="175" t="s">
        <v>225</v>
      </c>
      <c r="G97">
        <v>0</v>
      </c>
      <c r="H97">
        <v>0</v>
      </c>
      <c r="I97">
        <v>0</v>
      </c>
      <c r="J97">
        <v>0</v>
      </c>
      <c r="K97">
        <v>0</v>
      </c>
      <c r="L97">
        <v>1</v>
      </c>
      <c r="M97">
        <v>0</v>
      </c>
      <c r="N97">
        <v>1</v>
      </c>
      <c r="O97">
        <v>1</v>
      </c>
      <c r="P97">
        <v>0</v>
      </c>
      <c r="Q97" s="139">
        <v>0</v>
      </c>
      <c r="R97" s="112">
        <v>1</v>
      </c>
    </row>
    <row r="98" spans="1:18" ht="15" customHeight="1" x14ac:dyDescent="0.2">
      <c r="A98" s="84"/>
      <c r="F98" s="175" t="s">
        <v>226</v>
      </c>
      <c r="G98">
        <v>0</v>
      </c>
      <c r="H98">
        <v>0</v>
      </c>
      <c r="I98">
        <v>0</v>
      </c>
      <c r="J98">
        <v>0</v>
      </c>
      <c r="K98">
        <v>0</v>
      </c>
      <c r="L98">
        <v>1</v>
      </c>
      <c r="M98">
        <v>0</v>
      </c>
      <c r="N98">
        <v>1</v>
      </c>
      <c r="O98">
        <v>1</v>
      </c>
      <c r="P98">
        <v>0</v>
      </c>
      <c r="Q98" s="139">
        <v>0</v>
      </c>
      <c r="R98" s="112">
        <v>1</v>
      </c>
    </row>
    <row r="99" spans="1:18" ht="15" customHeight="1" x14ac:dyDescent="0.2">
      <c r="A99" s="84"/>
      <c r="F99" s="175" t="s">
        <v>123</v>
      </c>
      <c r="G99">
        <v>0</v>
      </c>
      <c r="H99">
        <v>0</v>
      </c>
      <c r="I99">
        <v>0</v>
      </c>
      <c r="J99">
        <v>0</v>
      </c>
      <c r="K99">
        <v>0</v>
      </c>
      <c r="L99">
        <v>1</v>
      </c>
      <c r="M99">
        <v>0</v>
      </c>
      <c r="N99">
        <v>1</v>
      </c>
      <c r="O99">
        <v>0</v>
      </c>
      <c r="P99">
        <v>1</v>
      </c>
      <c r="Q99" s="139">
        <v>0</v>
      </c>
      <c r="R99" s="112">
        <v>1</v>
      </c>
    </row>
    <row r="100" spans="1:18" ht="15" customHeight="1" x14ac:dyDescent="0.2">
      <c r="A100" s="84"/>
      <c r="F100" s="175" t="s">
        <v>271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 s="113">
        <v>1</v>
      </c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Y192"/>
  <sheetViews>
    <sheetView workbookViewId="0">
      <pane xSplit="1" ySplit="1" topLeftCell="B76" activePane="bottomRight" state="frozen"/>
      <selection pane="topRight" activeCell="B1" sqref="B1"/>
      <selection pane="bottomLeft" activeCell="A2" sqref="A2"/>
      <selection pane="bottomRight" activeCell="A101" sqref="A101"/>
    </sheetView>
  </sheetViews>
  <sheetFormatPr baseColWidth="10" defaultColWidth="8.83203125" defaultRowHeight="13" x14ac:dyDescent="0.15"/>
  <cols>
    <col min="1" max="1" width="40" bestFit="1" customWidth="1"/>
    <col min="2" max="5" width="7.83203125" style="112" customWidth="1"/>
    <col min="6" max="38" width="8.83203125" style="5"/>
    <col min="81" max="81" width="22.1640625" bestFit="1" customWidth="1"/>
  </cols>
  <sheetData>
    <row r="1" spans="1:103" x14ac:dyDescent="0.15">
      <c r="A1" s="3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t="s">
        <v>172</v>
      </c>
      <c r="J1" t="s">
        <v>173</v>
      </c>
      <c r="K1" t="s">
        <v>174</v>
      </c>
      <c r="L1" t="s">
        <v>175</v>
      </c>
      <c r="M1" t="s">
        <v>176</v>
      </c>
      <c r="N1" t="s">
        <v>177</v>
      </c>
      <c r="O1" t="s">
        <v>161</v>
      </c>
      <c r="P1" t="s">
        <v>178</v>
      </c>
      <c r="Q1" t="s">
        <v>179</v>
      </c>
      <c r="R1" t="s">
        <v>180</v>
      </c>
      <c r="S1" t="s">
        <v>181</v>
      </c>
      <c r="T1" t="s">
        <v>182</v>
      </c>
      <c r="U1" t="s">
        <v>245</v>
      </c>
      <c r="V1" t="s">
        <v>183</v>
      </c>
      <c r="W1" t="s">
        <v>184</v>
      </c>
      <c r="X1" t="s">
        <v>228</v>
      </c>
      <c r="Y1" t="s">
        <v>185</v>
      </c>
      <c r="Z1" t="s">
        <v>246</v>
      </c>
      <c r="AA1" t="s">
        <v>229</v>
      </c>
      <c r="AB1" t="s">
        <v>186</v>
      </c>
      <c r="AC1" t="s">
        <v>187</v>
      </c>
      <c r="AD1" t="s">
        <v>188</v>
      </c>
      <c r="AE1" t="s">
        <v>189</v>
      </c>
      <c r="AF1" t="s">
        <v>230</v>
      </c>
      <c r="AG1" t="s">
        <v>231</v>
      </c>
      <c r="AH1" t="s">
        <v>192</v>
      </c>
      <c r="AI1" t="s">
        <v>193</v>
      </c>
      <c r="AJ1" t="s">
        <v>247</v>
      </c>
      <c r="AK1" t="s">
        <v>248</v>
      </c>
      <c r="AL1" t="s">
        <v>249</v>
      </c>
      <c r="AM1" t="s">
        <v>250</v>
      </c>
      <c r="AN1" t="s">
        <v>251</v>
      </c>
      <c r="AO1" t="s">
        <v>252</v>
      </c>
      <c r="AP1" t="s">
        <v>253</v>
      </c>
      <c r="AQ1" t="s">
        <v>254</v>
      </c>
      <c r="AR1" t="s">
        <v>255</v>
      </c>
      <c r="AS1" t="s">
        <v>194</v>
      </c>
      <c r="AT1" t="s">
        <v>256</v>
      </c>
      <c r="AU1" t="s">
        <v>195</v>
      </c>
      <c r="AV1" t="s">
        <v>196</v>
      </c>
      <c r="AW1" t="s">
        <v>197</v>
      </c>
      <c r="AX1" t="s">
        <v>198</v>
      </c>
      <c r="AY1" t="s">
        <v>199</v>
      </c>
      <c r="AZ1" t="s">
        <v>232</v>
      </c>
      <c r="BA1" t="s">
        <v>200</v>
      </c>
      <c r="BB1" t="s">
        <v>201</v>
      </c>
      <c r="BC1" t="s">
        <v>202</v>
      </c>
      <c r="BD1" t="s">
        <v>203</v>
      </c>
      <c r="BE1" t="s">
        <v>204</v>
      </c>
      <c r="BF1" t="s">
        <v>257</v>
      </c>
      <c r="BG1" t="s">
        <v>258</v>
      </c>
      <c r="BH1" t="s">
        <v>259</v>
      </c>
      <c r="BI1" t="s">
        <v>260</v>
      </c>
      <c r="BJ1" t="s">
        <v>261</v>
      </c>
      <c r="BK1" t="s">
        <v>233</v>
      </c>
      <c r="BL1" t="s">
        <v>234</v>
      </c>
      <c r="BM1" t="s">
        <v>205</v>
      </c>
      <c r="BN1" t="s">
        <v>206</v>
      </c>
      <c r="BO1" t="s">
        <v>207</v>
      </c>
      <c r="BP1" t="s">
        <v>262</v>
      </c>
      <c r="BQ1" t="s">
        <v>208</v>
      </c>
      <c r="BR1" t="s">
        <v>263</v>
      </c>
      <c r="BS1" t="s">
        <v>209</v>
      </c>
      <c r="BT1" t="s">
        <v>264</v>
      </c>
      <c r="BU1" t="s">
        <v>210</v>
      </c>
      <c r="BV1" t="s">
        <v>235</v>
      </c>
      <c r="BW1" t="s">
        <v>211</v>
      </c>
      <c r="BX1" t="s">
        <v>265</v>
      </c>
      <c r="BY1" t="s">
        <v>212</v>
      </c>
      <c r="BZ1" t="s">
        <v>213</v>
      </c>
      <c r="CA1" t="s">
        <v>236</v>
      </c>
      <c r="CB1" t="s">
        <v>237</v>
      </c>
      <c r="CC1" t="s">
        <v>214</v>
      </c>
      <c r="CD1" t="s">
        <v>238</v>
      </c>
      <c r="CE1" t="s">
        <v>239</v>
      </c>
      <c r="CF1" t="s">
        <v>240</v>
      </c>
      <c r="CG1" t="s">
        <v>215</v>
      </c>
      <c r="CH1" t="s">
        <v>216</v>
      </c>
      <c r="CI1" t="s">
        <v>217</v>
      </c>
      <c r="CJ1" t="s">
        <v>266</v>
      </c>
      <c r="CK1" t="s">
        <v>267</v>
      </c>
      <c r="CL1" t="s">
        <v>218</v>
      </c>
      <c r="CM1" t="s">
        <v>219</v>
      </c>
      <c r="CN1" t="s">
        <v>220</v>
      </c>
      <c r="CO1" t="s">
        <v>221</v>
      </c>
      <c r="CP1" t="s">
        <v>268</v>
      </c>
      <c r="CQ1" t="s">
        <v>269</v>
      </c>
      <c r="CR1" t="s">
        <v>222</v>
      </c>
      <c r="CS1" t="s">
        <v>270</v>
      </c>
      <c r="CT1" t="s">
        <v>223</v>
      </c>
      <c r="CU1" t="s">
        <v>224</v>
      </c>
      <c r="CV1" t="s">
        <v>225</v>
      </c>
      <c r="CW1" t="s">
        <v>226</v>
      </c>
      <c r="CX1" t="s">
        <v>123</v>
      </c>
      <c r="CY1" t="s">
        <v>271</v>
      </c>
    </row>
    <row r="2" spans="1:103" ht="16" x14ac:dyDescent="0.2">
      <c r="A2" s="175" t="s">
        <v>38</v>
      </c>
      <c r="B2" s="11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103" ht="16" x14ac:dyDescent="0.2">
      <c r="A3" s="175" t="s">
        <v>40</v>
      </c>
      <c r="B3" s="11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103" ht="16" x14ac:dyDescent="0.2">
      <c r="A4" s="175" t="s">
        <v>41</v>
      </c>
      <c r="B4" s="11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103" ht="16" x14ac:dyDescent="0.2">
      <c r="A5" s="175" t="s">
        <v>172</v>
      </c>
      <c r="B5" s="11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103" ht="16" x14ac:dyDescent="0.2">
      <c r="A6" s="175" t="s">
        <v>173</v>
      </c>
      <c r="B6" s="11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103" ht="16" x14ac:dyDescent="0.2">
      <c r="A7" s="175" t="s">
        <v>174</v>
      </c>
      <c r="B7" s="11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103" ht="16" x14ac:dyDescent="0.2">
      <c r="A8" s="175" t="s">
        <v>175</v>
      </c>
      <c r="B8" s="11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103" ht="16" x14ac:dyDescent="0.2">
      <c r="A9" s="175" t="s">
        <v>176</v>
      </c>
      <c r="B9" s="11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103" ht="16" x14ac:dyDescent="0.2">
      <c r="A10" s="175" t="s">
        <v>177</v>
      </c>
      <c r="B10" s="11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103" ht="16" x14ac:dyDescent="0.2">
      <c r="A11" s="175" t="s">
        <v>161</v>
      </c>
      <c r="B11" s="11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103" ht="16" x14ac:dyDescent="0.2">
      <c r="A12" s="175" t="s">
        <v>178</v>
      </c>
      <c r="B12" s="11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103" ht="16" x14ac:dyDescent="0.2">
      <c r="A13" s="175" t="s">
        <v>179</v>
      </c>
      <c r="B13" s="11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103" ht="16" x14ac:dyDescent="0.2">
      <c r="A14" s="175" t="s">
        <v>180</v>
      </c>
      <c r="B14" s="11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103" ht="16" x14ac:dyDescent="0.2">
      <c r="A15" s="175" t="s">
        <v>181</v>
      </c>
      <c r="B15" s="11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103" ht="16" x14ac:dyDescent="0.2">
      <c r="A16" s="175" t="s">
        <v>182</v>
      </c>
      <c r="B16" s="11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2">
      <c r="A17" s="175" t="s">
        <v>245</v>
      </c>
      <c r="B17" s="11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2">
      <c r="A18" s="175" t="s">
        <v>183</v>
      </c>
      <c r="B18" s="11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2">
      <c r="A19" s="175" t="s">
        <v>184</v>
      </c>
      <c r="B19" s="11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2">
      <c r="A20" s="175" t="s">
        <v>228</v>
      </c>
      <c r="B20" s="11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2">
      <c r="A21" s="175" t="s">
        <v>185</v>
      </c>
      <c r="B21" s="11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2">
      <c r="A22" s="175" t="s">
        <v>246</v>
      </c>
      <c r="B22" s="11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2">
      <c r="A23" s="175" t="s">
        <v>229</v>
      </c>
      <c r="B23" s="11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2">
      <c r="A24" s="175" t="s">
        <v>186</v>
      </c>
      <c r="B24" s="11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2">
      <c r="A25" s="175" t="s">
        <v>187</v>
      </c>
      <c r="B25" s="11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2">
      <c r="A26" s="175" t="s">
        <v>188</v>
      </c>
      <c r="B26" s="11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2">
      <c r="A27" s="175" t="s">
        <v>189</v>
      </c>
      <c r="B27" s="112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2">
      <c r="A28" s="175" t="s">
        <v>230</v>
      </c>
      <c r="B28" s="112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2">
      <c r="A29" s="175" t="s">
        <v>231</v>
      </c>
      <c r="B29" s="112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2">
      <c r="A30" s="175" t="s">
        <v>192</v>
      </c>
      <c r="B30" s="112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2">
      <c r="A31" s="175" t="s">
        <v>193</v>
      </c>
      <c r="B31" s="112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2">
      <c r="A32" s="175" t="s">
        <v>247</v>
      </c>
      <c r="B32" s="112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2">
      <c r="A33" s="175" t="s">
        <v>248</v>
      </c>
      <c r="B33" s="112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2">
      <c r="A34" s="175" t="s">
        <v>249</v>
      </c>
      <c r="B34" s="112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2">
      <c r="A35" s="175" t="s">
        <v>250</v>
      </c>
      <c r="B35" s="112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2">
      <c r="A36" s="175" t="s">
        <v>251</v>
      </c>
      <c r="B36" s="112">
        <v>0</v>
      </c>
      <c r="C36"/>
      <c r="D36"/>
    </row>
    <row r="37" spans="1:38" ht="15" customHeight="1" x14ac:dyDescent="0.2">
      <c r="A37" s="175" t="s">
        <v>252</v>
      </c>
      <c r="B37" s="112">
        <v>0</v>
      </c>
      <c r="C37"/>
      <c r="D37"/>
    </row>
    <row r="38" spans="1:38" ht="15" customHeight="1" x14ac:dyDescent="0.2">
      <c r="A38" s="175" t="s">
        <v>253</v>
      </c>
      <c r="B38" s="112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2">
      <c r="A39" s="175" t="s">
        <v>254</v>
      </c>
      <c r="B39" s="112">
        <v>0</v>
      </c>
      <c r="C39"/>
      <c r="D39"/>
    </row>
    <row r="40" spans="1:38" ht="15" customHeight="1" x14ac:dyDescent="0.2">
      <c r="A40" s="175" t="s">
        <v>255</v>
      </c>
      <c r="B40" s="112">
        <v>0</v>
      </c>
      <c r="C40"/>
      <c r="D40"/>
    </row>
    <row r="41" spans="1:38" ht="15" customHeight="1" x14ac:dyDescent="0.2">
      <c r="A41" s="175" t="s">
        <v>194</v>
      </c>
      <c r="B41" s="112">
        <v>0</v>
      </c>
      <c r="C41"/>
      <c r="D41"/>
    </row>
    <row r="42" spans="1:38" ht="15" customHeight="1" x14ac:dyDescent="0.2">
      <c r="A42" s="175" t="s">
        <v>256</v>
      </c>
      <c r="B42" s="112">
        <v>0</v>
      </c>
    </row>
    <row r="43" spans="1:38" ht="15" customHeight="1" x14ac:dyDescent="0.2">
      <c r="A43" s="175" t="s">
        <v>195</v>
      </c>
      <c r="B43" s="112">
        <v>0</v>
      </c>
    </row>
    <row r="44" spans="1:38" ht="15" customHeight="1" x14ac:dyDescent="0.2">
      <c r="A44" s="175" t="s">
        <v>196</v>
      </c>
      <c r="B44" s="112">
        <v>0</v>
      </c>
    </row>
    <row r="45" spans="1:38" ht="15" customHeight="1" x14ac:dyDescent="0.2">
      <c r="A45" s="175" t="s">
        <v>197</v>
      </c>
      <c r="B45" s="112">
        <v>0</v>
      </c>
    </row>
    <row r="46" spans="1:38" ht="15" customHeight="1" x14ac:dyDescent="0.2">
      <c r="A46" s="175" t="s">
        <v>198</v>
      </c>
      <c r="B46" s="112">
        <v>0</v>
      </c>
    </row>
    <row r="47" spans="1:38" ht="15" customHeight="1" x14ac:dyDescent="0.2">
      <c r="A47" s="175" t="s">
        <v>199</v>
      </c>
      <c r="B47" s="112">
        <v>0</v>
      </c>
    </row>
    <row r="48" spans="1:38" ht="15" customHeight="1" x14ac:dyDescent="0.2">
      <c r="A48" s="175" t="s">
        <v>232</v>
      </c>
      <c r="B48" s="112">
        <v>0</v>
      </c>
    </row>
    <row r="49" spans="1:38" ht="15" customHeight="1" x14ac:dyDescent="0.2">
      <c r="A49" s="175" t="s">
        <v>200</v>
      </c>
      <c r="B49" s="112">
        <v>0</v>
      </c>
    </row>
    <row r="50" spans="1:38" ht="15" customHeight="1" x14ac:dyDescent="0.2">
      <c r="A50" s="175" t="s">
        <v>201</v>
      </c>
      <c r="B50" s="112">
        <v>0</v>
      </c>
    </row>
    <row r="51" spans="1:38" ht="15" customHeight="1" x14ac:dyDescent="0.2">
      <c r="A51" s="175" t="s">
        <v>202</v>
      </c>
      <c r="B51" s="112">
        <v>0</v>
      </c>
    </row>
    <row r="52" spans="1:38" ht="15" customHeight="1" x14ac:dyDescent="0.2">
      <c r="A52" s="175" t="s">
        <v>203</v>
      </c>
      <c r="B52" s="112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2">
      <c r="A53" s="175" t="s">
        <v>204</v>
      </c>
      <c r="B53" s="112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2">
      <c r="A54" s="175" t="s">
        <v>257</v>
      </c>
      <c r="B54" s="112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2">
      <c r="A55" s="175" t="s">
        <v>258</v>
      </c>
      <c r="B55" s="112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2">
      <c r="A56" s="175" t="s">
        <v>259</v>
      </c>
      <c r="B56" s="112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2">
      <c r="A57" s="175" t="s">
        <v>260</v>
      </c>
      <c r="B57" s="112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2">
      <c r="A58" s="175" t="s">
        <v>261</v>
      </c>
      <c r="B58" s="112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2">
      <c r="A59" s="175" t="s">
        <v>233</v>
      </c>
      <c r="B59" s="112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2">
      <c r="A60" s="175" t="s">
        <v>234</v>
      </c>
      <c r="B60" s="112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2">
      <c r="A61" s="175" t="s">
        <v>205</v>
      </c>
      <c r="B61" s="112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2">
      <c r="A62" s="175" t="s">
        <v>206</v>
      </c>
      <c r="B62" s="112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2">
      <c r="A63" s="175" t="s">
        <v>207</v>
      </c>
      <c r="B63" s="112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2">
      <c r="A64" s="175" t="s">
        <v>262</v>
      </c>
      <c r="B64" s="112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2">
      <c r="A65" s="175" t="s">
        <v>208</v>
      </c>
      <c r="B65" s="112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2">
      <c r="A66" s="175" t="s">
        <v>263</v>
      </c>
      <c r="B66" s="112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2">
      <c r="A67" s="175" t="s">
        <v>209</v>
      </c>
      <c r="B67" s="112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2">
      <c r="A68" s="175" t="s">
        <v>264</v>
      </c>
      <c r="B68" s="112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2">
      <c r="A69" s="175" t="s">
        <v>210</v>
      </c>
      <c r="B69" s="112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2">
      <c r="A70" s="175" t="s">
        <v>235</v>
      </c>
      <c r="B70" s="112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2">
      <c r="A71" s="175" t="s">
        <v>211</v>
      </c>
      <c r="B71" s="112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2">
      <c r="A72" s="175" t="s">
        <v>265</v>
      </c>
      <c r="B72" s="112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2">
      <c r="A73" s="175" t="s">
        <v>212</v>
      </c>
      <c r="B73" s="112">
        <v>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2">
      <c r="A74" s="175" t="s">
        <v>213</v>
      </c>
      <c r="B74" s="112">
        <v>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2">
      <c r="A75" s="175" t="s">
        <v>236</v>
      </c>
      <c r="B75" s="112">
        <v>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2">
      <c r="A76" s="175" t="s">
        <v>237</v>
      </c>
      <c r="B76" s="112">
        <v>0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2">
      <c r="A77" s="175" t="s">
        <v>214</v>
      </c>
      <c r="B77" s="112">
        <v>0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2">
      <c r="A78" s="175" t="s">
        <v>238</v>
      </c>
      <c r="B78" s="112">
        <v>0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2">
      <c r="A79" s="175" t="s">
        <v>239</v>
      </c>
      <c r="B79" s="112">
        <v>0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2">
      <c r="A80" s="175" t="s">
        <v>240</v>
      </c>
      <c r="B80" s="112">
        <v>0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ht="15" customHeight="1" x14ac:dyDescent="0.2">
      <c r="A81" s="175" t="s">
        <v>215</v>
      </c>
      <c r="B81" s="112">
        <v>0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ht="15" customHeight="1" x14ac:dyDescent="0.2">
      <c r="A82" s="175" t="s">
        <v>216</v>
      </c>
      <c r="B82" s="112">
        <v>0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 ht="15" customHeight="1" x14ac:dyDescent="0.2">
      <c r="A83" s="175" t="s">
        <v>217</v>
      </c>
      <c r="B83" s="112">
        <v>0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 ht="15" customHeight="1" x14ac:dyDescent="0.2">
      <c r="A84" s="175" t="s">
        <v>266</v>
      </c>
      <c r="B84" s="112">
        <v>0</v>
      </c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 ht="15" customHeight="1" x14ac:dyDescent="0.2">
      <c r="A85" s="175" t="s">
        <v>267</v>
      </c>
      <c r="B85" s="112">
        <v>0</v>
      </c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 ht="15" customHeight="1" x14ac:dyDescent="0.2">
      <c r="A86" s="175" t="s">
        <v>218</v>
      </c>
      <c r="B86" s="112">
        <v>0</v>
      </c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 ht="15" customHeight="1" x14ac:dyDescent="0.2">
      <c r="A87" s="175" t="s">
        <v>219</v>
      </c>
      <c r="B87" s="112">
        <v>0</v>
      </c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 ht="15" customHeight="1" x14ac:dyDescent="0.2">
      <c r="A88" s="175" t="s">
        <v>220</v>
      </c>
      <c r="B88" s="112">
        <v>0</v>
      </c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 ht="15" customHeight="1" x14ac:dyDescent="0.2">
      <c r="A89" s="175" t="s">
        <v>221</v>
      </c>
      <c r="B89" s="112">
        <v>0</v>
      </c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 ht="15" customHeight="1" x14ac:dyDescent="0.2">
      <c r="A90" s="175" t="s">
        <v>268</v>
      </c>
      <c r="B90" s="112">
        <v>0</v>
      </c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 ht="15" customHeight="1" x14ac:dyDescent="0.2">
      <c r="A91" s="175" t="s">
        <v>269</v>
      </c>
      <c r="B91" s="112">
        <v>0</v>
      </c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 ht="15" customHeight="1" x14ac:dyDescent="0.2">
      <c r="A92" s="175" t="s">
        <v>222</v>
      </c>
      <c r="B92" s="112">
        <v>0</v>
      </c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 ht="15" customHeight="1" x14ac:dyDescent="0.2">
      <c r="A93" s="175" t="s">
        <v>270</v>
      </c>
      <c r="B93" s="112">
        <v>0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 ht="15" customHeight="1" x14ac:dyDescent="0.2">
      <c r="A94" s="175" t="s">
        <v>223</v>
      </c>
      <c r="B94" s="112">
        <v>0</v>
      </c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 ht="15" customHeight="1" x14ac:dyDescent="0.2">
      <c r="A95" s="175" t="s">
        <v>224</v>
      </c>
      <c r="B95" s="112">
        <v>0</v>
      </c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 ht="15" customHeight="1" x14ac:dyDescent="0.2">
      <c r="A96" s="175" t="s">
        <v>225</v>
      </c>
      <c r="B96" s="112">
        <v>0</v>
      </c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 ht="15" customHeight="1" x14ac:dyDescent="0.2">
      <c r="A97" s="175" t="s">
        <v>226</v>
      </c>
      <c r="B97" s="112">
        <v>0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 ht="15" customHeight="1" x14ac:dyDescent="0.2">
      <c r="A98" s="175" t="s">
        <v>123</v>
      </c>
      <c r="B98" s="112">
        <v>0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 ht="15" customHeight="1" x14ac:dyDescent="0.2">
      <c r="A99" s="175" t="s">
        <v>271</v>
      </c>
      <c r="B99" s="112">
        <v>0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2023-08-15T01:33:17Z</dcterms:modified>
</cp:coreProperties>
</file>