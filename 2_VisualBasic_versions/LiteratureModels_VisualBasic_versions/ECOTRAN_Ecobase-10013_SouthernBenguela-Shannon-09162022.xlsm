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/Users/jimsebi/Documents/14_Manuscripts/2022_PICES_SmallPelagicFish/EwEmodel_database/2_ECOTRAN_versions/ECOTRAN_ManualEntries/ManualEntries_ECOTRAN_K-path_versions/"/>
    </mc:Choice>
  </mc:AlternateContent>
  <xr:revisionPtr revIDLastSave="0" documentId="13_ncr:1_{2C7755DC-641A-ED49-9D8E-988110258B99}" xr6:coauthVersionLast="45" xr6:coauthVersionMax="45" xr10:uidLastSave="{00000000-0000-0000-0000-000000000000}"/>
  <bookViews>
    <workbookView xWindow="0" yWindow="460" windowWidth="25600" windowHeight="14240" tabRatio="728" firstSheet="8" activeTab="15" xr2:uid="{00000000-000D-0000-FFFF-FFFF00000000}"/>
  </bookViews>
  <sheets>
    <sheet name="READ ME" sheetId="80" r:id="rId1"/>
    <sheet name="Main" sheetId="75" r:id="rId2"/>
    <sheet name="Diets" sheetId="78" r:id="rId3"/>
    <sheet name="Detritus" sheetId="1" r:id="rId4"/>
    <sheet name="Fishing" sheetId="2" r:id="rId5"/>
    <sheet name="Discards" sheetId="3" r:id="rId6"/>
    <sheet name="pedigree_Parameters" sheetId="87" r:id="rId7"/>
    <sheet name="pedigree_Diet" sheetId="88" r:id="rId8"/>
    <sheet name="pedigree_DietPrefRules" sheetId="89" r:id="rId9"/>
    <sheet name="pedigree_Landings" sheetId="93" r:id="rId10"/>
    <sheet name="pedigree_Discards" sheetId="91" r:id="rId11"/>
    <sheet name="MainOutputs" sheetId="83" r:id="rId12"/>
    <sheet name="Mortalities" sheetId="84" r:id="rId13"/>
    <sheet name="EcotranType" sheetId="85" r:id="rId14"/>
    <sheet name="EcotranRecycling" sheetId="86" r:id="rId15"/>
    <sheet name="FunctionalResponse" sheetId="94" r:id="rId16"/>
  </sheets>
  <functionGroups builtInGroupCount="19"/>
  <definedNames>
    <definedName name="cornerBasic">Main!$C$1</definedName>
    <definedName name="cornerBasicOut">MainOutputs!$A$1</definedName>
    <definedName name="cornerDetritus">Detritus!$A$1</definedName>
    <definedName name="cornerDiets">Diets!$A$1</definedName>
    <definedName name="cornerDiscards">Discards!$A$1</definedName>
    <definedName name="cornerFishing">Fishing!$A$1</definedName>
    <definedName name="cornerMort">Mortalities!$A$1</definedName>
    <definedName name="cornerPedcat">#REF!</definedName>
    <definedName name="cornerPedigree">#REF!</definedName>
    <definedName name="FishingLinks">Main!$B$8</definedName>
    <definedName name="matBasic">Main!$C$2:$N$83</definedName>
    <definedName name="matDetritus">Detritus!$C$2:$F$83</definedName>
    <definedName name="matDiet">Diets!$B$2:$AW$53</definedName>
    <definedName name="matDiscards">Discards!$C$2:$AG$52</definedName>
    <definedName name="matFishery">Fishing!$C$2:$AG$52</definedName>
    <definedName name="matFishing">Fishing!#REF!</definedName>
    <definedName name="matMort">Mortalities!$A$1:$CG$52</definedName>
    <definedName name="matOut">MainOutputs!$A$2:$I$83</definedName>
    <definedName name="matPedcat">#REF!</definedName>
    <definedName name="matPedigree">#REF!</definedName>
    <definedName name="NumDead">Main!$B$4</definedName>
    <definedName name="NumGears">Main!$B$5</definedName>
    <definedName name="NumLiving">Main!$B$3</definedName>
    <definedName name="PredPreyLinks">Main!$B$7</definedName>
    <definedName name="vecBB">MainOutputs!$E$2:$E$150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34" i="86" l="1"/>
  <c r="B34" i="86"/>
  <c r="D34" i="86" s="1"/>
  <c r="A34" i="86"/>
  <c r="C21" i="86" s="1"/>
  <c r="C33" i="86"/>
  <c r="B33" i="86"/>
  <c r="D33" i="86" s="1"/>
  <c r="A33" i="86"/>
  <c r="C32" i="86"/>
  <c r="B32" i="86"/>
  <c r="D32" i="86" s="1"/>
  <c r="A32" i="86"/>
  <c r="C19" i="86" s="1"/>
  <c r="C20" i="86"/>
  <c r="C10" i="86"/>
  <c r="C9" i="86"/>
  <c r="C8" i="86"/>
  <c r="B10" i="87"/>
  <c r="AH52" i="3"/>
  <c r="AH51" i="3"/>
  <c r="AH50" i="3"/>
  <c r="AH49" i="3"/>
  <c r="AH48" i="3"/>
  <c r="AH47" i="3"/>
  <c r="AH46" i="3"/>
  <c r="AH45" i="3"/>
  <c r="AH44" i="3"/>
  <c r="AH43" i="3"/>
  <c r="AH42" i="3"/>
  <c r="AH41" i="3"/>
  <c r="AH40" i="3"/>
  <c r="AH39" i="3"/>
  <c r="AH38" i="3"/>
  <c r="AH37" i="3"/>
  <c r="AH36" i="3"/>
  <c r="AH35" i="3"/>
  <c r="AH34" i="3"/>
  <c r="AH33" i="3"/>
  <c r="AH32" i="3"/>
  <c r="AH31" i="3"/>
  <c r="AH30" i="3"/>
  <c r="AH29" i="3"/>
  <c r="AH28" i="3"/>
  <c r="AH27" i="3"/>
  <c r="AH26" i="3"/>
  <c r="AH25" i="3"/>
  <c r="AH24" i="3"/>
  <c r="AH23" i="3"/>
  <c r="AH22" i="3"/>
  <c r="AH21" i="3"/>
  <c r="AH20" i="3"/>
  <c r="AH19" i="3"/>
  <c r="AH18" i="3"/>
  <c r="AH17" i="3"/>
  <c r="AH16" i="3"/>
  <c r="AH15" i="3"/>
  <c r="AH14" i="3"/>
  <c r="AH13" i="3"/>
  <c r="AH12" i="3"/>
  <c r="AH11" i="3"/>
  <c r="AH10" i="3"/>
  <c r="AH9" i="3"/>
  <c r="AH8" i="3"/>
  <c r="AH7" i="3"/>
  <c r="AH6" i="3"/>
  <c r="AH5" i="3"/>
  <c r="AH4" i="3"/>
  <c r="AH3" i="3"/>
  <c r="AH2" i="3"/>
  <c r="AH52" i="2"/>
  <c r="AH51" i="2"/>
  <c r="AH50" i="2"/>
  <c r="AH49" i="2"/>
  <c r="AH48" i="2"/>
  <c r="AH47" i="2"/>
  <c r="AH46" i="2"/>
  <c r="AH45" i="2"/>
  <c r="AH44" i="2"/>
  <c r="AH43" i="2"/>
  <c r="AH42" i="2"/>
  <c r="AH41" i="2"/>
  <c r="AH40" i="2"/>
  <c r="AH39" i="2"/>
  <c r="AH38" i="2"/>
  <c r="AH37" i="2"/>
  <c r="AH36" i="2"/>
  <c r="AH35" i="2"/>
  <c r="AH34" i="2"/>
  <c r="AH33" i="2"/>
  <c r="AH32" i="2"/>
  <c r="AH31" i="2"/>
  <c r="AH30" i="2"/>
  <c r="AH29" i="2"/>
  <c r="AH28" i="2"/>
  <c r="AH27" i="2"/>
  <c r="AH26" i="2"/>
  <c r="AH25" i="2"/>
  <c r="AH24" i="2"/>
  <c r="AH23" i="2"/>
  <c r="AH22" i="2"/>
  <c r="AH21" i="2"/>
  <c r="AH20" i="2"/>
  <c r="AH19" i="2"/>
  <c r="AH18" i="2"/>
  <c r="AH17" i="2"/>
  <c r="AH16" i="2"/>
  <c r="AH15" i="2"/>
  <c r="AH14" i="2"/>
  <c r="AH13" i="2"/>
  <c r="AH12" i="2"/>
  <c r="AH11" i="2"/>
  <c r="AH10" i="2"/>
  <c r="AH9" i="2"/>
  <c r="AH8" i="2"/>
  <c r="AH7" i="2"/>
  <c r="AH6" i="2"/>
  <c r="AH5" i="2"/>
  <c r="AH4" i="2"/>
  <c r="AH3" i="2"/>
  <c r="AH2" i="2"/>
  <c r="G83" i="1"/>
  <c r="G82" i="1"/>
  <c r="G81" i="1"/>
  <c r="G80" i="1"/>
  <c r="G79" i="1"/>
  <c r="G78" i="1"/>
  <c r="G77" i="1"/>
  <c r="G76" i="1"/>
  <c r="G75" i="1"/>
  <c r="G74" i="1"/>
  <c r="G73" i="1"/>
  <c r="G72" i="1"/>
  <c r="G71" i="1"/>
  <c r="G70" i="1"/>
  <c r="G69" i="1"/>
  <c r="G68" i="1"/>
  <c r="G67" i="1"/>
  <c r="G66" i="1"/>
  <c r="G65" i="1"/>
  <c r="G64" i="1"/>
  <c r="G63" i="1"/>
  <c r="G62" i="1"/>
  <c r="G61" i="1"/>
  <c r="G60" i="1"/>
  <c r="G59" i="1"/>
  <c r="G58" i="1"/>
  <c r="G57" i="1"/>
  <c r="A57" i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G56" i="1"/>
  <c r="G55" i="1"/>
  <c r="G54" i="1"/>
  <c r="G53" i="1"/>
  <c r="G52" i="1"/>
  <c r="G51" i="1"/>
  <c r="G50" i="1"/>
  <c r="G49" i="1"/>
  <c r="G48" i="1"/>
  <c r="G47" i="1"/>
  <c r="G46" i="1"/>
  <c r="G45" i="1"/>
  <c r="G44" i="1"/>
  <c r="G43" i="1"/>
  <c r="G42" i="1"/>
  <c r="G41" i="1"/>
  <c r="G40" i="1"/>
  <c r="G39" i="1"/>
  <c r="G38" i="1"/>
  <c r="G37" i="1"/>
  <c r="G36" i="1"/>
  <c r="G35" i="1"/>
  <c r="G34" i="1"/>
  <c r="G33" i="1"/>
  <c r="G32" i="1"/>
  <c r="G31" i="1"/>
  <c r="G30" i="1"/>
  <c r="G29" i="1"/>
  <c r="G28" i="1"/>
  <c r="G27" i="1"/>
  <c r="G26" i="1"/>
  <c r="G25" i="1"/>
  <c r="G24" i="1"/>
  <c r="G23" i="1"/>
  <c r="G22" i="1"/>
  <c r="G21" i="1"/>
  <c r="G20" i="1"/>
  <c r="G19" i="1"/>
  <c r="G18" i="1"/>
  <c r="G17" i="1"/>
  <c r="G16" i="1"/>
  <c r="G15" i="1"/>
  <c r="G14" i="1"/>
  <c r="G13" i="1"/>
  <c r="G12" i="1"/>
  <c r="G11" i="1"/>
  <c r="G10" i="1"/>
  <c r="G9" i="1"/>
  <c r="G8" i="1"/>
  <c r="G7" i="1"/>
  <c r="G6" i="1"/>
  <c r="G5" i="1"/>
  <c r="G4" i="1"/>
  <c r="G3" i="1"/>
  <c r="G2" i="1"/>
  <c r="AZ56" i="78"/>
  <c r="AZ57" i="78" s="1"/>
  <c r="AY56" i="78"/>
  <c r="AY57" i="78" s="1"/>
  <c r="AX56" i="78"/>
  <c r="AX57" i="78" s="1"/>
  <c r="AW56" i="78"/>
  <c r="AW57" i="78" s="1"/>
  <c r="AV56" i="78"/>
  <c r="AV57" i="78" s="1"/>
  <c r="AU56" i="78"/>
  <c r="AU57" i="78" s="1"/>
  <c r="AT56" i="78"/>
  <c r="AT57" i="78" s="1"/>
  <c r="AS56" i="78"/>
  <c r="AS57" i="78" s="1"/>
  <c r="AR56" i="78"/>
  <c r="AR57" i="78" s="1"/>
  <c r="AQ56" i="78"/>
  <c r="AQ57" i="78" s="1"/>
  <c r="AP56" i="78"/>
  <c r="AP57" i="78" s="1"/>
  <c r="AO56" i="78"/>
  <c r="AO57" i="78" s="1"/>
  <c r="AN56" i="78"/>
  <c r="AN57" i="78" s="1"/>
  <c r="AM56" i="78"/>
  <c r="AM57" i="78" s="1"/>
  <c r="AL56" i="78"/>
  <c r="AL57" i="78" s="1"/>
  <c r="AK56" i="78"/>
  <c r="AK57" i="78" s="1"/>
  <c r="AJ56" i="78"/>
  <c r="AJ57" i="78" s="1"/>
  <c r="AI56" i="78"/>
  <c r="AI57" i="78" s="1"/>
  <c r="AH56" i="78"/>
  <c r="AH57" i="78" s="1"/>
  <c r="AG56" i="78"/>
  <c r="AG57" i="78" s="1"/>
  <c r="AF56" i="78"/>
  <c r="AF57" i="78" s="1"/>
  <c r="AE56" i="78"/>
  <c r="AE57" i="78" s="1"/>
  <c r="AD56" i="78"/>
  <c r="AD57" i="78" s="1"/>
  <c r="AC56" i="78"/>
  <c r="AC57" i="78" s="1"/>
  <c r="AB56" i="78"/>
  <c r="AB57" i="78" s="1"/>
  <c r="AA56" i="78"/>
  <c r="AA57" i="78" s="1"/>
  <c r="Z56" i="78"/>
  <c r="Z57" i="78" s="1"/>
  <c r="Y56" i="78"/>
  <c r="Y57" i="78" s="1"/>
  <c r="X56" i="78"/>
  <c r="X57" i="78" s="1"/>
  <c r="W56" i="78"/>
  <c r="W57" i="78" s="1"/>
  <c r="V56" i="78"/>
  <c r="V57" i="78" s="1"/>
  <c r="U56" i="78"/>
  <c r="U57" i="78" s="1"/>
  <c r="T56" i="78"/>
  <c r="T57" i="78" s="1"/>
  <c r="S56" i="78"/>
  <c r="S57" i="78" s="1"/>
  <c r="R56" i="78"/>
  <c r="R57" i="78" s="1"/>
  <c r="Q56" i="78"/>
  <c r="Q57" i="78" s="1"/>
  <c r="P56" i="78"/>
  <c r="P57" i="78" s="1"/>
  <c r="O56" i="78"/>
  <c r="O57" i="78" s="1"/>
  <c r="N56" i="78"/>
  <c r="N57" i="78" s="1"/>
  <c r="M56" i="78"/>
  <c r="M57" i="78" s="1"/>
  <c r="L56" i="78"/>
  <c r="L57" i="78" s="1"/>
  <c r="K56" i="78"/>
  <c r="K57" i="78" s="1"/>
  <c r="J56" i="78"/>
  <c r="J57" i="78" s="1"/>
  <c r="I56" i="78"/>
  <c r="I57" i="78" s="1"/>
  <c r="H56" i="78"/>
  <c r="H57" i="78" s="1"/>
  <c r="G56" i="78"/>
  <c r="G57" i="78" s="1"/>
  <c r="F56" i="78"/>
  <c r="F57" i="78" s="1"/>
  <c r="E56" i="78"/>
  <c r="E57" i="78" s="1"/>
  <c r="D56" i="78"/>
  <c r="D57" i="78" s="1"/>
  <c r="C56" i="78"/>
  <c r="C57" i="78" s="1"/>
  <c r="B56" i="78"/>
  <c r="B57" i="78" s="1"/>
  <c r="C57" i="75"/>
  <c r="C58" i="75" s="1"/>
  <c r="C59" i="75" s="1"/>
  <c r="C60" i="75" s="1"/>
  <c r="C61" i="75" s="1"/>
  <c r="C62" i="75" s="1"/>
  <c r="C63" i="75" s="1"/>
  <c r="C64" i="75" s="1"/>
  <c r="C65" i="75" s="1"/>
  <c r="C66" i="75" s="1"/>
  <c r="C67" i="75" s="1"/>
  <c r="C68" i="75" s="1"/>
  <c r="C69" i="75" s="1"/>
  <c r="C70" i="75" s="1"/>
  <c r="C71" i="75" s="1"/>
  <c r="C72" i="75" s="1"/>
  <c r="C73" i="75" s="1"/>
  <c r="C74" i="75" s="1"/>
  <c r="C75" i="75" s="1"/>
  <c r="C76" i="75" s="1"/>
  <c r="C77" i="75" s="1"/>
  <c r="C78" i="75" s="1"/>
  <c r="C79" i="75" s="1"/>
  <c r="C80" i="75" s="1"/>
  <c r="C81" i="75" s="1"/>
  <c r="B8" i="75"/>
  <c r="B7" i="75"/>
  <c r="X6" i="75"/>
  <c r="D42" i="86" l="1"/>
  <c r="E32" i="86" s="1"/>
  <c r="E34" i="86"/>
  <c r="E33" i="86"/>
  <c r="E42" i="86" l="1"/>
  <c r="B8" i="86"/>
  <c r="B19" i="86"/>
  <c r="B20" i="86"/>
  <c r="B9" i="86"/>
  <c r="B10" i="86"/>
  <c r="B21" i="86"/>
</calcChain>
</file>

<file path=xl/sharedStrings.xml><?xml version="1.0" encoding="utf-8"?>
<sst xmlns="http://schemas.openxmlformats.org/spreadsheetml/2006/main" count="1759" uniqueCount="302">
  <si>
    <t>Group</t>
  </si>
  <si>
    <t>PB</t>
  </si>
  <si>
    <t>QB</t>
  </si>
  <si>
    <t>ProdCons</t>
  </si>
  <si>
    <t>BioAcc</t>
  </si>
  <si>
    <t>Unassim</t>
  </si>
  <si>
    <t>DetInput</t>
  </si>
  <si>
    <t>Type</t>
  </si>
  <si>
    <t>Num</t>
  </si>
  <si>
    <t>Number of living</t>
  </si>
  <si>
    <t>Number of detritus</t>
  </si>
  <si>
    <t>Number of gear</t>
  </si>
  <si>
    <t>TOTAL</t>
  </si>
  <si>
    <t>TL</t>
  </si>
  <si>
    <t>Biomass</t>
  </si>
  <si>
    <t>EE</t>
  </si>
  <si>
    <t>Mortalities</t>
  </si>
  <si>
    <t>M0</t>
  </si>
  <si>
    <t>B</t>
  </si>
  <si>
    <t>MAIN INPUTS</t>
  </si>
  <si>
    <t>DIETS</t>
  </si>
  <si>
    <t>Detritus Fate</t>
  </si>
  <si>
    <t>Retained Fisheries</t>
  </si>
  <si>
    <t>Fisheries Discards</t>
  </si>
  <si>
    <t>Guild</t>
  </si>
  <si>
    <t>Removals</t>
  </si>
  <si>
    <t>NUM</t>
  </si>
  <si>
    <t>GE</t>
  </si>
  <si>
    <t>PredPreyLinks</t>
  </si>
  <si>
    <t>FishingLinks</t>
  </si>
  <si>
    <t>BALANCE</t>
  </si>
  <si>
    <t>EXPORT TO .CSV</t>
  </si>
  <si>
    <t>max EE--&gt;&gt;</t>
  </si>
  <si>
    <t>Resolved Names</t>
  </si>
  <si>
    <t>EcotranNumber</t>
  </si>
  <si>
    <t>GroupType</t>
  </si>
  <si>
    <t>AggregationCode</t>
  </si>
  <si>
    <t>Aggregation Names</t>
  </si>
  <si>
    <t>Number of Nitrogen Nutrients</t>
  </si>
  <si>
    <t>NO3</t>
  </si>
  <si>
    <t>Number of NonNitrogen Nutrients</t>
  </si>
  <si>
    <t>pelagic NH4</t>
  </si>
  <si>
    <t>benthic NH4</t>
  </si>
  <si>
    <t>large phytoplankton</t>
  </si>
  <si>
    <t>small phytoplankton</t>
  </si>
  <si>
    <t>fishery</t>
  </si>
  <si>
    <t>emigration</t>
  </si>
  <si>
    <t>BA</t>
  </si>
  <si>
    <t>EM</t>
  </si>
  <si>
    <t>DetritusFate_feces</t>
  </si>
  <si>
    <t>ExcretionFate</t>
  </si>
  <si>
    <t>ProductionLossScaler</t>
  </si>
  <si>
    <t>PelagicBacterialReduction</t>
  </si>
  <si>
    <t>surface</t>
  </si>
  <si>
    <t>sub-surface</t>
  </si>
  <si>
    <t>BenthicBacterialReduction</t>
  </si>
  <si>
    <t>Oxidation_NH4</t>
  </si>
  <si>
    <t>PhytoUptake_NH4</t>
  </si>
  <si>
    <t>PhytoUptake_NO3</t>
  </si>
  <si>
    <t>consumer</t>
  </si>
  <si>
    <t>autotroph</t>
  </si>
  <si>
    <t>detritus</t>
  </si>
  <si>
    <t>sum</t>
  </si>
  <si>
    <t>consumer - pelagic - nekton</t>
  </si>
  <si>
    <t>consumer - pelagic - plankton</t>
  </si>
  <si>
    <t>consumer - benthic - vertebrate</t>
  </si>
  <si>
    <t>eggs</t>
  </si>
  <si>
    <t>ECOTRAN types</t>
  </si>
  <si>
    <t>consumer - benthic - invertebrate</t>
  </si>
  <si>
    <t>macrophytes</t>
  </si>
  <si>
    <t>consumer - pelagic - warm-blooded</t>
  </si>
  <si>
    <t>consumer - benthic - warm-blooded</t>
  </si>
  <si>
    <t>offal</t>
  </si>
  <si>
    <t>pelagic detritus</t>
  </si>
  <si>
    <t>benthic detritus</t>
  </si>
  <si>
    <t>assigned in matlab code later (import??)</t>
  </si>
  <si>
    <t>PhysiologyScaler</t>
  </si>
  <si>
    <t>BiomassScaler</t>
  </si>
  <si>
    <t>FisheriesScaler</t>
  </si>
  <si>
    <t>DietScaler</t>
  </si>
  <si>
    <t>BAScaler</t>
  </si>
  <si>
    <t>EMScaler</t>
  </si>
  <si>
    <t>DiscardScaler</t>
  </si>
  <si>
    <t>minBiomass</t>
  </si>
  <si>
    <t>Pedigree Discards</t>
  </si>
  <si>
    <t>Pedigree Landings</t>
  </si>
  <si>
    <t>B (CV)</t>
  </si>
  <si>
    <t>PB (CV)</t>
  </si>
  <si>
    <t>QB (CV)</t>
  </si>
  <si>
    <t>PQ (CV)</t>
  </si>
  <si>
    <t>AE (CV)</t>
  </si>
  <si>
    <t>B (abs min)</t>
  </si>
  <si>
    <t>PQ (abs min)</t>
  </si>
  <si>
    <t>AE (abs min)</t>
  </si>
  <si>
    <t>QB (abs min)</t>
  </si>
  <si>
    <t>PB (abs min)</t>
  </si>
  <si>
    <t>B (abs max)</t>
  </si>
  <si>
    <t>PB (abs max)</t>
  </si>
  <si>
    <t>QB (abs max)</t>
  </si>
  <si>
    <t>PQ (abs max)</t>
  </si>
  <si>
    <t>AE (abs max)</t>
  </si>
  <si>
    <t>max EE</t>
  </si>
  <si>
    <t>BA (CV)</t>
  </si>
  <si>
    <t>EM (CV)</t>
  </si>
  <si>
    <t>Egg rate (CV)</t>
  </si>
  <si>
    <t>BA (abs min)</t>
  </si>
  <si>
    <t>EM (abs min)</t>
  </si>
  <si>
    <t>Egg rate (abs min)</t>
  </si>
  <si>
    <t>BA (abs max)</t>
  </si>
  <si>
    <t>EM (abs max)</t>
  </si>
  <si>
    <t>Egg rate (abs max)</t>
  </si>
  <si>
    <t>DetritusFate_feces (CV)</t>
  </si>
  <si>
    <t>ExcretionFate (CV)</t>
  </si>
  <si>
    <t>DetritusFate_senescence (CV)</t>
  </si>
  <si>
    <t>DetritusFate_feces (max)</t>
  </si>
  <si>
    <t>DetritusFate_senescence (max)</t>
  </si>
  <si>
    <t>ExcretionFate (max)</t>
  </si>
  <si>
    <t>DetritusFate_feces (min)</t>
  </si>
  <si>
    <t>DetritusFate_senescence (min)</t>
  </si>
  <si>
    <t>ExcretionFate (min)</t>
  </si>
  <si>
    <t>DIET PEDIGREE</t>
  </si>
  <si>
    <t>DetritusFate_senescence</t>
  </si>
  <si>
    <t>Eggs</t>
  </si>
  <si>
    <t>ECOTRAN GroupType definitions</t>
  </si>
  <si>
    <t>terminal pelagic detritus</t>
  </si>
  <si>
    <t>terminal benthic detritus</t>
  </si>
  <si>
    <t>emigration (EM)</t>
  </si>
  <si>
    <t>accumulation (BA)</t>
  </si>
  <si>
    <t>any Nitrogen Nutrient</t>
  </si>
  <si>
    <t>any Primary Producer</t>
  </si>
  <si>
    <t>any consumer</t>
  </si>
  <si>
    <t>any detritus (not egg)</t>
  </si>
  <si>
    <t>PreyGuild_Name</t>
  </si>
  <si>
    <t>PreyGuild_code</t>
  </si>
  <si>
    <t>Metabolism</t>
  </si>
  <si>
    <t>(future)</t>
  </si>
  <si>
    <t>Metabolism rate (CV)</t>
  </si>
  <si>
    <t>Metabolism rate (abs min)</t>
  </si>
  <si>
    <t>Metabolism rate (abs max)</t>
  </si>
  <si>
    <t>EwE type codes</t>
  </si>
  <si>
    <t>biomass accumulation</t>
  </si>
  <si>
    <t>DIET PEDIGREE preference rules</t>
  </si>
  <si>
    <t>(NOTE: these are different from ECOTRAN type codes)</t>
  </si>
  <si>
    <t>NOTES:</t>
  </si>
  <si>
    <t>2) Be sure to enter number of functional groups in cells B3 - B5 on "Main" worksheet</t>
  </si>
  <si>
    <t>1) Every model must have a terminal pelagic and terminal benthic detritus group defined</t>
  </si>
  <si>
    <t>3) AggregationCode on "ECOTRANtype" worksheet will both define groups to aggregate (those with same number get lumped) and the order in the ECOTRAN model</t>
  </si>
  <si>
    <t>This Visual Basic version of EwE was provided courtesy of K. Aydin (AFSC NOAA)</t>
  </si>
  <si>
    <t>(ECOTRAN export mods and messing up by J. Ruzicka)</t>
  </si>
  <si>
    <t>4) note that diet matrix includes the columns for producer groups and detritus groups</t>
  </si>
  <si>
    <t xml:space="preserve"> (now assigned dynamically in "EcotranType" worksheet) 8/19/2013</t>
  </si>
  <si>
    <t>minPhysiology</t>
  </si>
  <si>
    <t>&lt;--(minimum fraction of base value)</t>
  </si>
  <si>
    <t>5) PreyGuild_code numbers refer to AggregationCode numbers as given in "EcotranType" worksheet</t>
  </si>
  <si>
    <t>&lt;-- don't make more prey guilds than this</t>
  </si>
  <si>
    <t>6) on EcotranRecycling page, fishery discards are assigned as "DetritusFate_feces"</t>
  </si>
  <si>
    <t>export</t>
  </si>
  <si>
    <t>RetentionScaler</t>
  </si>
  <si>
    <t>( 0 = more advection &lt;--&gt; less advection =1)</t>
  </si>
  <si>
    <t>Functional Response</t>
  </si>
  <si>
    <t>A</t>
  </si>
  <si>
    <t>C</t>
  </si>
  <si>
    <t>D</t>
  </si>
  <si>
    <t>import</t>
  </si>
  <si>
    <t>&lt;--based on fraction of total primary production</t>
  </si>
  <si>
    <t>&lt;-- primary producer excretion should be meaningless</t>
  </si>
  <si>
    <t>P</t>
  </si>
  <si>
    <t>total--&gt;</t>
  </si>
  <si>
    <t>fraction</t>
  </si>
  <si>
    <t>revision date: 5-1-2016</t>
  </si>
  <si>
    <t>7) allows up to 10 primary producers</t>
  </si>
  <si>
    <t>&lt;-NOTE: PreyGuilds are NOT necessary</t>
  </si>
  <si>
    <t>&lt;-- use AggregationCode numbers and brackets "[ ]"</t>
  </si>
  <si>
    <t>NOTE: Maximum of 10 primary producers-&gt;</t>
  </si>
  <si>
    <t>micrograzers</t>
  </si>
  <si>
    <t>bacteria</t>
  </si>
  <si>
    <t>Microzooplankton</t>
  </si>
  <si>
    <t>1-sum</t>
  </si>
  <si>
    <t>source notes</t>
  </si>
  <si>
    <t>Exploring Temporal Variability in the Southern Benguela Ecosystem Over the Past Four Decades Using a Time-Dynamic Ecosystem Model</t>
  </si>
  <si>
    <t>Shannon LJ, Ortega-Cisneros K, Lamont T, Winker H, Crawford R, Jarre A and Coll M (2020) Exploring Temporal Variability in the Southern Benguela Ecosystem Over the Past Four Decades Using a Time-Dynamic Ecosystem Model. Front. Mar. Sci. 7:540. doi: 10.3389/fmars.2020.00540</t>
  </si>
  <si>
    <t>Phytoplankton 1</t>
  </si>
  <si>
    <t>Phytoplankton 2</t>
  </si>
  <si>
    <t>Mesozooplankton</t>
  </si>
  <si>
    <t>Macrozooplankton</t>
  </si>
  <si>
    <t>Gelatinous Zooplankton</t>
  </si>
  <si>
    <t>Anchovy recruits</t>
  </si>
  <si>
    <t>Anchovy spawners</t>
  </si>
  <si>
    <t>&lt;&lt;--total mortality used for pb</t>
  </si>
  <si>
    <t>Juvenile sardine</t>
  </si>
  <si>
    <t>Adult sardine</t>
  </si>
  <si>
    <t>Redeye</t>
  </si>
  <si>
    <t>Other small pelagics</t>
  </si>
  <si>
    <t>Juvenile Hmack</t>
  </si>
  <si>
    <t>Adult Hmack</t>
  </si>
  <si>
    <t>Chub mackerel</t>
  </si>
  <si>
    <t>Lanternfish</t>
  </si>
  <si>
    <t>Lightfish</t>
  </si>
  <si>
    <t>Snoek</t>
  </si>
  <si>
    <t>Tuna &amp; Swordfish</t>
  </si>
  <si>
    <t>Large Sparids</t>
  </si>
  <si>
    <t>Medium Sparids</t>
  </si>
  <si>
    <t>Sciaenids</t>
  </si>
  <si>
    <t>Yellowtail</t>
  </si>
  <si>
    <t>Other linefish</t>
  </si>
  <si>
    <t>Mullet</t>
  </si>
  <si>
    <t>Chokka Squid</t>
  </si>
  <si>
    <t>Other cephalopods</t>
  </si>
  <si>
    <t>PF Demersals</t>
  </si>
  <si>
    <t>BF Demersals</t>
  </si>
  <si>
    <t>Agulhas Sole</t>
  </si>
  <si>
    <t>PF Chondrichthyans</t>
  </si>
  <si>
    <t>BF Chondrichthyans</t>
  </si>
  <si>
    <t>Apex Chondrichthyans</t>
  </si>
  <si>
    <t>Seals</t>
  </si>
  <si>
    <t>Cetaceans</t>
  </si>
  <si>
    <t>African Penguin</t>
  </si>
  <si>
    <t>Cape Gannet</t>
  </si>
  <si>
    <t>Cape Cormorant</t>
  </si>
  <si>
    <t>Other seabirds</t>
  </si>
  <si>
    <t>Benthic Producers</t>
  </si>
  <si>
    <t>Meiobenthos</t>
  </si>
  <si>
    <t>Macrobenthos</t>
  </si>
  <si>
    <t>WC rock lobster*</t>
  </si>
  <si>
    <t>SC rock lobster</t>
  </si>
  <si>
    <t>Detritus</t>
  </si>
  <si>
    <t>Purse Seine</t>
  </si>
  <si>
    <t>Dem Trawl</t>
  </si>
  <si>
    <t>Par WC offsh trawl</t>
  </si>
  <si>
    <t>Par SC offsh trawl</t>
  </si>
  <si>
    <t>Cap WC offsh trawl</t>
  </si>
  <si>
    <t>Cap SC offsh trawl</t>
  </si>
  <si>
    <t>Hake Inshore Trawl</t>
  </si>
  <si>
    <t>Hake Longline</t>
  </si>
  <si>
    <t>Hake Handline</t>
  </si>
  <si>
    <t>Sole insh trawl</t>
  </si>
  <si>
    <t>Linefishery</t>
  </si>
  <si>
    <t>Squid jig</t>
  </si>
  <si>
    <t>Hmack Midwater trawl</t>
  </si>
  <si>
    <t>WCRL</t>
  </si>
  <si>
    <t>SCRL</t>
  </si>
  <si>
    <t>Tuna Pole</t>
  </si>
  <si>
    <t>Large Pelagic Longline</t>
  </si>
  <si>
    <t>Other</t>
  </si>
  <si>
    <t>Dem Shark Longline</t>
  </si>
  <si>
    <t>Beach Seine&amp;Gillnet</t>
  </si>
  <si>
    <t>Large Sparids WC line</t>
  </si>
  <si>
    <t>Medium Sparids WC line</t>
  </si>
  <si>
    <t>Sciaenids WC line</t>
  </si>
  <si>
    <t>Chonds WC line</t>
  </si>
  <si>
    <t>Snoek WC line</t>
  </si>
  <si>
    <t>Tuna &amp; billfish WC line</t>
  </si>
  <si>
    <t>Yellowtail WC line</t>
  </si>
  <si>
    <t>Large Sparids SC line</t>
  </si>
  <si>
    <t>Medium Sparids SC line</t>
  </si>
  <si>
    <t>Sciaenids SC line</t>
  </si>
  <si>
    <t>Chonds SC line</t>
  </si>
  <si>
    <r>
      <t xml:space="preserve">Small </t>
    </r>
    <r>
      <rPr>
        <i/>
        <sz val="12"/>
        <color rgb="FF000000"/>
        <rFont val="Arial"/>
        <family val="2"/>
      </rPr>
      <t>M.capensis</t>
    </r>
  </si>
  <si>
    <r>
      <t xml:space="preserve">Large </t>
    </r>
    <r>
      <rPr>
        <i/>
        <sz val="12"/>
        <color rgb="FF000000"/>
        <rFont val="Arial"/>
        <family val="2"/>
      </rPr>
      <t>M. capensis</t>
    </r>
  </si>
  <si>
    <r>
      <t xml:space="preserve">Small </t>
    </r>
    <r>
      <rPr>
        <i/>
        <sz val="12"/>
        <color rgb="FF000000"/>
        <rFont val="Arial"/>
        <family val="2"/>
      </rPr>
      <t>M. paradoxus</t>
    </r>
  </si>
  <si>
    <r>
      <t xml:space="preserve">Large </t>
    </r>
    <r>
      <rPr>
        <i/>
        <sz val="12"/>
        <color rgb="FF000000"/>
        <rFont val="Arial"/>
        <family val="2"/>
      </rPr>
      <t>M. paradoxus</t>
    </r>
  </si>
  <si>
    <t>Small M.capensis</t>
  </si>
  <si>
    <t>Large M. capensis</t>
  </si>
  <si>
    <t>Small M. paradoxus</t>
  </si>
  <si>
    <t>Large M. paradoxus</t>
  </si>
  <si>
    <t>F Purse Seine</t>
  </si>
  <si>
    <t>F Dem Trawl</t>
  </si>
  <si>
    <t>F Par WC offsh trawl</t>
  </si>
  <si>
    <t>F Par SC offsh trawl</t>
  </si>
  <si>
    <t>F Cap WC offsh trawl</t>
  </si>
  <si>
    <t>F Cap SC offsh trawl</t>
  </si>
  <si>
    <t>F Hake Inshore Trawl</t>
  </si>
  <si>
    <t>F Hake Longline</t>
  </si>
  <si>
    <t>F Hake Handline</t>
  </si>
  <si>
    <t>F Sole insh trawl</t>
  </si>
  <si>
    <t>F Linefishery</t>
  </si>
  <si>
    <t>F Squid jig</t>
  </si>
  <si>
    <t>F Hmack Midwater trawl</t>
  </si>
  <si>
    <t>F WCRL</t>
  </si>
  <si>
    <t>F SCRL</t>
  </si>
  <si>
    <t>F Tuna Pole</t>
  </si>
  <si>
    <t>F Large Pelagic Longline</t>
  </si>
  <si>
    <t>F Dem Shark Longline</t>
  </si>
  <si>
    <t>F Beach Seine&amp;Gillnet</t>
  </si>
  <si>
    <t>F Large Sparids WC line</t>
  </si>
  <si>
    <t>F Medium Sparids WC line</t>
  </si>
  <si>
    <t>F Sciaenids WC line</t>
  </si>
  <si>
    <t>F Chonds WC line</t>
  </si>
  <si>
    <t>F Snoek WC line</t>
  </si>
  <si>
    <t>F Tuna &amp; billfish WC line</t>
  </si>
  <si>
    <t>F Yellowtail WC line</t>
  </si>
  <si>
    <t>F Large Sparids SC line</t>
  </si>
  <si>
    <t>F Medium Sparids SC line</t>
  </si>
  <si>
    <t>F Sciaenids SC line</t>
  </si>
  <si>
    <t>F Chonds SC line</t>
  </si>
  <si>
    <t>F Other</t>
  </si>
  <si>
    <t>* original catch was 0.004</t>
  </si>
  <si>
    <t>* footnote</t>
  </si>
  <si>
    <r>
      <t xml:space="preserve">Small </t>
    </r>
    <r>
      <rPr>
        <i/>
        <sz val="12"/>
        <color rgb="FF000000"/>
        <rFont val="Calibri"/>
        <family val="2"/>
        <scheme val="minor"/>
      </rPr>
      <t>M.capensis</t>
    </r>
  </si>
  <si>
    <r>
      <t xml:space="preserve">Large </t>
    </r>
    <r>
      <rPr>
        <i/>
        <sz val="12"/>
        <color rgb="FF000000"/>
        <rFont val="Calibri"/>
        <family val="2"/>
        <scheme val="minor"/>
      </rPr>
      <t>M. capensis</t>
    </r>
  </si>
  <si>
    <r>
      <t xml:space="preserve">Small </t>
    </r>
    <r>
      <rPr>
        <i/>
        <sz val="12"/>
        <color rgb="FF000000"/>
        <rFont val="Calibri"/>
        <family val="2"/>
        <scheme val="minor"/>
      </rPr>
      <t>M. paradoxus</t>
    </r>
  </si>
  <si>
    <r>
      <t xml:space="preserve">Large </t>
    </r>
    <r>
      <rPr>
        <i/>
        <sz val="12"/>
        <color rgb="FF000000"/>
        <rFont val="Calibri"/>
        <family val="2"/>
        <scheme val="minor"/>
      </rPr>
      <t>M. paradoxus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</si>
</sst>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0" x14ac:knownFonts="1">
    <font>
      <sz val="10"/>
      <name val="Arial"/>
    </font>
    <font>
      <sz val="12"/>
      <color theme="1"/>
      <name val="Calibri"/>
      <family val="2"/>
      <scheme val="minor"/>
    </font>
    <font>
      <b/>
      <sz val="10"/>
      <name val="Arial"/>
      <family val="2"/>
    </font>
    <font>
      <sz val="8"/>
      <name val="Arial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u/>
      <sz val="10"/>
      <name val="Arial"/>
      <family val="2"/>
    </font>
    <font>
      <b/>
      <sz val="10"/>
      <color rgb="FFFF0000"/>
      <name val="Arial"/>
      <family val="2"/>
    </font>
    <font>
      <sz val="10"/>
      <name val="Arial"/>
      <family val="2"/>
    </font>
    <font>
      <sz val="12"/>
      <color theme="1"/>
      <name val="Arial"/>
      <family val="2"/>
    </font>
    <font>
      <sz val="12"/>
      <color rgb="FFFF000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Arial"/>
      <family val="2"/>
    </font>
    <font>
      <i/>
      <sz val="12"/>
      <name val="Arial"/>
      <family val="2"/>
    </font>
    <font>
      <i/>
      <sz val="12"/>
      <color theme="1"/>
      <name val="Arial"/>
      <family val="2"/>
    </font>
    <font>
      <sz val="12"/>
      <color rgb="FF000000"/>
      <name val="Arial"/>
      <family val="2"/>
    </font>
    <font>
      <b/>
      <sz val="12"/>
      <color rgb="FF000000"/>
      <name val="Arial"/>
      <family val="2"/>
    </font>
    <font>
      <i/>
      <sz val="12"/>
      <color rgb="FF000000"/>
      <name val="Arial"/>
      <family val="2"/>
    </font>
    <font>
      <sz val="10"/>
      <color rgb="FFFF0000"/>
      <name val="Arial"/>
      <family val="2"/>
    </font>
    <font>
      <b/>
      <sz val="12"/>
      <color theme="6" tint="-0.24994659260841701"/>
      <name val="Calibri"/>
      <family val="2"/>
      <scheme val="minor"/>
    </font>
    <font>
      <sz val="12"/>
      <color rgb="FF0070C0"/>
      <name val="Calibri"/>
      <family val="2"/>
      <scheme val="minor"/>
    </font>
    <font>
      <sz val="12"/>
      <color indexed="10"/>
      <name val="Calibri"/>
      <family val="2"/>
      <scheme val="minor"/>
    </font>
    <font>
      <sz val="12"/>
      <color theme="6" tint="-0.24994659260841701"/>
      <name val="Calibri"/>
      <family val="2"/>
      <scheme val="minor"/>
    </font>
    <font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</fonts>
  <fills count="233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2FF00"/>
        <bgColor indexed="64"/>
      </patternFill>
    </fill>
    <fill>
      <patternFill patternType="solid">
        <fgColor rgb="FF13FF00"/>
        <bgColor indexed="64"/>
      </patternFill>
    </fill>
    <fill>
      <patternFill patternType="solid">
        <fgColor rgb="FF01FF00"/>
        <bgColor indexed="64"/>
      </patternFill>
    </fill>
    <fill>
      <patternFill patternType="solid">
        <fgColor rgb="FF05FF00"/>
        <bgColor indexed="64"/>
      </patternFill>
    </fill>
    <fill>
      <patternFill patternType="solid">
        <fgColor rgb="FF08FF00"/>
        <bgColor indexed="64"/>
      </patternFill>
    </fill>
    <fill>
      <patternFill patternType="solid">
        <fgColor rgb="FF07FF00"/>
        <bgColor indexed="64"/>
      </patternFill>
    </fill>
    <fill>
      <patternFill patternType="solid">
        <fgColor rgb="FF06FF00"/>
        <bgColor indexed="64"/>
      </patternFill>
    </fill>
    <fill>
      <patternFill patternType="solid">
        <fgColor rgb="FF09FF00"/>
        <bgColor indexed="64"/>
      </patternFill>
    </fill>
    <fill>
      <patternFill patternType="solid">
        <fgColor rgb="FF16FF00"/>
        <bgColor indexed="64"/>
      </patternFill>
    </fill>
    <fill>
      <patternFill patternType="solid">
        <fgColor rgb="FF0AFF00"/>
        <bgColor indexed="64"/>
      </patternFill>
    </fill>
    <fill>
      <patternFill patternType="solid">
        <fgColor rgb="FF04FF00"/>
        <bgColor indexed="64"/>
      </patternFill>
    </fill>
    <fill>
      <patternFill patternType="solid">
        <fgColor rgb="FF03FF00"/>
        <bgColor indexed="64"/>
      </patternFill>
    </fill>
    <fill>
      <patternFill patternType="solid">
        <fgColor rgb="FF0EFF00"/>
        <bgColor indexed="64"/>
      </patternFill>
    </fill>
    <fill>
      <patternFill patternType="solid">
        <fgColor rgb="FF10FF00"/>
        <bgColor indexed="64"/>
      </patternFill>
    </fill>
    <fill>
      <patternFill patternType="solid">
        <fgColor rgb="FF0DFF00"/>
        <bgColor indexed="64"/>
      </patternFill>
    </fill>
    <fill>
      <patternFill patternType="solid">
        <fgColor rgb="FF27FF00"/>
        <bgColor indexed="64"/>
      </patternFill>
    </fill>
    <fill>
      <patternFill patternType="solid">
        <fgColor rgb="FF12FF00"/>
        <bgColor indexed="64"/>
      </patternFill>
    </fill>
    <fill>
      <patternFill patternType="solid">
        <fgColor rgb="FF18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1CFF00"/>
        <bgColor indexed="64"/>
      </patternFill>
    </fill>
    <fill>
      <patternFill patternType="solid">
        <fgColor rgb="FF0BFF00"/>
        <bgColor indexed="64"/>
      </patternFill>
    </fill>
    <fill>
      <patternFill patternType="solid">
        <fgColor rgb="FF15FF00"/>
        <bgColor indexed="64"/>
      </patternFill>
    </fill>
    <fill>
      <patternFill patternType="solid">
        <fgColor rgb="FF1EFF00"/>
        <bgColor indexed="64"/>
      </patternFill>
    </fill>
    <fill>
      <patternFill patternType="solid">
        <fgColor rgb="FF20FF00"/>
        <bgColor indexed="64"/>
      </patternFill>
    </fill>
    <fill>
      <patternFill patternType="solid">
        <fgColor rgb="FF1AFF00"/>
        <bgColor indexed="64"/>
      </patternFill>
    </fill>
    <fill>
      <patternFill patternType="solid">
        <fgColor rgb="FF2DFF00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24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30FF00"/>
        <bgColor indexed="64"/>
      </patternFill>
    </fill>
    <fill>
      <patternFill patternType="solid">
        <fgColor rgb="FF28FF00"/>
        <bgColor indexed="64"/>
      </patternFill>
    </fill>
    <fill>
      <patternFill patternType="solid">
        <fgColor rgb="FF21FF00"/>
        <bgColor indexed="64"/>
      </patternFill>
    </fill>
    <fill>
      <patternFill patternType="solid">
        <fgColor rgb="FF36FF00"/>
        <bgColor indexed="64"/>
      </patternFill>
    </fill>
    <fill>
      <patternFill patternType="solid">
        <fgColor rgb="FF50FF00"/>
        <bgColor indexed="64"/>
      </patternFill>
    </fill>
    <fill>
      <patternFill patternType="solid">
        <fgColor rgb="FF22FF00"/>
        <bgColor indexed="64"/>
      </patternFill>
    </fill>
    <fill>
      <patternFill patternType="solid">
        <fgColor rgb="FF34FF00"/>
        <bgColor indexed="64"/>
      </patternFill>
    </fill>
    <fill>
      <patternFill patternType="solid">
        <fgColor rgb="FFBFFF00"/>
        <bgColor indexed="64"/>
      </patternFill>
    </fill>
    <fill>
      <patternFill patternType="solid">
        <fgColor rgb="FF49FF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CFF00"/>
        <bgColor indexed="64"/>
      </patternFill>
    </fill>
    <fill>
      <patternFill patternType="solid">
        <fgColor rgb="FF1DFF00"/>
        <bgColor indexed="64"/>
      </patternFill>
    </fill>
    <fill>
      <patternFill patternType="solid">
        <fgColor rgb="FF17FF00"/>
        <bgColor indexed="64"/>
      </patternFill>
    </fill>
    <fill>
      <patternFill patternType="solid">
        <fgColor rgb="FF3EFF00"/>
        <bgColor indexed="64"/>
      </patternFill>
    </fill>
    <fill>
      <patternFill patternType="solid">
        <fgColor rgb="FF53FF00"/>
        <bgColor indexed="64"/>
      </patternFill>
    </fill>
    <fill>
      <patternFill patternType="solid">
        <fgColor rgb="FF1BFF00"/>
        <bgColor indexed="64"/>
      </patternFill>
    </fill>
    <fill>
      <patternFill patternType="solid">
        <fgColor rgb="FF66FF00"/>
        <bgColor indexed="64"/>
      </patternFill>
    </fill>
    <fill>
      <patternFill patternType="solid">
        <fgColor rgb="FF2EFF00"/>
        <bgColor indexed="64"/>
      </patternFill>
    </fill>
    <fill>
      <patternFill patternType="solid">
        <fgColor rgb="FF60FF00"/>
        <bgColor indexed="64"/>
      </patternFill>
    </fill>
    <fill>
      <patternFill patternType="solid">
        <fgColor rgb="FF7AFF00"/>
        <bgColor indexed="64"/>
      </patternFill>
    </fill>
    <fill>
      <patternFill patternType="solid">
        <fgColor rgb="FF69FF00"/>
        <bgColor indexed="64"/>
      </patternFill>
    </fill>
    <fill>
      <patternFill patternType="solid">
        <fgColor rgb="FF46FF00"/>
        <bgColor indexed="64"/>
      </patternFill>
    </fill>
    <fill>
      <patternFill patternType="solid">
        <fgColor rgb="FF0FFF00"/>
        <bgColor indexed="64"/>
      </patternFill>
    </fill>
    <fill>
      <patternFill patternType="solid">
        <fgColor rgb="FF14FF00"/>
        <bgColor indexed="64"/>
      </patternFill>
    </fill>
    <fill>
      <patternFill patternType="solid">
        <fgColor rgb="FF11FF00"/>
        <bgColor indexed="64"/>
      </patternFill>
    </fill>
    <fill>
      <patternFill patternType="solid">
        <fgColor rgb="FF19FF00"/>
        <bgColor indexed="64"/>
      </patternFill>
    </fill>
    <fill>
      <patternFill patternType="solid">
        <fgColor rgb="FF26FF00"/>
        <bgColor indexed="64"/>
      </patternFill>
    </fill>
    <fill>
      <patternFill patternType="solid">
        <fgColor rgb="FF23FF00"/>
        <bgColor indexed="64"/>
      </patternFill>
    </fill>
    <fill>
      <patternFill patternType="solid">
        <fgColor rgb="FF2AFF00"/>
        <bgColor indexed="64"/>
      </patternFill>
    </fill>
    <fill>
      <patternFill patternType="solid">
        <fgColor rgb="FF25FF00"/>
        <bgColor indexed="64"/>
      </patternFill>
    </fill>
    <fill>
      <patternFill patternType="solid">
        <fgColor rgb="FF3CFF00"/>
        <bgColor indexed="64"/>
      </patternFill>
    </fill>
    <fill>
      <patternFill patternType="solid">
        <fgColor rgb="FF37FF00"/>
        <bgColor indexed="64"/>
      </patternFill>
    </fill>
    <fill>
      <patternFill patternType="solid">
        <fgColor rgb="FF3BFF00"/>
        <bgColor indexed="64"/>
      </patternFill>
    </fill>
    <fill>
      <patternFill patternType="solid">
        <fgColor rgb="FF35FF00"/>
        <bgColor indexed="64"/>
      </patternFill>
    </fill>
    <fill>
      <patternFill patternType="solid">
        <fgColor rgb="FF29FF00"/>
        <bgColor indexed="64"/>
      </patternFill>
    </fill>
    <fill>
      <patternFill patternType="solid">
        <fgColor rgb="FF44FF00"/>
        <bgColor indexed="64"/>
      </patternFill>
    </fill>
    <fill>
      <patternFill patternType="solid">
        <fgColor rgb="FF45FF00"/>
        <bgColor indexed="64"/>
      </patternFill>
    </fill>
    <fill>
      <patternFill patternType="solid">
        <fgColor rgb="FF67FF00"/>
        <bgColor indexed="64"/>
      </patternFill>
    </fill>
    <fill>
      <patternFill patternType="solid">
        <fgColor rgb="FF4FFF00"/>
        <bgColor indexed="64"/>
      </patternFill>
    </fill>
    <fill>
      <patternFill patternType="solid">
        <fgColor rgb="FF80FF00"/>
        <bgColor indexed="64"/>
      </patternFill>
    </fill>
    <fill>
      <patternFill patternType="solid">
        <fgColor rgb="FF6DFF00"/>
        <bgColor indexed="64"/>
      </patternFill>
    </fill>
    <fill>
      <patternFill patternType="solid">
        <fgColor rgb="FF51FF00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theme="2" tint="-0.4999542222357860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52FF00"/>
        <bgColor indexed="64"/>
      </patternFill>
    </fill>
    <fill>
      <patternFill patternType="solid">
        <fgColor rgb="FF47FF00"/>
        <bgColor indexed="64"/>
      </patternFill>
    </fill>
    <fill>
      <patternFill patternType="solid">
        <fgColor rgb="FFB4FF00"/>
        <bgColor indexed="64"/>
      </patternFill>
    </fill>
    <fill>
      <patternFill patternType="solid">
        <fgColor rgb="FF32FF00"/>
        <bgColor indexed="64"/>
      </patternFill>
    </fill>
    <fill>
      <patternFill patternType="solid">
        <fgColor rgb="FF71FF00"/>
        <bgColor indexed="64"/>
      </patternFill>
    </fill>
    <fill>
      <patternFill patternType="solid">
        <fgColor rgb="FF3AFF00"/>
        <bgColor indexed="64"/>
      </patternFill>
    </fill>
    <fill>
      <patternFill patternType="solid">
        <fgColor rgb="FF5AFF00"/>
        <bgColor indexed="64"/>
      </patternFill>
    </fill>
    <fill>
      <patternFill patternType="solid">
        <fgColor rgb="FF64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599963377788628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AAFF00"/>
        <bgColor indexed="64"/>
      </patternFill>
    </fill>
    <fill>
      <patternFill patternType="solid">
        <fgColor rgb="FF4BFF00"/>
        <bgColor indexed="64"/>
      </patternFill>
    </fill>
    <fill>
      <patternFill patternType="solid">
        <fgColor rgb="FF2CFF00"/>
        <bgColor indexed="64"/>
      </patternFill>
    </fill>
    <fill>
      <patternFill patternType="solid">
        <fgColor rgb="FF31FF00"/>
        <bgColor indexed="64"/>
      </patternFill>
    </fill>
    <fill>
      <patternFill patternType="solid">
        <fgColor rgb="FF43FF00"/>
        <bgColor indexed="64"/>
      </patternFill>
    </fill>
    <fill>
      <patternFill patternType="solid">
        <fgColor rgb="FF42FF00"/>
        <bgColor indexed="64"/>
      </patternFill>
    </fill>
    <fill>
      <patternFill patternType="solid">
        <fgColor rgb="FFFFE300"/>
        <bgColor indexed="64"/>
      </patternFill>
    </fill>
    <fill>
      <patternFill patternType="solid">
        <fgColor rgb="FF3FFF00"/>
        <bgColor indexed="64"/>
      </patternFill>
    </fill>
    <fill>
      <patternFill patternType="solid">
        <fgColor rgb="FFFBFF00"/>
        <bgColor indexed="64"/>
      </patternFill>
    </fill>
    <fill>
      <patternFill patternType="solid">
        <fgColor rgb="FFA1FF00"/>
        <bgColor indexed="64"/>
      </patternFill>
    </fill>
    <fill>
      <patternFill patternType="solid">
        <fgColor rgb="FF55FF00"/>
        <bgColor indexed="64"/>
      </patternFill>
    </fill>
    <fill>
      <patternFill patternType="solid">
        <fgColor rgb="FFA0FF00"/>
        <bgColor indexed="64"/>
      </patternFill>
    </fill>
    <fill>
      <patternFill patternType="solid">
        <fgColor rgb="FFFF8800"/>
        <bgColor indexed="64"/>
      </patternFill>
    </fill>
    <fill>
      <patternFill patternType="solid">
        <fgColor rgb="FF1FFF00"/>
        <bgColor indexed="64"/>
      </patternFill>
    </fill>
    <fill>
      <patternFill patternType="solid">
        <fgColor rgb="FF4DFF00"/>
        <bgColor indexed="64"/>
      </patternFill>
    </fill>
    <fill>
      <patternFill patternType="solid">
        <fgColor rgb="FFFFE100"/>
        <bgColor indexed="64"/>
      </patternFill>
    </fill>
    <fill>
      <patternFill patternType="solid">
        <fgColor rgb="FFFFDE00"/>
        <bgColor indexed="64"/>
      </patternFill>
    </fill>
    <fill>
      <patternFill patternType="solid">
        <fgColor rgb="FF79FF00"/>
        <bgColor indexed="64"/>
      </patternFill>
    </fill>
    <fill>
      <patternFill patternType="solid">
        <fgColor rgb="FF54FF00"/>
        <bgColor indexed="64"/>
      </patternFill>
    </fill>
    <fill>
      <patternFill patternType="solid">
        <fgColor rgb="FF8AFF00"/>
        <bgColor indexed="64"/>
      </patternFill>
    </fill>
    <fill>
      <patternFill patternType="solid">
        <fgColor rgb="FFE1FF00"/>
        <bgColor indexed="64"/>
      </patternFill>
    </fill>
    <fill>
      <patternFill patternType="solid">
        <fgColor rgb="FF2BFF00"/>
        <bgColor indexed="64"/>
      </patternFill>
    </fill>
    <fill>
      <patternFill patternType="solid">
        <fgColor rgb="FF8EFF00"/>
        <bgColor indexed="64"/>
      </patternFill>
    </fill>
    <fill>
      <patternFill patternType="solid">
        <fgColor rgb="FFFFBB00"/>
        <bgColor indexed="64"/>
      </patternFill>
    </fill>
    <fill>
      <patternFill patternType="solid">
        <fgColor rgb="FF6CFF00"/>
        <bgColor indexed="64"/>
      </patternFill>
    </fill>
    <fill>
      <patternFill patternType="solid">
        <fgColor rgb="FFFFB900"/>
        <bgColor indexed="64"/>
      </patternFill>
    </fill>
    <fill>
      <patternFill patternType="solid">
        <fgColor rgb="FFFF3100"/>
        <bgColor indexed="64"/>
      </patternFill>
    </fill>
    <fill>
      <patternFill patternType="solid">
        <fgColor rgb="FFFFC700"/>
        <bgColor indexed="64"/>
      </patternFill>
    </fill>
    <fill>
      <patternFill patternType="solid">
        <fgColor rgb="FF2FFF00"/>
        <bgColor indexed="64"/>
      </patternFill>
    </fill>
    <fill>
      <patternFill patternType="solid">
        <fgColor rgb="FF5DFF00"/>
        <bgColor indexed="64"/>
      </patternFill>
    </fill>
    <fill>
      <patternFill patternType="solid">
        <fgColor rgb="FFA3FF00"/>
        <bgColor indexed="64"/>
      </patternFill>
    </fill>
    <fill>
      <patternFill patternType="solid">
        <fgColor rgb="FF38FF00"/>
        <bgColor indexed="64"/>
      </patternFill>
    </fill>
    <fill>
      <patternFill patternType="solid">
        <fgColor rgb="FF9BFF00"/>
        <bgColor indexed="64"/>
      </patternFill>
    </fill>
    <fill>
      <patternFill patternType="solid">
        <fgColor rgb="FF63FF00"/>
        <bgColor indexed="64"/>
      </patternFill>
    </fill>
    <fill>
      <patternFill patternType="solid">
        <fgColor rgb="FFFFC600"/>
        <bgColor indexed="64"/>
      </patternFill>
    </fill>
    <fill>
      <patternFill patternType="solid">
        <fgColor rgb="FFFF4900"/>
        <bgColor indexed="64"/>
      </patternFill>
    </fill>
    <fill>
      <patternFill patternType="solid">
        <fgColor rgb="FF33FF00"/>
        <bgColor indexed="64"/>
      </patternFill>
    </fill>
    <fill>
      <patternFill patternType="solid">
        <fgColor rgb="FFFFF100"/>
        <bgColor indexed="64"/>
      </patternFill>
    </fill>
    <fill>
      <patternFill patternType="solid">
        <fgColor rgb="FF77FF00"/>
        <bgColor indexed="64"/>
      </patternFill>
    </fill>
    <fill>
      <patternFill patternType="solid">
        <fgColor rgb="FFBDFF00"/>
        <bgColor indexed="64"/>
      </patternFill>
    </fill>
    <fill>
      <patternFill patternType="solid">
        <fgColor rgb="FF5CFF00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6BFF00"/>
        <bgColor indexed="64"/>
      </patternFill>
    </fill>
    <fill>
      <patternFill patternType="solid">
        <fgColor rgb="FF95FF00"/>
        <bgColor indexed="64"/>
      </patternFill>
    </fill>
    <fill>
      <patternFill patternType="solid">
        <fgColor rgb="FF9EFF00"/>
        <bgColor indexed="64"/>
      </patternFill>
    </fill>
    <fill>
      <patternFill patternType="solid">
        <fgColor rgb="FFD6FF00"/>
        <bgColor indexed="64"/>
      </patternFill>
    </fill>
    <fill>
      <patternFill patternType="solid">
        <fgColor rgb="FF94FF00"/>
        <bgColor indexed="64"/>
      </patternFill>
    </fill>
    <fill>
      <patternFill patternType="solid">
        <fgColor rgb="FF5BFF00"/>
        <bgColor indexed="64"/>
      </patternFill>
    </fill>
    <fill>
      <patternFill patternType="solid">
        <fgColor rgb="FFFFD400"/>
        <bgColor indexed="64"/>
      </patternFill>
    </fill>
    <fill>
      <patternFill patternType="solid">
        <fgColor rgb="FFFF2400"/>
        <bgColor indexed="64"/>
      </patternFill>
    </fill>
    <fill>
      <patternFill patternType="solid">
        <fgColor rgb="FFD5FF00"/>
        <bgColor indexed="64"/>
      </patternFill>
    </fill>
    <fill>
      <patternFill patternType="solid">
        <fgColor rgb="FFFFDF00"/>
        <bgColor indexed="64"/>
      </patternFill>
    </fill>
    <fill>
      <patternFill patternType="solid">
        <fgColor rgb="FF273F66"/>
        <bgColor indexed="64"/>
      </patternFill>
    </fill>
    <fill>
      <patternFill patternType="solid">
        <fgColor rgb="FF9549D5"/>
        <bgColor indexed="64"/>
      </patternFill>
    </fill>
    <fill>
      <patternFill patternType="solid">
        <fgColor rgb="FFE58663"/>
        <bgColor indexed="64"/>
      </patternFill>
    </fill>
    <fill>
      <patternFill patternType="solid">
        <fgColor rgb="FF01402A"/>
        <bgColor indexed="64"/>
      </patternFill>
    </fill>
    <fill>
      <patternFill patternType="solid">
        <fgColor rgb="FFA5FA50"/>
        <bgColor indexed="64"/>
      </patternFill>
    </fill>
    <fill>
      <patternFill patternType="solid">
        <fgColor rgb="FF3DE021"/>
        <bgColor indexed="64"/>
      </patternFill>
    </fill>
    <fill>
      <patternFill patternType="solid">
        <fgColor rgb="FF919B9C"/>
        <bgColor indexed="64"/>
      </patternFill>
    </fill>
    <fill>
      <patternFill patternType="solid">
        <fgColor rgb="FFB1D919"/>
        <bgColor indexed="64"/>
      </patternFill>
    </fill>
    <fill>
      <patternFill patternType="solid">
        <fgColor rgb="FF65D244"/>
        <bgColor indexed="64"/>
      </patternFill>
    </fill>
    <fill>
      <patternFill patternType="solid">
        <fgColor rgb="FFAD65D5"/>
        <bgColor indexed="64"/>
      </patternFill>
    </fill>
    <fill>
      <patternFill patternType="solid">
        <fgColor rgb="FF6ED538"/>
        <bgColor indexed="64"/>
      </patternFill>
    </fill>
    <fill>
      <patternFill patternType="solid">
        <fgColor rgb="FFBAE538"/>
        <bgColor indexed="64"/>
      </patternFill>
    </fill>
    <fill>
      <patternFill patternType="solid">
        <fgColor rgb="FFFAF6DE"/>
        <bgColor indexed="64"/>
      </patternFill>
    </fill>
    <fill>
      <patternFill patternType="solid">
        <fgColor rgb="FF85A674"/>
        <bgColor indexed="64"/>
      </patternFill>
    </fill>
    <fill>
      <patternFill patternType="solid">
        <fgColor rgb="FF28A49C"/>
        <bgColor indexed="64"/>
      </patternFill>
    </fill>
    <fill>
      <patternFill patternType="solid">
        <fgColor rgb="FFDA5E0E"/>
        <bgColor indexed="64"/>
      </patternFill>
    </fill>
    <fill>
      <patternFill patternType="solid">
        <fgColor rgb="FF810E60"/>
        <bgColor indexed="64"/>
      </patternFill>
    </fill>
    <fill>
      <patternFill patternType="solid">
        <fgColor rgb="FF734CF7"/>
        <bgColor indexed="64"/>
      </patternFill>
    </fill>
    <fill>
      <patternFill patternType="solid">
        <fgColor rgb="FF03A69D"/>
        <bgColor indexed="64"/>
      </patternFill>
    </fill>
    <fill>
      <patternFill patternType="solid">
        <fgColor rgb="FF8807B7"/>
        <bgColor indexed="64"/>
      </patternFill>
    </fill>
    <fill>
      <patternFill patternType="solid">
        <fgColor rgb="FF50FA4A"/>
        <bgColor indexed="64"/>
      </patternFill>
    </fill>
    <fill>
      <patternFill patternType="solid">
        <fgColor rgb="FF5D525A"/>
        <bgColor indexed="64"/>
      </patternFill>
    </fill>
    <fill>
      <patternFill patternType="solid">
        <fgColor rgb="FF3C97B3"/>
        <bgColor indexed="64"/>
      </patternFill>
    </fill>
    <fill>
      <patternFill patternType="solid">
        <fgColor rgb="FF449393"/>
        <bgColor indexed="64"/>
      </patternFill>
    </fill>
    <fill>
      <patternFill patternType="solid">
        <fgColor rgb="FFFDEE40"/>
        <bgColor indexed="64"/>
      </patternFill>
    </fill>
    <fill>
      <patternFill patternType="solid">
        <fgColor rgb="FFCFC468"/>
        <bgColor indexed="64"/>
      </patternFill>
    </fill>
    <fill>
      <patternFill patternType="solid">
        <fgColor rgb="FFA17E7F"/>
        <bgColor indexed="64"/>
      </patternFill>
    </fill>
    <fill>
      <patternFill patternType="solid">
        <fgColor rgb="FF22F72D"/>
        <bgColor indexed="64"/>
      </patternFill>
    </fill>
    <fill>
      <patternFill patternType="solid">
        <fgColor rgb="FF96AE1C"/>
        <bgColor indexed="64"/>
      </patternFill>
    </fill>
    <fill>
      <patternFill patternType="solid">
        <fgColor rgb="FFA6BCC7"/>
        <bgColor indexed="64"/>
      </patternFill>
    </fill>
    <fill>
      <patternFill patternType="solid">
        <fgColor rgb="FF6E157F"/>
        <bgColor indexed="64"/>
      </patternFill>
    </fill>
    <fill>
      <patternFill patternType="solid">
        <fgColor rgb="FF930F69"/>
        <bgColor indexed="64"/>
      </patternFill>
    </fill>
    <fill>
      <patternFill patternType="solid">
        <fgColor rgb="FF1E2550"/>
        <bgColor indexed="64"/>
      </patternFill>
    </fill>
    <fill>
      <patternFill patternType="solid">
        <fgColor rgb="FFFD9A46"/>
        <bgColor indexed="64"/>
      </patternFill>
    </fill>
    <fill>
      <patternFill patternType="solid">
        <fgColor rgb="FF6A7810"/>
        <bgColor indexed="64"/>
      </patternFill>
    </fill>
    <fill>
      <patternFill patternType="solid">
        <fgColor rgb="FF7570F1"/>
        <bgColor indexed="64"/>
      </patternFill>
    </fill>
    <fill>
      <patternFill patternType="solid">
        <fgColor rgb="FF462C81"/>
        <bgColor indexed="64"/>
      </patternFill>
    </fill>
    <fill>
      <patternFill patternType="solid">
        <fgColor rgb="FF588365"/>
        <bgColor indexed="64"/>
      </patternFill>
    </fill>
    <fill>
      <patternFill patternType="solid">
        <fgColor rgb="FF4211A3"/>
        <bgColor indexed="64"/>
      </patternFill>
    </fill>
    <fill>
      <patternFill patternType="solid">
        <fgColor rgb="FF5D8BE1"/>
        <bgColor indexed="64"/>
      </patternFill>
    </fill>
    <fill>
      <patternFill patternType="solid">
        <fgColor rgb="FF6C9861"/>
        <bgColor indexed="64"/>
      </patternFill>
    </fill>
    <fill>
      <patternFill patternType="solid">
        <fgColor rgb="FF0F1C25"/>
        <bgColor indexed="64"/>
      </patternFill>
    </fill>
    <fill>
      <patternFill patternType="solid">
        <fgColor rgb="FF25C243"/>
        <bgColor indexed="64"/>
      </patternFill>
    </fill>
    <fill>
      <patternFill patternType="solid">
        <fgColor rgb="FF230BB1"/>
        <bgColor indexed="64"/>
      </patternFill>
    </fill>
    <fill>
      <patternFill patternType="solid">
        <fgColor rgb="FFD784CC"/>
        <bgColor indexed="64"/>
      </patternFill>
    </fill>
    <fill>
      <patternFill patternType="solid">
        <fgColor rgb="FFFB8611"/>
        <bgColor indexed="64"/>
      </patternFill>
    </fill>
    <fill>
      <patternFill patternType="solid">
        <fgColor rgb="FF9F5447"/>
        <bgColor indexed="64"/>
      </patternFill>
    </fill>
    <fill>
      <patternFill patternType="solid">
        <fgColor rgb="FFAE6762"/>
        <bgColor indexed="64"/>
      </patternFill>
    </fill>
    <fill>
      <patternFill patternType="solid">
        <fgColor rgb="FF34DF27"/>
        <bgColor indexed="64"/>
      </patternFill>
    </fill>
    <fill>
      <patternFill patternType="solid">
        <fgColor rgb="FF669B8C"/>
        <bgColor indexed="64"/>
      </patternFill>
    </fill>
    <fill>
      <patternFill patternType="solid">
        <fgColor rgb="FFBA1F53"/>
        <bgColor indexed="64"/>
      </patternFill>
    </fill>
    <fill>
      <patternFill patternType="solid">
        <fgColor rgb="FF02C8EB"/>
        <bgColor indexed="64"/>
      </patternFill>
    </fill>
    <fill>
      <patternFill patternType="solid">
        <fgColor rgb="FF4C3AF3"/>
        <bgColor indexed="64"/>
      </patternFill>
    </fill>
    <fill>
      <patternFill patternType="solid">
        <fgColor rgb="FF306A5C"/>
        <bgColor indexed="64"/>
      </patternFill>
    </fill>
    <fill>
      <patternFill patternType="solid">
        <fgColor rgb="FF53FA94"/>
        <bgColor indexed="64"/>
      </patternFill>
    </fill>
    <fill>
      <patternFill patternType="solid">
        <fgColor rgb="FF8622E5"/>
        <bgColor indexed="64"/>
      </patternFill>
    </fill>
    <fill>
      <patternFill patternType="solid">
        <fgColor rgb="FF08CAB7"/>
        <bgColor indexed="64"/>
      </patternFill>
    </fill>
    <fill>
      <patternFill patternType="solid">
        <fgColor rgb="FF3EF077"/>
        <bgColor indexed="64"/>
      </patternFill>
    </fill>
    <fill>
      <patternFill patternType="solid">
        <fgColor rgb="FFB9653B"/>
        <bgColor indexed="64"/>
      </patternFill>
    </fill>
    <fill>
      <patternFill patternType="solid">
        <fgColor rgb="FF9A8D76"/>
        <bgColor indexed="64"/>
      </patternFill>
    </fill>
    <fill>
      <patternFill patternType="solid">
        <fgColor rgb="FFA6C311"/>
        <bgColor indexed="64"/>
      </patternFill>
    </fill>
    <fill>
      <patternFill patternType="solid">
        <fgColor rgb="FF281A0D"/>
        <bgColor indexed="64"/>
      </patternFill>
    </fill>
    <fill>
      <patternFill patternType="solid">
        <fgColor rgb="FF8BF43A"/>
        <bgColor indexed="64"/>
      </patternFill>
    </fill>
    <fill>
      <patternFill patternType="solid">
        <fgColor rgb="FF58E37B"/>
        <bgColor indexed="64"/>
      </patternFill>
    </fill>
    <fill>
      <patternFill patternType="solid">
        <fgColor rgb="FF3BD911"/>
        <bgColor indexed="64"/>
      </patternFill>
    </fill>
    <fill>
      <patternFill patternType="solid">
        <fgColor rgb="FF22F6D5"/>
        <bgColor indexed="64"/>
      </patternFill>
    </fill>
    <fill>
      <patternFill patternType="solid">
        <fgColor rgb="FFD2FE3D"/>
        <bgColor indexed="64"/>
      </patternFill>
    </fill>
    <fill>
      <patternFill patternType="solid">
        <fgColor rgb="FFA9A0F8"/>
        <bgColor indexed="64"/>
      </patternFill>
    </fill>
    <fill>
      <patternFill patternType="solid">
        <fgColor rgb="FF6B0EE0"/>
        <bgColor indexed="64"/>
      </patternFill>
    </fill>
    <fill>
      <patternFill patternType="solid">
        <fgColor rgb="FF2A409B"/>
        <bgColor indexed="64"/>
      </patternFill>
    </fill>
    <fill>
      <patternFill patternType="solid">
        <fgColor rgb="FF5D87EA"/>
        <bgColor indexed="64"/>
      </patternFill>
    </fill>
    <fill>
      <patternFill patternType="solid">
        <fgColor rgb="FF8BF5C3"/>
        <bgColor indexed="64"/>
      </patternFill>
    </fill>
    <fill>
      <patternFill patternType="solid">
        <fgColor rgb="FF67C192"/>
        <bgColor indexed="64"/>
      </patternFill>
    </fill>
    <fill>
      <patternFill patternType="solid">
        <fgColor rgb="FF710C0A"/>
        <bgColor indexed="64"/>
      </patternFill>
    </fill>
    <fill>
      <patternFill patternType="solid">
        <fgColor rgb="FF5D6A5D"/>
        <bgColor indexed="64"/>
      </patternFill>
    </fill>
    <fill>
      <patternFill patternType="solid">
        <fgColor rgb="FFA12E6F"/>
        <bgColor indexed="64"/>
      </patternFill>
    </fill>
    <fill>
      <patternFill patternType="solid">
        <fgColor rgb="FF28F846"/>
        <bgColor indexed="64"/>
      </patternFill>
    </fill>
    <fill>
      <patternFill patternType="solid">
        <fgColor rgb="FF0FCDB5"/>
        <bgColor indexed="64"/>
      </patternFill>
    </fill>
    <fill>
      <patternFill patternType="solid">
        <fgColor rgb="FF40CADE"/>
        <bgColor indexed="64"/>
      </patternFill>
    </fill>
    <fill>
      <patternFill patternType="solid">
        <fgColor rgb="FFFB4576"/>
        <bgColor indexed="64"/>
      </patternFill>
    </fill>
    <fill>
      <patternFill patternType="solid">
        <fgColor rgb="FFE9EB80"/>
        <bgColor indexed="64"/>
      </patternFill>
    </fill>
    <fill>
      <patternFill patternType="solid">
        <fgColor rgb="FFE2926C"/>
        <bgColor indexed="64"/>
      </patternFill>
    </fill>
    <fill>
      <patternFill patternType="solid">
        <fgColor rgb="FFFF1E00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C0C0C0"/>
      </left>
      <right/>
      <top/>
      <bottom style="thin">
        <color rgb="FFC0C0C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rgb="FFC0C0C0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3654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4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384">
    <xf numFmtId="0" fontId="0" fillId="0" borderId="0" xfId="0"/>
    <xf numFmtId="0" fontId="2" fillId="0" borderId="0" xfId="0" applyFont="1"/>
    <xf numFmtId="0" fontId="2" fillId="2" borderId="0" xfId="0" applyFont="1" applyFill="1"/>
    <xf numFmtId="0" fontId="0" fillId="0" borderId="0" xfId="0" applyFill="1"/>
    <xf numFmtId="0" fontId="0" fillId="4" borderId="0" xfId="0" applyFill="1"/>
    <xf numFmtId="2" fontId="0" fillId="4" borderId="0" xfId="0" applyNumberFormat="1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1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1" xfId="0" applyBorder="1"/>
    <xf numFmtId="2" fontId="2" fillId="0" borderId="0" xfId="0" applyNumberFormat="1" applyFont="1"/>
    <xf numFmtId="0" fontId="2" fillId="0" borderId="0" xfId="0" applyFont="1" applyAlignment="1">
      <alignment horizontal="right"/>
    </xf>
    <xf numFmtId="0" fontId="2" fillId="0" borderId="0" xfId="0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7" fillId="0" borderId="0" xfId="0" applyFont="1" applyAlignment="1">
      <alignment horizontal="right"/>
    </xf>
    <xf numFmtId="0" fontId="2" fillId="0" borderId="0" xfId="0" applyFont="1" applyFill="1" applyBorder="1" applyAlignment="1">
      <alignment horizontal="right"/>
    </xf>
    <xf numFmtId="0" fontId="2" fillId="26" borderId="2" xfId="0" applyFont="1" applyFill="1" applyBorder="1" applyAlignment="1">
      <alignment horizontal="center"/>
    </xf>
    <xf numFmtId="0" fontId="2" fillId="26" borderId="4" xfId="0" applyFont="1" applyFill="1" applyBorder="1" applyAlignment="1">
      <alignment horizontal="center"/>
    </xf>
    <xf numFmtId="0" fontId="2" fillId="26" borderId="3" xfId="0" applyFont="1" applyFill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3" xfId="0" applyFont="1" applyBorder="1" applyAlignment="1">
      <alignment horizontal="center"/>
    </xf>
    <xf numFmtId="0" fontId="0" fillId="0" borderId="14" xfId="0" applyBorder="1"/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7" xfId="0" applyFill="1" applyBorder="1" applyAlignment="1">
      <alignment horizontal="left"/>
    </xf>
    <xf numFmtId="0" fontId="0" fillId="0" borderId="5" xfId="0" applyBorder="1" applyAlignment="1">
      <alignment horizontal="right"/>
    </xf>
    <xf numFmtId="0" fontId="2" fillId="0" borderId="0" xfId="0" applyFont="1" applyFill="1"/>
    <xf numFmtId="0" fontId="0" fillId="26" borderId="5" xfId="0" applyFill="1" applyBorder="1"/>
    <xf numFmtId="0" fontId="0" fillId="26" borderId="7" xfId="0" applyFill="1" applyBorder="1"/>
    <xf numFmtId="0" fontId="0" fillId="26" borderId="8" xfId="0" applyFill="1" applyBorder="1"/>
    <xf numFmtId="0" fontId="0" fillId="26" borderId="9" xfId="0" applyFill="1" applyBorder="1"/>
    <xf numFmtId="0" fontId="0" fillId="26" borderId="11" xfId="0" applyFill="1" applyBorder="1"/>
    <xf numFmtId="0" fontId="8" fillId="0" borderId="0" xfId="0" applyFont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40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0" borderId="0" xfId="0" applyFont="1"/>
    <xf numFmtId="2" fontId="0" fillId="0" borderId="0" xfId="0" applyNumberFormat="1" applyFont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6" borderId="0" xfId="0" applyFill="1"/>
    <xf numFmtId="0" fontId="12" fillId="2" borderId="0" xfId="0" applyFont="1" applyFill="1"/>
    <xf numFmtId="0" fontId="13" fillId="0" borderId="0" xfId="0" applyFont="1"/>
    <xf numFmtId="0" fontId="11" fillId="0" borderId="0" xfId="0" applyFont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14" fillId="0" borderId="0" xfId="0" applyFont="1" applyAlignment="1">
      <alignment horizontal="right"/>
    </xf>
    <xf numFmtId="0" fontId="15" fillId="0" borderId="0" xfId="0" applyFont="1"/>
    <xf numFmtId="0" fontId="14" fillId="0" borderId="0" xfId="0" applyFont="1"/>
    <xf numFmtId="0" fontId="16" fillId="0" borderId="0" xfId="0" applyFont="1"/>
    <xf numFmtId="0" fontId="14" fillId="0" borderId="0" xfId="0" applyFont="1" applyAlignment="1">
      <alignment horizontal="left"/>
    </xf>
    <xf numFmtId="0" fontId="14" fillId="95" borderId="0" xfId="0" applyFont="1" applyFill="1"/>
    <xf numFmtId="0" fontId="14" fillId="96" borderId="0" xfId="0" applyFont="1" applyFill="1"/>
    <xf numFmtId="0" fontId="14" fillId="84" borderId="0" xfId="0" applyFont="1" applyFill="1"/>
    <xf numFmtId="0" fontId="14" fillId="28" borderId="0" xfId="0" applyFont="1" applyFill="1"/>
    <xf numFmtId="0" fontId="14" fillId="30" borderId="0" xfId="0" applyFont="1" applyFill="1"/>
    <xf numFmtId="0" fontId="14" fillId="85" borderId="0" xfId="0" applyFont="1" applyFill="1"/>
    <xf numFmtId="0" fontId="14" fillId="31" borderId="0" xfId="0" applyFont="1" applyFill="1"/>
    <xf numFmtId="0" fontId="14" fillId="97" borderId="0" xfId="0" applyFont="1" applyFill="1"/>
    <xf numFmtId="0" fontId="9" fillId="26" borderId="6" xfId="0" applyFont="1" applyFill="1" applyBorder="1"/>
    <xf numFmtId="0" fontId="13" fillId="0" borderId="0" xfId="0" applyFont="1" applyFill="1"/>
    <xf numFmtId="0" fontId="17" fillId="0" borderId="0" xfId="0" applyFont="1" applyFill="1"/>
    <xf numFmtId="0" fontId="10" fillId="0" borderId="0" xfId="0" applyFont="1" applyFill="1" applyAlignment="1">
      <alignment horizontal="right"/>
    </xf>
    <xf numFmtId="0" fontId="10" fillId="0" borderId="0" xfId="0" applyFont="1" applyFill="1" applyAlignment="1"/>
    <xf numFmtId="0" fontId="12" fillId="0" borderId="0" xfId="0" applyFont="1" applyAlignment="1"/>
    <xf numFmtId="0" fontId="13" fillId="0" borderId="0" xfId="0" applyFont="1" applyAlignment="1"/>
    <xf numFmtId="0" fontId="12" fillId="2" borderId="0" xfId="0" applyFont="1" applyFill="1" applyAlignment="1"/>
    <xf numFmtId="0" fontId="12" fillId="0" borderId="0" xfId="0" applyFont="1" applyFill="1" applyAlignment="1"/>
    <xf numFmtId="0" fontId="12" fillId="0" borderId="0" xfId="0" applyFont="1"/>
    <xf numFmtId="0" fontId="12" fillId="0" borderId="0" xfId="0" applyFont="1" applyAlignment="1">
      <alignment horizontal="right"/>
    </xf>
    <xf numFmtId="2" fontId="12" fillId="0" borderId="12" xfId="0" applyNumberFormat="1" applyFont="1" applyBorder="1" applyAlignment="1">
      <alignment horizontal="center"/>
    </xf>
    <xf numFmtId="0" fontId="18" fillId="0" borderId="0" xfId="0" applyFont="1"/>
    <xf numFmtId="0" fontId="12" fillId="0" borderId="13" xfId="0" applyFont="1" applyBorder="1" applyAlignment="1">
      <alignment horizontal="center"/>
    </xf>
    <xf numFmtId="0" fontId="13" fillId="0" borderId="14" xfId="0" applyFont="1" applyBorder="1"/>
    <xf numFmtId="0" fontId="13" fillId="0" borderId="7" xfId="0" applyFont="1" applyBorder="1" applyAlignment="1">
      <alignment horizontal="right"/>
    </xf>
    <xf numFmtId="0" fontId="13" fillId="0" borderId="8" xfId="0" applyFont="1" applyBorder="1"/>
    <xf numFmtId="0" fontId="13" fillId="0" borderId="9" xfId="0" applyFont="1" applyBorder="1" applyAlignment="1">
      <alignment horizontal="right"/>
    </xf>
    <xf numFmtId="0" fontId="13" fillId="0" borderId="11" xfId="0" applyFont="1" applyBorder="1"/>
    <xf numFmtId="0" fontId="13" fillId="0" borderId="7" xfId="0" applyFont="1" applyFill="1" applyBorder="1" applyAlignment="1">
      <alignment horizontal="left"/>
    </xf>
    <xf numFmtId="0" fontId="11" fillId="51" borderId="0" xfId="0" applyFont="1" applyFill="1"/>
    <xf numFmtId="0" fontId="10" fillId="0" borderId="0" xfId="0" applyFont="1" applyFill="1"/>
    <xf numFmtId="0" fontId="12" fillId="2" borderId="0" xfId="0" applyFont="1" applyFill="1" applyAlignment="1">
      <alignment wrapText="1"/>
    </xf>
    <xf numFmtId="0" fontId="13" fillId="0" borderId="0" xfId="0" applyFont="1" applyAlignment="1">
      <alignment horizontal="center"/>
    </xf>
    <xf numFmtId="0" fontId="13" fillId="0" borderId="0" xfId="0" applyFont="1" applyAlignment="1">
      <alignment horizontal="center" wrapText="1"/>
    </xf>
    <xf numFmtId="0" fontId="13" fillId="3" borderId="0" xfId="0" applyFont="1" applyFill="1" applyAlignment="1">
      <alignment horizontal="center"/>
    </xf>
    <xf numFmtId="0" fontId="12" fillId="0" borderId="0" xfId="0" applyFont="1" applyAlignment="1">
      <alignment wrapText="1"/>
    </xf>
    <xf numFmtId="0" fontId="13" fillId="0" borderId="0" xfId="0" applyFont="1" applyAlignment="1">
      <alignment wrapText="1"/>
    </xf>
    <xf numFmtId="0" fontId="13" fillId="39" borderId="0" xfId="0" applyFont="1" applyFill="1" applyAlignment="1">
      <alignment horizontal="center"/>
    </xf>
    <xf numFmtId="0" fontId="12" fillId="0" borderId="0" xfId="0" applyFont="1" applyAlignment="1">
      <alignment horizontal="center"/>
    </xf>
    <xf numFmtId="0" fontId="12" fillId="0" borderId="0" xfId="0" applyFont="1" applyFill="1" applyAlignment="1">
      <alignment horizontal="center"/>
    </xf>
    <xf numFmtId="0" fontId="12" fillId="31" borderId="0" xfId="0" applyFont="1" applyFill="1" applyAlignment="1">
      <alignment horizontal="center"/>
    </xf>
    <xf numFmtId="0" fontId="12" fillId="29" borderId="0" xfId="0" applyFont="1" applyFill="1" applyAlignment="1">
      <alignment horizontal="center"/>
    </xf>
    <xf numFmtId="0" fontId="12" fillId="30" borderId="0" xfId="0" applyFont="1" applyFill="1" applyAlignment="1">
      <alignment horizontal="center"/>
    </xf>
    <xf numFmtId="0" fontId="12" fillId="27" borderId="0" xfId="0" applyFont="1" applyFill="1" applyAlignment="1">
      <alignment horizontal="center"/>
    </xf>
    <xf numFmtId="0" fontId="12" fillId="28" borderId="0" xfId="0" applyFont="1" applyFill="1" applyAlignment="1">
      <alignment horizontal="center"/>
    </xf>
    <xf numFmtId="0" fontId="12" fillId="0" borderId="0" xfId="0" applyFont="1" applyFill="1" applyAlignment="1">
      <alignment horizontal="right"/>
    </xf>
    <xf numFmtId="0" fontId="13" fillId="26" borderId="2" xfId="0" applyFont="1" applyFill="1" applyBorder="1" applyAlignment="1">
      <alignment horizontal="center"/>
    </xf>
    <xf numFmtId="0" fontId="13" fillId="0" borderId="0" xfId="0" applyFont="1" applyFill="1" applyBorder="1"/>
    <xf numFmtId="0" fontId="13" fillId="0" borderId="0" xfId="0" applyFont="1" applyBorder="1"/>
    <xf numFmtId="0" fontId="13" fillId="26" borderId="4" xfId="0" applyFont="1" applyFill="1" applyBorder="1" applyAlignment="1">
      <alignment horizontal="center"/>
    </xf>
    <xf numFmtId="0" fontId="13" fillId="26" borderId="3" xfId="0" applyFont="1" applyFill="1" applyBorder="1"/>
    <xf numFmtId="0" fontId="12" fillId="2" borderId="0" xfId="0" applyFont="1" applyFill="1" applyBorder="1"/>
    <xf numFmtId="0" fontId="19" fillId="0" borderId="0" xfId="0" applyFont="1" applyFill="1" applyAlignment="1"/>
    <xf numFmtId="0" fontId="13" fillId="0" borderId="0" xfId="0" applyFont="1" applyFill="1" applyAlignment="1">
      <alignment horizontal="center"/>
    </xf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13" fillId="39" borderId="0" xfId="0" applyFont="1" applyFill="1" applyBorder="1"/>
    <xf numFmtId="0" fontId="20" fillId="0" borderId="0" xfId="0" applyFont="1" applyBorder="1" applyAlignment="1">
      <alignment vertical="center"/>
    </xf>
    <xf numFmtId="0" fontId="20" fillId="0" borderId="0" xfId="0" applyFont="1" applyBorder="1" applyAlignment="1">
      <alignment horizontal="right" vertical="center"/>
    </xf>
    <xf numFmtId="0" fontId="20" fillId="39" borderId="0" xfId="0" applyFont="1" applyFill="1" applyBorder="1" applyAlignment="1">
      <alignment vertical="center"/>
    </xf>
    <xf numFmtId="0" fontId="21" fillId="0" borderId="0" xfId="0" applyFont="1" applyBorder="1" applyAlignment="1">
      <alignment horizontal="right" vertical="center"/>
    </xf>
    <xf numFmtId="0" fontId="11" fillId="51" borderId="0" xfId="0" applyFont="1" applyFill="1" applyBorder="1" applyAlignment="1">
      <alignment horizontal="right" vertical="center"/>
    </xf>
    <xf numFmtId="0" fontId="13" fillId="0" borderId="0" xfId="0" applyFont="1" applyAlignment="1">
      <alignment vertical="center"/>
    </xf>
    <xf numFmtId="0" fontId="13" fillId="0" borderId="0" xfId="0" applyFont="1" applyAlignment="1">
      <alignment horizontal="right" vertical="center"/>
    </xf>
    <xf numFmtId="0" fontId="11" fillId="51" borderId="0" xfId="0" applyFont="1" applyFill="1" applyAlignment="1">
      <alignment horizontal="center"/>
    </xf>
    <xf numFmtId="0" fontId="20" fillId="39" borderId="0" xfId="0" applyFont="1" applyFill="1" applyBorder="1" applyAlignment="1">
      <alignment horizontal="center" vertical="center"/>
    </xf>
    <xf numFmtId="0" fontId="20" fillId="0" borderId="0" xfId="0" applyFont="1" applyBorder="1" applyAlignment="1">
      <alignment horizontal="center" vertical="center"/>
    </xf>
    <xf numFmtId="0" fontId="20" fillId="0" borderId="0" xfId="0" applyFont="1" applyBorder="1" applyAlignment="1">
      <alignment horizontal="center" vertical="center" wrapText="1"/>
    </xf>
    <xf numFmtId="11" fontId="20" fillId="0" borderId="0" xfId="0" applyNumberFormat="1" applyFont="1" applyBorder="1" applyAlignment="1">
      <alignment horizontal="center" vertical="center"/>
    </xf>
    <xf numFmtId="0" fontId="20" fillId="0" borderId="0" xfId="0" applyFont="1" applyFill="1" applyBorder="1" applyAlignment="1">
      <alignment horizontal="center" vertical="center"/>
    </xf>
    <xf numFmtId="0" fontId="10" fillId="39" borderId="0" xfId="0" applyFont="1" applyFill="1" applyBorder="1" applyAlignment="1">
      <alignment horizontal="center"/>
    </xf>
    <xf numFmtId="0" fontId="10" fillId="0" borderId="0" xfId="0" applyFont="1" applyBorder="1" applyAlignment="1">
      <alignment horizontal="center" vertical="center"/>
    </xf>
    <xf numFmtId="0" fontId="10" fillId="0" borderId="0" xfId="0" applyFont="1" applyBorder="1" applyAlignment="1">
      <alignment horizontal="center" vertical="center" wrapText="1"/>
    </xf>
    <xf numFmtId="0" fontId="13" fillId="0" borderId="0" xfId="0" applyFont="1" applyBorder="1" applyAlignment="1">
      <alignment horizontal="center"/>
    </xf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106" borderId="0" xfId="0" applyFill="1"/>
    <xf numFmtId="0" fontId="0" fillId="107" borderId="0" xfId="0" applyFill="1"/>
    <xf numFmtId="0" fontId="0" fillId="108" borderId="0" xfId="0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0" fillId="115" borderId="0" xfId="0" applyFill="1"/>
    <xf numFmtId="0" fontId="0" fillId="116" borderId="0" xfId="0" applyFill="1"/>
    <xf numFmtId="0" fontId="0" fillId="117" borderId="0" xfId="0" applyFill="1"/>
    <xf numFmtId="0" fontId="0" fillId="118" borderId="0" xfId="0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0" fillId="122" borderId="0" xfId="0" applyFill="1"/>
    <xf numFmtId="0" fontId="0" fillId="123" borderId="0" xfId="0" applyFill="1"/>
    <xf numFmtId="0" fontId="0" fillId="124" borderId="0" xfId="0" applyFill="1"/>
    <xf numFmtId="0" fontId="0" fillId="125" borderId="0" xfId="0" applyFill="1"/>
    <xf numFmtId="0" fontId="0" fillId="126" borderId="0" xfId="0" applyFill="1"/>
    <xf numFmtId="0" fontId="0" fillId="127" borderId="0" xfId="0" applyFill="1"/>
    <xf numFmtId="0" fontId="0" fillId="128" borderId="0" xfId="0" applyFill="1"/>
    <xf numFmtId="0" fontId="0" fillId="129" borderId="0" xfId="0" applyFill="1"/>
    <xf numFmtId="0" fontId="0" fillId="130" borderId="0" xfId="0" applyFill="1"/>
    <xf numFmtId="0" fontId="0" fillId="131" borderId="0" xfId="0" applyFill="1"/>
    <xf numFmtId="0" fontId="0" fillId="132" borderId="0" xfId="0" applyFill="1"/>
    <xf numFmtId="0" fontId="0" fillId="133" borderId="0" xfId="0" applyFill="1"/>
    <xf numFmtId="0" fontId="0" fillId="134" borderId="0" xfId="0" applyFill="1"/>
    <xf numFmtId="0" fontId="0" fillId="135" borderId="0" xfId="0" applyFill="1"/>
    <xf numFmtId="0" fontId="0" fillId="136" borderId="0" xfId="0" applyFill="1"/>
    <xf numFmtId="0" fontId="0" fillId="137" borderId="0" xfId="0" applyFill="1"/>
    <xf numFmtId="0" fontId="0" fillId="138" borderId="0" xfId="0" applyFill="1"/>
    <xf numFmtId="0" fontId="0" fillId="139" borderId="0" xfId="0" applyFill="1"/>
    <xf numFmtId="0" fontId="0" fillId="140" borderId="0" xfId="0" applyFill="1"/>
    <xf numFmtId="0" fontId="0" fillId="141" borderId="0" xfId="0" applyFill="1"/>
    <xf numFmtId="0" fontId="0" fillId="142" borderId="0" xfId="0" applyFill="1"/>
    <xf numFmtId="0" fontId="0" fillId="143" borderId="0" xfId="0" applyFill="1"/>
    <xf numFmtId="0" fontId="0" fillId="144" borderId="0" xfId="0" applyFill="1"/>
    <xf numFmtId="0" fontId="0" fillId="145" borderId="0" xfId="0" applyFill="1"/>
    <xf numFmtId="0" fontId="0" fillId="146" borderId="0" xfId="0" applyFill="1"/>
    <xf numFmtId="0" fontId="0" fillId="147" borderId="0" xfId="0" applyFill="1"/>
    <xf numFmtId="0" fontId="0" fillId="148" borderId="0" xfId="0" applyFill="1"/>
    <xf numFmtId="0" fontId="0" fillId="149" borderId="0" xfId="0" applyFill="1"/>
    <xf numFmtId="0" fontId="11" fillId="51" borderId="0" xfId="0" applyFont="1" applyFill="1" applyBorder="1" applyAlignment="1">
      <alignment horizontal="center" vertical="center"/>
    </xf>
    <xf numFmtId="0" fontId="11" fillId="0" borderId="0" xfId="0" quotePrefix="1" applyFont="1" applyAlignment="1"/>
    <xf numFmtId="0" fontId="0" fillId="150" borderId="0" xfId="0" applyFill="1"/>
    <xf numFmtId="0" fontId="0" fillId="151" borderId="0" xfId="0" applyFill="1"/>
    <xf numFmtId="0" fontId="0" fillId="152" borderId="0" xfId="0" applyFill="1"/>
    <xf numFmtId="0" fontId="0" fillId="153" borderId="0" xfId="0" applyFill="1"/>
    <xf numFmtId="0" fontId="0" fillId="154" borderId="0" xfId="0" applyFill="1"/>
    <xf numFmtId="0" fontId="0" fillId="155" borderId="0" xfId="0" applyFill="1"/>
    <xf numFmtId="0" fontId="0" fillId="156" borderId="0" xfId="0" applyFill="1"/>
    <xf numFmtId="0" fontId="0" fillId="157" borderId="0" xfId="0" applyFill="1"/>
    <xf numFmtId="0" fontId="0" fillId="158" borderId="0" xfId="0" applyFill="1"/>
    <xf numFmtId="0" fontId="0" fillId="159" borderId="0" xfId="0" applyFill="1"/>
    <xf numFmtId="0" fontId="0" fillId="160" borderId="0" xfId="0" applyFill="1"/>
    <xf numFmtId="0" fontId="0" fillId="161" borderId="0" xfId="0" applyFill="1"/>
    <xf numFmtId="0" fontId="0" fillId="162" borderId="0" xfId="0" applyFill="1"/>
    <xf numFmtId="0" fontId="0" fillId="163" borderId="0" xfId="0" applyFill="1"/>
    <xf numFmtId="0" fontId="0" fillId="164" borderId="0" xfId="0" applyFill="1"/>
    <xf numFmtId="0" fontId="0" fillId="165" borderId="0" xfId="0" applyFill="1"/>
    <xf numFmtId="0" fontId="0" fillId="166" borderId="0" xfId="0" applyFill="1"/>
    <xf numFmtId="0" fontId="0" fillId="167" borderId="0" xfId="0" applyFill="1"/>
    <xf numFmtId="0" fontId="0" fillId="168" borderId="0" xfId="0" applyFill="1"/>
    <xf numFmtId="0" fontId="0" fillId="169" borderId="0" xfId="0" applyFill="1"/>
    <xf numFmtId="0" fontId="0" fillId="170" borderId="0" xfId="0" applyFill="1"/>
    <xf numFmtId="0" fontId="0" fillId="171" borderId="0" xfId="0" applyFill="1"/>
    <xf numFmtId="0" fontId="0" fillId="172" borderId="0" xfId="0" applyFill="1"/>
    <xf numFmtId="0" fontId="0" fillId="173" borderId="0" xfId="0" applyFill="1"/>
    <xf numFmtId="0" fontId="0" fillId="174" borderId="0" xfId="0" applyFill="1"/>
    <xf numFmtId="0" fontId="0" fillId="175" borderId="0" xfId="0" applyFill="1"/>
    <xf numFmtId="0" fontId="0" fillId="176" borderId="0" xfId="0" applyFill="1"/>
    <xf numFmtId="0" fontId="0" fillId="177" borderId="0" xfId="0" applyFill="1"/>
    <xf numFmtId="0" fontId="0" fillId="178" borderId="0" xfId="0" applyFill="1"/>
    <xf numFmtId="0" fontId="0" fillId="179" borderId="0" xfId="0" applyFill="1"/>
    <xf numFmtId="0" fontId="0" fillId="180" borderId="0" xfId="0" applyFill="1"/>
    <xf numFmtId="0" fontId="0" fillId="181" borderId="0" xfId="0" applyFill="1"/>
    <xf numFmtId="0" fontId="0" fillId="182" borderId="0" xfId="0" applyFill="1"/>
    <xf numFmtId="0" fontId="0" fillId="183" borderId="0" xfId="0" applyFill="1"/>
    <xf numFmtId="0" fontId="0" fillId="184" borderId="0" xfId="0" applyFill="1"/>
    <xf numFmtId="0" fontId="0" fillId="185" borderId="0" xfId="0" applyFill="1"/>
    <xf numFmtId="0" fontId="0" fillId="186" borderId="0" xfId="0" applyFill="1"/>
    <xf numFmtId="0" fontId="0" fillId="187" borderId="0" xfId="0" applyFill="1"/>
    <xf numFmtId="0" fontId="0" fillId="188" borderId="0" xfId="0" applyFill="1"/>
    <xf numFmtId="0" fontId="0" fillId="189" borderId="0" xfId="0" applyFill="1"/>
    <xf numFmtId="0" fontId="0" fillId="190" borderId="0" xfId="0" applyFill="1"/>
    <xf numFmtId="0" fontId="0" fillId="191" borderId="0" xfId="0" applyFill="1"/>
    <xf numFmtId="0" fontId="0" fillId="192" borderId="0" xfId="0" applyFill="1"/>
    <xf numFmtId="0" fontId="0" fillId="193" borderId="0" xfId="0" applyFill="1"/>
    <xf numFmtId="0" fontId="0" fillId="194" borderId="0" xfId="0" applyFill="1"/>
    <xf numFmtId="0" fontId="0" fillId="195" borderId="0" xfId="0" applyFill="1"/>
    <xf numFmtId="0" fontId="0" fillId="196" borderId="0" xfId="0" applyFill="1"/>
    <xf numFmtId="0" fontId="0" fillId="197" borderId="0" xfId="0" applyFill="1"/>
    <xf numFmtId="0" fontId="0" fillId="198" borderId="0" xfId="0" applyFill="1"/>
    <xf numFmtId="0" fontId="0" fillId="199" borderId="0" xfId="0" applyFill="1"/>
    <xf numFmtId="0" fontId="0" fillId="200" borderId="0" xfId="0" applyFill="1"/>
    <xf numFmtId="0" fontId="0" fillId="201" borderId="0" xfId="0" applyFill="1"/>
    <xf numFmtId="0" fontId="0" fillId="202" borderId="0" xfId="0" applyFill="1"/>
    <xf numFmtId="0" fontId="0" fillId="203" borderId="0" xfId="0" applyFill="1"/>
    <xf numFmtId="0" fontId="0" fillId="204" borderId="0" xfId="0" applyFill="1"/>
    <xf numFmtId="0" fontId="0" fillId="205" borderId="0" xfId="0" applyFill="1"/>
    <xf numFmtId="0" fontId="0" fillId="206" borderId="0" xfId="0" applyFill="1"/>
    <xf numFmtId="0" fontId="0" fillId="207" borderId="0" xfId="0" applyFill="1"/>
    <xf numFmtId="0" fontId="0" fillId="208" borderId="0" xfId="0" applyFill="1"/>
    <xf numFmtId="0" fontId="0" fillId="209" borderId="0" xfId="0" applyFill="1"/>
    <xf numFmtId="0" fontId="0" fillId="210" borderId="0" xfId="0" applyFill="1"/>
    <xf numFmtId="0" fontId="0" fillId="211" borderId="0" xfId="0" applyFill="1"/>
    <xf numFmtId="0" fontId="0" fillId="212" borderId="0" xfId="0" applyFill="1"/>
    <xf numFmtId="0" fontId="0" fillId="213" borderId="0" xfId="0" applyFill="1"/>
    <xf numFmtId="0" fontId="0" fillId="214" borderId="0" xfId="0" applyFill="1"/>
    <xf numFmtId="0" fontId="0" fillId="215" borderId="0" xfId="0" applyFill="1"/>
    <xf numFmtId="0" fontId="0" fillId="216" borderId="0" xfId="0" applyFill="1"/>
    <xf numFmtId="0" fontId="0" fillId="217" borderId="0" xfId="0" applyFill="1"/>
    <xf numFmtId="0" fontId="0" fillId="218" borderId="0" xfId="0" applyFill="1"/>
    <xf numFmtId="0" fontId="0" fillId="219" borderId="0" xfId="0" applyFill="1"/>
    <xf numFmtId="0" fontId="0" fillId="220" borderId="0" xfId="0" applyFill="1"/>
    <xf numFmtId="0" fontId="0" fillId="221" borderId="0" xfId="0" applyFill="1"/>
    <xf numFmtId="0" fontId="0" fillId="222" borderId="0" xfId="0" applyFill="1"/>
    <xf numFmtId="0" fontId="0" fillId="223" borderId="0" xfId="0" applyFill="1"/>
    <xf numFmtId="0" fontId="0" fillId="224" borderId="0" xfId="0" applyFill="1"/>
    <xf numFmtId="0" fontId="0" fillId="225" borderId="0" xfId="0" applyFill="1"/>
    <xf numFmtId="0" fontId="0" fillId="226" borderId="0" xfId="0" applyFill="1"/>
    <xf numFmtId="0" fontId="0" fillId="227" borderId="0" xfId="0" applyFill="1"/>
    <xf numFmtId="0" fontId="0" fillId="228" borderId="0" xfId="0" applyFill="1"/>
    <xf numFmtId="0" fontId="0" fillId="229" borderId="0" xfId="0" applyFill="1"/>
    <xf numFmtId="0" fontId="0" fillId="230" borderId="0" xfId="0" applyFill="1"/>
    <xf numFmtId="0" fontId="0" fillId="231" borderId="0" xfId="0" applyFill="1"/>
    <xf numFmtId="0" fontId="0" fillId="232" borderId="0" xfId="0" applyFill="1"/>
    <xf numFmtId="0" fontId="10" fillId="86" borderId="0" xfId="0" applyFont="1" applyFill="1" applyBorder="1" applyAlignment="1">
      <alignment horizontal="center" vertical="center"/>
    </xf>
    <xf numFmtId="0" fontId="23" fillId="0" borderId="0" xfId="0" quotePrefix="1" applyFont="1"/>
    <xf numFmtId="0" fontId="14" fillId="0" borderId="0" xfId="0" applyFont="1" applyFill="1"/>
    <xf numFmtId="0" fontId="20" fillId="0" borderId="0" xfId="0" applyFont="1" applyBorder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5" fillId="0" borderId="0" xfId="0" applyFont="1" applyAlignment="1">
      <alignment horizontal="center"/>
    </xf>
    <xf numFmtId="0" fontId="24" fillId="0" borderId="0" xfId="0" applyFont="1" applyAlignment="1">
      <alignment horizontal="left"/>
    </xf>
    <xf numFmtId="0" fontId="25" fillId="0" borderId="0" xfId="0" applyFont="1" applyAlignment="1">
      <alignment horizontal="center"/>
    </xf>
    <xf numFmtId="0" fontId="25" fillId="0" borderId="0" xfId="0" applyFont="1" applyFill="1" applyAlignment="1">
      <alignment horizontal="center"/>
    </xf>
    <xf numFmtId="0" fontId="15" fillId="0" borderId="0" xfId="0" applyFont="1" applyAlignment="1">
      <alignment horizontal="left"/>
    </xf>
    <xf numFmtId="0" fontId="14" fillId="41" borderId="2" xfId="0" applyNumberFormat="1" applyFont="1" applyFill="1" applyBorder="1"/>
    <xf numFmtId="0" fontId="26" fillId="0" borderId="0" xfId="0" applyFont="1"/>
    <xf numFmtId="0" fontId="14" fillId="0" borderId="1" xfId="0" applyFont="1" applyBorder="1" applyAlignment="1">
      <alignment horizontal="center"/>
    </xf>
    <xf numFmtId="0" fontId="27" fillId="0" borderId="1" xfId="0" applyFont="1" applyBorder="1" applyAlignment="1">
      <alignment horizontal="center"/>
    </xf>
    <xf numFmtId="0" fontId="25" fillId="0" borderId="1" xfId="0" applyFont="1" applyBorder="1" applyAlignment="1">
      <alignment horizontal="center"/>
    </xf>
    <xf numFmtId="0" fontId="25" fillId="0" borderId="1" xfId="0" applyFont="1" applyFill="1" applyBorder="1" applyAlignment="1">
      <alignment horizontal="center"/>
    </xf>
    <xf numFmtId="0" fontId="14" fillId="0" borderId="0" xfId="0" applyFont="1" applyFill="1" applyBorder="1" applyAlignment="1">
      <alignment horizontal="center"/>
    </xf>
    <xf numFmtId="0" fontId="14" fillId="41" borderId="3" xfId="0" applyNumberFormat="1" applyFont="1" applyFill="1" applyBorder="1"/>
    <xf numFmtId="0" fontId="14" fillId="41" borderId="2" xfId="0" applyFont="1" applyFill="1" applyBorder="1"/>
    <xf numFmtId="0" fontId="14" fillId="41" borderId="3" xfId="0" applyFont="1" applyFill="1" applyBorder="1"/>
    <xf numFmtId="0" fontId="28" fillId="0" borderId="0" xfId="0" applyFont="1" applyBorder="1" applyAlignment="1">
      <alignment horizontal="right" vertical="center"/>
    </xf>
    <xf numFmtId="0" fontId="1" fillId="0" borderId="0" xfId="0" applyFont="1" applyFill="1" applyAlignment="1">
      <alignment horizontal="left"/>
    </xf>
    <xf numFmtId="0" fontId="27" fillId="0" borderId="0" xfId="0" applyFont="1" applyBorder="1"/>
    <xf numFmtId="0" fontId="25" fillId="0" borderId="0" xfId="0" applyFont="1" applyBorder="1"/>
    <xf numFmtId="0" fontId="27" fillId="0" borderId="0" xfId="0" applyFont="1" applyFill="1" applyBorder="1"/>
    <xf numFmtId="0" fontId="25" fillId="0" borderId="0" xfId="0" applyFont="1" applyFill="1" applyBorder="1"/>
    <xf numFmtId="0" fontId="14" fillId="0" borderId="0" xfId="0" applyFont="1" applyBorder="1" applyAlignment="1"/>
    <xf numFmtId="0" fontId="14" fillId="0" borderId="0" xfId="0" applyFont="1" applyFill="1" applyAlignment="1">
      <alignment horizontal="center"/>
    </xf>
    <xf numFmtId="0" fontId="16" fillId="0" borderId="0" xfId="0" applyFont="1" applyAlignment="1">
      <alignment horizontal="left"/>
    </xf>
    <xf numFmtId="0" fontId="14" fillId="41" borderId="4" xfId="0" applyFont="1" applyFill="1" applyBorder="1"/>
    <xf numFmtId="0" fontId="28" fillId="0" borderId="15" xfId="0" applyFont="1" applyFill="1" applyBorder="1" applyAlignment="1">
      <alignment horizontal="left" wrapText="1"/>
    </xf>
    <xf numFmtId="0" fontId="14" fillId="0" borderId="0" xfId="0" applyFont="1" applyFill="1" applyAlignment="1">
      <alignment horizontal="left"/>
    </xf>
    <xf numFmtId="0" fontId="14" fillId="0" borderId="0" xfId="0" applyFont="1" applyBorder="1"/>
    <xf numFmtId="0" fontId="14" fillId="0" borderId="16" xfId="0" applyFont="1" applyBorder="1"/>
    <xf numFmtId="0" fontId="15" fillId="0" borderId="24" xfId="0" applyFont="1" applyBorder="1" applyAlignment="1">
      <alignment horizontal="center"/>
    </xf>
    <xf numFmtId="0" fontId="15" fillId="0" borderId="23" xfId="0" applyFont="1" applyBorder="1" applyAlignment="1">
      <alignment horizontal="center"/>
    </xf>
    <xf numFmtId="0" fontId="1" fillId="0" borderId="0" xfId="0" applyFont="1" applyFill="1" applyAlignment="1">
      <alignment horizontal="right"/>
    </xf>
    <xf numFmtId="0" fontId="14" fillId="0" borderId="18" xfId="0" applyFont="1" applyBorder="1"/>
    <xf numFmtId="0" fontId="28" fillId="0" borderId="19" xfId="0" applyFont="1" applyFill="1" applyBorder="1" applyAlignment="1">
      <alignment horizontal="right" wrapText="1"/>
    </xf>
    <xf numFmtId="0" fontId="14" fillId="0" borderId="17" xfId="0" applyFont="1" applyFill="1" applyBorder="1" applyAlignment="1">
      <alignment horizontal="right"/>
    </xf>
    <xf numFmtId="0" fontId="14" fillId="0" borderId="10" xfId="0" applyFont="1" applyBorder="1"/>
    <xf numFmtId="0" fontId="14" fillId="0" borderId="20" xfId="0" applyFont="1" applyBorder="1"/>
    <xf numFmtId="0" fontId="14" fillId="0" borderId="21" xfId="0" applyFont="1" applyBorder="1"/>
    <xf numFmtId="0" fontId="14" fillId="0" borderId="1" xfId="0" applyFont="1" applyBorder="1"/>
    <xf numFmtId="0" fontId="14" fillId="0" borderId="22" xfId="0" applyFont="1" applyBorder="1"/>
    <xf numFmtId="0" fontId="14" fillId="0" borderId="0" xfId="0" applyFont="1" applyAlignment="1">
      <alignment horizontal="right" vertical="center"/>
    </xf>
    <xf numFmtId="0" fontId="27" fillId="0" borderId="0" xfId="0" applyFont="1"/>
    <xf numFmtId="0" fontId="25" fillId="0" borderId="0" xfId="0" applyFont="1"/>
    <xf numFmtId="0" fontId="25" fillId="0" borderId="0" xfId="0" applyFont="1" applyFill="1"/>
    <xf numFmtId="0" fontId="14" fillId="0" borderId="0" xfId="0" applyFont="1" applyAlignment="1">
      <alignment horizontal="center"/>
    </xf>
    <xf numFmtId="0" fontId="10" fillId="0" borderId="0" xfId="0" applyFont="1" applyFill="1" applyBorder="1" applyAlignment="1">
      <alignment horizontal="center"/>
    </xf>
  </cellXfs>
  <cellStyles count="365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Normal" xfId="0" builtinId="0"/>
    <cellStyle name="Normal 2" xfId="971" xr:uid="{00000000-0005-0000-0000-0000450E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355600</xdr:colOff>
      <xdr:row>10</xdr:row>
      <xdr:rowOff>131233</xdr:rowOff>
    </xdr:from>
    <xdr:to>
      <xdr:col>1</xdr:col>
      <xdr:colOff>80433</xdr:colOff>
      <xdr:row>16</xdr:row>
      <xdr:rowOff>131233</xdr:rowOff>
    </xdr:to>
    <xdr:sp macro="" textlink="">
      <xdr:nvSpPr>
        <xdr:cNvPr id="5123" name="BalanceButton" hidden="1">
          <a:extLst>
            <a:ext uri="{63B3BB69-23CF-44E3-9099-C40C66FF867C}">
              <a14:compatExt xmlns:a14="http://schemas.microsoft.com/office/drawing/2010/main" spid="_x0000_s5123"/>
            </a:ext>
            <a:ext uri="{FF2B5EF4-FFF2-40B4-BE49-F238E27FC236}">
              <a16:creationId xmlns:a16="http://schemas.microsoft.com/office/drawing/2014/main" id="{00000000-0008-0000-0100-000003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18</xdr:col>
      <xdr:colOff>67734</xdr:colOff>
      <xdr:row>1</xdr:row>
      <xdr:rowOff>101599</xdr:rowOff>
    </xdr:from>
    <xdr:to>
      <xdr:col>20</xdr:col>
      <xdr:colOff>541867</xdr:colOff>
      <xdr:row>11</xdr:row>
      <xdr:rowOff>25399</xdr:rowOff>
    </xdr:to>
    <xdr:pic macro="[0]!Sheet8.BalanceButton_Click">
      <xdr:nvPicPr>
        <xdr:cNvPr id="3" name="Picture 2" descr="129498-simple-red-square-icon-signs-scale-sc2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96" t="14113" r="15319" b="16603"/>
        <a:stretch/>
      </xdr:blipFill>
      <xdr:spPr>
        <a:xfrm>
          <a:off x="16594667" y="253999"/>
          <a:ext cx="1828800" cy="1828800"/>
        </a:xfrm>
        <a:prstGeom prst="rect">
          <a:avLst/>
        </a:prstGeom>
      </xdr:spPr>
    </xdr:pic>
    <xdr:clientData/>
  </xdr:twoCellAnchor>
  <xdr:twoCellAnchor editAs="oneCell">
    <xdr:from>
      <xdr:col>18</xdr:col>
      <xdr:colOff>71966</xdr:colOff>
      <xdr:row>15</xdr:row>
      <xdr:rowOff>63472</xdr:rowOff>
    </xdr:from>
    <xdr:to>
      <xdr:col>20</xdr:col>
      <xdr:colOff>581268</xdr:colOff>
      <xdr:row>24</xdr:row>
      <xdr:rowOff>177772</xdr:rowOff>
    </xdr:to>
    <xdr:pic macro="[0]!WriteEwEResult">
      <xdr:nvPicPr>
        <xdr:cNvPr id="2" name="Picture 1" descr="129217-simple-red-square-icon-natural-wonders-leaves-sc49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65" t="14063" r="15625" b="18229"/>
        <a:stretch/>
      </xdr:blipFill>
      <xdr:spPr>
        <a:xfrm>
          <a:off x="16531166" y="2374872"/>
          <a:ext cx="1855502" cy="1828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584200</xdr:colOff>
      <xdr:row>8</xdr:row>
      <xdr:rowOff>0</xdr:rowOff>
    </xdr:from>
    <xdr:to>
      <xdr:col>11</xdr:col>
      <xdr:colOff>541020</xdr:colOff>
      <xdr:row>12</xdr:row>
      <xdr:rowOff>40640</xdr:rowOff>
    </xdr:to>
    <xdr:sp macro="" textlink="">
      <xdr:nvSpPr>
        <xdr:cNvPr id="19459" name="comEvv" hidden="1">
          <a:extLst>
            <a:ext uri="{63B3BB69-23CF-44E3-9099-C40C66FF867C}">
              <a14:compatExt xmlns:a14="http://schemas.microsoft.com/office/drawing/2010/main" spid="_x0000_s19459"/>
            </a:ext>
            <a:ext uri="{FF2B5EF4-FFF2-40B4-BE49-F238E27FC236}">
              <a16:creationId xmlns:a16="http://schemas.microsoft.com/office/drawing/2014/main" id="{00000000-0008-0000-0B00-000003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9</xdr:col>
      <xdr:colOff>520700</xdr:colOff>
      <xdr:row>1</xdr:row>
      <xdr:rowOff>101600</xdr:rowOff>
    </xdr:from>
    <xdr:to>
      <xdr:col>11</xdr:col>
      <xdr:colOff>477520</xdr:colOff>
      <xdr:row>5</xdr:row>
      <xdr:rowOff>154940</xdr:rowOff>
    </xdr:to>
    <xdr:sp macro="" textlink="">
      <xdr:nvSpPr>
        <xdr:cNvPr id="19460" name="comCexport" hidden="1">
          <a:extLst>
            <a:ext uri="{63B3BB69-23CF-44E3-9099-C40C66FF867C}">
              <a14:compatExt xmlns:a14="http://schemas.microsoft.com/office/drawing/2010/main" spid="_x0000_s19460"/>
            </a:ext>
            <a:ext uri="{FF2B5EF4-FFF2-40B4-BE49-F238E27FC236}">
              <a16:creationId xmlns:a16="http://schemas.microsoft.com/office/drawing/2014/main" id="{00000000-0008-0000-0B00-000004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indexed="8"/>
  </sheetPr>
  <dimension ref="B2:D51"/>
  <sheetViews>
    <sheetView zoomScale="125" zoomScaleNormal="125" zoomScalePageLayoutView="125" workbookViewId="0">
      <selection activeCell="B14" sqref="B14"/>
    </sheetView>
  </sheetViews>
  <sheetFormatPr baseColWidth="10" defaultColWidth="8.83203125" defaultRowHeight="13" x14ac:dyDescent="0.15"/>
  <cols>
    <col min="2" max="2" width="34.83203125" customWidth="1"/>
  </cols>
  <sheetData>
    <row r="2" spans="2:4" x14ac:dyDescent="0.15">
      <c r="B2" t="s">
        <v>147</v>
      </c>
    </row>
    <row r="3" spans="2:4" x14ac:dyDescent="0.15">
      <c r="B3" t="s">
        <v>148</v>
      </c>
    </row>
    <row r="4" spans="2:4" x14ac:dyDescent="0.15">
      <c r="B4" s="56" t="s">
        <v>169</v>
      </c>
    </row>
    <row r="6" spans="2:4" ht="14" thickBot="1" x14ac:dyDescent="0.2">
      <c r="B6" s="43" t="s">
        <v>143</v>
      </c>
    </row>
    <row r="7" spans="2:4" x14ac:dyDescent="0.15">
      <c r="B7" s="56" t="s">
        <v>145</v>
      </c>
    </row>
    <row r="8" spans="2:4" x14ac:dyDescent="0.15">
      <c r="B8" s="56" t="s">
        <v>144</v>
      </c>
    </row>
    <row r="9" spans="2:4" x14ac:dyDescent="0.15">
      <c r="B9" s="56" t="s">
        <v>146</v>
      </c>
    </row>
    <row r="10" spans="2:4" x14ac:dyDescent="0.15">
      <c r="B10" s="56" t="s">
        <v>149</v>
      </c>
    </row>
    <row r="11" spans="2:4" x14ac:dyDescent="0.15">
      <c r="B11" s="56" t="s">
        <v>153</v>
      </c>
    </row>
    <row r="12" spans="2:4" x14ac:dyDescent="0.15">
      <c r="B12" s="56" t="s">
        <v>155</v>
      </c>
    </row>
    <row r="13" spans="2:4" x14ac:dyDescent="0.15">
      <c r="B13" s="56" t="s">
        <v>170</v>
      </c>
    </row>
    <row r="15" spans="2:4" ht="14" thickBot="1" x14ac:dyDescent="0.2"/>
    <row r="16" spans="2:4" ht="14" thickBot="1" x14ac:dyDescent="0.2">
      <c r="B16" s="44" t="s">
        <v>139</v>
      </c>
      <c r="C16" s="45"/>
      <c r="D16" s="27">
        <v>41373</v>
      </c>
    </row>
    <row r="17" spans="2:4" x14ac:dyDescent="0.15">
      <c r="B17" s="46" t="s">
        <v>59</v>
      </c>
      <c r="C17" s="30">
        <v>0</v>
      </c>
    </row>
    <row r="18" spans="2:4" x14ac:dyDescent="0.15">
      <c r="B18" s="46" t="s">
        <v>60</v>
      </c>
      <c r="C18" s="30">
        <v>1</v>
      </c>
    </row>
    <row r="19" spans="2:4" x14ac:dyDescent="0.15">
      <c r="B19" s="46" t="s">
        <v>61</v>
      </c>
      <c r="C19" s="30">
        <v>2</v>
      </c>
    </row>
    <row r="20" spans="2:4" ht="14" thickBot="1" x14ac:dyDescent="0.2">
      <c r="B20" s="47" t="s">
        <v>45</v>
      </c>
      <c r="C20" s="31">
        <v>3</v>
      </c>
    </row>
    <row r="21" spans="2:4" x14ac:dyDescent="0.15">
      <c r="B21" s="48" t="s">
        <v>142</v>
      </c>
    </row>
    <row r="22" spans="2:4" ht="14" thickBot="1" x14ac:dyDescent="0.2"/>
    <row r="23" spans="2:4" ht="14" thickBot="1" x14ac:dyDescent="0.2">
      <c r="B23" s="44" t="s">
        <v>67</v>
      </c>
      <c r="C23" s="45"/>
      <c r="D23" s="27" t="s">
        <v>150</v>
      </c>
    </row>
    <row r="24" spans="2:4" x14ac:dyDescent="0.15">
      <c r="B24" s="49" t="s">
        <v>39</v>
      </c>
      <c r="C24" s="28">
        <v>1</v>
      </c>
    </row>
    <row r="25" spans="2:4" x14ac:dyDescent="0.15">
      <c r="B25" s="46" t="s">
        <v>41</v>
      </c>
      <c r="C25" s="30">
        <v>1.1000000000000001</v>
      </c>
    </row>
    <row r="26" spans="2:4" x14ac:dyDescent="0.15">
      <c r="B26" s="46" t="s">
        <v>42</v>
      </c>
      <c r="C26" s="30">
        <v>1.2</v>
      </c>
    </row>
    <row r="27" spans="2:4" x14ac:dyDescent="0.15">
      <c r="B27" s="46"/>
      <c r="C27" s="30"/>
    </row>
    <row r="28" spans="2:4" x14ac:dyDescent="0.15">
      <c r="B28" s="46" t="s">
        <v>43</v>
      </c>
      <c r="C28" s="30">
        <v>2.1</v>
      </c>
    </row>
    <row r="29" spans="2:4" x14ac:dyDescent="0.15">
      <c r="B29" s="46" t="s">
        <v>44</v>
      </c>
      <c r="C29" s="30">
        <v>2.2000000000000002</v>
      </c>
    </row>
    <row r="30" spans="2:4" x14ac:dyDescent="0.15">
      <c r="B30" s="46" t="s">
        <v>69</v>
      </c>
      <c r="C30" s="30">
        <v>2.2999999999999998</v>
      </c>
    </row>
    <row r="31" spans="2:4" x14ac:dyDescent="0.15">
      <c r="B31" s="46"/>
      <c r="C31" s="30"/>
    </row>
    <row r="32" spans="2:4" x14ac:dyDescent="0.15">
      <c r="B32" s="46" t="s">
        <v>64</v>
      </c>
      <c r="C32" s="30">
        <v>3.11</v>
      </c>
    </row>
    <row r="33" spans="2:3" x14ac:dyDescent="0.15">
      <c r="B33" s="46" t="s">
        <v>63</v>
      </c>
      <c r="C33" s="30">
        <v>3.12</v>
      </c>
    </row>
    <row r="34" spans="2:3" x14ac:dyDescent="0.15">
      <c r="B34" s="46" t="s">
        <v>70</v>
      </c>
      <c r="C34" s="30">
        <v>3.13</v>
      </c>
    </row>
    <row r="35" spans="2:3" x14ac:dyDescent="0.15">
      <c r="B35" s="46"/>
      <c r="C35" s="30"/>
    </row>
    <row r="36" spans="2:3" x14ac:dyDescent="0.15">
      <c r="B36" s="46" t="s">
        <v>68</v>
      </c>
      <c r="C36" s="30">
        <v>3.21</v>
      </c>
    </row>
    <row r="37" spans="2:3" x14ac:dyDescent="0.15">
      <c r="B37" s="46" t="s">
        <v>65</v>
      </c>
      <c r="C37" s="30">
        <v>3.22</v>
      </c>
    </row>
    <row r="38" spans="2:3" x14ac:dyDescent="0.15">
      <c r="B38" s="46" t="s">
        <v>71</v>
      </c>
      <c r="C38" s="30">
        <v>3.23</v>
      </c>
    </row>
    <row r="39" spans="2:3" x14ac:dyDescent="0.15">
      <c r="B39" s="46"/>
      <c r="C39" s="30"/>
    </row>
    <row r="40" spans="2:3" x14ac:dyDescent="0.15">
      <c r="B40" s="46" t="s">
        <v>66</v>
      </c>
      <c r="C40" s="30">
        <v>8</v>
      </c>
    </row>
    <row r="41" spans="2:3" x14ac:dyDescent="0.15">
      <c r="B41" s="46"/>
      <c r="C41" s="30"/>
    </row>
    <row r="42" spans="2:3" x14ac:dyDescent="0.15">
      <c r="B42" s="46" t="s">
        <v>73</v>
      </c>
      <c r="C42" s="30">
        <v>4.0999999999999996</v>
      </c>
    </row>
    <row r="43" spans="2:3" x14ac:dyDescent="0.15">
      <c r="B43" s="46" t="s">
        <v>72</v>
      </c>
      <c r="C43" s="30">
        <v>4.2</v>
      </c>
    </row>
    <row r="44" spans="2:3" x14ac:dyDescent="0.15">
      <c r="B44" s="46" t="s">
        <v>74</v>
      </c>
      <c r="C44" s="30">
        <v>4.3</v>
      </c>
    </row>
    <row r="45" spans="2:3" x14ac:dyDescent="0.15">
      <c r="B45" s="29"/>
      <c r="C45" s="30"/>
    </row>
    <row r="46" spans="2:3" x14ac:dyDescent="0.15">
      <c r="B46" s="46" t="s">
        <v>140</v>
      </c>
      <c r="C46" s="30">
        <v>6.1</v>
      </c>
    </row>
    <row r="47" spans="2:3" x14ac:dyDescent="0.15">
      <c r="B47" s="46" t="s">
        <v>46</v>
      </c>
      <c r="C47" s="30">
        <v>6.2</v>
      </c>
    </row>
    <row r="48" spans="2:3" x14ac:dyDescent="0.15">
      <c r="B48" s="46"/>
      <c r="C48" s="30"/>
    </row>
    <row r="49" spans="2:3" x14ac:dyDescent="0.15">
      <c r="B49" s="46" t="s">
        <v>45</v>
      </c>
      <c r="C49" s="30">
        <v>5</v>
      </c>
    </row>
    <row r="50" spans="2:3" x14ac:dyDescent="0.15">
      <c r="B50" s="46"/>
      <c r="C50" s="30"/>
    </row>
    <row r="51" spans="2:3" ht="14" thickBot="1" x14ac:dyDescent="0.2">
      <c r="B51" s="47" t="s">
        <v>75</v>
      </c>
      <c r="C51" s="31">
        <v>7</v>
      </c>
    </row>
  </sheetData>
  <phoneticPr fontId="3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45"/>
  </sheetPr>
  <dimension ref="A1:X90"/>
  <sheetViews>
    <sheetView workbookViewId="0">
      <selection activeCell="E2" sqref="E2:E52"/>
    </sheetView>
  </sheetViews>
  <sheetFormatPr baseColWidth="10" defaultColWidth="8.83203125" defaultRowHeight="15" customHeight="1" x14ac:dyDescent="0.2"/>
  <cols>
    <col min="1" max="1" width="22.5" style="110" customWidth="1"/>
    <col min="2" max="2" width="7.6640625" style="110" customWidth="1"/>
    <col min="3" max="3" width="8.83203125" style="110"/>
    <col min="4" max="4" width="14.33203125" style="110" customWidth="1"/>
    <col min="5" max="5" width="41.83203125" style="110" bestFit="1" customWidth="1"/>
    <col min="6" max="6" width="9.5" style="110" bestFit="1" customWidth="1"/>
    <col min="7" max="7" width="8.1640625" style="110" bestFit="1" customWidth="1"/>
    <col min="8" max="9" width="8.83203125" style="110"/>
    <col min="10" max="10" width="9.1640625" style="110" bestFit="1" customWidth="1"/>
    <col min="11" max="16384" width="8.83203125" style="110"/>
  </cols>
  <sheetData>
    <row r="1" spans="1:24" s="139" customFormat="1" ht="15" customHeight="1" x14ac:dyDescent="0.2">
      <c r="A1" s="138" t="s">
        <v>19</v>
      </c>
      <c r="C1" s="140" t="s">
        <v>8</v>
      </c>
      <c r="D1" s="138" t="s">
        <v>24</v>
      </c>
      <c r="E1" s="138" t="s">
        <v>0</v>
      </c>
      <c r="F1" s="138" t="s">
        <v>7</v>
      </c>
      <c r="G1" s="141" t="s">
        <v>14</v>
      </c>
      <c r="H1" s="138" t="s">
        <v>1</v>
      </c>
      <c r="I1" s="138" t="s">
        <v>2</v>
      </c>
      <c r="J1" s="138" t="s">
        <v>15</v>
      </c>
      <c r="K1" s="138" t="s">
        <v>3</v>
      </c>
      <c r="L1" s="138" t="s">
        <v>4</v>
      </c>
      <c r="M1" s="138" t="s">
        <v>5</v>
      </c>
      <c r="N1" s="138" t="s">
        <v>6</v>
      </c>
      <c r="O1" s="110"/>
      <c r="P1" s="135" t="s">
        <v>178</v>
      </c>
    </row>
    <row r="2" spans="1:24" ht="15" customHeight="1" x14ac:dyDescent="0.2">
      <c r="C2" s="110">
        <v>1</v>
      </c>
      <c r="E2" s="183" t="s">
        <v>181</v>
      </c>
      <c r="F2" s="172">
        <v>1</v>
      </c>
      <c r="G2" s="184">
        <v>35</v>
      </c>
      <c r="H2" s="184">
        <v>200</v>
      </c>
      <c r="I2" s="185"/>
      <c r="J2" s="172"/>
      <c r="K2" s="185"/>
      <c r="L2" s="172">
        <v>0</v>
      </c>
      <c r="M2" s="182"/>
      <c r="N2" s="172">
        <v>0</v>
      </c>
    </row>
    <row r="3" spans="1:24" ht="15" customHeight="1" x14ac:dyDescent="0.2">
      <c r="A3" s="142" t="s">
        <v>9</v>
      </c>
      <c r="B3" s="109">
        <v>48</v>
      </c>
      <c r="C3" s="110">
        <v>2</v>
      </c>
      <c r="E3" s="183" t="s">
        <v>182</v>
      </c>
      <c r="F3" s="172">
        <v>1</v>
      </c>
      <c r="G3" s="184">
        <v>40</v>
      </c>
      <c r="H3" s="184">
        <v>154.4</v>
      </c>
      <c r="I3" s="185"/>
      <c r="J3" s="172"/>
      <c r="K3" s="185"/>
      <c r="L3" s="172">
        <v>0</v>
      </c>
      <c r="M3" s="182"/>
      <c r="N3" s="172">
        <v>0</v>
      </c>
    </row>
    <row r="4" spans="1:24" ht="15" customHeight="1" x14ac:dyDescent="0.2">
      <c r="A4" s="142" t="s">
        <v>10</v>
      </c>
      <c r="B4" s="109">
        <v>3</v>
      </c>
      <c r="C4" s="110">
        <v>3</v>
      </c>
      <c r="E4" s="183" t="s">
        <v>176</v>
      </c>
      <c r="F4" s="172">
        <v>0</v>
      </c>
      <c r="G4" s="186">
        <v>2.1779999999999999</v>
      </c>
      <c r="H4" s="184">
        <v>482</v>
      </c>
      <c r="I4" s="184">
        <v>1928</v>
      </c>
      <c r="J4" s="172"/>
      <c r="K4" s="184">
        <v>0.25</v>
      </c>
      <c r="L4" s="172">
        <v>0</v>
      </c>
      <c r="M4" s="172">
        <v>0.2</v>
      </c>
      <c r="N4" s="172">
        <v>0</v>
      </c>
      <c r="V4" s="142" t="s">
        <v>30</v>
      </c>
    </row>
    <row r="5" spans="1:24" ht="15" customHeight="1" thickBot="1" x14ac:dyDescent="0.25">
      <c r="A5" s="142" t="s">
        <v>11</v>
      </c>
      <c r="B5" s="109">
        <v>31</v>
      </c>
      <c r="C5" s="110">
        <v>4</v>
      </c>
      <c r="E5" s="183" t="s">
        <v>183</v>
      </c>
      <c r="F5" s="172">
        <v>0</v>
      </c>
      <c r="G5" s="186">
        <v>8.875</v>
      </c>
      <c r="H5" s="184">
        <v>40</v>
      </c>
      <c r="I5" s="184">
        <v>133.333</v>
      </c>
      <c r="J5" s="172"/>
      <c r="K5" s="184">
        <v>0.3</v>
      </c>
      <c r="L5" s="172">
        <v>0</v>
      </c>
      <c r="M5" s="172">
        <v>0.2</v>
      </c>
      <c r="N5" s="172">
        <v>0</v>
      </c>
      <c r="Q5" s="134"/>
      <c r="R5" s="134"/>
    </row>
    <row r="6" spans="1:24" ht="15" customHeight="1" thickBot="1" x14ac:dyDescent="0.25">
      <c r="B6" s="142"/>
      <c r="C6" s="110">
        <v>5</v>
      </c>
      <c r="E6" s="183" t="s">
        <v>184</v>
      </c>
      <c r="F6" s="172">
        <v>0</v>
      </c>
      <c r="G6" s="186">
        <v>13.737</v>
      </c>
      <c r="H6" s="184">
        <v>13</v>
      </c>
      <c r="I6" s="184">
        <v>31.707000000000001</v>
      </c>
      <c r="J6" s="172"/>
      <c r="K6" s="184">
        <v>0.41</v>
      </c>
      <c r="L6" s="172">
        <v>0</v>
      </c>
      <c r="M6" s="172">
        <v>0.2</v>
      </c>
      <c r="N6" s="172">
        <v>0</v>
      </c>
      <c r="Q6" s="134"/>
      <c r="R6" s="134"/>
      <c r="W6" s="143" t="s">
        <v>32</v>
      </c>
      <c r="X6" s="144">
        <f>MAX(MainOutputs!G:G)</f>
        <v>65535</v>
      </c>
    </row>
    <row r="7" spans="1:24" ht="15" customHeight="1" x14ac:dyDescent="0.2">
      <c r="A7" s="145" t="s">
        <v>28</v>
      </c>
      <c r="B7" s="110">
        <f ca="1">COUNTIF(OFFSET(cornerDiets,1,1,NumLiving+NumDead+1,NumLiving+NumDead),"&gt;0")+NumLiving+NumDead+1</f>
        <v>444</v>
      </c>
      <c r="C7" s="110">
        <v>6</v>
      </c>
      <c r="E7" s="183" t="s">
        <v>185</v>
      </c>
      <c r="F7" s="172">
        <v>0</v>
      </c>
      <c r="G7" s="184">
        <v>4.5449999999999999</v>
      </c>
      <c r="H7" s="184">
        <v>0.58399999999999996</v>
      </c>
      <c r="I7" s="184">
        <v>1.669</v>
      </c>
      <c r="J7" s="172"/>
      <c r="K7" s="184">
        <v>0.35</v>
      </c>
      <c r="L7" s="172">
        <v>0</v>
      </c>
      <c r="M7" s="172">
        <v>0.2</v>
      </c>
      <c r="N7" s="172">
        <v>0</v>
      </c>
      <c r="Q7" s="134"/>
      <c r="R7" s="134"/>
    </row>
    <row r="8" spans="1:24" ht="15" customHeight="1" x14ac:dyDescent="0.2">
      <c r="A8" s="145" t="s">
        <v>29</v>
      </c>
      <c r="B8" s="110">
        <f ca="1">COUNTIF(OFFSET(cornerFishing,1,2,NumLiving+NumDead,NumGears),"&gt;0")+NumDead*COUNTIF(OFFSET(cornerDiscards,1,2,NumLiving+NumDead,NumGears),"&gt;0")+NumLiving+NumDead+1</f>
        <v>111</v>
      </c>
      <c r="C8" s="110">
        <v>7</v>
      </c>
      <c r="E8" s="183" t="s">
        <v>186</v>
      </c>
      <c r="F8" s="172">
        <v>0</v>
      </c>
      <c r="G8" s="184">
        <v>4.5350000000000001</v>
      </c>
      <c r="H8" s="187">
        <v>1.2</v>
      </c>
      <c r="I8" s="184">
        <v>19.042000000000002</v>
      </c>
      <c r="J8" s="171"/>
      <c r="K8" s="184">
        <v>6.3E-2</v>
      </c>
      <c r="L8" s="171">
        <v>0</v>
      </c>
      <c r="M8" s="171">
        <v>0.2</v>
      </c>
      <c r="N8" s="171">
        <v>0</v>
      </c>
      <c r="P8" s="153" t="s">
        <v>188</v>
      </c>
      <c r="Q8" s="134"/>
      <c r="R8" s="134"/>
    </row>
    <row r="9" spans="1:24" ht="15" customHeight="1" x14ac:dyDescent="0.2">
      <c r="B9" s="142"/>
      <c r="C9" s="110">
        <v>8</v>
      </c>
      <c r="E9" s="183" t="s">
        <v>187</v>
      </c>
      <c r="F9" s="172">
        <v>0</v>
      </c>
      <c r="G9" s="184">
        <v>7.0629999999999997</v>
      </c>
      <c r="H9" s="187">
        <v>1.2</v>
      </c>
      <c r="I9" s="184">
        <v>14.4</v>
      </c>
      <c r="J9" s="171"/>
      <c r="K9" s="184">
        <v>8.3000000000000004E-2</v>
      </c>
      <c r="L9" s="171">
        <v>0</v>
      </c>
      <c r="M9" s="171">
        <v>0.2</v>
      </c>
      <c r="N9" s="171">
        <v>0</v>
      </c>
      <c r="P9" s="153" t="s">
        <v>188</v>
      </c>
      <c r="Q9" s="134"/>
      <c r="R9" s="134"/>
    </row>
    <row r="10" spans="1:24" ht="15" customHeight="1" x14ac:dyDescent="0.2">
      <c r="B10" s="142"/>
      <c r="C10" s="110">
        <v>9</v>
      </c>
      <c r="E10" s="183" t="s">
        <v>189</v>
      </c>
      <c r="F10" s="172">
        <v>0</v>
      </c>
      <c r="G10" s="184">
        <v>0.22800000000000001</v>
      </c>
      <c r="H10" s="187">
        <v>1.4</v>
      </c>
      <c r="I10" s="184">
        <v>21.818999999999999</v>
      </c>
      <c r="J10" s="171"/>
      <c r="K10" s="184">
        <v>6.4000000000000001E-2</v>
      </c>
      <c r="L10" s="171">
        <v>0</v>
      </c>
      <c r="M10" s="171">
        <v>0.2</v>
      </c>
      <c r="N10" s="171">
        <v>0</v>
      </c>
      <c r="P10" s="153" t="s">
        <v>188</v>
      </c>
    </row>
    <row r="11" spans="1:24" ht="15" customHeight="1" x14ac:dyDescent="0.2">
      <c r="C11" s="110">
        <v>10</v>
      </c>
      <c r="E11" s="183" t="s">
        <v>190</v>
      </c>
      <c r="F11" s="172">
        <v>0</v>
      </c>
      <c r="G11" s="184">
        <v>0.6</v>
      </c>
      <c r="H11" s="187">
        <v>1.2</v>
      </c>
      <c r="I11" s="184">
        <v>12.371</v>
      </c>
      <c r="J11" s="171"/>
      <c r="K11" s="184">
        <v>9.7000000000000003E-2</v>
      </c>
      <c r="L11" s="171">
        <v>0</v>
      </c>
      <c r="M11" s="171">
        <v>0.2</v>
      </c>
      <c r="N11" s="171">
        <v>0</v>
      </c>
      <c r="P11" s="153" t="s">
        <v>188</v>
      </c>
    </row>
    <row r="12" spans="1:24" ht="15" customHeight="1" x14ac:dyDescent="0.2">
      <c r="C12" s="110">
        <v>11</v>
      </c>
      <c r="E12" s="183" t="s">
        <v>191</v>
      </c>
      <c r="F12" s="172">
        <v>0</v>
      </c>
      <c r="G12" s="184">
        <v>5.5549999999999997</v>
      </c>
      <c r="H12" s="184">
        <v>1.3</v>
      </c>
      <c r="I12" s="184">
        <v>13</v>
      </c>
      <c r="J12" s="171"/>
      <c r="K12" s="184">
        <v>0.1</v>
      </c>
      <c r="L12" s="171">
        <v>0</v>
      </c>
      <c r="M12" s="171">
        <v>0.2</v>
      </c>
      <c r="N12" s="171">
        <v>0</v>
      </c>
    </row>
    <row r="13" spans="1:24" ht="15" customHeight="1" x14ac:dyDescent="0.2">
      <c r="C13" s="110">
        <v>12</v>
      </c>
      <c r="E13" s="183" t="s">
        <v>192</v>
      </c>
      <c r="F13" s="172">
        <v>0</v>
      </c>
      <c r="G13" s="186">
        <v>0.49299999999999999</v>
      </c>
      <c r="H13" s="184">
        <v>1</v>
      </c>
      <c r="I13" s="184">
        <v>10</v>
      </c>
      <c r="J13" s="171"/>
      <c r="K13" s="184">
        <v>0.1</v>
      </c>
      <c r="L13" s="172">
        <v>0</v>
      </c>
      <c r="M13" s="172">
        <v>0.2</v>
      </c>
      <c r="N13" s="172">
        <v>0</v>
      </c>
    </row>
    <row r="14" spans="1:24" ht="15" customHeight="1" x14ac:dyDescent="0.2">
      <c r="C14" s="110">
        <v>13</v>
      </c>
      <c r="E14" s="183" t="s">
        <v>193</v>
      </c>
      <c r="F14" s="172">
        <v>0</v>
      </c>
      <c r="G14" s="184">
        <v>0.93700000000000006</v>
      </c>
      <c r="H14" s="187">
        <v>1.2</v>
      </c>
      <c r="I14" s="184">
        <v>19.076000000000001</v>
      </c>
      <c r="J14" s="172"/>
      <c r="K14" s="184">
        <v>6.3E-2</v>
      </c>
      <c r="L14" s="172">
        <v>0</v>
      </c>
      <c r="M14" s="172">
        <v>0.2</v>
      </c>
      <c r="N14" s="172">
        <v>0</v>
      </c>
      <c r="P14" s="153" t="s">
        <v>188</v>
      </c>
    </row>
    <row r="15" spans="1:24" ht="15" customHeight="1" x14ac:dyDescent="0.2">
      <c r="C15" s="110">
        <v>14</v>
      </c>
      <c r="E15" s="183" t="s">
        <v>194</v>
      </c>
      <c r="F15" s="172">
        <v>0</v>
      </c>
      <c r="G15" s="184">
        <v>1.6180000000000001</v>
      </c>
      <c r="H15" s="187">
        <v>1</v>
      </c>
      <c r="I15" s="184">
        <v>10</v>
      </c>
      <c r="J15" s="172"/>
      <c r="K15" s="184">
        <v>0.1</v>
      </c>
      <c r="L15" s="172">
        <v>0</v>
      </c>
      <c r="M15" s="172">
        <v>0.2</v>
      </c>
      <c r="N15" s="172">
        <v>0</v>
      </c>
      <c r="P15" s="153" t="s">
        <v>188</v>
      </c>
    </row>
    <row r="16" spans="1:24" ht="15" customHeight="1" x14ac:dyDescent="0.2">
      <c r="C16" s="110">
        <v>15</v>
      </c>
      <c r="E16" s="183" t="s">
        <v>195</v>
      </c>
      <c r="F16" s="172">
        <v>0</v>
      </c>
      <c r="G16" s="184">
        <v>0.28399999999999997</v>
      </c>
      <c r="H16" s="184">
        <v>0.8</v>
      </c>
      <c r="I16" s="184">
        <v>8</v>
      </c>
      <c r="J16" s="172"/>
      <c r="K16" s="184">
        <v>0.1</v>
      </c>
      <c r="L16" s="172">
        <v>0</v>
      </c>
      <c r="M16" s="172">
        <v>0.2</v>
      </c>
      <c r="N16" s="172">
        <v>0</v>
      </c>
    </row>
    <row r="17" spans="1:22" ht="15" customHeight="1" x14ac:dyDescent="0.2">
      <c r="C17" s="110">
        <v>16</v>
      </c>
      <c r="E17" s="183" t="s">
        <v>196</v>
      </c>
      <c r="F17" s="172">
        <v>0</v>
      </c>
      <c r="G17" s="186">
        <v>4.4329999999999998</v>
      </c>
      <c r="H17" s="184">
        <v>1.2</v>
      </c>
      <c r="I17" s="184">
        <v>12</v>
      </c>
      <c r="J17" s="172"/>
      <c r="K17" s="184">
        <v>0.1</v>
      </c>
      <c r="L17" s="172">
        <v>0</v>
      </c>
      <c r="M17" s="172">
        <v>0.2</v>
      </c>
      <c r="N17" s="172">
        <v>0</v>
      </c>
      <c r="V17" s="142" t="s">
        <v>31</v>
      </c>
    </row>
    <row r="18" spans="1:22" ht="15" customHeight="1" x14ac:dyDescent="0.2">
      <c r="C18" s="110">
        <v>17</v>
      </c>
      <c r="E18" s="183" t="s">
        <v>197</v>
      </c>
      <c r="F18" s="172">
        <v>0</v>
      </c>
      <c r="G18" s="186">
        <v>4.3920000000000003</v>
      </c>
      <c r="H18" s="184">
        <v>1.2</v>
      </c>
      <c r="I18" s="184">
        <v>12</v>
      </c>
      <c r="J18" s="172"/>
      <c r="K18" s="184">
        <v>0.1</v>
      </c>
      <c r="L18" s="172">
        <v>0</v>
      </c>
      <c r="M18" s="172">
        <v>0.2</v>
      </c>
      <c r="N18" s="172">
        <v>0</v>
      </c>
      <c r="V18" s="142"/>
    </row>
    <row r="19" spans="1:22" ht="15" customHeight="1" x14ac:dyDescent="0.2">
      <c r="C19" s="110">
        <v>18</v>
      </c>
      <c r="E19" s="183" t="s">
        <v>198</v>
      </c>
      <c r="F19" s="172">
        <v>0</v>
      </c>
      <c r="G19" s="186">
        <v>0.19800000000000001</v>
      </c>
      <c r="H19" s="184">
        <v>0.5</v>
      </c>
      <c r="I19" s="184">
        <v>5</v>
      </c>
      <c r="J19" s="172"/>
      <c r="K19" s="184">
        <v>0.1</v>
      </c>
      <c r="L19" s="172">
        <v>0</v>
      </c>
      <c r="M19" s="172">
        <v>0.2</v>
      </c>
      <c r="N19" s="172">
        <v>0</v>
      </c>
    </row>
    <row r="20" spans="1:22" ht="15" customHeight="1" thickBot="1" x14ac:dyDescent="0.25">
      <c r="C20" s="110">
        <v>19</v>
      </c>
      <c r="E20" s="183" t="s">
        <v>199</v>
      </c>
      <c r="F20" s="172">
        <v>0</v>
      </c>
      <c r="G20" s="186">
        <v>2.9000000000000001E-2</v>
      </c>
      <c r="H20" s="184">
        <v>0.47</v>
      </c>
      <c r="I20" s="186">
        <v>9.4</v>
      </c>
      <c r="J20" s="172"/>
      <c r="K20" s="184">
        <v>0.05</v>
      </c>
      <c r="L20" s="172">
        <v>0</v>
      </c>
      <c r="M20" s="172">
        <v>0.2</v>
      </c>
      <c r="N20" s="172">
        <v>0</v>
      </c>
    </row>
    <row r="21" spans="1:22" ht="15" customHeight="1" thickBot="1" x14ac:dyDescent="0.25">
      <c r="A21" s="146" t="s">
        <v>139</v>
      </c>
      <c r="B21" s="147"/>
      <c r="C21" s="110">
        <v>20</v>
      </c>
      <c r="E21" s="183" t="s">
        <v>200</v>
      </c>
      <c r="F21" s="172">
        <v>0</v>
      </c>
      <c r="G21" s="186">
        <v>1.2E-2</v>
      </c>
      <c r="H21" s="184">
        <v>0.5</v>
      </c>
      <c r="I21" s="186">
        <v>5</v>
      </c>
      <c r="J21" s="172"/>
      <c r="K21" s="184">
        <v>0.1</v>
      </c>
      <c r="L21" s="172">
        <v>0</v>
      </c>
      <c r="M21" s="172">
        <v>0.2</v>
      </c>
      <c r="N21" s="172">
        <v>0</v>
      </c>
    </row>
    <row r="22" spans="1:22" ht="15" customHeight="1" x14ac:dyDescent="0.2">
      <c r="A22" s="148" t="s">
        <v>59</v>
      </c>
      <c r="B22" s="149">
        <v>0</v>
      </c>
      <c r="C22" s="110">
        <v>21</v>
      </c>
      <c r="E22" s="183" t="s">
        <v>201</v>
      </c>
      <c r="F22" s="172">
        <v>0</v>
      </c>
      <c r="G22" s="186">
        <v>2.7E-2</v>
      </c>
      <c r="H22" s="184">
        <v>0.5</v>
      </c>
      <c r="I22" s="186">
        <v>5</v>
      </c>
      <c r="J22" s="172"/>
      <c r="K22" s="184">
        <v>0.1</v>
      </c>
      <c r="L22" s="172">
        <v>0</v>
      </c>
      <c r="M22" s="172">
        <v>0.2</v>
      </c>
      <c r="N22" s="172">
        <v>0</v>
      </c>
    </row>
    <row r="23" spans="1:22" ht="15" customHeight="1" x14ac:dyDescent="0.2">
      <c r="A23" s="148" t="s">
        <v>60</v>
      </c>
      <c r="B23" s="149">
        <v>1</v>
      </c>
      <c r="C23" s="110">
        <v>22</v>
      </c>
      <c r="E23" s="183" t="s">
        <v>202</v>
      </c>
      <c r="F23" s="172">
        <v>0</v>
      </c>
      <c r="G23" s="186">
        <v>2.1000000000000001E-2</v>
      </c>
      <c r="H23" s="184">
        <v>0.5</v>
      </c>
      <c r="I23" s="186">
        <v>5</v>
      </c>
      <c r="J23" s="172"/>
      <c r="K23" s="184">
        <v>0.1</v>
      </c>
      <c r="L23" s="172">
        <v>0</v>
      </c>
      <c r="M23" s="172">
        <v>0.2</v>
      </c>
      <c r="N23" s="172">
        <v>0</v>
      </c>
    </row>
    <row r="24" spans="1:22" ht="15" customHeight="1" x14ac:dyDescent="0.2">
      <c r="A24" s="148" t="s">
        <v>61</v>
      </c>
      <c r="B24" s="149">
        <v>2</v>
      </c>
      <c r="C24" s="110">
        <v>23</v>
      </c>
      <c r="E24" s="183" t="s">
        <v>203</v>
      </c>
      <c r="F24" s="172">
        <v>0</v>
      </c>
      <c r="G24" s="186">
        <v>3.3000000000000002E-2</v>
      </c>
      <c r="H24" s="184">
        <v>0.5</v>
      </c>
      <c r="I24" s="186">
        <v>5</v>
      </c>
      <c r="J24" s="172"/>
      <c r="K24" s="184">
        <v>0.1</v>
      </c>
      <c r="L24" s="172">
        <v>0</v>
      </c>
      <c r="M24" s="172">
        <v>0.2</v>
      </c>
      <c r="N24" s="172">
        <v>0</v>
      </c>
    </row>
    <row r="25" spans="1:22" ht="15" customHeight="1" thickBot="1" x14ac:dyDescent="0.25">
      <c r="A25" s="150" t="s">
        <v>45</v>
      </c>
      <c r="B25" s="151">
        <v>3</v>
      </c>
      <c r="C25" s="110">
        <v>24</v>
      </c>
      <c r="E25" s="183" t="s">
        <v>204</v>
      </c>
      <c r="F25" s="172">
        <v>0</v>
      </c>
      <c r="G25" s="186">
        <v>1.9E-2</v>
      </c>
      <c r="H25" s="184">
        <v>0.5</v>
      </c>
      <c r="I25" s="186">
        <v>5</v>
      </c>
      <c r="J25" s="172"/>
      <c r="K25" s="184">
        <v>0.1</v>
      </c>
      <c r="L25" s="172">
        <v>0</v>
      </c>
      <c r="M25" s="172">
        <v>0.2</v>
      </c>
      <c r="N25" s="172">
        <v>0</v>
      </c>
    </row>
    <row r="26" spans="1:22" ht="15" customHeight="1" x14ac:dyDescent="0.2">
      <c r="A26" s="152" t="s">
        <v>142</v>
      </c>
      <c r="C26" s="110">
        <v>25</v>
      </c>
      <c r="E26" s="183" t="s">
        <v>205</v>
      </c>
      <c r="F26" s="172">
        <v>0</v>
      </c>
      <c r="G26" s="186">
        <v>6.3E-2</v>
      </c>
      <c r="H26" s="184">
        <v>0.5</v>
      </c>
      <c r="I26" s="184">
        <v>5</v>
      </c>
      <c r="J26" s="172"/>
      <c r="K26" s="184">
        <v>0.1</v>
      </c>
      <c r="L26" s="172">
        <v>0</v>
      </c>
      <c r="M26" s="172">
        <v>0.2</v>
      </c>
      <c r="N26" s="172">
        <v>0</v>
      </c>
    </row>
    <row r="27" spans="1:22" ht="15" customHeight="1" x14ac:dyDescent="0.2">
      <c r="C27" s="110">
        <v>26</v>
      </c>
      <c r="E27" s="183" t="s">
        <v>206</v>
      </c>
      <c r="F27" s="172">
        <v>0</v>
      </c>
      <c r="G27" s="184">
        <v>0.45500000000000002</v>
      </c>
      <c r="H27" s="184">
        <v>3.5</v>
      </c>
      <c r="I27" s="186">
        <v>10</v>
      </c>
      <c r="J27" s="172"/>
      <c r="K27" s="184">
        <v>0.35</v>
      </c>
      <c r="L27" s="172">
        <v>0</v>
      </c>
      <c r="M27" s="172">
        <v>0.2</v>
      </c>
      <c r="N27" s="172">
        <v>0</v>
      </c>
    </row>
    <row r="28" spans="1:22" ht="15" customHeight="1" x14ac:dyDescent="0.2">
      <c r="C28" s="110">
        <v>27</v>
      </c>
      <c r="E28" s="183" t="s">
        <v>207</v>
      </c>
      <c r="F28" s="172">
        <v>0</v>
      </c>
      <c r="G28" s="184">
        <v>0.9</v>
      </c>
      <c r="H28" s="184">
        <v>3.5</v>
      </c>
      <c r="I28" s="186">
        <v>10</v>
      </c>
      <c r="J28" s="172"/>
      <c r="K28" s="184">
        <v>0.35</v>
      </c>
      <c r="L28" s="172">
        <v>0</v>
      </c>
      <c r="M28" s="172">
        <v>0.2</v>
      </c>
      <c r="N28" s="172">
        <v>0</v>
      </c>
    </row>
    <row r="29" spans="1:22" ht="15" customHeight="1" x14ac:dyDescent="0.2">
      <c r="C29" s="110">
        <v>28</v>
      </c>
      <c r="E29" s="183" t="s">
        <v>257</v>
      </c>
      <c r="F29" s="172">
        <v>0</v>
      </c>
      <c r="G29" s="184">
        <v>1.0760000000000001</v>
      </c>
      <c r="H29" s="187">
        <v>2</v>
      </c>
      <c r="I29" s="184">
        <v>15.007999999999999</v>
      </c>
      <c r="J29" s="172"/>
      <c r="K29" s="184">
        <v>0.13300000000000001</v>
      </c>
      <c r="L29" s="172">
        <v>0</v>
      </c>
      <c r="M29" s="172">
        <v>0.2</v>
      </c>
      <c r="N29" s="172">
        <v>0</v>
      </c>
      <c r="P29" s="153" t="s">
        <v>188</v>
      </c>
    </row>
    <row r="30" spans="1:22" ht="15" customHeight="1" x14ac:dyDescent="0.2">
      <c r="C30" s="110">
        <v>29</v>
      </c>
      <c r="E30" s="183" t="s">
        <v>258</v>
      </c>
      <c r="F30" s="172">
        <v>0</v>
      </c>
      <c r="G30" s="184">
        <v>0.82299999999999995</v>
      </c>
      <c r="H30" s="187">
        <v>0.8</v>
      </c>
      <c r="I30" s="184">
        <v>4.4000000000000004</v>
      </c>
      <c r="J30" s="172"/>
      <c r="K30" s="184">
        <v>0.182</v>
      </c>
      <c r="L30" s="172">
        <v>0</v>
      </c>
      <c r="M30" s="172">
        <v>0.2</v>
      </c>
      <c r="N30" s="172">
        <v>0</v>
      </c>
      <c r="P30" s="153" t="s">
        <v>188</v>
      </c>
    </row>
    <row r="31" spans="1:22" ht="15" customHeight="1" x14ac:dyDescent="0.2">
      <c r="C31" s="110">
        <v>30</v>
      </c>
      <c r="E31" s="183" t="s">
        <v>259</v>
      </c>
      <c r="F31" s="172">
        <v>0</v>
      </c>
      <c r="G31" s="184">
        <v>1.2929999999999999</v>
      </c>
      <c r="H31" s="187">
        <v>2</v>
      </c>
      <c r="I31" s="184">
        <v>16.03</v>
      </c>
      <c r="J31" s="172"/>
      <c r="K31" s="184">
        <v>0.125</v>
      </c>
      <c r="L31" s="172">
        <v>0</v>
      </c>
      <c r="M31" s="172">
        <v>0.2</v>
      </c>
      <c r="N31" s="172">
        <v>0</v>
      </c>
      <c r="P31" s="153" t="s">
        <v>188</v>
      </c>
    </row>
    <row r="32" spans="1:22" ht="15" customHeight="1" x14ac:dyDescent="0.2">
      <c r="C32" s="110">
        <v>31</v>
      </c>
      <c r="E32" s="183" t="s">
        <v>260</v>
      </c>
      <c r="F32" s="172">
        <v>0</v>
      </c>
      <c r="G32" s="184">
        <v>0.98899999999999999</v>
      </c>
      <c r="H32" s="187">
        <v>0.8</v>
      </c>
      <c r="I32" s="184">
        <v>4.7</v>
      </c>
      <c r="J32" s="172"/>
      <c r="K32" s="184">
        <v>0.17</v>
      </c>
      <c r="L32" s="172">
        <v>0</v>
      </c>
      <c r="M32" s="172">
        <v>0.2</v>
      </c>
      <c r="N32" s="172">
        <v>0</v>
      </c>
      <c r="P32" s="153" t="s">
        <v>188</v>
      </c>
    </row>
    <row r="33" spans="3:14" ht="15" customHeight="1" x14ac:dyDescent="0.2">
      <c r="C33" s="110">
        <v>32</v>
      </c>
      <c r="E33" s="183" t="s">
        <v>208</v>
      </c>
      <c r="F33" s="172">
        <v>0</v>
      </c>
      <c r="G33" s="186">
        <v>1.9119999999999999</v>
      </c>
      <c r="H33" s="184">
        <v>0.7</v>
      </c>
      <c r="I33" s="184">
        <v>3.5</v>
      </c>
      <c r="J33" s="172"/>
      <c r="K33" s="184">
        <v>0.2</v>
      </c>
      <c r="L33" s="172">
        <v>0</v>
      </c>
      <c r="M33" s="172">
        <v>0.2</v>
      </c>
      <c r="N33" s="172">
        <v>0</v>
      </c>
    </row>
    <row r="34" spans="3:14" ht="15" customHeight="1" x14ac:dyDescent="0.2">
      <c r="C34" s="110">
        <v>33</v>
      </c>
      <c r="E34" s="183" t="s">
        <v>209</v>
      </c>
      <c r="F34" s="172">
        <v>0</v>
      </c>
      <c r="G34" s="186">
        <v>4.4640000000000004</v>
      </c>
      <c r="H34" s="184">
        <v>0.7</v>
      </c>
      <c r="I34" s="184">
        <v>3.5</v>
      </c>
      <c r="J34" s="172"/>
      <c r="K34" s="184">
        <v>0.2</v>
      </c>
      <c r="L34" s="172">
        <v>0</v>
      </c>
      <c r="M34" s="172">
        <v>0.2</v>
      </c>
      <c r="N34" s="172">
        <v>0</v>
      </c>
    </row>
    <row r="35" spans="3:14" ht="15" customHeight="1" x14ac:dyDescent="0.2">
      <c r="C35" s="110">
        <v>34</v>
      </c>
      <c r="E35" s="183" t="s">
        <v>210</v>
      </c>
      <c r="F35" s="172">
        <v>0</v>
      </c>
      <c r="G35" s="186">
        <v>6.0000000000000001E-3</v>
      </c>
      <c r="H35" s="184">
        <v>0.7</v>
      </c>
      <c r="I35" s="184">
        <v>3.5</v>
      </c>
      <c r="J35" s="172"/>
      <c r="K35" s="184">
        <v>0.2</v>
      </c>
      <c r="L35" s="172">
        <v>0</v>
      </c>
      <c r="M35" s="172">
        <v>0.2</v>
      </c>
      <c r="N35" s="172">
        <v>0</v>
      </c>
    </row>
    <row r="36" spans="3:14" ht="15" customHeight="1" x14ac:dyDescent="0.2">
      <c r="C36" s="110">
        <v>35</v>
      </c>
      <c r="E36" s="183" t="s">
        <v>211</v>
      </c>
      <c r="F36" s="172">
        <v>0</v>
      </c>
      <c r="G36" s="184">
        <v>0.58199999999999996</v>
      </c>
      <c r="H36" s="184">
        <v>0.5</v>
      </c>
      <c r="I36" s="184">
        <v>4.5449999999999999</v>
      </c>
      <c r="J36" s="172"/>
      <c r="K36" s="184">
        <v>0.11</v>
      </c>
      <c r="L36" s="172">
        <v>0</v>
      </c>
      <c r="M36" s="172">
        <v>0.2</v>
      </c>
      <c r="N36" s="172">
        <v>0</v>
      </c>
    </row>
    <row r="37" spans="3:14" ht="15" customHeight="1" x14ac:dyDescent="0.2">
      <c r="C37" s="110">
        <v>36</v>
      </c>
      <c r="E37" s="183" t="s">
        <v>212</v>
      </c>
      <c r="F37" s="172">
        <v>0</v>
      </c>
      <c r="G37" s="184">
        <v>0.873</v>
      </c>
      <c r="H37" s="184">
        <v>1</v>
      </c>
      <c r="I37" s="184">
        <v>10</v>
      </c>
      <c r="J37" s="172"/>
      <c r="K37" s="184">
        <v>0.1</v>
      </c>
      <c r="L37" s="172">
        <v>0</v>
      </c>
      <c r="M37" s="172">
        <v>0.2</v>
      </c>
      <c r="N37" s="172">
        <v>0</v>
      </c>
    </row>
    <row r="38" spans="3:14" ht="15" customHeight="1" x14ac:dyDescent="0.2">
      <c r="C38" s="110">
        <v>37</v>
      </c>
      <c r="E38" s="183" t="s">
        <v>213</v>
      </c>
      <c r="F38" s="172">
        <v>0</v>
      </c>
      <c r="G38" s="184">
        <v>4.4999999999999998E-2</v>
      </c>
      <c r="H38" s="184">
        <v>0.5</v>
      </c>
      <c r="I38" s="184">
        <v>5</v>
      </c>
      <c r="J38" s="172"/>
      <c r="K38" s="184">
        <v>0.1</v>
      </c>
      <c r="L38" s="172">
        <v>0</v>
      </c>
      <c r="M38" s="172">
        <v>0.2</v>
      </c>
      <c r="N38" s="172">
        <v>0</v>
      </c>
    </row>
    <row r="39" spans="3:14" ht="15" customHeight="1" x14ac:dyDescent="0.2">
      <c r="C39" s="110">
        <v>38</v>
      </c>
      <c r="E39" s="183" t="s">
        <v>214</v>
      </c>
      <c r="F39" s="172">
        <v>0</v>
      </c>
      <c r="G39" s="184">
        <v>0.13300000000000001</v>
      </c>
      <c r="H39" s="184">
        <v>0.25</v>
      </c>
      <c r="I39" s="184">
        <v>19.306000000000001</v>
      </c>
      <c r="J39" s="172"/>
      <c r="K39" s="184">
        <v>1.2999999999999999E-2</v>
      </c>
      <c r="L39" s="172">
        <v>0</v>
      </c>
      <c r="M39" s="172">
        <v>0.2</v>
      </c>
      <c r="N39" s="172">
        <v>0</v>
      </c>
    </row>
    <row r="40" spans="3:14" ht="15" customHeight="1" x14ac:dyDescent="0.2">
      <c r="C40" s="110">
        <v>39</v>
      </c>
      <c r="E40" s="183" t="s">
        <v>215</v>
      </c>
      <c r="F40" s="172">
        <v>0</v>
      </c>
      <c r="G40" s="186">
        <v>8.3000000000000004E-2</v>
      </c>
      <c r="H40" s="184">
        <v>0.15</v>
      </c>
      <c r="I40" s="184">
        <v>10</v>
      </c>
      <c r="J40" s="172"/>
      <c r="K40" s="184">
        <v>1.4999999999999999E-2</v>
      </c>
      <c r="L40" s="172">
        <v>0</v>
      </c>
      <c r="M40" s="172">
        <v>0.2</v>
      </c>
      <c r="N40" s="172">
        <v>0</v>
      </c>
    </row>
    <row r="41" spans="3:14" ht="15" customHeight="1" x14ac:dyDescent="0.2">
      <c r="C41" s="110">
        <v>40</v>
      </c>
      <c r="E41" s="183" t="s">
        <v>216</v>
      </c>
      <c r="F41" s="172">
        <v>0</v>
      </c>
      <c r="G41" s="184">
        <v>2E-3</v>
      </c>
      <c r="H41" s="184">
        <v>0.20100000000000001</v>
      </c>
      <c r="I41" s="184">
        <v>96.98</v>
      </c>
      <c r="J41" s="172"/>
      <c r="K41" s="184">
        <v>2E-3</v>
      </c>
      <c r="L41" s="172">
        <v>0</v>
      </c>
      <c r="M41" s="172">
        <v>0.2</v>
      </c>
      <c r="N41" s="172">
        <v>0</v>
      </c>
    </row>
    <row r="42" spans="3:14" ht="15" customHeight="1" x14ac:dyDescent="0.2">
      <c r="C42" s="110">
        <v>41</v>
      </c>
      <c r="E42" s="183" t="s">
        <v>217</v>
      </c>
      <c r="F42" s="172">
        <v>0</v>
      </c>
      <c r="G42" s="184">
        <v>2E-3</v>
      </c>
      <c r="H42" s="184">
        <v>0.19900000000000001</v>
      </c>
      <c r="I42" s="184">
        <v>99.917000000000002</v>
      </c>
      <c r="J42" s="172"/>
      <c r="K42" s="184">
        <v>2E-3</v>
      </c>
      <c r="L42" s="172">
        <v>0</v>
      </c>
      <c r="M42" s="172">
        <v>0.2</v>
      </c>
      <c r="N42" s="172">
        <v>0</v>
      </c>
    </row>
    <row r="43" spans="3:14" ht="15" customHeight="1" x14ac:dyDescent="0.2">
      <c r="C43" s="110">
        <v>42</v>
      </c>
      <c r="E43" s="183" t="s">
        <v>218</v>
      </c>
      <c r="F43" s="172">
        <v>0</v>
      </c>
      <c r="G43" s="184">
        <v>3.0000000000000001E-3</v>
      </c>
      <c r="H43" s="184">
        <v>0.19900000000000001</v>
      </c>
      <c r="I43" s="184">
        <v>125.274</v>
      </c>
      <c r="J43" s="172"/>
      <c r="K43" s="184">
        <v>2E-3</v>
      </c>
      <c r="L43" s="172">
        <v>0</v>
      </c>
      <c r="M43" s="172">
        <v>0.2</v>
      </c>
      <c r="N43" s="172">
        <v>0</v>
      </c>
    </row>
    <row r="44" spans="3:14" ht="15" customHeight="1" x14ac:dyDescent="0.2">
      <c r="C44" s="110">
        <v>43</v>
      </c>
      <c r="E44" s="183" t="s">
        <v>219</v>
      </c>
      <c r="F44" s="172">
        <v>0</v>
      </c>
      <c r="G44" s="184">
        <v>5.2999999999999999E-2</v>
      </c>
      <c r="H44" s="184">
        <v>0.19900000000000001</v>
      </c>
      <c r="I44" s="184">
        <v>125.88200000000001</v>
      </c>
      <c r="J44" s="172"/>
      <c r="K44" s="184">
        <v>2E-3</v>
      </c>
      <c r="L44" s="172">
        <v>0</v>
      </c>
      <c r="M44" s="172">
        <v>0.2</v>
      </c>
      <c r="N44" s="172">
        <v>0</v>
      </c>
    </row>
    <row r="45" spans="3:14" ht="15" customHeight="1" x14ac:dyDescent="0.2">
      <c r="C45" s="110">
        <v>44</v>
      </c>
      <c r="E45" s="183" t="s">
        <v>220</v>
      </c>
      <c r="F45" s="172">
        <v>1</v>
      </c>
      <c r="G45" s="186">
        <v>6.218</v>
      </c>
      <c r="H45" s="184">
        <v>15</v>
      </c>
      <c r="I45" s="185"/>
      <c r="J45" s="172"/>
      <c r="K45" s="185"/>
      <c r="L45" s="172">
        <v>0</v>
      </c>
      <c r="M45" s="182"/>
      <c r="N45" s="172">
        <v>0</v>
      </c>
    </row>
    <row r="46" spans="3:14" ht="15" customHeight="1" x14ac:dyDescent="0.2">
      <c r="C46" s="110">
        <v>45</v>
      </c>
      <c r="E46" s="183" t="s">
        <v>221</v>
      </c>
      <c r="F46" s="172">
        <v>0</v>
      </c>
      <c r="G46" s="186">
        <v>11.663</v>
      </c>
      <c r="H46" s="184">
        <v>4</v>
      </c>
      <c r="I46" s="184">
        <v>33</v>
      </c>
      <c r="J46" s="172"/>
      <c r="K46" s="184">
        <v>0.121</v>
      </c>
      <c r="L46" s="172">
        <v>0</v>
      </c>
      <c r="M46" s="172">
        <v>0.2</v>
      </c>
      <c r="N46" s="172">
        <v>0</v>
      </c>
    </row>
    <row r="47" spans="3:14" ht="15" customHeight="1" x14ac:dyDescent="0.2">
      <c r="C47" s="110">
        <v>46</v>
      </c>
      <c r="E47" s="183" t="s">
        <v>222</v>
      </c>
      <c r="F47" s="172">
        <v>0</v>
      </c>
      <c r="G47" s="186">
        <v>54.177</v>
      </c>
      <c r="H47" s="184">
        <v>1.2</v>
      </c>
      <c r="I47" s="184">
        <v>10</v>
      </c>
      <c r="J47" s="172"/>
      <c r="K47" s="184">
        <v>0.12</v>
      </c>
      <c r="L47" s="172">
        <v>0</v>
      </c>
      <c r="M47" s="172">
        <v>0.2</v>
      </c>
      <c r="N47" s="172">
        <v>0</v>
      </c>
    </row>
    <row r="48" spans="3:14" ht="15" customHeight="1" x14ac:dyDescent="0.2">
      <c r="C48" s="110">
        <v>47</v>
      </c>
      <c r="E48" s="183" t="s">
        <v>223</v>
      </c>
      <c r="F48" s="172">
        <v>0</v>
      </c>
      <c r="G48" s="184">
        <v>0.5</v>
      </c>
      <c r="H48" s="184">
        <v>0.42</v>
      </c>
      <c r="I48" s="184">
        <v>1.9</v>
      </c>
      <c r="J48" s="172"/>
      <c r="K48" s="184">
        <v>0.221</v>
      </c>
      <c r="L48" s="172">
        <v>-0.60299999999999998</v>
      </c>
      <c r="M48" s="172">
        <v>0.2</v>
      </c>
      <c r="N48" s="172">
        <v>0</v>
      </c>
    </row>
    <row r="49" spans="3:14" ht="15" customHeight="1" x14ac:dyDescent="0.2">
      <c r="C49" s="110">
        <v>48</v>
      </c>
      <c r="E49" s="183" t="s">
        <v>224</v>
      </c>
      <c r="F49" s="172">
        <v>0</v>
      </c>
      <c r="G49" s="186">
        <v>0.98099999999999998</v>
      </c>
      <c r="H49" s="184">
        <v>1.2</v>
      </c>
      <c r="I49" s="184">
        <v>4</v>
      </c>
      <c r="J49" s="172"/>
      <c r="K49" s="184">
        <v>0.3</v>
      </c>
      <c r="L49" s="172">
        <v>0</v>
      </c>
      <c r="M49" s="172">
        <v>0.2</v>
      </c>
      <c r="N49" s="172">
        <v>0</v>
      </c>
    </row>
    <row r="50" spans="3:14" ht="15" customHeight="1" x14ac:dyDescent="0.2">
      <c r="C50" s="110">
        <v>49</v>
      </c>
      <c r="E50" s="183" t="s">
        <v>225</v>
      </c>
      <c r="F50" s="172">
        <v>2</v>
      </c>
      <c r="G50" s="184">
        <v>50</v>
      </c>
      <c r="H50" s="182"/>
      <c r="I50" s="185"/>
      <c r="J50" s="182"/>
      <c r="K50" s="185"/>
      <c r="L50" s="182"/>
      <c r="M50" s="182"/>
      <c r="N50" s="172">
        <v>0</v>
      </c>
    </row>
    <row r="51" spans="3:14" ht="15" customHeight="1" x14ac:dyDescent="0.2">
      <c r="C51" s="110">
        <v>50</v>
      </c>
      <c r="E51" s="183" t="s">
        <v>124</v>
      </c>
      <c r="F51" s="172">
        <v>2</v>
      </c>
      <c r="G51" s="184">
        <v>10</v>
      </c>
      <c r="H51" s="182"/>
      <c r="I51" s="185"/>
      <c r="J51" s="182"/>
      <c r="K51" s="185"/>
      <c r="L51" s="182"/>
      <c r="M51" s="182"/>
      <c r="N51" s="172">
        <v>0</v>
      </c>
    </row>
    <row r="52" spans="3:14" ht="15" customHeight="1" x14ac:dyDescent="0.2">
      <c r="C52" s="110">
        <v>51</v>
      </c>
      <c r="E52" s="183" t="s">
        <v>125</v>
      </c>
      <c r="F52" s="172">
        <v>2</v>
      </c>
      <c r="G52" s="184">
        <v>10</v>
      </c>
      <c r="H52" s="182"/>
      <c r="I52" s="185"/>
      <c r="J52" s="182"/>
      <c r="K52" s="185"/>
      <c r="L52" s="182"/>
      <c r="M52" s="182"/>
      <c r="N52" s="172">
        <v>0</v>
      </c>
    </row>
    <row r="53" spans="3:14" ht="15" customHeight="1" x14ac:dyDescent="0.2">
      <c r="C53" s="110">
        <v>52</v>
      </c>
      <c r="E53" s="188" t="s">
        <v>226</v>
      </c>
      <c r="F53" s="110">
        <v>3</v>
      </c>
      <c r="G53" s="110">
        <v>1.7309999999999997</v>
      </c>
      <c r="H53" s="182"/>
      <c r="I53" s="185"/>
      <c r="J53" s="182"/>
      <c r="K53" s="185"/>
      <c r="L53" s="182"/>
      <c r="M53" s="182"/>
      <c r="N53" s="172">
        <v>0</v>
      </c>
    </row>
    <row r="54" spans="3:14" ht="15" customHeight="1" x14ac:dyDescent="0.2">
      <c r="C54" s="110">
        <v>53</v>
      </c>
      <c r="E54" s="188" t="s">
        <v>227</v>
      </c>
      <c r="F54" s="110">
        <v>3</v>
      </c>
      <c r="G54" s="110">
        <v>0.35510000000000003</v>
      </c>
      <c r="H54" s="182"/>
      <c r="I54" s="185"/>
      <c r="J54" s="182"/>
      <c r="K54" s="185"/>
      <c r="L54" s="182"/>
      <c r="M54" s="182"/>
      <c r="N54" s="172">
        <v>0</v>
      </c>
    </row>
    <row r="55" spans="3:14" ht="15" customHeight="1" x14ac:dyDescent="0.2">
      <c r="C55" s="110">
        <v>54</v>
      </c>
      <c r="E55" s="188" t="s">
        <v>228</v>
      </c>
      <c r="F55" s="110">
        <v>3</v>
      </c>
      <c r="G55" s="110">
        <v>0.49</v>
      </c>
      <c r="H55" s="182"/>
      <c r="I55" s="185"/>
      <c r="J55" s="182"/>
      <c r="K55" s="185"/>
      <c r="L55" s="182"/>
      <c r="M55" s="182"/>
      <c r="N55" s="172">
        <v>0</v>
      </c>
    </row>
    <row r="56" spans="3:14" ht="15" customHeight="1" x14ac:dyDescent="0.2">
      <c r="C56" s="110">
        <v>55</v>
      </c>
      <c r="E56" s="188" t="s">
        <v>229</v>
      </c>
      <c r="F56" s="110">
        <v>3</v>
      </c>
      <c r="G56" s="110">
        <v>2.1999999999999999E-2</v>
      </c>
      <c r="H56" s="182"/>
      <c r="I56" s="185"/>
      <c r="J56" s="182"/>
      <c r="K56" s="185"/>
      <c r="L56" s="182"/>
      <c r="M56" s="182"/>
      <c r="N56" s="172">
        <v>0</v>
      </c>
    </row>
    <row r="57" spans="3:14" ht="15" customHeight="1" x14ac:dyDescent="0.2">
      <c r="C57" s="110">
        <f>C56+1</f>
        <v>56</v>
      </c>
      <c r="E57" s="188" t="s">
        <v>230</v>
      </c>
      <c r="F57" s="110">
        <v>3</v>
      </c>
      <c r="G57" s="110">
        <v>0.09</v>
      </c>
      <c r="H57" s="182"/>
      <c r="I57" s="185"/>
      <c r="J57" s="182"/>
      <c r="K57" s="185"/>
      <c r="L57" s="182"/>
      <c r="M57" s="182"/>
      <c r="N57" s="172">
        <v>0</v>
      </c>
    </row>
    <row r="58" spans="3:14" ht="15" customHeight="1" x14ac:dyDescent="0.2">
      <c r="C58" s="110">
        <f t="shared" ref="C58:C81" si="0">C57+1</f>
        <v>57</v>
      </c>
      <c r="E58" s="188" t="s">
        <v>231</v>
      </c>
      <c r="F58" s="110">
        <v>3</v>
      </c>
      <c r="G58" s="110">
        <v>1.2E-2</v>
      </c>
      <c r="H58" s="182"/>
      <c r="I58" s="185"/>
      <c r="J58" s="182"/>
      <c r="K58" s="185"/>
      <c r="L58" s="182"/>
      <c r="M58" s="182"/>
      <c r="N58" s="172">
        <v>0</v>
      </c>
    </row>
    <row r="59" spans="3:14" ht="15" customHeight="1" x14ac:dyDescent="0.2">
      <c r="C59" s="110">
        <f t="shared" si="0"/>
        <v>58</v>
      </c>
      <c r="E59" s="188" t="s">
        <v>232</v>
      </c>
      <c r="F59" s="110">
        <v>3</v>
      </c>
      <c r="G59" s="110">
        <v>2.1000000000000001E-2</v>
      </c>
      <c r="H59" s="182"/>
      <c r="I59" s="185"/>
      <c r="J59" s="182"/>
      <c r="K59" s="185"/>
      <c r="L59" s="182"/>
      <c r="M59" s="182"/>
      <c r="N59" s="172">
        <v>0</v>
      </c>
    </row>
    <row r="60" spans="3:14" ht="15" customHeight="1" x14ac:dyDescent="0.2">
      <c r="C60" s="110">
        <f t="shared" si="0"/>
        <v>59</v>
      </c>
      <c r="E60" s="188" t="s">
        <v>233</v>
      </c>
      <c r="F60" s="110">
        <v>3</v>
      </c>
      <c r="G60" s="110">
        <v>1.4019999999999998E-2</v>
      </c>
      <c r="H60" s="182"/>
      <c r="I60" s="185"/>
      <c r="J60" s="182"/>
      <c r="K60" s="185"/>
      <c r="L60" s="182"/>
      <c r="M60" s="182"/>
      <c r="N60" s="172">
        <v>0</v>
      </c>
    </row>
    <row r="61" spans="3:14" ht="15" customHeight="1" x14ac:dyDescent="0.2">
      <c r="C61" s="110">
        <f t="shared" si="0"/>
        <v>60</v>
      </c>
      <c r="E61" s="188" t="s">
        <v>234</v>
      </c>
      <c r="F61" s="110">
        <v>3</v>
      </c>
      <c r="G61" s="110">
        <v>1.0000000000000001E-5</v>
      </c>
      <c r="H61" s="182"/>
      <c r="I61" s="185"/>
      <c r="J61" s="182"/>
      <c r="K61" s="185"/>
      <c r="L61" s="182"/>
      <c r="M61" s="182"/>
      <c r="N61" s="172">
        <v>0</v>
      </c>
    </row>
    <row r="62" spans="3:14" ht="15" customHeight="1" x14ac:dyDescent="0.2">
      <c r="C62" s="110">
        <f t="shared" si="0"/>
        <v>61</v>
      </c>
      <c r="E62" s="188" t="s">
        <v>235</v>
      </c>
      <c r="F62" s="110">
        <v>3</v>
      </c>
      <c r="G62" s="110">
        <v>4.0000000000000001E-3</v>
      </c>
      <c r="H62" s="182"/>
      <c r="I62" s="185"/>
      <c r="J62" s="182"/>
      <c r="K62" s="185"/>
      <c r="L62" s="182"/>
      <c r="M62" s="182"/>
      <c r="N62" s="172">
        <v>0</v>
      </c>
    </row>
    <row r="63" spans="3:14" ht="15" customHeight="1" x14ac:dyDescent="0.2">
      <c r="C63" s="110">
        <f t="shared" si="0"/>
        <v>62</v>
      </c>
      <c r="E63" s="188" t="s">
        <v>236</v>
      </c>
      <c r="F63" s="110">
        <v>3</v>
      </c>
      <c r="G63" s="110">
        <v>8.9999999999999998E-4</v>
      </c>
      <c r="H63" s="182"/>
      <c r="I63" s="185"/>
      <c r="J63" s="182"/>
      <c r="K63" s="185"/>
      <c r="L63" s="182"/>
      <c r="M63" s="182"/>
      <c r="N63" s="172">
        <v>0</v>
      </c>
    </row>
    <row r="64" spans="3:14" ht="15" customHeight="1" x14ac:dyDescent="0.2">
      <c r="C64" s="110">
        <f t="shared" si="0"/>
        <v>63</v>
      </c>
      <c r="E64" s="188" t="s">
        <v>237</v>
      </c>
      <c r="F64" s="110">
        <v>3</v>
      </c>
      <c r="G64" s="110">
        <v>1.0000000000000001E-5</v>
      </c>
      <c r="H64" s="182"/>
      <c r="I64" s="185"/>
      <c r="J64" s="182"/>
      <c r="K64" s="185"/>
      <c r="L64" s="182"/>
      <c r="M64" s="182"/>
      <c r="N64" s="172">
        <v>0</v>
      </c>
    </row>
    <row r="65" spans="3:14" ht="15" customHeight="1" x14ac:dyDescent="0.2">
      <c r="C65" s="110">
        <f t="shared" si="0"/>
        <v>64</v>
      </c>
      <c r="E65" s="188" t="s">
        <v>238</v>
      </c>
      <c r="F65" s="110">
        <v>3</v>
      </c>
      <c r="G65" s="110">
        <v>3.2000000000000003E-4</v>
      </c>
      <c r="H65" s="182"/>
      <c r="I65" s="185"/>
      <c r="J65" s="182"/>
      <c r="K65" s="185"/>
      <c r="L65" s="182"/>
      <c r="M65" s="182"/>
      <c r="N65" s="172">
        <v>0</v>
      </c>
    </row>
    <row r="66" spans="3:14" ht="15" customHeight="1" x14ac:dyDescent="0.2">
      <c r="C66" s="110">
        <f t="shared" si="0"/>
        <v>65</v>
      </c>
      <c r="E66" s="188" t="s">
        <v>239</v>
      </c>
      <c r="F66" s="110">
        <v>3</v>
      </c>
      <c r="G66" s="110">
        <v>0.03</v>
      </c>
      <c r="H66" s="182"/>
      <c r="I66" s="185"/>
      <c r="J66" s="182"/>
      <c r="K66" s="185"/>
      <c r="L66" s="182"/>
      <c r="M66" s="182"/>
      <c r="N66" s="172">
        <v>0</v>
      </c>
    </row>
    <row r="67" spans="3:14" ht="15" customHeight="1" x14ac:dyDescent="0.2">
      <c r="C67" s="110">
        <f t="shared" si="0"/>
        <v>66</v>
      </c>
      <c r="E67" s="188" t="s">
        <v>240</v>
      </c>
      <c r="F67" s="110">
        <v>3</v>
      </c>
      <c r="G67" s="110">
        <v>7.0000000000000001E-3</v>
      </c>
      <c r="H67" s="182"/>
      <c r="I67" s="185"/>
      <c r="J67" s="182"/>
      <c r="K67" s="185"/>
      <c r="L67" s="182"/>
      <c r="M67" s="182"/>
      <c r="N67" s="172">
        <v>0</v>
      </c>
    </row>
    <row r="68" spans="3:14" ht="15" customHeight="1" x14ac:dyDescent="0.2">
      <c r="C68" s="110">
        <f t="shared" si="0"/>
        <v>67</v>
      </c>
      <c r="E68" s="188" t="s">
        <v>241</v>
      </c>
      <c r="F68" s="110">
        <v>3</v>
      </c>
      <c r="G68" s="110">
        <v>0</v>
      </c>
      <c r="H68" s="182"/>
      <c r="I68" s="185"/>
      <c r="J68" s="182"/>
      <c r="K68" s="185"/>
      <c r="L68" s="182"/>
      <c r="M68" s="182"/>
      <c r="N68" s="172">
        <v>0</v>
      </c>
    </row>
    <row r="69" spans="3:14" ht="15" customHeight="1" x14ac:dyDescent="0.2">
      <c r="C69" s="110">
        <f t="shared" si="0"/>
        <v>68</v>
      </c>
      <c r="E69" s="188" t="s">
        <v>242</v>
      </c>
      <c r="F69" s="110">
        <v>3</v>
      </c>
      <c r="G69" s="110">
        <v>0</v>
      </c>
      <c r="H69" s="182"/>
      <c r="I69" s="185"/>
      <c r="J69" s="182"/>
      <c r="K69" s="185"/>
      <c r="L69" s="182"/>
      <c r="M69" s="182"/>
      <c r="N69" s="172">
        <v>0</v>
      </c>
    </row>
    <row r="70" spans="3:14" ht="15" customHeight="1" x14ac:dyDescent="0.2">
      <c r="C70" s="110">
        <f t="shared" si="0"/>
        <v>69</v>
      </c>
      <c r="E70" s="188" t="s">
        <v>244</v>
      </c>
      <c r="F70" s="110">
        <v>3</v>
      </c>
      <c r="G70" s="110">
        <v>0</v>
      </c>
      <c r="H70" s="182"/>
      <c r="I70" s="185"/>
      <c r="J70" s="182"/>
      <c r="K70" s="185"/>
      <c r="L70" s="182"/>
      <c r="M70" s="182"/>
      <c r="N70" s="172">
        <v>0</v>
      </c>
    </row>
    <row r="71" spans="3:14" ht="15" customHeight="1" x14ac:dyDescent="0.2">
      <c r="C71" s="110">
        <f t="shared" si="0"/>
        <v>70</v>
      </c>
      <c r="E71" s="188" t="s">
        <v>245</v>
      </c>
      <c r="F71" s="110">
        <v>3</v>
      </c>
      <c r="G71" s="110">
        <v>8.0000000000000002E-3</v>
      </c>
      <c r="H71" s="182"/>
      <c r="I71" s="185"/>
      <c r="J71" s="182"/>
      <c r="K71" s="185"/>
      <c r="L71" s="182"/>
      <c r="M71" s="182"/>
      <c r="N71" s="172">
        <v>0</v>
      </c>
    </row>
    <row r="72" spans="3:14" ht="15" customHeight="1" x14ac:dyDescent="0.2">
      <c r="C72" s="110">
        <f t="shared" si="0"/>
        <v>71</v>
      </c>
      <c r="E72" s="188" t="s">
        <v>246</v>
      </c>
      <c r="F72" s="110">
        <v>3</v>
      </c>
      <c r="G72" s="110">
        <v>5.3999999999999998E-5</v>
      </c>
      <c r="H72" s="182"/>
      <c r="I72" s="185"/>
      <c r="J72" s="182"/>
      <c r="K72" s="185"/>
      <c r="L72" s="182"/>
      <c r="M72" s="182"/>
      <c r="N72" s="172">
        <v>0</v>
      </c>
    </row>
    <row r="73" spans="3:14" ht="15" customHeight="1" x14ac:dyDescent="0.2">
      <c r="C73" s="110">
        <f t="shared" si="0"/>
        <v>72</v>
      </c>
      <c r="E73" s="188" t="s">
        <v>247</v>
      </c>
      <c r="F73" s="110">
        <v>3</v>
      </c>
      <c r="G73" s="110">
        <v>4.2700000000000004E-3</v>
      </c>
      <c r="H73" s="182"/>
      <c r="I73" s="185"/>
      <c r="J73" s="182"/>
      <c r="K73" s="185"/>
      <c r="L73" s="182"/>
      <c r="M73" s="182"/>
      <c r="N73" s="172">
        <v>0</v>
      </c>
    </row>
    <row r="74" spans="3:14" ht="15" customHeight="1" x14ac:dyDescent="0.2">
      <c r="C74" s="110">
        <f t="shared" si="0"/>
        <v>73</v>
      </c>
      <c r="E74" s="188" t="s">
        <v>248</v>
      </c>
      <c r="F74" s="110">
        <v>3</v>
      </c>
      <c r="G74" s="110">
        <v>1.7600000000000001E-3</v>
      </c>
      <c r="H74" s="182"/>
      <c r="I74" s="185"/>
      <c r="J74" s="182"/>
      <c r="K74" s="185"/>
      <c r="L74" s="182"/>
      <c r="M74" s="182"/>
      <c r="N74" s="172">
        <v>0</v>
      </c>
    </row>
    <row r="75" spans="3:14" ht="15" customHeight="1" x14ac:dyDescent="0.2">
      <c r="C75" s="110">
        <f t="shared" si="0"/>
        <v>74</v>
      </c>
      <c r="E75" s="188" t="s">
        <v>249</v>
      </c>
      <c r="F75" s="110">
        <v>3</v>
      </c>
      <c r="G75" s="110">
        <v>1.4E-3</v>
      </c>
      <c r="H75" s="182"/>
      <c r="I75" s="185"/>
      <c r="J75" s="182"/>
      <c r="K75" s="185"/>
      <c r="L75" s="182"/>
      <c r="M75" s="182"/>
      <c r="N75" s="172">
        <v>0</v>
      </c>
    </row>
    <row r="76" spans="3:14" ht="15" customHeight="1" x14ac:dyDescent="0.2">
      <c r="C76" s="110">
        <f t="shared" si="0"/>
        <v>75</v>
      </c>
      <c r="E76" s="188" t="s">
        <v>250</v>
      </c>
      <c r="F76" s="110">
        <v>3</v>
      </c>
      <c r="G76" s="110">
        <v>3.1E-2</v>
      </c>
      <c r="H76" s="182"/>
      <c r="I76" s="185"/>
      <c r="J76" s="182"/>
      <c r="K76" s="185"/>
      <c r="L76" s="182"/>
      <c r="M76" s="182"/>
      <c r="N76" s="172">
        <v>0</v>
      </c>
    </row>
    <row r="77" spans="3:14" ht="15" customHeight="1" x14ac:dyDescent="0.2">
      <c r="C77" s="110">
        <f t="shared" si="0"/>
        <v>76</v>
      </c>
      <c r="E77" s="188" t="s">
        <v>251</v>
      </c>
      <c r="F77" s="110">
        <v>3</v>
      </c>
      <c r="G77" s="110">
        <v>0.01</v>
      </c>
      <c r="H77" s="182"/>
      <c r="I77" s="185"/>
      <c r="J77" s="182"/>
      <c r="K77" s="185"/>
      <c r="L77" s="182"/>
      <c r="M77" s="182"/>
      <c r="N77" s="172">
        <v>0</v>
      </c>
    </row>
    <row r="78" spans="3:14" ht="15" customHeight="1" x14ac:dyDescent="0.2">
      <c r="C78" s="110">
        <f t="shared" si="0"/>
        <v>77</v>
      </c>
      <c r="E78" s="188" t="s">
        <v>252</v>
      </c>
      <c r="F78" s="110">
        <v>3</v>
      </c>
      <c r="G78" s="110">
        <v>2E-3</v>
      </c>
      <c r="H78" s="182"/>
      <c r="I78" s="185"/>
      <c r="J78" s="182"/>
      <c r="K78" s="185"/>
      <c r="L78" s="182"/>
      <c r="M78" s="182"/>
      <c r="N78" s="172">
        <v>0</v>
      </c>
    </row>
    <row r="79" spans="3:14" ht="15" customHeight="1" x14ac:dyDescent="0.2">
      <c r="C79" s="110">
        <f t="shared" si="0"/>
        <v>78</v>
      </c>
      <c r="E79" s="188" t="s">
        <v>253</v>
      </c>
      <c r="F79" s="110">
        <v>3</v>
      </c>
      <c r="G79" s="110">
        <v>2.4600000000000002E-4</v>
      </c>
      <c r="H79" s="182"/>
      <c r="I79" s="185"/>
      <c r="J79" s="182"/>
      <c r="K79" s="185"/>
      <c r="L79" s="182"/>
      <c r="M79" s="182"/>
      <c r="N79" s="172">
        <v>0</v>
      </c>
    </row>
    <row r="80" spans="3:14" ht="15" customHeight="1" x14ac:dyDescent="0.2">
      <c r="C80" s="110">
        <f t="shared" si="0"/>
        <v>79</v>
      </c>
      <c r="E80" s="188" t="s">
        <v>254</v>
      </c>
      <c r="F80" s="110">
        <v>3</v>
      </c>
      <c r="G80" s="110">
        <v>2.7299999999999998E-3</v>
      </c>
      <c r="H80" s="182"/>
      <c r="I80" s="185"/>
      <c r="J80" s="182"/>
      <c r="K80" s="185"/>
      <c r="L80" s="182"/>
      <c r="M80" s="182"/>
      <c r="N80" s="172">
        <v>0</v>
      </c>
    </row>
    <row r="81" spans="3:14" ht="15" customHeight="1" x14ac:dyDescent="0.2">
      <c r="C81" s="110">
        <f t="shared" si="0"/>
        <v>80</v>
      </c>
      <c r="E81" s="188" t="s">
        <v>255</v>
      </c>
      <c r="F81" s="110">
        <v>3</v>
      </c>
      <c r="G81" s="110">
        <v>2.2399999999999998E-3</v>
      </c>
      <c r="H81" s="182"/>
      <c r="I81" s="185"/>
      <c r="J81" s="182"/>
      <c r="K81" s="185"/>
      <c r="L81" s="182"/>
      <c r="M81" s="182"/>
      <c r="N81" s="172">
        <v>0</v>
      </c>
    </row>
    <row r="82" spans="3:14" ht="15" customHeight="1" x14ac:dyDescent="0.2">
      <c r="C82" s="110">
        <v>81</v>
      </c>
      <c r="E82" s="188" t="s">
        <v>256</v>
      </c>
      <c r="F82" s="110">
        <v>3</v>
      </c>
      <c r="G82" s="110">
        <v>5.9999999999999995E-4</v>
      </c>
      <c r="H82" s="182"/>
      <c r="I82" s="185"/>
      <c r="J82" s="182"/>
      <c r="K82" s="185"/>
      <c r="L82" s="182"/>
      <c r="M82" s="182"/>
      <c r="N82" s="172">
        <v>0</v>
      </c>
    </row>
    <row r="83" spans="3:14" ht="15" customHeight="1" x14ac:dyDescent="0.2">
      <c r="C83" s="110">
        <v>82</v>
      </c>
      <c r="E83" s="188" t="s">
        <v>243</v>
      </c>
      <c r="F83" s="110">
        <v>3</v>
      </c>
      <c r="G83" s="110">
        <v>0.10460000000000001</v>
      </c>
      <c r="H83" s="182"/>
      <c r="I83" s="185"/>
      <c r="J83" s="182"/>
      <c r="K83" s="185"/>
      <c r="L83" s="182"/>
      <c r="M83" s="182"/>
      <c r="N83" s="172">
        <v>0</v>
      </c>
    </row>
    <row r="89" spans="3:14" ht="15" customHeight="1" x14ac:dyDescent="0.2">
      <c r="E89" s="142" t="s">
        <v>179</v>
      </c>
    </row>
    <row r="90" spans="3:14" ht="15" customHeight="1" x14ac:dyDescent="0.2">
      <c r="E90" s="142" t="s">
        <v>180</v>
      </c>
    </row>
  </sheetData>
  <phoneticPr fontId="3" type="noConversion"/>
  <pageMargins left="0.75" right="0.75" top="1" bottom="1" header="0.5" footer="0.5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45"/>
  </sheetPr>
  <dimension ref="A1:AZ387"/>
  <sheetViews>
    <sheetView workbookViewId="0">
      <pane xSplit="1" ySplit="1" topLeftCell="B42" activePane="bottomRight" state="frozen"/>
      <selection pane="topRight" activeCell="B1" sqref="B1"/>
      <selection pane="bottomLeft" activeCell="A2" sqref="A2"/>
      <selection pane="bottomRight" activeCell="A2" sqref="A2:XFD55"/>
    </sheetView>
  </sheetViews>
  <sheetFormatPr baseColWidth="10" defaultColWidth="8.83203125" defaultRowHeight="16" x14ac:dyDescent="0.2"/>
  <cols>
    <col min="1" max="1" width="38.83203125" style="110" customWidth="1"/>
    <col min="2" max="46" width="8.83203125" style="110"/>
    <col min="47" max="48" width="8.83203125" style="134"/>
    <col min="49" max="16384" width="8.83203125" style="110"/>
  </cols>
  <sheetData>
    <row r="1" spans="1:52" x14ac:dyDescent="0.2">
      <c r="A1" s="109" t="s">
        <v>20</v>
      </c>
      <c r="B1" s="183" t="s">
        <v>181</v>
      </c>
      <c r="C1" s="183" t="s">
        <v>182</v>
      </c>
      <c r="D1" s="183" t="s">
        <v>176</v>
      </c>
      <c r="E1" s="183" t="s">
        <v>183</v>
      </c>
      <c r="F1" s="183" t="s">
        <v>184</v>
      </c>
      <c r="G1" s="183" t="s">
        <v>185</v>
      </c>
      <c r="H1" s="183" t="s">
        <v>186</v>
      </c>
      <c r="I1" s="183" t="s">
        <v>187</v>
      </c>
      <c r="J1" s="183" t="s">
        <v>189</v>
      </c>
      <c r="K1" s="183" t="s">
        <v>190</v>
      </c>
      <c r="L1" s="183" t="s">
        <v>191</v>
      </c>
      <c r="M1" s="183" t="s">
        <v>192</v>
      </c>
      <c r="N1" s="183" t="s">
        <v>193</v>
      </c>
      <c r="O1" s="183" t="s">
        <v>194</v>
      </c>
      <c r="P1" s="183" t="s">
        <v>195</v>
      </c>
      <c r="Q1" s="183" t="s">
        <v>196</v>
      </c>
      <c r="R1" s="183" t="s">
        <v>197</v>
      </c>
      <c r="S1" s="183" t="s">
        <v>198</v>
      </c>
      <c r="T1" s="183" t="s">
        <v>199</v>
      </c>
      <c r="U1" s="183" t="s">
        <v>200</v>
      </c>
      <c r="V1" s="183" t="s">
        <v>201</v>
      </c>
      <c r="W1" s="183" t="s">
        <v>202</v>
      </c>
      <c r="X1" s="183" t="s">
        <v>203</v>
      </c>
      <c r="Y1" s="183" t="s">
        <v>204</v>
      </c>
      <c r="Z1" s="183" t="s">
        <v>205</v>
      </c>
      <c r="AA1" s="183" t="s">
        <v>206</v>
      </c>
      <c r="AB1" s="183" t="s">
        <v>207</v>
      </c>
      <c r="AC1" s="183" t="s">
        <v>257</v>
      </c>
      <c r="AD1" s="183" t="s">
        <v>258</v>
      </c>
      <c r="AE1" s="183" t="s">
        <v>259</v>
      </c>
      <c r="AF1" s="183" t="s">
        <v>260</v>
      </c>
      <c r="AG1" s="183" t="s">
        <v>208</v>
      </c>
      <c r="AH1" s="183" t="s">
        <v>209</v>
      </c>
      <c r="AI1" s="183" t="s">
        <v>210</v>
      </c>
      <c r="AJ1" s="183" t="s">
        <v>211</v>
      </c>
      <c r="AK1" s="183" t="s">
        <v>212</v>
      </c>
      <c r="AL1" s="183" t="s">
        <v>213</v>
      </c>
      <c r="AM1" s="183" t="s">
        <v>214</v>
      </c>
      <c r="AN1" s="183" t="s">
        <v>215</v>
      </c>
      <c r="AO1" s="183" t="s">
        <v>216</v>
      </c>
      <c r="AP1" s="183" t="s">
        <v>217</v>
      </c>
      <c r="AQ1" s="183" t="s">
        <v>218</v>
      </c>
      <c r="AR1" s="183" t="s">
        <v>219</v>
      </c>
      <c r="AS1" s="183" t="s">
        <v>220</v>
      </c>
      <c r="AT1" s="183" t="s">
        <v>221</v>
      </c>
      <c r="AU1" s="183" t="s">
        <v>222</v>
      </c>
      <c r="AV1" s="183" t="s">
        <v>223</v>
      </c>
      <c r="AW1" s="183" t="s">
        <v>224</v>
      </c>
      <c r="AX1" s="183" t="s">
        <v>225</v>
      </c>
      <c r="AY1" s="183" t="s">
        <v>124</v>
      </c>
      <c r="AZ1" s="183" t="s">
        <v>125</v>
      </c>
    </row>
    <row r="2" spans="1:52" x14ac:dyDescent="0.2">
      <c r="A2" s="184" t="s">
        <v>181</v>
      </c>
      <c r="B2" s="196">
        <v>0</v>
      </c>
      <c r="C2" s="196">
        <v>0</v>
      </c>
      <c r="D2" s="197">
        <v>0.4</v>
      </c>
      <c r="E2" s="197">
        <v>0.5</v>
      </c>
      <c r="F2" s="197">
        <v>0</v>
      </c>
      <c r="G2" s="197">
        <v>0</v>
      </c>
      <c r="H2" s="197">
        <v>0.25</v>
      </c>
      <c r="I2" s="197">
        <v>0</v>
      </c>
      <c r="J2" s="197">
        <v>0.25</v>
      </c>
      <c r="K2" s="197">
        <v>0.32</v>
      </c>
      <c r="L2" s="197">
        <v>0</v>
      </c>
      <c r="M2" s="197">
        <v>0</v>
      </c>
      <c r="N2" s="197">
        <v>0</v>
      </c>
      <c r="O2" s="197">
        <v>0</v>
      </c>
      <c r="P2" s="197">
        <v>0</v>
      </c>
      <c r="Q2" s="197">
        <v>0</v>
      </c>
      <c r="R2" s="197">
        <v>0</v>
      </c>
      <c r="S2" s="197">
        <v>0</v>
      </c>
      <c r="T2" s="197">
        <v>0</v>
      </c>
      <c r="U2" s="197">
        <v>0</v>
      </c>
      <c r="V2" s="197">
        <v>0</v>
      </c>
      <c r="W2" s="197">
        <v>0</v>
      </c>
      <c r="X2" s="197">
        <v>0</v>
      </c>
      <c r="Y2" s="197">
        <v>0</v>
      </c>
      <c r="Z2" s="197">
        <v>0</v>
      </c>
      <c r="AA2" s="198">
        <v>0</v>
      </c>
      <c r="AB2" s="197">
        <v>0</v>
      </c>
      <c r="AC2" s="197">
        <v>0</v>
      </c>
      <c r="AD2" s="197">
        <v>0</v>
      </c>
      <c r="AE2" s="197">
        <v>0</v>
      </c>
      <c r="AF2" s="197">
        <v>0</v>
      </c>
      <c r="AG2" s="197">
        <v>0</v>
      </c>
      <c r="AH2" s="197">
        <v>0</v>
      </c>
      <c r="AI2" s="197">
        <v>0</v>
      </c>
      <c r="AJ2" s="197">
        <v>0</v>
      </c>
      <c r="AK2" s="197">
        <v>0</v>
      </c>
      <c r="AL2" s="197">
        <v>0</v>
      </c>
      <c r="AM2" s="197">
        <v>0</v>
      </c>
      <c r="AN2" s="197">
        <v>0</v>
      </c>
      <c r="AO2" s="197">
        <v>0</v>
      </c>
      <c r="AP2" s="197">
        <v>0</v>
      </c>
      <c r="AQ2" s="197">
        <v>0</v>
      </c>
      <c r="AR2" s="197">
        <v>0</v>
      </c>
      <c r="AS2" s="196">
        <v>0</v>
      </c>
      <c r="AT2" s="197">
        <v>0</v>
      </c>
      <c r="AU2" s="197">
        <v>0</v>
      </c>
      <c r="AV2" s="197">
        <v>0</v>
      </c>
      <c r="AW2" s="197">
        <v>0</v>
      </c>
      <c r="AX2" s="196">
        <v>0</v>
      </c>
      <c r="AY2" s="196">
        <v>0</v>
      </c>
      <c r="AZ2" s="196">
        <v>0</v>
      </c>
    </row>
    <row r="3" spans="1:52" x14ac:dyDescent="0.2">
      <c r="A3" s="184" t="s">
        <v>182</v>
      </c>
      <c r="B3" s="196">
        <v>0</v>
      </c>
      <c r="C3" s="196">
        <v>0</v>
      </c>
      <c r="D3" s="197">
        <v>0</v>
      </c>
      <c r="E3" s="197">
        <v>0</v>
      </c>
      <c r="F3" s="197">
        <v>0.33</v>
      </c>
      <c r="G3" s="197">
        <v>0</v>
      </c>
      <c r="H3" s="197">
        <v>0.25</v>
      </c>
      <c r="I3" s="197">
        <v>0.05</v>
      </c>
      <c r="J3" s="197">
        <v>0.25</v>
      </c>
      <c r="K3" s="197">
        <v>0</v>
      </c>
      <c r="L3" s="197">
        <v>0</v>
      </c>
      <c r="M3" s="197">
        <v>0</v>
      </c>
      <c r="N3" s="197">
        <v>0</v>
      </c>
      <c r="O3" s="197">
        <v>0</v>
      </c>
      <c r="P3" s="197">
        <v>0</v>
      </c>
      <c r="Q3" s="197">
        <v>0</v>
      </c>
      <c r="R3" s="197">
        <v>0</v>
      </c>
      <c r="S3" s="197">
        <v>0</v>
      </c>
      <c r="T3" s="197">
        <v>0</v>
      </c>
      <c r="U3" s="197">
        <v>0</v>
      </c>
      <c r="V3" s="197">
        <v>0</v>
      </c>
      <c r="W3" s="197">
        <v>0</v>
      </c>
      <c r="X3" s="197">
        <v>0</v>
      </c>
      <c r="Y3" s="197">
        <v>0</v>
      </c>
      <c r="Z3" s="197">
        <v>0.05</v>
      </c>
      <c r="AA3" s="198">
        <v>0</v>
      </c>
      <c r="AB3" s="197">
        <v>0</v>
      </c>
      <c r="AC3" s="197">
        <v>0</v>
      </c>
      <c r="AD3" s="197">
        <v>0</v>
      </c>
      <c r="AE3" s="197">
        <v>0</v>
      </c>
      <c r="AF3" s="197">
        <v>0</v>
      </c>
      <c r="AG3" s="197">
        <v>0</v>
      </c>
      <c r="AH3" s="197">
        <v>0</v>
      </c>
      <c r="AI3" s="197">
        <v>0</v>
      </c>
      <c r="AJ3" s="197">
        <v>0</v>
      </c>
      <c r="AK3" s="197">
        <v>0</v>
      </c>
      <c r="AL3" s="197">
        <v>0</v>
      </c>
      <c r="AM3" s="197">
        <v>0</v>
      </c>
      <c r="AN3" s="197">
        <v>0</v>
      </c>
      <c r="AO3" s="197">
        <v>0</v>
      </c>
      <c r="AP3" s="197">
        <v>0</v>
      </c>
      <c r="AQ3" s="197">
        <v>0</v>
      </c>
      <c r="AR3" s="197">
        <v>0</v>
      </c>
      <c r="AS3" s="196">
        <v>0</v>
      </c>
      <c r="AT3" s="197">
        <v>0</v>
      </c>
      <c r="AU3" s="197">
        <v>0</v>
      </c>
      <c r="AV3" s="197">
        <v>0</v>
      </c>
      <c r="AW3" s="197">
        <v>0</v>
      </c>
      <c r="AX3" s="196">
        <v>0</v>
      </c>
      <c r="AY3" s="196">
        <v>0</v>
      </c>
      <c r="AZ3" s="196">
        <v>0</v>
      </c>
    </row>
    <row r="4" spans="1:52" x14ac:dyDescent="0.2">
      <c r="A4" s="184" t="s">
        <v>176</v>
      </c>
      <c r="B4" s="196">
        <v>0</v>
      </c>
      <c r="C4" s="196">
        <v>0</v>
      </c>
      <c r="D4" s="197">
        <v>0.05</v>
      </c>
      <c r="E4" s="197">
        <v>0.5</v>
      </c>
      <c r="F4" s="197">
        <v>0.33</v>
      </c>
      <c r="G4" s="197">
        <v>0</v>
      </c>
      <c r="H4" s="197">
        <v>0.5</v>
      </c>
      <c r="I4" s="197">
        <v>0.04</v>
      </c>
      <c r="J4" s="197">
        <v>0.5</v>
      </c>
      <c r="K4" s="197">
        <v>0.32</v>
      </c>
      <c r="L4" s="197">
        <v>0</v>
      </c>
      <c r="M4" s="197">
        <v>0</v>
      </c>
      <c r="N4" s="197">
        <v>0</v>
      </c>
      <c r="O4" s="197">
        <v>0</v>
      </c>
      <c r="P4" s="197">
        <v>0</v>
      </c>
      <c r="Q4" s="197">
        <v>0</v>
      </c>
      <c r="R4" s="197">
        <v>0</v>
      </c>
      <c r="S4" s="197">
        <v>0</v>
      </c>
      <c r="T4" s="197">
        <v>0</v>
      </c>
      <c r="U4" s="197">
        <v>0</v>
      </c>
      <c r="V4" s="197">
        <v>0</v>
      </c>
      <c r="W4" s="197">
        <v>0</v>
      </c>
      <c r="X4" s="197">
        <v>0</v>
      </c>
      <c r="Y4" s="197">
        <v>0</v>
      </c>
      <c r="Z4" s="197">
        <v>0</v>
      </c>
      <c r="AA4" s="198">
        <v>0</v>
      </c>
      <c r="AB4" s="197">
        <v>0</v>
      </c>
      <c r="AC4" s="197">
        <v>0</v>
      </c>
      <c r="AD4" s="197">
        <v>0</v>
      </c>
      <c r="AE4" s="197">
        <v>0</v>
      </c>
      <c r="AF4" s="197">
        <v>0</v>
      </c>
      <c r="AG4" s="197">
        <v>0</v>
      </c>
      <c r="AH4" s="197">
        <v>0</v>
      </c>
      <c r="AI4" s="197">
        <v>0</v>
      </c>
      <c r="AJ4" s="197">
        <v>0</v>
      </c>
      <c r="AK4" s="197">
        <v>0</v>
      </c>
      <c r="AL4" s="197">
        <v>0</v>
      </c>
      <c r="AM4" s="197">
        <v>0</v>
      </c>
      <c r="AN4" s="197">
        <v>0</v>
      </c>
      <c r="AO4" s="197">
        <v>0</v>
      </c>
      <c r="AP4" s="197">
        <v>0</v>
      </c>
      <c r="AQ4" s="197">
        <v>0</v>
      </c>
      <c r="AR4" s="197">
        <v>0</v>
      </c>
      <c r="AS4" s="196">
        <v>0</v>
      </c>
      <c r="AT4" s="197">
        <v>0</v>
      </c>
      <c r="AU4" s="197">
        <v>0</v>
      </c>
      <c r="AV4" s="197">
        <v>0</v>
      </c>
      <c r="AW4" s="197">
        <v>0</v>
      </c>
      <c r="AX4" s="196">
        <v>0</v>
      </c>
      <c r="AY4" s="196">
        <v>0</v>
      </c>
      <c r="AZ4" s="196">
        <v>0</v>
      </c>
    </row>
    <row r="5" spans="1:52" x14ac:dyDescent="0.2">
      <c r="A5" s="184" t="s">
        <v>183</v>
      </c>
      <c r="B5" s="196">
        <v>0</v>
      </c>
      <c r="C5" s="196">
        <v>0</v>
      </c>
      <c r="D5" s="197">
        <v>0</v>
      </c>
      <c r="E5" s="197">
        <v>0</v>
      </c>
      <c r="F5" s="197">
        <v>0.34</v>
      </c>
      <c r="G5" s="197">
        <v>0.64</v>
      </c>
      <c r="H5" s="197">
        <v>0</v>
      </c>
      <c r="I5" s="197">
        <v>0.56999999999999995</v>
      </c>
      <c r="J5" s="197">
        <v>0</v>
      </c>
      <c r="K5" s="197">
        <v>0.28999999999999998</v>
      </c>
      <c r="L5" s="197">
        <v>0.6</v>
      </c>
      <c r="M5" s="197">
        <v>0.81</v>
      </c>
      <c r="N5" s="197">
        <v>0.75</v>
      </c>
      <c r="O5" s="197">
        <v>0.39</v>
      </c>
      <c r="P5" s="197">
        <v>0.01</v>
      </c>
      <c r="Q5" s="197">
        <v>0.4</v>
      </c>
      <c r="R5" s="197">
        <v>0.67</v>
      </c>
      <c r="S5" s="197">
        <v>0</v>
      </c>
      <c r="T5" s="197">
        <v>0</v>
      </c>
      <c r="U5" s="197">
        <v>0</v>
      </c>
      <c r="V5" s="197">
        <v>0</v>
      </c>
      <c r="W5" s="197">
        <v>0</v>
      </c>
      <c r="X5" s="197">
        <v>0</v>
      </c>
      <c r="Y5" s="197">
        <v>0</v>
      </c>
      <c r="Z5" s="197">
        <v>0</v>
      </c>
      <c r="AA5" s="198">
        <v>0.02</v>
      </c>
      <c r="AB5" s="197">
        <v>0.02</v>
      </c>
      <c r="AC5" s="197">
        <v>0</v>
      </c>
      <c r="AD5" s="197">
        <v>0</v>
      </c>
      <c r="AE5" s="197">
        <v>0</v>
      </c>
      <c r="AF5" s="197">
        <v>0</v>
      </c>
      <c r="AG5" s="197">
        <v>0.01</v>
      </c>
      <c r="AH5" s="197">
        <v>0.01</v>
      </c>
      <c r="AI5" s="197">
        <v>0</v>
      </c>
      <c r="AJ5" s="197">
        <v>0</v>
      </c>
      <c r="AK5" s="197">
        <v>0</v>
      </c>
      <c r="AL5" s="197">
        <v>0</v>
      </c>
      <c r="AM5" s="197">
        <v>0</v>
      </c>
      <c r="AN5" s="197">
        <v>0.03</v>
      </c>
      <c r="AO5" s="197">
        <v>0</v>
      </c>
      <c r="AP5" s="197">
        <v>0</v>
      </c>
      <c r="AQ5" s="197">
        <v>0</v>
      </c>
      <c r="AR5" s="197">
        <v>3.0000000000000001E-3</v>
      </c>
      <c r="AS5" s="196">
        <v>0</v>
      </c>
      <c r="AT5" s="197">
        <v>0</v>
      </c>
      <c r="AU5" s="197">
        <v>0</v>
      </c>
      <c r="AV5" s="197">
        <v>0</v>
      </c>
      <c r="AW5" s="197">
        <v>0</v>
      </c>
      <c r="AX5" s="196">
        <v>0</v>
      </c>
      <c r="AY5" s="196">
        <v>0</v>
      </c>
      <c r="AZ5" s="196">
        <v>0</v>
      </c>
    </row>
    <row r="6" spans="1:52" x14ac:dyDescent="0.2">
      <c r="A6" s="184" t="s">
        <v>184</v>
      </c>
      <c r="B6" s="196">
        <v>0</v>
      </c>
      <c r="C6" s="196">
        <v>0</v>
      </c>
      <c r="D6" s="197">
        <v>0</v>
      </c>
      <c r="E6" s="197">
        <v>0</v>
      </c>
      <c r="F6" s="197">
        <v>0</v>
      </c>
      <c r="G6" s="197">
        <v>0.12</v>
      </c>
      <c r="H6" s="197">
        <v>0</v>
      </c>
      <c r="I6" s="197">
        <v>0.34</v>
      </c>
      <c r="J6" s="197">
        <v>0</v>
      </c>
      <c r="K6" s="197">
        <v>7.0000000000000007E-2</v>
      </c>
      <c r="L6" s="197">
        <v>0.4</v>
      </c>
      <c r="M6" s="197">
        <v>0.16</v>
      </c>
      <c r="N6" s="197">
        <v>0.25</v>
      </c>
      <c r="O6" s="197">
        <v>0.52400000000000002</v>
      </c>
      <c r="P6" s="197">
        <v>0.8</v>
      </c>
      <c r="Q6" s="197">
        <v>0.6</v>
      </c>
      <c r="R6" s="197">
        <v>0.33</v>
      </c>
      <c r="S6" s="197">
        <v>0.17</v>
      </c>
      <c r="T6" s="197">
        <v>0.15</v>
      </c>
      <c r="U6" s="197">
        <v>0</v>
      </c>
      <c r="V6" s="197">
        <v>0</v>
      </c>
      <c r="W6" s="197">
        <v>0.2</v>
      </c>
      <c r="X6" s="197">
        <v>0.2</v>
      </c>
      <c r="Y6" s="197">
        <v>0</v>
      </c>
      <c r="Z6" s="197">
        <v>0.05</v>
      </c>
      <c r="AA6" s="198">
        <v>0.27</v>
      </c>
      <c r="AB6" s="197">
        <v>0.28999999999999998</v>
      </c>
      <c r="AC6" s="197">
        <v>0.79200000000000004</v>
      </c>
      <c r="AD6" s="197">
        <v>4.5999999999999999E-2</v>
      </c>
      <c r="AE6" s="197">
        <v>0.76900000000000002</v>
      </c>
      <c r="AF6" s="197">
        <v>0.255</v>
      </c>
      <c r="AG6" s="197">
        <v>0.64800000000000002</v>
      </c>
      <c r="AH6" s="197">
        <v>0.05</v>
      </c>
      <c r="AI6" s="197">
        <v>0</v>
      </c>
      <c r="AJ6" s="197">
        <v>0</v>
      </c>
      <c r="AK6" s="197">
        <v>0</v>
      </c>
      <c r="AL6" s="197">
        <v>0</v>
      </c>
      <c r="AM6" s="197">
        <v>0</v>
      </c>
      <c r="AN6" s="197">
        <v>0.04</v>
      </c>
      <c r="AO6" s="197">
        <v>0</v>
      </c>
      <c r="AP6" s="197">
        <v>0</v>
      </c>
      <c r="AQ6" s="197">
        <v>0</v>
      </c>
      <c r="AR6" s="197">
        <v>0.08</v>
      </c>
      <c r="AS6" s="196">
        <v>0</v>
      </c>
      <c r="AT6" s="197">
        <v>0</v>
      </c>
      <c r="AU6" s="197">
        <v>0</v>
      </c>
      <c r="AV6" s="197">
        <v>0</v>
      </c>
      <c r="AW6" s="197">
        <v>0</v>
      </c>
      <c r="AX6" s="196">
        <v>0</v>
      </c>
      <c r="AY6" s="196">
        <v>0</v>
      </c>
      <c r="AZ6" s="196">
        <v>0</v>
      </c>
    </row>
    <row r="7" spans="1:52" x14ac:dyDescent="0.2">
      <c r="A7" s="184" t="s">
        <v>185</v>
      </c>
      <c r="B7" s="196">
        <v>0</v>
      </c>
      <c r="C7" s="196">
        <v>0</v>
      </c>
      <c r="D7" s="197">
        <v>0</v>
      </c>
      <c r="E7" s="197">
        <v>0</v>
      </c>
      <c r="F7" s="197">
        <v>0</v>
      </c>
      <c r="G7" s="197">
        <v>0.04</v>
      </c>
      <c r="H7" s="197">
        <v>0</v>
      </c>
      <c r="I7" s="197">
        <v>0</v>
      </c>
      <c r="J7" s="197">
        <v>0</v>
      </c>
      <c r="K7" s="197">
        <v>0</v>
      </c>
      <c r="L7" s="197">
        <v>0</v>
      </c>
      <c r="M7" s="197">
        <v>0.03</v>
      </c>
      <c r="N7" s="197">
        <v>0</v>
      </c>
      <c r="O7" s="197">
        <v>0</v>
      </c>
      <c r="P7" s="197">
        <v>0</v>
      </c>
      <c r="Q7" s="197">
        <v>0</v>
      </c>
      <c r="R7" s="197">
        <v>0</v>
      </c>
      <c r="S7" s="197">
        <v>0</v>
      </c>
      <c r="T7" s="197">
        <v>0</v>
      </c>
      <c r="U7" s="197">
        <v>0</v>
      </c>
      <c r="V7" s="197">
        <v>0</v>
      </c>
      <c r="W7" s="197">
        <v>0</v>
      </c>
      <c r="X7" s="197">
        <v>0</v>
      </c>
      <c r="Y7" s="197">
        <v>0</v>
      </c>
      <c r="Z7" s="197">
        <v>0</v>
      </c>
      <c r="AA7" s="198">
        <v>0</v>
      </c>
      <c r="AB7" s="197">
        <v>0</v>
      </c>
      <c r="AC7" s="197">
        <v>0</v>
      </c>
      <c r="AD7" s="197">
        <v>0</v>
      </c>
      <c r="AE7" s="197">
        <v>0</v>
      </c>
      <c r="AF7" s="197">
        <v>0</v>
      </c>
      <c r="AG7" s="197">
        <v>0</v>
      </c>
      <c r="AH7" s="197">
        <v>0</v>
      </c>
      <c r="AI7" s="197">
        <v>0</v>
      </c>
      <c r="AJ7" s="197">
        <v>0</v>
      </c>
      <c r="AK7" s="197">
        <v>0</v>
      </c>
      <c r="AL7" s="197">
        <v>0</v>
      </c>
      <c r="AM7" s="197">
        <v>0</v>
      </c>
      <c r="AN7" s="197">
        <v>0</v>
      </c>
      <c r="AO7" s="197">
        <v>0</v>
      </c>
      <c r="AP7" s="197">
        <v>0</v>
      </c>
      <c r="AQ7" s="197">
        <v>0</v>
      </c>
      <c r="AR7" s="197">
        <v>0.06</v>
      </c>
      <c r="AS7" s="196">
        <v>0</v>
      </c>
      <c r="AT7" s="197">
        <v>0</v>
      </c>
      <c r="AU7" s="197">
        <v>0</v>
      </c>
      <c r="AV7" s="197">
        <v>0</v>
      </c>
      <c r="AW7" s="197">
        <v>0</v>
      </c>
      <c r="AX7" s="196">
        <v>0</v>
      </c>
      <c r="AY7" s="196">
        <v>0</v>
      </c>
      <c r="AZ7" s="196">
        <v>0</v>
      </c>
    </row>
    <row r="8" spans="1:52" x14ac:dyDescent="0.2">
      <c r="A8" s="184" t="s">
        <v>186</v>
      </c>
      <c r="B8" s="196">
        <v>0</v>
      </c>
      <c r="C8" s="196">
        <v>0</v>
      </c>
      <c r="D8" s="197">
        <v>0</v>
      </c>
      <c r="E8" s="197">
        <v>0</v>
      </c>
      <c r="F8" s="197">
        <v>0</v>
      </c>
      <c r="G8" s="197">
        <v>0</v>
      </c>
      <c r="H8" s="197">
        <v>0</v>
      </c>
      <c r="I8" s="197">
        <v>0</v>
      </c>
      <c r="J8" s="197">
        <v>0</v>
      </c>
      <c r="K8" s="197">
        <v>0</v>
      </c>
      <c r="L8" s="197">
        <v>0</v>
      </c>
      <c r="M8" s="197">
        <v>0</v>
      </c>
      <c r="N8" s="197">
        <v>0</v>
      </c>
      <c r="O8" s="197">
        <v>2.5000000000000001E-2</v>
      </c>
      <c r="P8" s="197">
        <v>0.02</v>
      </c>
      <c r="Q8" s="197">
        <v>0</v>
      </c>
      <c r="R8" s="197">
        <v>0</v>
      </c>
      <c r="S8" s="197">
        <v>0.15</v>
      </c>
      <c r="T8" s="197">
        <v>0.06</v>
      </c>
      <c r="U8" s="197">
        <v>0</v>
      </c>
      <c r="V8" s="197">
        <v>0</v>
      </c>
      <c r="W8" s="197">
        <v>0.05</v>
      </c>
      <c r="X8" s="197">
        <v>0.1</v>
      </c>
      <c r="Y8" s="197">
        <v>0</v>
      </c>
      <c r="Z8" s="197">
        <v>0</v>
      </c>
      <c r="AA8" s="198">
        <v>0.03</v>
      </c>
      <c r="AB8" s="197">
        <v>0.03</v>
      </c>
      <c r="AC8" s="197">
        <v>0.03</v>
      </c>
      <c r="AD8" s="197">
        <v>9.9000000000000005E-2</v>
      </c>
      <c r="AE8" s="197">
        <v>8.4000000000000005E-2</v>
      </c>
      <c r="AF8" s="197">
        <v>5.0000000000000001E-4</v>
      </c>
      <c r="AG8" s="197">
        <v>1E-3</v>
      </c>
      <c r="AH8" s="197">
        <v>3.0000000000000001E-3</v>
      </c>
      <c r="AI8" s="197">
        <v>0</v>
      </c>
      <c r="AJ8" s="197">
        <v>0</v>
      </c>
      <c r="AK8" s="197">
        <v>0</v>
      </c>
      <c r="AL8" s="197">
        <v>0</v>
      </c>
      <c r="AM8" s="197">
        <v>0.1</v>
      </c>
      <c r="AN8" s="197">
        <v>0.15</v>
      </c>
      <c r="AO8" s="197">
        <v>0.4</v>
      </c>
      <c r="AP8" s="197">
        <v>6.4000000000000001E-2</v>
      </c>
      <c r="AQ8" s="197">
        <v>0.7</v>
      </c>
      <c r="AR8" s="197">
        <v>2.9000000000000001E-2</v>
      </c>
      <c r="AS8" s="196">
        <v>0</v>
      </c>
      <c r="AT8" s="197">
        <v>0</v>
      </c>
      <c r="AU8" s="197">
        <v>0</v>
      </c>
      <c r="AV8" s="197">
        <v>0</v>
      </c>
      <c r="AW8" s="197">
        <v>0</v>
      </c>
      <c r="AX8" s="196">
        <v>0</v>
      </c>
      <c r="AY8" s="196">
        <v>0</v>
      </c>
      <c r="AZ8" s="196">
        <v>0</v>
      </c>
    </row>
    <row r="9" spans="1:52" x14ac:dyDescent="0.2">
      <c r="A9" s="184" t="s">
        <v>187</v>
      </c>
      <c r="B9" s="196">
        <v>0</v>
      </c>
      <c r="C9" s="196">
        <v>0</v>
      </c>
      <c r="D9" s="197">
        <v>0</v>
      </c>
      <c r="E9" s="197">
        <v>0</v>
      </c>
      <c r="F9" s="197">
        <v>0</v>
      </c>
      <c r="G9" s="197">
        <v>0</v>
      </c>
      <c r="H9" s="197">
        <v>0</v>
      </c>
      <c r="I9" s="197">
        <v>0</v>
      </c>
      <c r="J9" s="197">
        <v>0</v>
      </c>
      <c r="K9" s="197">
        <v>0</v>
      </c>
      <c r="L9" s="197">
        <v>0</v>
      </c>
      <c r="M9" s="197">
        <v>0</v>
      </c>
      <c r="N9" s="197">
        <v>0</v>
      </c>
      <c r="O9" s="197">
        <v>0</v>
      </c>
      <c r="P9" s="197">
        <v>0</v>
      </c>
      <c r="Q9" s="197">
        <v>0</v>
      </c>
      <c r="R9" s="197">
        <v>0</v>
      </c>
      <c r="S9" s="197">
        <v>0.27700000000000002</v>
      </c>
      <c r="T9" s="197">
        <v>0.2</v>
      </c>
      <c r="U9" s="197">
        <v>0</v>
      </c>
      <c r="V9" s="197">
        <v>0</v>
      </c>
      <c r="W9" s="197">
        <v>0.05</v>
      </c>
      <c r="X9" s="197">
        <v>0.05</v>
      </c>
      <c r="Y9" s="197">
        <v>0</v>
      </c>
      <c r="Z9" s="197">
        <v>0</v>
      </c>
      <c r="AA9" s="198">
        <v>0</v>
      </c>
      <c r="AB9" s="197">
        <v>0</v>
      </c>
      <c r="AC9" s="197">
        <v>0</v>
      </c>
      <c r="AD9" s="197">
        <v>0.2</v>
      </c>
      <c r="AE9" s="197">
        <v>0</v>
      </c>
      <c r="AF9" s="197">
        <v>1.5E-3</v>
      </c>
      <c r="AG9" s="197">
        <v>1E-3</v>
      </c>
      <c r="AH9" s="197">
        <v>2E-3</v>
      </c>
      <c r="AI9" s="197">
        <v>0</v>
      </c>
      <c r="AJ9" s="197">
        <v>0.02</v>
      </c>
      <c r="AK9" s="197">
        <v>0</v>
      </c>
      <c r="AL9" s="197">
        <v>0</v>
      </c>
      <c r="AM9" s="197">
        <v>0.15</v>
      </c>
      <c r="AN9" s="197">
        <v>0.15</v>
      </c>
      <c r="AO9" s="197">
        <v>0.19</v>
      </c>
      <c r="AP9" s="197">
        <v>0.2</v>
      </c>
      <c r="AQ9" s="197">
        <v>0.214</v>
      </c>
      <c r="AR9" s="197">
        <v>0.1</v>
      </c>
      <c r="AS9" s="196">
        <v>0</v>
      </c>
      <c r="AT9" s="197">
        <v>0</v>
      </c>
      <c r="AU9" s="197">
        <v>0</v>
      </c>
      <c r="AV9" s="197">
        <v>0</v>
      </c>
      <c r="AW9" s="197">
        <v>0</v>
      </c>
      <c r="AX9" s="196">
        <v>0</v>
      </c>
      <c r="AY9" s="196">
        <v>0</v>
      </c>
      <c r="AZ9" s="196">
        <v>0</v>
      </c>
    </row>
    <row r="10" spans="1:52" x14ac:dyDescent="0.2">
      <c r="A10" s="184" t="s">
        <v>189</v>
      </c>
      <c r="B10" s="196">
        <v>0</v>
      </c>
      <c r="C10" s="196">
        <v>0</v>
      </c>
      <c r="D10" s="197">
        <v>0</v>
      </c>
      <c r="E10" s="197">
        <v>0</v>
      </c>
      <c r="F10" s="197">
        <v>0</v>
      </c>
      <c r="G10" s="197">
        <v>0</v>
      </c>
      <c r="H10" s="197">
        <v>0</v>
      </c>
      <c r="I10" s="197">
        <v>0</v>
      </c>
      <c r="J10" s="197">
        <v>0</v>
      </c>
      <c r="K10" s="197">
        <v>0</v>
      </c>
      <c r="L10" s="197">
        <v>0</v>
      </c>
      <c r="M10" s="197">
        <v>0</v>
      </c>
      <c r="N10" s="197">
        <v>0</v>
      </c>
      <c r="O10" s="197">
        <v>1E-3</v>
      </c>
      <c r="P10" s="197">
        <v>0.01</v>
      </c>
      <c r="Q10" s="197">
        <v>0</v>
      </c>
      <c r="R10" s="197">
        <v>0</v>
      </c>
      <c r="S10" s="197">
        <v>0.03</v>
      </c>
      <c r="T10" s="197">
        <v>0.01</v>
      </c>
      <c r="U10" s="197">
        <v>0</v>
      </c>
      <c r="V10" s="197">
        <v>0</v>
      </c>
      <c r="W10" s="197">
        <v>0.1</v>
      </c>
      <c r="X10" s="197">
        <v>0.15</v>
      </c>
      <c r="Y10" s="197">
        <v>0</v>
      </c>
      <c r="Z10" s="197">
        <v>0</v>
      </c>
      <c r="AA10" s="198">
        <v>1E-3</v>
      </c>
      <c r="AB10" s="197">
        <v>1E-3</v>
      </c>
      <c r="AC10" s="197">
        <v>6.0000000000000001E-3</v>
      </c>
      <c r="AD10" s="197">
        <v>1E-3</v>
      </c>
      <c r="AE10" s="197">
        <v>1E-3</v>
      </c>
      <c r="AF10" s="197">
        <v>0</v>
      </c>
      <c r="AG10" s="197">
        <v>0</v>
      </c>
      <c r="AH10" s="197">
        <v>0</v>
      </c>
      <c r="AI10" s="197">
        <v>0</v>
      </c>
      <c r="AJ10" s="197">
        <v>0</v>
      </c>
      <c r="AK10" s="197">
        <v>0</v>
      </c>
      <c r="AL10" s="197">
        <v>0</v>
      </c>
      <c r="AM10" s="197">
        <v>1E-3</v>
      </c>
      <c r="AN10" s="197">
        <v>0</v>
      </c>
      <c r="AO10" s="197">
        <v>4.0000000000000001E-3</v>
      </c>
      <c r="AP10" s="197">
        <v>0.02</v>
      </c>
      <c r="AQ10" s="197">
        <v>6.6000000000000003E-2</v>
      </c>
      <c r="AR10" s="197">
        <v>0</v>
      </c>
      <c r="AS10" s="196">
        <v>0</v>
      </c>
      <c r="AT10" s="197">
        <v>0</v>
      </c>
      <c r="AU10" s="197">
        <v>0</v>
      </c>
      <c r="AV10" s="197">
        <v>0</v>
      </c>
      <c r="AW10" s="197">
        <v>0</v>
      </c>
      <c r="AX10" s="196">
        <v>0</v>
      </c>
      <c r="AY10" s="196">
        <v>0</v>
      </c>
      <c r="AZ10" s="196">
        <v>0</v>
      </c>
    </row>
    <row r="11" spans="1:52" x14ac:dyDescent="0.2">
      <c r="A11" s="184" t="s">
        <v>190</v>
      </c>
      <c r="B11" s="196">
        <v>0</v>
      </c>
      <c r="C11" s="196">
        <v>0</v>
      </c>
      <c r="D11" s="197">
        <v>0</v>
      </c>
      <c r="E11" s="197">
        <v>0</v>
      </c>
      <c r="F11" s="197">
        <v>0</v>
      </c>
      <c r="G11" s="197">
        <v>0</v>
      </c>
      <c r="H11" s="197">
        <v>0</v>
      </c>
      <c r="I11" s="197">
        <v>0</v>
      </c>
      <c r="J11" s="197">
        <v>0</v>
      </c>
      <c r="K11" s="197">
        <v>0</v>
      </c>
      <c r="L11" s="197">
        <v>0</v>
      </c>
      <c r="M11" s="197">
        <v>0</v>
      </c>
      <c r="N11" s="197">
        <v>0</v>
      </c>
      <c r="O11" s="197">
        <v>0</v>
      </c>
      <c r="P11" s="197">
        <v>0</v>
      </c>
      <c r="Q11" s="197">
        <v>0</v>
      </c>
      <c r="R11" s="197">
        <v>0</v>
      </c>
      <c r="S11" s="197">
        <v>0</v>
      </c>
      <c r="T11" s="197">
        <v>0.01</v>
      </c>
      <c r="U11" s="197">
        <v>0</v>
      </c>
      <c r="V11" s="197">
        <v>0</v>
      </c>
      <c r="W11" s="197">
        <v>0</v>
      </c>
      <c r="X11" s="197">
        <v>0</v>
      </c>
      <c r="Y11" s="197">
        <v>0</v>
      </c>
      <c r="Z11" s="197">
        <v>0</v>
      </c>
      <c r="AA11" s="198">
        <v>0</v>
      </c>
      <c r="AB11" s="197">
        <v>0</v>
      </c>
      <c r="AC11" s="197">
        <v>0</v>
      </c>
      <c r="AD11" s="197">
        <v>0</v>
      </c>
      <c r="AE11" s="197">
        <v>0</v>
      </c>
      <c r="AF11" s="197">
        <v>0</v>
      </c>
      <c r="AG11" s="197">
        <v>0</v>
      </c>
      <c r="AH11" s="197">
        <v>0</v>
      </c>
      <c r="AI11" s="197">
        <v>0</v>
      </c>
      <c r="AJ11" s="197">
        <v>0.01</v>
      </c>
      <c r="AK11" s="197">
        <v>0</v>
      </c>
      <c r="AL11" s="197">
        <v>0</v>
      </c>
      <c r="AM11" s="197">
        <v>7.0000000000000001E-3</v>
      </c>
      <c r="AN11" s="197">
        <v>7.0000000000000007E-2</v>
      </c>
      <c r="AO11" s="197">
        <v>0.2</v>
      </c>
      <c r="AP11" s="197">
        <v>0.3</v>
      </c>
      <c r="AQ11" s="197">
        <v>0</v>
      </c>
      <c r="AR11" s="197">
        <v>1.4E-2</v>
      </c>
      <c r="AS11" s="196">
        <v>0</v>
      </c>
      <c r="AT11" s="197">
        <v>0</v>
      </c>
      <c r="AU11" s="197">
        <v>0</v>
      </c>
      <c r="AV11" s="197">
        <v>0</v>
      </c>
      <c r="AW11" s="197">
        <v>0</v>
      </c>
      <c r="AX11" s="196">
        <v>0</v>
      </c>
      <c r="AY11" s="196">
        <v>0</v>
      </c>
      <c r="AZ11" s="196">
        <v>0</v>
      </c>
    </row>
    <row r="12" spans="1:52" x14ac:dyDescent="0.2">
      <c r="A12" s="184" t="s">
        <v>191</v>
      </c>
      <c r="B12" s="196">
        <v>0</v>
      </c>
      <c r="C12" s="196">
        <v>0</v>
      </c>
      <c r="D12" s="197">
        <v>0</v>
      </c>
      <c r="E12" s="197">
        <v>0</v>
      </c>
      <c r="F12" s="197">
        <v>0</v>
      </c>
      <c r="G12" s="197">
        <v>0</v>
      </c>
      <c r="H12" s="197">
        <v>0</v>
      </c>
      <c r="I12" s="197">
        <v>0</v>
      </c>
      <c r="J12" s="197">
        <v>0</v>
      </c>
      <c r="K12" s="197">
        <v>0</v>
      </c>
      <c r="L12" s="197">
        <v>0</v>
      </c>
      <c r="M12" s="197">
        <v>0</v>
      </c>
      <c r="N12" s="197">
        <v>0</v>
      </c>
      <c r="O12" s="197">
        <v>0.06</v>
      </c>
      <c r="P12" s="197">
        <v>0.01</v>
      </c>
      <c r="Q12" s="197">
        <v>0</v>
      </c>
      <c r="R12" s="197">
        <v>0</v>
      </c>
      <c r="S12" s="197">
        <v>0.11</v>
      </c>
      <c r="T12" s="197">
        <v>0.01</v>
      </c>
      <c r="U12" s="197">
        <v>0</v>
      </c>
      <c r="V12" s="197">
        <v>0</v>
      </c>
      <c r="W12" s="197">
        <v>0</v>
      </c>
      <c r="X12" s="197">
        <v>0.1</v>
      </c>
      <c r="Y12" s="197">
        <v>0</v>
      </c>
      <c r="Z12" s="197">
        <v>0</v>
      </c>
      <c r="AA12" s="198">
        <v>0.05</v>
      </c>
      <c r="AB12" s="197">
        <v>0.05</v>
      </c>
      <c r="AC12" s="197">
        <v>3.1E-2</v>
      </c>
      <c r="AD12" s="197">
        <v>8.6999999999999994E-2</v>
      </c>
      <c r="AE12" s="197">
        <v>5.3999999999999999E-2</v>
      </c>
      <c r="AF12" s="197">
        <v>2.8000000000000001E-2</v>
      </c>
      <c r="AG12" s="197">
        <v>0.11</v>
      </c>
      <c r="AH12" s="197">
        <v>2.5000000000000001E-2</v>
      </c>
      <c r="AI12" s="197">
        <v>0</v>
      </c>
      <c r="AJ12" s="197">
        <v>4.9000000000000002E-2</v>
      </c>
      <c r="AK12" s="197">
        <v>0</v>
      </c>
      <c r="AL12" s="197">
        <v>0</v>
      </c>
      <c r="AM12" s="197">
        <v>2.5000000000000001E-2</v>
      </c>
      <c r="AN12" s="197">
        <v>0.03</v>
      </c>
      <c r="AO12" s="197">
        <v>0.05</v>
      </c>
      <c r="AP12" s="197">
        <v>2.4E-2</v>
      </c>
      <c r="AQ12" s="197">
        <v>0</v>
      </c>
      <c r="AR12" s="197">
        <v>2.3E-2</v>
      </c>
      <c r="AS12" s="196">
        <v>0</v>
      </c>
      <c r="AT12" s="197">
        <v>0</v>
      </c>
      <c r="AU12" s="197">
        <v>0</v>
      </c>
      <c r="AV12" s="197">
        <v>0</v>
      </c>
      <c r="AW12" s="197">
        <v>0</v>
      </c>
      <c r="AX12" s="196">
        <v>0</v>
      </c>
      <c r="AY12" s="196">
        <v>0</v>
      </c>
      <c r="AZ12" s="196">
        <v>0</v>
      </c>
    </row>
    <row r="13" spans="1:52" x14ac:dyDescent="0.2">
      <c r="A13" s="184" t="s">
        <v>192</v>
      </c>
      <c r="B13" s="196">
        <v>0</v>
      </c>
      <c r="C13" s="196">
        <v>0</v>
      </c>
      <c r="D13" s="197">
        <v>0</v>
      </c>
      <c r="E13" s="197">
        <v>0</v>
      </c>
      <c r="F13" s="197">
        <v>0</v>
      </c>
      <c r="G13" s="197">
        <v>0</v>
      </c>
      <c r="H13" s="197">
        <v>0</v>
      </c>
      <c r="I13" s="197">
        <v>0</v>
      </c>
      <c r="J13" s="197">
        <v>0</v>
      </c>
      <c r="K13" s="197">
        <v>0</v>
      </c>
      <c r="L13" s="197">
        <v>0</v>
      </c>
      <c r="M13" s="197">
        <v>0</v>
      </c>
      <c r="N13" s="197">
        <v>0</v>
      </c>
      <c r="O13" s="197">
        <v>0</v>
      </c>
      <c r="P13" s="197">
        <v>0</v>
      </c>
      <c r="Q13" s="197">
        <v>0</v>
      </c>
      <c r="R13" s="197">
        <v>0</v>
      </c>
      <c r="S13" s="197">
        <v>1E-3</v>
      </c>
      <c r="T13" s="197">
        <v>1E-3</v>
      </c>
      <c r="U13" s="197">
        <v>0</v>
      </c>
      <c r="V13" s="197">
        <v>0</v>
      </c>
      <c r="W13" s="197">
        <v>0.1</v>
      </c>
      <c r="X13" s="197">
        <v>0.1</v>
      </c>
      <c r="Y13" s="197">
        <v>0</v>
      </c>
      <c r="Z13" s="197">
        <v>0</v>
      </c>
      <c r="AA13" s="198">
        <v>0</v>
      </c>
      <c r="AB13" s="197">
        <v>0</v>
      </c>
      <c r="AC13" s="197">
        <v>0</v>
      </c>
      <c r="AD13" s="197">
        <v>0.01</v>
      </c>
      <c r="AE13" s="197">
        <v>1E-3</v>
      </c>
      <c r="AF13" s="197">
        <v>2E-3</v>
      </c>
      <c r="AG13" s="197">
        <v>0</v>
      </c>
      <c r="AH13" s="197">
        <v>0</v>
      </c>
      <c r="AI13" s="197">
        <v>0</v>
      </c>
      <c r="AJ13" s="197">
        <v>0.02</v>
      </c>
      <c r="AK13" s="197">
        <v>0</v>
      </c>
      <c r="AL13" s="197">
        <v>0</v>
      </c>
      <c r="AM13" s="197">
        <v>3.0000000000000001E-3</v>
      </c>
      <c r="AN13" s="197">
        <v>0.02</v>
      </c>
      <c r="AO13" s="197">
        <v>2E-3</v>
      </c>
      <c r="AP13" s="197">
        <v>0.23400000000000001</v>
      </c>
      <c r="AQ13" s="197">
        <v>0</v>
      </c>
      <c r="AR13" s="197">
        <v>3.9E-2</v>
      </c>
      <c r="AS13" s="196">
        <v>0</v>
      </c>
      <c r="AT13" s="197">
        <v>0</v>
      </c>
      <c r="AU13" s="197">
        <v>0</v>
      </c>
      <c r="AV13" s="197">
        <v>0</v>
      </c>
      <c r="AW13" s="197">
        <v>0</v>
      </c>
      <c r="AX13" s="196">
        <v>0</v>
      </c>
      <c r="AY13" s="196">
        <v>0</v>
      </c>
      <c r="AZ13" s="196">
        <v>0</v>
      </c>
    </row>
    <row r="14" spans="1:52" x14ac:dyDescent="0.2">
      <c r="A14" s="184" t="s">
        <v>193</v>
      </c>
      <c r="B14" s="196">
        <v>0</v>
      </c>
      <c r="C14" s="196">
        <v>0</v>
      </c>
      <c r="D14" s="197">
        <v>0</v>
      </c>
      <c r="E14" s="197">
        <v>0</v>
      </c>
      <c r="F14" s="197">
        <v>0</v>
      </c>
      <c r="G14" s="197">
        <v>0</v>
      </c>
      <c r="H14" s="197">
        <v>0</v>
      </c>
      <c r="I14" s="197">
        <v>0</v>
      </c>
      <c r="J14" s="197">
        <v>0</v>
      </c>
      <c r="K14" s="197">
        <v>0</v>
      </c>
      <c r="L14" s="197">
        <v>0</v>
      </c>
      <c r="M14" s="197">
        <v>0</v>
      </c>
      <c r="N14" s="197">
        <v>0</v>
      </c>
      <c r="O14" s="197">
        <v>0</v>
      </c>
      <c r="P14" s="197">
        <v>0</v>
      </c>
      <c r="Q14" s="197">
        <v>0</v>
      </c>
      <c r="R14" s="197">
        <v>0</v>
      </c>
      <c r="S14" s="197">
        <v>0.01</v>
      </c>
      <c r="T14" s="197">
        <v>1E-3</v>
      </c>
      <c r="U14" s="197">
        <v>0</v>
      </c>
      <c r="V14" s="197">
        <v>0</v>
      </c>
      <c r="W14" s="197">
        <v>0.2</v>
      </c>
      <c r="X14" s="197">
        <v>0.1</v>
      </c>
      <c r="Y14" s="197">
        <v>0</v>
      </c>
      <c r="Z14" s="197">
        <v>0</v>
      </c>
      <c r="AA14" s="198">
        <v>0</v>
      </c>
      <c r="AB14" s="197">
        <v>0</v>
      </c>
      <c r="AC14" s="197">
        <v>0</v>
      </c>
      <c r="AD14" s="197">
        <v>0.03</v>
      </c>
      <c r="AE14" s="197">
        <v>0</v>
      </c>
      <c r="AF14" s="197">
        <v>0</v>
      </c>
      <c r="AG14" s="197">
        <v>0</v>
      </c>
      <c r="AH14" s="197">
        <v>0</v>
      </c>
      <c r="AI14" s="197">
        <v>0</v>
      </c>
      <c r="AJ14" s="197">
        <v>0</v>
      </c>
      <c r="AK14" s="197">
        <v>0</v>
      </c>
      <c r="AL14" s="197">
        <v>0</v>
      </c>
      <c r="AM14" s="197">
        <v>0.01</v>
      </c>
      <c r="AN14" s="197">
        <v>0</v>
      </c>
      <c r="AO14" s="197">
        <v>5.0000000000000001E-3</v>
      </c>
      <c r="AP14" s="197">
        <v>0.01</v>
      </c>
      <c r="AQ14" s="197">
        <v>7.0000000000000001E-3</v>
      </c>
      <c r="AR14" s="197">
        <v>1.0999999999999999E-2</v>
      </c>
      <c r="AS14" s="196">
        <v>0</v>
      </c>
      <c r="AT14" s="197">
        <v>0</v>
      </c>
      <c r="AU14" s="197">
        <v>0</v>
      </c>
      <c r="AV14" s="197">
        <v>0</v>
      </c>
      <c r="AW14" s="197">
        <v>0</v>
      </c>
      <c r="AX14" s="196">
        <v>0</v>
      </c>
      <c r="AY14" s="196">
        <v>0</v>
      </c>
      <c r="AZ14" s="196">
        <v>0</v>
      </c>
    </row>
    <row r="15" spans="1:52" x14ac:dyDescent="0.2">
      <c r="A15" s="184" t="s">
        <v>194</v>
      </c>
      <c r="B15" s="196">
        <v>0</v>
      </c>
      <c r="C15" s="196">
        <v>0</v>
      </c>
      <c r="D15" s="197">
        <v>0</v>
      </c>
      <c r="E15" s="197">
        <v>0</v>
      </c>
      <c r="F15" s="197">
        <v>0</v>
      </c>
      <c r="G15" s="197">
        <v>0</v>
      </c>
      <c r="H15" s="197">
        <v>0</v>
      </c>
      <c r="I15" s="197">
        <v>0</v>
      </c>
      <c r="J15" s="197">
        <v>0</v>
      </c>
      <c r="K15" s="197">
        <v>0</v>
      </c>
      <c r="L15" s="197">
        <v>0</v>
      </c>
      <c r="M15" s="197">
        <v>0</v>
      </c>
      <c r="N15" s="197">
        <v>0</v>
      </c>
      <c r="O15" s="197">
        <v>0</v>
      </c>
      <c r="P15" s="197">
        <v>0</v>
      </c>
      <c r="Q15" s="197">
        <v>0</v>
      </c>
      <c r="R15" s="197">
        <v>0</v>
      </c>
      <c r="S15" s="197">
        <v>1E-3</v>
      </c>
      <c r="T15" s="197">
        <v>1E-3</v>
      </c>
      <c r="U15" s="197">
        <v>0</v>
      </c>
      <c r="V15" s="197">
        <v>0</v>
      </c>
      <c r="W15" s="197">
        <v>0</v>
      </c>
      <c r="X15" s="197">
        <v>0</v>
      </c>
      <c r="Y15" s="197">
        <v>0</v>
      </c>
      <c r="Z15" s="197">
        <v>0</v>
      </c>
      <c r="AA15" s="198">
        <v>0</v>
      </c>
      <c r="AB15" s="197">
        <v>0</v>
      </c>
      <c r="AC15" s="197">
        <v>0</v>
      </c>
      <c r="AD15" s="197">
        <v>0.158</v>
      </c>
      <c r="AE15" s="197">
        <v>0</v>
      </c>
      <c r="AF15" s="197">
        <v>0</v>
      </c>
      <c r="AG15" s="197">
        <v>0</v>
      </c>
      <c r="AH15" s="197">
        <v>0</v>
      </c>
      <c r="AI15" s="197">
        <v>0</v>
      </c>
      <c r="AJ15" s="197">
        <v>0.09</v>
      </c>
      <c r="AK15" s="197">
        <v>0.01</v>
      </c>
      <c r="AL15" s="197">
        <v>2.5000000000000001E-2</v>
      </c>
      <c r="AM15" s="197">
        <v>2.1999999999999999E-2</v>
      </c>
      <c r="AN15" s="197">
        <v>0.27</v>
      </c>
      <c r="AO15" s="197">
        <v>0</v>
      </c>
      <c r="AP15" s="197">
        <v>0</v>
      </c>
      <c r="AQ15" s="197">
        <v>0</v>
      </c>
      <c r="AR15" s="197">
        <v>0</v>
      </c>
      <c r="AS15" s="196">
        <v>0</v>
      </c>
      <c r="AT15" s="197">
        <v>0</v>
      </c>
      <c r="AU15" s="197">
        <v>0</v>
      </c>
      <c r="AV15" s="197">
        <v>0</v>
      </c>
      <c r="AW15" s="197">
        <v>0</v>
      </c>
      <c r="AX15" s="196">
        <v>0</v>
      </c>
      <c r="AY15" s="196">
        <v>0</v>
      </c>
      <c r="AZ15" s="196">
        <v>0</v>
      </c>
    </row>
    <row r="16" spans="1:52" x14ac:dyDescent="0.2">
      <c r="A16" s="184" t="s">
        <v>195</v>
      </c>
      <c r="B16" s="196">
        <v>0</v>
      </c>
      <c r="C16" s="196">
        <v>0</v>
      </c>
      <c r="D16" s="197">
        <v>0</v>
      </c>
      <c r="E16" s="197">
        <v>0</v>
      </c>
      <c r="F16" s="197">
        <v>0</v>
      </c>
      <c r="G16" s="197">
        <v>0</v>
      </c>
      <c r="H16" s="197">
        <v>0</v>
      </c>
      <c r="I16" s="197">
        <v>0</v>
      </c>
      <c r="J16" s="197">
        <v>0</v>
      </c>
      <c r="K16" s="197">
        <v>0</v>
      </c>
      <c r="L16" s="197">
        <v>0</v>
      </c>
      <c r="M16" s="197">
        <v>0</v>
      </c>
      <c r="N16" s="197">
        <v>0</v>
      </c>
      <c r="O16" s="197">
        <v>0</v>
      </c>
      <c r="P16" s="197">
        <v>0</v>
      </c>
      <c r="Q16" s="197">
        <v>0</v>
      </c>
      <c r="R16" s="197">
        <v>0</v>
      </c>
      <c r="S16" s="197">
        <v>1E-3</v>
      </c>
      <c r="T16" s="197">
        <v>1E-3</v>
      </c>
      <c r="U16" s="197">
        <v>0</v>
      </c>
      <c r="V16" s="197">
        <v>0</v>
      </c>
      <c r="W16" s="197">
        <v>0.1</v>
      </c>
      <c r="X16" s="197">
        <v>0</v>
      </c>
      <c r="Y16" s="197">
        <v>0</v>
      </c>
      <c r="Z16" s="197">
        <v>0</v>
      </c>
      <c r="AA16" s="198">
        <v>0</v>
      </c>
      <c r="AB16" s="197">
        <v>0</v>
      </c>
      <c r="AC16" s="197">
        <v>0</v>
      </c>
      <c r="AD16" s="197">
        <v>0.02</v>
      </c>
      <c r="AE16" s="197">
        <v>0</v>
      </c>
      <c r="AF16" s="197">
        <v>0</v>
      </c>
      <c r="AG16" s="197">
        <v>0</v>
      </c>
      <c r="AH16" s="197">
        <v>0</v>
      </c>
      <c r="AI16" s="197">
        <v>0</v>
      </c>
      <c r="AJ16" s="197">
        <v>0.01</v>
      </c>
      <c r="AK16" s="197">
        <v>0</v>
      </c>
      <c r="AL16" s="197">
        <v>1E-3</v>
      </c>
      <c r="AM16" s="197">
        <v>1.2999999999999999E-2</v>
      </c>
      <c r="AN16" s="197">
        <v>0</v>
      </c>
      <c r="AO16" s="197">
        <v>8.9999999999999993E-3</v>
      </c>
      <c r="AP16" s="197">
        <v>2.1999999999999999E-2</v>
      </c>
      <c r="AQ16" s="197">
        <v>0</v>
      </c>
      <c r="AR16" s="197">
        <v>0</v>
      </c>
      <c r="AS16" s="196">
        <v>0</v>
      </c>
      <c r="AT16" s="197">
        <v>0</v>
      </c>
      <c r="AU16" s="197">
        <v>0</v>
      </c>
      <c r="AV16" s="197">
        <v>0</v>
      </c>
      <c r="AW16" s="197">
        <v>0</v>
      </c>
      <c r="AX16" s="196">
        <v>0</v>
      </c>
      <c r="AY16" s="196">
        <v>0</v>
      </c>
      <c r="AZ16" s="196">
        <v>0</v>
      </c>
    </row>
    <row r="17" spans="1:52" x14ac:dyDescent="0.2">
      <c r="A17" s="184" t="s">
        <v>196</v>
      </c>
      <c r="B17" s="196">
        <v>0</v>
      </c>
      <c r="C17" s="196">
        <v>0</v>
      </c>
      <c r="D17" s="197">
        <v>0</v>
      </c>
      <c r="E17" s="197">
        <v>0</v>
      </c>
      <c r="F17" s="197">
        <v>0</v>
      </c>
      <c r="G17" s="197">
        <v>0</v>
      </c>
      <c r="H17" s="197">
        <v>0</v>
      </c>
      <c r="I17" s="197">
        <v>0</v>
      </c>
      <c r="J17" s="197">
        <v>0</v>
      </c>
      <c r="K17" s="197">
        <v>0</v>
      </c>
      <c r="L17" s="197">
        <v>0</v>
      </c>
      <c r="M17" s="197">
        <v>0</v>
      </c>
      <c r="N17" s="197">
        <v>0</v>
      </c>
      <c r="O17" s="197">
        <v>0</v>
      </c>
      <c r="P17" s="197">
        <v>0.08</v>
      </c>
      <c r="Q17" s="197">
        <v>0</v>
      </c>
      <c r="R17" s="197">
        <v>0</v>
      </c>
      <c r="S17" s="197">
        <v>2.5000000000000001E-2</v>
      </c>
      <c r="T17" s="197">
        <v>2.5000000000000001E-2</v>
      </c>
      <c r="U17" s="197">
        <v>0</v>
      </c>
      <c r="V17" s="197">
        <v>0</v>
      </c>
      <c r="W17" s="197">
        <v>0</v>
      </c>
      <c r="X17" s="197">
        <v>0</v>
      </c>
      <c r="Y17" s="197">
        <v>0</v>
      </c>
      <c r="Z17" s="197">
        <v>0</v>
      </c>
      <c r="AA17" s="198">
        <v>0.05</v>
      </c>
      <c r="AB17" s="197">
        <v>0.05</v>
      </c>
      <c r="AC17" s="197">
        <v>4.3999999999999997E-2</v>
      </c>
      <c r="AD17" s="197">
        <v>2.5000000000000001E-2</v>
      </c>
      <c r="AE17" s="197">
        <v>4.1000000000000002E-2</v>
      </c>
      <c r="AF17" s="197">
        <v>0.182</v>
      </c>
      <c r="AG17" s="197">
        <v>7.4999999999999997E-2</v>
      </c>
      <c r="AH17" s="197">
        <v>2.5000000000000001E-2</v>
      </c>
      <c r="AI17" s="197">
        <v>0</v>
      </c>
      <c r="AJ17" s="197">
        <v>0.125</v>
      </c>
      <c r="AK17" s="197">
        <v>5.0000000000000001E-3</v>
      </c>
      <c r="AL17" s="197">
        <v>0</v>
      </c>
      <c r="AM17" s="197">
        <v>5.0000000000000001E-3</v>
      </c>
      <c r="AN17" s="197">
        <v>0.02</v>
      </c>
      <c r="AO17" s="197">
        <v>1E-3</v>
      </c>
      <c r="AP17" s="197">
        <v>7.0000000000000001E-3</v>
      </c>
      <c r="AQ17" s="197">
        <v>0</v>
      </c>
      <c r="AR17" s="197">
        <v>8.5999999999999993E-2</v>
      </c>
      <c r="AS17" s="196">
        <v>0</v>
      </c>
      <c r="AT17" s="197">
        <v>0</v>
      </c>
      <c r="AU17" s="197">
        <v>0</v>
      </c>
      <c r="AV17" s="197">
        <v>0</v>
      </c>
      <c r="AW17" s="197">
        <v>0</v>
      </c>
      <c r="AX17" s="196">
        <v>0</v>
      </c>
      <c r="AY17" s="196">
        <v>0</v>
      </c>
      <c r="AZ17" s="196">
        <v>0</v>
      </c>
    </row>
    <row r="18" spans="1:52" x14ac:dyDescent="0.2">
      <c r="A18" s="184" t="s">
        <v>197</v>
      </c>
      <c r="B18" s="196">
        <v>0</v>
      </c>
      <c r="C18" s="196">
        <v>0</v>
      </c>
      <c r="D18" s="197">
        <v>0</v>
      </c>
      <c r="E18" s="197">
        <v>0</v>
      </c>
      <c r="F18" s="197">
        <v>0</v>
      </c>
      <c r="G18" s="197">
        <v>0</v>
      </c>
      <c r="H18" s="197">
        <v>0</v>
      </c>
      <c r="I18" s="197">
        <v>0</v>
      </c>
      <c r="J18" s="197">
        <v>0</v>
      </c>
      <c r="K18" s="197">
        <v>0</v>
      </c>
      <c r="L18" s="197">
        <v>0</v>
      </c>
      <c r="M18" s="197">
        <v>0</v>
      </c>
      <c r="N18" s="197">
        <v>0</v>
      </c>
      <c r="O18" s="197">
        <v>0</v>
      </c>
      <c r="P18" s="197">
        <v>7.0000000000000007E-2</v>
      </c>
      <c r="Q18" s="197">
        <v>0</v>
      </c>
      <c r="R18" s="197">
        <v>0</v>
      </c>
      <c r="S18" s="197">
        <v>2.5000000000000001E-2</v>
      </c>
      <c r="T18" s="197">
        <v>2.5000000000000001E-2</v>
      </c>
      <c r="U18" s="197">
        <v>0</v>
      </c>
      <c r="V18" s="197">
        <v>0</v>
      </c>
      <c r="W18" s="197">
        <v>0</v>
      </c>
      <c r="X18" s="197">
        <v>0</v>
      </c>
      <c r="Y18" s="197">
        <v>0</v>
      </c>
      <c r="Z18" s="197">
        <v>0</v>
      </c>
      <c r="AA18" s="198">
        <v>0.05</v>
      </c>
      <c r="AB18" s="197">
        <v>0.05</v>
      </c>
      <c r="AC18" s="197">
        <v>4.3999999999999997E-2</v>
      </c>
      <c r="AD18" s="197">
        <v>2.5000000000000001E-2</v>
      </c>
      <c r="AE18" s="197">
        <v>0.04</v>
      </c>
      <c r="AF18" s="197">
        <v>0.182</v>
      </c>
      <c r="AG18" s="197">
        <v>7.4999999999999997E-2</v>
      </c>
      <c r="AH18" s="197">
        <v>2.5000000000000001E-2</v>
      </c>
      <c r="AI18" s="197">
        <v>0</v>
      </c>
      <c r="AJ18" s="197">
        <v>0.125</v>
      </c>
      <c r="AK18" s="197">
        <v>5.0000000000000001E-3</v>
      </c>
      <c r="AL18" s="197">
        <v>0</v>
      </c>
      <c r="AM18" s="197">
        <v>5.0000000000000001E-3</v>
      </c>
      <c r="AN18" s="197">
        <v>0.02</v>
      </c>
      <c r="AO18" s="197">
        <v>1E-3</v>
      </c>
      <c r="AP18" s="197">
        <v>7.0000000000000001E-3</v>
      </c>
      <c r="AQ18" s="197">
        <v>0</v>
      </c>
      <c r="AR18" s="197">
        <v>8.5999999999999993E-2</v>
      </c>
      <c r="AS18" s="196">
        <v>0</v>
      </c>
      <c r="AT18" s="197">
        <v>0</v>
      </c>
      <c r="AU18" s="197">
        <v>0</v>
      </c>
      <c r="AV18" s="197">
        <v>0</v>
      </c>
      <c r="AW18" s="197">
        <v>0</v>
      </c>
      <c r="AX18" s="196">
        <v>0</v>
      </c>
      <c r="AY18" s="196">
        <v>0</v>
      </c>
      <c r="AZ18" s="196">
        <v>0</v>
      </c>
    </row>
    <row r="19" spans="1:52" x14ac:dyDescent="0.2">
      <c r="A19" s="184" t="s">
        <v>198</v>
      </c>
      <c r="B19" s="196">
        <v>0</v>
      </c>
      <c r="C19" s="196">
        <v>0</v>
      </c>
      <c r="D19" s="197">
        <v>0</v>
      </c>
      <c r="E19" s="197">
        <v>0</v>
      </c>
      <c r="F19" s="197">
        <v>0</v>
      </c>
      <c r="G19" s="197">
        <v>0</v>
      </c>
      <c r="H19" s="197">
        <v>0</v>
      </c>
      <c r="I19" s="197">
        <v>0</v>
      </c>
      <c r="J19" s="197">
        <v>0</v>
      </c>
      <c r="K19" s="197">
        <v>0</v>
      </c>
      <c r="L19" s="197">
        <v>0</v>
      </c>
      <c r="M19" s="197">
        <v>0</v>
      </c>
      <c r="N19" s="197">
        <v>0</v>
      </c>
      <c r="O19" s="197">
        <v>0</v>
      </c>
      <c r="P19" s="197">
        <v>0</v>
      </c>
      <c r="Q19" s="197">
        <v>0</v>
      </c>
      <c r="R19" s="197">
        <v>0</v>
      </c>
      <c r="S19" s="197">
        <v>0</v>
      </c>
      <c r="T19" s="197">
        <v>0</v>
      </c>
      <c r="U19" s="197">
        <v>0</v>
      </c>
      <c r="V19" s="197">
        <v>0</v>
      </c>
      <c r="W19" s="197">
        <v>0</v>
      </c>
      <c r="X19" s="197">
        <v>0</v>
      </c>
      <c r="Y19" s="197">
        <v>0</v>
      </c>
      <c r="Z19" s="197">
        <v>0</v>
      </c>
      <c r="AA19" s="198">
        <v>0</v>
      </c>
      <c r="AB19" s="197">
        <v>0</v>
      </c>
      <c r="AC19" s="197">
        <v>0</v>
      </c>
      <c r="AD19" s="197">
        <v>2E-3</v>
      </c>
      <c r="AE19" s="197">
        <v>0</v>
      </c>
      <c r="AF19" s="197">
        <v>1E-3</v>
      </c>
      <c r="AG19" s="197">
        <v>0</v>
      </c>
      <c r="AH19" s="197">
        <v>0</v>
      </c>
      <c r="AI19" s="197">
        <v>0</v>
      </c>
      <c r="AJ19" s="197">
        <v>1E-3</v>
      </c>
      <c r="AK19" s="197">
        <v>0</v>
      </c>
      <c r="AL19" s="197">
        <v>0.01</v>
      </c>
      <c r="AM19" s="197">
        <v>0</v>
      </c>
      <c r="AN19" s="197">
        <v>0</v>
      </c>
      <c r="AO19" s="197">
        <v>6.0000000000000001E-3</v>
      </c>
      <c r="AP19" s="197">
        <v>1.2E-2</v>
      </c>
      <c r="AQ19" s="197">
        <v>0</v>
      </c>
      <c r="AR19" s="197">
        <v>0</v>
      </c>
      <c r="AS19" s="196">
        <v>0</v>
      </c>
      <c r="AT19" s="197">
        <v>0</v>
      </c>
      <c r="AU19" s="197">
        <v>0</v>
      </c>
      <c r="AV19" s="197">
        <v>0</v>
      </c>
      <c r="AW19" s="197">
        <v>0</v>
      </c>
      <c r="AX19" s="196">
        <v>0</v>
      </c>
      <c r="AY19" s="196">
        <v>0</v>
      </c>
      <c r="AZ19" s="196">
        <v>0</v>
      </c>
    </row>
    <row r="20" spans="1:52" x14ac:dyDescent="0.2">
      <c r="A20" s="184" t="s">
        <v>199</v>
      </c>
      <c r="B20" s="196">
        <v>0</v>
      </c>
      <c r="C20" s="196">
        <v>0</v>
      </c>
      <c r="D20" s="197">
        <v>0</v>
      </c>
      <c r="E20" s="197">
        <v>0</v>
      </c>
      <c r="F20" s="197">
        <v>0</v>
      </c>
      <c r="G20" s="197">
        <v>0</v>
      </c>
      <c r="H20" s="197">
        <v>0</v>
      </c>
      <c r="I20" s="197">
        <v>0</v>
      </c>
      <c r="J20" s="197">
        <v>0</v>
      </c>
      <c r="K20" s="197">
        <v>0</v>
      </c>
      <c r="L20" s="197">
        <v>0</v>
      </c>
      <c r="M20" s="197">
        <v>0</v>
      </c>
      <c r="N20" s="197">
        <v>0</v>
      </c>
      <c r="O20" s="197">
        <v>0</v>
      </c>
      <c r="P20" s="197">
        <v>0</v>
      </c>
      <c r="Q20" s="197">
        <v>0</v>
      </c>
      <c r="R20" s="197">
        <v>0</v>
      </c>
      <c r="S20" s="197">
        <v>0</v>
      </c>
      <c r="T20" s="197">
        <v>0</v>
      </c>
      <c r="U20" s="197">
        <v>0</v>
      </c>
      <c r="V20" s="197">
        <v>0</v>
      </c>
      <c r="W20" s="197">
        <v>0</v>
      </c>
      <c r="X20" s="197">
        <v>0</v>
      </c>
      <c r="Y20" s="197">
        <v>0</v>
      </c>
      <c r="Z20" s="197">
        <v>0</v>
      </c>
      <c r="AA20" s="198">
        <v>0</v>
      </c>
      <c r="AB20" s="197">
        <v>0</v>
      </c>
      <c r="AC20" s="197">
        <v>0</v>
      </c>
      <c r="AD20" s="197">
        <v>0</v>
      </c>
      <c r="AE20" s="197">
        <v>0</v>
      </c>
      <c r="AF20" s="197">
        <v>0</v>
      </c>
      <c r="AG20" s="197">
        <v>0</v>
      </c>
      <c r="AH20" s="197">
        <v>0</v>
      </c>
      <c r="AI20" s="197">
        <v>0</v>
      </c>
      <c r="AJ20" s="197">
        <v>0</v>
      </c>
      <c r="AK20" s="197">
        <v>0</v>
      </c>
      <c r="AL20" s="197">
        <v>0.01</v>
      </c>
      <c r="AM20" s="197">
        <v>0</v>
      </c>
      <c r="AN20" s="197">
        <v>0</v>
      </c>
      <c r="AO20" s="197">
        <v>0</v>
      </c>
      <c r="AP20" s="197">
        <v>0</v>
      </c>
      <c r="AQ20" s="197">
        <v>0</v>
      </c>
      <c r="AR20" s="197">
        <v>0</v>
      </c>
      <c r="AS20" s="196">
        <v>0</v>
      </c>
      <c r="AT20" s="197">
        <v>0</v>
      </c>
      <c r="AU20" s="197">
        <v>0</v>
      </c>
      <c r="AV20" s="197">
        <v>0</v>
      </c>
      <c r="AW20" s="197">
        <v>0</v>
      </c>
      <c r="AX20" s="196">
        <v>0</v>
      </c>
      <c r="AY20" s="196">
        <v>0</v>
      </c>
      <c r="AZ20" s="196">
        <v>0</v>
      </c>
    </row>
    <row r="21" spans="1:52" x14ac:dyDescent="0.2">
      <c r="A21" s="184" t="s">
        <v>200</v>
      </c>
      <c r="B21" s="196">
        <v>0</v>
      </c>
      <c r="C21" s="196">
        <v>0</v>
      </c>
      <c r="D21" s="197">
        <v>0</v>
      </c>
      <c r="E21" s="197">
        <v>0</v>
      </c>
      <c r="F21" s="197">
        <v>0</v>
      </c>
      <c r="G21" s="197">
        <v>0</v>
      </c>
      <c r="H21" s="197">
        <v>0</v>
      </c>
      <c r="I21" s="197">
        <v>0</v>
      </c>
      <c r="J21" s="197">
        <v>0</v>
      </c>
      <c r="K21" s="197">
        <v>0</v>
      </c>
      <c r="L21" s="197">
        <v>0</v>
      </c>
      <c r="M21" s="197">
        <v>0</v>
      </c>
      <c r="N21" s="197">
        <v>0</v>
      </c>
      <c r="O21" s="197">
        <v>0</v>
      </c>
      <c r="P21" s="197">
        <v>0</v>
      </c>
      <c r="Q21" s="197">
        <v>0</v>
      </c>
      <c r="R21" s="197">
        <v>0</v>
      </c>
      <c r="S21" s="197">
        <v>0</v>
      </c>
      <c r="T21" s="197">
        <v>0</v>
      </c>
      <c r="U21" s="197">
        <v>0</v>
      </c>
      <c r="V21" s="197">
        <v>0</v>
      </c>
      <c r="W21" s="197">
        <v>0</v>
      </c>
      <c r="X21" s="197">
        <v>0</v>
      </c>
      <c r="Y21" s="197">
        <v>0</v>
      </c>
      <c r="Z21" s="197">
        <v>0</v>
      </c>
      <c r="AA21" s="198">
        <v>0</v>
      </c>
      <c r="AB21" s="197">
        <v>0</v>
      </c>
      <c r="AC21" s="197">
        <v>0</v>
      </c>
      <c r="AD21" s="197">
        <v>0</v>
      </c>
      <c r="AE21" s="197">
        <v>0</v>
      </c>
      <c r="AF21" s="197">
        <v>0</v>
      </c>
      <c r="AG21" s="197">
        <v>0</v>
      </c>
      <c r="AH21" s="197">
        <v>0</v>
      </c>
      <c r="AI21" s="197">
        <v>0</v>
      </c>
      <c r="AJ21" s="197">
        <v>1E-3</v>
      </c>
      <c r="AK21" s="197">
        <v>0</v>
      </c>
      <c r="AL21" s="197">
        <v>0.01</v>
      </c>
      <c r="AM21" s="197">
        <v>0</v>
      </c>
      <c r="AN21" s="197">
        <v>0</v>
      </c>
      <c r="AO21" s="197">
        <v>0</v>
      </c>
      <c r="AP21" s="197">
        <v>0</v>
      </c>
      <c r="AQ21" s="197">
        <v>0</v>
      </c>
      <c r="AR21" s="197">
        <v>0</v>
      </c>
      <c r="AS21" s="196">
        <v>0</v>
      </c>
      <c r="AT21" s="197">
        <v>0</v>
      </c>
      <c r="AU21" s="197">
        <v>0</v>
      </c>
      <c r="AV21" s="197">
        <v>0</v>
      </c>
      <c r="AW21" s="197">
        <v>0</v>
      </c>
      <c r="AX21" s="196">
        <v>0</v>
      </c>
      <c r="AY21" s="196">
        <v>0</v>
      </c>
      <c r="AZ21" s="196">
        <v>0</v>
      </c>
    </row>
    <row r="22" spans="1:52" x14ac:dyDescent="0.2">
      <c r="A22" s="184" t="s">
        <v>201</v>
      </c>
      <c r="B22" s="196">
        <v>0</v>
      </c>
      <c r="C22" s="196">
        <v>0</v>
      </c>
      <c r="D22" s="197">
        <v>0</v>
      </c>
      <c r="E22" s="197">
        <v>0</v>
      </c>
      <c r="F22" s="197">
        <v>0</v>
      </c>
      <c r="G22" s="197">
        <v>0</v>
      </c>
      <c r="H22" s="197">
        <v>0</v>
      </c>
      <c r="I22" s="197">
        <v>0</v>
      </c>
      <c r="J22" s="197">
        <v>0</v>
      </c>
      <c r="K22" s="197">
        <v>0</v>
      </c>
      <c r="L22" s="197">
        <v>0</v>
      </c>
      <c r="M22" s="197">
        <v>0</v>
      </c>
      <c r="N22" s="197">
        <v>0</v>
      </c>
      <c r="O22" s="197">
        <v>0</v>
      </c>
      <c r="P22" s="197">
        <v>0</v>
      </c>
      <c r="Q22" s="197">
        <v>0</v>
      </c>
      <c r="R22" s="197">
        <v>0</v>
      </c>
      <c r="S22" s="197">
        <v>0</v>
      </c>
      <c r="T22" s="197">
        <v>0</v>
      </c>
      <c r="U22" s="197">
        <v>0</v>
      </c>
      <c r="V22" s="197">
        <v>0</v>
      </c>
      <c r="W22" s="197">
        <v>0</v>
      </c>
      <c r="X22" s="197">
        <v>0</v>
      </c>
      <c r="Y22" s="197">
        <v>0</v>
      </c>
      <c r="Z22" s="197">
        <v>0</v>
      </c>
      <c r="AA22" s="198">
        <v>0</v>
      </c>
      <c r="AB22" s="197">
        <v>0</v>
      </c>
      <c r="AC22" s="197">
        <v>0</v>
      </c>
      <c r="AD22" s="197">
        <v>0</v>
      </c>
      <c r="AE22" s="197">
        <v>0</v>
      </c>
      <c r="AF22" s="197">
        <v>0</v>
      </c>
      <c r="AG22" s="197">
        <v>0</v>
      </c>
      <c r="AH22" s="197">
        <v>0</v>
      </c>
      <c r="AI22" s="197">
        <v>0</v>
      </c>
      <c r="AJ22" s="197">
        <v>1E-3</v>
      </c>
      <c r="AK22" s="197">
        <v>0</v>
      </c>
      <c r="AL22" s="197">
        <v>0.01</v>
      </c>
      <c r="AM22" s="197">
        <v>0</v>
      </c>
      <c r="AN22" s="197">
        <v>0</v>
      </c>
      <c r="AO22" s="197">
        <v>0</v>
      </c>
      <c r="AP22" s="197">
        <v>0</v>
      </c>
      <c r="AQ22" s="197">
        <v>0</v>
      </c>
      <c r="AR22" s="197">
        <v>0</v>
      </c>
      <c r="AS22" s="196">
        <v>0</v>
      </c>
      <c r="AT22" s="197">
        <v>0</v>
      </c>
      <c r="AU22" s="197">
        <v>0</v>
      </c>
      <c r="AV22" s="197">
        <v>0</v>
      </c>
      <c r="AW22" s="197">
        <v>0</v>
      </c>
      <c r="AX22" s="196">
        <v>0</v>
      </c>
      <c r="AY22" s="196">
        <v>0</v>
      </c>
      <c r="AZ22" s="196">
        <v>0</v>
      </c>
    </row>
    <row r="23" spans="1:52" x14ac:dyDescent="0.2">
      <c r="A23" s="184" t="s">
        <v>202</v>
      </c>
      <c r="B23" s="196">
        <v>0</v>
      </c>
      <c r="C23" s="196">
        <v>0</v>
      </c>
      <c r="D23" s="197">
        <v>0</v>
      </c>
      <c r="E23" s="197">
        <v>0</v>
      </c>
      <c r="F23" s="197">
        <v>0</v>
      </c>
      <c r="G23" s="197">
        <v>0</v>
      </c>
      <c r="H23" s="197">
        <v>0</v>
      </c>
      <c r="I23" s="197">
        <v>0</v>
      </c>
      <c r="J23" s="197">
        <v>0</v>
      </c>
      <c r="K23" s="197">
        <v>0</v>
      </c>
      <c r="L23" s="197">
        <v>0</v>
      </c>
      <c r="M23" s="197">
        <v>0</v>
      </c>
      <c r="N23" s="197">
        <v>0</v>
      </c>
      <c r="O23" s="197">
        <v>0</v>
      </c>
      <c r="P23" s="197">
        <v>0</v>
      </c>
      <c r="Q23" s="197">
        <v>0</v>
      </c>
      <c r="R23" s="197">
        <v>0</v>
      </c>
      <c r="S23" s="197">
        <v>0</v>
      </c>
      <c r="T23" s="197">
        <v>0</v>
      </c>
      <c r="U23" s="197">
        <v>0</v>
      </c>
      <c r="V23" s="197">
        <v>0</v>
      </c>
      <c r="W23" s="197">
        <v>0</v>
      </c>
      <c r="X23" s="197">
        <v>0</v>
      </c>
      <c r="Y23" s="197">
        <v>0</v>
      </c>
      <c r="Z23" s="197">
        <v>0</v>
      </c>
      <c r="AA23" s="198">
        <v>0</v>
      </c>
      <c r="AB23" s="197">
        <v>0</v>
      </c>
      <c r="AC23" s="197">
        <v>0</v>
      </c>
      <c r="AD23" s="197">
        <v>0</v>
      </c>
      <c r="AE23" s="197">
        <v>0</v>
      </c>
      <c r="AF23" s="197">
        <v>0</v>
      </c>
      <c r="AG23" s="197">
        <v>0</v>
      </c>
      <c r="AH23" s="197">
        <v>0</v>
      </c>
      <c r="AI23" s="197">
        <v>0</v>
      </c>
      <c r="AJ23" s="197">
        <v>1E-3</v>
      </c>
      <c r="AK23" s="197">
        <v>0</v>
      </c>
      <c r="AL23" s="197">
        <v>0.01</v>
      </c>
      <c r="AM23" s="197">
        <v>0</v>
      </c>
      <c r="AN23" s="197">
        <v>0</v>
      </c>
      <c r="AO23" s="197">
        <v>0</v>
      </c>
      <c r="AP23" s="197">
        <v>0</v>
      </c>
      <c r="AQ23" s="197">
        <v>0</v>
      </c>
      <c r="AR23" s="197">
        <v>0</v>
      </c>
      <c r="AS23" s="196">
        <v>0</v>
      </c>
      <c r="AT23" s="197">
        <v>0</v>
      </c>
      <c r="AU23" s="197">
        <v>0</v>
      </c>
      <c r="AV23" s="197">
        <v>0</v>
      </c>
      <c r="AW23" s="197">
        <v>0</v>
      </c>
      <c r="AX23" s="196">
        <v>0</v>
      </c>
      <c r="AY23" s="196">
        <v>0</v>
      </c>
      <c r="AZ23" s="196">
        <v>0</v>
      </c>
    </row>
    <row r="24" spans="1:52" x14ac:dyDescent="0.2">
      <c r="A24" s="184" t="s">
        <v>203</v>
      </c>
      <c r="B24" s="196">
        <v>0</v>
      </c>
      <c r="C24" s="196">
        <v>0</v>
      </c>
      <c r="D24" s="197">
        <v>0</v>
      </c>
      <c r="E24" s="197">
        <v>0</v>
      </c>
      <c r="F24" s="197">
        <v>0</v>
      </c>
      <c r="G24" s="197">
        <v>0</v>
      </c>
      <c r="H24" s="197">
        <v>0</v>
      </c>
      <c r="I24" s="197">
        <v>0</v>
      </c>
      <c r="J24" s="197">
        <v>0</v>
      </c>
      <c r="K24" s="197">
        <v>0</v>
      </c>
      <c r="L24" s="197">
        <v>0</v>
      </c>
      <c r="M24" s="197">
        <v>0</v>
      </c>
      <c r="N24" s="197">
        <v>0</v>
      </c>
      <c r="O24" s="197">
        <v>0</v>
      </c>
      <c r="P24" s="197">
        <v>0</v>
      </c>
      <c r="Q24" s="197">
        <v>0</v>
      </c>
      <c r="R24" s="197">
        <v>0</v>
      </c>
      <c r="S24" s="197">
        <v>0</v>
      </c>
      <c r="T24" s="197">
        <v>0</v>
      </c>
      <c r="U24" s="197">
        <v>0</v>
      </c>
      <c r="V24" s="197">
        <v>0</v>
      </c>
      <c r="W24" s="197">
        <v>0.1</v>
      </c>
      <c r="X24" s="197">
        <v>0</v>
      </c>
      <c r="Y24" s="197">
        <v>0</v>
      </c>
      <c r="Z24" s="197">
        <v>0</v>
      </c>
      <c r="AA24" s="198">
        <v>0</v>
      </c>
      <c r="AB24" s="197">
        <v>0</v>
      </c>
      <c r="AC24" s="197">
        <v>0</v>
      </c>
      <c r="AD24" s="197">
        <v>0</v>
      </c>
      <c r="AE24" s="197">
        <v>0</v>
      </c>
      <c r="AF24" s="197">
        <v>0</v>
      </c>
      <c r="AG24" s="197">
        <v>0</v>
      </c>
      <c r="AH24" s="197">
        <v>0</v>
      </c>
      <c r="AI24" s="197">
        <v>0</v>
      </c>
      <c r="AJ24" s="197">
        <v>0</v>
      </c>
      <c r="AK24" s="197">
        <v>0</v>
      </c>
      <c r="AL24" s="197">
        <v>0.01</v>
      </c>
      <c r="AM24" s="197">
        <v>0</v>
      </c>
      <c r="AN24" s="197">
        <v>0</v>
      </c>
      <c r="AO24" s="197">
        <v>0</v>
      </c>
      <c r="AP24" s="197">
        <v>0</v>
      </c>
      <c r="AQ24" s="197">
        <v>0</v>
      </c>
      <c r="AR24" s="197">
        <v>0</v>
      </c>
      <c r="AS24" s="196">
        <v>0</v>
      </c>
      <c r="AT24" s="197">
        <v>0</v>
      </c>
      <c r="AU24" s="197">
        <v>0</v>
      </c>
      <c r="AV24" s="197">
        <v>0</v>
      </c>
      <c r="AW24" s="197">
        <v>0</v>
      </c>
      <c r="AX24" s="196">
        <v>0</v>
      </c>
      <c r="AY24" s="196">
        <v>0</v>
      </c>
      <c r="AZ24" s="196">
        <v>0</v>
      </c>
    </row>
    <row r="25" spans="1:52" x14ac:dyDescent="0.2">
      <c r="A25" s="184" t="s">
        <v>204</v>
      </c>
      <c r="B25" s="196">
        <v>0</v>
      </c>
      <c r="C25" s="196">
        <v>0</v>
      </c>
      <c r="D25" s="197">
        <v>0</v>
      </c>
      <c r="E25" s="197">
        <v>0</v>
      </c>
      <c r="F25" s="197">
        <v>0</v>
      </c>
      <c r="G25" s="197">
        <v>0</v>
      </c>
      <c r="H25" s="197">
        <v>0</v>
      </c>
      <c r="I25" s="197">
        <v>0</v>
      </c>
      <c r="J25" s="197">
        <v>0</v>
      </c>
      <c r="K25" s="197">
        <v>0</v>
      </c>
      <c r="L25" s="197">
        <v>0</v>
      </c>
      <c r="M25" s="197">
        <v>0</v>
      </c>
      <c r="N25" s="197">
        <v>0</v>
      </c>
      <c r="O25" s="197">
        <v>0</v>
      </c>
      <c r="P25" s="197">
        <v>0</v>
      </c>
      <c r="Q25" s="197">
        <v>0</v>
      </c>
      <c r="R25" s="197">
        <v>0</v>
      </c>
      <c r="S25" s="197">
        <v>0</v>
      </c>
      <c r="T25" s="197">
        <v>0</v>
      </c>
      <c r="U25" s="197">
        <v>0</v>
      </c>
      <c r="V25" s="197">
        <v>0</v>
      </c>
      <c r="W25" s="197">
        <v>0</v>
      </c>
      <c r="X25" s="197">
        <v>0</v>
      </c>
      <c r="Y25" s="197">
        <v>0</v>
      </c>
      <c r="Z25" s="197">
        <v>0</v>
      </c>
      <c r="AA25" s="198">
        <v>0</v>
      </c>
      <c r="AB25" s="197">
        <v>0</v>
      </c>
      <c r="AC25" s="197">
        <v>0</v>
      </c>
      <c r="AD25" s="197">
        <v>0</v>
      </c>
      <c r="AE25" s="197">
        <v>0</v>
      </c>
      <c r="AF25" s="197">
        <v>0</v>
      </c>
      <c r="AG25" s="197">
        <v>0</v>
      </c>
      <c r="AH25" s="197">
        <v>0</v>
      </c>
      <c r="AI25" s="197">
        <v>0</v>
      </c>
      <c r="AJ25" s="197">
        <v>1E-3</v>
      </c>
      <c r="AK25" s="197">
        <v>0</v>
      </c>
      <c r="AL25" s="197">
        <v>0.01</v>
      </c>
      <c r="AM25" s="197">
        <v>1E-3</v>
      </c>
      <c r="AN25" s="197">
        <v>0</v>
      </c>
      <c r="AO25" s="197">
        <v>0</v>
      </c>
      <c r="AP25" s="197">
        <v>0</v>
      </c>
      <c r="AQ25" s="197">
        <v>0</v>
      </c>
      <c r="AR25" s="197">
        <v>0</v>
      </c>
      <c r="AS25" s="196">
        <v>0</v>
      </c>
      <c r="AT25" s="197">
        <v>0</v>
      </c>
      <c r="AU25" s="197">
        <v>0</v>
      </c>
      <c r="AV25" s="197">
        <v>0</v>
      </c>
      <c r="AW25" s="197">
        <v>0</v>
      </c>
      <c r="AX25" s="196">
        <v>0</v>
      </c>
      <c r="AY25" s="196">
        <v>0</v>
      </c>
      <c r="AZ25" s="196">
        <v>0</v>
      </c>
    </row>
    <row r="26" spans="1:52" x14ac:dyDescent="0.2">
      <c r="A26" s="184" t="s">
        <v>205</v>
      </c>
      <c r="B26" s="196">
        <v>0</v>
      </c>
      <c r="C26" s="196">
        <v>0</v>
      </c>
      <c r="D26" s="197">
        <v>0</v>
      </c>
      <c r="E26" s="197">
        <v>0</v>
      </c>
      <c r="F26" s="197">
        <v>0</v>
      </c>
      <c r="G26" s="197">
        <v>0</v>
      </c>
      <c r="H26" s="197">
        <v>0</v>
      </c>
      <c r="I26" s="197">
        <v>0</v>
      </c>
      <c r="J26" s="197">
        <v>0</v>
      </c>
      <c r="K26" s="197">
        <v>0</v>
      </c>
      <c r="L26" s="197">
        <v>0</v>
      </c>
      <c r="M26" s="197">
        <v>0</v>
      </c>
      <c r="N26" s="197">
        <v>0</v>
      </c>
      <c r="O26" s="197">
        <v>0</v>
      </c>
      <c r="P26" s="197">
        <v>0</v>
      </c>
      <c r="Q26" s="197">
        <v>0</v>
      </c>
      <c r="R26" s="197">
        <v>0</v>
      </c>
      <c r="S26" s="197">
        <v>0</v>
      </c>
      <c r="T26" s="197">
        <v>0</v>
      </c>
      <c r="U26" s="197">
        <v>5.0000000000000001E-3</v>
      </c>
      <c r="V26" s="197">
        <v>0.01</v>
      </c>
      <c r="W26" s="197">
        <v>0.1</v>
      </c>
      <c r="X26" s="197">
        <v>0</v>
      </c>
      <c r="Y26" s="197">
        <v>0</v>
      </c>
      <c r="Z26" s="197">
        <v>0</v>
      </c>
      <c r="AA26" s="198">
        <v>0</v>
      </c>
      <c r="AB26" s="197">
        <v>0</v>
      </c>
      <c r="AC26" s="197">
        <v>0</v>
      </c>
      <c r="AD26" s="197">
        <v>0</v>
      </c>
      <c r="AE26" s="197">
        <v>0</v>
      </c>
      <c r="AF26" s="197">
        <v>0</v>
      </c>
      <c r="AG26" s="197">
        <v>0</v>
      </c>
      <c r="AH26" s="197">
        <v>0</v>
      </c>
      <c r="AI26" s="197">
        <v>0</v>
      </c>
      <c r="AJ26" s="197">
        <v>1E-3</v>
      </c>
      <c r="AK26" s="197">
        <v>0</v>
      </c>
      <c r="AL26" s="197">
        <v>0</v>
      </c>
      <c r="AM26" s="197">
        <v>0</v>
      </c>
      <c r="AN26" s="197">
        <v>0</v>
      </c>
      <c r="AO26" s="197">
        <v>0</v>
      </c>
      <c r="AP26" s="197">
        <v>0</v>
      </c>
      <c r="AQ26" s="197">
        <v>0</v>
      </c>
      <c r="AR26" s="197">
        <v>1E-3</v>
      </c>
      <c r="AS26" s="196">
        <v>0</v>
      </c>
      <c r="AT26" s="197">
        <v>0</v>
      </c>
      <c r="AU26" s="197">
        <v>0</v>
      </c>
      <c r="AV26" s="197">
        <v>0</v>
      </c>
      <c r="AW26" s="197">
        <v>0</v>
      </c>
      <c r="AX26" s="196">
        <v>0</v>
      </c>
      <c r="AY26" s="196">
        <v>0</v>
      </c>
      <c r="AZ26" s="196">
        <v>0</v>
      </c>
    </row>
    <row r="27" spans="1:52" x14ac:dyDescent="0.2">
      <c r="A27" s="184" t="s">
        <v>206</v>
      </c>
      <c r="B27" s="196">
        <v>0</v>
      </c>
      <c r="C27" s="196">
        <v>0</v>
      </c>
      <c r="D27" s="197">
        <v>0</v>
      </c>
      <c r="E27" s="197">
        <v>0</v>
      </c>
      <c r="F27" s="197">
        <v>0</v>
      </c>
      <c r="G27" s="197">
        <v>0</v>
      </c>
      <c r="H27" s="197">
        <v>0</v>
      </c>
      <c r="I27" s="197">
        <v>0</v>
      </c>
      <c r="J27" s="197">
        <v>0</v>
      </c>
      <c r="K27" s="197">
        <v>0</v>
      </c>
      <c r="L27" s="197">
        <v>0</v>
      </c>
      <c r="M27" s="197">
        <v>0</v>
      </c>
      <c r="N27" s="197">
        <v>0</v>
      </c>
      <c r="O27" s="197">
        <v>0</v>
      </c>
      <c r="P27" s="197">
        <v>0</v>
      </c>
      <c r="Q27" s="197">
        <v>0</v>
      </c>
      <c r="R27" s="197">
        <v>0</v>
      </c>
      <c r="S27" s="197">
        <v>0</v>
      </c>
      <c r="T27" s="197">
        <v>0.1</v>
      </c>
      <c r="U27" s="197">
        <v>0</v>
      </c>
      <c r="V27" s="197">
        <v>0</v>
      </c>
      <c r="W27" s="197">
        <v>0</v>
      </c>
      <c r="X27" s="197">
        <v>0.15</v>
      </c>
      <c r="Y27" s="197">
        <v>0</v>
      </c>
      <c r="Z27" s="197">
        <v>0</v>
      </c>
      <c r="AA27" s="198">
        <v>0</v>
      </c>
      <c r="AB27" s="197">
        <v>0.01</v>
      </c>
      <c r="AC27" s="197">
        <v>0.01</v>
      </c>
      <c r="AD27" s="197">
        <v>0.01</v>
      </c>
      <c r="AE27" s="197">
        <v>3.0000000000000001E-3</v>
      </c>
      <c r="AF27" s="197">
        <v>0.04</v>
      </c>
      <c r="AG27" s="197">
        <v>7.0000000000000001E-3</v>
      </c>
      <c r="AH27" s="197">
        <v>7.0000000000000001E-3</v>
      </c>
      <c r="AI27" s="197">
        <v>0</v>
      </c>
      <c r="AJ27" s="197">
        <v>0.1</v>
      </c>
      <c r="AK27" s="197">
        <v>0.01</v>
      </c>
      <c r="AL27" s="197">
        <v>0.01</v>
      </c>
      <c r="AM27" s="197">
        <v>0.1</v>
      </c>
      <c r="AN27" s="197">
        <v>0.05</v>
      </c>
      <c r="AO27" s="197">
        <v>0.112</v>
      </c>
      <c r="AP27" s="197">
        <v>0</v>
      </c>
      <c r="AQ27" s="197">
        <v>0</v>
      </c>
      <c r="AR27" s="197">
        <v>0.02</v>
      </c>
      <c r="AS27" s="196">
        <v>0</v>
      </c>
      <c r="AT27" s="197">
        <v>0</v>
      </c>
      <c r="AU27" s="197">
        <v>0</v>
      </c>
      <c r="AV27" s="197">
        <v>0</v>
      </c>
      <c r="AW27" s="197">
        <v>0</v>
      </c>
      <c r="AX27" s="196">
        <v>0</v>
      </c>
      <c r="AY27" s="196">
        <v>0</v>
      </c>
      <c r="AZ27" s="196">
        <v>0</v>
      </c>
    </row>
    <row r="28" spans="1:52" x14ac:dyDescent="0.2">
      <c r="A28" s="184" t="s">
        <v>207</v>
      </c>
      <c r="B28" s="196">
        <v>0</v>
      </c>
      <c r="C28" s="196">
        <v>0</v>
      </c>
      <c r="D28" s="197">
        <v>0</v>
      </c>
      <c r="E28" s="197">
        <v>0</v>
      </c>
      <c r="F28" s="197">
        <v>0</v>
      </c>
      <c r="G28" s="197">
        <v>0</v>
      </c>
      <c r="H28" s="197">
        <v>0</v>
      </c>
      <c r="I28" s="197">
        <v>0</v>
      </c>
      <c r="J28" s="197">
        <v>0</v>
      </c>
      <c r="K28" s="197">
        <v>0</v>
      </c>
      <c r="L28" s="197">
        <v>0</v>
      </c>
      <c r="M28" s="197">
        <v>0</v>
      </c>
      <c r="N28" s="197">
        <v>0</v>
      </c>
      <c r="O28" s="197">
        <v>0</v>
      </c>
      <c r="P28" s="197">
        <v>0</v>
      </c>
      <c r="Q28" s="197">
        <v>0</v>
      </c>
      <c r="R28" s="197">
        <v>0</v>
      </c>
      <c r="S28" s="197">
        <v>0.01</v>
      </c>
      <c r="T28" s="197">
        <v>0.2</v>
      </c>
      <c r="U28" s="197">
        <v>0.3</v>
      </c>
      <c r="V28" s="197">
        <v>0</v>
      </c>
      <c r="W28" s="197">
        <v>0</v>
      </c>
      <c r="X28" s="197">
        <v>0.05</v>
      </c>
      <c r="Y28" s="197">
        <v>0</v>
      </c>
      <c r="Z28" s="197">
        <v>0</v>
      </c>
      <c r="AA28" s="198">
        <v>0.02</v>
      </c>
      <c r="AB28" s="197">
        <v>0.01</v>
      </c>
      <c r="AC28" s="197">
        <v>0.02</v>
      </c>
      <c r="AD28" s="197">
        <v>0.02</v>
      </c>
      <c r="AE28" s="197">
        <v>7.0000000000000001E-3</v>
      </c>
      <c r="AF28" s="197">
        <v>6.4000000000000001E-2</v>
      </c>
      <c r="AG28" s="197">
        <v>1.2999999999999999E-2</v>
      </c>
      <c r="AH28" s="197">
        <v>1.2999999999999999E-2</v>
      </c>
      <c r="AI28" s="197">
        <v>0</v>
      </c>
      <c r="AJ28" s="197">
        <v>0.18</v>
      </c>
      <c r="AK28" s="197">
        <v>0.02</v>
      </c>
      <c r="AL28" s="197">
        <v>0.1</v>
      </c>
      <c r="AM28" s="197">
        <v>0.13100000000000001</v>
      </c>
      <c r="AN28" s="197">
        <v>0.104</v>
      </c>
      <c r="AO28" s="197">
        <v>0</v>
      </c>
      <c r="AP28" s="197">
        <v>0</v>
      </c>
      <c r="AQ28" s="197">
        <v>0</v>
      </c>
      <c r="AR28" s="197">
        <v>8.3000000000000004E-2</v>
      </c>
      <c r="AS28" s="196">
        <v>0</v>
      </c>
      <c r="AT28" s="197">
        <v>0</v>
      </c>
      <c r="AU28" s="197">
        <v>0</v>
      </c>
      <c r="AV28" s="197">
        <v>0</v>
      </c>
      <c r="AW28" s="197">
        <v>0</v>
      </c>
      <c r="AX28" s="196">
        <v>0</v>
      </c>
      <c r="AY28" s="196">
        <v>0</v>
      </c>
      <c r="AZ28" s="196">
        <v>0</v>
      </c>
    </row>
    <row r="29" spans="1:52" x14ac:dyDescent="0.2">
      <c r="A29" s="184" t="s">
        <v>257</v>
      </c>
      <c r="B29" s="196">
        <v>0</v>
      </c>
      <c r="C29" s="196">
        <v>0</v>
      </c>
      <c r="D29" s="197">
        <v>0</v>
      </c>
      <c r="E29" s="197">
        <v>0</v>
      </c>
      <c r="F29" s="197">
        <v>0</v>
      </c>
      <c r="G29" s="197">
        <v>0</v>
      </c>
      <c r="H29" s="197">
        <v>0</v>
      </c>
      <c r="I29" s="197">
        <v>0</v>
      </c>
      <c r="J29" s="197">
        <v>0</v>
      </c>
      <c r="K29" s="197">
        <v>0</v>
      </c>
      <c r="L29" s="197">
        <v>0</v>
      </c>
      <c r="M29" s="197">
        <v>0</v>
      </c>
      <c r="N29" s="197">
        <v>0</v>
      </c>
      <c r="O29" s="197">
        <v>0</v>
      </c>
      <c r="P29" s="197">
        <v>0</v>
      </c>
      <c r="Q29" s="197">
        <v>0</v>
      </c>
      <c r="R29" s="197">
        <v>0</v>
      </c>
      <c r="S29" s="197">
        <v>0.02</v>
      </c>
      <c r="T29" s="197">
        <v>0.05</v>
      </c>
      <c r="U29" s="197">
        <v>0</v>
      </c>
      <c r="V29" s="197">
        <v>0</v>
      </c>
      <c r="W29" s="197">
        <v>0</v>
      </c>
      <c r="X29" s="197">
        <v>0</v>
      </c>
      <c r="Y29" s="197">
        <v>0</v>
      </c>
      <c r="Z29" s="197">
        <v>0</v>
      </c>
      <c r="AA29" s="198">
        <v>2.1999999999999999E-2</v>
      </c>
      <c r="AB29" s="197">
        <v>7.0000000000000007E-2</v>
      </c>
      <c r="AC29" s="197">
        <v>0</v>
      </c>
      <c r="AD29" s="197">
        <v>9.5000000000000001E-2</v>
      </c>
      <c r="AE29" s="197">
        <v>0</v>
      </c>
      <c r="AF29" s="197">
        <v>0</v>
      </c>
      <c r="AG29" s="197">
        <v>4.0000000000000001E-3</v>
      </c>
      <c r="AH29" s="197">
        <v>1E-3</v>
      </c>
      <c r="AI29" s="197">
        <v>0</v>
      </c>
      <c r="AJ29" s="197">
        <v>0</v>
      </c>
      <c r="AK29" s="197">
        <v>0</v>
      </c>
      <c r="AL29" s="197">
        <v>5.0000000000000001E-3</v>
      </c>
      <c r="AM29" s="197">
        <v>7.1999999999999995E-2</v>
      </c>
      <c r="AN29" s="197">
        <v>0.01</v>
      </c>
      <c r="AO29" s="197">
        <v>0</v>
      </c>
      <c r="AP29" s="197">
        <v>1E-3</v>
      </c>
      <c r="AQ29" s="197">
        <v>0</v>
      </c>
      <c r="AR29" s="197">
        <v>0.1</v>
      </c>
      <c r="AS29" s="196">
        <v>0</v>
      </c>
      <c r="AT29" s="197">
        <v>0</v>
      </c>
      <c r="AU29" s="197">
        <v>0</v>
      </c>
      <c r="AV29" s="197">
        <v>0</v>
      </c>
      <c r="AW29" s="197">
        <v>0</v>
      </c>
      <c r="AX29" s="196">
        <v>0</v>
      </c>
      <c r="AY29" s="196">
        <v>0</v>
      </c>
      <c r="AZ29" s="196">
        <v>0</v>
      </c>
    </row>
    <row r="30" spans="1:52" x14ac:dyDescent="0.2">
      <c r="A30" s="184" t="s">
        <v>258</v>
      </c>
      <c r="B30" s="196">
        <v>0</v>
      </c>
      <c r="C30" s="196">
        <v>0</v>
      </c>
      <c r="D30" s="197">
        <v>0</v>
      </c>
      <c r="E30" s="197">
        <v>0</v>
      </c>
      <c r="F30" s="197">
        <v>0</v>
      </c>
      <c r="G30" s="197">
        <v>0</v>
      </c>
      <c r="H30" s="197">
        <v>0</v>
      </c>
      <c r="I30" s="197">
        <v>0</v>
      </c>
      <c r="J30" s="197">
        <v>0</v>
      </c>
      <c r="K30" s="197">
        <v>0</v>
      </c>
      <c r="L30" s="197">
        <v>0</v>
      </c>
      <c r="M30" s="197">
        <v>0</v>
      </c>
      <c r="N30" s="197">
        <v>0</v>
      </c>
      <c r="O30" s="197">
        <v>0</v>
      </c>
      <c r="P30" s="197">
        <v>0</v>
      </c>
      <c r="Q30" s="197">
        <v>0</v>
      </c>
      <c r="R30" s="197">
        <v>0</v>
      </c>
      <c r="S30" s="197">
        <v>0</v>
      </c>
      <c r="T30" s="197">
        <v>0</v>
      </c>
      <c r="U30" s="197">
        <v>0</v>
      </c>
      <c r="V30" s="197">
        <v>0</v>
      </c>
      <c r="W30" s="197">
        <v>0</v>
      </c>
      <c r="X30" s="197">
        <v>0</v>
      </c>
      <c r="Y30" s="197">
        <v>0</v>
      </c>
      <c r="Z30" s="197">
        <v>0</v>
      </c>
      <c r="AA30" s="198">
        <v>0</v>
      </c>
      <c r="AB30" s="197">
        <v>0</v>
      </c>
      <c r="AC30" s="197">
        <v>0</v>
      </c>
      <c r="AD30" s="197">
        <v>0.02</v>
      </c>
      <c r="AE30" s="197">
        <v>0</v>
      </c>
      <c r="AF30" s="197">
        <v>0</v>
      </c>
      <c r="AG30" s="197">
        <v>0</v>
      </c>
      <c r="AH30" s="197">
        <v>2E-3</v>
      </c>
      <c r="AI30" s="197">
        <v>0</v>
      </c>
      <c r="AJ30" s="197">
        <v>0.04</v>
      </c>
      <c r="AK30" s="197">
        <v>0.01</v>
      </c>
      <c r="AL30" s="197">
        <v>0</v>
      </c>
      <c r="AM30" s="197">
        <v>0.05</v>
      </c>
      <c r="AN30" s="197">
        <v>0.01</v>
      </c>
      <c r="AO30" s="197">
        <v>0</v>
      </c>
      <c r="AP30" s="197">
        <v>3.0000000000000001E-3</v>
      </c>
      <c r="AQ30" s="197">
        <v>0</v>
      </c>
      <c r="AR30" s="197">
        <v>0</v>
      </c>
      <c r="AS30" s="196">
        <v>0</v>
      </c>
      <c r="AT30" s="197">
        <v>0</v>
      </c>
      <c r="AU30" s="197">
        <v>0</v>
      </c>
      <c r="AV30" s="197">
        <v>0</v>
      </c>
      <c r="AW30" s="197">
        <v>0</v>
      </c>
      <c r="AX30" s="196">
        <v>0</v>
      </c>
      <c r="AY30" s="196">
        <v>0</v>
      </c>
      <c r="AZ30" s="196">
        <v>0</v>
      </c>
    </row>
    <row r="31" spans="1:52" x14ac:dyDescent="0.2">
      <c r="A31" s="184" t="s">
        <v>259</v>
      </c>
      <c r="B31" s="196">
        <v>0</v>
      </c>
      <c r="C31" s="196">
        <v>0</v>
      </c>
      <c r="D31" s="197">
        <v>0</v>
      </c>
      <c r="E31" s="197">
        <v>0</v>
      </c>
      <c r="F31" s="197">
        <v>0</v>
      </c>
      <c r="G31" s="197">
        <v>0</v>
      </c>
      <c r="H31" s="197">
        <v>0</v>
      </c>
      <c r="I31" s="197">
        <v>0</v>
      </c>
      <c r="J31" s="197">
        <v>0</v>
      </c>
      <c r="K31" s="197">
        <v>0</v>
      </c>
      <c r="L31" s="197">
        <v>0</v>
      </c>
      <c r="M31" s="197">
        <v>0</v>
      </c>
      <c r="N31" s="197">
        <v>0</v>
      </c>
      <c r="O31" s="197">
        <v>0</v>
      </c>
      <c r="P31" s="197">
        <v>0</v>
      </c>
      <c r="Q31" s="197">
        <v>0</v>
      </c>
      <c r="R31" s="197">
        <v>0</v>
      </c>
      <c r="S31" s="197">
        <v>0.06</v>
      </c>
      <c r="T31" s="197">
        <v>0.05</v>
      </c>
      <c r="U31" s="197">
        <v>0</v>
      </c>
      <c r="V31" s="197">
        <v>0</v>
      </c>
      <c r="W31" s="197">
        <v>0</v>
      </c>
      <c r="X31" s="197">
        <v>0</v>
      </c>
      <c r="Y31" s="197">
        <v>0</v>
      </c>
      <c r="Z31" s="197">
        <v>0</v>
      </c>
      <c r="AA31" s="198">
        <v>7.8E-2</v>
      </c>
      <c r="AB31" s="197">
        <v>0.01</v>
      </c>
      <c r="AC31" s="197">
        <v>2.1000000000000001E-2</v>
      </c>
      <c r="AD31" s="197">
        <v>0.15</v>
      </c>
      <c r="AE31" s="197">
        <v>0</v>
      </c>
      <c r="AF31" s="197">
        <v>0.1</v>
      </c>
      <c r="AG31" s="197">
        <v>1.6E-2</v>
      </c>
      <c r="AH31" s="197">
        <v>8.0000000000000002E-3</v>
      </c>
      <c r="AI31" s="197">
        <v>0</v>
      </c>
      <c r="AJ31" s="197">
        <v>0</v>
      </c>
      <c r="AK31" s="197">
        <v>0</v>
      </c>
      <c r="AL31" s="197">
        <v>5.0000000000000001E-3</v>
      </c>
      <c r="AM31" s="197">
        <v>0.1</v>
      </c>
      <c r="AN31" s="197">
        <v>1.7000000000000001E-2</v>
      </c>
      <c r="AO31" s="197">
        <v>0</v>
      </c>
      <c r="AP31" s="197">
        <v>0.01</v>
      </c>
      <c r="AQ31" s="197">
        <v>1.32E-2</v>
      </c>
      <c r="AR31" s="197">
        <v>0</v>
      </c>
      <c r="AS31" s="196">
        <v>0</v>
      </c>
      <c r="AT31" s="197">
        <v>0</v>
      </c>
      <c r="AU31" s="197">
        <v>0</v>
      </c>
      <c r="AV31" s="197">
        <v>0</v>
      </c>
      <c r="AW31" s="197">
        <v>0</v>
      </c>
      <c r="AX31" s="196">
        <v>0</v>
      </c>
      <c r="AY31" s="196">
        <v>0</v>
      </c>
      <c r="AZ31" s="196">
        <v>0</v>
      </c>
    </row>
    <row r="32" spans="1:52" x14ac:dyDescent="0.2">
      <c r="A32" s="184" t="s">
        <v>260</v>
      </c>
      <c r="B32" s="196">
        <v>0</v>
      </c>
      <c r="C32" s="196">
        <v>0</v>
      </c>
      <c r="D32" s="197">
        <v>0</v>
      </c>
      <c r="E32" s="197">
        <v>0</v>
      </c>
      <c r="F32" s="197">
        <v>0</v>
      </c>
      <c r="G32" s="197">
        <v>0</v>
      </c>
      <c r="H32" s="197">
        <v>0</v>
      </c>
      <c r="I32" s="197">
        <v>0</v>
      </c>
      <c r="J32" s="197">
        <v>0</v>
      </c>
      <c r="K32" s="197">
        <v>0</v>
      </c>
      <c r="L32" s="197">
        <v>0</v>
      </c>
      <c r="M32" s="197">
        <v>0</v>
      </c>
      <c r="N32" s="197">
        <v>0</v>
      </c>
      <c r="O32" s="197">
        <v>0</v>
      </c>
      <c r="P32" s="197">
        <v>0</v>
      </c>
      <c r="Q32" s="197">
        <v>0</v>
      </c>
      <c r="R32" s="197">
        <v>0</v>
      </c>
      <c r="S32" s="197">
        <v>0</v>
      </c>
      <c r="T32" s="197">
        <v>0</v>
      </c>
      <c r="U32" s="197">
        <v>0</v>
      </c>
      <c r="V32" s="197">
        <v>0</v>
      </c>
      <c r="W32" s="197">
        <v>0</v>
      </c>
      <c r="X32" s="197">
        <v>0</v>
      </c>
      <c r="Y32" s="197">
        <v>0</v>
      </c>
      <c r="Z32" s="197">
        <v>0</v>
      </c>
      <c r="AA32" s="198">
        <v>0</v>
      </c>
      <c r="AB32" s="197">
        <v>0</v>
      </c>
      <c r="AC32" s="197">
        <v>0</v>
      </c>
      <c r="AD32" s="197">
        <v>0</v>
      </c>
      <c r="AE32" s="197">
        <v>0</v>
      </c>
      <c r="AF32" s="197">
        <v>0.02</v>
      </c>
      <c r="AG32" s="197">
        <v>0</v>
      </c>
      <c r="AH32" s="197">
        <v>2E-3</v>
      </c>
      <c r="AI32" s="197">
        <v>0</v>
      </c>
      <c r="AJ32" s="197">
        <v>0.05</v>
      </c>
      <c r="AK32" s="197">
        <v>0</v>
      </c>
      <c r="AL32" s="197">
        <v>0</v>
      </c>
      <c r="AM32" s="197">
        <v>1.7999999999999999E-2</v>
      </c>
      <c r="AN32" s="197">
        <v>8.9999999999999993E-3</v>
      </c>
      <c r="AO32" s="197">
        <v>0</v>
      </c>
      <c r="AP32" s="197">
        <v>7.0000000000000007E-2</v>
      </c>
      <c r="AQ32" s="197">
        <v>0</v>
      </c>
      <c r="AR32" s="197">
        <v>0</v>
      </c>
      <c r="AS32" s="196">
        <v>0</v>
      </c>
      <c r="AT32" s="197">
        <v>0</v>
      </c>
      <c r="AU32" s="197">
        <v>0</v>
      </c>
      <c r="AV32" s="197">
        <v>0</v>
      </c>
      <c r="AW32" s="197">
        <v>0</v>
      </c>
      <c r="AX32" s="196">
        <v>0</v>
      </c>
      <c r="AY32" s="196">
        <v>0</v>
      </c>
      <c r="AZ32" s="196">
        <v>0</v>
      </c>
    </row>
    <row r="33" spans="1:52" x14ac:dyDescent="0.2">
      <c r="A33" s="184" t="s">
        <v>208</v>
      </c>
      <c r="B33" s="196">
        <v>0</v>
      </c>
      <c r="C33" s="196">
        <v>0</v>
      </c>
      <c r="D33" s="197">
        <v>0</v>
      </c>
      <c r="E33" s="197">
        <v>0</v>
      </c>
      <c r="F33" s="197">
        <v>0</v>
      </c>
      <c r="G33" s="197">
        <v>0</v>
      </c>
      <c r="H33" s="197">
        <v>0</v>
      </c>
      <c r="I33" s="197">
        <v>0</v>
      </c>
      <c r="J33" s="197">
        <v>0</v>
      </c>
      <c r="K33" s="197">
        <v>0</v>
      </c>
      <c r="L33" s="197">
        <v>0</v>
      </c>
      <c r="M33" s="197">
        <v>0</v>
      </c>
      <c r="N33" s="197">
        <v>0</v>
      </c>
      <c r="O33" s="197">
        <v>0</v>
      </c>
      <c r="P33" s="197">
        <v>0</v>
      </c>
      <c r="Q33" s="197">
        <v>0</v>
      </c>
      <c r="R33" s="197">
        <v>0</v>
      </c>
      <c r="S33" s="197">
        <v>0.11</v>
      </c>
      <c r="T33" s="197">
        <v>0.1</v>
      </c>
      <c r="U33" s="197">
        <v>0</v>
      </c>
      <c r="V33" s="197">
        <v>0</v>
      </c>
      <c r="W33" s="197">
        <v>0</v>
      </c>
      <c r="X33" s="197">
        <v>0</v>
      </c>
      <c r="Y33" s="197">
        <v>0</v>
      </c>
      <c r="Z33" s="197">
        <v>0</v>
      </c>
      <c r="AA33" s="198">
        <v>0</v>
      </c>
      <c r="AB33" s="197">
        <v>0</v>
      </c>
      <c r="AC33" s="197">
        <v>1E-3</v>
      </c>
      <c r="AD33" s="197">
        <v>1E-3</v>
      </c>
      <c r="AE33" s="197">
        <v>0</v>
      </c>
      <c r="AF33" s="197">
        <v>0.03</v>
      </c>
      <c r="AG33" s="197">
        <v>0.03</v>
      </c>
      <c r="AH33" s="197">
        <v>0.02</v>
      </c>
      <c r="AI33" s="197">
        <v>0</v>
      </c>
      <c r="AJ33" s="197">
        <v>0.05</v>
      </c>
      <c r="AK33" s="197">
        <v>5.0000000000000001E-3</v>
      </c>
      <c r="AL33" s="197">
        <v>0.05</v>
      </c>
      <c r="AM33" s="197">
        <v>4.9000000000000002E-2</v>
      </c>
      <c r="AN33" s="197">
        <v>0</v>
      </c>
      <c r="AO33" s="197">
        <v>0.02</v>
      </c>
      <c r="AP33" s="197">
        <v>1.6E-2</v>
      </c>
      <c r="AQ33" s="197">
        <v>0</v>
      </c>
      <c r="AR33" s="197">
        <v>8.0000000000000002E-3</v>
      </c>
      <c r="AS33" s="196">
        <v>0</v>
      </c>
      <c r="AT33" s="197">
        <v>0</v>
      </c>
      <c r="AU33" s="197">
        <v>0</v>
      </c>
      <c r="AV33" s="197">
        <v>0</v>
      </c>
      <c r="AW33" s="197">
        <v>0</v>
      </c>
      <c r="AX33" s="196">
        <v>0</v>
      </c>
      <c r="AY33" s="196">
        <v>0</v>
      </c>
      <c r="AZ33" s="196">
        <v>0</v>
      </c>
    </row>
    <row r="34" spans="1:52" x14ac:dyDescent="0.2">
      <c r="A34" s="184" t="s">
        <v>209</v>
      </c>
      <c r="B34" s="196">
        <v>0</v>
      </c>
      <c r="C34" s="196">
        <v>0</v>
      </c>
      <c r="D34" s="197">
        <v>0</v>
      </c>
      <c r="E34" s="197">
        <v>0</v>
      </c>
      <c r="F34" s="197">
        <v>0</v>
      </c>
      <c r="G34" s="197">
        <v>0</v>
      </c>
      <c r="H34" s="197">
        <v>0</v>
      </c>
      <c r="I34" s="197">
        <v>0</v>
      </c>
      <c r="J34" s="197">
        <v>0</v>
      </c>
      <c r="K34" s="197">
        <v>0</v>
      </c>
      <c r="L34" s="197">
        <v>0</v>
      </c>
      <c r="M34" s="197">
        <v>0</v>
      </c>
      <c r="N34" s="197">
        <v>0</v>
      </c>
      <c r="O34" s="197">
        <v>0</v>
      </c>
      <c r="P34" s="197">
        <v>0</v>
      </c>
      <c r="Q34" s="197">
        <v>0</v>
      </c>
      <c r="R34" s="197">
        <v>0</v>
      </c>
      <c r="S34" s="197">
        <v>0</v>
      </c>
      <c r="T34" s="197">
        <v>0</v>
      </c>
      <c r="U34" s="197">
        <v>0.19500000000000001</v>
      </c>
      <c r="V34" s="197">
        <v>0.49</v>
      </c>
      <c r="W34" s="197">
        <v>0</v>
      </c>
      <c r="X34" s="197">
        <v>0</v>
      </c>
      <c r="Y34" s="197">
        <v>0</v>
      </c>
      <c r="Z34" s="197">
        <v>0</v>
      </c>
      <c r="AA34" s="198">
        <v>0</v>
      </c>
      <c r="AB34" s="197">
        <v>0</v>
      </c>
      <c r="AC34" s="197">
        <v>1E-3</v>
      </c>
      <c r="AD34" s="197">
        <v>1E-3</v>
      </c>
      <c r="AE34" s="197">
        <v>0</v>
      </c>
      <c r="AF34" s="197">
        <v>9.4E-2</v>
      </c>
      <c r="AG34" s="197">
        <v>0.01</v>
      </c>
      <c r="AH34" s="197">
        <v>0.02</v>
      </c>
      <c r="AI34" s="197">
        <v>0.1</v>
      </c>
      <c r="AJ34" s="197">
        <v>0.1</v>
      </c>
      <c r="AK34" s="197">
        <v>0.15</v>
      </c>
      <c r="AL34" s="197">
        <v>6.0999999999999999E-2</v>
      </c>
      <c r="AM34" s="197">
        <v>8.4000000000000005E-2</v>
      </c>
      <c r="AN34" s="197">
        <v>0</v>
      </c>
      <c r="AO34" s="197">
        <v>0</v>
      </c>
      <c r="AP34" s="197">
        <v>0</v>
      </c>
      <c r="AQ34" s="197">
        <v>0</v>
      </c>
      <c r="AR34" s="197">
        <v>0</v>
      </c>
      <c r="AS34" s="196">
        <v>0</v>
      </c>
      <c r="AT34" s="197">
        <v>0</v>
      </c>
      <c r="AU34" s="197">
        <v>0</v>
      </c>
      <c r="AV34" s="197">
        <v>0</v>
      </c>
      <c r="AW34" s="197">
        <v>0</v>
      </c>
      <c r="AX34" s="196">
        <v>0</v>
      </c>
      <c r="AY34" s="196">
        <v>0</v>
      </c>
      <c r="AZ34" s="196">
        <v>0</v>
      </c>
    </row>
    <row r="35" spans="1:52" x14ac:dyDescent="0.2">
      <c r="A35" s="184" t="s">
        <v>210</v>
      </c>
      <c r="B35" s="196">
        <v>0</v>
      </c>
      <c r="C35" s="196">
        <v>0</v>
      </c>
      <c r="D35" s="197">
        <v>0</v>
      </c>
      <c r="E35" s="197">
        <v>0</v>
      </c>
      <c r="F35" s="197">
        <v>0</v>
      </c>
      <c r="G35" s="197">
        <v>0</v>
      </c>
      <c r="H35" s="197">
        <v>0</v>
      </c>
      <c r="I35" s="197">
        <v>0</v>
      </c>
      <c r="J35" s="197">
        <v>0</v>
      </c>
      <c r="K35" s="197">
        <v>0</v>
      </c>
      <c r="L35" s="197">
        <v>0</v>
      </c>
      <c r="M35" s="197">
        <v>0</v>
      </c>
      <c r="N35" s="197">
        <v>0</v>
      </c>
      <c r="O35" s="197">
        <v>0</v>
      </c>
      <c r="P35" s="197">
        <v>0</v>
      </c>
      <c r="Q35" s="197">
        <v>0</v>
      </c>
      <c r="R35" s="197">
        <v>0</v>
      </c>
      <c r="S35" s="197">
        <v>0</v>
      </c>
      <c r="T35" s="197">
        <v>0</v>
      </c>
      <c r="U35" s="197">
        <v>0</v>
      </c>
      <c r="V35" s="197">
        <v>0</v>
      </c>
      <c r="W35" s="197">
        <v>0</v>
      </c>
      <c r="X35" s="197">
        <v>0</v>
      </c>
      <c r="Y35" s="197">
        <v>0</v>
      </c>
      <c r="Z35" s="197">
        <v>0</v>
      </c>
      <c r="AA35" s="198">
        <v>0</v>
      </c>
      <c r="AB35" s="197">
        <v>0</v>
      </c>
      <c r="AC35" s="197">
        <v>0</v>
      </c>
      <c r="AD35" s="197">
        <v>0</v>
      </c>
      <c r="AE35" s="197">
        <v>0</v>
      </c>
      <c r="AF35" s="197">
        <v>0</v>
      </c>
      <c r="AG35" s="197">
        <v>0</v>
      </c>
      <c r="AH35" s="197">
        <v>0</v>
      </c>
      <c r="AI35" s="197">
        <v>0</v>
      </c>
      <c r="AJ35" s="197">
        <v>0</v>
      </c>
      <c r="AK35" s="197">
        <v>0</v>
      </c>
      <c r="AL35" s="197">
        <v>1E-3</v>
      </c>
      <c r="AM35" s="197">
        <v>0</v>
      </c>
      <c r="AN35" s="197">
        <v>0</v>
      </c>
      <c r="AO35" s="197">
        <v>0</v>
      </c>
      <c r="AP35" s="197">
        <v>0</v>
      </c>
      <c r="AQ35" s="197">
        <v>0</v>
      </c>
      <c r="AR35" s="197">
        <v>0</v>
      </c>
      <c r="AS35" s="196">
        <v>0</v>
      </c>
      <c r="AT35" s="197">
        <v>0</v>
      </c>
      <c r="AU35" s="197">
        <v>0</v>
      </c>
      <c r="AV35" s="197">
        <v>0</v>
      </c>
      <c r="AW35" s="197">
        <v>0</v>
      </c>
      <c r="AX35" s="196">
        <v>0</v>
      </c>
      <c r="AY35" s="196">
        <v>0</v>
      </c>
      <c r="AZ35" s="196">
        <v>0</v>
      </c>
    </row>
    <row r="36" spans="1:52" x14ac:dyDescent="0.2">
      <c r="A36" s="184" t="s">
        <v>211</v>
      </c>
      <c r="B36" s="196">
        <v>0</v>
      </c>
      <c r="C36" s="196">
        <v>0</v>
      </c>
      <c r="D36" s="197">
        <v>0</v>
      </c>
      <c r="E36" s="197">
        <v>0</v>
      </c>
      <c r="F36" s="197">
        <v>0</v>
      </c>
      <c r="G36" s="197">
        <v>0</v>
      </c>
      <c r="H36" s="197">
        <v>0</v>
      </c>
      <c r="I36" s="197">
        <v>0</v>
      </c>
      <c r="J36" s="197">
        <v>0</v>
      </c>
      <c r="K36" s="197">
        <v>0</v>
      </c>
      <c r="L36" s="197">
        <v>0</v>
      </c>
      <c r="M36" s="197">
        <v>0</v>
      </c>
      <c r="N36" s="197">
        <v>0</v>
      </c>
      <c r="O36" s="197">
        <v>0</v>
      </c>
      <c r="P36" s="197">
        <v>0</v>
      </c>
      <c r="Q36" s="197">
        <v>0</v>
      </c>
      <c r="R36" s="197">
        <v>0</v>
      </c>
      <c r="S36" s="197">
        <v>0</v>
      </c>
      <c r="T36" s="197">
        <v>0</v>
      </c>
      <c r="U36" s="197">
        <v>0</v>
      </c>
      <c r="V36" s="197">
        <v>0</v>
      </c>
      <c r="W36" s="197">
        <v>0</v>
      </c>
      <c r="X36" s="197">
        <v>0</v>
      </c>
      <c r="Y36" s="197">
        <v>0</v>
      </c>
      <c r="Z36" s="197">
        <v>0</v>
      </c>
      <c r="AA36" s="198">
        <v>0</v>
      </c>
      <c r="AB36" s="197">
        <v>0</v>
      </c>
      <c r="AC36" s="197">
        <v>0</v>
      </c>
      <c r="AD36" s="197">
        <v>0</v>
      </c>
      <c r="AE36" s="197">
        <v>0</v>
      </c>
      <c r="AF36" s="197">
        <v>0</v>
      </c>
      <c r="AG36" s="197">
        <v>0</v>
      </c>
      <c r="AH36" s="197">
        <v>0</v>
      </c>
      <c r="AI36" s="197">
        <v>0</v>
      </c>
      <c r="AJ36" s="197">
        <v>0.02</v>
      </c>
      <c r="AK36" s="197">
        <v>0</v>
      </c>
      <c r="AL36" s="197">
        <v>0.1</v>
      </c>
      <c r="AM36" s="197">
        <v>0</v>
      </c>
      <c r="AN36" s="197">
        <v>0</v>
      </c>
      <c r="AO36" s="197">
        <v>0</v>
      </c>
      <c r="AP36" s="197">
        <v>0</v>
      </c>
      <c r="AQ36" s="197">
        <v>0</v>
      </c>
      <c r="AR36" s="197">
        <v>0</v>
      </c>
      <c r="AS36" s="196">
        <v>0</v>
      </c>
      <c r="AT36" s="197">
        <v>0</v>
      </c>
      <c r="AU36" s="197">
        <v>0</v>
      </c>
      <c r="AV36" s="197">
        <v>0</v>
      </c>
      <c r="AW36" s="197">
        <v>0</v>
      </c>
      <c r="AX36" s="196">
        <v>0</v>
      </c>
      <c r="AY36" s="196">
        <v>0</v>
      </c>
      <c r="AZ36" s="196">
        <v>0</v>
      </c>
    </row>
    <row r="37" spans="1:52" x14ac:dyDescent="0.2">
      <c r="A37" s="184" t="s">
        <v>212</v>
      </c>
      <c r="B37" s="196">
        <v>0</v>
      </c>
      <c r="C37" s="196">
        <v>0</v>
      </c>
      <c r="D37" s="197">
        <v>0</v>
      </c>
      <c r="E37" s="197">
        <v>0</v>
      </c>
      <c r="F37" s="197">
        <v>0</v>
      </c>
      <c r="G37" s="197">
        <v>0</v>
      </c>
      <c r="H37" s="197">
        <v>0</v>
      </c>
      <c r="I37" s="197">
        <v>0</v>
      </c>
      <c r="J37" s="197">
        <v>0</v>
      </c>
      <c r="K37" s="197">
        <v>0</v>
      </c>
      <c r="L37" s="197">
        <v>0</v>
      </c>
      <c r="M37" s="197">
        <v>0</v>
      </c>
      <c r="N37" s="197">
        <v>0</v>
      </c>
      <c r="O37" s="197">
        <v>0</v>
      </c>
      <c r="P37" s="197">
        <v>0</v>
      </c>
      <c r="Q37" s="197">
        <v>0</v>
      </c>
      <c r="R37" s="197">
        <v>0</v>
      </c>
      <c r="S37" s="197">
        <v>0</v>
      </c>
      <c r="T37" s="197">
        <v>0</v>
      </c>
      <c r="U37" s="197">
        <v>0</v>
      </c>
      <c r="V37" s="197">
        <v>0</v>
      </c>
      <c r="W37" s="197">
        <v>0</v>
      </c>
      <c r="X37" s="197">
        <v>0</v>
      </c>
      <c r="Y37" s="197">
        <v>0</v>
      </c>
      <c r="Z37" s="197">
        <v>0</v>
      </c>
      <c r="AA37" s="198">
        <v>0</v>
      </c>
      <c r="AB37" s="197">
        <v>0</v>
      </c>
      <c r="AC37" s="197">
        <v>0</v>
      </c>
      <c r="AD37" s="197">
        <v>0</v>
      </c>
      <c r="AE37" s="197">
        <v>0</v>
      </c>
      <c r="AF37" s="197">
        <v>0</v>
      </c>
      <c r="AG37" s="197">
        <v>0</v>
      </c>
      <c r="AH37" s="197">
        <v>5.0000000000000001E-3</v>
      </c>
      <c r="AI37" s="197">
        <v>0</v>
      </c>
      <c r="AJ37" s="197">
        <v>5.0000000000000001E-3</v>
      </c>
      <c r="AK37" s="197">
        <v>0.06</v>
      </c>
      <c r="AL37" s="197">
        <v>0.4</v>
      </c>
      <c r="AM37" s="197">
        <v>0</v>
      </c>
      <c r="AN37" s="197">
        <v>0</v>
      </c>
      <c r="AO37" s="197">
        <v>0</v>
      </c>
      <c r="AP37" s="197">
        <v>0</v>
      </c>
      <c r="AQ37" s="197">
        <v>0</v>
      </c>
      <c r="AR37" s="197">
        <v>0</v>
      </c>
      <c r="AS37" s="196">
        <v>0</v>
      </c>
      <c r="AT37" s="197">
        <v>0</v>
      </c>
      <c r="AU37" s="197">
        <v>0</v>
      </c>
      <c r="AV37" s="197">
        <v>0</v>
      </c>
      <c r="AW37" s="197">
        <v>0</v>
      </c>
      <c r="AX37" s="196">
        <v>0</v>
      </c>
      <c r="AY37" s="196">
        <v>0</v>
      </c>
      <c r="AZ37" s="196">
        <v>0</v>
      </c>
    </row>
    <row r="38" spans="1:52" x14ac:dyDescent="0.2">
      <c r="A38" s="184" t="s">
        <v>213</v>
      </c>
      <c r="B38" s="196">
        <v>0</v>
      </c>
      <c r="C38" s="196">
        <v>0</v>
      </c>
      <c r="D38" s="197">
        <v>0</v>
      </c>
      <c r="E38" s="197">
        <v>0</v>
      </c>
      <c r="F38" s="197">
        <v>0</v>
      </c>
      <c r="G38" s="197">
        <v>0</v>
      </c>
      <c r="H38" s="197">
        <v>0</v>
      </c>
      <c r="I38" s="197">
        <v>0</v>
      </c>
      <c r="J38" s="197">
        <v>0</v>
      </c>
      <c r="K38" s="197">
        <v>0</v>
      </c>
      <c r="L38" s="197">
        <v>0</v>
      </c>
      <c r="M38" s="197">
        <v>0</v>
      </c>
      <c r="N38" s="197">
        <v>0</v>
      </c>
      <c r="O38" s="197">
        <v>0</v>
      </c>
      <c r="P38" s="197">
        <v>0</v>
      </c>
      <c r="Q38" s="197">
        <v>0</v>
      </c>
      <c r="R38" s="197">
        <v>0</v>
      </c>
      <c r="S38" s="197">
        <v>0</v>
      </c>
      <c r="T38" s="197">
        <v>0</v>
      </c>
      <c r="U38" s="197">
        <v>0</v>
      </c>
      <c r="V38" s="197">
        <v>0</v>
      </c>
      <c r="W38" s="197">
        <v>0</v>
      </c>
      <c r="X38" s="197">
        <v>0</v>
      </c>
      <c r="Y38" s="197">
        <v>0</v>
      </c>
      <c r="Z38" s="197">
        <v>0</v>
      </c>
      <c r="AA38" s="198">
        <v>0</v>
      </c>
      <c r="AB38" s="197">
        <v>0</v>
      </c>
      <c r="AC38" s="197">
        <v>0</v>
      </c>
      <c r="AD38" s="197">
        <v>0</v>
      </c>
      <c r="AE38" s="197">
        <v>0</v>
      </c>
      <c r="AF38" s="197">
        <v>0</v>
      </c>
      <c r="AG38" s="197">
        <v>0</v>
      </c>
      <c r="AH38" s="197">
        <v>0</v>
      </c>
      <c r="AI38" s="197">
        <v>0</v>
      </c>
      <c r="AJ38" s="197">
        <v>0</v>
      </c>
      <c r="AK38" s="197">
        <v>0</v>
      </c>
      <c r="AL38" s="197">
        <v>0</v>
      </c>
      <c r="AM38" s="197">
        <v>0</v>
      </c>
      <c r="AN38" s="197">
        <v>0</v>
      </c>
      <c r="AO38" s="197">
        <v>0</v>
      </c>
      <c r="AP38" s="197">
        <v>0</v>
      </c>
      <c r="AQ38" s="197">
        <v>0</v>
      </c>
      <c r="AR38" s="197">
        <v>0</v>
      </c>
      <c r="AS38" s="196">
        <v>0</v>
      </c>
      <c r="AT38" s="197">
        <v>0</v>
      </c>
      <c r="AU38" s="197">
        <v>0</v>
      </c>
      <c r="AV38" s="197">
        <v>0</v>
      </c>
      <c r="AW38" s="197">
        <v>0</v>
      </c>
      <c r="AX38" s="196">
        <v>0</v>
      </c>
      <c r="AY38" s="196">
        <v>0</v>
      </c>
      <c r="AZ38" s="196">
        <v>0</v>
      </c>
    </row>
    <row r="39" spans="1:52" x14ac:dyDescent="0.2">
      <c r="A39" s="184" t="s">
        <v>214</v>
      </c>
      <c r="B39" s="196">
        <v>0</v>
      </c>
      <c r="C39" s="196">
        <v>0</v>
      </c>
      <c r="D39" s="197">
        <v>0</v>
      </c>
      <c r="E39" s="197">
        <v>0</v>
      </c>
      <c r="F39" s="197">
        <v>0</v>
      </c>
      <c r="G39" s="197">
        <v>0</v>
      </c>
      <c r="H39" s="197">
        <v>0</v>
      </c>
      <c r="I39" s="197">
        <v>0</v>
      </c>
      <c r="J39" s="197">
        <v>0</v>
      </c>
      <c r="K39" s="197">
        <v>0</v>
      </c>
      <c r="L39" s="197">
        <v>0</v>
      </c>
      <c r="M39" s="197">
        <v>0</v>
      </c>
      <c r="N39" s="197">
        <v>0</v>
      </c>
      <c r="O39" s="197">
        <v>0</v>
      </c>
      <c r="P39" s="197">
        <v>0</v>
      </c>
      <c r="Q39" s="197">
        <v>0</v>
      </c>
      <c r="R39" s="197">
        <v>0</v>
      </c>
      <c r="S39" s="197">
        <v>0</v>
      </c>
      <c r="T39" s="197">
        <v>0</v>
      </c>
      <c r="U39" s="197">
        <v>0</v>
      </c>
      <c r="V39" s="197">
        <v>0</v>
      </c>
      <c r="W39" s="197">
        <v>0</v>
      </c>
      <c r="X39" s="197">
        <v>0</v>
      </c>
      <c r="Y39" s="197">
        <v>0</v>
      </c>
      <c r="Z39" s="197">
        <v>0</v>
      </c>
      <c r="AA39" s="198">
        <v>0</v>
      </c>
      <c r="AB39" s="197">
        <v>0</v>
      </c>
      <c r="AC39" s="197">
        <v>0</v>
      </c>
      <c r="AD39" s="197">
        <v>0</v>
      </c>
      <c r="AE39" s="197">
        <v>0</v>
      </c>
      <c r="AF39" s="197">
        <v>0</v>
      </c>
      <c r="AG39" s="197">
        <v>0</v>
      </c>
      <c r="AH39" s="197">
        <v>0</v>
      </c>
      <c r="AI39" s="197">
        <v>0</v>
      </c>
      <c r="AJ39" s="197">
        <v>0</v>
      </c>
      <c r="AK39" s="197">
        <v>0</v>
      </c>
      <c r="AL39" s="197">
        <v>0.09</v>
      </c>
      <c r="AM39" s="197">
        <v>0</v>
      </c>
      <c r="AN39" s="197">
        <v>0</v>
      </c>
      <c r="AO39" s="197">
        <v>0</v>
      </c>
      <c r="AP39" s="197">
        <v>0</v>
      </c>
      <c r="AQ39" s="197">
        <v>0</v>
      </c>
      <c r="AR39" s="197">
        <v>1E-3</v>
      </c>
      <c r="AS39" s="196">
        <v>0</v>
      </c>
      <c r="AT39" s="197">
        <v>0</v>
      </c>
      <c r="AU39" s="197">
        <v>0</v>
      </c>
      <c r="AV39" s="197">
        <v>0</v>
      </c>
      <c r="AW39" s="197">
        <v>0</v>
      </c>
      <c r="AX39" s="196">
        <v>0</v>
      </c>
      <c r="AY39" s="196">
        <v>0</v>
      </c>
      <c r="AZ39" s="196">
        <v>0</v>
      </c>
    </row>
    <row r="40" spans="1:52" x14ac:dyDescent="0.2">
      <c r="A40" s="184" t="s">
        <v>215</v>
      </c>
      <c r="B40" s="196">
        <v>0</v>
      </c>
      <c r="C40" s="196">
        <v>0</v>
      </c>
      <c r="D40" s="197">
        <v>0</v>
      </c>
      <c r="E40" s="197">
        <v>0</v>
      </c>
      <c r="F40" s="197">
        <v>0</v>
      </c>
      <c r="G40" s="197">
        <v>0</v>
      </c>
      <c r="H40" s="197">
        <v>0</v>
      </c>
      <c r="I40" s="197">
        <v>0</v>
      </c>
      <c r="J40" s="197">
        <v>0</v>
      </c>
      <c r="K40" s="197">
        <v>0</v>
      </c>
      <c r="L40" s="197">
        <v>0</v>
      </c>
      <c r="M40" s="197">
        <v>0</v>
      </c>
      <c r="N40" s="197">
        <v>0</v>
      </c>
      <c r="O40" s="197">
        <v>0</v>
      </c>
      <c r="P40" s="197">
        <v>0</v>
      </c>
      <c r="Q40" s="197">
        <v>0</v>
      </c>
      <c r="R40" s="197">
        <v>0</v>
      </c>
      <c r="S40" s="197">
        <v>0</v>
      </c>
      <c r="T40" s="197">
        <v>0</v>
      </c>
      <c r="U40" s="197">
        <v>0</v>
      </c>
      <c r="V40" s="197">
        <v>0</v>
      </c>
      <c r="W40" s="197">
        <v>0</v>
      </c>
      <c r="X40" s="197">
        <v>0</v>
      </c>
      <c r="Y40" s="197">
        <v>0</v>
      </c>
      <c r="Z40" s="197">
        <v>0</v>
      </c>
      <c r="AA40" s="198">
        <v>0</v>
      </c>
      <c r="AB40" s="197">
        <v>0</v>
      </c>
      <c r="AC40" s="197">
        <v>0</v>
      </c>
      <c r="AD40" s="197">
        <v>0</v>
      </c>
      <c r="AE40" s="197">
        <v>0</v>
      </c>
      <c r="AF40" s="197">
        <v>0</v>
      </c>
      <c r="AG40" s="197">
        <v>0</v>
      </c>
      <c r="AH40" s="197">
        <v>0</v>
      </c>
      <c r="AI40" s="197">
        <v>0</v>
      </c>
      <c r="AJ40" s="197">
        <v>0</v>
      </c>
      <c r="AK40" s="197">
        <v>0</v>
      </c>
      <c r="AL40" s="197">
        <v>0.05</v>
      </c>
      <c r="AM40" s="197">
        <v>0</v>
      </c>
      <c r="AN40" s="197">
        <v>0</v>
      </c>
      <c r="AO40" s="197">
        <v>0</v>
      </c>
      <c r="AP40" s="197">
        <v>0</v>
      </c>
      <c r="AQ40" s="197">
        <v>0</v>
      </c>
      <c r="AR40" s="197">
        <v>0</v>
      </c>
      <c r="AS40" s="196">
        <v>0</v>
      </c>
      <c r="AT40" s="197">
        <v>0</v>
      </c>
      <c r="AU40" s="197">
        <v>0</v>
      </c>
      <c r="AV40" s="197">
        <v>0</v>
      </c>
      <c r="AW40" s="197">
        <v>0</v>
      </c>
      <c r="AX40" s="196">
        <v>0</v>
      </c>
      <c r="AY40" s="196">
        <v>0</v>
      </c>
      <c r="AZ40" s="196">
        <v>0</v>
      </c>
    </row>
    <row r="41" spans="1:52" x14ac:dyDescent="0.2">
      <c r="A41" s="184" t="s">
        <v>216</v>
      </c>
      <c r="B41" s="196">
        <v>0</v>
      </c>
      <c r="C41" s="196">
        <v>0</v>
      </c>
      <c r="D41" s="197">
        <v>0</v>
      </c>
      <c r="E41" s="197">
        <v>0</v>
      </c>
      <c r="F41" s="197">
        <v>0</v>
      </c>
      <c r="G41" s="197">
        <v>0</v>
      </c>
      <c r="H41" s="197">
        <v>0</v>
      </c>
      <c r="I41" s="197">
        <v>0</v>
      </c>
      <c r="J41" s="197">
        <v>0</v>
      </c>
      <c r="K41" s="197">
        <v>0</v>
      </c>
      <c r="L41" s="197">
        <v>0</v>
      </c>
      <c r="M41" s="197">
        <v>0</v>
      </c>
      <c r="N41" s="197">
        <v>0</v>
      </c>
      <c r="O41" s="197">
        <v>0</v>
      </c>
      <c r="P41" s="197">
        <v>0</v>
      </c>
      <c r="Q41" s="197">
        <v>0</v>
      </c>
      <c r="R41" s="197">
        <v>0</v>
      </c>
      <c r="S41" s="197">
        <v>0</v>
      </c>
      <c r="T41" s="197">
        <v>0</v>
      </c>
      <c r="U41" s="197">
        <v>0</v>
      </c>
      <c r="V41" s="197">
        <v>0</v>
      </c>
      <c r="W41" s="197">
        <v>0</v>
      </c>
      <c r="X41" s="197">
        <v>0</v>
      </c>
      <c r="Y41" s="197">
        <v>0</v>
      </c>
      <c r="Z41" s="197">
        <v>0</v>
      </c>
      <c r="AA41" s="198">
        <v>0</v>
      </c>
      <c r="AB41" s="197">
        <v>0</v>
      </c>
      <c r="AC41" s="197">
        <v>0</v>
      </c>
      <c r="AD41" s="197">
        <v>0</v>
      </c>
      <c r="AE41" s="197">
        <v>0</v>
      </c>
      <c r="AF41" s="197">
        <v>0</v>
      </c>
      <c r="AG41" s="197">
        <v>0</v>
      </c>
      <c r="AH41" s="197">
        <v>0</v>
      </c>
      <c r="AI41" s="197">
        <v>0</v>
      </c>
      <c r="AJ41" s="197">
        <v>0</v>
      </c>
      <c r="AK41" s="197">
        <v>0</v>
      </c>
      <c r="AL41" s="197">
        <v>1E-3</v>
      </c>
      <c r="AM41" s="197">
        <v>0</v>
      </c>
      <c r="AN41" s="197">
        <v>0</v>
      </c>
      <c r="AO41" s="197">
        <v>0</v>
      </c>
      <c r="AP41" s="197">
        <v>0</v>
      </c>
      <c r="AQ41" s="197">
        <v>0</v>
      </c>
      <c r="AR41" s="197">
        <v>0</v>
      </c>
      <c r="AS41" s="196">
        <v>0</v>
      </c>
      <c r="AT41" s="197">
        <v>0</v>
      </c>
      <c r="AU41" s="197">
        <v>0</v>
      </c>
      <c r="AV41" s="197">
        <v>0</v>
      </c>
      <c r="AW41" s="197">
        <v>0</v>
      </c>
      <c r="AX41" s="196">
        <v>0</v>
      </c>
      <c r="AY41" s="196">
        <v>0</v>
      </c>
      <c r="AZ41" s="196">
        <v>0</v>
      </c>
    </row>
    <row r="42" spans="1:52" x14ac:dyDescent="0.2">
      <c r="A42" s="184" t="s">
        <v>217</v>
      </c>
      <c r="B42" s="196">
        <v>0</v>
      </c>
      <c r="C42" s="196">
        <v>0</v>
      </c>
      <c r="D42" s="197">
        <v>0</v>
      </c>
      <c r="E42" s="197">
        <v>0</v>
      </c>
      <c r="F42" s="197">
        <v>0</v>
      </c>
      <c r="G42" s="197">
        <v>0</v>
      </c>
      <c r="H42" s="197">
        <v>0</v>
      </c>
      <c r="I42" s="197">
        <v>0</v>
      </c>
      <c r="J42" s="197">
        <v>0</v>
      </c>
      <c r="K42" s="197">
        <v>0</v>
      </c>
      <c r="L42" s="197">
        <v>0</v>
      </c>
      <c r="M42" s="197">
        <v>0</v>
      </c>
      <c r="N42" s="197">
        <v>0</v>
      </c>
      <c r="O42" s="197">
        <v>0</v>
      </c>
      <c r="P42" s="197">
        <v>0</v>
      </c>
      <c r="Q42" s="197">
        <v>0</v>
      </c>
      <c r="R42" s="197">
        <v>0</v>
      </c>
      <c r="S42" s="197">
        <v>0</v>
      </c>
      <c r="T42" s="197">
        <v>0</v>
      </c>
      <c r="U42" s="197">
        <v>0</v>
      </c>
      <c r="V42" s="197">
        <v>0</v>
      </c>
      <c r="W42" s="197">
        <v>0</v>
      </c>
      <c r="X42" s="197">
        <v>0</v>
      </c>
      <c r="Y42" s="197">
        <v>0</v>
      </c>
      <c r="Z42" s="197">
        <v>0</v>
      </c>
      <c r="AA42" s="198">
        <v>0</v>
      </c>
      <c r="AB42" s="197">
        <v>0</v>
      </c>
      <c r="AC42" s="197">
        <v>0</v>
      </c>
      <c r="AD42" s="197">
        <v>0</v>
      </c>
      <c r="AE42" s="197">
        <v>0</v>
      </c>
      <c r="AF42" s="197">
        <v>0</v>
      </c>
      <c r="AG42" s="197">
        <v>0</v>
      </c>
      <c r="AH42" s="197">
        <v>0</v>
      </c>
      <c r="AI42" s="197">
        <v>0</v>
      </c>
      <c r="AJ42" s="197">
        <v>0</v>
      </c>
      <c r="AK42" s="197">
        <v>0</v>
      </c>
      <c r="AL42" s="197">
        <v>1E-3</v>
      </c>
      <c r="AM42" s="197">
        <v>0</v>
      </c>
      <c r="AN42" s="197">
        <v>0</v>
      </c>
      <c r="AO42" s="197">
        <v>0</v>
      </c>
      <c r="AP42" s="197">
        <v>0</v>
      </c>
      <c r="AQ42" s="197">
        <v>0</v>
      </c>
      <c r="AR42" s="197">
        <v>0</v>
      </c>
      <c r="AS42" s="196">
        <v>0</v>
      </c>
      <c r="AT42" s="197">
        <v>0</v>
      </c>
      <c r="AU42" s="197">
        <v>0</v>
      </c>
      <c r="AV42" s="197">
        <v>0</v>
      </c>
      <c r="AW42" s="197">
        <v>0</v>
      </c>
      <c r="AX42" s="196">
        <v>0</v>
      </c>
      <c r="AY42" s="196">
        <v>0</v>
      </c>
      <c r="AZ42" s="196">
        <v>0</v>
      </c>
    </row>
    <row r="43" spans="1:52" x14ac:dyDescent="0.2">
      <c r="A43" s="184" t="s">
        <v>218</v>
      </c>
      <c r="B43" s="196">
        <v>0</v>
      </c>
      <c r="C43" s="196">
        <v>0</v>
      </c>
      <c r="D43" s="197">
        <v>0</v>
      </c>
      <c r="E43" s="197">
        <v>0</v>
      </c>
      <c r="F43" s="197">
        <v>0</v>
      </c>
      <c r="G43" s="197">
        <v>0</v>
      </c>
      <c r="H43" s="197">
        <v>0</v>
      </c>
      <c r="I43" s="197">
        <v>0</v>
      </c>
      <c r="J43" s="197">
        <v>0</v>
      </c>
      <c r="K43" s="197">
        <v>0</v>
      </c>
      <c r="L43" s="197">
        <v>0</v>
      </c>
      <c r="M43" s="197">
        <v>0</v>
      </c>
      <c r="N43" s="197">
        <v>0</v>
      </c>
      <c r="O43" s="197">
        <v>0</v>
      </c>
      <c r="P43" s="197">
        <v>0</v>
      </c>
      <c r="Q43" s="197">
        <v>0</v>
      </c>
      <c r="R43" s="197">
        <v>0</v>
      </c>
      <c r="S43" s="197">
        <v>0</v>
      </c>
      <c r="T43" s="197">
        <v>0</v>
      </c>
      <c r="U43" s="197">
        <v>0</v>
      </c>
      <c r="V43" s="197">
        <v>0</v>
      </c>
      <c r="W43" s="197">
        <v>0</v>
      </c>
      <c r="X43" s="197">
        <v>0</v>
      </c>
      <c r="Y43" s="197">
        <v>0</v>
      </c>
      <c r="Z43" s="197">
        <v>0</v>
      </c>
      <c r="AA43" s="198">
        <v>0</v>
      </c>
      <c r="AB43" s="197">
        <v>0</v>
      </c>
      <c r="AC43" s="197">
        <v>0</v>
      </c>
      <c r="AD43" s="197">
        <v>0</v>
      </c>
      <c r="AE43" s="197">
        <v>0</v>
      </c>
      <c r="AF43" s="197">
        <v>0</v>
      </c>
      <c r="AG43" s="197">
        <v>0</v>
      </c>
      <c r="AH43" s="197">
        <v>0</v>
      </c>
      <c r="AI43" s="197">
        <v>0</v>
      </c>
      <c r="AJ43" s="197">
        <v>0</v>
      </c>
      <c r="AK43" s="197">
        <v>0</v>
      </c>
      <c r="AL43" s="333">
        <v>0</v>
      </c>
      <c r="AM43" s="197">
        <v>0</v>
      </c>
      <c r="AN43" s="197">
        <v>0</v>
      </c>
      <c r="AO43" s="197">
        <v>0</v>
      </c>
      <c r="AP43" s="197">
        <v>0</v>
      </c>
      <c r="AQ43" s="197">
        <v>0</v>
      </c>
      <c r="AR43" s="197">
        <v>0</v>
      </c>
      <c r="AS43" s="196">
        <v>0</v>
      </c>
      <c r="AT43" s="197">
        <v>0</v>
      </c>
      <c r="AU43" s="197">
        <v>0</v>
      </c>
      <c r="AV43" s="197">
        <v>0</v>
      </c>
      <c r="AW43" s="197">
        <v>0</v>
      </c>
      <c r="AX43" s="196">
        <v>0</v>
      </c>
      <c r="AY43" s="196">
        <v>0</v>
      </c>
      <c r="AZ43" s="196">
        <v>0</v>
      </c>
    </row>
    <row r="44" spans="1:52" x14ac:dyDescent="0.2">
      <c r="A44" s="184" t="s">
        <v>219</v>
      </c>
      <c r="B44" s="196">
        <v>0</v>
      </c>
      <c r="C44" s="196">
        <v>0</v>
      </c>
      <c r="D44" s="197">
        <v>0</v>
      </c>
      <c r="E44" s="197">
        <v>0</v>
      </c>
      <c r="F44" s="197">
        <v>0</v>
      </c>
      <c r="G44" s="197">
        <v>0</v>
      </c>
      <c r="H44" s="197">
        <v>0</v>
      </c>
      <c r="I44" s="197">
        <v>0</v>
      </c>
      <c r="J44" s="197">
        <v>0</v>
      </c>
      <c r="K44" s="197">
        <v>0</v>
      </c>
      <c r="L44" s="197">
        <v>0</v>
      </c>
      <c r="M44" s="197">
        <v>0</v>
      </c>
      <c r="N44" s="197">
        <v>0</v>
      </c>
      <c r="O44" s="197">
        <v>0</v>
      </c>
      <c r="P44" s="197">
        <v>0</v>
      </c>
      <c r="Q44" s="197">
        <v>0</v>
      </c>
      <c r="R44" s="197">
        <v>0</v>
      </c>
      <c r="S44" s="197">
        <v>0</v>
      </c>
      <c r="T44" s="197">
        <v>0</v>
      </c>
      <c r="U44" s="197">
        <v>0</v>
      </c>
      <c r="V44" s="197">
        <v>0</v>
      </c>
      <c r="W44" s="197">
        <v>0</v>
      </c>
      <c r="X44" s="197">
        <v>0</v>
      </c>
      <c r="Y44" s="197">
        <v>0</v>
      </c>
      <c r="Z44" s="197">
        <v>0</v>
      </c>
      <c r="AA44" s="198">
        <v>0</v>
      </c>
      <c r="AB44" s="197">
        <v>0</v>
      </c>
      <c r="AC44" s="197">
        <v>0</v>
      </c>
      <c r="AD44" s="197">
        <v>0</v>
      </c>
      <c r="AE44" s="197">
        <v>0</v>
      </c>
      <c r="AF44" s="197">
        <v>0</v>
      </c>
      <c r="AG44" s="197">
        <v>0</v>
      </c>
      <c r="AH44" s="197">
        <v>0</v>
      </c>
      <c r="AI44" s="197">
        <v>0</v>
      </c>
      <c r="AJ44" s="197">
        <v>0</v>
      </c>
      <c r="AK44" s="197">
        <v>0</v>
      </c>
      <c r="AL44" s="197">
        <v>0</v>
      </c>
      <c r="AM44" s="197">
        <v>0</v>
      </c>
      <c r="AN44" s="197">
        <v>0</v>
      </c>
      <c r="AO44" s="197">
        <v>0</v>
      </c>
      <c r="AP44" s="197">
        <v>0</v>
      </c>
      <c r="AQ44" s="197">
        <v>0</v>
      </c>
      <c r="AR44" s="197">
        <v>1E-3</v>
      </c>
      <c r="AS44" s="196">
        <v>0</v>
      </c>
      <c r="AT44" s="197">
        <v>0</v>
      </c>
      <c r="AU44" s="197">
        <v>0</v>
      </c>
      <c r="AV44" s="197">
        <v>0</v>
      </c>
      <c r="AW44" s="197">
        <v>0</v>
      </c>
      <c r="AX44" s="196">
        <v>0</v>
      </c>
      <c r="AY44" s="196">
        <v>0</v>
      </c>
      <c r="AZ44" s="196">
        <v>0</v>
      </c>
    </row>
    <row r="45" spans="1:52" x14ac:dyDescent="0.2">
      <c r="A45" s="184" t="s">
        <v>220</v>
      </c>
      <c r="B45" s="196">
        <v>0</v>
      </c>
      <c r="C45" s="196">
        <v>0</v>
      </c>
      <c r="D45" s="197">
        <v>0</v>
      </c>
      <c r="E45" s="197">
        <v>0</v>
      </c>
      <c r="F45" s="197">
        <v>0</v>
      </c>
      <c r="G45" s="197">
        <v>0</v>
      </c>
      <c r="H45" s="197">
        <v>0</v>
      </c>
      <c r="I45" s="197">
        <v>0</v>
      </c>
      <c r="J45" s="197">
        <v>0</v>
      </c>
      <c r="K45" s="197">
        <v>0</v>
      </c>
      <c r="L45" s="197">
        <v>0</v>
      </c>
      <c r="M45" s="197">
        <v>0</v>
      </c>
      <c r="N45" s="197">
        <v>0</v>
      </c>
      <c r="O45" s="197">
        <v>0</v>
      </c>
      <c r="P45" s="197">
        <v>0</v>
      </c>
      <c r="Q45" s="197">
        <v>0</v>
      </c>
      <c r="R45" s="197">
        <v>0</v>
      </c>
      <c r="S45" s="197">
        <v>0</v>
      </c>
      <c r="T45" s="197">
        <v>0</v>
      </c>
      <c r="U45" s="197">
        <v>0</v>
      </c>
      <c r="V45" s="197">
        <v>0</v>
      </c>
      <c r="W45" s="197">
        <v>0</v>
      </c>
      <c r="X45" s="197">
        <v>0</v>
      </c>
      <c r="Y45" s="197">
        <v>0.1</v>
      </c>
      <c r="Z45" s="197">
        <v>0.15</v>
      </c>
      <c r="AA45" s="198">
        <v>0</v>
      </c>
      <c r="AB45" s="197">
        <v>0</v>
      </c>
      <c r="AC45" s="197">
        <v>0</v>
      </c>
      <c r="AD45" s="197">
        <v>0</v>
      </c>
      <c r="AE45" s="197">
        <v>0</v>
      </c>
      <c r="AF45" s="197">
        <v>0</v>
      </c>
      <c r="AG45" s="197">
        <v>0</v>
      </c>
      <c r="AH45" s="197">
        <v>0</v>
      </c>
      <c r="AI45" s="197">
        <v>0</v>
      </c>
      <c r="AJ45" s="197">
        <v>0</v>
      </c>
      <c r="AK45" s="197">
        <v>0</v>
      </c>
      <c r="AL45" s="197">
        <v>0</v>
      </c>
      <c r="AM45" s="197">
        <v>0</v>
      </c>
      <c r="AN45" s="197">
        <v>0</v>
      </c>
      <c r="AO45" s="197">
        <v>0</v>
      </c>
      <c r="AP45" s="197">
        <v>0</v>
      </c>
      <c r="AQ45" s="197">
        <v>0</v>
      </c>
      <c r="AR45" s="197">
        <v>0</v>
      </c>
      <c r="AS45" s="196">
        <v>0</v>
      </c>
      <c r="AT45" s="197">
        <v>0.05</v>
      </c>
      <c r="AU45" s="197">
        <v>0.05</v>
      </c>
      <c r="AV45" s="197">
        <v>0.05</v>
      </c>
      <c r="AW45" s="197">
        <v>0.05</v>
      </c>
      <c r="AX45" s="196">
        <v>0</v>
      </c>
      <c r="AY45" s="196">
        <v>0</v>
      </c>
      <c r="AZ45" s="196">
        <v>0</v>
      </c>
    </row>
    <row r="46" spans="1:52" x14ac:dyDescent="0.2">
      <c r="A46" s="184" t="s">
        <v>221</v>
      </c>
      <c r="B46" s="196">
        <v>0</v>
      </c>
      <c r="C46" s="196">
        <v>0</v>
      </c>
      <c r="D46" s="197">
        <v>0</v>
      </c>
      <c r="E46" s="197">
        <v>0</v>
      </c>
      <c r="F46" s="197">
        <v>0</v>
      </c>
      <c r="G46" s="197">
        <v>0</v>
      </c>
      <c r="H46" s="197">
        <v>0</v>
      </c>
      <c r="I46" s="197">
        <v>0</v>
      </c>
      <c r="J46" s="197">
        <v>0</v>
      </c>
      <c r="K46" s="197">
        <v>0</v>
      </c>
      <c r="L46" s="197">
        <v>0</v>
      </c>
      <c r="M46" s="197">
        <v>0</v>
      </c>
      <c r="N46" s="197">
        <v>0</v>
      </c>
      <c r="O46" s="197">
        <v>0</v>
      </c>
      <c r="P46" s="197">
        <v>0</v>
      </c>
      <c r="Q46" s="197">
        <v>0</v>
      </c>
      <c r="R46" s="197">
        <v>0</v>
      </c>
      <c r="S46" s="197">
        <v>0</v>
      </c>
      <c r="T46" s="197">
        <v>0</v>
      </c>
      <c r="U46" s="197">
        <v>0</v>
      </c>
      <c r="V46" s="197">
        <v>0</v>
      </c>
      <c r="W46" s="197">
        <v>0</v>
      </c>
      <c r="X46" s="197">
        <v>0</v>
      </c>
      <c r="Y46" s="197">
        <v>0.1</v>
      </c>
      <c r="Z46" s="197">
        <v>0.3</v>
      </c>
      <c r="AA46" s="198">
        <v>0.03</v>
      </c>
      <c r="AB46" s="197">
        <v>0</v>
      </c>
      <c r="AC46" s="197">
        <v>0</v>
      </c>
      <c r="AD46" s="197">
        <v>0</v>
      </c>
      <c r="AE46" s="197">
        <v>0</v>
      </c>
      <c r="AF46" s="197">
        <v>0</v>
      </c>
      <c r="AG46" s="197">
        <v>0</v>
      </c>
      <c r="AH46" s="197">
        <v>0</v>
      </c>
      <c r="AI46" s="197">
        <v>0.3</v>
      </c>
      <c r="AJ46" s="197">
        <v>0</v>
      </c>
      <c r="AK46" s="197">
        <v>0</v>
      </c>
      <c r="AL46" s="197">
        <v>0</v>
      </c>
      <c r="AM46" s="197">
        <v>0</v>
      </c>
      <c r="AN46" s="197">
        <v>0</v>
      </c>
      <c r="AO46" s="197">
        <v>0</v>
      </c>
      <c r="AP46" s="197">
        <v>0</v>
      </c>
      <c r="AQ46" s="197">
        <v>0</v>
      </c>
      <c r="AR46" s="197">
        <v>0</v>
      </c>
      <c r="AS46" s="196">
        <v>0</v>
      </c>
      <c r="AT46" s="197">
        <v>0</v>
      </c>
      <c r="AU46" s="197">
        <v>0.08</v>
      </c>
      <c r="AV46" s="197">
        <v>0.15</v>
      </c>
      <c r="AW46" s="197">
        <v>0.15</v>
      </c>
      <c r="AX46" s="196">
        <v>0</v>
      </c>
      <c r="AY46" s="196">
        <v>0</v>
      </c>
      <c r="AZ46" s="196">
        <v>0</v>
      </c>
    </row>
    <row r="47" spans="1:52" s="134" customFormat="1" x14ac:dyDescent="0.2">
      <c r="A47" s="184" t="s">
        <v>222</v>
      </c>
      <c r="B47" s="196">
        <v>0</v>
      </c>
      <c r="C47" s="196">
        <v>0</v>
      </c>
      <c r="D47" s="197">
        <v>0</v>
      </c>
      <c r="E47" s="197">
        <v>0</v>
      </c>
      <c r="F47" s="197">
        <v>0</v>
      </c>
      <c r="G47" s="197">
        <v>0</v>
      </c>
      <c r="H47" s="197">
        <v>0</v>
      </c>
      <c r="I47" s="197">
        <v>0</v>
      </c>
      <c r="J47" s="197">
        <v>0</v>
      </c>
      <c r="K47" s="197">
        <v>0</v>
      </c>
      <c r="L47" s="197">
        <v>0</v>
      </c>
      <c r="M47" s="197">
        <v>0</v>
      </c>
      <c r="N47" s="197">
        <v>0</v>
      </c>
      <c r="O47" s="197">
        <v>0</v>
      </c>
      <c r="P47" s="197">
        <v>0</v>
      </c>
      <c r="Q47" s="197">
        <v>0</v>
      </c>
      <c r="R47" s="197">
        <v>0</v>
      </c>
      <c r="S47" s="197">
        <v>0</v>
      </c>
      <c r="T47" s="197">
        <v>0</v>
      </c>
      <c r="U47" s="197">
        <v>0.5</v>
      </c>
      <c r="V47" s="197">
        <v>0.5</v>
      </c>
      <c r="W47" s="197">
        <v>0</v>
      </c>
      <c r="X47" s="197">
        <v>0</v>
      </c>
      <c r="Y47" s="197">
        <v>0.8</v>
      </c>
      <c r="Z47" s="197">
        <v>0</v>
      </c>
      <c r="AA47" s="198">
        <v>0.379</v>
      </c>
      <c r="AB47" s="197">
        <v>0.309</v>
      </c>
      <c r="AC47" s="197">
        <v>0</v>
      </c>
      <c r="AD47" s="197">
        <v>0</v>
      </c>
      <c r="AE47" s="197">
        <v>0</v>
      </c>
      <c r="AF47" s="197">
        <v>0</v>
      </c>
      <c r="AG47" s="197">
        <v>0</v>
      </c>
      <c r="AH47" s="197">
        <v>0.78200000000000003</v>
      </c>
      <c r="AI47" s="197">
        <v>0.6</v>
      </c>
      <c r="AJ47" s="197">
        <v>0</v>
      </c>
      <c r="AK47" s="197">
        <v>0.625</v>
      </c>
      <c r="AL47" s="197">
        <v>0.01</v>
      </c>
      <c r="AM47" s="197">
        <v>4.0000000000000001E-3</v>
      </c>
      <c r="AN47" s="197">
        <v>0</v>
      </c>
      <c r="AO47" s="197">
        <v>0</v>
      </c>
      <c r="AP47" s="197">
        <v>0</v>
      </c>
      <c r="AQ47" s="197">
        <v>0</v>
      </c>
      <c r="AR47" s="197">
        <v>0</v>
      </c>
      <c r="AS47" s="196">
        <v>0</v>
      </c>
      <c r="AT47" s="197">
        <v>0</v>
      </c>
      <c r="AU47" s="197">
        <v>7.0000000000000007E-2</v>
      </c>
      <c r="AV47" s="197">
        <v>0.3</v>
      </c>
      <c r="AW47" s="197">
        <v>0.3</v>
      </c>
      <c r="AX47" s="196">
        <v>0</v>
      </c>
      <c r="AY47" s="196">
        <v>0</v>
      </c>
      <c r="AZ47" s="196">
        <v>0</v>
      </c>
    </row>
    <row r="48" spans="1:52" s="134" customFormat="1" x14ac:dyDescent="0.2">
      <c r="A48" s="184" t="s">
        <v>223</v>
      </c>
      <c r="B48" s="196">
        <v>0</v>
      </c>
      <c r="C48" s="196">
        <v>0</v>
      </c>
      <c r="D48" s="197">
        <v>0</v>
      </c>
      <c r="E48" s="197">
        <v>0</v>
      </c>
      <c r="F48" s="197">
        <v>0</v>
      </c>
      <c r="G48" s="197">
        <v>0</v>
      </c>
      <c r="H48" s="197">
        <v>0</v>
      </c>
      <c r="I48" s="197">
        <v>0</v>
      </c>
      <c r="J48" s="197">
        <v>0</v>
      </c>
      <c r="K48" s="197">
        <v>0</v>
      </c>
      <c r="L48" s="197">
        <v>0</v>
      </c>
      <c r="M48" s="197">
        <v>0</v>
      </c>
      <c r="N48" s="197">
        <v>0</v>
      </c>
      <c r="O48" s="197">
        <v>0</v>
      </c>
      <c r="P48" s="197">
        <v>0</v>
      </c>
      <c r="Q48" s="197">
        <v>0</v>
      </c>
      <c r="R48" s="197">
        <v>0</v>
      </c>
      <c r="S48" s="197">
        <v>0</v>
      </c>
      <c r="T48" s="197">
        <v>0</v>
      </c>
      <c r="U48" s="197">
        <v>0</v>
      </c>
      <c r="V48" s="197">
        <v>0</v>
      </c>
      <c r="W48" s="197">
        <v>0</v>
      </c>
      <c r="X48" s="197">
        <v>0</v>
      </c>
      <c r="Y48" s="197">
        <v>0</v>
      </c>
      <c r="Z48" s="197">
        <v>0</v>
      </c>
      <c r="AA48" s="198">
        <v>0</v>
      </c>
      <c r="AB48" s="197">
        <v>0.02</v>
      </c>
      <c r="AC48" s="197">
        <v>0</v>
      </c>
      <c r="AD48" s="197">
        <v>0</v>
      </c>
      <c r="AE48" s="197">
        <v>0</v>
      </c>
      <c r="AF48" s="197">
        <v>0</v>
      </c>
      <c r="AG48" s="197">
        <v>0</v>
      </c>
      <c r="AH48" s="197">
        <v>0</v>
      </c>
      <c r="AI48" s="197">
        <v>0</v>
      </c>
      <c r="AJ48" s="197">
        <v>0</v>
      </c>
      <c r="AK48" s="197">
        <v>0.05</v>
      </c>
      <c r="AL48" s="197">
        <v>0.01</v>
      </c>
      <c r="AM48" s="197">
        <v>0.05</v>
      </c>
      <c r="AN48" s="197">
        <v>0</v>
      </c>
      <c r="AO48" s="197">
        <v>0</v>
      </c>
      <c r="AP48" s="197">
        <v>0</v>
      </c>
      <c r="AQ48" s="197">
        <v>0</v>
      </c>
      <c r="AR48" s="197">
        <v>5.0000000000000001E-3</v>
      </c>
      <c r="AS48" s="196">
        <v>0</v>
      </c>
      <c r="AT48" s="197">
        <v>0</v>
      </c>
      <c r="AU48" s="197">
        <v>0</v>
      </c>
      <c r="AV48" s="197">
        <v>0</v>
      </c>
      <c r="AW48" s="197">
        <v>0</v>
      </c>
      <c r="AX48" s="196">
        <v>0</v>
      </c>
      <c r="AY48" s="196">
        <v>0</v>
      </c>
      <c r="AZ48" s="196">
        <v>0</v>
      </c>
    </row>
    <row r="49" spans="1:52" x14ac:dyDescent="0.2">
      <c r="A49" s="184" t="s">
        <v>224</v>
      </c>
      <c r="B49" s="196">
        <v>0</v>
      </c>
      <c r="C49" s="196">
        <v>0</v>
      </c>
      <c r="D49" s="197">
        <v>0</v>
      </c>
      <c r="E49" s="197">
        <v>0</v>
      </c>
      <c r="F49" s="197">
        <v>0</v>
      </c>
      <c r="G49" s="197">
        <v>0</v>
      </c>
      <c r="H49" s="197">
        <v>0</v>
      </c>
      <c r="I49" s="197">
        <v>0</v>
      </c>
      <c r="J49" s="197">
        <v>0</v>
      </c>
      <c r="K49" s="197">
        <v>0</v>
      </c>
      <c r="L49" s="197">
        <v>0</v>
      </c>
      <c r="M49" s="197">
        <v>0</v>
      </c>
      <c r="N49" s="197">
        <v>0</v>
      </c>
      <c r="O49" s="197">
        <v>0</v>
      </c>
      <c r="P49" s="197">
        <v>0</v>
      </c>
      <c r="Q49" s="197">
        <v>0</v>
      </c>
      <c r="R49" s="197">
        <v>0</v>
      </c>
      <c r="S49" s="197">
        <v>0</v>
      </c>
      <c r="T49" s="197">
        <v>0</v>
      </c>
      <c r="U49" s="197">
        <v>0</v>
      </c>
      <c r="V49" s="197">
        <v>0</v>
      </c>
      <c r="W49" s="197">
        <v>0</v>
      </c>
      <c r="X49" s="197">
        <v>0</v>
      </c>
      <c r="Y49" s="197">
        <v>0</v>
      </c>
      <c r="Z49" s="197">
        <v>0</v>
      </c>
      <c r="AA49" s="198">
        <v>0</v>
      </c>
      <c r="AB49" s="197">
        <v>0.08</v>
      </c>
      <c r="AC49" s="197">
        <v>0</v>
      </c>
      <c r="AD49" s="197">
        <v>0</v>
      </c>
      <c r="AE49" s="197">
        <v>0</v>
      </c>
      <c r="AF49" s="197">
        <v>0</v>
      </c>
      <c r="AG49" s="197">
        <v>0</v>
      </c>
      <c r="AH49" s="197">
        <v>0</v>
      </c>
      <c r="AI49" s="197">
        <v>0</v>
      </c>
      <c r="AJ49" s="197">
        <v>0</v>
      </c>
      <c r="AK49" s="197">
        <v>0.05</v>
      </c>
      <c r="AL49" s="197">
        <v>0.01</v>
      </c>
      <c r="AM49" s="197">
        <v>0</v>
      </c>
      <c r="AN49" s="197">
        <v>0</v>
      </c>
      <c r="AO49" s="197">
        <v>0</v>
      </c>
      <c r="AP49" s="197">
        <v>0</v>
      </c>
      <c r="AQ49" s="197">
        <v>0</v>
      </c>
      <c r="AR49" s="197">
        <v>0</v>
      </c>
      <c r="AS49" s="196">
        <v>0</v>
      </c>
      <c r="AT49" s="197">
        <v>0</v>
      </c>
      <c r="AU49" s="197">
        <v>0</v>
      </c>
      <c r="AV49" s="197">
        <v>0</v>
      </c>
      <c r="AW49" s="197">
        <v>0</v>
      </c>
      <c r="AX49" s="196">
        <v>0</v>
      </c>
      <c r="AY49" s="196">
        <v>0</v>
      </c>
      <c r="AZ49" s="196">
        <v>0</v>
      </c>
    </row>
    <row r="50" spans="1:52" x14ac:dyDescent="0.2">
      <c r="A50" s="184" t="s">
        <v>225</v>
      </c>
      <c r="B50" s="196">
        <v>0</v>
      </c>
      <c r="C50" s="196">
        <v>0</v>
      </c>
      <c r="D50" s="197">
        <v>0.55000000000000004</v>
      </c>
      <c r="E50" s="197">
        <v>0</v>
      </c>
      <c r="F50" s="197">
        <v>0</v>
      </c>
      <c r="G50" s="197">
        <v>0.2</v>
      </c>
      <c r="H50" s="197">
        <v>0</v>
      </c>
      <c r="I50" s="197">
        <v>0</v>
      </c>
      <c r="J50" s="197">
        <v>0</v>
      </c>
      <c r="K50" s="197">
        <v>0</v>
      </c>
      <c r="L50" s="197">
        <v>0</v>
      </c>
      <c r="M50" s="197">
        <v>0</v>
      </c>
      <c r="N50" s="197">
        <v>0</v>
      </c>
      <c r="O50" s="197">
        <v>0</v>
      </c>
      <c r="P50" s="197">
        <v>0</v>
      </c>
      <c r="Q50" s="197">
        <v>0</v>
      </c>
      <c r="R50" s="197">
        <v>0</v>
      </c>
      <c r="S50" s="197">
        <v>0</v>
      </c>
      <c r="T50" s="197">
        <v>0</v>
      </c>
      <c r="U50" s="197">
        <v>0</v>
      </c>
      <c r="V50" s="197">
        <v>0</v>
      </c>
      <c r="W50" s="197">
        <v>0</v>
      </c>
      <c r="X50" s="197">
        <v>0</v>
      </c>
      <c r="Y50" s="197">
        <v>0</v>
      </c>
      <c r="Z50" s="197">
        <v>0.45</v>
      </c>
      <c r="AA50" s="198">
        <v>0</v>
      </c>
      <c r="AB50" s="197">
        <v>0</v>
      </c>
      <c r="AC50" s="197">
        <v>0</v>
      </c>
      <c r="AD50" s="197">
        <v>0</v>
      </c>
      <c r="AE50" s="197">
        <v>0</v>
      </c>
      <c r="AF50" s="197">
        <v>0</v>
      </c>
      <c r="AG50" s="197">
        <v>0</v>
      </c>
      <c r="AH50" s="197">
        <v>0</v>
      </c>
      <c r="AI50" s="197">
        <v>0</v>
      </c>
      <c r="AJ50" s="197">
        <v>0</v>
      </c>
      <c r="AK50" s="197">
        <v>0</v>
      </c>
      <c r="AL50" s="197">
        <v>0</v>
      </c>
      <c r="AM50" s="197">
        <v>0</v>
      </c>
      <c r="AN50" s="197">
        <v>0</v>
      </c>
      <c r="AO50" s="197">
        <v>0</v>
      </c>
      <c r="AP50" s="197">
        <v>0</v>
      </c>
      <c r="AQ50" s="197">
        <v>0</v>
      </c>
      <c r="AR50" s="197">
        <v>0</v>
      </c>
      <c r="AS50" s="196">
        <v>0</v>
      </c>
      <c r="AT50" s="197">
        <v>0.95</v>
      </c>
      <c r="AU50" s="197">
        <v>0.8</v>
      </c>
      <c r="AV50" s="197">
        <v>0.5</v>
      </c>
      <c r="AW50" s="197">
        <v>0.5</v>
      </c>
      <c r="AX50" s="196">
        <v>0</v>
      </c>
      <c r="AY50" s="196">
        <v>0</v>
      </c>
      <c r="AZ50" s="196">
        <v>0</v>
      </c>
    </row>
    <row r="51" spans="1:52" x14ac:dyDescent="0.2">
      <c r="A51" s="184" t="s">
        <v>124</v>
      </c>
      <c r="B51" s="196">
        <v>0</v>
      </c>
      <c r="C51" s="196">
        <v>0</v>
      </c>
      <c r="D51" s="199">
        <v>0</v>
      </c>
      <c r="E51" s="199">
        <v>0</v>
      </c>
      <c r="F51" s="199">
        <v>0</v>
      </c>
      <c r="G51" s="199">
        <v>0</v>
      </c>
      <c r="H51" s="199">
        <v>0</v>
      </c>
      <c r="I51" s="199">
        <v>0</v>
      </c>
      <c r="J51" s="199">
        <v>0</v>
      </c>
      <c r="K51" s="199">
        <v>0</v>
      </c>
      <c r="L51" s="199">
        <v>0</v>
      </c>
      <c r="M51" s="199">
        <v>0</v>
      </c>
      <c r="N51" s="199">
        <v>0</v>
      </c>
      <c r="O51" s="199">
        <v>0</v>
      </c>
      <c r="P51" s="199">
        <v>0</v>
      </c>
      <c r="Q51" s="199">
        <v>0</v>
      </c>
      <c r="R51" s="199">
        <v>0</v>
      </c>
      <c r="S51" s="199">
        <v>0</v>
      </c>
      <c r="T51" s="199">
        <v>0</v>
      </c>
      <c r="U51" s="199">
        <v>0</v>
      </c>
      <c r="V51" s="199">
        <v>0</v>
      </c>
      <c r="W51" s="199">
        <v>0</v>
      </c>
      <c r="X51" s="199">
        <v>0</v>
      </c>
      <c r="Y51" s="199">
        <v>0</v>
      </c>
      <c r="Z51" s="199">
        <v>0</v>
      </c>
      <c r="AA51" s="199">
        <v>0</v>
      </c>
      <c r="AB51" s="199">
        <v>0</v>
      </c>
      <c r="AC51" s="199">
        <v>0</v>
      </c>
      <c r="AD51" s="199">
        <v>0</v>
      </c>
      <c r="AE51" s="199">
        <v>0</v>
      </c>
      <c r="AF51" s="199">
        <v>0</v>
      </c>
      <c r="AG51" s="199">
        <v>0</v>
      </c>
      <c r="AH51" s="199">
        <v>0</v>
      </c>
      <c r="AI51" s="199">
        <v>0</v>
      </c>
      <c r="AJ51" s="199">
        <v>0</v>
      </c>
      <c r="AK51" s="199">
        <v>0</v>
      </c>
      <c r="AL51" s="199">
        <v>0</v>
      </c>
      <c r="AM51" s="199">
        <v>0</v>
      </c>
      <c r="AN51" s="199">
        <v>0</v>
      </c>
      <c r="AO51" s="199">
        <v>0</v>
      </c>
      <c r="AP51" s="199">
        <v>0</v>
      </c>
      <c r="AQ51" s="199">
        <v>0</v>
      </c>
      <c r="AR51" s="199">
        <v>0</v>
      </c>
      <c r="AS51" s="196">
        <v>0</v>
      </c>
      <c r="AT51" s="199">
        <v>0</v>
      </c>
      <c r="AU51" s="199">
        <v>0</v>
      </c>
      <c r="AV51" s="199">
        <v>0</v>
      </c>
      <c r="AW51" s="199">
        <v>0</v>
      </c>
      <c r="AX51" s="196">
        <v>0</v>
      </c>
      <c r="AY51" s="196">
        <v>0</v>
      </c>
      <c r="AZ51" s="196">
        <v>0</v>
      </c>
    </row>
    <row r="52" spans="1:52" x14ac:dyDescent="0.2">
      <c r="A52" s="184" t="s">
        <v>125</v>
      </c>
      <c r="B52" s="196">
        <v>0</v>
      </c>
      <c r="C52" s="196">
        <v>0</v>
      </c>
      <c r="D52" s="199">
        <v>0</v>
      </c>
      <c r="E52" s="199">
        <v>0</v>
      </c>
      <c r="F52" s="199">
        <v>0</v>
      </c>
      <c r="G52" s="199">
        <v>0</v>
      </c>
      <c r="H52" s="199">
        <v>0</v>
      </c>
      <c r="I52" s="199">
        <v>0</v>
      </c>
      <c r="J52" s="199">
        <v>0</v>
      </c>
      <c r="K52" s="199">
        <v>0</v>
      </c>
      <c r="L52" s="199">
        <v>0</v>
      </c>
      <c r="M52" s="199">
        <v>0</v>
      </c>
      <c r="N52" s="199">
        <v>0</v>
      </c>
      <c r="O52" s="199">
        <v>0</v>
      </c>
      <c r="P52" s="199">
        <v>0</v>
      </c>
      <c r="Q52" s="199">
        <v>0</v>
      </c>
      <c r="R52" s="199">
        <v>0</v>
      </c>
      <c r="S52" s="199">
        <v>0</v>
      </c>
      <c r="T52" s="199">
        <v>0</v>
      </c>
      <c r="U52" s="199">
        <v>0</v>
      </c>
      <c r="V52" s="199">
        <v>0</v>
      </c>
      <c r="W52" s="199">
        <v>0</v>
      </c>
      <c r="X52" s="199">
        <v>0</v>
      </c>
      <c r="Y52" s="199">
        <v>0</v>
      </c>
      <c r="Z52" s="199">
        <v>0</v>
      </c>
      <c r="AA52" s="199">
        <v>0</v>
      </c>
      <c r="AB52" s="199">
        <v>0</v>
      </c>
      <c r="AC52" s="199">
        <v>0</v>
      </c>
      <c r="AD52" s="199">
        <v>0</v>
      </c>
      <c r="AE52" s="199">
        <v>0</v>
      </c>
      <c r="AF52" s="199">
        <v>0</v>
      </c>
      <c r="AG52" s="199">
        <v>0</v>
      </c>
      <c r="AH52" s="199">
        <v>0</v>
      </c>
      <c r="AI52" s="199">
        <v>0</v>
      </c>
      <c r="AJ52" s="199">
        <v>0</v>
      </c>
      <c r="AK52" s="199">
        <v>0</v>
      </c>
      <c r="AL52" s="199">
        <v>0</v>
      </c>
      <c r="AM52" s="199">
        <v>0</v>
      </c>
      <c r="AN52" s="199">
        <v>0</v>
      </c>
      <c r="AO52" s="199">
        <v>0</v>
      </c>
      <c r="AP52" s="199">
        <v>0</v>
      </c>
      <c r="AQ52" s="199">
        <v>0</v>
      </c>
      <c r="AR52" s="199">
        <v>0</v>
      </c>
      <c r="AS52" s="196">
        <v>0</v>
      </c>
      <c r="AT52" s="199">
        <v>0</v>
      </c>
      <c r="AU52" s="199">
        <v>0</v>
      </c>
      <c r="AV52" s="199">
        <v>0</v>
      </c>
      <c r="AW52" s="199">
        <v>0</v>
      </c>
      <c r="AX52" s="196">
        <v>0</v>
      </c>
      <c r="AY52" s="196">
        <v>0</v>
      </c>
      <c r="AZ52" s="196">
        <v>0</v>
      </c>
    </row>
    <row r="53" spans="1:52" x14ac:dyDescent="0.2">
      <c r="A53" s="136" t="s">
        <v>163</v>
      </c>
      <c r="B53" s="196">
        <v>0</v>
      </c>
      <c r="C53" s="196">
        <v>0</v>
      </c>
      <c r="D53" s="197">
        <v>0</v>
      </c>
      <c r="E53" s="197">
        <v>0</v>
      </c>
      <c r="F53" s="197">
        <v>0</v>
      </c>
      <c r="G53" s="197">
        <v>0</v>
      </c>
      <c r="H53" s="197">
        <v>0</v>
      </c>
      <c r="I53" s="197">
        <v>0</v>
      </c>
      <c r="J53" s="197">
        <v>0</v>
      </c>
      <c r="K53" s="197">
        <v>0</v>
      </c>
      <c r="L53" s="197">
        <v>0</v>
      </c>
      <c r="M53" s="197">
        <v>0</v>
      </c>
      <c r="N53" s="197">
        <v>0</v>
      </c>
      <c r="O53" s="197">
        <v>0</v>
      </c>
      <c r="P53" s="197">
        <v>0</v>
      </c>
      <c r="Q53" s="197">
        <v>0</v>
      </c>
      <c r="R53" s="197">
        <v>0</v>
      </c>
      <c r="S53" s="197">
        <v>0</v>
      </c>
      <c r="T53" s="197">
        <v>6.0000000000000001E-3</v>
      </c>
      <c r="U53" s="197">
        <v>0</v>
      </c>
      <c r="V53" s="197">
        <v>0</v>
      </c>
      <c r="W53" s="197">
        <v>0</v>
      </c>
      <c r="X53" s="197">
        <v>0</v>
      </c>
      <c r="Y53" s="197">
        <v>0</v>
      </c>
      <c r="Z53" s="197">
        <v>0</v>
      </c>
      <c r="AA53" s="198">
        <v>0</v>
      </c>
      <c r="AB53" s="197">
        <v>0</v>
      </c>
      <c r="AC53" s="197">
        <v>0</v>
      </c>
      <c r="AD53" s="197">
        <v>0</v>
      </c>
      <c r="AE53" s="197">
        <v>0</v>
      </c>
      <c r="AF53" s="197">
        <v>0</v>
      </c>
      <c r="AG53" s="197">
        <v>0</v>
      </c>
      <c r="AH53" s="197">
        <v>0</v>
      </c>
      <c r="AI53" s="197">
        <v>0</v>
      </c>
      <c r="AJ53" s="197">
        <v>0</v>
      </c>
      <c r="AK53" s="197">
        <v>0</v>
      </c>
      <c r="AL53" s="197">
        <v>0</v>
      </c>
      <c r="AM53" s="197">
        <v>0</v>
      </c>
      <c r="AN53" s="197">
        <v>0</v>
      </c>
      <c r="AO53" s="197">
        <v>0</v>
      </c>
      <c r="AP53" s="197">
        <v>0</v>
      </c>
      <c r="AQ53" s="197">
        <v>0</v>
      </c>
      <c r="AR53" s="197">
        <v>0.25</v>
      </c>
      <c r="AS53" s="196">
        <v>0</v>
      </c>
      <c r="AT53" s="197">
        <v>0</v>
      </c>
      <c r="AU53" s="197">
        <v>0</v>
      </c>
      <c r="AV53" s="197">
        <v>0</v>
      </c>
      <c r="AW53" s="197">
        <v>0</v>
      </c>
      <c r="AX53" s="196">
        <v>0</v>
      </c>
      <c r="AY53" s="196">
        <v>0</v>
      </c>
      <c r="AZ53" s="196">
        <v>0</v>
      </c>
    </row>
    <row r="56" spans="1:52" x14ac:dyDescent="0.2">
      <c r="A56" s="110" t="s">
        <v>62</v>
      </c>
      <c r="B56" s="110">
        <f>SUM(B2:B53)</f>
        <v>0</v>
      </c>
      <c r="C56" s="110">
        <f t="shared" ref="C56:AZ56" si="0">SUM(C2:C53)</f>
        <v>0</v>
      </c>
      <c r="D56" s="110">
        <f t="shared" si="0"/>
        <v>1</v>
      </c>
      <c r="E56" s="110">
        <f t="shared" si="0"/>
        <v>1</v>
      </c>
      <c r="F56" s="110">
        <f t="shared" si="0"/>
        <v>1</v>
      </c>
      <c r="G56" s="110">
        <f t="shared" si="0"/>
        <v>1</v>
      </c>
      <c r="H56" s="110">
        <f t="shared" si="0"/>
        <v>1</v>
      </c>
      <c r="I56" s="110">
        <f t="shared" si="0"/>
        <v>1</v>
      </c>
      <c r="J56" s="110">
        <f t="shared" si="0"/>
        <v>1</v>
      </c>
      <c r="K56" s="110">
        <f t="shared" si="0"/>
        <v>1</v>
      </c>
      <c r="L56" s="110">
        <f t="shared" si="0"/>
        <v>1</v>
      </c>
      <c r="M56" s="110">
        <f t="shared" si="0"/>
        <v>1</v>
      </c>
      <c r="N56" s="110">
        <f t="shared" si="0"/>
        <v>1</v>
      </c>
      <c r="O56" s="110">
        <f t="shared" si="0"/>
        <v>1</v>
      </c>
      <c r="P56" s="110">
        <f t="shared" si="0"/>
        <v>1</v>
      </c>
      <c r="Q56" s="110">
        <f t="shared" si="0"/>
        <v>1</v>
      </c>
      <c r="R56" s="110">
        <f t="shared" si="0"/>
        <v>1</v>
      </c>
      <c r="S56" s="110">
        <f t="shared" si="0"/>
        <v>1.0000000000000002</v>
      </c>
      <c r="T56" s="110">
        <f t="shared" si="0"/>
        <v>1</v>
      </c>
      <c r="U56" s="110">
        <f t="shared" si="0"/>
        <v>1</v>
      </c>
      <c r="V56" s="110">
        <f t="shared" si="0"/>
        <v>1</v>
      </c>
      <c r="W56" s="110">
        <f t="shared" si="0"/>
        <v>0.99999999999999989</v>
      </c>
      <c r="X56" s="110">
        <f t="shared" si="0"/>
        <v>1</v>
      </c>
      <c r="Y56" s="110">
        <f t="shared" si="0"/>
        <v>1</v>
      </c>
      <c r="Z56" s="110">
        <f t="shared" si="0"/>
        <v>1</v>
      </c>
      <c r="AA56" s="110">
        <f t="shared" si="0"/>
        <v>1</v>
      </c>
      <c r="AB56" s="110">
        <f t="shared" si="0"/>
        <v>0.99999999999999989</v>
      </c>
      <c r="AC56" s="110">
        <f t="shared" si="0"/>
        <v>1.0000000000000002</v>
      </c>
      <c r="AD56" s="110">
        <f t="shared" si="0"/>
        <v>1.0000000000000002</v>
      </c>
      <c r="AE56" s="110">
        <f t="shared" si="0"/>
        <v>1</v>
      </c>
      <c r="AF56" s="110">
        <f t="shared" si="0"/>
        <v>1</v>
      </c>
      <c r="AG56" s="110">
        <f t="shared" si="0"/>
        <v>1</v>
      </c>
      <c r="AH56" s="110">
        <f t="shared" si="0"/>
        <v>1</v>
      </c>
      <c r="AI56" s="110">
        <f t="shared" si="0"/>
        <v>1</v>
      </c>
      <c r="AJ56" s="110">
        <f t="shared" si="0"/>
        <v>1.0000000000000002</v>
      </c>
      <c r="AK56" s="110">
        <f t="shared" si="0"/>
        <v>1</v>
      </c>
      <c r="AL56" s="110">
        <f t="shared" si="0"/>
        <v>1</v>
      </c>
      <c r="AM56" s="110">
        <f t="shared" si="0"/>
        <v>1</v>
      </c>
      <c r="AN56" s="110">
        <f t="shared" si="0"/>
        <v>1</v>
      </c>
      <c r="AO56" s="110">
        <f t="shared" si="0"/>
        <v>1</v>
      </c>
      <c r="AP56" s="110">
        <f t="shared" si="0"/>
        <v>1.0000000000000002</v>
      </c>
      <c r="AQ56" s="110">
        <f t="shared" si="0"/>
        <v>1.0002</v>
      </c>
      <c r="AR56" s="110">
        <f>SUM(AR2:AR53)</f>
        <v>1</v>
      </c>
      <c r="AS56" s="110">
        <f t="shared" si="0"/>
        <v>0</v>
      </c>
      <c r="AT56" s="110">
        <f t="shared" si="0"/>
        <v>1</v>
      </c>
      <c r="AU56" s="110">
        <f t="shared" si="0"/>
        <v>1</v>
      </c>
      <c r="AV56" s="110">
        <f t="shared" si="0"/>
        <v>1</v>
      </c>
      <c r="AW56" s="110">
        <f t="shared" si="0"/>
        <v>1</v>
      </c>
      <c r="AX56" s="110">
        <f t="shared" si="0"/>
        <v>0</v>
      </c>
      <c r="AY56" s="110">
        <f t="shared" si="0"/>
        <v>0</v>
      </c>
      <c r="AZ56" s="110">
        <f t="shared" si="0"/>
        <v>0</v>
      </c>
    </row>
    <row r="57" spans="1:52" x14ac:dyDescent="0.2">
      <c r="A57" s="110" t="s">
        <v>177</v>
      </c>
      <c r="B57" s="110">
        <f>1-B56</f>
        <v>1</v>
      </c>
      <c r="C57" s="110">
        <f t="shared" ref="C57:AZ57" si="1">1-C56</f>
        <v>1</v>
      </c>
      <c r="D57" s="110">
        <f t="shared" si="1"/>
        <v>0</v>
      </c>
      <c r="E57" s="110">
        <f t="shared" si="1"/>
        <v>0</v>
      </c>
      <c r="F57" s="110">
        <f t="shared" si="1"/>
        <v>0</v>
      </c>
      <c r="G57" s="110">
        <f t="shared" si="1"/>
        <v>0</v>
      </c>
      <c r="H57" s="110">
        <f t="shared" si="1"/>
        <v>0</v>
      </c>
      <c r="I57" s="110">
        <f t="shared" si="1"/>
        <v>0</v>
      </c>
      <c r="J57" s="110">
        <f t="shared" si="1"/>
        <v>0</v>
      </c>
      <c r="K57" s="110">
        <f t="shared" si="1"/>
        <v>0</v>
      </c>
      <c r="L57" s="110">
        <f t="shared" si="1"/>
        <v>0</v>
      </c>
      <c r="M57" s="110">
        <f t="shared" si="1"/>
        <v>0</v>
      </c>
      <c r="N57" s="110">
        <f t="shared" si="1"/>
        <v>0</v>
      </c>
      <c r="O57" s="110">
        <f t="shared" si="1"/>
        <v>0</v>
      </c>
      <c r="P57" s="110">
        <f t="shared" si="1"/>
        <v>0</v>
      </c>
      <c r="Q57" s="110">
        <f t="shared" si="1"/>
        <v>0</v>
      </c>
      <c r="R57" s="110">
        <f t="shared" si="1"/>
        <v>0</v>
      </c>
      <c r="S57" s="110">
        <f t="shared" si="1"/>
        <v>0</v>
      </c>
      <c r="T57" s="110">
        <f t="shared" si="1"/>
        <v>0</v>
      </c>
      <c r="U57" s="110">
        <f t="shared" si="1"/>
        <v>0</v>
      </c>
      <c r="V57" s="110">
        <f t="shared" si="1"/>
        <v>0</v>
      </c>
      <c r="W57" s="110">
        <f t="shared" si="1"/>
        <v>0</v>
      </c>
      <c r="X57" s="110">
        <f t="shared" si="1"/>
        <v>0</v>
      </c>
      <c r="Y57" s="110">
        <f t="shared" si="1"/>
        <v>0</v>
      </c>
      <c r="Z57" s="110">
        <f t="shared" si="1"/>
        <v>0</v>
      </c>
      <c r="AA57" s="110">
        <f t="shared" si="1"/>
        <v>0</v>
      </c>
      <c r="AB57" s="110">
        <f t="shared" si="1"/>
        <v>0</v>
      </c>
      <c r="AC57" s="110">
        <f t="shared" si="1"/>
        <v>0</v>
      </c>
      <c r="AD57" s="110">
        <f t="shared" si="1"/>
        <v>0</v>
      </c>
      <c r="AE57" s="110">
        <f t="shared" si="1"/>
        <v>0</v>
      </c>
      <c r="AF57" s="110">
        <f t="shared" si="1"/>
        <v>0</v>
      </c>
      <c r="AG57" s="110">
        <f t="shared" si="1"/>
        <v>0</v>
      </c>
      <c r="AH57" s="110">
        <f t="shared" si="1"/>
        <v>0</v>
      </c>
      <c r="AI57" s="110">
        <f t="shared" si="1"/>
        <v>0</v>
      </c>
      <c r="AJ57" s="110">
        <f t="shared" si="1"/>
        <v>0</v>
      </c>
      <c r="AK57" s="110">
        <f t="shared" si="1"/>
        <v>0</v>
      </c>
      <c r="AL57" s="110">
        <f t="shared" si="1"/>
        <v>0</v>
      </c>
      <c r="AM57" s="110">
        <f t="shared" si="1"/>
        <v>0</v>
      </c>
      <c r="AN57" s="110">
        <f t="shared" si="1"/>
        <v>0</v>
      </c>
      <c r="AO57" s="110">
        <f t="shared" si="1"/>
        <v>0</v>
      </c>
      <c r="AP57" s="110">
        <f t="shared" si="1"/>
        <v>0</v>
      </c>
      <c r="AQ57" s="110">
        <f t="shared" si="1"/>
        <v>-1.9999999999997797E-4</v>
      </c>
      <c r="AR57" s="110">
        <f t="shared" si="1"/>
        <v>0</v>
      </c>
      <c r="AS57" s="110">
        <f t="shared" si="1"/>
        <v>1</v>
      </c>
      <c r="AT57" s="110">
        <f t="shared" si="1"/>
        <v>0</v>
      </c>
      <c r="AU57" s="110">
        <f t="shared" si="1"/>
        <v>0</v>
      </c>
      <c r="AV57" s="110">
        <f t="shared" si="1"/>
        <v>0</v>
      </c>
      <c r="AW57" s="110">
        <f t="shared" si="1"/>
        <v>0</v>
      </c>
      <c r="AX57" s="110">
        <f t="shared" si="1"/>
        <v>1</v>
      </c>
      <c r="AY57" s="110">
        <f t="shared" si="1"/>
        <v>1</v>
      </c>
      <c r="AZ57" s="110">
        <f t="shared" si="1"/>
        <v>1</v>
      </c>
    </row>
    <row r="58" spans="1:52" customFormat="1" ht="13" x14ac:dyDescent="0.15"/>
    <row r="59" spans="1:52" customFormat="1" ht="13" x14ac:dyDescent="0.15"/>
    <row r="60" spans="1:52" customFormat="1" ht="13" x14ac:dyDescent="0.15">
      <c r="AL60" s="334" t="s">
        <v>297</v>
      </c>
    </row>
    <row r="61" spans="1:52" customFormat="1" ht="13" x14ac:dyDescent="0.15"/>
    <row r="62" spans="1:52" customFormat="1" ht="13" x14ac:dyDescent="0.15"/>
    <row r="63" spans="1:52" customFormat="1" ht="13" x14ac:dyDescent="0.15"/>
    <row r="64" spans="1:52" customFormat="1" ht="13" x14ac:dyDescent="0.15"/>
    <row r="65" customFormat="1" ht="13" x14ac:dyDescent="0.15"/>
    <row r="66" customFormat="1" ht="13" x14ac:dyDescent="0.15"/>
    <row r="67" customFormat="1" ht="13" x14ac:dyDescent="0.15"/>
    <row r="68" customFormat="1" ht="13" x14ac:dyDescent="0.15"/>
    <row r="69" customFormat="1" ht="13" x14ac:dyDescent="0.15"/>
    <row r="70" customFormat="1" ht="13" x14ac:dyDescent="0.15"/>
    <row r="71" customFormat="1" ht="13" x14ac:dyDescent="0.15"/>
    <row r="72" customFormat="1" ht="13" x14ac:dyDescent="0.15"/>
    <row r="73" customFormat="1" ht="13" x14ac:dyDescent="0.15"/>
    <row r="74" customFormat="1" ht="13" x14ac:dyDescent="0.15"/>
    <row r="75" customFormat="1" ht="13" x14ac:dyDescent="0.15"/>
    <row r="76" customFormat="1" ht="13" x14ac:dyDescent="0.15"/>
    <row r="77" customFormat="1" ht="13" x14ac:dyDescent="0.15"/>
    <row r="78" customFormat="1" ht="13" x14ac:dyDescent="0.15"/>
    <row r="79" customFormat="1" ht="13" x14ac:dyDescent="0.15"/>
    <row r="80" customFormat="1" ht="13" x14ac:dyDescent="0.15"/>
    <row r="81" customFormat="1" ht="13" x14ac:dyDescent="0.15"/>
    <row r="82" customFormat="1" ht="13" x14ac:dyDescent="0.15"/>
    <row r="83" customFormat="1" ht="13" x14ac:dyDescent="0.15"/>
    <row r="84" customFormat="1" ht="13" x14ac:dyDescent="0.15"/>
    <row r="85" customFormat="1" ht="13" x14ac:dyDescent="0.15"/>
    <row r="86" customFormat="1" ht="13" x14ac:dyDescent="0.15"/>
    <row r="87" customFormat="1" ht="13" x14ac:dyDescent="0.15"/>
    <row r="88" customFormat="1" ht="13" x14ac:dyDescent="0.15"/>
    <row r="89" customFormat="1" ht="13" x14ac:dyDescent="0.15"/>
    <row r="90" customFormat="1" ht="13" x14ac:dyDescent="0.15"/>
    <row r="91" customFormat="1" ht="13" x14ac:dyDescent="0.15"/>
    <row r="92" customFormat="1" ht="13" x14ac:dyDescent="0.15"/>
    <row r="93" customFormat="1" ht="13" x14ac:dyDescent="0.15"/>
    <row r="94" customFormat="1" ht="13" x14ac:dyDescent="0.15"/>
    <row r="95" customFormat="1" ht="13" x14ac:dyDescent="0.15"/>
    <row r="96" customFormat="1" ht="13" x14ac:dyDescent="0.15"/>
    <row r="97" customFormat="1" ht="13" x14ac:dyDescent="0.15"/>
    <row r="98" customFormat="1" ht="13" x14ac:dyDescent="0.15"/>
    <row r="99" customFormat="1" ht="13" x14ac:dyDescent="0.15"/>
    <row r="100" customFormat="1" ht="13" x14ac:dyDescent="0.15"/>
    <row r="101" customFormat="1" ht="13" x14ac:dyDescent="0.15"/>
    <row r="102" customFormat="1" ht="13" x14ac:dyDescent="0.15"/>
    <row r="103" customFormat="1" ht="13" x14ac:dyDescent="0.15"/>
    <row r="104" customFormat="1" ht="13" x14ac:dyDescent="0.15"/>
    <row r="105" customFormat="1" ht="13" x14ac:dyDescent="0.15"/>
    <row r="106" customFormat="1" ht="13" x14ac:dyDescent="0.15"/>
    <row r="107" customFormat="1" ht="13" x14ac:dyDescent="0.15"/>
    <row r="108" customFormat="1" ht="13" x14ac:dyDescent="0.15"/>
    <row r="109" customFormat="1" ht="13" x14ac:dyDescent="0.15"/>
    <row r="194" ht="15" customHeight="1" x14ac:dyDescent="0.2"/>
    <row r="195" ht="15" customHeight="1" x14ac:dyDescent="0.2"/>
    <row r="196" ht="15" customHeight="1" x14ac:dyDescent="0.2"/>
    <row r="197" ht="15" customHeight="1" x14ac:dyDescent="0.2"/>
    <row r="198" ht="15" customHeight="1" x14ac:dyDescent="0.2"/>
    <row r="199" ht="15" customHeight="1" x14ac:dyDescent="0.2"/>
    <row r="200" ht="15" customHeight="1" x14ac:dyDescent="0.2"/>
    <row r="201" ht="15" customHeight="1" x14ac:dyDescent="0.2"/>
    <row r="202" ht="15" customHeight="1" x14ac:dyDescent="0.2"/>
    <row r="203" ht="15" customHeight="1" x14ac:dyDescent="0.2"/>
    <row r="204" ht="15" customHeight="1" x14ac:dyDescent="0.2"/>
    <row r="205" ht="15" customHeight="1" x14ac:dyDescent="0.2"/>
    <row r="206" ht="15" customHeight="1" x14ac:dyDescent="0.2"/>
    <row r="207" ht="15" customHeight="1" x14ac:dyDescent="0.2"/>
    <row r="208" ht="15" customHeight="1" x14ac:dyDescent="0.2"/>
    <row r="209" ht="15" customHeight="1" x14ac:dyDescent="0.2"/>
    <row r="210" ht="15" customHeight="1" x14ac:dyDescent="0.2"/>
    <row r="211" ht="15" customHeight="1" x14ac:dyDescent="0.2"/>
    <row r="212" ht="15" customHeight="1" x14ac:dyDescent="0.2"/>
    <row r="213" ht="15" customHeight="1" x14ac:dyDescent="0.2"/>
    <row r="214" ht="15" customHeight="1" x14ac:dyDescent="0.2"/>
    <row r="215" ht="15" customHeight="1" x14ac:dyDescent="0.2"/>
    <row r="216" ht="15" customHeight="1" x14ac:dyDescent="0.2"/>
    <row r="217" ht="15" customHeight="1" x14ac:dyDescent="0.2"/>
    <row r="218" ht="15" customHeight="1" x14ac:dyDescent="0.2"/>
    <row r="219" ht="15" customHeight="1" x14ac:dyDescent="0.2"/>
    <row r="220" ht="15" customHeight="1" x14ac:dyDescent="0.2"/>
    <row r="221" ht="15" customHeight="1" x14ac:dyDescent="0.2"/>
    <row r="222" ht="15" customHeight="1" x14ac:dyDescent="0.2"/>
    <row r="223" ht="15" customHeight="1" x14ac:dyDescent="0.2"/>
    <row r="224" ht="15" customHeight="1" x14ac:dyDescent="0.2"/>
    <row r="225" ht="15" customHeight="1" x14ac:dyDescent="0.2"/>
    <row r="226" ht="15" customHeight="1" x14ac:dyDescent="0.2"/>
    <row r="227" ht="15" customHeight="1" x14ac:dyDescent="0.2"/>
    <row r="228" ht="15" customHeight="1" x14ac:dyDescent="0.2"/>
    <row r="229" ht="15" customHeight="1" x14ac:dyDescent="0.2"/>
    <row r="230" ht="15" customHeight="1" x14ac:dyDescent="0.2"/>
    <row r="231" ht="15" customHeight="1" x14ac:dyDescent="0.2"/>
    <row r="232" ht="15" customHeight="1" x14ac:dyDescent="0.2"/>
    <row r="233" ht="15" customHeight="1" x14ac:dyDescent="0.2"/>
    <row r="234" ht="15" customHeight="1" x14ac:dyDescent="0.2"/>
    <row r="235" ht="15" customHeight="1" x14ac:dyDescent="0.2"/>
    <row r="236" ht="15" customHeight="1" x14ac:dyDescent="0.2"/>
    <row r="237" ht="15" customHeight="1" x14ac:dyDescent="0.2"/>
    <row r="238" ht="15" customHeight="1" x14ac:dyDescent="0.2"/>
    <row r="239" ht="15" customHeight="1" x14ac:dyDescent="0.2"/>
    <row r="240" ht="15" customHeight="1" x14ac:dyDescent="0.2"/>
    <row r="241" ht="15" customHeight="1" x14ac:dyDescent="0.2"/>
    <row r="242" ht="15" customHeight="1" x14ac:dyDescent="0.2"/>
    <row r="243" ht="15" customHeight="1" x14ac:dyDescent="0.2"/>
    <row r="244" ht="15" customHeight="1" x14ac:dyDescent="0.2"/>
    <row r="245" ht="15" customHeight="1" x14ac:dyDescent="0.2"/>
    <row r="246" ht="15" customHeight="1" x14ac:dyDescent="0.2"/>
    <row r="247" ht="15" customHeight="1" x14ac:dyDescent="0.2"/>
    <row r="248" ht="15" customHeight="1" x14ac:dyDescent="0.2"/>
    <row r="249" ht="15" customHeight="1" x14ac:dyDescent="0.2"/>
    <row r="250" ht="15" customHeight="1" x14ac:dyDescent="0.2"/>
    <row r="251" ht="15" customHeight="1" x14ac:dyDescent="0.2"/>
    <row r="252" ht="15" customHeight="1" x14ac:dyDescent="0.2"/>
    <row r="253" ht="15" customHeight="1" x14ac:dyDescent="0.2"/>
    <row r="254" ht="15" customHeight="1" x14ac:dyDescent="0.2"/>
    <row r="255" ht="15" customHeight="1" x14ac:dyDescent="0.2"/>
    <row r="256" ht="15" customHeight="1" x14ac:dyDescent="0.2"/>
    <row r="257" ht="15" customHeight="1" x14ac:dyDescent="0.2"/>
    <row r="258" ht="15" customHeight="1" x14ac:dyDescent="0.2"/>
    <row r="259" ht="15" customHeight="1" x14ac:dyDescent="0.2"/>
    <row r="260" ht="15" customHeight="1" x14ac:dyDescent="0.2"/>
    <row r="261" ht="15" customHeight="1" x14ac:dyDescent="0.2"/>
    <row r="262" ht="15" customHeight="1" x14ac:dyDescent="0.2"/>
    <row r="263" ht="15" customHeight="1" x14ac:dyDescent="0.2"/>
    <row r="264" ht="15" customHeight="1" x14ac:dyDescent="0.2"/>
    <row r="265" ht="15" customHeight="1" x14ac:dyDescent="0.2"/>
    <row r="266" ht="15" customHeight="1" x14ac:dyDescent="0.2"/>
    <row r="267" ht="15" customHeight="1" x14ac:dyDescent="0.2"/>
    <row r="268" ht="15" customHeight="1" x14ac:dyDescent="0.2"/>
    <row r="269" ht="15" customHeight="1" x14ac:dyDescent="0.2"/>
    <row r="270" ht="15" customHeight="1" x14ac:dyDescent="0.2"/>
    <row r="271" ht="15" customHeight="1" x14ac:dyDescent="0.2"/>
    <row r="272" ht="15" customHeight="1" x14ac:dyDescent="0.2"/>
    <row r="273" ht="15" customHeight="1" x14ac:dyDescent="0.2"/>
    <row r="274" ht="15" customHeight="1" x14ac:dyDescent="0.2"/>
    <row r="275" ht="15" customHeight="1" x14ac:dyDescent="0.2"/>
    <row r="276" ht="15" customHeight="1" x14ac:dyDescent="0.2"/>
    <row r="277" ht="15" customHeight="1" x14ac:dyDescent="0.2"/>
    <row r="278" ht="15" customHeight="1" x14ac:dyDescent="0.2"/>
    <row r="279" ht="15" customHeight="1" x14ac:dyDescent="0.2"/>
    <row r="280" ht="15" customHeight="1" x14ac:dyDescent="0.2"/>
    <row r="281" ht="15" customHeight="1" x14ac:dyDescent="0.2"/>
    <row r="282" ht="15" customHeight="1" x14ac:dyDescent="0.2"/>
    <row r="283" ht="15" customHeight="1" x14ac:dyDescent="0.2"/>
    <row r="284" ht="15" customHeight="1" x14ac:dyDescent="0.2"/>
    <row r="285" ht="15" customHeight="1" x14ac:dyDescent="0.2"/>
    <row r="286" ht="15" customHeight="1" x14ac:dyDescent="0.2"/>
    <row r="287" ht="15" customHeight="1" x14ac:dyDescent="0.2"/>
    <row r="288" ht="15" customHeight="1" x14ac:dyDescent="0.2"/>
    <row r="289" ht="15" customHeight="1" x14ac:dyDescent="0.2"/>
    <row r="290" ht="15" customHeight="1" x14ac:dyDescent="0.2"/>
    <row r="291" ht="15" customHeight="1" x14ac:dyDescent="0.2"/>
    <row r="292" ht="15" customHeight="1" x14ac:dyDescent="0.2"/>
    <row r="293" ht="15" customHeight="1" x14ac:dyDescent="0.2"/>
    <row r="294" ht="15" customHeight="1" x14ac:dyDescent="0.2"/>
    <row r="295" ht="15" customHeight="1" x14ac:dyDescent="0.2"/>
    <row r="296" ht="15" customHeight="1" x14ac:dyDescent="0.2"/>
    <row r="297" ht="15" customHeight="1" x14ac:dyDescent="0.2"/>
    <row r="298" ht="15" customHeight="1" x14ac:dyDescent="0.2"/>
    <row r="299" ht="15" customHeight="1" x14ac:dyDescent="0.2"/>
    <row r="300" ht="15" customHeight="1" x14ac:dyDescent="0.2"/>
    <row r="301" ht="15" customHeight="1" x14ac:dyDescent="0.2"/>
    <row r="302" ht="15" customHeight="1" x14ac:dyDescent="0.2"/>
    <row r="303" ht="15" customHeight="1" x14ac:dyDescent="0.2"/>
    <row r="304" ht="15" customHeight="1" x14ac:dyDescent="0.2"/>
    <row r="305" ht="15" customHeight="1" x14ac:dyDescent="0.2"/>
    <row r="306" ht="15" customHeight="1" x14ac:dyDescent="0.2"/>
    <row r="307" ht="15" customHeight="1" x14ac:dyDescent="0.2"/>
    <row r="308" ht="15" customHeight="1" x14ac:dyDescent="0.2"/>
    <row r="309" ht="15" customHeight="1" x14ac:dyDescent="0.2"/>
    <row r="310" ht="15" customHeight="1" x14ac:dyDescent="0.2"/>
    <row r="311" ht="15" customHeight="1" x14ac:dyDescent="0.2"/>
    <row r="312" ht="15" customHeight="1" x14ac:dyDescent="0.2"/>
    <row r="313" ht="15" customHeight="1" x14ac:dyDescent="0.2"/>
    <row r="314" ht="15" customHeight="1" x14ac:dyDescent="0.2"/>
    <row r="315" ht="15" customHeight="1" x14ac:dyDescent="0.2"/>
    <row r="316" ht="15" customHeight="1" x14ac:dyDescent="0.2"/>
    <row r="317" ht="15" customHeight="1" x14ac:dyDescent="0.2"/>
    <row r="318" ht="15" customHeight="1" x14ac:dyDescent="0.2"/>
    <row r="319" ht="15" customHeight="1" x14ac:dyDescent="0.2"/>
    <row r="320" ht="15" customHeight="1" x14ac:dyDescent="0.2"/>
    <row r="321" ht="15" customHeight="1" x14ac:dyDescent="0.2"/>
    <row r="322" ht="15" customHeight="1" x14ac:dyDescent="0.2"/>
    <row r="323" ht="15" customHeight="1" x14ac:dyDescent="0.2"/>
    <row r="324" ht="15" customHeight="1" x14ac:dyDescent="0.2"/>
    <row r="325" ht="15" customHeight="1" x14ac:dyDescent="0.2"/>
    <row r="326" ht="15" customHeight="1" x14ac:dyDescent="0.2"/>
    <row r="327" ht="15" customHeight="1" x14ac:dyDescent="0.2"/>
    <row r="328" ht="15" customHeight="1" x14ac:dyDescent="0.2"/>
    <row r="329" ht="15" customHeight="1" x14ac:dyDescent="0.2"/>
    <row r="330" ht="15" customHeight="1" x14ac:dyDescent="0.2"/>
    <row r="331" ht="15" customHeight="1" x14ac:dyDescent="0.2"/>
    <row r="332" ht="15" customHeight="1" x14ac:dyDescent="0.2"/>
    <row r="333" ht="15" customHeight="1" x14ac:dyDescent="0.2"/>
    <row r="334" ht="15" customHeight="1" x14ac:dyDescent="0.2"/>
    <row r="335" ht="15" customHeight="1" x14ac:dyDescent="0.2"/>
    <row r="336" ht="15" customHeight="1" x14ac:dyDescent="0.2"/>
    <row r="337" ht="15" customHeight="1" x14ac:dyDescent="0.2"/>
    <row r="338" ht="15" customHeight="1" x14ac:dyDescent="0.2"/>
    <row r="339" ht="15" customHeight="1" x14ac:dyDescent="0.2"/>
    <row r="340" ht="15" customHeight="1" x14ac:dyDescent="0.2"/>
    <row r="341" ht="15" customHeight="1" x14ac:dyDescent="0.2"/>
    <row r="342" ht="15" customHeight="1" x14ac:dyDescent="0.2"/>
    <row r="343" ht="15" customHeight="1" x14ac:dyDescent="0.2"/>
    <row r="344" ht="15" customHeight="1" x14ac:dyDescent="0.2"/>
    <row r="345" ht="15" customHeight="1" x14ac:dyDescent="0.2"/>
    <row r="346" ht="15" customHeight="1" x14ac:dyDescent="0.2"/>
    <row r="347" ht="15" customHeight="1" x14ac:dyDescent="0.2"/>
    <row r="348" ht="15" customHeight="1" x14ac:dyDescent="0.2"/>
    <row r="349" ht="15" customHeight="1" x14ac:dyDescent="0.2"/>
    <row r="350" ht="15" customHeight="1" x14ac:dyDescent="0.2"/>
    <row r="351" ht="15" customHeight="1" x14ac:dyDescent="0.2"/>
    <row r="352" ht="15" customHeight="1" x14ac:dyDescent="0.2"/>
    <row r="353" ht="15" customHeight="1" x14ac:dyDescent="0.2"/>
    <row r="354" ht="15" customHeight="1" x14ac:dyDescent="0.2"/>
    <row r="355" ht="15" customHeight="1" x14ac:dyDescent="0.2"/>
    <row r="356" ht="15" customHeight="1" x14ac:dyDescent="0.2"/>
    <row r="357" ht="15" customHeight="1" x14ac:dyDescent="0.2"/>
    <row r="358" ht="15" customHeight="1" x14ac:dyDescent="0.2"/>
    <row r="359" ht="15" customHeight="1" x14ac:dyDescent="0.2"/>
    <row r="360" ht="15" customHeight="1" x14ac:dyDescent="0.2"/>
    <row r="361" ht="15" customHeight="1" x14ac:dyDescent="0.2"/>
    <row r="362" ht="15" customHeight="1" x14ac:dyDescent="0.2"/>
    <row r="363" ht="15" customHeight="1" x14ac:dyDescent="0.2"/>
    <row r="364" ht="15" customHeight="1" x14ac:dyDescent="0.2"/>
    <row r="365" ht="15" customHeight="1" x14ac:dyDescent="0.2"/>
    <row r="366" ht="15" customHeight="1" x14ac:dyDescent="0.2"/>
    <row r="367" ht="15" customHeight="1" x14ac:dyDescent="0.2"/>
    <row r="368" ht="15" customHeight="1" x14ac:dyDescent="0.2"/>
    <row r="369" ht="15" customHeight="1" x14ac:dyDescent="0.2"/>
    <row r="370" ht="15" customHeight="1" x14ac:dyDescent="0.2"/>
    <row r="371" ht="15" customHeight="1" x14ac:dyDescent="0.2"/>
    <row r="372" ht="15" customHeight="1" x14ac:dyDescent="0.2"/>
    <row r="373" ht="15" customHeight="1" x14ac:dyDescent="0.2"/>
    <row r="374" ht="15" customHeight="1" x14ac:dyDescent="0.2"/>
    <row r="375" ht="15" customHeight="1" x14ac:dyDescent="0.2"/>
    <row r="376" ht="15" customHeight="1" x14ac:dyDescent="0.2"/>
    <row r="377" ht="15" customHeight="1" x14ac:dyDescent="0.2"/>
    <row r="378" ht="15" customHeight="1" x14ac:dyDescent="0.2"/>
    <row r="379" ht="15" customHeight="1" x14ac:dyDescent="0.2"/>
    <row r="380" ht="15" customHeight="1" x14ac:dyDescent="0.2"/>
    <row r="381" ht="15" customHeight="1" x14ac:dyDescent="0.2"/>
    <row r="382" ht="15" customHeight="1" x14ac:dyDescent="0.2"/>
    <row r="383" ht="15" customHeight="1" x14ac:dyDescent="0.2"/>
    <row r="384" ht="15" customHeight="1" x14ac:dyDescent="0.2"/>
    <row r="385" ht="15" customHeight="1" x14ac:dyDescent="0.2"/>
    <row r="386" ht="15" customHeight="1" x14ac:dyDescent="0.2"/>
    <row r="387" ht="15" customHeight="1" x14ac:dyDescent="0.2"/>
  </sheetData>
  <phoneticPr fontId="3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indexed="45"/>
  </sheetPr>
  <dimension ref="A1:N187"/>
  <sheetViews>
    <sheetView workbookViewId="0">
      <pane xSplit="2" ySplit="1" topLeftCell="C42" activePane="bottomRight" state="frozen"/>
      <selection pane="topRight" activeCell="C1" sqref="C1"/>
      <selection pane="bottomLeft" activeCell="A2" sqref="A2"/>
      <selection pane="bottomRight" activeCell="B2" sqref="B2:B52"/>
    </sheetView>
  </sheetViews>
  <sheetFormatPr baseColWidth="10" defaultColWidth="8.83203125" defaultRowHeight="16" x14ac:dyDescent="0.2"/>
  <cols>
    <col min="1" max="1" width="12.83203125" style="110" customWidth="1"/>
    <col min="2" max="2" width="37.33203125" style="110" bestFit="1" customWidth="1"/>
    <col min="3" max="3" width="22.5" style="110" bestFit="1" customWidth="1"/>
    <col min="4" max="4" width="23" style="110" bestFit="1" customWidth="1"/>
    <col min="5" max="5" width="22.1640625" style="110" bestFit="1" customWidth="1"/>
    <col min="6" max="6" width="6.83203125" style="156" bestFit="1" customWidth="1"/>
    <col min="7" max="7" width="5" style="156" bestFit="1" customWidth="1"/>
    <col min="8" max="12" width="8.83203125" style="110"/>
    <col min="15" max="16384" width="8.83203125" style="110"/>
  </cols>
  <sheetData>
    <row r="1" spans="1:12" ht="34" x14ac:dyDescent="0.2">
      <c r="A1" s="155" t="s">
        <v>21</v>
      </c>
      <c r="B1" s="142" t="s">
        <v>0</v>
      </c>
      <c r="C1" s="183" t="s">
        <v>225</v>
      </c>
      <c r="D1" s="183" t="s">
        <v>124</v>
      </c>
      <c r="E1" s="183" t="s">
        <v>125</v>
      </c>
      <c r="F1" s="156" t="s">
        <v>156</v>
      </c>
      <c r="G1" s="157" t="s">
        <v>62</v>
      </c>
    </row>
    <row r="2" spans="1:12" x14ac:dyDescent="0.2">
      <c r="A2" s="110">
        <v>1</v>
      </c>
      <c r="B2" s="184" t="s">
        <v>181</v>
      </c>
      <c r="C2" s="156">
        <v>1</v>
      </c>
      <c r="D2" s="156">
        <v>0</v>
      </c>
      <c r="E2" s="156">
        <v>0</v>
      </c>
      <c r="F2" s="156">
        <v>0</v>
      </c>
      <c r="G2" s="158">
        <f>SUM(C2:F2)</f>
        <v>1</v>
      </c>
      <c r="K2" s="134"/>
      <c r="L2" s="134"/>
    </row>
    <row r="3" spans="1:12" x14ac:dyDescent="0.2">
      <c r="A3" s="110">
        <v>2</v>
      </c>
      <c r="B3" s="184" t="s">
        <v>182</v>
      </c>
      <c r="C3" s="156">
        <v>1</v>
      </c>
      <c r="D3" s="156">
        <v>0</v>
      </c>
      <c r="E3" s="156">
        <v>0</v>
      </c>
      <c r="F3" s="156">
        <v>0</v>
      </c>
      <c r="G3" s="158">
        <f t="shared" ref="G3:G66" si="0">SUM(C3:F3)</f>
        <v>1</v>
      </c>
      <c r="K3" s="134"/>
      <c r="L3" s="134"/>
    </row>
    <row r="4" spans="1:12" x14ac:dyDescent="0.2">
      <c r="A4" s="110">
        <v>3</v>
      </c>
      <c r="B4" s="184" t="s">
        <v>176</v>
      </c>
      <c r="C4" s="156">
        <v>1</v>
      </c>
      <c r="D4" s="156">
        <v>0</v>
      </c>
      <c r="E4" s="156">
        <v>0</v>
      </c>
      <c r="F4" s="156">
        <v>0</v>
      </c>
      <c r="G4" s="158">
        <f t="shared" si="0"/>
        <v>1</v>
      </c>
    </row>
    <row r="5" spans="1:12" x14ac:dyDescent="0.2">
      <c r="A5" s="110">
        <v>4</v>
      </c>
      <c r="B5" s="184" t="s">
        <v>183</v>
      </c>
      <c r="C5" s="156">
        <v>1</v>
      </c>
      <c r="D5" s="156">
        <v>0</v>
      </c>
      <c r="E5" s="156">
        <v>0</v>
      </c>
      <c r="F5" s="156">
        <v>0</v>
      </c>
      <c r="G5" s="158">
        <f t="shared" si="0"/>
        <v>1</v>
      </c>
    </row>
    <row r="6" spans="1:12" x14ac:dyDescent="0.2">
      <c r="A6" s="110">
        <v>5</v>
      </c>
      <c r="B6" s="184" t="s">
        <v>184</v>
      </c>
      <c r="C6" s="156">
        <v>1</v>
      </c>
      <c r="D6" s="156">
        <v>0</v>
      </c>
      <c r="E6" s="156">
        <v>0</v>
      </c>
      <c r="F6" s="156">
        <v>0</v>
      </c>
      <c r="G6" s="158">
        <f t="shared" si="0"/>
        <v>1</v>
      </c>
    </row>
    <row r="7" spans="1:12" x14ac:dyDescent="0.2">
      <c r="A7" s="110">
        <v>6</v>
      </c>
      <c r="B7" s="184" t="s">
        <v>185</v>
      </c>
      <c r="C7" s="156">
        <v>1</v>
      </c>
      <c r="D7" s="156">
        <v>0</v>
      </c>
      <c r="E7" s="156">
        <v>0</v>
      </c>
      <c r="F7" s="156">
        <v>0</v>
      </c>
      <c r="G7" s="158">
        <f t="shared" si="0"/>
        <v>1</v>
      </c>
    </row>
    <row r="8" spans="1:12" x14ac:dyDescent="0.2">
      <c r="A8" s="110">
        <v>7</v>
      </c>
      <c r="B8" s="184" t="s">
        <v>186</v>
      </c>
      <c r="C8" s="156">
        <v>1</v>
      </c>
      <c r="D8" s="156">
        <v>0</v>
      </c>
      <c r="E8" s="156">
        <v>0</v>
      </c>
      <c r="F8" s="156">
        <v>0</v>
      </c>
      <c r="G8" s="158">
        <f t="shared" si="0"/>
        <v>1</v>
      </c>
    </row>
    <row r="9" spans="1:12" x14ac:dyDescent="0.2">
      <c r="A9" s="110">
        <v>8</v>
      </c>
      <c r="B9" s="184" t="s">
        <v>187</v>
      </c>
      <c r="C9" s="156">
        <v>1</v>
      </c>
      <c r="D9" s="156">
        <v>0</v>
      </c>
      <c r="E9" s="156">
        <v>0</v>
      </c>
      <c r="F9" s="156">
        <v>0</v>
      </c>
      <c r="G9" s="158">
        <f t="shared" si="0"/>
        <v>1</v>
      </c>
    </row>
    <row r="10" spans="1:12" x14ac:dyDescent="0.2">
      <c r="A10" s="110">
        <v>9</v>
      </c>
      <c r="B10" s="184" t="s">
        <v>189</v>
      </c>
      <c r="C10" s="156">
        <v>1</v>
      </c>
      <c r="D10" s="156">
        <v>0</v>
      </c>
      <c r="E10" s="156">
        <v>0</v>
      </c>
      <c r="F10" s="156">
        <v>0</v>
      </c>
      <c r="G10" s="158">
        <f t="shared" si="0"/>
        <v>1</v>
      </c>
    </row>
    <row r="11" spans="1:12" x14ac:dyDescent="0.2">
      <c r="A11" s="110">
        <v>10</v>
      </c>
      <c r="B11" s="184" t="s">
        <v>190</v>
      </c>
      <c r="C11" s="156">
        <v>1</v>
      </c>
      <c r="D11" s="156">
        <v>0</v>
      </c>
      <c r="E11" s="156">
        <v>0</v>
      </c>
      <c r="F11" s="156">
        <v>0</v>
      </c>
      <c r="G11" s="158">
        <f t="shared" si="0"/>
        <v>1</v>
      </c>
    </row>
    <row r="12" spans="1:12" x14ac:dyDescent="0.2">
      <c r="A12" s="110">
        <v>11</v>
      </c>
      <c r="B12" s="184" t="s">
        <v>191</v>
      </c>
      <c r="C12" s="156">
        <v>1</v>
      </c>
      <c r="D12" s="156">
        <v>0</v>
      </c>
      <c r="E12" s="156">
        <v>0</v>
      </c>
      <c r="F12" s="156">
        <v>0</v>
      </c>
      <c r="G12" s="158">
        <f t="shared" si="0"/>
        <v>1</v>
      </c>
    </row>
    <row r="13" spans="1:12" x14ac:dyDescent="0.2">
      <c r="A13" s="110">
        <v>12</v>
      </c>
      <c r="B13" s="184" t="s">
        <v>192</v>
      </c>
      <c r="C13" s="156">
        <v>1</v>
      </c>
      <c r="D13" s="156">
        <v>0</v>
      </c>
      <c r="E13" s="156">
        <v>0</v>
      </c>
      <c r="F13" s="156">
        <v>0</v>
      </c>
      <c r="G13" s="158">
        <f t="shared" si="0"/>
        <v>1</v>
      </c>
    </row>
    <row r="14" spans="1:12" x14ac:dyDescent="0.2">
      <c r="A14" s="110">
        <v>13</v>
      </c>
      <c r="B14" s="184" t="s">
        <v>193</v>
      </c>
      <c r="C14" s="156">
        <v>1</v>
      </c>
      <c r="D14" s="156">
        <v>0</v>
      </c>
      <c r="E14" s="156">
        <v>0</v>
      </c>
      <c r="F14" s="156">
        <v>0</v>
      </c>
      <c r="G14" s="158">
        <f t="shared" si="0"/>
        <v>1</v>
      </c>
    </row>
    <row r="15" spans="1:12" x14ac:dyDescent="0.2">
      <c r="A15" s="110">
        <v>14</v>
      </c>
      <c r="B15" s="184" t="s">
        <v>194</v>
      </c>
      <c r="C15" s="156">
        <v>1</v>
      </c>
      <c r="D15" s="156">
        <v>0</v>
      </c>
      <c r="E15" s="156">
        <v>0</v>
      </c>
      <c r="F15" s="156">
        <v>0</v>
      </c>
      <c r="G15" s="158">
        <f t="shared" si="0"/>
        <v>1</v>
      </c>
    </row>
    <row r="16" spans="1:12" x14ac:dyDescent="0.2">
      <c r="A16" s="110">
        <v>15</v>
      </c>
      <c r="B16" s="184" t="s">
        <v>195</v>
      </c>
      <c r="C16" s="156">
        <v>1</v>
      </c>
      <c r="D16" s="156">
        <v>0</v>
      </c>
      <c r="E16" s="156">
        <v>0</v>
      </c>
      <c r="F16" s="156">
        <v>0</v>
      </c>
      <c r="G16" s="158">
        <f t="shared" si="0"/>
        <v>1</v>
      </c>
    </row>
    <row r="17" spans="1:7" x14ac:dyDescent="0.2">
      <c r="A17" s="110">
        <v>16</v>
      </c>
      <c r="B17" s="184" t="s">
        <v>196</v>
      </c>
      <c r="C17" s="156">
        <v>1</v>
      </c>
      <c r="D17" s="156">
        <v>0</v>
      </c>
      <c r="E17" s="156">
        <v>0</v>
      </c>
      <c r="F17" s="156">
        <v>0</v>
      </c>
      <c r="G17" s="158">
        <f t="shared" si="0"/>
        <v>1</v>
      </c>
    </row>
    <row r="18" spans="1:7" x14ac:dyDescent="0.2">
      <c r="A18" s="110">
        <v>17</v>
      </c>
      <c r="B18" s="184" t="s">
        <v>197</v>
      </c>
      <c r="C18" s="156">
        <v>1</v>
      </c>
      <c r="D18" s="156">
        <v>0</v>
      </c>
      <c r="E18" s="156">
        <v>0</v>
      </c>
      <c r="F18" s="156">
        <v>0</v>
      </c>
      <c r="G18" s="158">
        <f t="shared" si="0"/>
        <v>1</v>
      </c>
    </row>
    <row r="19" spans="1:7" ht="15" customHeight="1" x14ac:dyDescent="0.2">
      <c r="A19" s="110">
        <v>18</v>
      </c>
      <c r="B19" s="184" t="s">
        <v>198</v>
      </c>
      <c r="C19" s="156">
        <v>1</v>
      </c>
      <c r="D19" s="156">
        <v>0</v>
      </c>
      <c r="E19" s="156">
        <v>0</v>
      </c>
      <c r="F19" s="156">
        <v>0</v>
      </c>
      <c r="G19" s="158">
        <f t="shared" si="0"/>
        <v>1</v>
      </c>
    </row>
    <row r="20" spans="1:7" ht="15" customHeight="1" x14ac:dyDescent="0.2">
      <c r="A20" s="110">
        <v>19</v>
      </c>
      <c r="B20" s="184" t="s">
        <v>199</v>
      </c>
      <c r="C20" s="156">
        <v>1</v>
      </c>
      <c r="D20" s="156">
        <v>0</v>
      </c>
      <c r="E20" s="156">
        <v>0</v>
      </c>
      <c r="F20" s="156">
        <v>0</v>
      </c>
      <c r="G20" s="158">
        <f t="shared" si="0"/>
        <v>1</v>
      </c>
    </row>
    <row r="21" spans="1:7" ht="15" customHeight="1" x14ac:dyDescent="0.2">
      <c r="A21" s="110">
        <v>20</v>
      </c>
      <c r="B21" s="184" t="s">
        <v>200</v>
      </c>
      <c r="C21" s="156">
        <v>1</v>
      </c>
      <c r="D21" s="156">
        <v>0</v>
      </c>
      <c r="E21" s="156">
        <v>0</v>
      </c>
      <c r="F21" s="156">
        <v>0</v>
      </c>
      <c r="G21" s="158">
        <f t="shared" si="0"/>
        <v>1</v>
      </c>
    </row>
    <row r="22" spans="1:7" ht="15" customHeight="1" x14ac:dyDescent="0.2">
      <c r="A22" s="110">
        <v>21</v>
      </c>
      <c r="B22" s="184" t="s">
        <v>201</v>
      </c>
      <c r="C22" s="156">
        <v>1</v>
      </c>
      <c r="D22" s="156">
        <v>0</v>
      </c>
      <c r="E22" s="156">
        <v>0</v>
      </c>
      <c r="F22" s="156">
        <v>0</v>
      </c>
      <c r="G22" s="158">
        <f t="shared" si="0"/>
        <v>1</v>
      </c>
    </row>
    <row r="23" spans="1:7" ht="15" customHeight="1" x14ac:dyDescent="0.2">
      <c r="A23" s="110">
        <v>22</v>
      </c>
      <c r="B23" s="184" t="s">
        <v>202</v>
      </c>
      <c r="C23" s="156">
        <v>1</v>
      </c>
      <c r="D23" s="156">
        <v>0</v>
      </c>
      <c r="E23" s="156">
        <v>0</v>
      </c>
      <c r="F23" s="156">
        <v>0</v>
      </c>
      <c r="G23" s="158">
        <f t="shared" si="0"/>
        <v>1</v>
      </c>
    </row>
    <row r="24" spans="1:7" ht="15" customHeight="1" x14ac:dyDescent="0.2">
      <c r="A24" s="110">
        <v>23</v>
      </c>
      <c r="B24" s="184" t="s">
        <v>203</v>
      </c>
      <c r="C24" s="156">
        <v>1</v>
      </c>
      <c r="D24" s="156">
        <v>0</v>
      </c>
      <c r="E24" s="156">
        <v>0</v>
      </c>
      <c r="F24" s="156">
        <v>0</v>
      </c>
      <c r="G24" s="158">
        <f t="shared" si="0"/>
        <v>1</v>
      </c>
    </row>
    <row r="25" spans="1:7" ht="15" customHeight="1" x14ac:dyDescent="0.2">
      <c r="A25" s="110">
        <v>24</v>
      </c>
      <c r="B25" s="184" t="s">
        <v>204</v>
      </c>
      <c r="C25" s="156">
        <v>1</v>
      </c>
      <c r="D25" s="156">
        <v>0</v>
      </c>
      <c r="E25" s="156">
        <v>0</v>
      </c>
      <c r="F25" s="156">
        <v>0</v>
      </c>
      <c r="G25" s="158">
        <f t="shared" si="0"/>
        <v>1</v>
      </c>
    </row>
    <row r="26" spans="1:7" ht="15" customHeight="1" x14ac:dyDescent="0.2">
      <c r="A26" s="110">
        <v>25</v>
      </c>
      <c r="B26" s="184" t="s">
        <v>205</v>
      </c>
      <c r="C26" s="156">
        <v>1</v>
      </c>
      <c r="D26" s="156">
        <v>0</v>
      </c>
      <c r="E26" s="156">
        <v>0</v>
      </c>
      <c r="F26" s="156">
        <v>0</v>
      </c>
      <c r="G26" s="158">
        <f t="shared" si="0"/>
        <v>1</v>
      </c>
    </row>
    <row r="27" spans="1:7" ht="15" customHeight="1" x14ac:dyDescent="0.2">
      <c r="A27" s="110">
        <v>26</v>
      </c>
      <c r="B27" s="184" t="s">
        <v>206</v>
      </c>
      <c r="C27" s="156">
        <v>1</v>
      </c>
      <c r="D27" s="156">
        <v>0</v>
      </c>
      <c r="E27" s="156">
        <v>0</v>
      </c>
      <c r="F27" s="156">
        <v>0</v>
      </c>
      <c r="G27" s="158">
        <f t="shared" si="0"/>
        <v>1</v>
      </c>
    </row>
    <row r="28" spans="1:7" ht="15" customHeight="1" x14ac:dyDescent="0.2">
      <c r="A28" s="110">
        <v>27</v>
      </c>
      <c r="B28" s="184" t="s">
        <v>207</v>
      </c>
      <c r="C28" s="156">
        <v>1</v>
      </c>
      <c r="D28" s="156">
        <v>0</v>
      </c>
      <c r="E28" s="156">
        <v>0</v>
      </c>
      <c r="F28" s="156">
        <v>0</v>
      </c>
      <c r="G28" s="158">
        <f t="shared" si="0"/>
        <v>1</v>
      </c>
    </row>
    <row r="29" spans="1:7" ht="15" customHeight="1" x14ac:dyDescent="0.2">
      <c r="A29" s="110">
        <v>28</v>
      </c>
      <c r="B29" s="184" t="s">
        <v>257</v>
      </c>
      <c r="C29" s="156">
        <v>1</v>
      </c>
      <c r="D29" s="156">
        <v>0</v>
      </c>
      <c r="E29" s="156">
        <v>0</v>
      </c>
      <c r="F29" s="156">
        <v>0</v>
      </c>
      <c r="G29" s="158">
        <f t="shared" si="0"/>
        <v>1</v>
      </c>
    </row>
    <row r="30" spans="1:7" ht="15" customHeight="1" x14ac:dyDescent="0.2">
      <c r="A30" s="110">
        <v>29</v>
      </c>
      <c r="B30" s="184" t="s">
        <v>258</v>
      </c>
      <c r="C30" s="156">
        <v>1</v>
      </c>
      <c r="D30" s="156">
        <v>0</v>
      </c>
      <c r="E30" s="156">
        <v>0</v>
      </c>
      <c r="F30" s="156">
        <v>0</v>
      </c>
      <c r="G30" s="158">
        <f t="shared" si="0"/>
        <v>1</v>
      </c>
    </row>
    <row r="31" spans="1:7" ht="15" customHeight="1" x14ac:dyDescent="0.2">
      <c r="A31" s="110">
        <v>30</v>
      </c>
      <c r="B31" s="184" t="s">
        <v>259</v>
      </c>
      <c r="C31" s="156">
        <v>1</v>
      </c>
      <c r="D31" s="156">
        <v>0</v>
      </c>
      <c r="E31" s="156">
        <v>0</v>
      </c>
      <c r="F31" s="156">
        <v>0</v>
      </c>
      <c r="G31" s="158">
        <f t="shared" si="0"/>
        <v>1</v>
      </c>
    </row>
    <row r="32" spans="1:7" ht="15" customHeight="1" x14ac:dyDescent="0.2">
      <c r="A32" s="110">
        <v>31</v>
      </c>
      <c r="B32" s="184" t="s">
        <v>260</v>
      </c>
      <c r="C32" s="156">
        <v>1</v>
      </c>
      <c r="D32" s="156">
        <v>0</v>
      </c>
      <c r="E32" s="156">
        <v>0</v>
      </c>
      <c r="F32" s="156">
        <v>0</v>
      </c>
      <c r="G32" s="158">
        <f t="shared" si="0"/>
        <v>1</v>
      </c>
    </row>
    <row r="33" spans="1:7" ht="15" customHeight="1" x14ac:dyDescent="0.2">
      <c r="A33" s="110">
        <v>32</v>
      </c>
      <c r="B33" s="184" t="s">
        <v>208</v>
      </c>
      <c r="C33" s="156">
        <v>1</v>
      </c>
      <c r="D33" s="156">
        <v>0</v>
      </c>
      <c r="E33" s="156">
        <v>0</v>
      </c>
      <c r="F33" s="156">
        <v>0</v>
      </c>
      <c r="G33" s="158">
        <f t="shared" si="0"/>
        <v>1</v>
      </c>
    </row>
    <row r="34" spans="1:7" ht="15" customHeight="1" x14ac:dyDescent="0.2">
      <c r="A34" s="110">
        <v>33</v>
      </c>
      <c r="B34" s="184" t="s">
        <v>209</v>
      </c>
      <c r="C34" s="156">
        <v>1</v>
      </c>
      <c r="D34" s="156">
        <v>0</v>
      </c>
      <c r="E34" s="156">
        <v>0</v>
      </c>
      <c r="F34" s="156">
        <v>0</v>
      </c>
      <c r="G34" s="158">
        <f t="shared" si="0"/>
        <v>1</v>
      </c>
    </row>
    <row r="35" spans="1:7" ht="15" customHeight="1" x14ac:dyDescent="0.2">
      <c r="A35" s="110">
        <v>34</v>
      </c>
      <c r="B35" s="184" t="s">
        <v>210</v>
      </c>
      <c r="C35" s="156">
        <v>1</v>
      </c>
      <c r="D35" s="156">
        <v>0</v>
      </c>
      <c r="E35" s="156">
        <v>0</v>
      </c>
      <c r="F35" s="156">
        <v>0</v>
      </c>
      <c r="G35" s="158">
        <f t="shared" si="0"/>
        <v>1</v>
      </c>
    </row>
    <row r="36" spans="1:7" ht="15" customHeight="1" x14ac:dyDescent="0.2">
      <c r="A36" s="110">
        <v>35</v>
      </c>
      <c r="B36" s="184" t="s">
        <v>211</v>
      </c>
      <c r="C36" s="156">
        <v>1</v>
      </c>
      <c r="D36" s="156">
        <v>0</v>
      </c>
      <c r="E36" s="156">
        <v>0</v>
      </c>
      <c r="F36" s="156">
        <v>0</v>
      </c>
      <c r="G36" s="158">
        <f t="shared" si="0"/>
        <v>1</v>
      </c>
    </row>
    <row r="37" spans="1:7" ht="15" customHeight="1" x14ac:dyDescent="0.2">
      <c r="A37" s="110">
        <v>36</v>
      </c>
      <c r="B37" s="184" t="s">
        <v>212</v>
      </c>
      <c r="C37" s="156">
        <v>1</v>
      </c>
      <c r="D37" s="156">
        <v>0</v>
      </c>
      <c r="E37" s="156">
        <v>0</v>
      </c>
      <c r="F37" s="156">
        <v>0</v>
      </c>
      <c r="G37" s="158">
        <f t="shared" si="0"/>
        <v>1</v>
      </c>
    </row>
    <row r="38" spans="1:7" ht="15" customHeight="1" x14ac:dyDescent="0.2">
      <c r="A38" s="110">
        <v>37</v>
      </c>
      <c r="B38" s="184" t="s">
        <v>213</v>
      </c>
      <c r="C38" s="156">
        <v>1</v>
      </c>
      <c r="D38" s="156">
        <v>0</v>
      </c>
      <c r="E38" s="156">
        <v>0</v>
      </c>
      <c r="F38" s="156">
        <v>0</v>
      </c>
      <c r="G38" s="158">
        <f t="shared" si="0"/>
        <v>1</v>
      </c>
    </row>
    <row r="39" spans="1:7" ht="15" customHeight="1" x14ac:dyDescent="0.2">
      <c r="A39" s="110">
        <v>38</v>
      </c>
      <c r="B39" s="184" t="s">
        <v>214</v>
      </c>
      <c r="C39" s="156">
        <v>1</v>
      </c>
      <c r="D39" s="156">
        <v>0</v>
      </c>
      <c r="E39" s="156">
        <v>0</v>
      </c>
      <c r="F39" s="156">
        <v>0</v>
      </c>
      <c r="G39" s="158">
        <f t="shared" si="0"/>
        <v>1</v>
      </c>
    </row>
    <row r="40" spans="1:7" ht="15" customHeight="1" x14ac:dyDescent="0.2">
      <c r="A40" s="110">
        <v>39</v>
      </c>
      <c r="B40" s="184" t="s">
        <v>215</v>
      </c>
      <c r="C40" s="156">
        <v>1</v>
      </c>
      <c r="D40" s="156">
        <v>0</v>
      </c>
      <c r="E40" s="156">
        <v>0</v>
      </c>
      <c r="F40" s="156">
        <v>0</v>
      </c>
      <c r="G40" s="158">
        <f t="shared" si="0"/>
        <v>1</v>
      </c>
    </row>
    <row r="41" spans="1:7" ht="15" customHeight="1" x14ac:dyDescent="0.2">
      <c r="A41" s="110">
        <v>40</v>
      </c>
      <c r="B41" s="184" t="s">
        <v>216</v>
      </c>
      <c r="C41" s="156">
        <v>1</v>
      </c>
      <c r="D41" s="156">
        <v>0</v>
      </c>
      <c r="E41" s="156">
        <v>0</v>
      </c>
      <c r="F41" s="156">
        <v>0</v>
      </c>
      <c r="G41" s="158">
        <f t="shared" si="0"/>
        <v>1</v>
      </c>
    </row>
    <row r="42" spans="1:7" ht="15" customHeight="1" x14ac:dyDescent="0.2">
      <c r="A42" s="110">
        <v>41</v>
      </c>
      <c r="B42" s="184" t="s">
        <v>217</v>
      </c>
      <c r="C42" s="156">
        <v>1</v>
      </c>
      <c r="D42" s="156">
        <v>0</v>
      </c>
      <c r="E42" s="156">
        <v>0</v>
      </c>
      <c r="F42" s="156">
        <v>0</v>
      </c>
      <c r="G42" s="158">
        <f t="shared" si="0"/>
        <v>1</v>
      </c>
    </row>
    <row r="43" spans="1:7" ht="15" customHeight="1" x14ac:dyDescent="0.2">
      <c r="A43" s="110">
        <v>42</v>
      </c>
      <c r="B43" s="184" t="s">
        <v>218</v>
      </c>
      <c r="C43" s="156">
        <v>1</v>
      </c>
      <c r="D43" s="156">
        <v>0</v>
      </c>
      <c r="E43" s="156">
        <v>0</v>
      </c>
      <c r="F43" s="156">
        <v>0</v>
      </c>
      <c r="G43" s="158">
        <f t="shared" si="0"/>
        <v>1</v>
      </c>
    </row>
    <row r="44" spans="1:7" ht="15" customHeight="1" x14ac:dyDescent="0.2">
      <c r="A44" s="110">
        <v>43</v>
      </c>
      <c r="B44" s="184" t="s">
        <v>219</v>
      </c>
      <c r="C44" s="156">
        <v>1</v>
      </c>
      <c r="D44" s="156">
        <v>0</v>
      </c>
      <c r="E44" s="156">
        <v>0</v>
      </c>
      <c r="F44" s="156">
        <v>0</v>
      </c>
      <c r="G44" s="158">
        <f t="shared" si="0"/>
        <v>1</v>
      </c>
    </row>
    <row r="45" spans="1:7" ht="15" customHeight="1" x14ac:dyDescent="0.2">
      <c r="A45" s="110">
        <v>44</v>
      </c>
      <c r="B45" s="184" t="s">
        <v>220</v>
      </c>
      <c r="C45" s="156">
        <v>1</v>
      </c>
      <c r="D45" s="156">
        <v>0</v>
      </c>
      <c r="E45" s="156">
        <v>0</v>
      </c>
      <c r="F45" s="156">
        <v>0</v>
      </c>
      <c r="G45" s="158">
        <f t="shared" si="0"/>
        <v>1</v>
      </c>
    </row>
    <row r="46" spans="1:7" ht="15" customHeight="1" x14ac:dyDescent="0.2">
      <c r="A46" s="110">
        <v>45</v>
      </c>
      <c r="B46" s="184" t="s">
        <v>221</v>
      </c>
      <c r="C46" s="156">
        <v>1</v>
      </c>
      <c r="D46" s="156">
        <v>0</v>
      </c>
      <c r="E46" s="156">
        <v>0</v>
      </c>
      <c r="F46" s="156">
        <v>0</v>
      </c>
      <c r="G46" s="158">
        <f t="shared" si="0"/>
        <v>1</v>
      </c>
    </row>
    <row r="47" spans="1:7" ht="15" customHeight="1" x14ac:dyDescent="0.2">
      <c r="A47" s="110">
        <v>46</v>
      </c>
      <c r="B47" s="184" t="s">
        <v>222</v>
      </c>
      <c r="C47" s="156">
        <v>1</v>
      </c>
      <c r="D47" s="156">
        <v>0</v>
      </c>
      <c r="E47" s="156">
        <v>0</v>
      </c>
      <c r="F47" s="156">
        <v>0</v>
      </c>
      <c r="G47" s="158">
        <f t="shared" si="0"/>
        <v>1</v>
      </c>
    </row>
    <row r="48" spans="1:7" ht="15" customHeight="1" x14ac:dyDescent="0.2">
      <c r="A48" s="110">
        <v>47</v>
      </c>
      <c r="B48" s="184" t="s">
        <v>223</v>
      </c>
      <c r="C48" s="156">
        <v>1</v>
      </c>
      <c r="D48" s="156">
        <v>0</v>
      </c>
      <c r="E48" s="156">
        <v>0</v>
      </c>
      <c r="F48" s="156">
        <v>0</v>
      </c>
      <c r="G48" s="158">
        <f t="shared" si="0"/>
        <v>1</v>
      </c>
    </row>
    <row r="49" spans="1:7" ht="15" customHeight="1" x14ac:dyDescent="0.2">
      <c r="A49" s="110">
        <v>48</v>
      </c>
      <c r="B49" s="184" t="s">
        <v>224</v>
      </c>
      <c r="C49" s="156">
        <v>1</v>
      </c>
      <c r="D49" s="156">
        <v>0</v>
      </c>
      <c r="E49" s="156">
        <v>0</v>
      </c>
      <c r="F49" s="156">
        <v>0</v>
      </c>
      <c r="G49" s="158">
        <f t="shared" si="0"/>
        <v>1</v>
      </c>
    </row>
    <row r="50" spans="1:7" ht="15" customHeight="1" x14ac:dyDescent="0.2">
      <c r="A50" s="110">
        <v>49</v>
      </c>
      <c r="B50" s="184" t="s">
        <v>225</v>
      </c>
      <c r="C50" s="156">
        <v>0</v>
      </c>
      <c r="D50" s="190">
        <v>1</v>
      </c>
      <c r="E50" s="156">
        <v>0</v>
      </c>
      <c r="F50" s="156">
        <v>0</v>
      </c>
      <c r="G50" s="158">
        <f t="shared" si="0"/>
        <v>1</v>
      </c>
    </row>
    <row r="51" spans="1:7" ht="15" customHeight="1" x14ac:dyDescent="0.2">
      <c r="A51" s="110">
        <v>50</v>
      </c>
      <c r="B51" s="184" t="s">
        <v>124</v>
      </c>
      <c r="C51" s="156">
        <v>0</v>
      </c>
      <c r="D51" s="156">
        <v>0</v>
      </c>
      <c r="E51" s="190">
        <v>1</v>
      </c>
      <c r="F51" s="156">
        <v>0</v>
      </c>
      <c r="G51" s="158">
        <f t="shared" si="0"/>
        <v>1</v>
      </c>
    </row>
    <row r="52" spans="1:7" ht="15" customHeight="1" x14ac:dyDescent="0.2">
      <c r="A52" s="110">
        <v>51</v>
      </c>
      <c r="B52" s="184" t="s">
        <v>125</v>
      </c>
      <c r="C52" s="156">
        <v>0</v>
      </c>
      <c r="D52" s="156">
        <v>0</v>
      </c>
      <c r="E52" s="156">
        <v>0</v>
      </c>
      <c r="F52" s="190">
        <v>1</v>
      </c>
      <c r="G52" s="158">
        <f t="shared" si="0"/>
        <v>1</v>
      </c>
    </row>
    <row r="53" spans="1:7" ht="15" customHeight="1" x14ac:dyDescent="0.2">
      <c r="A53" s="110">
        <v>52</v>
      </c>
      <c r="B53" s="189" t="s">
        <v>226</v>
      </c>
      <c r="C53" s="156">
        <v>1</v>
      </c>
      <c r="D53" s="156">
        <v>0</v>
      </c>
      <c r="E53" s="156">
        <v>0</v>
      </c>
      <c r="F53" s="156">
        <v>0</v>
      </c>
      <c r="G53" s="158">
        <f t="shared" si="0"/>
        <v>1</v>
      </c>
    </row>
    <row r="54" spans="1:7" ht="15" customHeight="1" x14ac:dyDescent="0.2">
      <c r="A54" s="110">
        <v>53</v>
      </c>
      <c r="B54" s="189" t="s">
        <v>227</v>
      </c>
      <c r="C54" s="156">
        <v>1</v>
      </c>
      <c r="D54" s="156">
        <v>0</v>
      </c>
      <c r="E54" s="156">
        <v>0</v>
      </c>
      <c r="F54" s="156">
        <v>0</v>
      </c>
      <c r="G54" s="158">
        <f t="shared" si="0"/>
        <v>1</v>
      </c>
    </row>
    <row r="55" spans="1:7" ht="15" customHeight="1" x14ac:dyDescent="0.2">
      <c r="A55" s="110">
        <v>54</v>
      </c>
      <c r="B55" s="189" t="s">
        <v>228</v>
      </c>
      <c r="C55" s="156">
        <v>1</v>
      </c>
      <c r="D55" s="156">
        <v>0</v>
      </c>
      <c r="E55" s="156">
        <v>0</v>
      </c>
      <c r="F55" s="156">
        <v>0</v>
      </c>
      <c r="G55" s="158">
        <f t="shared" si="0"/>
        <v>1</v>
      </c>
    </row>
    <row r="56" spans="1:7" ht="15" customHeight="1" x14ac:dyDescent="0.2">
      <c r="A56" s="110">
        <v>55</v>
      </c>
      <c r="B56" s="189" t="s">
        <v>229</v>
      </c>
      <c r="C56" s="156">
        <v>1</v>
      </c>
      <c r="D56" s="156">
        <v>0</v>
      </c>
      <c r="E56" s="156">
        <v>0</v>
      </c>
      <c r="F56" s="156">
        <v>0</v>
      </c>
      <c r="G56" s="158">
        <f t="shared" si="0"/>
        <v>1</v>
      </c>
    </row>
    <row r="57" spans="1:7" ht="15" customHeight="1" x14ac:dyDescent="0.2">
      <c r="A57" s="110">
        <f>A56+1</f>
        <v>56</v>
      </c>
      <c r="B57" s="189" t="s">
        <v>230</v>
      </c>
      <c r="C57" s="156">
        <v>1</v>
      </c>
      <c r="D57" s="156">
        <v>0</v>
      </c>
      <c r="E57" s="156">
        <v>0</v>
      </c>
      <c r="F57" s="156">
        <v>0</v>
      </c>
      <c r="G57" s="158">
        <f t="shared" si="0"/>
        <v>1</v>
      </c>
    </row>
    <row r="58" spans="1:7" ht="15" customHeight="1" x14ac:dyDescent="0.2">
      <c r="A58" s="110">
        <f t="shared" ref="A58:A81" si="1">A57+1</f>
        <v>57</v>
      </c>
      <c r="B58" s="189" t="s">
        <v>231</v>
      </c>
      <c r="C58" s="156">
        <v>1</v>
      </c>
      <c r="D58" s="156">
        <v>0</v>
      </c>
      <c r="E58" s="156">
        <v>0</v>
      </c>
      <c r="F58" s="156">
        <v>0</v>
      </c>
      <c r="G58" s="158">
        <f t="shared" si="0"/>
        <v>1</v>
      </c>
    </row>
    <row r="59" spans="1:7" ht="15" customHeight="1" x14ac:dyDescent="0.2">
      <c r="A59" s="110">
        <f t="shared" si="1"/>
        <v>58</v>
      </c>
      <c r="B59" s="189" t="s">
        <v>232</v>
      </c>
      <c r="C59" s="156">
        <v>1</v>
      </c>
      <c r="D59" s="156">
        <v>0</v>
      </c>
      <c r="E59" s="156">
        <v>0</v>
      </c>
      <c r="F59" s="156">
        <v>0</v>
      </c>
      <c r="G59" s="158">
        <f t="shared" si="0"/>
        <v>1</v>
      </c>
    </row>
    <row r="60" spans="1:7" ht="15" customHeight="1" x14ac:dyDescent="0.2">
      <c r="A60" s="110">
        <f t="shared" si="1"/>
        <v>59</v>
      </c>
      <c r="B60" s="189" t="s">
        <v>233</v>
      </c>
      <c r="C60" s="156">
        <v>1</v>
      </c>
      <c r="D60" s="156">
        <v>0</v>
      </c>
      <c r="E60" s="156">
        <v>0</v>
      </c>
      <c r="F60" s="156">
        <v>0</v>
      </c>
      <c r="G60" s="158">
        <f t="shared" si="0"/>
        <v>1</v>
      </c>
    </row>
    <row r="61" spans="1:7" ht="15" customHeight="1" x14ac:dyDescent="0.2">
      <c r="A61" s="110">
        <f t="shared" si="1"/>
        <v>60</v>
      </c>
      <c r="B61" s="189" t="s">
        <v>234</v>
      </c>
      <c r="C61" s="156">
        <v>1</v>
      </c>
      <c r="D61" s="156">
        <v>0</v>
      </c>
      <c r="E61" s="156">
        <v>0</v>
      </c>
      <c r="F61" s="156">
        <v>0</v>
      </c>
      <c r="G61" s="158">
        <f t="shared" si="0"/>
        <v>1</v>
      </c>
    </row>
    <row r="62" spans="1:7" ht="15" customHeight="1" x14ac:dyDescent="0.2">
      <c r="A62" s="110">
        <f t="shared" si="1"/>
        <v>61</v>
      </c>
      <c r="B62" s="189" t="s">
        <v>235</v>
      </c>
      <c r="C62" s="156">
        <v>1</v>
      </c>
      <c r="D62" s="156">
        <v>0</v>
      </c>
      <c r="E62" s="156">
        <v>0</v>
      </c>
      <c r="F62" s="156">
        <v>0</v>
      </c>
      <c r="G62" s="158">
        <f t="shared" si="0"/>
        <v>1</v>
      </c>
    </row>
    <row r="63" spans="1:7" ht="15" customHeight="1" x14ac:dyDescent="0.2">
      <c r="A63" s="110">
        <f t="shared" si="1"/>
        <v>62</v>
      </c>
      <c r="B63" s="189" t="s">
        <v>236</v>
      </c>
      <c r="C63" s="156">
        <v>1</v>
      </c>
      <c r="D63" s="156">
        <v>0</v>
      </c>
      <c r="E63" s="156">
        <v>0</v>
      </c>
      <c r="F63" s="156">
        <v>0</v>
      </c>
      <c r="G63" s="158">
        <f t="shared" si="0"/>
        <v>1</v>
      </c>
    </row>
    <row r="64" spans="1:7" ht="15" customHeight="1" x14ac:dyDescent="0.2">
      <c r="A64" s="110">
        <f t="shared" si="1"/>
        <v>63</v>
      </c>
      <c r="B64" s="189" t="s">
        <v>237</v>
      </c>
      <c r="C64" s="156">
        <v>1</v>
      </c>
      <c r="D64" s="156">
        <v>0</v>
      </c>
      <c r="E64" s="156">
        <v>0</v>
      </c>
      <c r="F64" s="156">
        <v>0</v>
      </c>
      <c r="G64" s="158">
        <f t="shared" si="0"/>
        <v>1</v>
      </c>
    </row>
    <row r="65" spans="1:7" ht="15" customHeight="1" x14ac:dyDescent="0.2">
      <c r="A65" s="110">
        <f t="shared" si="1"/>
        <v>64</v>
      </c>
      <c r="B65" s="189" t="s">
        <v>238</v>
      </c>
      <c r="C65" s="156">
        <v>1</v>
      </c>
      <c r="D65" s="156">
        <v>0</v>
      </c>
      <c r="E65" s="156">
        <v>0</v>
      </c>
      <c r="F65" s="156">
        <v>0</v>
      </c>
      <c r="G65" s="158">
        <f t="shared" si="0"/>
        <v>1</v>
      </c>
    </row>
    <row r="66" spans="1:7" ht="15" customHeight="1" x14ac:dyDescent="0.2">
      <c r="A66" s="110">
        <f t="shared" si="1"/>
        <v>65</v>
      </c>
      <c r="B66" s="189" t="s">
        <v>239</v>
      </c>
      <c r="C66" s="156">
        <v>1</v>
      </c>
      <c r="D66" s="156">
        <v>0</v>
      </c>
      <c r="E66" s="156">
        <v>0</v>
      </c>
      <c r="F66" s="156">
        <v>0</v>
      </c>
      <c r="G66" s="158">
        <f t="shared" si="0"/>
        <v>1</v>
      </c>
    </row>
    <row r="67" spans="1:7" ht="15" customHeight="1" x14ac:dyDescent="0.2">
      <c r="A67" s="110">
        <f t="shared" si="1"/>
        <v>66</v>
      </c>
      <c r="B67" s="189" t="s">
        <v>240</v>
      </c>
      <c r="C67" s="156">
        <v>1</v>
      </c>
      <c r="D67" s="156">
        <v>0</v>
      </c>
      <c r="E67" s="156">
        <v>0</v>
      </c>
      <c r="F67" s="156">
        <v>0</v>
      </c>
      <c r="G67" s="158">
        <f t="shared" ref="G67:G83" si="2">SUM(C67:F67)</f>
        <v>1</v>
      </c>
    </row>
    <row r="68" spans="1:7" ht="15" customHeight="1" x14ac:dyDescent="0.2">
      <c r="A68" s="110">
        <f t="shared" si="1"/>
        <v>67</v>
      </c>
      <c r="B68" s="189" t="s">
        <v>241</v>
      </c>
      <c r="C68" s="156">
        <v>1</v>
      </c>
      <c r="D68" s="156">
        <v>0</v>
      </c>
      <c r="E68" s="156">
        <v>0</v>
      </c>
      <c r="F68" s="156">
        <v>0</v>
      </c>
      <c r="G68" s="158">
        <f t="shared" si="2"/>
        <v>1</v>
      </c>
    </row>
    <row r="69" spans="1:7" ht="15" customHeight="1" x14ac:dyDescent="0.2">
      <c r="A69" s="110">
        <f t="shared" si="1"/>
        <v>68</v>
      </c>
      <c r="B69" s="189" t="s">
        <v>242</v>
      </c>
      <c r="C69" s="156">
        <v>1</v>
      </c>
      <c r="D69" s="156">
        <v>0</v>
      </c>
      <c r="E69" s="156">
        <v>0</v>
      </c>
      <c r="F69" s="156">
        <v>0</v>
      </c>
      <c r="G69" s="158">
        <f t="shared" si="2"/>
        <v>1</v>
      </c>
    </row>
    <row r="70" spans="1:7" ht="15" customHeight="1" x14ac:dyDescent="0.2">
      <c r="A70" s="110">
        <f t="shared" si="1"/>
        <v>69</v>
      </c>
      <c r="B70" s="189" t="s">
        <v>244</v>
      </c>
      <c r="C70" s="156">
        <v>1</v>
      </c>
      <c r="D70" s="156">
        <v>0</v>
      </c>
      <c r="E70" s="156">
        <v>0</v>
      </c>
      <c r="F70" s="156">
        <v>0</v>
      </c>
      <c r="G70" s="158">
        <f t="shared" si="2"/>
        <v>1</v>
      </c>
    </row>
    <row r="71" spans="1:7" ht="15" customHeight="1" x14ac:dyDescent="0.2">
      <c r="A71" s="110">
        <f t="shared" si="1"/>
        <v>70</v>
      </c>
      <c r="B71" s="189" t="s">
        <v>245</v>
      </c>
      <c r="C71" s="156">
        <v>1</v>
      </c>
      <c r="D71" s="156">
        <v>0</v>
      </c>
      <c r="E71" s="156">
        <v>0</v>
      </c>
      <c r="F71" s="156">
        <v>0</v>
      </c>
      <c r="G71" s="158">
        <f t="shared" si="2"/>
        <v>1</v>
      </c>
    </row>
    <row r="72" spans="1:7" ht="15" customHeight="1" x14ac:dyDescent="0.2">
      <c r="A72" s="110">
        <f t="shared" si="1"/>
        <v>71</v>
      </c>
      <c r="B72" s="189" t="s">
        <v>246</v>
      </c>
      <c r="C72" s="156">
        <v>1</v>
      </c>
      <c r="D72" s="156">
        <v>0</v>
      </c>
      <c r="E72" s="156">
        <v>0</v>
      </c>
      <c r="F72" s="156">
        <v>0</v>
      </c>
      <c r="G72" s="158">
        <f t="shared" si="2"/>
        <v>1</v>
      </c>
    </row>
    <row r="73" spans="1:7" ht="15" customHeight="1" x14ac:dyDescent="0.2">
      <c r="A73" s="110">
        <f t="shared" si="1"/>
        <v>72</v>
      </c>
      <c r="B73" s="189" t="s">
        <v>247</v>
      </c>
      <c r="C73" s="156">
        <v>1</v>
      </c>
      <c r="D73" s="156">
        <v>0</v>
      </c>
      <c r="E73" s="156">
        <v>0</v>
      </c>
      <c r="F73" s="156">
        <v>0</v>
      </c>
      <c r="G73" s="158">
        <f t="shared" si="2"/>
        <v>1</v>
      </c>
    </row>
    <row r="74" spans="1:7" ht="15" customHeight="1" x14ac:dyDescent="0.2">
      <c r="A74" s="110">
        <f t="shared" si="1"/>
        <v>73</v>
      </c>
      <c r="B74" s="189" t="s">
        <v>248</v>
      </c>
      <c r="C74" s="156">
        <v>1</v>
      </c>
      <c r="D74" s="156">
        <v>0</v>
      </c>
      <c r="E74" s="156">
        <v>0</v>
      </c>
      <c r="F74" s="156">
        <v>0</v>
      </c>
      <c r="G74" s="158">
        <f t="shared" si="2"/>
        <v>1</v>
      </c>
    </row>
    <row r="75" spans="1:7" ht="15" customHeight="1" x14ac:dyDescent="0.2">
      <c r="A75" s="110">
        <f t="shared" si="1"/>
        <v>74</v>
      </c>
      <c r="B75" s="189" t="s">
        <v>249</v>
      </c>
      <c r="C75" s="156">
        <v>1</v>
      </c>
      <c r="D75" s="156">
        <v>0</v>
      </c>
      <c r="E75" s="156">
        <v>0</v>
      </c>
      <c r="F75" s="156">
        <v>0</v>
      </c>
      <c r="G75" s="158">
        <f t="shared" si="2"/>
        <v>1</v>
      </c>
    </row>
    <row r="76" spans="1:7" ht="15" customHeight="1" x14ac:dyDescent="0.2">
      <c r="A76" s="110">
        <f t="shared" si="1"/>
        <v>75</v>
      </c>
      <c r="B76" s="189" t="s">
        <v>250</v>
      </c>
      <c r="C76" s="156">
        <v>1</v>
      </c>
      <c r="D76" s="156">
        <v>0</v>
      </c>
      <c r="E76" s="156">
        <v>0</v>
      </c>
      <c r="F76" s="156">
        <v>0</v>
      </c>
      <c r="G76" s="158">
        <f t="shared" si="2"/>
        <v>1</v>
      </c>
    </row>
    <row r="77" spans="1:7" ht="15" customHeight="1" x14ac:dyDescent="0.2">
      <c r="A77" s="110">
        <f t="shared" si="1"/>
        <v>76</v>
      </c>
      <c r="B77" s="189" t="s">
        <v>251</v>
      </c>
      <c r="C77" s="156">
        <v>1</v>
      </c>
      <c r="D77" s="156">
        <v>0</v>
      </c>
      <c r="E77" s="156">
        <v>0</v>
      </c>
      <c r="F77" s="156">
        <v>0</v>
      </c>
      <c r="G77" s="158">
        <f t="shared" si="2"/>
        <v>1</v>
      </c>
    </row>
    <row r="78" spans="1:7" ht="15" customHeight="1" x14ac:dyDescent="0.2">
      <c r="A78" s="110">
        <f t="shared" si="1"/>
        <v>77</v>
      </c>
      <c r="B78" s="189" t="s">
        <v>252</v>
      </c>
      <c r="C78" s="156">
        <v>1</v>
      </c>
      <c r="D78" s="156">
        <v>0</v>
      </c>
      <c r="E78" s="156">
        <v>0</v>
      </c>
      <c r="F78" s="156">
        <v>0</v>
      </c>
      <c r="G78" s="158">
        <f t="shared" si="2"/>
        <v>1</v>
      </c>
    </row>
    <row r="79" spans="1:7" ht="15" customHeight="1" x14ac:dyDescent="0.2">
      <c r="A79" s="110">
        <f t="shared" si="1"/>
        <v>78</v>
      </c>
      <c r="B79" s="189" t="s">
        <v>253</v>
      </c>
      <c r="C79" s="156">
        <v>1</v>
      </c>
      <c r="D79" s="156">
        <v>0</v>
      </c>
      <c r="E79" s="156">
        <v>0</v>
      </c>
      <c r="F79" s="156">
        <v>0</v>
      </c>
      <c r="G79" s="158">
        <f t="shared" si="2"/>
        <v>1</v>
      </c>
    </row>
    <row r="80" spans="1:7" ht="15" customHeight="1" x14ac:dyDescent="0.2">
      <c r="A80" s="110">
        <f t="shared" si="1"/>
        <v>79</v>
      </c>
      <c r="B80" s="189" t="s">
        <v>254</v>
      </c>
      <c r="C80" s="156">
        <v>1</v>
      </c>
      <c r="D80" s="156">
        <v>0</v>
      </c>
      <c r="E80" s="156">
        <v>0</v>
      </c>
      <c r="F80" s="156">
        <v>0</v>
      </c>
      <c r="G80" s="158">
        <f t="shared" si="2"/>
        <v>1</v>
      </c>
    </row>
    <row r="81" spans="1:7" ht="15" customHeight="1" x14ac:dyDescent="0.2">
      <c r="A81" s="110">
        <f t="shared" si="1"/>
        <v>80</v>
      </c>
      <c r="B81" s="189" t="s">
        <v>255</v>
      </c>
      <c r="C81" s="156">
        <v>1</v>
      </c>
      <c r="D81" s="156">
        <v>0</v>
      </c>
      <c r="E81" s="156">
        <v>0</v>
      </c>
      <c r="F81" s="156">
        <v>0</v>
      </c>
      <c r="G81" s="158">
        <f t="shared" si="2"/>
        <v>1</v>
      </c>
    </row>
    <row r="82" spans="1:7" ht="15" customHeight="1" x14ac:dyDescent="0.2">
      <c r="A82" s="110">
        <v>81</v>
      </c>
      <c r="B82" s="189" t="s">
        <v>256</v>
      </c>
      <c r="C82" s="156">
        <v>1</v>
      </c>
      <c r="D82" s="156">
        <v>0</v>
      </c>
      <c r="E82" s="156">
        <v>0</v>
      </c>
      <c r="F82" s="156">
        <v>0</v>
      </c>
      <c r="G82" s="158">
        <f t="shared" si="2"/>
        <v>1</v>
      </c>
    </row>
    <row r="83" spans="1:7" ht="15" customHeight="1" x14ac:dyDescent="0.2">
      <c r="A83" s="110">
        <v>82</v>
      </c>
      <c r="B83" s="189" t="s">
        <v>243</v>
      </c>
      <c r="C83" s="156">
        <v>1</v>
      </c>
      <c r="D83" s="156">
        <v>0</v>
      </c>
      <c r="E83" s="156">
        <v>0</v>
      </c>
      <c r="F83" s="156">
        <v>0</v>
      </c>
      <c r="G83" s="158">
        <f t="shared" si="2"/>
        <v>1</v>
      </c>
    </row>
    <row r="84" spans="1:7" ht="15" customHeight="1" x14ac:dyDescent="0.2">
      <c r="F84" s="110"/>
      <c r="G84" s="110"/>
    </row>
    <row r="85" spans="1:7" ht="15" customHeight="1" x14ac:dyDescent="0.2">
      <c r="F85" s="110"/>
      <c r="G85" s="110"/>
    </row>
    <row r="86" spans="1:7" ht="15" customHeight="1" x14ac:dyDescent="0.2">
      <c r="F86" s="110"/>
      <c r="G86" s="110"/>
    </row>
    <row r="87" spans="1:7" ht="15" customHeight="1" x14ac:dyDescent="0.2">
      <c r="F87" s="110"/>
      <c r="G87" s="110"/>
    </row>
    <row r="88" spans="1:7" ht="15" customHeight="1" x14ac:dyDescent="0.2">
      <c r="F88" s="110"/>
      <c r="G88" s="110"/>
    </row>
    <row r="89" spans="1:7" ht="15" customHeight="1" x14ac:dyDescent="0.2">
      <c r="F89" s="110"/>
      <c r="G89" s="110"/>
    </row>
    <row r="90" spans="1:7" ht="15" customHeight="1" x14ac:dyDescent="0.2">
      <c r="F90" s="110"/>
      <c r="G90" s="110"/>
    </row>
    <row r="91" spans="1:7" ht="15" customHeight="1" x14ac:dyDescent="0.2">
      <c r="F91" s="110"/>
      <c r="G91" s="110"/>
    </row>
    <row r="92" spans="1:7" ht="15" customHeight="1" x14ac:dyDescent="0.2">
      <c r="F92" s="110"/>
      <c r="G92" s="110"/>
    </row>
    <row r="93" spans="1:7" ht="15" customHeight="1" x14ac:dyDescent="0.2">
      <c r="F93" s="110"/>
      <c r="G93" s="110"/>
    </row>
    <row r="94" spans="1:7" ht="15" customHeight="1" x14ac:dyDescent="0.2">
      <c r="F94" s="110"/>
      <c r="G94" s="110"/>
    </row>
    <row r="95" spans="1:7" ht="15" customHeight="1" x14ac:dyDescent="0.2">
      <c r="F95" s="110"/>
      <c r="G95" s="110"/>
    </row>
    <row r="96" spans="1:7" ht="15" customHeight="1" x14ac:dyDescent="0.2">
      <c r="F96" s="110"/>
      <c r="G96" s="110"/>
    </row>
    <row r="97" spans="6:7" ht="15" customHeight="1" x14ac:dyDescent="0.2">
      <c r="F97" s="110"/>
      <c r="G97" s="110"/>
    </row>
    <row r="98" spans="6:7" ht="15" customHeight="1" x14ac:dyDescent="0.2">
      <c r="F98" s="110"/>
      <c r="G98" s="110"/>
    </row>
    <row r="99" spans="6:7" ht="15" customHeight="1" x14ac:dyDescent="0.2">
      <c r="F99" s="110"/>
      <c r="G99" s="110"/>
    </row>
    <row r="100" spans="6:7" ht="15" customHeight="1" x14ac:dyDescent="0.2">
      <c r="F100" s="110"/>
      <c r="G100" s="110"/>
    </row>
    <row r="101" spans="6:7" ht="15" customHeight="1" x14ac:dyDescent="0.2">
      <c r="F101" s="110"/>
      <c r="G101" s="110"/>
    </row>
    <row r="102" spans="6:7" ht="15" customHeight="1" x14ac:dyDescent="0.2">
      <c r="F102" s="110"/>
      <c r="G102" s="110"/>
    </row>
    <row r="103" spans="6:7" ht="15" customHeight="1" x14ac:dyDescent="0.2">
      <c r="F103" s="110"/>
      <c r="G103" s="110"/>
    </row>
    <row r="104" spans="6:7" ht="15" customHeight="1" x14ac:dyDescent="0.2">
      <c r="F104" s="110"/>
      <c r="G104" s="110"/>
    </row>
    <row r="105" spans="6:7" ht="15" customHeight="1" x14ac:dyDescent="0.2">
      <c r="F105" s="110"/>
      <c r="G105" s="110"/>
    </row>
    <row r="106" spans="6:7" ht="15" customHeight="1" x14ac:dyDescent="0.2">
      <c r="F106" s="110"/>
      <c r="G106" s="110"/>
    </row>
    <row r="107" spans="6:7" ht="15" customHeight="1" x14ac:dyDescent="0.2"/>
    <row r="108" spans="6:7" ht="15" customHeight="1" x14ac:dyDescent="0.2"/>
    <row r="109" spans="6:7" ht="15" customHeight="1" x14ac:dyDescent="0.2"/>
    <row r="110" spans="6:7" ht="15" customHeight="1" x14ac:dyDescent="0.2"/>
    <row r="111" spans="6:7" ht="15" customHeight="1" x14ac:dyDescent="0.2"/>
    <row r="112" spans="6:7" ht="15" customHeight="1" x14ac:dyDescent="0.2"/>
    <row r="113" spans="6:7" ht="15" customHeight="1" x14ac:dyDescent="0.2"/>
    <row r="114" spans="6:7" ht="15" customHeight="1" x14ac:dyDescent="0.2"/>
    <row r="115" spans="6:7" ht="15" customHeight="1" x14ac:dyDescent="0.2"/>
    <row r="116" spans="6:7" ht="15" customHeight="1" x14ac:dyDescent="0.2"/>
    <row r="117" spans="6:7" ht="15" customHeight="1" x14ac:dyDescent="0.2"/>
    <row r="118" spans="6:7" ht="15" customHeight="1" x14ac:dyDescent="0.2">
      <c r="F118" s="110"/>
      <c r="G118" s="110"/>
    </row>
    <row r="119" spans="6:7" ht="15" customHeight="1" x14ac:dyDescent="0.2">
      <c r="F119" s="110"/>
      <c r="G119" s="110"/>
    </row>
    <row r="120" spans="6:7" ht="15" customHeight="1" x14ac:dyDescent="0.2">
      <c r="F120" s="110"/>
      <c r="G120" s="110"/>
    </row>
    <row r="121" spans="6:7" ht="15" customHeight="1" x14ac:dyDescent="0.2">
      <c r="F121" s="110"/>
      <c r="G121" s="110"/>
    </row>
    <row r="122" spans="6:7" ht="15" customHeight="1" x14ac:dyDescent="0.2">
      <c r="F122" s="110"/>
      <c r="G122" s="110"/>
    </row>
    <row r="123" spans="6:7" ht="15" customHeight="1" x14ac:dyDescent="0.2">
      <c r="F123" s="110"/>
      <c r="G123" s="110"/>
    </row>
    <row r="124" spans="6:7" ht="15" customHeight="1" x14ac:dyDescent="0.2">
      <c r="F124" s="110"/>
      <c r="G124" s="110"/>
    </row>
    <row r="125" spans="6:7" ht="15" customHeight="1" x14ac:dyDescent="0.2">
      <c r="F125" s="110"/>
      <c r="G125" s="110"/>
    </row>
    <row r="126" spans="6:7" ht="15" customHeight="1" x14ac:dyDescent="0.2">
      <c r="F126" s="110"/>
      <c r="G126" s="110"/>
    </row>
    <row r="127" spans="6:7" ht="15" customHeight="1" x14ac:dyDescent="0.2">
      <c r="F127" s="110"/>
      <c r="G127" s="110"/>
    </row>
    <row r="128" spans="6:7" ht="15" customHeight="1" x14ac:dyDescent="0.2">
      <c r="F128" s="110"/>
      <c r="G128" s="110"/>
    </row>
    <row r="129" spans="6:7" ht="15" customHeight="1" x14ac:dyDescent="0.2">
      <c r="F129" s="110"/>
      <c r="G129" s="110"/>
    </row>
    <row r="130" spans="6:7" ht="15" customHeight="1" x14ac:dyDescent="0.2">
      <c r="F130" s="110"/>
      <c r="G130" s="110"/>
    </row>
    <row r="131" spans="6:7" ht="15" customHeight="1" x14ac:dyDescent="0.2">
      <c r="F131" s="110"/>
      <c r="G131" s="110"/>
    </row>
    <row r="132" spans="6:7" ht="15" customHeight="1" x14ac:dyDescent="0.2">
      <c r="F132" s="110"/>
      <c r="G132" s="110"/>
    </row>
    <row r="133" spans="6:7" ht="15" customHeight="1" x14ac:dyDescent="0.2">
      <c r="F133" s="110"/>
      <c r="G133" s="110"/>
    </row>
    <row r="134" spans="6:7" ht="15" customHeight="1" x14ac:dyDescent="0.2">
      <c r="F134" s="110"/>
      <c r="G134" s="110"/>
    </row>
    <row r="135" spans="6:7" ht="15" customHeight="1" x14ac:dyDescent="0.2">
      <c r="F135" s="110"/>
      <c r="G135" s="110"/>
    </row>
    <row r="136" spans="6:7" ht="15" customHeight="1" x14ac:dyDescent="0.2">
      <c r="F136" s="110"/>
      <c r="G136" s="110"/>
    </row>
    <row r="137" spans="6:7" ht="15" customHeight="1" x14ac:dyDescent="0.2">
      <c r="F137" s="110"/>
      <c r="G137" s="110"/>
    </row>
    <row r="138" spans="6:7" ht="15" customHeight="1" x14ac:dyDescent="0.2">
      <c r="F138" s="110"/>
      <c r="G138" s="110"/>
    </row>
    <row r="139" spans="6:7" ht="15" customHeight="1" x14ac:dyDescent="0.2">
      <c r="F139" s="110"/>
      <c r="G139" s="110"/>
    </row>
    <row r="140" spans="6:7" ht="15" customHeight="1" x14ac:dyDescent="0.2">
      <c r="F140" s="110"/>
      <c r="G140" s="110"/>
    </row>
    <row r="141" spans="6:7" ht="15" customHeight="1" x14ac:dyDescent="0.2">
      <c r="F141" s="110"/>
      <c r="G141" s="110"/>
    </row>
    <row r="142" spans="6:7" ht="15" customHeight="1" x14ac:dyDescent="0.2">
      <c r="F142" s="110"/>
      <c r="G142" s="110"/>
    </row>
    <row r="143" spans="6:7" ht="15" customHeight="1" x14ac:dyDescent="0.2">
      <c r="F143" s="110"/>
      <c r="G143" s="110"/>
    </row>
    <row r="144" spans="6:7" ht="15" customHeight="1" x14ac:dyDescent="0.2">
      <c r="F144" s="110"/>
      <c r="G144" s="110"/>
    </row>
    <row r="145" spans="6:7" ht="15" customHeight="1" x14ac:dyDescent="0.2">
      <c r="F145" s="110"/>
      <c r="G145" s="110"/>
    </row>
    <row r="146" spans="6:7" ht="15" customHeight="1" x14ac:dyDescent="0.2">
      <c r="F146" s="110"/>
      <c r="G146" s="110"/>
    </row>
    <row r="147" spans="6:7" ht="15" customHeight="1" x14ac:dyDescent="0.2">
      <c r="F147" s="110"/>
      <c r="G147" s="110"/>
    </row>
    <row r="148" spans="6:7" ht="15" customHeight="1" x14ac:dyDescent="0.2">
      <c r="F148" s="110"/>
      <c r="G148" s="110"/>
    </row>
    <row r="149" spans="6:7" ht="15" customHeight="1" x14ac:dyDescent="0.2">
      <c r="F149" s="110"/>
      <c r="G149" s="110"/>
    </row>
    <row r="150" spans="6:7" ht="15" customHeight="1" x14ac:dyDescent="0.2">
      <c r="F150" s="110"/>
      <c r="G150" s="110"/>
    </row>
    <row r="151" spans="6:7" ht="15" customHeight="1" x14ac:dyDescent="0.2">
      <c r="F151" s="110"/>
      <c r="G151" s="110"/>
    </row>
    <row r="152" spans="6:7" ht="15" customHeight="1" x14ac:dyDescent="0.2">
      <c r="F152" s="110"/>
      <c r="G152" s="110"/>
    </row>
    <row r="153" spans="6:7" ht="15" customHeight="1" x14ac:dyDescent="0.2">
      <c r="F153" s="110"/>
      <c r="G153" s="110"/>
    </row>
    <row r="154" spans="6:7" ht="15" customHeight="1" x14ac:dyDescent="0.2">
      <c r="F154" s="110"/>
      <c r="G154" s="110"/>
    </row>
    <row r="155" spans="6:7" ht="15" customHeight="1" x14ac:dyDescent="0.2">
      <c r="F155" s="110"/>
      <c r="G155" s="110"/>
    </row>
    <row r="156" spans="6:7" ht="15" customHeight="1" x14ac:dyDescent="0.2">
      <c r="F156" s="110"/>
      <c r="G156" s="110"/>
    </row>
    <row r="157" spans="6:7" ht="15" customHeight="1" x14ac:dyDescent="0.2">
      <c r="F157" s="110"/>
      <c r="G157" s="110"/>
    </row>
    <row r="158" spans="6:7" ht="15" customHeight="1" x14ac:dyDescent="0.2">
      <c r="F158" s="110"/>
      <c r="G158" s="110"/>
    </row>
    <row r="159" spans="6:7" ht="15" customHeight="1" x14ac:dyDescent="0.2">
      <c r="F159" s="110"/>
      <c r="G159" s="110"/>
    </row>
    <row r="160" spans="6:7" ht="15" customHeight="1" x14ac:dyDescent="0.2">
      <c r="F160" s="110"/>
      <c r="G160" s="110"/>
    </row>
    <row r="161" spans="6:7" ht="15" customHeight="1" x14ac:dyDescent="0.2">
      <c r="F161" s="110"/>
      <c r="G161" s="110"/>
    </row>
    <row r="162" spans="6:7" ht="15" customHeight="1" x14ac:dyDescent="0.2">
      <c r="F162" s="110"/>
      <c r="G162" s="110"/>
    </row>
    <row r="163" spans="6:7" ht="15" customHeight="1" x14ac:dyDescent="0.2">
      <c r="F163" s="110"/>
      <c r="G163" s="110"/>
    </row>
    <row r="164" spans="6:7" ht="15" customHeight="1" x14ac:dyDescent="0.2">
      <c r="F164" s="110"/>
      <c r="G164" s="110"/>
    </row>
    <row r="165" spans="6:7" ht="15" customHeight="1" x14ac:dyDescent="0.2">
      <c r="F165" s="110"/>
      <c r="G165" s="110"/>
    </row>
    <row r="166" spans="6:7" ht="15" customHeight="1" x14ac:dyDescent="0.2">
      <c r="F166" s="110"/>
      <c r="G166" s="110"/>
    </row>
    <row r="167" spans="6:7" ht="15" customHeight="1" x14ac:dyDescent="0.2">
      <c r="F167" s="110"/>
      <c r="G167" s="110"/>
    </row>
    <row r="168" spans="6:7" ht="15" customHeight="1" x14ac:dyDescent="0.2">
      <c r="F168" s="110"/>
      <c r="G168" s="110"/>
    </row>
    <row r="169" spans="6:7" ht="15" customHeight="1" x14ac:dyDescent="0.2">
      <c r="F169" s="110"/>
      <c r="G169" s="110"/>
    </row>
    <row r="170" spans="6:7" ht="15" customHeight="1" x14ac:dyDescent="0.2">
      <c r="F170" s="110"/>
      <c r="G170" s="110"/>
    </row>
    <row r="171" spans="6:7" ht="15" customHeight="1" x14ac:dyDescent="0.2">
      <c r="F171" s="110"/>
      <c r="G171" s="110"/>
    </row>
    <row r="172" spans="6:7" ht="15" customHeight="1" x14ac:dyDescent="0.2">
      <c r="F172" s="110"/>
      <c r="G172" s="110"/>
    </row>
    <row r="173" spans="6:7" ht="15" customHeight="1" x14ac:dyDescent="0.2">
      <c r="F173" s="110"/>
      <c r="G173" s="110"/>
    </row>
    <row r="174" spans="6:7" ht="15" customHeight="1" x14ac:dyDescent="0.2">
      <c r="F174" s="110"/>
      <c r="G174" s="110"/>
    </row>
    <row r="175" spans="6:7" ht="15" customHeight="1" x14ac:dyDescent="0.2">
      <c r="F175" s="110"/>
      <c r="G175" s="110"/>
    </row>
    <row r="176" spans="6:7" ht="15" customHeight="1" x14ac:dyDescent="0.2">
      <c r="F176" s="110"/>
      <c r="G176" s="110"/>
    </row>
    <row r="177" spans="6:7" ht="15" customHeight="1" x14ac:dyDescent="0.2">
      <c r="F177" s="110"/>
      <c r="G177" s="110"/>
    </row>
    <row r="178" spans="6:7" ht="15" customHeight="1" x14ac:dyDescent="0.2">
      <c r="F178" s="110"/>
      <c r="G178" s="110"/>
    </row>
    <row r="179" spans="6:7" ht="15" customHeight="1" x14ac:dyDescent="0.2">
      <c r="F179" s="110"/>
      <c r="G179" s="110"/>
    </row>
    <row r="180" spans="6:7" ht="15" customHeight="1" x14ac:dyDescent="0.2">
      <c r="F180" s="110"/>
      <c r="G180" s="110"/>
    </row>
    <row r="181" spans="6:7" ht="15" customHeight="1" x14ac:dyDescent="0.2">
      <c r="F181" s="110"/>
      <c r="G181" s="110"/>
    </row>
    <row r="182" spans="6:7" ht="15" customHeight="1" x14ac:dyDescent="0.2">
      <c r="F182" s="110"/>
      <c r="G182" s="110"/>
    </row>
    <row r="183" spans="6:7" ht="15" customHeight="1" x14ac:dyDescent="0.2">
      <c r="F183" s="110"/>
      <c r="G183" s="110"/>
    </row>
    <row r="184" spans="6:7" ht="15" customHeight="1" x14ac:dyDescent="0.2">
      <c r="F184" s="110"/>
      <c r="G184" s="110"/>
    </row>
    <row r="185" spans="6:7" ht="15" customHeight="1" x14ac:dyDescent="0.2">
      <c r="F185" s="110"/>
      <c r="G185" s="110"/>
    </row>
    <row r="186" spans="6:7" ht="15" customHeight="1" x14ac:dyDescent="0.2">
      <c r="F186" s="110"/>
      <c r="G186" s="110"/>
    </row>
    <row r="187" spans="6:7" ht="15" customHeight="1" x14ac:dyDescent="0.2">
      <c r="F187" s="110"/>
      <c r="G187" s="110"/>
    </row>
  </sheetData>
  <phoneticPr fontId="3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indexed="45"/>
  </sheetPr>
  <dimension ref="A1:BA176"/>
  <sheetViews>
    <sheetView workbookViewId="0">
      <pane xSplit="2" ySplit="1" topLeftCell="AD37" activePane="bottomRight" state="frozen"/>
      <selection pane="topRight" activeCell="D1" sqref="D1"/>
      <selection pane="bottomLeft" activeCell="A2" sqref="A2"/>
      <selection pane="bottomRight" activeCell="B2" sqref="B2:B52"/>
    </sheetView>
  </sheetViews>
  <sheetFormatPr baseColWidth="10" defaultColWidth="8.83203125" defaultRowHeight="16" x14ac:dyDescent="0.2"/>
  <cols>
    <col min="1" max="1" width="12.6640625" style="110" customWidth="1"/>
    <col min="2" max="2" width="30.5" style="110" bestFit="1" customWidth="1"/>
    <col min="3" max="3" width="12.5" style="156" bestFit="1" customWidth="1"/>
    <col min="4" max="4" width="11.1640625" style="156" bestFit="1" customWidth="1"/>
    <col min="5" max="5" width="18.1640625" style="156" bestFit="1" customWidth="1"/>
    <col min="6" max="6" width="17.6640625" style="156" bestFit="1" customWidth="1"/>
    <col min="7" max="7" width="18.83203125" style="156" bestFit="1" customWidth="1"/>
    <col min="8" max="8" width="18.33203125" style="156" bestFit="1" customWidth="1"/>
    <col min="9" max="9" width="19.1640625" style="156" bestFit="1" customWidth="1"/>
    <col min="10" max="10" width="14.6640625" style="156" bestFit="1" customWidth="1"/>
    <col min="11" max="11" width="15" style="156" bestFit="1" customWidth="1"/>
    <col min="12" max="12" width="14.6640625" style="156" bestFit="1" customWidth="1"/>
    <col min="13" max="13" width="11.33203125" style="156" bestFit="1" customWidth="1"/>
    <col min="14" max="14" width="9.5" style="156" bestFit="1" customWidth="1"/>
    <col min="15" max="15" width="21.6640625" style="156" bestFit="1" customWidth="1"/>
    <col min="16" max="16" width="7.33203125" style="156" bestFit="1" customWidth="1"/>
    <col min="17" max="17" width="6.83203125" style="156" bestFit="1" customWidth="1"/>
    <col min="18" max="18" width="10.6640625" style="156" bestFit="1" customWidth="1"/>
    <col min="19" max="19" width="22.83203125" style="156" bestFit="1" customWidth="1"/>
    <col min="20" max="20" width="20.1640625" style="156" bestFit="1" customWidth="1"/>
    <col min="21" max="21" width="20.33203125" style="156" bestFit="1" customWidth="1"/>
    <col min="22" max="22" width="22.1640625" style="156" bestFit="1" customWidth="1"/>
    <col min="23" max="23" width="24.1640625" style="156" bestFit="1" customWidth="1"/>
    <col min="24" max="24" width="18.1640625" style="156" bestFit="1" customWidth="1"/>
    <col min="25" max="25" width="16.1640625" style="156" bestFit="1" customWidth="1"/>
    <col min="26" max="26" width="14.83203125" style="156" bestFit="1" customWidth="1"/>
    <col min="27" max="27" width="22.1640625" style="156" bestFit="1" customWidth="1"/>
    <col min="28" max="28" width="18" style="156" bestFit="1" customWidth="1"/>
    <col min="29" max="29" width="21.6640625" style="156" bestFit="1" customWidth="1"/>
    <col min="30" max="30" width="23.6640625" style="156" bestFit="1" customWidth="1"/>
    <col min="31" max="31" width="17.6640625" style="156" bestFit="1" customWidth="1"/>
    <col min="32" max="32" width="15.6640625" style="156" bestFit="1" customWidth="1"/>
    <col min="33" max="33" width="9.6640625" style="156" customWidth="1"/>
    <col min="34" max="34" width="12.83203125" style="156" bestFit="1" customWidth="1"/>
    <col min="35" max="52" width="8.83203125" style="110"/>
    <col min="54" max="16384" width="8.83203125" style="110"/>
  </cols>
  <sheetData>
    <row r="1" spans="1:34" s="160" customFormat="1" ht="34" x14ac:dyDescent="0.2">
      <c r="A1" s="155" t="s">
        <v>22</v>
      </c>
      <c r="B1" s="159" t="s">
        <v>0</v>
      </c>
      <c r="C1" s="177" t="s">
        <v>226</v>
      </c>
      <c r="D1" s="177" t="s">
        <v>227</v>
      </c>
      <c r="E1" s="177" t="s">
        <v>228</v>
      </c>
      <c r="F1" s="157" t="s">
        <v>229</v>
      </c>
      <c r="G1" s="157" t="s">
        <v>230</v>
      </c>
      <c r="H1" s="157" t="s">
        <v>231</v>
      </c>
      <c r="I1" s="157" t="s">
        <v>232</v>
      </c>
      <c r="J1" s="156" t="s">
        <v>233</v>
      </c>
      <c r="K1" s="156" t="s">
        <v>234</v>
      </c>
      <c r="L1" s="156" t="s">
        <v>235</v>
      </c>
      <c r="M1" s="156" t="s">
        <v>236</v>
      </c>
      <c r="N1" s="156" t="s">
        <v>237</v>
      </c>
      <c r="O1" s="156" t="s">
        <v>238</v>
      </c>
      <c r="P1" s="156" t="s">
        <v>239</v>
      </c>
      <c r="Q1" s="156" t="s">
        <v>240</v>
      </c>
      <c r="R1" s="157" t="s">
        <v>241</v>
      </c>
      <c r="S1" s="157" t="s">
        <v>242</v>
      </c>
      <c r="T1" s="157" t="s">
        <v>244</v>
      </c>
      <c r="U1" s="157" t="s">
        <v>245</v>
      </c>
      <c r="V1" s="157" t="s">
        <v>246</v>
      </c>
      <c r="W1" s="157" t="s">
        <v>247</v>
      </c>
      <c r="X1" s="157" t="s">
        <v>248</v>
      </c>
      <c r="Y1" s="157" t="s">
        <v>249</v>
      </c>
      <c r="Z1" s="157" t="s">
        <v>250</v>
      </c>
      <c r="AA1" s="157" t="s">
        <v>251</v>
      </c>
      <c r="AB1" s="157" t="s">
        <v>252</v>
      </c>
      <c r="AC1" s="157" t="s">
        <v>253</v>
      </c>
      <c r="AD1" s="157" t="s">
        <v>254</v>
      </c>
      <c r="AE1" s="157" t="s">
        <v>255</v>
      </c>
      <c r="AF1" s="157" t="s">
        <v>256</v>
      </c>
      <c r="AG1" s="157" t="s">
        <v>243</v>
      </c>
      <c r="AH1" s="157" t="s">
        <v>12</v>
      </c>
    </row>
    <row r="2" spans="1:34" ht="15" customHeight="1" x14ac:dyDescent="0.2">
      <c r="A2" s="110">
        <v>1</v>
      </c>
      <c r="B2" s="184" t="s">
        <v>181</v>
      </c>
      <c r="C2" s="192">
        <v>0</v>
      </c>
      <c r="D2" s="192">
        <v>0</v>
      </c>
      <c r="E2" s="192">
        <v>0</v>
      </c>
      <c r="F2" s="192">
        <v>0</v>
      </c>
      <c r="G2" s="192">
        <v>0</v>
      </c>
      <c r="H2" s="192">
        <v>0</v>
      </c>
      <c r="I2" s="192">
        <v>0</v>
      </c>
      <c r="J2" s="192">
        <v>0</v>
      </c>
      <c r="K2" s="192">
        <v>0</v>
      </c>
      <c r="L2" s="192">
        <v>0</v>
      </c>
      <c r="M2" s="192">
        <v>0</v>
      </c>
      <c r="N2" s="192">
        <v>0</v>
      </c>
      <c r="O2" s="192">
        <v>0</v>
      </c>
      <c r="P2" s="192">
        <v>0</v>
      </c>
      <c r="Q2" s="192">
        <v>0</v>
      </c>
      <c r="R2" s="193">
        <v>0</v>
      </c>
      <c r="S2" s="193">
        <v>0</v>
      </c>
      <c r="T2" s="192">
        <v>0</v>
      </c>
      <c r="U2" s="192">
        <v>0</v>
      </c>
      <c r="V2" s="192">
        <v>0</v>
      </c>
      <c r="W2" s="192">
        <v>0</v>
      </c>
      <c r="X2" s="192">
        <v>0</v>
      </c>
      <c r="Y2" s="192">
        <v>0</v>
      </c>
      <c r="Z2" s="192">
        <v>0</v>
      </c>
      <c r="AA2" s="192">
        <v>0</v>
      </c>
      <c r="AB2" s="192">
        <v>0</v>
      </c>
      <c r="AC2" s="192">
        <v>0</v>
      </c>
      <c r="AD2" s="192">
        <v>0</v>
      </c>
      <c r="AE2" s="192">
        <v>0</v>
      </c>
      <c r="AF2" s="192">
        <v>0</v>
      </c>
      <c r="AG2" s="192">
        <v>0</v>
      </c>
      <c r="AH2" s="161">
        <f>SUM(C2:AG2)</f>
        <v>0</v>
      </c>
    </row>
    <row r="3" spans="1:34" ht="15" customHeight="1" x14ac:dyDescent="0.2">
      <c r="A3" s="110">
        <v>2</v>
      </c>
      <c r="B3" s="184" t="s">
        <v>182</v>
      </c>
      <c r="C3" s="192">
        <v>0</v>
      </c>
      <c r="D3" s="192">
        <v>0</v>
      </c>
      <c r="E3" s="192">
        <v>0</v>
      </c>
      <c r="F3" s="192">
        <v>0</v>
      </c>
      <c r="G3" s="192">
        <v>0</v>
      </c>
      <c r="H3" s="192">
        <v>0</v>
      </c>
      <c r="I3" s="192">
        <v>0</v>
      </c>
      <c r="J3" s="192">
        <v>0</v>
      </c>
      <c r="K3" s="192">
        <v>0</v>
      </c>
      <c r="L3" s="192">
        <v>0</v>
      </c>
      <c r="M3" s="192">
        <v>0</v>
      </c>
      <c r="N3" s="192">
        <v>0</v>
      </c>
      <c r="O3" s="192">
        <v>0</v>
      </c>
      <c r="P3" s="192">
        <v>0</v>
      </c>
      <c r="Q3" s="192">
        <v>0</v>
      </c>
      <c r="R3" s="193">
        <v>0</v>
      </c>
      <c r="S3" s="193">
        <v>0</v>
      </c>
      <c r="T3" s="192">
        <v>0</v>
      </c>
      <c r="U3" s="192">
        <v>0</v>
      </c>
      <c r="V3" s="192">
        <v>0</v>
      </c>
      <c r="W3" s="192">
        <v>0</v>
      </c>
      <c r="X3" s="192">
        <v>0</v>
      </c>
      <c r="Y3" s="192">
        <v>0</v>
      </c>
      <c r="Z3" s="192">
        <v>0</v>
      </c>
      <c r="AA3" s="192">
        <v>0</v>
      </c>
      <c r="AB3" s="192">
        <v>0</v>
      </c>
      <c r="AC3" s="192">
        <v>0</v>
      </c>
      <c r="AD3" s="192">
        <v>0</v>
      </c>
      <c r="AE3" s="192">
        <v>0</v>
      </c>
      <c r="AF3" s="192">
        <v>0</v>
      </c>
      <c r="AG3" s="192">
        <v>0</v>
      </c>
      <c r="AH3" s="161">
        <f t="shared" ref="AH3:AH52" si="0">SUM(C3:AG3)</f>
        <v>0</v>
      </c>
    </row>
    <row r="4" spans="1:34" ht="15" customHeight="1" x14ac:dyDescent="0.2">
      <c r="A4" s="110">
        <v>3</v>
      </c>
      <c r="B4" s="184" t="s">
        <v>176</v>
      </c>
      <c r="C4" s="192">
        <v>0</v>
      </c>
      <c r="D4" s="192">
        <v>0</v>
      </c>
      <c r="E4" s="192">
        <v>0</v>
      </c>
      <c r="F4" s="192">
        <v>0</v>
      </c>
      <c r="G4" s="192">
        <v>0</v>
      </c>
      <c r="H4" s="192">
        <v>0</v>
      </c>
      <c r="I4" s="192">
        <v>0</v>
      </c>
      <c r="J4" s="192">
        <v>0</v>
      </c>
      <c r="K4" s="192">
        <v>0</v>
      </c>
      <c r="L4" s="192">
        <v>0</v>
      </c>
      <c r="M4" s="192">
        <v>0</v>
      </c>
      <c r="N4" s="192">
        <v>0</v>
      </c>
      <c r="O4" s="192">
        <v>0</v>
      </c>
      <c r="P4" s="192">
        <v>0</v>
      </c>
      <c r="Q4" s="192">
        <v>0</v>
      </c>
      <c r="R4" s="193">
        <v>0</v>
      </c>
      <c r="S4" s="193">
        <v>0</v>
      </c>
      <c r="T4" s="192">
        <v>0</v>
      </c>
      <c r="U4" s="192">
        <v>0</v>
      </c>
      <c r="V4" s="192">
        <v>0</v>
      </c>
      <c r="W4" s="192">
        <v>0</v>
      </c>
      <c r="X4" s="192">
        <v>0</v>
      </c>
      <c r="Y4" s="192">
        <v>0</v>
      </c>
      <c r="Z4" s="192">
        <v>0</v>
      </c>
      <c r="AA4" s="192">
        <v>0</v>
      </c>
      <c r="AB4" s="192">
        <v>0</v>
      </c>
      <c r="AC4" s="192">
        <v>0</v>
      </c>
      <c r="AD4" s="192">
        <v>0</v>
      </c>
      <c r="AE4" s="192">
        <v>0</v>
      </c>
      <c r="AF4" s="192">
        <v>0</v>
      </c>
      <c r="AG4" s="192">
        <v>0</v>
      </c>
      <c r="AH4" s="161">
        <f t="shared" si="0"/>
        <v>0</v>
      </c>
    </row>
    <row r="5" spans="1:34" ht="15" customHeight="1" x14ac:dyDescent="0.2">
      <c r="A5" s="110">
        <v>4</v>
      </c>
      <c r="B5" s="184" t="s">
        <v>183</v>
      </c>
      <c r="C5" s="192">
        <v>0</v>
      </c>
      <c r="D5" s="192">
        <v>0</v>
      </c>
      <c r="E5" s="192">
        <v>0</v>
      </c>
      <c r="F5" s="192">
        <v>0</v>
      </c>
      <c r="G5" s="192">
        <v>0</v>
      </c>
      <c r="H5" s="192">
        <v>0</v>
      </c>
      <c r="I5" s="192">
        <v>0</v>
      </c>
      <c r="J5" s="192">
        <v>0</v>
      </c>
      <c r="K5" s="192">
        <v>0</v>
      </c>
      <c r="L5" s="192">
        <v>0</v>
      </c>
      <c r="M5" s="192">
        <v>0</v>
      </c>
      <c r="N5" s="192">
        <v>0</v>
      </c>
      <c r="O5" s="192">
        <v>0</v>
      </c>
      <c r="P5" s="192">
        <v>0</v>
      </c>
      <c r="Q5" s="192">
        <v>0</v>
      </c>
      <c r="R5" s="193">
        <v>0</v>
      </c>
      <c r="S5" s="193">
        <v>0</v>
      </c>
      <c r="T5" s="192">
        <v>0</v>
      </c>
      <c r="U5" s="192">
        <v>0</v>
      </c>
      <c r="V5" s="192">
        <v>0</v>
      </c>
      <c r="W5" s="192">
        <v>0</v>
      </c>
      <c r="X5" s="192">
        <v>0</v>
      </c>
      <c r="Y5" s="192">
        <v>0</v>
      </c>
      <c r="Z5" s="192">
        <v>0</v>
      </c>
      <c r="AA5" s="192">
        <v>0</v>
      </c>
      <c r="AB5" s="192">
        <v>0</v>
      </c>
      <c r="AC5" s="192">
        <v>0</v>
      </c>
      <c r="AD5" s="192">
        <v>0</v>
      </c>
      <c r="AE5" s="192">
        <v>0</v>
      </c>
      <c r="AF5" s="192">
        <v>0</v>
      </c>
      <c r="AG5" s="192">
        <v>0</v>
      </c>
      <c r="AH5" s="161">
        <f t="shared" si="0"/>
        <v>0</v>
      </c>
    </row>
    <row r="6" spans="1:34" ht="15" customHeight="1" x14ac:dyDescent="0.2">
      <c r="A6" s="110">
        <v>5</v>
      </c>
      <c r="B6" s="184" t="s">
        <v>184</v>
      </c>
      <c r="C6" s="192">
        <v>0</v>
      </c>
      <c r="D6" s="192">
        <v>0</v>
      </c>
      <c r="E6" s="192">
        <v>0</v>
      </c>
      <c r="F6" s="192">
        <v>0</v>
      </c>
      <c r="G6" s="192">
        <v>0</v>
      </c>
      <c r="H6" s="192">
        <v>0</v>
      </c>
      <c r="I6" s="192">
        <v>0</v>
      </c>
      <c r="J6" s="192">
        <v>0</v>
      </c>
      <c r="K6" s="192">
        <v>0</v>
      </c>
      <c r="L6" s="192">
        <v>0</v>
      </c>
      <c r="M6" s="192">
        <v>0</v>
      </c>
      <c r="N6" s="192">
        <v>0</v>
      </c>
      <c r="O6" s="192">
        <v>0</v>
      </c>
      <c r="P6" s="192">
        <v>0</v>
      </c>
      <c r="Q6" s="192">
        <v>0</v>
      </c>
      <c r="R6" s="193">
        <v>0</v>
      </c>
      <c r="S6" s="193">
        <v>0</v>
      </c>
      <c r="T6" s="192">
        <v>0</v>
      </c>
      <c r="U6" s="192">
        <v>0</v>
      </c>
      <c r="V6" s="192">
        <v>0</v>
      </c>
      <c r="W6" s="192">
        <v>0</v>
      </c>
      <c r="X6" s="192">
        <v>0</v>
      </c>
      <c r="Y6" s="192">
        <v>0</v>
      </c>
      <c r="Z6" s="192">
        <v>0</v>
      </c>
      <c r="AA6" s="192">
        <v>0</v>
      </c>
      <c r="AB6" s="192">
        <v>0</v>
      </c>
      <c r="AC6" s="192">
        <v>0</v>
      </c>
      <c r="AD6" s="192">
        <v>0</v>
      </c>
      <c r="AE6" s="192">
        <v>0</v>
      </c>
      <c r="AF6" s="192">
        <v>0</v>
      </c>
      <c r="AG6" s="192">
        <v>0</v>
      </c>
      <c r="AH6" s="161">
        <f t="shared" si="0"/>
        <v>0</v>
      </c>
    </row>
    <row r="7" spans="1:34" ht="15" customHeight="1" x14ac:dyDescent="0.2">
      <c r="A7" s="110">
        <v>6</v>
      </c>
      <c r="B7" s="184" t="s">
        <v>185</v>
      </c>
      <c r="C7" s="192">
        <v>0</v>
      </c>
      <c r="D7" s="192">
        <v>0</v>
      </c>
      <c r="E7" s="192">
        <v>0</v>
      </c>
      <c r="F7" s="192">
        <v>0</v>
      </c>
      <c r="G7" s="192">
        <v>0</v>
      </c>
      <c r="H7" s="192">
        <v>0</v>
      </c>
      <c r="I7" s="192">
        <v>0</v>
      </c>
      <c r="J7" s="192">
        <v>0</v>
      </c>
      <c r="K7" s="192">
        <v>0</v>
      </c>
      <c r="L7" s="192">
        <v>0</v>
      </c>
      <c r="M7" s="192">
        <v>0</v>
      </c>
      <c r="N7" s="192">
        <v>0</v>
      </c>
      <c r="O7" s="192">
        <v>0</v>
      </c>
      <c r="P7" s="192">
        <v>0</v>
      </c>
      <c r="Q7" s="192">
        <v>0</v>
      </c>
      <c r="R7" s="193">
        <v>0</v>
      </c>
      <c r="S7" s="193">
        <v>0</v>
      </c>
      <c r="T7" s="192">
        <v>0</v>
      </c>
      <c r="U7" s="192">
        <v>0</v>
      </c>
      <c r="V7" s="192">
        <v>0</v>
      </c>
      <c r="W7" s="192">
        <v>0</v>
      </c>
      <c r="X7" s="192">
        <v>0</v>
      </c>
      <c r="Y7" s="192">
        <v>0</v>
      </c>
      <c r="Z7" s="192">
        <v>0</v>
      </c>
      <c r="AA7" s="192">
        <v>0</v>
      </c>
      <c r="AB7" s="192">
        <v>0</v>
      </c>
      <c r="AC7" s="192">
        <v>0</v>
      </c>
      <c r="AD7" s="192">
        <v>0</v>
      </c>
      <c r="AE7" s="192">
        <v>0</v>
      </c>
      <c r="AF7" s="192">
        <v>0</v>
      </c>
      <c r="AG7" s="192">
        <v>0</v>
      </c>
      <c r="AH7" s="161">
        <f t="shared" si="0"/>
        <v>0</v>
      </c>
    </row>
    <row r="8" spans="1:34" ht="15" customHeight="1" x14ac:dyDescent="0.2">
      <c r="A8" s="110">
        <v>7</v>
      </c>
      <c r="B8" s="184" t="s">
        <v>186</v>
      </c>
      <c r="C8" s="192">
        <v>0.71399999999999997</v>
      </c>
      <c r="D8" s="192">
        <v>0</v>
      </c>
      <c r="E8" s="192">
        <v>0</v>
      </c>
      <c r="F8" s="192">
        <v>0</v>
      </c>
      <c r="G8" s="192">
        <v>0</v>
      </c>
      <c r="H8" s="192">
        <v>0</v>
      </c>
      <c r="I8" s="192">
        <v>0</v>
      </c>
      <c r="J8" s="192">
        <v>0</v>
      </c>
      <c r="K8" s="192">
        <v>0</v>
      </c>
      <c r="L8" s="192">
        <v>0</v>
      </c>
      <c r="M8" s="192">
        <v>0</v>
      </c>
      <c r="N8" s="192">
        <v>0</v>
      </c>
      <c r="O8" s="192">
        <v>0</v>
      </c>
      <c r="P8" s="192">
        <v>0</v>
      </c>
      <c r="Q8" s="192">
        <v>0</v>
      </c>
      <c r="R8" s="193">
        <v>0</v>
      </c>
      <c r="S8" s="193">
        <v>0</v>
      </c>
      <c r="T8" s="192">
        <v>0</v>
      </c>
      <c r="U8" s="192">
        <v>0</v>
      </c>
      <c r="V8" s="192">
        <v>0</v>
      </c>
      <c r="W8" s="192">
        <v>0</v>
      </c>
      <c r="X8" s="192">
        <v>0</v>
      </c>
      <c r="Y8" s="192">
        <v>0</v>
      </c>
      <c r="Z8" s="192">
        <v>0</v>
      </c>
      <c r="AA8" s="192">
        <v>0</v>
      </c>
      <c r="AB8" s="192">
        <v>0</v>
      </c>
      <c r="AC8" s="192">
        <v>0</v>
      </c>
      <c r="AD8" s="192">
        <v>0</v>
      </c>
      <c r="AE8" s="192">
        <v>0</v>
      </c>
      <c r="AF8" s="192">
        <v>0</v>
      </c>
      <c r="AG8" s="192">
        <v>0</v>
      </c>
      <c r="AH8" s="161">
        <f t="shared" si="0"/>
        <v>0.71399999999999997</v>
      </c>
    </row>
    <row r="9" spans="1:34" ht="15" customHeight="1" x14ac:dyDescent="0.2">
      <c r="A9" s="110">
        <v>8</v>
      </c>
      <c r="B9" s="184" t="s">
        <v>187</v>
      </c>
      <c r="C9" s="192">
        <v>0.23799999999999999</v>
      </c>
      <c r="D9" s="192">
        <v>0</v>
      </c>
      <c r="E9" s="192">
        <v>0</v>
      </c>
      <c r="F9" s="192">
        <v>0</v>
      </c>
      <c r="G9" s="192">
        <v>0</v>
      </c>
      <c r="H9" s="192">
        <v>0</v>
      </c>
      <c r="I9" s="192">
        <v>0</v>
      </c>
      <c r="J9" s="192">
        <v>0</v>
      </c>
      <c r="K9" s="192">
        <v>0</v>
      </c>
      <c r="L9" s="192">
        <v>0</v>
      </c>
      <c r="M9" s="192">
        <v>0</v>
      </c>
      <c r="N9" s="192">
        <v>0</v>
      </c>
      <c r="O9" s="192">
        <v>0</v>
      </c>
      <c r="P9" s="192">
        <v>0</v>
      </c>
      <c r="Q9" s="192">
        <v>0</v>
      </c>
      <c r="R9" s="193">
        <v>0</v>
      </c>
      <c r="S9" s="193">
        <v>0</v>
      </c>
      <c r="T9" s="192">
        <v>0</v>
      </c>
      <c r="U9" s="192">
        <v>0</v>
      </c>
      <c r="V9" s="192">
        <v>0</v>
      </c>
      <c r="W9" s="192">
        <v>0</v>
      </c>
      <c r="X9" s="192">
        <v>0</v>
      </c>
      <c r="Y9" s="192">
        <v>0</v>
      </c>
      <c r="Z9" s="192">
        <v>0</v>
      </c>
      <c r="AA9" s="192">
        <v>0</v>
      </c>
      <c r="AB9" s="192">
        <v>0</v>
      </c>
      <c r="AC9" s="192">
        <v>0</v>
      </c>
      <c r="AD9" s="192">
        <v>0</v>
      </c>
      <c r="AE9" s="192">
        <v>0</v>
      </c>
      <c r="AF9" s="192">
        <v>0</v>
      </c>
      <c r="AG9" s="192">
        <v>0</v>
      </c>
      <c r="AH9" s="161">
        <f t="shared" si="0"/>
        <v>0.23799999999999999</v>
      </c>
    </row>
    <row r="10" spans="1:34" ht="15" customHeight="1" x14ac:dyDescent="0.2">
      <c r="A10" s="110">
        <v>9</v>
      </c>
      <c r="B10" s="184" t="s">
        <v>189</v>
      </c>
      <c r="C10" s="192">
        <v>4.1000000000000002E-2</v>
      </c>
      <c r="D10" s="192">
        <v>0</v>
      </c>
      <c r="E10" s="192">
        <v>0</v>
      </c>
      <c r="F10" s="192">
        <v>0</v>
      </c>
      <c r="G10" s="192">
        <v>0</v>
      </c>
      <c r="H10" s="192">
        <v>0</v>
      </c>
      <c r="I10" s="192">
        <v>0</v>
      </c>
      <c r="J10" s="192">
        <v>0</v>
      </c>
      <c r="K10" s="192">
        <v>0</v>
      </c>
      <c r="L10" s="192">
        <v>0</v>
      </c>
      <c r="M10" s="192">
        <v>0</v>
      </c>
      <c r="N10" s="192">
        <v>0</v>
      </c>
      <c r="O10" s="192">
        <v>0</v>
      </c>
      <c r="P10" s="192">
        <v>0</v>
      </c>
      <c r="Q10" s="192">
        <v>0</v>
      </c>
      <c r="R10" s="193">
        <v>0</v>
      </c>
      <c r="S10" s="193">
        <v>0</v>
      </c>
      <c r="T10" s="192">
        <v>0</v>
      </c>
      <c r="U10" s="192">
        <v>0</v>
      </c>
      <c r="V10" s="192">
        <v>0</v>
      </c>
      <c r="W10" s="192">
        <v>0</v>
      </c>
      <c r="X10" s="192">
        <v>0</v>
      </c>
      <c r="Y10" s="192">
        <v>0</v>
      </c>
      <c r="Z10" s="192">
        <v>0</v>
      </c>
      <c r="AA10" s="192">
        <v>0</v>
      </c>
      <c r="AB10" s="192">
        <v>0</v>
      </c>
      <c r="AC10" s="192">
        <v>0</v>
      </c>
      <c r="AD10" s="192">
        <v>0</v>
      </c>
      <c r="AE10" s="192">
        <v>0</v>
      </c>
      <c r="AF10" s="192">
        <v>0</v>
      </c>
      <c r="AG10" s="192">
        <v>0</v>
      </c>
      <c r="AH10" s="161">
        <f t="shared" si="0"/>
        <v>4.1000000000000002E-2</v>
      </c>
    </row>
    <row r="11" spans="1:34" ht="15" customHeight="1" x14ac:dyDescent="0.2">
      <c r="A11" s="110">
        <v>10</v>
      </c>
      <c r="B11" s="184" t="s">
        <v>190</v>
      </c>
      <c r="C11" s="192">
        <v>0.4</v>
      </c>
      <c r="D11" s="192">
        <v>0</v>
      </c>
      <c r="E11" s="192">
        <v>0</v>
      </c>
      <c r="F11" s="192">
        <v>0</v>
      </c>
      <c r="G11" s="192">
        <v>0</v>
      </c>
      <c r="H11" s="192">
        <v>0</v>
      </c>
      <c r="I11" s="192">
        <v>0</v>
      </c>
      <c r="J11" s="192">
        <v>0</v>
      </c>
      <c r="K11" s="192">
        <v>0</v>
      </c>
      <c r="L11" s="192">
        <v>0</v>
      </c>
      <c r="M11" s="192">
        <v>0</v>
      </c>
      <c r="N11" s="192">
        <v>0</v>
      </c>
      <c r="O11" s="192">
        <v>0</v>
      </c>
      <c r="P11" s="192">
        <v>0</v>
      </c>
      <c r="Q11" s="192">
        <v>0</v>
      </c>
      <c r="R11" s="193">
        <v>0</v>
      </c>
      <c r="S11" s="193">
        <v>0</v>
      </c>
      <c r="T11" s="192">
        <v>0</v>
      </c>
      <c r="U11" s="192">
        <v>0</v>
      </c>
      <c r="V11" s="192">
        <v>0</v>
      </c>
      <c r="W11" s="192">
        <v>0</v>
      </c>
      <c r="X11" s="192">
        <v>0</v>
      </c>
      <c r="Y11" s="192">
        <v>0</v>
      </c>
      <c r="Z11" s="192">
        <v>0</v>
      </c>
      <c r="AA11" s="192">
        <v>0</v>
      </c>
      <c r="AB11" s="192">
        <v>0</v>
      </c>
      <c r="AC11" s="192">
        <v>0</v>
      </c>
      <c r="AD11" s="192">
        <v>0</v>
      </c>
      <c r="AE11" s="192">
        <v>0</v>
      </c>
      <c r="AF11" s="192">
        <v>0</v>
      </c>
      <c r="AG11" s="192">
        <v>0</v>
      </c>
      <c r="AH11" s="161">
        <f t="shared" si="0"/>
        <v>0.4</v>
      </c>
    </row>
    <row r="12" spans="1:34" ht="15" customHeight="1" x14ac:dyDescent="0.2">
      <c r="A12" s="110">
        <v>11</v>
      </c>
      <c r="B12" s="184" t="s">
        <v>191</v>
      </c>
      <c r="C12" s="192">
        <v>0.30499999999999999</v>
      </c>
      <c r="D12" s="192">
        <v>0</v>
      </c>
      <c r="E12" s="192">
        <v>0</v>
      </c>
      <c r="F12" s="192">
        <v>0</v>
      </c>
      <c r="G12" s="192">
        <v>0</v>
      </c>
      <c r="H12" s="192">
        <v>0</v>
      </c>
      <c r="I12" s="192">
        <v>0</v>
      </c>
      <c r="J12" s="192">
        <v>0</v>
      </c>
      <c r="K12" s="192">
        <v>0</v>
      </c>
      <c r="L12" s="192">
        <v>0</v>
      </c>
      <c r="M12" s="192">
        <v>0</v>
      </c>
      <c r="N12" s="192">
        <v>0</v>
      </c>
      <c r="O12" s="192">
        <v>0</v>
      </c>
      <c r="P12" s="192">
        <v>0</v>
      </c>
      <c r="Q12" s="192">
        <v>0</v>
      </c>
      <c r="R12" s="193">
        <v>0</v>
      </c>
      <c r="S12" s="193">
        <v>0</v>
      </c>
      <c r="T12" s="192">
        <v>0</v>
      </c>
      <c r="U12" s="192">
        <v>0</v>
      </c>
      <c r="V12" s="192">
        <v>0</v>
      </c>
      <c r="W12" s="192">
        <v>0</v>
      </c>
      <c r="X12" s="192">
        <v>0</v>
      </c>
      <c r="Y12" s="192">
        <v>0</v>
      </c>
      <c r="Z12" s="192">
        <v>0</v>
      </c>
      <c r="AA12" s="192">
        <v>0</v>
      </c>
      <c r="AB12" s="192">
        <v>0</v>
      </c>
      <c r="AC12" s="192">
        <v>0</v>
      </c>
      <c r="AD12" s="192">
        <v>0</v>
      </c>
      <c r="AE12" s="192">
        <v>0</v>
      </c>
      <c r="AF12" s="192">
        <v>0</v>
      </c>
      <c r="AG12" s="192">
        <v>0</v>
      </c>
      <c r="AH12" s="161">
        <f t="shared" si="0"/>
        <v>0.30499999999999999</v>
      </c>
    </row>
    <row r="13" spans="1:34" ht="15" customHeight="1" x14ac:dyDescent="0.2">
      <c r="A13" s="110">
        <v>12</v>
      </c>
      <c r="B13" s="184" t="s">
        <v>192</v>
      </c>
      <c r="C13" s="192">
        <v>1E-3</v>
      </c>
      <c r="D13" s="192">
        <v>0</v>
      </c>
      <c r="E13" s="192">
        <v>0</v>
      </c>
      <c r="F13" s="192">
        <v>0</v>
      </c>
      <c r="G13" s="192">
        <v>0</v>
      </c>
      <c r="H13" s="192">
        <v>0</v>
      </c>
      <c r="I13" s="192">
        <v>0</v>
      </c>
      <c r="J13" s="192">
        <v>0</v>
      </c>
      <c r="K13" s="192">
        <v>0</v>
      </c>
      <c r="L13" s="192">
        <v>0</v>
      </c>
      <c r="M13" s="192">
        <v>0</v>
      </c>
      <c r="N13" s="192">
        <v>0</v>
      </c>
      <c r="O13" s="192">
        <v>0</v>
      </c>
      <c r="P13" s="192">
        <v>0</v>
      </c>
      <c r="Q13" s="192">
        <v>0</v>
      </c>
      <c r="R13" s="193">
        <v>0</v>
      </c>
      <c r="S13" s="193">
        <v>0</v>
      </c>
      <c r="T13" s="192">
        <v>0</v>
      </c>
      <c r="U13" s="192">
        <v>0</v>
      </c>
      <c r="V13" s="192">
        <v>0</v>
      </c>
      <c r="W13" s="192">
        <v>0</v>
      </c>
      <c r="X13" s="192">
        <v>0</v>
      </c>
      <c r="Y13" s="192">
        <v>0</v>
      </c>
      <c r="Z13" s="192">
        <v>0</v>
      </c>
      <c r="AA13" s="192">
        <v>0</v>
      </c>
      <c r="AB13" s="192">
        <v>0</v>
      </c>
      <c r="AC13" s="192">
        <v>0</v>
      </c>
      <c r="AD13" s="192">
        <v>0</v>
      </c>
      <c r="AE13" s="192">
        <v>0</v>
      </c>
      <c r="AF13" s="192">
        <v>0</v>
      </c>
      <c r="AG13" s="192">
        <v>0</v>
      </c>
      <c r="AH13" s="161">
        <f t="shared" si="0"/>
        <v>1E-3</v>
      </c>
    </row>
    <row r="14" spans="1:34" ht="15" customHeight="1" x14ac:dyDescent="0.2">
      <c r="A14" s="110">
        <v>13</v>
      </c>
      <c r="B14" s="184" t="s">
        <v>193</v>
      </c>
      <c r="C14" s="192">
        <v>1.6E-2</v>
      </c>
      <c r="D14" s="192">
        <v>0</v>
      </c>
      <c r="E14" s="192">
        <v>0</v>
      </c>
      <c r="F14" s="192">
        <v>0</v>
      </c>
      <c r="G14" s="192">
        <v>0</v>
      </c>
      <c r="H14" s="192">
        <v>0</v>
      </c>
      <c r="I14" s="192">
        <v>0</v>
      </c>
      <c r="J14" s="192">
        <v>0</v>
      </c>
      <c r="K14" s="192">
        <v>0</v>
      </c>
      <c r="L14" s="192">
        <v>0</v>
      </c>
      <c r="M14" s="192">
        <v>0</v>
      </c>
      <c r="N14" s="192">
        <v>0</v>
      </c>
      <c r="O14" s="192">
        <v>0</v>
      </c>
      <c r="P14" s="192">
        <v>0</v>
      </c>
      <c r="Q14" s="192">
        <v>0</v>
      </c>
      <c r="R14" s="193">
        <v>0</v>
      </c>
      <c r="S14" s="193">
        <v>0</v>
      </c>
      <c r="T14" s="192">
        <v>0</v>
      </c>
      <c r="U14" s="192">
        <v>0</v>
      </c>
      <c r="V14" s="192">
        <v>0</v>
      </c>
      <c r="W14" s="192">
        <v>0</v>
      </c>
      <c r="X14" s="192">
        <v>0</v>
      </c>
      <c r="Y14" s="192">
        <v>0</v>
      </c>
      <c r="Z14" s="192">
        <v>0</v>
      </c>
      <c r="AA14" s="192">
        <v>0</v>
      </c>
      <c r="AB14" s="192">
        <v>0</v>
      </c>
      <c r="AC14" s="192">
        <v>0</v>
      </c>
      <c r="AD14" s="192">
        <v>0</v>
      </c>
      <c r="AE14" s="192">
        <v>0</v>
      </c>
      <c r="AF14" s="192">
        <v>0</v>
      </c>
      <c r="AG14" s="192">
        <v>0</v>
      </c>
      <c r="AH14" s="161">
        <f t="shared" si="0"/>
        <v>1.6E-2</v>
      </c>
    </row>
    <row r="15" spans="1:34" ht="15" customHeight="1" x14ac:dyDescent="0.2">
      <c r="A15" s="110">
        <v>14</v>
      </c>
      <c r="B15" s="184" t="s">
        <v>194</v>
      </c>
      <c r="C15" s="192">
        <v>0</v>
      </c>
      <c r="D15" s="192">
        <v>0.155</v>
      </c>
      <c r="E15" s="192">
        <v>0</v>
      </c>
      <c r="F15" s="192">
        <v>0</v>
      </c>
      <c r="G15" s="192">
        <v>0</v>
      </c>
      <c r="H15" s="192">
        <v>0</v>
      </c>
      <c r="I15" s="192">
        <v>0</v>
      </c>
      <c r="J15" s="192">
        <v>0</v>
      </c>
      <c r="K15" s="192">
        <v>0</v>
      </c>
      <c r="L15" s="192">
        <v>0</v>
      </c>
      <c r="M15" s="192">
        <v>0</v>
      </c>
      <c r="N15" s="192">
        <v>0</v>
      </c>
      <c r="O15" s="194">
        <v>1.0000000000000001E-5</v>
      </c>
      <c r="P15" s="192">
        <v>0</v>
      </c>
      <c r="Q15" s="192">
        <v>0</v>
      </c>
      <c r="R15" s="193">
        <v>0</v>
      </c>
      <c r="S15" s="193">
        <v>0</v>
      </c>
      <c r="T15" s="192">
        <v>0</v>
      </c>
      <c r="U15" s="192">
        <v>0</v>
      </c>
      <c r="V15" s="192">
        <v>0</v>
      </c>
      <c r="W15" s="192">
        <v>0</v>
      </c>
      <c r="X15" s="192">
        <v>0</v>
      </c>
      <c r="Y15" s="192">
        <v>0</v>
      </c>
      <c r="Z15" s="192">
        <v>0</v>
      </c>
      <c r="AA15" s="192">
        <v>0</v>
      </c>
      <c r="AB15" s="192">
        <v>0</v>
      </c>
      <c r="AC15" s="192">
        <v>0</v>
      </c>
      <c r="AD15" s="192">
        <v>0</v>
      </c>
      <c r="AE15" s="192">
        <v>0</v>
      </c>
      <c r="AF15" s="192">
        <v>0</v>
      </c>
      <c r="AG15" s="192">
        <v>9.9000000000000005E-2</v>
      </c>
      <c r="AH15" s="161">
        <f t="shared" si="0"/>
        <v>0.25401000000000001</v>
      </c>
    </row>
    <row r="16" spans="1:34" ht="15" customHeight="1" x14ac:dyDescent="0.2">
      <c r="A16" s="110">
        <v>15</v>
      </c>
      <c r="B16" s="184" t="s">
        <v>195</v>
      </c>
      <c r="C16" s="192">
        <v>1.0999999999999999E-2</v>
      </c>
      <c r="D16" s="192">
        <v>2.8000000000000001E-2</v>
      </c>
      <c r="E16" s="192">
        <v>0</v>
      </c>
      <c r="F16" s="192">
        <v>0</v>
      </c>
      <c r="G16" s="192">
        <v>0</v>
      </c>
      <c r="H16" s="192">
        <v>0</v>
      </c>
      <c r="I16" s="192">
        <v>0</v>
      </c>
      <c r="J16" s="192">
        <v>0</v>
      </c>
      <c r="K16" s="192">
        <v>0</v>
      </c>
      <c r="L16" s="192">
        <v>0</v>
      </c>
      <c r="M16" s="192">
        <v>2.0000000000000001E-4</v>
      </c>
      <c r="N16" s="192">
        <v>0</v>
      </c>
      <c r="O16" s="192">
        <v>0</v>
      </c>
      <c r="P16" s="192">
        <v>0</v>
      </c>
      <c r="Q16" s="192">
        <v>0</v>
      </c>
      <c r="R16" s="193">
        <v>0</v>
      </c>
      <c r="S16" s="193">
        <v>0</v>
      </c>
      <c r="T16" s="192">
        <v>0</v>
      </c>
      <c r="U16" s="192">
        <v>0</v>
      </c>
      <c r="V16" s="192">
        <v>0</v>
      </c>
      <c r="W16" s="192">
        <v>0</v>
      </c>
      <c r="X16" s="192">
        <v>0</v>
      </c>
      <c r="Y16" s="192">
        <v>0</v>
      </c>
      <c r="Z16" s="192">
        <v>0</v>
      </c>
      <c r="AA16" s="192">
        <v>0</v>
      </c>
      <c r="AB16" s="192">
        <v>0</v>
      </c>
      <c r="AC16" s="192">
        <v>0</v>
      </c>
      <c r="AD16" s="192">
        <v>0</v>
      </c>
      <c r="AE16" s="192">
        <v>0</v>
      </c>
      <c r="AF16" s="192">
        <v>0</v>
      </c>
      <c r="AG16" s="192">
        <v>0</v>
      </c>
      <c r="AH16" s="161">
        <f t="shared" si="0"/>
        <v>3.9199999999999999E-2</v>
      </c>
    </row>
    <row r="17" spans="1:34" ht="15" customHeight="1" x14ac:dyDescent="0.2">
      <c r="A17" s="110">
        <v>16</v>
      </c>
      <c r="B17" s="184" t="s">
        <v>196</v>
      </c>
      <c r="C17" s="192">
        <v>5.0000000000000001E-3</v>
      </c>
      <c r="D17" s="192">
        <v>0</v>
      </c>
      <c r="E17" s="192">
        <v>0</v>
      </c>
      <c r="F17" s="192">
        <v>0</v>
      </c>
      <c r="G17" s="192">
        <v>0</v>
      </c>
      <c r="H17" s="192">
        <v>0</v>
      </c>
      <c r="I17" s="192">
        <v>0</v>
      </c>
      <c r="J17" s="192">
        <v>0</v>
      </c>
      <c r="K17" s="192">
        <v>0</v>
      </c>
      <c r="L17" s="192">
        <v>0</v>
      </c>
      <c r="M17" s="192">
        <v>0</v>
      </c>
      <c r="N17" s="192">
        <v>0</v>
      </c>
      <c r="O17" s="192">
        <v>0</v>
      </c>
      <c r="P17" s="192">
        <v>0</v>
      </c>
      <c r="Q17" s="192">
        <v>0</v>
      </c>
      <c r="R17" s="193">
        <v>0</v>
      </c>
      <c r="S17" s="193">
        <v>0</v>
      </c>
      <c r="T17" s="192">
        <v>0</v>
      </c>
      <c r="U17" s="192">
        <v>0</v>
      </c>
      <c r="V17" s="192">
        <v>0</v>
      </c>
      <c r="W17" s="192">
        <v>0</v>
      </c>
      <c r="X17" s="192">
        <v>0</v>
      </c>
      <c r="Y17" s="192">
        <v>0</v>
      </c>
      <c r="Z17" s="192">
        <v>0</v>
      </c>
      <c r="AA17" s="192">
        <v>0</v>
      </c>
      <c r="AB17" s="192">
        <v>0</v>
      </c>
      <c r="AC17" s="192">
        <v>0</v>
      </c>
      <c r="AD17" s="192">
        <v>0</v>
      </c>
      <c r="AE17" s="192">
        <v>0</v>
      </c>
      <c r="AF17" s="192">
        <v>0</v>
      </c>
      <c r="AG17" s="192">
        <v>0</v>
      </c>
      <c r="AH17" s="161">
        <f t="shared" si="0"/>
        <v>5.0000000000000001E-3</v>
      </c>
    </row>
    <row r="18" spans="1:34" ht="15" customHeight="1" x14ac:dyDescent="0.2">
      <c r="A18" s="110">
        <v>17</v>
      </c>
      <c r="B18" s="184" t="s">
        <v>197</v>
      </c>
      <c r="C18" s="192">
        <v>0</v>
      </c>
      <c r="D18" s="192">
        <v>0</v>
      </c>
      <c r="E18" s="192">
        <v>0</v>
      </c>
      <c r="F18" s="192">
        <v>0</v>
      </c>
      <c r="G18" s="192">
        <v>0</v>
      </c>
      <c r="H18" s="192">
        <v>0</v>
      </c>
      <c r="I18" s="192">
        <v>0</v>
      </c>
      <c r="J18" s="192">
        <v>0</v>
      </c>
      <c r="K18" s="192">
        <v>0</v>
      </c>
      <c r="L18" s="192">
        <v>0</v>
      </c>
      <c r="M18" s="192">
        <v>0</v>
      </c>
      <c r="N18" s="192">
        <v>0</v>
      </c>
      <c r="O18" s="192">
        <v>0</v>
      </c>
      <c r="P18" s="192">
        <v>0</v>
      </c>
      <c r="Q18" s="192">
        <v>0</v>
      </c>
      <c r="R18" s="193">
        <v>0</v>
      </c>
      <c r="S18" s="193">
        <v>0</v>
      </c>
      <c r="T18" s="192">
        <v>0</v>
      </c>
      <c r="U18" s="192">
        <v>0</v>
      </c>
      <c r="V18" s="192">
        <v>0</v>
      </c>
      <c r="W18" s="192">
        <v>0</v>
      </c>
      <c r="X18" s="192">
        <v>0</v>
      </c>
      <c r="Y18" s="192">
        <v>0</v>
      </c>
      <c r="Z18" s="192">
        <v>0</v>
      </c>
      <c r="AA18" s="192">
        <v>0</v>
      </c>
      <c r="AB18" s="192">
        <v>0</v>
      </c>
      <c r="AC18" s="192">
        <v>0</v>
      </c>
      <c r="AD18" s="192">
        <v>0</v>
      </c>
      <c r="AE18" s="192">
        <v>0</v>
      </c>
      <c r="AF18" s="192">
        <v>0</v>
      </c>
      <c r="AG18" s="192">
        <v>0</v>
      </c>
      <c r="AH18" s="161">
        <f t="shared" si="0"/>
        <v>0</v>
      </c>
    </row>
    <row r="19" spans="1:34" ht="15" customHeight="1" x14ac:dyDescent="0.2">
      <c r="A19" s="110">
        <v>18</v>
      </c>
      <c r="B19" s="184" t="s">
        <v>198</v>
      </c>
      <c r="C19" s="192">
        <v>0</v>
      </c>
      <c r="D19" s="192">
        <v>3.6999999999999998E-2</v>
      </c>
      <c r="E19" s="192">
        <v>0</v>
      </c>
      <c r="F19" s="192">
        <v>0</v>
      </c>
      <c r="G19" s="192">
        <v>0</v>
      </c>
      <c r="H19" s="192">
        <v>0</v>
      </c>
      <c r="I19" s="192">
        <v>0</v>
      </c>
      <c r="J19" s="192">
        <v>0</v>
      </c>
      <c r="K19" s="192">
        <v>0</v>
      </c>
      <c r="L19" s="192">
        <v>0</v>
      </c>
      <c r="M19" s="192">
        <v>0</v>
      </c>
      <c r="N19" s="192">
        <v>0</v>
      </c>
      <c r="O19" s="194">
        <v>1.0000000000000001E-5</v>
      </c>
      <c r="P19" s="192">
        <v>0</v>
      </c>
      <c r="Q19" s="192">
        <v>0</v>
      </c>
      <c r="R19" s="193">
        <v>0</v>
      </c>
      <c r="S19" s="193">
        <v>0</v>
      </c>
      <c r="T19" s="192">
        <v>0</v>
      </c>
      <c r="U19" s="192">
        <v>0</v>
      </c>
      <c r="V19" s="192">
        <v>0</v>
      </c>
      <c r="W19" s="192">
        <v>0</v>
      </c>
      <c r="X19" s="192">
        <v>0</v>
      </c>
      <c r="Y19" s="192">
        <v>0</v>
      </c>
      <c r="Z19" s="192">
        <v>3.1E-2</v>
      </c>
      <c r="AA19" s="192">
        <v>0</v>
      </c>
      <c r="AB19" s="192">
        <v>0</v>
      </c>
      <c r="AC19" s="192">
        <v>0</v>
      </c>
      <c r="AD19" s="192">
        <v>0</v>
      </c>
      <c r="AE19" s="192">
        <v>0</v>
      </c>
      <c r="AF19" s="192">
        <v>0</v>
      </c>
      <c r="AG19" s="192">
        <v>5.9999999999999995E-4</v>
      </c>
      <c r="AH19" s="161">
        <f t="shared" si="0"/>
        <v>6.8610000000000004E-2</v>
      </c>
    </row>
    <row r="20" spans="1:34" ht="15" customHeight="1" x14ac:dyDescent="0.2">
      <c r="A20" s="110">
        <v>19</v>
      </c>
      <c r="B20" s="184" t="s">
        <v>199</v>
      </c>
      <c r="C20" s="192">
        <v>0</v>
      </c>
      <c r="D20" s="192">
        <v>0</v>
      </c>
      <c r="E20" s="192">
        <v>0</v>
      </c>
      <c r="F20" s="192">
        <v>0</v>
      </c>
      <c r="G20" s="192">
        <v>0</v>
      </c>
      <c r="H20" s="192">
        <v>0</v>
      </c>
      <c r="I20" s="192">
        <v>0</v>
      </c>
      <c r="J20" s="192">
        <v>0</v>
      </c>
      <c r="K20" s="192">
        <v>0</v>
      </c>
      <c r="L20" s="192">
        <v>0</v>
      </c>
      <c r="M20" s="192">
        <v>0</v>
      </c>
      <c r="N20" s="192">
        <v>0</v>
      </c>
      <c r="O20" s="192">
        <v>0</v>
      </c>
      <c r="P20" s="192">
        <v>0</v>
      </c>
      <c r="Q20" s="192">
        <v>0</v>
      </c>
      <c r="R20" s="193">
        <v>0</v>
      </c>
      <c r="S20" s="193">
        <v>0</v>
      </c>
      <c r="T20" s="192">
        <v>0</v>
      </c>
      <c r="U20" s="192">
        <v>0</v>
      </c>
      <c r="V20" s="192">
        <v>0</v>
      </c>
      <c r="W20" s="192">
        <v>0</v>
      </c>
      <c r="X20" s="192">
        <v>0</v>
      </c>
      <c r="Y20" s="192">
        <v>0</v>
      </c>
      <c r="Z20" s="192">
        <v>0</v>
      </c>
      <c r="AA20" s="192">
        <v>0.01</v>
      </c>
      <c r="AB20" s="192">
        <v>0</v>
      </c>
      <c r="AC20" s="192">
        <v>0</v>
      </c>
      <c r="AD20" s="192">
        <v>0</v>
      </c>
      <c r="AE20" s="192">
        <v>0</v>
      </c>
      <c r="AF20" s="192">
        <v>0</v>
      </c>
      <c r="AG20" s="192">
        <v>0</v>
      </c>
      <c r="AH20" s="161">
        <f t="shared" si="0"/>
        <v>0.01</v>
      </c>
    </row>
    <row r="21" spans="1:34" ht="15" customHeight="1" x14ac:dyDescent="0.2">
      <c r="A21" s="110">
        <v>20</v>
      </c>
      <c r="B21" s="184" t="s">
        <v>200</v>
      </c>
      <c r="C21" s="192">
        <v>0</v>
      </c>
      <c r="D21" s="192">
        <v>0</v>
      </c>
      <c r="E21" s="192">
        <v>0</v>
      </c>
      <c r="F21" s="192">
        <v>0</v>
      </c>
      <c r="G21" s="192">
        <v>0</v>
      </c>
      <c r="H21" s="192">
        <v>0</v>
      </c>
      <c r="I21" s="192">
        <v>0</v>
      </c>
      <c r="J21" s="192">
        <v>0</v>
      </c>
      <c r="K21" s="192">
        <v>0</v>
      </c>
      <c r="L21" s="192">
        <v>0</v>
      </c>
      <c r="M21" s="192">
        <v>0</v>
      </c>
      <c r="N21" s="192">
        <v>0</v>
      </c>
      <c r="O21" s="192">
        <v>0</v>
      </c>
      <c r="P21" s="192">
        <v>0</v>
      </c>
      <c r="Q21" s="192">
        <v>0</v>
      </c>
      <c r="R21" s="193">
        <v>0</v>
      </c>
      <c r="S21" s="193">
        <v>0</v>
      </c>
      <c r="T21" s="192">
        <v>0</v>
      </c>
      <c r="U21" s="192">
        <v>0</v>
      </c>
      <c r="V21" s="194">
        <v>5.3999999999999998E-5</v>
      </c>
      <c r="W21" s="192">
        <v>0</v>
      </c>
      <c r="X21" s="192">
        <v>0</v>
      </c>
      <c r="Y21" s="192">
        <v>0</v>
      </c>
      <c r="Z21" s="192">
        <v>0</v>
      </c>
      <c r="AA21" s="192">
        <v>0</v>
      </c>
      <c r="AB21" s="192">
        <v>0</v>
      </c>
      <c r="AC21" s="192">
        <v>2.4600000000000002E-4</v>
      </c>
      <c r="AD21" s="192">
        <v>0</v>
      </c>
      <c r="AE21" s="192">
        <v>0</v>
      </c>
      <c r="AF21" s="192">
        <v>0</v>
      </c>
      <c r="AG21" s="192">
        <v>0</v>
      </c>
      <c r="AH21" s="161">
        <f t="shared" si="0"/>
        <v>3.0000000000000003E-4</v>
      </c>
    </row>
    <row r="22" spans="1:34" ht="15" customHeight="1" x14ac:dyDescent="0.2">
      <c r="A22" s="110">
        <v>21</v>
      </c>
      <c r="B22" s="184" t="s">
        <v>201</v>
      </c>
      <c r="C22" s="192">
        <v>0</v>
      </c>
      <c r="D22" s="192">
        <v>2.5000000000000001E-4</v>
      </c>
      <c r="E22" s="192">
        <v>0</v>
      </c>
      <c r="F22" s="192">
        <v>0</v>
      </c>
      <c r="G22" s="192">
        <v>0</v>
      </c>
      <c r="H22" s="192">
        <v>0</v>
      </c>
      <c r="I22" s="192">
        <v>0</v>
      </c>
      <c r="J22" s="192">
        <v>0</v>
      </c>
      <c r="K22" s="192">
        <v>0</v>
      </c>
      <c r="L22" s="192">
        <v>0</v>
      </c>
      <c r="M22" s="192">
        <v>0</v>
      </c>
      <c r="N22" s="192">
        <v>0</v>
      </c>
      <c r="O22" s="192">
        <v>0</v>
      </c>
      <c r="P22" s="192">
        <v>0</v>
      </c>
      <c r="Q22" s="192">
        <v>0</v>
      </c>
      <c r="R22" s="193">
        <v>0</v>
      </c>
      <c r="S22" s="193">
        <v>0</v>
      </c>
      <c r="T22" s="192">
        <v>0</v>
      </c>
      <c r="U22" s="192">
        <v>0</v>
      </c>
      <c r="V22" s="192">
        <v>0</v>
      </c>
      <c r="W22" s="192">
        <v>4.2700000000000004E-3</v>
      </c>
      <c r="X22" s="192">
        <v>0</v>
      </c>
      <c r="Y22" s="192">
        <v>0</v>
      </c>
      <c r="Z22" s="192">
        <v>0</v>
      </c>
      <c r="AA22" s="192">
        <v>0</v>
      </c>
      <c r="AB22" s="192">
        <v>0</v>
      </c>
      <c r="AC22" s="192">
        <v>0</v>
      </c>
      <c r="AD22" s="192">
        <v>2.7299999999999998E-3</v>
      </c>
      <c r="AE22" s="192">
        <v>0</v>
      </c>
      <c r="AF22" s="192">
        <v>0</v>
      </c>
      <c r="AG22" s="192">
        <v>0</v>
      </c>
      <c r="AH22" s="161">
        <f t="shared" si="0"/>
        <v>7.2500000000000004E-3</v>
      </c>
    </row>
    <row r="23" spans="1:34" ht="15" customHeight="1" x14ac:dyDescent="0.2">
      <c r="A23" s="110">
        <v>22</v>
      </c>
      <c r="B23" s="184" t="s">
        <v>202</v>
      </c>
      <c r="C23" s="192">
        <v>0</v>
      </c>
      <c r="D23" s="192">
        <v>5.0000000000000001E-4</v>
      </c>
      <c r="E23" s="192">
        <v>0</v>
      </c>
      <c r="F23" s="192">
        <v>0</v>
      </c>
      <c r="G23" s="192">
        <v>0</v>
      </c>
      <c r="H23" s="192">
        <v>0</v>
      </c>
      <c r="I23" s="192">
        <v>0</v>
      </c>
      <c r="J23" s="192">
        <v>0</v>
      </c>
      <c r="K23" s="192">
        <v>0</v>
      </c>
      <c r="L23" s="192">
        <v>0</v>
      </c>
      <c r="M23" s="192">
        <v>0</v>
      </c>
      <c r="N23" s="192">
        <v>0</v>
      </c>
      <c r="O23" s="192">
        <v>0</v>
      </c>
      <c r="P23" s="192">
        <v>0</v>
      </c>
      <c r="Q23" s="192">
        <v>0</v>
      </c>
      <c r="R23" s="193">
        <v>0</v>
      </c>
      <c r="S23" s="193">
        <v>0</v>
      </c>
      <c r="T23" s="192">
        <v>0</v>
      </c>
      <c r="U23" s="192">
        <v>0</v>
      </c>
      <c r="V23" s="192">
        <v>0</v>
      </c>
      <c r="W23" s="192">
        <v>0</v>
      </c>
      <c r="X23" s="192">
        <v>1.7600000000000001E-3</v>
      </c>
      <c r="Y23" s="192">
        <v>0</v>
      </c>
      <c r="Z23" s="192">
        <v>0</v>
      </c>
      <c r="AA23" s="192">
        <v>0</v>
      </c>
      <c r="AB23" s="192">
        <v>0</v>
      </c>
      <c r="AC23" s="192">
        <v>0</v>
      </c>
      <c r="AD23" s="192">
        <v>0</v>
      </c>
      <c r="AE23" s="192">
        <v>2.2399999999999998E-3</v>
      </c>
      <c r="AF23" s="192">
        <v>0</v>
      </c>
      <c r="AG23" s="192">
        <v>0</v>
      </c>
      <c r="AH23" s="161">
        <f t="shared" si="0"/>
        <v>4.4999999999999997E-3</v>
      </c>
    </row>
    <row r="24" spans="1:34" ht="15" customHeight="1" x14ac:dyDescent="0.2">
      <c r="A24" s="110">
        <v>23</v>
      </c>
      <c r="B24" s="184" t="s">
        <v>203</v>
      </c>
      <c r="C24" s="192">
        <v>0</v>
      </c>
      <c r="D24" s="192">
        <v>0</v>
      </c>
      <c r="E24" s="192">
        <v>0</v>
      </c>
      <c r="F24" s="192">
        <v>0</v>
      </c>
      <c r="G24" s="192">
        <v>0</v>
      </c>
      <c r="H24" s="192">
        <v>0</v>
      </c>
      <c r="I24" s="192">
        <v>0</v>
      </c>
      <c r="J24" s="192">
        <v>0</v>
      </c>
      <c r="K24" s="192">
        <v>0</v>
      </c>
      <c r="L24" s="192">
        <v>0</v>
      </c>
      <c r="M24" s="192">
        <v>0</v>
      </c>
      <c r="N24" s="192">
        <v>0</v>
      </c>
      <c r="O24" s="192">
        <v>0</v>
      </c>
      <c r="P24" s="192">
        <v>0</v>
      </c>
      <c r="Q24" s="192">
        <v>0</v>
      </c>
      <c r="R24" s="193">
        <v>0</v>
      </c>
      <c r="S24" s="193">
        <v>0</v>
      </c>
      <c r="T24" s="192">
        <v>0</v>
      </c>
      <c r="U24" s="192">
        <v>0</v>
      </c>
      <c r="V24" s="192">
        <v>0</v>
      </c>
      <c r="W24" s="192">
        <v>0</v>
      </c>
      <c r="X24" s="192">
        <v>0</v>
      </c>
      <c r="Y24" s="192">
        <v>0</v>
      </c>
      <c r="Z24" s="192">
        <v>0</v>
      </c>
      <c r="AA24" s="192">
        <v>0</v>
      </c>
      <c r="AB24" s="192">
        <v>2E-3</v>
      </c>
      <c r="AC24" s="192">
        <v>0</v>
      </c>
      <c r="AD24" s="192">
        <v>0</v>
      </c>
      <c r="AE24" s="192">
        <v>0</v>
      </c>
      <c r="AF24" s="192">
        <v>0</v>
      </c>
      <c r="AG24" s="192">
        <v>0</v>
      </c>
      <c r="AH24" s="161">
        <f t="shared" si="0"/>
        <v>2E-3</v>
      </c>
    </row>
    <row r="25" spans="1:34" ht="15" customHeight="1" x14ac:dyDescent="0.2">
      <c r="A25" s="110">
        <v>24</v>
      </c>
      <c r="B25" s="184" t="s">
        <v>204</v>
      </c>
      <c r="C25" s="192">
        <v>0</v>
      </c>
      <c r="D25" s="192">
        <v>2.5000000000000001E-4</v>
      </c>
      <c r="E25" s="192">
        <v>0</v>
      </c>
      <c r="F25" s="192">
        <v>0</v>
      </c>
      <c r="G25" s="192">
        <v>0</v>
      </c>
      <c r="H25" s="192">
        <v>0</v>
      </c>
      <c r="I25" s="192">
        <v>0</v>
      </c>
      <c r="J25" s="192">
        <v>0</v>
      </c>
      <c r="K25" s="192">
        <v>0</v>
      </c>
      <c r="L25" s="192">
        <v>0</v>
      </c>
      <c r="M25" s="192">
        <v>6.9999999999999999E-4</v>
      </c>
      <c r="N25" s="192">
        <v>0</v>
      </c>
      <c r="O25" s="192">
        <v>0</v>
      </c>
      <c r="P25" s="192">
        <v>0</v>
      </c>
      <c r="Q25" s="192">
        <v>0</v>
      </c>
      <c r="R25" s="193">
        <v>0</v>
      </c>
      <c r="S25" s="193">
        <v>0</v>
      </c>
      <c r="T25" s="192">
        <v>0</v>
      </c>
      <c r="U25" s="192">
        <v>0</v>
      </c>
      <c r="V25" s="192">
        <v>0</v>
      </c>
      <c r="W25" s="192">
        <v>0</v>
      </c>
      <c r="X25" s="192">
        <v>0</v>
      </c>
      <c r="Y25" s="192">
        <v>0</v>
      </c>
      <c r="Z25" s="192">
        <v>0</v>
      </c>
      <c r="AA25" s="192">
        <v>0</v>
      </c>
      <c r="AB25" s="192">
        <v>0</v>
      </c>
      <c r="AC25" s="192">
        <v>0</v>
      </c>
      <c r="AD25" s="192">
        <v>0</v>
      </c>
      <c r="AE25" s="192">
        <v>0</v>
      </c>
      <c r="AF25" s="192">
        <v>0</v>
      </c>
      <c r="AG25" s="192">
        <v>0</v>
      </c>
      <c r="AH25" s="161">
        <f t="shared" si="0"/>
        <v>9.5E-4</v>
      </c>
    </row>
    <row r="26" spans="1:34" ht="15" customHeight="1" x14ac:dyDescent="0.2">
      <c r="A26" s="110">
        <v>25</v>
      </c>
      <c r="B26" s="184" t="s">
        <v>205</v>
      </c>
      <c r="C26" s="192">
        <v>0</v>
      </c>
      <c r="D26" s="192">
        <v>0</v>
      </c>
      <c r="E26" s="192">
        <v>0</v>
      </c>
      <c r="F26" s="192">
        <v>0</v>
      </c>
      <c r="G26" s="192">
        <v>0</v>
      </c>
      <c r="H26" s="192">
        <v>0</v>
      </c>
      <c r="I26" s="192">
        <v>0</v>
      </c>
      <c r="J26" s="192">
        <v>0</v>
      </c>
      <c r="K26" s="192">
        <v>0</v>
      </c>
      <c r="L26" s="192">
        <v>0</v>
      </c>
      <c r="M26" s="192">
        <v>0</v>
      </c>
      <c r="N26" s="192">
        <v>0</v>
      </c>
      <c r="O26" s="192">
        <v>0</v>
      </c>
      <c r="P26" s="192">
        <v>0</v>
      </c>
      <c r="Q26" s="192">
        <v>0</v>
      </c>
      <c r="R26" s="193">
        <v>0</v>
      </c>
      <c r="S26" s="193">
        <v>0</v>
      </c>
      <c r="T26" s="192">
        <v>0</v>
      </c>
      <c r="U26" s="192">
        <v>7.0000000000000001E-3</v>
      </c>
      <c r="V26" s="192">
        <v>0</v>
      </c>
      <c r="W26" s="192">
        <v>0</v>
      </c>
      <c r="X26" s="192">
        <v>0</v>
      </c>
      <c r="Y26" s="192">
        <v>0</v>
      </c>
      <c r="Z26" s="192">
        <v>0</v>
      </c>
      <c r="AA26" s="192">
        <v>0</v>
      </c>
      <c r="AB26" s="192">
        <v>0</v>
      </c>
      <c r="AC26" s="192">
        <v>0</v>
      </c>
      <c r="AD26" s="192">
        <v>0</v>
      </c>
      <c r="AE26" s="192">
        <v>0</v>
      </c>
      <c r="AF26" s="192">
        <v>0</v>
      </c>
      <c r="AG26" s="192">
        <v>0</v>
      </c>
      <c r="AH26" s="161">
        <f t="shared" si="0"/>
        <v>7.0000000000000001E-3</v>
      </c>
    </row>
    <row r="27" spans="1:34" ht="15" customHeight="1" x14ac:dyDescent="0.2">
      <c r="A27" s="110">
        <v>26</v>
      </c>
      <c r="B27" s="184" t="s">
        <v>206</v>
      </c>
      <c r="C27" s="192">
        <v>0</v>
      </c>
      <c r="D27" s="192">
        <v>2.3E-2</v>
      </c>
      <c r="E27" s="192">
        <v>0</v>
      </c>
      <c r="F27" s="192">
        <v>0</v>
      </c>
      <c r="G27" s="192">
        <v>0</v>
      </c>
      <c r="H27" s="192">
        <v>0</v>
      </c>
      <c r="I27" s="192">
        <v>0</v>
      </c>
      <c r="J27" s="192">
        <v>0</v>
      </c>
      <c r="K27" s="192">
        <v>0</v>
      </c>
      <c r="L27" s="192">
        <v>0</v>
      </c>
      <c r="M27" s="192">
        <v>0</v>
      </c>
      <c r="N27" s="194">
        <v>1.0000000000000001E-5</v>
      </c>
      <c r="O27" s="192">
        <v>0</v>
      </c>
      <c r="P27" s="192">
        <v>0</v>
      </c>
      <c r="Q27" s="192">
        <v>0</v>
      </c>
      <c r="R27" s="193">
        <v>0</v>
      </c>
      <c r="S27" s="193">
        <v>0</v>
      </c>
      <c r="T27" s="192">
        <v>0</v>
      </c>
      <c r="U27" s="192">
        <v>0</v>
      </c>
      <c r="V27" s="192">
        <v>0</v>
      </c>
      <c r="W27" s="192">
        <v>0</v>
      </c>
      <c r="X27" s="192">
        <v>0</v>
      </c>
      <c r="Y27" s="192">
        <v>0</v>
      </c>
      <c r="Z27" s="192">
        <v>0</v>
      </c>
      <c r="AA27" s="192">
        <v>0</v>
      </c>
      <c r="AB27" s="192">
        <v>0</v>
      </c>
      <c r="AC27" s="192">
        <v>0</v>
      </c>
      <c r="AD27" s="192">
        <v>0</v>
      </c>
      <c r="AE27" s="192">
        <v>0</v>
      </c>
      <c r="AF27" s="192">
        <v>0</v>
      </c>
      <c r="AG27" s="192">
        <v>0</v>
      </c>
      <c r="AH27" s="161">
        <f t="shared" si="0"/>
        <v>2.3009999999999999E-2</v>
      </c>
    </row>
    <row r="28" spans="1:34" ht="15" customHeight="1" x14ac:dyDescent="0.2">
      <c r="A28" s="110">
        <v>27</v>
      </c>
      <c r="B28" s="184" t="s">
        <v>207</v>
      </c>
      <c r="C28" s="192">
        <v>0</v>
      </c>
      <c r="D28" s="192">
        <v>1E-4</v>
      </c>
      <c r="E28" s="192">
        <v>0</v>
      </c>
      <c r="F28" s="192">
        <v>0</v>
      </c>
      <c r="G28" s="192">
        <v>0</v>
      </c>
      <c r="H28" s="192">
        <v>0</v>
      </c>
      <c r="I28" s="192">
        <v>0</v>
      </c>
      <c r="J28" s="192">
        <v>0</v>
      </c>
      <c r="K28" s="192">
        <v>0</v>
      </c>
      <c r="L28" s="192">
        <v>0</v>
      </c>
      <c r="M28" s="192">
        <v>0</v>
      </c>
      <c r="N28" s="192">
        <v>0</v>
      </c>
      <c r="O28" s="192">
        <v>0</v>
      </c>
      <c r="P28" s="192">
        <v>0</v>
      </c>
      <c r="Q28" s="192">
        <v>0</v>
      </c>
      <c r="R28" s="193">
        <v>0</v>
      </c>
      <c r="S28" s="193">
        <v>0</v>
      </c>
      <c r="T28" s="192">
        <v>0</v>
      </c>
      <c r="U28" s="192">
        <v>0</v>
      </c>
      <c r="V28" s="192">
        <v>0</v>
      </c>
      <c r="W28" s="192">
        <v>0</v>
      </c>
      <c r="X28" s="192">
        <v>0</v>
      </c>
      <c r="Y28" s="192">
        <v>0</v>
      </c>
      <c r="Z28" s="192">
        <v>0</v>
      </c>
      <c r="AA28" s="192">
        <v>0</v>
      </c>
      <c r="AB28" s="192">
        <v>0</v>
      </c>
      <c r="AC28" s="192">
        <v>0</v>
      </c>
      <c r="AD28" s="192">
        <v>0</v>
      </c>
      <c r="AE28" s="192">
        <v>0</v>
      </c>
      <c r="AF28" s="192">
        <v>0</v>
      </c>
      <c r="AG28" s="192">
        <v>0</v>
      </c>
      <c r="AH28" s="161">
        <f t="shared" si="0"/>
        <v>1E-4</v>
      </c>
    </row>
    <row r="29" spans="1:34" ht="15" customHeight="1" x14ac:dyDescent="0.2">
      <c r="A29" s="110">
        <v>28</v>
      </c>
      <c r="B29" s="184" t="s">
        <v>257</v>
      </c>
      <c r="C29" s="192">
        <v>0</v>
      </c>
      <c r="D29" s="192">
        <v>0</v>
      </c>
      <c r="E29" s="192">
        <v>0</v>
      </c>
      <c r="F29" s="192">
        <v>0</v>
      </c>
      <c r="G29" s="192">
        <v>0</v>
      </c>
      <c r="H29" s="192">
        <v>0</v>
      </c>
      <c r="I29" s="192">
        <v>1E-3</v>
      </c>
      <c r="J29" s="192">
        <v>0</v>
      </c>
      <c r="K29" s="192">
        <v>0</v>
      </c>
      <c r="L29" s="192">
        <v>0</v>
      </c>
      <c r="M29" s="192">
        <v>0</v>
      </c>
      <c r="N29" s="192">
        <v>0</v>
      </c>
      <c r="O29" s="192">
        <v>0</v>
      </c>
      <c r="P29" s="192">
        <v>0</v>
      </c>
      <c r="Q29" s="192">
        <v>0</v>
      </c>
      <c r="R29" s="193">
        <v>0</v>
      </c>
      <c r="S29" s="193">
        <v>0</v>
      </c>
      <c r="T29" s="192">
        <v>0</v>
      </c>
      <c r="U29" s="192">
        <v>0</v>
      </c>
      <c r="V29" s="192">
        <v>0</v>
      </c>
      <c r="W29" s="192">
        <v>0</v>
      </c>
      <c r="X29" s="192">
        <v>0</v>
      </c>
      <c r="Y29" s="192">
        <v>0</v>
      </c>
      <c r="Z29" s="192">
        <v>0</v>
      </c>
      <c r="AA29" s="192">
        <v>0</v>
      </c>
      <c r="AB29" s="192">
        <v>0</v>
      </c>
      <c r="AC29" s="192">
        <v>0</v>
      </c>
      <c r="AD29" s="192">
        <v>0</v>
      </c>
      <c r="AE29" s="192">
        <v>0</v>
      </c>
      <c r="AF29" s="192">
        <v>0</v>
      </c>
      <c r="AG29" s="192">
        <v>0</v>
      </c>
      <c r="AH29" s="161">
        <f t="shared" si="0"/>
        <v>1E-3</v>
      </c>
    </row>
    <row r="30" spans="1:34" ht="15" customHeight="1" x14ac:dyDescent="0.2">
      <c r="A30" s="110">
        <v>29</v>
      </c>
      <c r="B30" s="184" t="s">
        <v>258</v>
      </c>
      <c r="C30" s="192">
        <v>0</v>
      </c>
      <c r="D30" s="192">
        <v>0</v>
      </c>
      <c r="E30" s="192">
        <v>0</v>
      </c>
      <c r="F30" s="192">
        <v>0</v>
      </c>
      <c r="G30" s="192">
        <v>0.09</v>
      </c>
      <c r="H30" s="192">
        <v>1.2E-2</v>
      </c>
      <c r="I30" s="192">
        <v>0.02</v>
      </c>
      <c r="J30" s="194">
        <v>1.0000000000000001E-5</v>
      </c>
      <c r="K30" s="194">
        <v>1.0000000000000001E-5</v>
      </c>
      <c r="L30" s="192">
        <v>0</v>
      </c>
      <c r="M30" s="192">
        <v>0</v>
      </c>
      <c r="N30" s="192">
        <v>0</v>
      </c>
      <c r="O30" s="192">
        <v>0</v>
      </c>
      <c r="P30" s="192">
        <v>0</v>
      </c>
      <c r="Q30" s="192">
        <v>0</v>
      </c>
      <c r="R30" s="193">
        <v>0</v>
      </c>
      <c r="S30" s="193">
        <v>0</v>
      </c>
      <c r="T30" s="192">
        <v>0</v>
      </c>
      <c r="U30" s="192">
        <v>0</v>
      </c>
      <c r="V30" s="192">
        <v>0</v>
      </c>
      <c r="W30" s="192">
        <v>0</v>
      </c>
      <c r="X30" s="192">
        <v>0</v>
      </c>
      <c r="Y30" s="192">
        <v>0</v>
      </c>
      <c r="Z30" s="192">
        <v>0</v>
      </c>
      <c r="AA30" s="192">
        <v>0</v>
      </c>
      <c r="AB30" s="192">
        <v>0</v>
      </c>
      <c r="AC30" s="192">
        <v>0</v>
      </c>
      <c r="AD30" s="192">
        <v>0</v>
      </c>
      <c r="AE30" s="192">
        <v>0</v>
      </c>
      <c r="AF30" s="192">
        <v>0</v>
      </c>
      <c r="AG30" s="192">
        <v>0</v>
      </c>
      <c r="AH30" s="161">
        <f t="shared" si="0"/>
        <v>0.12201999999999999</v>
      </c>
    </row>
    <row r="31" spans="1:34" ht="15" customHeight="1" x14ac:dyDescent="0.2">
      <c r="A31" s="110">
        <v>30</v>
      </c>
      <c r="B31" s="184" t="s">
        <v>259</v>
      </c>
      <c r="C31" s="192">
        <v>0</v>
      </c>
      <c r="D31" s="192">
        <v>0</v>
      </c>
      <c r="E31" s="192">
        <v>0.1</v>
      </c>
      <c r="F31" s="192">
        <v>2E-3</v>
      </c>
      <c r="G31" s="192">
        <v>0</v>
      </c>
      <c r="H31" s="192">
        <v>0</v>
      </c>
      <c r="I31" s="192">
        <v>0</v>
      </c>
      <c r="J31" s="192">
        <v>0</v>
      </c>
      <c r="K31" s="192">
        <v>0</v>
      </c>
      <c r="L31" s="192">
        <v>0</v>
      </c>
      <c r="M31" s="192">
        <v>0</v>
      </c>
      <c r="N31" s="192">
        <v>0</v>
      </c>
      <c r="O31" s="192">
        <v>0</v>
      </c>
      <c r="P31" s="192">
        <v>0</v>
      </c>
      <c r="Q31" s="192">
        <v>0</v>
      </c>
      <c r="R31" s="193">
        <v>0</v>
      </c>
      <c r="S31" s="193">
        <v>0</v>
      </c>
      <c r="T31" s="192">
        <v>0</v>
      </c>
      <c r="U31" s="192">
        <v>0</v>
      </c>
      <c r="V31" s="192">
        <v>0</v>
      </c>
      <c r="W31" s="192">
        <v>0</v>
      </c>
      <c r="X31" s="192">
        <v>0</v>
      </c>
      <c r="Y31" s="192">
        <v>0</v>
      </c>
      <c r="Z31" s="192">
        <v>0</v>
      </c>
      <c r="AA31" s="192">
        <v>0</v>
      </c>
      <c r="AB31" s="192">
        <v>0</v>
      </c>
      <c r="AC31" s="192">
        <v>0</v>
      </c>
      <c r="AD31" s="192">
        <v>0</v>
      </c>
      <c r="AE31" s="192">
        <v>0</v>
      </c>
      <c r="AF31" s="192">
        <v>0</v>
      </c>
      <c r="AG31" s="192">
        <v>0</v>
      </c>
      <c r="AH31" s="161">
        <f t="shared" si="0"/>
        <v>0.10200000000000001</v>
      </c>
    </row>
    <row r="32" spans="1:34" ht="15" customHeight="1" x14ac:dyDescent="0.2">
      <c r="A32" s="110">
        <v>31</v>
      </c>
      <c r="B32" s="184" t="s">
        <v>260</v>
      </c>
      <c r="C32" s="192">
        <v>0</v>
      </c>
      <c r="D32" s="192">
        <v>0</v>
      </c>
      <c r="E32" s="192">
        <v>0.39</v>
      </c>
      <c r="F32" s="192">
        <v>0.02</v>
      </c>
      <c r="G32" s="192">
        <v>0</v>
      </c>
      <c r="H32" s="192">
        <v>0</v>
      </c>
      <c r="I32" s="192">
        <v>0</v>
      </c>
      <c r="J32" s="194">
        <v>1.0000000000000001E-5</v>
      </c>
      <c r="K32" s="192">
        <v>0</v>
      </c>
      <c r="L32" s="192">
        <v>0</v>
      </c>
      <c r="M32" s="192">
        <v>0</v>
      </c>
      <c r="N32" s="192">
        <v>0</v>
      </c>
      <c r="O32" s="192">
        <v>0</v>
      </c>
      <c r="P32" s="192">
        <v>0</v>
      </c>
      <c r="Q32" s="192">
        <v>0</v>
      </c>
      <c r="R32" s="193">
        <v>0</v>
      </c>
      <c r="S32" s="193">
        <v>0</v>
      </c>
      <c r="T32" s="192">
        <v>0</v>
      </c>
      <c r="U32" s="192">
        <v>0</v>
      </c>
      <c r="V32" s="192">
        <v>0</v>
      </c>
      <c r="W32" s="192">
        <v>0</v>
      </c>
      <c r="X32" s="192">
        <v>0</v>
      </c>
      <c r="Y32" s="192">
        <v>0</v>
      </c>
      <c r="Z32" s="192">
        <v>0</v>
      </c>
      <c r="AA32" s="192">
        <v>0</v>
      </c>
      <c r="AB32" s="192">
        <v>0</v>
      </c>
      <c r="AC32" s="192">
        <v>0</v>
      </c>
      <c r="AD32" s="192">
        <v>0</v>
      </c>
      <c r="AE32" s="192">
        <v>0</v>
      </c>
      <c r="AF32" s="192">
        <v>0</v>
      </c>
      <c r="AG32" s="192">
        <v>0</v>
      </c>
      <c r="AH32" s="161">
        <f t="shared" si="0"/>
        <v>0.41001000000000004</v>
      </c>
    </row>
    <row r="33" spans="1:34" ht="15" customHeight="1" x14ac:dyDescent="0.2">
      <c r="A33" s="110">
        <v>32</v>
      </c>
      <c r="B33" s="184" t="s">
        <v>208</v>
      </c>
      <c r="C33" s="192">
        <v>0</v>
      </c>
      <c r="D33" s="192">
        <v>2.1999999999999999E-2</v>
      </c>
      <c r="E33" s="192">
        <v>0</v>
      </c>
      <c r="F33" s="192">
        <v>0</v>
      </c>
      <c r="G33" s="192">
        <v>0</v>
      </c>
      <c r="H33" s="192">
        <v>0</v>
      </c>
      <c r="I33" s="192">
        <v>0</v>
      </c>
      <c r="J33" s="192">
        <v>0</v>
      </c>
      <c r="K33" s="192">
        <v>0</v>
      </c>
      <c r="L33" s="192">
        <v>0</v>
      </c>
      <c r="M33" s="192">
        <v>0</v>
      </c>
      <c r="N33" s="192">
        <v>0</v>
      </c>
      <c r="O33" s="192">
        <v>1E-4</v>
      </c>
      <c r="P33" s="192">
        <v>0</v>
      </c>
      <c r="Q33" s="192">
        <v>0</v>
      </c>
      <c r="R33" s="193">
        <v>0</v>
      </c>
      <c r="S33" s="193">
        <v>0</v>
      </c>
      <c r="T33" s="192">
        <v>0</v>
      </c>
      <c r="U33" s="192">
        <v>0</v>
      </c>
      <c r="V33" s="192">
        <v>0</v>
      </c>
      <c r="W33" s="192">
        <v>0</v>
      </c>
      <c r="X33" s="192">
        <v>0</v>
      </c>
      <c r="Y33" s="192">
        <v>0</v>
      </c>
      <c r="Z33" s="192">
        <v>0</v>
      </c>
      <c r="AA33" s="192">
        <v>0</v>
      </c>
      <c r="AB33" s="192">
        <v>0</v>
      </c>
      <c r="AC33" s="192">
        <v>0</v>
      </c>
      <c r="AD33" s="192">
        <v>0</v>
      </c>
      <c r="AE33" s="192">
        <v>0</v>
      </c>
      <c r="AF33" s="192">
        <v>0</v>
      </c>
      <c r="AG33" s="192">
        <v>0</v>
      </c>
      <c r="AH33" s="161">
        <f t="shared" si="0"/>
        <v>2.2099999999999998E-2</v>
      </c>
    </row>
    <row r="34" spans="1:34" ht="15" customHeight="1" x14ac:dyDescent="0.2">
      <c r="A34" s="110">
        <v>33</v>
      </c>
      <c r="B34" s="184" t="s">
        <v>209</v>
      </c>
      <c r="C34" s="192">
        <v>0</v>
      </c>
      <c r="D34" s="192">
        <v>0.08</v>
      </c>
      <c r="E34" s="192">
        <v>0</v>
      </c>
      <c r="F34" s="192">
        <v>0</v>
      </c>
      <c r="G34" s="192">
        <v>0</v>
      </c>
      <c r="H34" s="192">
        <v>0</v>
      </c>
      <c r="I34" s="192">
        <v>0</v>
      </c>
      <c r="J34" s="192">
        <v>1.2999999999999999E-2</v>
      </c>
      <c r="K34" s="192">
        <v>0</v>
      </c>
      <c r="L34" s="192">
        <v>0</v>
      </c>
      <c r="M34" s="192">
        <v>0</v>
      </c>
      <c r="N34" s="192">
        <v>0</v>
      </c>
      <c r="O34" s="192">
        <v>2.0000000000000001E-4</v>
      </c>
      <c r="P34" s="192">
        <v>0</v>
      </c>
      <c r="Q34" s="192">
        <v>0</v>
      </c>
      <c r="R34" s="193">
        <v>0</v>
      </c>
      <c r="S34" s="193">
        <v>0</v>
      </c>
      <c r="T34" s="192">
        <v>0</v>
      </c>
      <c r="U34" s="192">
        <v>0</v>
      </c>
      <c r="V34" s="192">
        <v>0</v>
      </c>
      <c r="W34" s="192">
        <v>0</v>
      </c>
      <c r="X34" s="192">
        <v>0</v>
      </c>
      <c r="Y34" s="192">
        <v>0</v>
      </c>
      <c r="Z34" s="192">
        <v>0</v>
      </c>
      <c r="AA34" s="192">
        <v>0</v>
      </c>
      <c r="AB34" s="192">
        <v>0</v>
      </c>
      <c r="AC34" s="192">
        <v>0</v>
      </c>
      <c r="AD34" s="192">
        <v>0</v>
      </c>
      <c r="AE34" s="192">
        <v>0</v>
      </c>
      <c r="AF34" s="192">
        <v>0</v>
      </c>
      <c r="AG34" s="192">
        <v>0</v>
      </c>
      <c r="AH34" s="161">
        <f t="shared" si="0"/>
        <v>9.3200000000000005E-2</v>
      </c>
    </row>
    <row r="35" spans="1:34" ht="15" customHeight="1" x14ac:dyDescent="0.2">
      <c r="A35" s="110">
        <v>34</v>
      </c>
      <c r="B35" s="184" t="s">
        <v>210</v>
      </c>
      <c r="C35" s="192">
        <v>0</v>
      </c>
      <c r="D35" s="192">
        <v>0</v>
      </c>
      <c r="E35" s="192">
        <v>0</v>
      </c>
      <c r="F35" s="192">
        <v>0</v>
      </c>
      <c r="G35" s="192">
        <v>0</v>
      </c>
      <c r="H35" s="192">
        <v>0</v>
      </c>
      <c r="I35" s="192">
        <v>0</v>
      </c>
      <c r="J35" s="192">
        <v>0</v>
      </c>
      <c r="K35" s="192">
        <v>0</v>
      </c>
      <c r="L35" s="248">
        <v>3.9500000000000004E-3</v>
      </c>
      <c r="M35" s="192">
        <v>0</v>
      </c>
      <c r="N35" s="192">
        <v>0</v>
      </c>
      <c r="O35" s="192">
        <v>0</v>
      </c>
      <c r="P35" s="192">
        <v>0</v>
      </c>
      <c r="Q35" s="192">
        <v>0</v>
      </c>
      <c r="R35" s="193">
        <v>0</v>
      </c>
      <c r="S35" s="193">
        <v>0</v>
      </c>
      <c r="T35" s="192">
        <v>0</v>
      </c>
      <c r="U35" s="192">
        <v>0</v>
      </c>
      <c r="V35" s="192">
        <v>0</v>
      </c>
      <c r="W35" s="192">
        <v>0</v>
      </c>
      <c r="X35" s="192">
        <v>0</v>
      </c>
      <c r="Y35" s="192">
        <v>0</v>
      </c>
      <c r="Z35" s="192">
        <v>0</v>
      </c>
      <c r="AA35" s="192">
        <v>0</v>
      </c>
      <c r="AB35" s="192">
        <v>0</v>
      </c>
      <c r="AC35" s="192">
        <v>0</v>
      </c>
      <c r="AD35" s="192">
        <v>0</v>
      </c>
      <c r="AE35" s="192">
        <v>0</v>
      </c>
      <c r="AF35" s="192">
        <v>0</v>
      </c>
      <c r="AG35" s="192">
        <v>0</v>
      </c>
      <c r="AH35" s="161">
        <f t="shared" si="0"/>
        <v>3.9500000000000004E-3</v>
      </c>
    </row>
    <row r="36" spans="1:34" ht="15" customHeight="1" x14ac:dyDescent="0.2">
      <c r="A36" s="110">
        <v>35</v>
      </c>
      <c r="B36" s="184" t="s">
        <v>211</v>
      </c>
      <c r="C36" s="192">
        <v>0</v>
      </c>
      <c r="D36" s="192">
        <v>0</v>
      </c>
      <c r="E36" s="192">
        <v>0</v>
      </c>
      <c r="F36" s="192">
        <v>0</v>
      </c>
      <c r="G36" s="192">
        <v>0</v>
      </c>
      <c r="H36" s="192">
        <v>0</v>
      </c>
      <c r="I36" s="192">
        <v>0</v>
      </c>
      <c r="J36" s="192">
        <v>0</v>
      </c>
      <c r="K36" s="192">
        <v>0</v>
      </c>
      <c r="L36" s="192">
        <v>0</v>
      </c>
      <c r="M36" s="192">
        <v>0</v>
      </c>
      <c r="N36" s="192">
        <v>0</v>
      </c>
      <c r="O36" s="192">
        <v>0</v>
      </c>
      <c r="P36" s="192">
        <v>0</v>
      </c>
      <c r="Q36" s="192">
        <v>0</v>
      </c>
      <c r="R36" s="193">
        <v>0</v>
      </c>
      <c r="S36" s="193">
        <v>0</v>
      </c>
      <c r="T36" s="192">
        <v>0</v>
      </c>
      <c r="U36" s="192">
        <v>0</v>
      </c>
      <c r="V36" s="192">
        <v>0</v>
      </c>
      <c r="W36" s="192">
        <v>0</v>
      </c>
      <c r="X36" s="192">
        <v>0</v>
      </c>
      <c r="Y36" s="192">
        <v>1.4E-3</v>
      </c>
      <c r="Z36" s="192">
        <v>0</v>
      </c>
      <c r="AA36" s="192">
        <v>0</v>
      </c>
      <c r="AB36" s="192">
        <v>0</v>
      </c>
      <c r="AC36" s="192">
        <v>0</v>
      </c>
      <c r="AD36" s="192">
        <v>0</v>
      </c>
      <c r="AE36" s="192">
        <v>0</v>
      </c>
      <c r="AF36" s="192">
        <v>5.9999999999999995E-4</v>
      </c>
      <c r="AG36" s="192">
        <v>0</v>
      </c>
      <c r="AH36" s="161">
        <f t="shared" si="0"/>
        <v>2E-3</v>
      </c>
    </row>
    <row r="37" spans="1:34" ht="15" customHeight="1" x14ac:dyDescent="0.2">
      <c r="A37" s="110">
        <v>36</v>
      </c>
      <c r="B37" s="184" t="s">
        <v>212</v>
      </c>
      <c r="C37" s="192">
        <v>0</v>
      </c>
      <c r="D37" s="192">
        <v>8.9999999999999993E-3</v>
      </c>
      <c r="E37" s="192">
        <v>0</v>
      </c>
      <c r="F37" s="192">
        <v>0</v>
      </c>
      <c r="G37" s="192">
        <v>0</v>
      </c>
      <c r="H37" s="192">
        <v>0</v>
      </c>
      <c r="I37" s="192">
        <v>0</v>
      </c>
      <c r="J37" s="192">
        <v>1E-3</v>
      </c>
      <c r="K37" s="192">
        <v>0</v>
      </c>
      <c r="L37" s="192">
        <v>0</v>
      </c>
      <c r="M37" s="192">
        <v>0</v>
      </c>
      <c r="N37" s="192">
        <v>0</v>
      </c>
      <c r="O37" s="192">
        <v>0</v>
      </c>
      <c r="P37" s="192">
        <v>0</v>
      </c>
      <c r="Q37" s="192">
        <v>0</v>
      </c>
      <c r="R37" s="193">
        <v>0</v>
      </c>
      <c r="S37" s="193">
        <v>0</v>
      </c>
      <c r="T37" s="192">
        <v>0</v>
      </c>
      <c r="U37" s="192">
        <v>1E-3</v>
      </c>
      <c r="V37" s="192">
        <v>0</v>
      </c>
      <c r="W37" s="192">
        <v>0</v>
      </c>
      <c r="X37" s="192">
        <v>0</v>
      </c>
      <c r="Y37" s="192">
        <v>0</v>
      </c>
      <c r="Z37" s="192">
        <v>0</v>
      </c>
      <c r="AA37" s="192">
        <v>0</v>
      </c>
      <c r="AB37" s="192">
        <v>0</v>
      </c>
      <c r="AC37" s="192">
        <v>0</v>
      </c>
      <c r="AD37" s="192">
        <v>0</v>
      </c>
      <c r="AE37" s="192">
        <v>0</v>
      </c>
      <c r="AF37" s="192">
        <v>0</v>
      </c>
      <c r="AG37" s="192">
        <v>0</v>
      </c>
      <c r="AH37" s="161">
        <f t="shared" si="0"/>
        <v>1.0999999999999999E-2</v>
      </c>
    </row>
    <row r="38" spans="1:34" ht="15" customHeight="1" x14ac:dyDescent="0.2">
      <c r="A38" s="110">
        <v>37</v>
      </c>
      <c r="B38" s="184" t="s">
        <v>213</v>
      </c>
      <c r="C38" s="192">
        <v>0</v>
      </c>
      <c r="D38" s="192">
        <v>0</v>
      </c>
      <c r="E38" s="192">
        <v>0</v>
      </c>
      <c r="F38" s="192">
        <v>0</v>
      </c>
      <c r="G38" s="192">
        <v>0</v>
      </c>
      <c r="H38" s="192">
        <v>0</v>
      </c>
      <c r="I38" s="192">
        <v>0</v>
      </c>
      <c r="J38" s="192">
        <v>0</v>
      </c>
      <c r="K38" s="192">
        <v>0</v>
      </c>
      <c r="L38" s="192">
        <v>0</v>
      </c>
      <c r="M38" s="192">
        <v>0</v>
      </c>
      <c r="N38" s="192">
        <v>0</v>
      </c>
      <c r="O38" s="192">
        <v>0</v>
      </c>
      <c r="P38" s="192">
        <v>0</v>
      </c>
      <c r="Q38" s="192">
        <v>0</v>
      </c>
      <c r="R38" s="193">
        <v>0</v>
      </c>
      <c r="S38" s="193">
        <v>0</v>
      </c>
      <c r="T38" s="192">
        <v>0</v>
      </c>
      <c r="U38" s="192">
        <v>0</v>
      </c>
      <c r="V38" s="192">
        <v>0</v>
      </c>
      <c r="W38" s="192">
        <v>0</v>
      </c>
      <c r="X38" s="192">
        <v>0</v>
      </c>
      <c r="Y38" s="192">
        <v>0</v>
      </c>
      <c r="Z38" s="192">
        <v>0</v>
      </c>
      <c r="AA38" s="192">
        <v>0</v>
      </c>
      <c r="AB38" s="192">
        <v>0</v>
      </c>
      <c r="AC38" s="192">
        <v>0</v>
      </c>
      <c r="AD38" s="192">
        <v>0</v>
      </c>
      <c r="AE38" s="192">
        <v>0</v>
      </c>
      <c r="AF38" s="192">
        <v>0</v>
      </c>
      <c r="AG38" s="192">
        <v>0</v>
      </c>
      <c r="AH38" s="161">
        <f t="shared" si="0"/>
        <v>0</v>
      </c>
    </row>
    <row r="39" spans="1:34" ht="15" customHeight="1" x14ac:dyDescent="0.2">
      <c r="A39" s="110">
        <v>38</v>
      </c>
      <c r="B39" s="184" t="s">
        <v>214</v>
      </c>
      <c r="C39" s="192">
        <v>0</v>
      </c>
      <c r="D39" s="192">
        <v>0</v>
      </c>
      <c r="E39" s="192">
        <v>0</v>
      </c>
      <c r="F39" s="192">
        <v>0</v>
      </c>
      <c r="G39" s="192">
        <v>0</v>
      </c>
      <c r="H39" s="192">
        <v>0</v>
      </c>
      <c r="I39" s="192">
        <v>0</v>
      </c>
      <c r="J39" s="192">
        <v>0</v>
      </c>
      <c r="K39" s="192">
        <v>0</v>
      </c>
      <c r="L39" s="192">
        <v>0</v>
      </c>
      <c r="M39" s="192">
        <v>0</v>
      </c>
      <c r="N39" s="192">
        <v>0</v>
      </c>
      <c r="O39" s="192">
        <v>0</v>
      </c>
      <c r="P39" s="192">
        <v>0</v>
      </c>
      <c r="Q39" s="192">
        <v>0</v>
      </c>
      <c r="R39" s="193">
        <v>0</v>
      </c>
      <c r="S39" s="193">
        <v>0</v>
      </c>
      <c r="T39" s="192">
        <v>0</v>
      </c>
      <c r="U39" s="192">
        <v>0</v>
      </c>
      <c r="V39" s="192">
        <v>0</v>
      </c>
      <c r="W39" s="192">
        <v>0</v>
      </c>
      <c r="X39" s="192">
        <v>0</v>
      </c>
      <c r="Y39" s="192">
        <v>0</v>
      </c>
      <c r="Z39" s="192">
        <v>0</v>
      </c>
      <c r="AA39" s="192">
        <v>0</v>
      </c>
      <c r="AB39" s="192">
        <v>0</v>
      </c>
      <c r="AC39" s="192">
        <v>0</v>
      </c>
      <c r="AD39" s="192">
        <v>0</v>
      </c>
      <c r="AE39" s="192">
        <v>0</v>
      </c>
      <c r="AF39" s="192">
        <v>0</v>
      </c>
      <c r="AG39" s="192">
        <v>5.0000000000000001E-3</v>
      </c>
      <c r="AH39" s="161">
        <f t="shared" si="0"/>
        <v>5.0000000000000001E-3</v>
      </c>
    </row>
    <row r="40" spans="1:34" ht="15" customHeight="1" x14ac:dyDescent="0.2">
      <c r="A40" s="110">
        <v>39</v>
      </c>
      <c r="B40" s="184" t="s">
        <v>215</v>
      </c>
      <c r="C40" s="192">
        <v>0</v>
      </c>
      <c r="D40" s="192">
        <v>0</v>
      </c>
      <c r="E40" s="192">
        <v>0</v>
      </c>
      <c r="F40" s="192">
        <v>0</v>
      </c>
      <c r="G40" s="192">
        <v>0</v>
      </c>
      <c r="H40" s="192">
        <v>0</v>
      </c>
      <c r="I40" s="192">
        <v>0</v>
      </c>
      <c r="J40" s="192">
        <v>0</v>
      </c>
      <c r="K40" s="192">
        <v>0</v>
      </c>
      <c r="L40" s="192">
        <v>0</v>
      </c>
      <c r="M40" s="192">
        <v>0</v>
      </c>
      <c r="N40" s="192">
        <v>0</v>
      </c>
      <c r="O40" s="192">
        <v>0</v>
      </c>
      <c r="P40" s="192">
        <v>0</v>
      </c>
      <c r="Q40" s="192">
        <v>0</v>
      </c>
      <c r="R40" s="193">
        <v>0</v>
      </c>
      <c r="S40" s="193">
        <v>0</v>
      </c>
      <c r="T40" s="192">
        <v>0</v>
      </c>
      <c r="U40" s="192">
        <v>0</v>
      </c>
      <c r="V40" s="192">
        <v>0</v>
      </c>
      <c r="W40" s="192">
        <v>0</v>
      </c>
      <c r="X40" s="192">
        <v>0</v>
      </c>
      <c r="Y40" s="192">
        <v>0</v>
      </c>
      <c r="Z40" s="192">
        <v>0</v>
      </c>
      <c r="AA40" s="192">
        <v>0</v>
      </c>
      <c r="AB40" s="192">
        <v>0</v>
      </c>
      <c r="AC40" s="192">
        <v>0</v>
      </c>
      <c r="AD40" s="192">
        <v>0</v>
      </c>
      <c r="AE40" s="192">
        <v>0</v>
      </c>
      <c r="AF40" s="192">
        <v>0</v>
      </c>
      <c r="AG40" s="192">
        <v>0</v>
      </c>
      <c r="AH40" s="161">
        <f t="shared" si="0"/>
        <v>0</v>
      </c>
    </row>
    <row r="41" spans="1:34" ht="15" customHeight="1" x14ac:dyDescent="0.2">
      <c r="A41" s="110">
        <v>40</v>
      </c>
      <c r="B41" s="184" t="s">
        <v>216</v>
      </c>
      <c r="C41" s="192">
        <v>0</v>
      </c>
      <c r="D41" s="192">
        <v>0</v>
      </c>
      <c r="E41" s="192">
        <v>0</v>
      </c>
      <c r="F41" s="192">
        <v>0</v>
      </c>
      <c r="G41" s="192">
        <v>0</v>
      </c>
      <c r="H41" s="192">
        <v>0</v>
      </c>
      <c r="I41" s="192">
        <v>0</v>
      </c>
      <c r="J41" s="192">
        <v>0</v>
      </c>
      <c r="K41" s="192">
        <v>0</v>
      </c>
      <c r="L41" s="192">
        <v>0</v>
      </c>
      <c r="M41" s="192">
        <v>0</v>
      </c>
      <c r="N41" s="192">
        <v>0</v>
      </c>
      <c r="O41" s="192">
        <v>0</v>
      </c>
      <c r="P41" s="192">
        <v>0</v>
      </c>
      <c r="Q41" s="192">
        <v>0</v>
      </c>
      <c r="R41" s="193">
        <v>0</v>
      </c>
      <c r="S41" s="193">
        <v>0</v>
      </c>
      <c r="T41" s="192">
        <v>0</v>
      </c>
      <c r="U41" s="192">
        <v>0</v>
      </c>
      <c r="V41" s="192">
        <v>0</v>
      </c>
      <c r="W41" s="192">
        <v>0</v>
      </c>
      <c r="X41" s="192">
        <v>0</v>
      </c>
      <c r="Y41" s="192">
        <v>0</v>
      </c>
      <c r="Z41" s="192">
        <v>0</v>
      </c>
      <c r="AA41" s="192">
        <v>0</v>
      </c>
      <c r="AB41" s="192">
        <v>0</v>
      </c>
      <c r="AC41" s="192">
        <v>0</v>
      </c>
      <c r="AD41" s="192">
        <v>0</v>
      </c>
      <c r="AE41" s="192">
        <v>0</v>
      </c>
      <c r="AF41" s="192">
        <v>0</v>
      </c>
      <c r="AG41" s="192">
        <v>0</v>
      </c>
      <c r="AH41" s="161">
        <f t="shared" si="0"/>
        <v>0</v>
      </c>
    </row>
    <row r="42" spans="1:34" ht="15" customHeight="1" x14ac:dyDescent="0.2">
      <c r="A42" s="110">
        <v>41</v>
      </c>
      <c r="B42" s="184" t="s">
        <v>217</v>
      </c>
      <c r="C42" s="192">
        <v>0</v>
      </c>
      <c r="D42" s="192">
        <v>0</v>
      </c>
      <c r="E42" s="192">
        <v>0</v>
      </c>
      <c r="F42" s="192">
        <v>0</v>
      </c>
      <c r="G42" s="192">
        <v>0</v>
      </c>
      <c r="H42" s="192">
        <v>0</v>
      </c>
      <c r="I42" s="192">
        <v>0</v>
      </c>
      <c r="J42" s="192">
        <v>0</v>
      </c>
      <c r="K42" s="192">
        <v>0</v>
      </c>
      <c r="L42" s="192">
        <v>0</v>
      </c>
      <c r="M42" s="192">
        <v>0</v>
      </c>
      <c r="N42" s="192">
        <v>0</v>
      </c>
      <c r="O42" s="192">
        <v>0</v>
      </c>
      <c r="P42" s="192">
        <v>0</v>
      </c>
      <c r="Q42" s="192">
        <v>0</v>
      </c>
      <c r="R42" s="193">
        <v>0</v>
      </c>
      <c r="S42" s="193">
        <v>0</v>
      </c>
      <c r="T42" s="192">
        <v>0</v>
      </c>
      <c r="U42" s="192">
        <v>0</v>
      </c>
      <c r="V42" s="192">
        <v>0</v>
      </c>
      <c r="W42" s="192">
        <v>0</v>
      </c>
      <c r="X42" s="192">
        <v>0</v>
      </c>
      <c r="Y42" s="192">
        <v>0</v>
      </c>
      <c r="Z42" s="192">
        <v>0</v>
      </c>
      <c r="AA42" s="192">
        <v>0</v>
      </c>
      <c r="AB42" s="192">
        <v>0</v>
      </c>
      <c r="AC42" s="192">
        <v>0</v>
      </c>
      <c r="AD42" s="192">
        <v>0</v>
      </c>
      <c r="AE42" s="192">
        <v>0</v>
      </c>
      <c r="AF42" s="192">
        <v>0</v>
      </c>
      <c r="AG42" s="192">
        <v>0</v>
      </c>
      <c r="AH42" s="161">
        <f t="shared" si="0"/>
        <v>0</v>
      </c>
    </row>
    <row r="43" spans="1:34" ht="15" customHeight="1" x14ac:dyDescent="0.2">
      <c r="A43" s="110">
        <v>42</v>
      </c>
      <c r="B43" s="184" t="s">
        <v>218</v>
      </c>
      <c r="C43" s="192">
        <v>0</v>
      </c>
      <c r="D43" s="192">
        <v>0</v>
      </c>
      <c r="E43" s="192">
        <v>0</v>
      </c>
      <c r="F43" s="192">
        <v>0</v>
      </c>
      <c r="G43" s="192">
        <v>0</v>
      </c>
      <c r="H43" s="192">
        <v>0</v>
      </c>
      <c r="I43" s="192">
        <v>0</v>
      </c>
      <c r="J43" s="192">
        <v>0</v>
      </c>
      <c r="K43" s="192">
        <v>0</v>
      </c>
      <c r="L43" s="192">
        <v>0</v>
      </c>
      <c r="M43" s="192">
        <v>0</v>
      </c>
      <c r="N43" s="192">
        <v>0</v>
      </c>
      <c r="O43" s="192">
        <v>0</v>
      </c>
      <c r="P43" s="192">
        <v>0</v>
      </c>
      <c r="Q43" s="192">
        <v>0</v>
      </c>
      <c r="R43" s="193">
        <v>0</v>
      </c>
      <c r="S43" s="193">
        <v>0</v>
      </c>
      <c r="T43" s="192">
        <v>0</v>
      </c>
      <c r="U43" s="192">
        <v>0</v>
      </c>
      <c r="V43" s="192">
        <v>0</v>
      </c>
      <c r="W43" s="192">
        <v>0</v>
      </c>
      <c r="X43" s="192">
        <v>0</v>
      </c>
      <c r="Y43" s="192">
        <v>0</v>
      </c>
      <c r="Z43" s="192">
        <v>0</v>
      </c>
      <c r="AA43" s="192">
        <v>0</v>
      </c>
      <c r="AB43" s="192">
        <v>0</v>
      </c>
      <c r="AC43" s="192">
        <v>0</v>
      </c>
      <c r="AD43" s="192">
        <v>0</v>
      </c>
      <c r="AE43" s="192">
        <v>0</v>
      </c>
      <c r="AF43" s="192">
        <v>0</v>
      </c>
      <c r="AG43" s="192">
        <v>0</v>
      </c>
      <c r="AH43" s="161">
        <f t="shared" si="0"/>
        <v>0</v>
      </c>
    </row>
    <row r="44" spans="1:34" ht="15" customHeight="1" x14ac:dyDescent="0.2">
      <c r="A44" s="110">
        <v>43</v>
      </c>
      <c r="B44" s="184" t="s">
        <v>219</v>
      </c>
      <c r="C44" s="192">
        <v>0</v>
      </c>
      <c r="D44" s="192">
        <v>0</v>
      </c>
      <c r="E44" s="192">
        <v>0</v>
      </c>
      <c r="F44" s="192">
        <v>0</v>
      </c>
      <c r="G44" s="192">
        <v>0</v>
      </c>
      <c r="H44" s="192">
        <v>0</v>
      </c>
      <c r="I44" s="192">
        <v>0</v>
      </c>
      <c r="J44" s="192">
        <v>0</v>
      </c>
      <c r="K44" s="192">
        <v>0</v>
      </c>
      <c r="L44" s="192">
        <v>0</v>
      </c>
      <c r="M44" s="192">
        <v>0</v>
      </c>
      <c r="N44" s="192">
        <v>0</v>
      </c>
      <c r="O44" s="192">
        <v>0</v>
      </c>
      <c r="P44" s="192">
        <v>0</v>
      </c>
      <c r="Q44" s="192">
        <v>0</v>
      </c>
      <c r="R44" s="193">
        <v>0</v>
      </c>
      <c r="S44" s="193">
        <v>0</v>
      </c>
      <c r="T44" s="192">
        <v>0</v>
      </c>
      <c r="U44" s="192">
        <v>0</v>
      </c>
      <c r="V44" s="192">
        <v>0</v>
      </c>
      <c r="W44" s="192">
        <v>0</v>
      </c>
      <c r="X44" s="192">
        <v>0</v>
      </c>
      <c r="Y44" s="192">
        <v>0</v>
      </c>
      <c r="Z44" s="192">
        <v>0</v>
      </c>
      <c r="AA44" s="192">
        <v>0</v>
      </c>
      <c r="AB44" s="192">
        <v>0</v>
      </c>
      <c r="AC44" s="192">
        <v>0</v>
      </c>
      <c r="AD44" s="192">
        <v>0</v>
      </c>
      <c r="AE44" s="192">
        <v>0</v>
      </c>
      <c r="AF44" s="192">
        <v>0</v>
      </c>
      <c r="AG44" s="192">
        <v>0</v>
      </c>
      <c r="AH44" s="161">
        <f t="shared" si="0"/>
        <v>0</v>
      </c>
    </row>
    <row r="45" spans="1:34" ht="15" customHeight="1" x14ac:dyDescent="0.2">
      <c r="A45" s="110">
        <v>44</v>
      </c>
      <c r="B45" s="184" t="s">
        <v>220</v>
      </c>
      <c r="C45" s="192">
        <v>0</v>
      </c>
      <c r="D45" s="192">
        <v>0</v>
      </c>
      <c r="E45" s="192">
        <v>0</v>
      </c>
      <c r="F45" s="192">
        <v>0</v>
      </c>
      <c r="G45" s="192">
        <v>0</v>
      </c>
      <c r="H45" s="192">
        <v>0</v>
      </c>
      <c r="I45" s="192">
        <v>0</v>
      </c>
      <c r="J45" s="192">
        <v>0</v>
      </c>
      <c r="K45" s="192">
        <v>0</v>
      </c>
      <c r="L45" s="192">
        <v>0</v>
      </c>
      <c r="M45" s="192">
        <v>0</v>
      </c>
      <c r="N45" s="192">
        <v>0</v>
      </c>
      <c r="O45" s="192">
        <v>0</v>
      </c>
      <c r="P45" s="192">
        <v>0</v>
      </c>
      <c r="Q45" s="192">
        <v>0</v>
      </c>
      <c r="R45" s="193">
        <v>0</v>
      </c>
      <c r="S45" s="193">
        <v>0</v>
      </c>
      <c r="T45" s="192">
        <v>0</v>
      </c>
      <c r="U45" s="192">
        <v>0</v>
      </c>
      <c r="V45" s="192">
        <v>0</v>
      </c>
      <c r="W45" s="192">
        <v>0</v>
      </c>
      <c r="X45" s="192">
        <v>0</v>
      </c>
      <c r="Y45" s="192">
        <v>0</v>
      </c>
      <c r="Z45" s="192">
        <v>0</v>
      </c>
      <c r="AA45" s="192">
        <v>0</v>
      </c>
      <c r="AB45" s="192">
        <v>0</v>
      </c>
      <c r="AC45" s="192">
        <v>0</v>
      </c>
      <c r="AD45" s="192">
        <v>0</v>
      </c>
      <c r="AE45" s="192">
        <v>0</v>
      </c>
      <c r="AF45" s="192">
        <v>0</v>
      </c>
      <c r="AG45" s="192">
        <v>0</v>
      </c>
      <c r="AH45" s="161">
        <f t="shared" si="0"/>
        <v>0</v>
      </c>
    </row>
    <row r="46" spans="1:34" ht="15" customHeight="1" x14ac:dyDescent="0.2">
      <c r="A46" s="110">
        <v>45</v>
      </c>
      <c r="B46" s="184" t="s">
        <v>221</v>
      </c>
      <c r="C46" s="192">
        <v>0</v>
      </c>
      <c r="D46" s="192">
        <v>0</v>
      </c>
      <c r="E46" s="192">
        <v>0</v>
      </c>
      <c r="F46" s="192">
        <v>0</v>
      </c>
      <c r="G46" s="192">
        <v>0</v>
      </c>
      <c r="H46" s="192">
        <v>0</v>
      </c>
      <c r="I46" s="192">
        <v>0</v>
      </c>
      <c r="J46" s="192">
        <v>0</v>
      </c>
      <c r="K46" s="192">
        <v>0</v>
      </c>
      <c r="L46" s="192">
        <v>0</v>
      </c>
      <c r="M46" s="192">
        <v>0</v>
      </c>
      <c r="N46" s="192">
        <v>0</v>
      </c>
      <c r="O46" s="192">
        <v>0</v>
      </c>
      <c r="P46" s="192">
        <v>0</v>
      </c>
      <c r="Q46" s="192">
        <v>0</v>
      </c>
      <c r="R46" s="193">
        <v>0</v>
      </c>
      <c r="S46" s="193">
        <v>0</v>
      </c>
      <c r="T46" s="192">
        <v>0</v>
      </c>
      <c r="U46" s="192">
        <v>0</v>
      </c>
      <c r="V46" s="192">
        <v>0</v>
      </c>
      <c r="W46" s="192">
        <v>0</v>
      </c>
      <c r="X46" s="192">
        <v>0</v>
      </c>
      <c r="Y46" s="192">
        <v>0</v>
      </c>
      <c r="Z46" s="192">
        <v>0</v>
      </c>
      <c r="AA46" s="192">
        <v>0</v>
      </c>
      <c r="AB46" s="192">
        <v>0</v>
      </c>
      <c r="AC46" s="192">
        <v>0</v>
      </c>
      <c r="AD46" s="192">
        <v>0</v>
      </c>
      <c r="AE46" s="192">
        <v>0</v>
      </c>
      <c r="AF46" s="192">
        <v>0</v>
      </c>
      <c r="AG46" s="192">
        <v>0</v>
      </c>
      <c r="AH46" s="161">
        <f t="shared" si="0"/>
        <v>0</v>
      </c>
    </row>
    <row r="47" spans="1:34" ht="15" customHeight="1" x14ac:dyDescent="0.2">
      <c r="A47" s="110">
        <v>46</v>
      </c>
      <c r="B47" s="184" t="s">
        <v>222</v>
      </c>
      <c r="C47" s="192">
        <v>0</v>
      </c>
      <c r="D47" s="192">
        <v>0</v>
      </c>
      <c r="E47" s="192">
        <v>0</v>
      </c>
      <c r="F47" s="192">
        <v>0</v>
      </c>
      <c r="G47" s="192">
        <v>0</v>
      </c>
      <c r="H47" s="192">
        <v>0</v>
      </c>
      <c r="I47" s="192">
        <v>0</v>
      </c>
      <c r="J47" s="192">
        <v>0</v>
      </c>
      <c r="K47" s="192">
        <v>0</v>
      </c>
      <c r="L47" s="192">
        <v>0</v>
      </c>
      <c r="M47" s="192">
        <v>0</v>
      </c>
      <c r="N47" s="192">
        <v>0</v>
      </c>
      <c r="O47" s="192">
        <v>0</v>
      </c>
      <c r="P47" s="192">
        <v>0</v>
      </c>
      <c r="Q47" s="192">
        <v>0</v>
      </c>
      <c r="R47" s="193">
        <v>0</v>
      </c>
      <c r="S47" s="193">
        <v>0</v>
      </c>
      <c r="T47" s="192">
        <v>0</v>
      </c>
      <c r="U47" s="192">
        <v>0</v>
      </c>
      <c r="V47" s="192">
        <v>0</v>
      </c>
      <c r="W47" s="192">
        <v>0</v>
      </c>
      <c r="X47" s="192">
        <v>0</v>
      </c>
      <c r="Y47" s="192">
        <v>0</v>
      </c>
      <c r="Z47" s="192">
        <v>0</v>
      </c>
      <c r="AA47" s="192">
        <v>0</v>
      </c>
      <c r="AB47" s="192">
        <v>0</v>
      </c>
      <c r="AC47" s="192">
        <v>0</v>
      </c>
      <c r="AD47" s="192">
        <v>0</v>
      </c>
      <c r="AE47" s="192">
        <v>0</v>
      </c>
      <c r="AF47" s="192">
        <v>0</v>
      </c>
      <c r="AG47" s="192">
        <v>0</v>
      </c>
      <c r="AH47" s="161">
        <f t="shared" si="0"/>
        <v>0</v>
      </c>
    </row>
    <row r="48" spans="1:34" ht="15" customHeight="1" x14ac:dyDescent="0.2">
      <c r="A48" s="110">
        <v>47</v>
      </c>
      <c r="B48" s="184" t="s">
        <v>223</v>
      </c>
      <c r="C48" s="192">
        <v>0</v>
      </c>
      <c r="D48" s="192">
        <v>0</v>
      </c>
      <c r="E48" s="192">
        <v>0</v>
      </c>
      <c r="F48" s="192">
        <v>0</v>
      </c>
      <c r="G48" s="192">
        <v>0</v>
      </c>
      <c r="H48" s="192">
        <v>0</v>
      </c>
      <c r="I48" s="192">
        <v>0</v>
      </c>
      <c r="J48" s="192">
        <v>0</v>
      </c>
      <c r="K48" s="192">
        <v>0</v>
      </c>
      <c r="L48" s="192">
        <v>0</v>
      </c>
      <c r="M48" s="192">
        <v>0</v>
      </c>
      <c r="N48" s="192">
        <v>0</v>
      </c>
      <c r="O48" s="192">
        <v>0</v>
      </c>
      <c r="P48" s="192">
        <v>0.03</v>
      </c>
      <c r="Q48" s="192">
        <v>0</v>
      </c>
      <c r="R48" s="193">
        <v>0</v>
      </c>
      <c r="S48" s="193">
        <v>0</v>
      </c>
      <c r="T48" s="192">
        <v>0</v>
      </c>
      <c r="U48" s="192">
        <v>0</v>
      </c>
      <c r="V48" s="192">
        <v>0</v>
      </c>
      <c r="W48" s="192">
        <v>0</v>
      </c>
      <c r="X48" s="192">
        <v>0</v>
      </c>
      <c r="Y48" s="192">
        <v>0</v>
      </c>
      <c r="Z48" s="192">
        <v>0</v>
      </c>
      <c r="AA48" s="192">
        <v>0</v>
      </c>
      <c r="AB48" s="192">
        <v>0</v>
      </c>
      <c r="AC48" s="192">
        <v>0</v>
      </c>
      <c r="AD48" s="192">
        <v>0</v>
      </c>
      <c r="AE48" s="192">
        <v>0</v>
      </c>
      <c r="AF48" s="192">
        <v>0</v>
      </c>
      <c r="AG48" s="192">
        <v>0</v>
      </c>
      <c r="AH48" s="161">
        <f t="shared" si="0"/>
        <v>0.03</v>
      </c>
    </row>
    <row r="49" spans="1:34" ht="15" customHeight="1" x14ac:dyDescent="0.2">
      <c r="A49" s="110">
        <v>48</v>
      </c>
      <c r="B49" s="184" t="s">
        <v>224</v>
      </c>
      <c r="C49" s="192">
        <v>0</v>
      </c>
      <c r="D49" s="192">
        <v>0</v>
      </c>
      <c r="E49" s="192">
        <v>0</v>
      </c>
      <c r="F49" s="192">
        <v>0</v>
      </c>
      <c r="G49" s="192">
        <v>0</v>
      </c>
      <c r="H49" s="192">
        <v>0</v>
      </c>
      <c r="I49" s="192">
        <v>0</v>
      </c>
      <c r="J49" s="192">
        <v>0</v>
      </c>
      <c r="K49" s="192">
        <v>0</v>
      </c>
      <c r="L49" s="192">
        <v>0</v>
      </c>
      <c r="M49" s="192">
        <v>0</v>
      </c>
      <c r="N49" s="192">
        <v>0</v>
      </c>
      <c r="O49" s="192">
        <v>0</v>
      </c>
      <c r="P49" s="192">
        <v>0</v>
      </c>
      <c r="Q49" s="192">
        <v>7.0000000000000001E-3</v>
      </c>
      <c r="R49" s="193">
        <v>0</v>
      </c>
      <c r="S49" s="193">
        <v>0</v>
      </c>
      <c r="T49" s="192">
        <v>0</v>
      </c>
      <c r="U49" s="192">
        <v>0</v>
      </c>
      <c r="V49" s="192">
        <v>0</v>
      </c>
      <c r="W49" s="192">
        <v>0</v>
      </c>
      <c r="X49" s="192">
        <v>0</v>
      </c>
      <c r="Y49" s="192">
        <v>0</v>
      </c>
      <c r="Z49" s="192">
        <v>0</v>
      </c>
      <c r="AA49" s="192">
        <v>0</v>
      </c>
      <c r="AB49" s="192">
        <v>0</v>
      </c>
      <c r="AC49" s="192">
        <v>0</v>
      </c>
      <c r="AD49" s="192">
        <v>0</v>
      </c>
      <c r="AE49" s="192">
        <v>0</v>
      </c>
      <c r="AF49" s="192">
        <v>0</v>
      </c>
      <c r="AG49" s="192">
        <v>0</v>
      </c>
      <c r="AH49" s="161">
        <f t="shared" si="0"/>
        <v>7.0000000000000001E-3</v>
      </c>
    </row>
    <row r="50" spans="1:34" ht="15" customHeight="1" x14ac:dyDescent="0.2">
      <c r="A50" s="110">
        <v>49</v>
      </c>
      <c r="B50" s="184" t="s">
        <v>225</v>
      </c>
      <c r="C50" s="195">
        <v>0</v>
      </c>
      <c r="D50" s="195">
        <v>0</v>
      </c>
      <c r="E50" s="195">
        <v>0</v>
      </c>
      <c r="F50" s="195">
        <v>0</v>
      </c>
      <c r="G50" s="195">
        <v>0</v>
      </c>
      <c r="H50" s="195">
        <v>0</v>
      </c>
      <c r="I50" s="195">
        <v>0</v>
      </c>
      <c r="J50" s="195">
        <v>0</v>
      </c>
      <c r="K50" s="195">
        <v>0</v>
      </c>
      <c r="L50" s="195">
        <v>0</v>
      </c>
      <c r="M50" s="195">
        <v>0</v>
      </c>
      <c r="N50" s="195">
        <v>0</v>
      </c>
      <c r="O50" s="195">
        <v>0</v>
      </c>
      <c r="P50" s="195">
        <v>0</v>
      </c>
      <c r="Q50" s="195">
        <v>0</v>
      </c>
      <c r="R50" s="195">
        <v>0</v>
      </c>
      <c r="S50" s="195">
        <v>0</v>
      </c>
      <c r="T50" s="195">
        <v>0</v>
      </c>
      <c r="U50" s="195">
        <v>0</v>
      </c>
      <c r="V50" s="195">
        <v>0</v>
      </c>
      <c r="W50" s="195">
        <v>0</v>
      </c>
      <c r="X50" s="195">
        <v>0</v>
      </c>
      <c r="Y50" s="195">
        <v>0</v>
      </c>
      <c r="Z50" s="195">
        <v>0</v>
      </c>
      <c r="AA50" s="195">
        <v>0</v>
      </c>
      <c r="AB50" s="195">
        <v>0</v>
      </c>
      <c r="AC50" s="195">
        <v>0</v>
      </c>
      <c r="AD50" s="195">
        <v>0</v>
      </c>
      <c r="AE50" s="195">
        <v>0</v>
      </c>
      <c r="AF50" s="195">
        <v>0</v>
      </c>
      <c r="AG50" s="195">
        <v>0</v>
      </c>
      <c r="AH50" s="161">
        <f t="shared" si="0"/>
        <v>0</v>
      </c>
    </row>
    <row r="51" spans="1:34" ht="15" customHeight="1" x14ac:dyDescent="0.2">
      <c r="A51" s="110">
        <v>50</v>
      </c>
      <c r="B51" s="184" t="s">
        <v>124</v>
      </c>
      <c r="C51" s="195">
        <v>0</v>
      </c>
      <c r="D51" s="195">
        <v>0</v>
      </c>
      <c r="E51" s="195">
        <v>0</v>
      </c>
      <c r="F51" s="195">
        <v>0</v>
      </c>
      <c r="G51" s="195">
        <v>0</v>
      </c>
      <c r="H51" s="195">
        <v>0</v>
      </c>
      <c r="I51" s="195">
        <v>0</v>
      </c>
      <c r="J51" s="195">
        <v>0</v>
      </c>
      <c r="K51" s="195">
        <v>0</v>
      </c>
      <c r="L51" s="195">
        <v>0</v>
      </c>
      <c r="M51" s="195">
        <v>0</v>
      </c>
      <c r="N51" s="195">
        <v>0</v>
      </c>
      <c r="O51" s="195">
        <v>0</v>
      </c>
      <c r="P51" s="195">
        <v>0</v>
      </c>
      <c r="Q51" s="195">
        <v>0</v>
      </c>
      <c r="R51" s="195">
        <v>0</v>
      </c>
      <c r="S51" s="195">
        <v>0</v>
      </c>
      <c r="T51" s="195">
        <v>0</v>
      </c>
      <c r="U51" s="195">
        <v>0</v>
      </c>
      <c r="V51" s="195">
        <v>0</v>
      </c>
      <c r="W51" s="195">
        <v>0</v>
      </c>
      <c r="X51" s="195">
        <v>0</v>
      </c>
      <c r="Y51" s="195">
        <v>0</v>
      </c>
      <c r="Z51" s="195">
        <v>0</v>
      </c>
      <c r="AA51" s="195">
        <v>0</v>
      </c>
      <c r="AB51" s="195">
        <v>0</v>
      </c>
      <c r="AC51" s="195">
        <v>0</v>
      </c>
      <c r="AD51" s="195">
        <v>0</v>
      </c>
      <c r="AE51" s="195">
        <v>0</v>
      </c>
      <c r="AF51" s="195">
        <v>0</v>
      </c>
      <c r="AG51" s="195">
        <v>0</v>
      </c>
      <c r="AH51" s="161">
        <f t="shared" si="0"/>
        <v>0</v>
      </c>
    </row>
    <row r="52" spans="1:34" x14ac:dyDescent="0.2">
      <c r="A52" s="110">
        <v>51</v>
      </c>
      <c r="B52" s="184" t="s">
        <v>125</v>
      </c>
      <c r="C52" s="195">
        <v>0</v>
      </c>
      <c r="D52" s="195">
        <v>0</v>
      </c>
      <c r="E52" s="195">
        <v>0</v>
      </c>
      <c r="F52" s="195">
        <v>0</v>
      </c>
      <c r="G52" s="195">
        <v>0</v>
      </c>
      <c r="H52" s="195">
        <v>0</v>
      </c>
      <c r="I52" s="195">
        <v>0</v>
      </c>
      <c r="J52" s="195">
        <v>0</v>
      </c>
      <c r="K52" s="195">
        <v>0</v>
      </c>
      <c r="L52" s="195">
        <v>0</v>
      </c>
      <c r="M52" s="195">
        <v>0</v>
      </c>
      <c r="N52" s="195">
        <v>0</v>
      </c>
      <c r="O52" s="195">
        <v>0</v>
      </c>
      <c r="P52" s="195">
        <v>0</v>
      </c>
      <c r="Q52" s="195">
        <v>0</v>
      </c>
      <c r="R52" s="195">
        <v>0</v>
      </c>
      <c r="S52" s="195">
        <v>0</v>
      </c>
      <c r="T52" s="195">
        <v>0</v>
      </c>
      <c r="U52" s="195">
        <v>0</v>
      </c>
      <c r="V52" s="195">
        <v>0</v>
      </c>
      <c r="W52" s="195">
        <v>0</v>
      </c>
      <c r="X52" s="195">
        <v>0</v>
      </c>
      <c r="Y52" s="195">
        <v>0</v>
      </c>
      <c r="Z52" s="195">
        <v>0</v>
      </c>
      <c r="AA52" s="195">
        <v>0</v>
      </c>
      <c r="AB52" s="195">
        <v>0</v>
      </c>
      <c r="AC52" s="195">
        <v>0</v>
      </c>
      <c r="AD52" s="195">
        <v>0</v>
      </c>
      <c r="AE52" s="195">
        <v>0</v>
      </c>
      <c r="AF52" s="195">
        <v>0</v>
      </c>
      <c r="AG52" s="195">
        <v>0</v>
      </c>
      <c r="AH52" s="161">
        <f t="shared" si="0"/>
        <v>0</v>
      </c>
    </row>
    <row r="54" spans="1:34" x14ac:dyDescent="0.2"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</row>
    <row r="55" spans="1:34" x14ac:dyDescent="0.2">
      <c r="L55" s="249" t="s">
        <v>296</v>
      </c>
    </row>
    <row r="84" ht="15" customHeight="1" x14ac:dyDescent="0.2"/>
    <row r="85" ht="15" customHeight="1" x14ac:dyDescent="0.2"/>
    <row r="86" ht="15" customHeight="1" x14ac:dyDescent="0.2"/>
    <row r="87" ht="15" customHeight="1" x14ac:dyDescent="0.2"/>
    <row r="88" ht="15" customHeight="1" x14ac:dyDescent="0.2"/>
    <row r="89" ht="15" customHeight="1" x14ac:dyDescent="0.2"/>
    <row r="90" ht="15" customHeight="1" x14ac:dyDescent="0.2"/>
    <row r="91" ht="15" customHeight="1" x14ac:dyDescent="0.2"/>
    <row r="92" ht="15" customHeight="1" x14ac:dyDescent="0.2"/>
    <row r="93" ht="15" customHeight="1" x14ac:dyDescent="0.2"/>
    <row r="94" ht="15" customHeight="1" x14ac:dyDescent="0.2"/>
    <row r="95" ht="15" customHeight="1" x14ac:dyDescent="0.2"/>
    <row r="96" ht="15" customHeight="1" x14ac:dyDescent="0.2"/>
    <row r="97" ht="15" customHeight="1" x14ac:dyDescent="0.2"/>
    <row r="98" ht="15" customHeight="1" x14ac:dyDescent="0.2"/>
    <row r="99" ht="15" customHeight="1" x14ac:dyDescent="0.2"/>
    <row r="100" ht="15" customHeight="1" x14ac:dyDescent="0.2"/>
    <row r="101" ht="15" customHeight="1" x14ac:dyDescent="0.2"/>
    <row r="102" ht="15" customHeight="1" x14ac:dyDescent="0.2"/>
    <row r="103" ht="15" customHeight="1" x14ac:dyDescent="0.2"/>
    <row r="104" ht="15" customHeight="1" x14ac:dyDescent="0.2"/>
    <row r="105" ht="15" customHeight="1" x14ac:dyDescent="0.2"/>
    <row r="106" ht="15" customHeight="1" x14ac:dyDescent="0.2"/>
    <row r="107" ht="15" customHeight="1" x14ac:dyDescent="0.2"/>
    <row r="108" ht="15" customHeight="1" x14ac:dyDescent="0.2"/>
    <row r="109" ht="15" customHeight="1" x14ac:dyDescent="0.2"/>
    <row r="110" ht="15" customHeight="1" x14ac:dyDescent="0.2"/>
    <row r="111" ht="15" customHeight="1" x14ac:dyDescent="0.2"/>
    <row r="112" ht="15" customHeight="1" x14ac:dyDescent="0.2"/>
    <row r="113" ht="15" customHeight="1" x14ac:dyDescent="0.2"/>
    <row r="114" ht="15" customHeight="1" x14ac:dyDescent="0.2"/>
    <row r="115" ht="15" customHeight="1" x14ac:dyDescent="0.2"/>
    <row r="116" ht="15" customHeight="1" x14ac:dyDescent="0.2"/>
    <row r="117" ht="15" customHeight="1" x14ac:dyDescent="0.2"/>
    <row r="118" ht="15" customHeight="1" x14ac:dyDescent="0.2"/>
    <row r="119" ht="15" customHeight="1" x14ac:dyDescent="0.2"/>
    <row r="120" ht="15" customHeight="1" x14ac:dyDescent="0.2"/>
    <row r="121" ht="15" customHeight="1" x14ac:dyDescent="0.2"/>
    <row r="122" ht="15" customHeight="1" x14ac:dyDescent="0.2"/>
    <row r="123" ht="15" customHeight="1" x14ac:dyDescent="0.2"/>
    <row r="124" ht="15" customHeight="1" x14ac:dyDescent="0.2"/>
    <row r="125" ht="15" customHeight="1" x14ac:dyDescent="0.2"/>
    <row r="126" ht="15" customHeight="1" x14ac:dyDescent="0.2"/>
    <row r="127" ht="15" customHeight="1" x14ac:dyDescent="0.2"/>
    <row r="128" ht="15" customHeight="1" x14ac:dyDescent="0.2"/>
    <row r="129" ht="15" customHeight="1" x14ac:dyDescent="0.2"/>
    <row r="130" ht="15" customHeight="1" x14ac:dyDescent="0.2"/>
    <row r="131" ht="15" customHeight="1" x14ac:dyDescent="0.2"/>
    <row r="132" ht="15" customHeight="1" x14ac:dyDescent="0.2"/>
    <row r="133" ht="15" customHeight="1" x14ac:dyDescent="0.2"/>
    <row r="134" ht="15" customHeight="1" x14ac:dyDescent="0.2"/>
    <row r="135" ht="15" customHeight="1" x14ac:dyDescent="0.2"/>
    <row r="136" ht="15" customHeight="1" x14ac:dyDescent="0.2"/>
    <row r="137" ht="15" customHeight="1" x14ac:dyDescent="0.2"/>
    <row r="138" ht="15" customHeight="1" x14ac:dyDescent="0.2"/>
    <row r="139" ht="15" customHeight="1" x14ac:dyDescent="0.2"/>
    <row r="140" ht="15" customHeight="1" x14ac:dyDescent="0.2"/>
    <row r="141" ht="15" customHeight="1" x14ac:dyDescent="0.2"/>
    <row r="142" ht="15" customHeight="1" x14ac:dyDescent="0.2"/>
    <row r="143" ht="15" customHeight="1" x14ac:dyDescent="0.2"/>
    <row r="144" ht="15" customHeight="1" x14ac:dyDescent="0.2"/>
    <row r="145" ht="15" customHeight="1" x14ac:dyDescent="0.2"/>
    <row r="146" ht="15" customHeight="1" x14ac:dyDescent="0.2"/>
    <row r="147" ht="15" customHeight="1" x14ac:dyDescent="0.2"/>
    <row r="148" ht="15" customHeight="1" x14ac:dyDescent="0.2"/>
    <row r="149" ht="15" customHeight="1" x14ac:dyDescent="0.2"/>
    <row r="150" ht="15" customHeight="1" x14ac:dyDescent="0.2"/>
    <row r="151" ht="15" customHeight="1" x14ac:dyDescent="0.2"/>
    <row r="152" ht="15" customHeight="1" x14ac:dyDescent="0.2"/>
    <row r="153" ht="15" customHeight="1" x14ac:dyDescent="0.2"/>
    <row r="154" ht="15" customHeight="1" x14ac:dyDescent="0.2"/>
    <row r="155" ht="15" customHeight="1" x14ac:dyDescent="0.2"/>
    <row r="156" ht="15" customHeight="1" x14ac:dyDescent="0.2"/>
    <row r="157" ht="15" customHeight="1" x14ac:dyDescent="0.2"/>
    <row r="158" ht="15" customHeight="1" x14ac:dyDescent="0.2"/>
    <row r="159" ht="15" customHeight="1" x14ac:dyDescent="0.2"/>
    <row r="160" ht="15" customHeight="1" x14ac:dyDescent="0.2"/>
    <row r="161" ht="15" customHeight="1" x14ac:dyDescent="0.2"/>
    <row r="162" ht="15" customHeight="1" x14ac:dyDescent="0.2"/>
    <row r="163" ht="15" customHeight="1" x14ac:dyDescent="0.2"/>
    <row r="164" ht="15" customHeight="1" x14ac:dyDescent="0.2"/>
    <row r="165" ht="15" customHeight="1" x14ac:dyDescent="0.2"/>
    <row r="166" ht="15" customHeight="1" x14ac:dyDescent="0.2"/>
    <row r="167" ht="15" customHeight="1" x14ac:dyDescent="0.2"/>
    <row r="168" ht="15" customHeight="1" x14ac:dyDescent="0.2"/>
    <row r="169" ht="15" customHeight="1" x14ac:dyDescent="0.2"/>
    <row r="170" ht="15" customHeight="1" x14ac:dyDescent="0.2"/>
    <row r="171" ht="15" customHeight="1" x14ac:dyDescent="0.2"/>
    <row r="172" ht="15" customHeight="1" x14ac:dyDescent="0.2"/>
    <row r="175" ht="15" customHeight="1" x14ac:dyDescent="0.2"/>
    <row r="176" ht="15" customHeight="1" x14ac:dyDescent="0.2"/>
  </sheetData>
  <phoneticPr fontId="3" type="noConversion"/>
  <pageMargins left="0.18" right="0.18" top="0.19" bottom="0.18" header="0.18" footer="0.17"/>
  <pageSetup scale="70" fitToWidth="2" fitToHeight="4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indexed="45"/>
  </sheetPr>
  <dimension ref="A1:AH54"/>
  <sheetViews>
    <sheetView workbookViewId="0">
      <pane xSplit="2" ySplit="1" topLeftCell="C25" activePane="bottomRight" state="frozen"/>
      <selection pane="topRight" activeCell="D1" sqref="D1"/>
      <selection pane="bottomLeft" activeCell="A2" sqref="A2"/>
      <selection pane="bottomRight" activeCell="C56" sqref="C56"/>
    </sheetView>
  </sheetViews>
  <sheetFormatPr baseColWidth="10" defaultColWidth="8.83203125" defaultRowHeight="16" x14ac:dyDescent="0.2"/>
  <cols>
    <col min="1" max="1" width="12.6640625" style="110" customWidth="1"/>
    <col min="2" max="2" width="36.33203125" style="110" bestFit="1" customWidth="1"/>
    <col min="3" max="3" width="12.5" style="156" bestFit="1" customWidth="1"/>
    <col min="4" max="4" width="11.1640625" style="156" bestFit="1" customWidth="1"/>
    <col min="5" max="5" width="18.1640625" style="156" bestFit="1" customWidth="1"/>
    <col min="6" max="6" width="17.6640625" style="156" bestFit="1" customWidth="1"/>
    <col min="7" max="7" width="18.83203125" style="156" bestFit="1" customWidth="1"/>
    <col min="8" max="8" width="18.33203125" style="156" bestFit="1" customWidth="1"/>
    <col min="9" max="9" width="19.1640625" style="156" bestFit="1" customWidth="1"/>
    <col min="10" max="10" width="14.6640625" style="156" bestFit="1" customWidth="1"/>
    <col min="11" max="11" width="15" style="156" bestFit="1" customWidth="1"/>
    <col min="12" max="12" width="14.6640625" style="156" bestFit="1" customWidth="1"/>
    <col min="13" max="13" width="11.33203125" style="156" bestFit="1" customWidth="1"/>
    <col min="14" max="14" width="9.5" style="156" bestFit="1" customWidth="1"/>
    <col min="15" max="15" width="21.6640625" style="156" bestFit="1" customWidth="1"/>
    <col min="16" max="16" width="7.33203125" style="156" bestFit="1" customWidth="1"/>
    <col min="17" max="17" width="6.83203125" style="156" bestFit="1" customWidth="1"/>
    <col min="18" max="18" width="10.6640625" style="156" bestFit="1" customWidth="1"/>
    <col min="19" max="19" width="22.83203125" style="156" bestFit="1" customWidth="1"/>
    <col min="20" max="20" width="20.1640625" style="156" bestFit="1" customWidth="1"/>
    <col min="21" max="21" width="20.33203125" style="156" bestFit="1" customWidth="1"/>
    <col min="22" max="22" width="22.1640625" style="156" bestFit="1" customWidth="1"/>
    <col min="23" max="23" width="24.1640625" style="156" bestFit="1" customWidth="1"/>
    <col min="24" max="24" width="18.1640625" style="156" bestFit="1" customWidth="1"/>
    <col min="25" max="25" width="16.1640625" style="156" bestFit="1" customWidth="1"/>
    <col min="26" max="26" width="14.83203125" style="156" bestFit="1" customWidth="1"/>
    <col min="27" max="27" width="22.1640625" style="156" bestFit="1" customWidth="1"/>
    <col min="28" max="28" width="18" style="156" bestFit="1" customWidth="1"/>
    <col min="29" max="29" width="21.6640625" style="156" bestFit="1" customWidth="1"/>
    <col min="30" max="30" width="23.6640625" style="156" bestFit="1" customWidth="1"/>
    <col min="31" max="31" width="17.6640625" style="156" bestFit="1" customWidth="1"/>
    <col min="32" max="32" width="15.6640625" style="156" bestFit="1" customWidth="1"/>
    <col min="33" max="33" width="9.6640625" style="156" customWidth="1"/>
    <col min="34" max="34" width="14.1640625" style="156" customWidth="1"/>
    <col min="35" max="16384" width="8.83203125" style="110"/>
  </cols>
  <sheetData>
    <row r="1" spans="1:34" s="160" customFormat="1" ht="34" x14ac:dyDescent="0.2">
      <c r="A1" s="155" t="s">
        <v>23</v>
      </c>
      <c r="B1" s="159" t="s">
        <v>0</v>
      </c>
      <c r="C1" s="177" t="s">
        <v>226</v>
      </c>
      <c r="D1" s="177" t="s">
        <v>227</v>
      </c>
      <c r="E1" s="177" t="s">
        <v>228</v>
      </c>
      <c r="F1" s="157" t="s">
        <v>229</v>
      </c>
      <c r="G1" s="157" t="s">
        <v>230</v>
      </c>
      <c r="H1" s="157" t="s">
        <v>231</v>
      </c>
      <c r="I1" s="157" t="s">
        <v>232</v>
      </c>
      <c r="J1" s="156" t="s">
        <v>233</v>
      </c>
      <c r="K1" s="156" t="s">
        <v>234</v>
      </c>
      <c r="L1" s="156" t="s">
        <v>235</v>
      </c>
      <c r="M1" s="156" t="s">
        <v>236</v>
      </c>
      <c r="N1" s="156" t="s">
        <v>237</v>
      </c>
      <c r="O1" s="156" t="s">
        <v>238</v>
      </c>
      <c r="P1" s="156" t="s">
        <v>239</v>
      </c>
      <c r="Q1" s="156" t="s">
        <v>240</v>
      </c>
      <c r="R1" s="157" t="s">
        <v>241</v>
      </c>
      <c r="S1" s="157" t="s">
        <v>242</v>
      </c>
      <c r="T1" s="157" t="s">
        <v>244</v>
      </c>
      <c r="U1" s="157" t="s">
        <v>245</v>
      </c>
      <c r="V1" s="157" t="s">
        <v>246</v>
      </c>
      <c r="W1" s="157" t="s">
        <v>247</v>
      </c>
      <c r="X1" s="157" t="s">
        <v>248</v>
      </c>
      <c r="Y1" s="157" t="s">
        <v>249</v>
      </c>
      <c r="Z1" s="157" t="s">
        <v>250</v>
      </c>
      <c r="AA1" s="157" t="s">
        <v>251</v>
      </c>
      <c r="AB1" s="157" t="s">
        <v>252</v>
      </c>
      <c r="AC1" s="157" t="s">
        <v>253</v>
      </c>
      <c r="AD1" s="157" t="s">
        <v>254</v>
      </c>
      <c r="AE1" s="157" t="s">
        <v>255</v>
      </c>
      <c r="AF1" s="157" t="s">
        <v>256</v>
      </c>
      <c r="AG1" s="157" t="s">
        <v>243</v>
      </c>
      <c r="AH1" s="157" t="s">
        <v>12</v>
      </c>
    </row>
    <row r="2" spans="1:34" ht="15" customHeight="1" x14ac:dyDescent="0.2">
      <c r="A2" s="110">
        <v>1</v>
      </c>
      <c r="B2" s="184" t="s">
        <v>181</v>
      </c>
      <c r="C2" s="192">
        <v>0</v>
      </c>
      <c r="D2" s="192">
        <v>0</v>
      </c>
      <c r="E2" s="192">
        <v>0</v>
      </c>
      <c r="F2" s="192">
        <v>0</v>
      </c>
      <c r="G2" s="192">
        <v>0</v>
      </c>
      <c r="H2" s="192">
        <v>0</v>
      </c>
      <c r="I2" s="192">
        <v>0</v>
      </c>
      <c r="J2" s="192">
        <v>0</v>
      </c>
      <c r="K2" s="192">
        <v>0</v>
      </c>
      <c r="L2" s="192">
        <v>0</v>
      </c>
      <c r="M2" s="192">
        <v>0</v>
      </c>
      <c r="N2" s="192">
        <v>0</v>
      </c>
      <c r="O2" s="192">
        <v>0</v>
      </c>
      <c r="P2" s="192">
        <v>0</v>
      </c>
      <c r="Q2" s="192">
        <v>0</v>
      </c>
      <c r="R2" s="192">
        <v>0</v>
      </c>
      <c r="S2" s="192">
        <v>0</v>
      </c>
      <c r="T2" s="192">
        <v>0</v>
      </c>
      <c r="U2" s="192">
        <v>0</v>
      </c>
      <c r="V2" s="192">
        <v>0</v>
      </c>
      <c r="W2" s="192">
        <v>0</v>
      </c>
      <c r="X2" s="192">
        <v>0</v>
      </c>
      <c r="Y2" s="192">
        <v>0</v>
      </c>
      <c r="Z2" s="192">
        <v>0</v>
      </c>
      <c r="AA2" s="192">
        <v>0</v>
      </c>
      <c r="AB2" s="192">
        <v>0</v>
      </c>
      <c r="AC2" s="192">
        <v>0</v>
      </c>
      <c r="AD2" s="192">
        <v>0</v>
      </c>
      <c r="AE2" s="192">
        <v>0</v>
      </c>
      <c r="AF2" s="192">
        <v>0</v>
      </c>
      <c r="AG2" s="192">
        <v>0</v>
      </c>
      <c r="AH2" s="191">
        <f>SUM(C2:AG2)</f>
        <v>0</v>
      </c>
    </row>
    <row r="3" spans="1:34" ht="15" customHeight="1" x14ac:dyDescent="0.2">
      <c r="A3" s="110">
        <v>2</v>
      </c>
      <c r="B3" s="184" t="s">
        <v>182</v>
      </c>
      <c r="C3" s="192">
        <v>0</v>
      </c>
      <c r="D3" s="192">
        <v>0</v>
      </c>
      <c r="E3" s="192">
        <v>0</v>
      </c>
      <c r="F3" s="192">
        <v>0</v>
      </c>
      <c r="G3" s="192">
        <v>0</v>
      </c>
      <c r="H3" s="192">
        <v>0</v>
      </c>
      <c r="I3" s="192">
        <v>0</v>
      </c>
      <c r="J3" s="192">
        <v>0</v>
      </c>
      <c r="K3" s="192">
        <v>0</v>
      </c>
      <c r="L3" s="192">
        <v>0</v>
      </c>
      <c r="M3" s="192">
        <v>0</v>
      </c>
      <c r="N3" s="192">
        <v>0</v>
      </c>
      <c r="O3" s="192">
        <v>0</v>
      </c>
      <c r="P3" s="192">
        <v>0</v>
      </c>
      <c r="Q3" s="192">
        <v>0</v>
      </c>
      <c r="R3" s="192">
        <v>0</v>
      </c>
      <c r="S3" s="192">
        <v>0</v>
      </c>
      <c r="T3" s="192">
        <v>0</v>
      </c>
      <c r="U3" s="192">
        <v>0</v>
      </c>
      <c r="V3" s="192">
        <v>0</v>
      </c>
      <c r="W3" s="192">
        <v>0</v>
      </c>
      <c r="X3" s="192">
        <v>0</v>
      </c>
      <c r="Y3" s="192">
        <v>0</v>
      </c>
      <c r="Z3" s="192">
        <v>0</v>
      </c>
      <c r="AA3" s="192">
        <v>0</v>
      </c>
      <c r="AB3" s="192">
        <v>0</v>
      </c>
      <c r="AC3" s="192">
        <v>0</v>
      </c>
      <c r="AD3" s="192">
        <v>0</v>
      </c>
      <c r="AE3" s="192">
        <v>0</v>
      </c>
      <c r="AF3" s="192">
        <v>0</v>
      </c>
      <c r="AG3" s="192">
        <v>0</v>
      </c>
      <c r="AH3" s="191">
        <f t="shared" ref="AH3:AH52" si="0">SUM(C3:AG3)</f>
        <v>0</v>
      </c>
    </row>
    <row r="4" spans="1:34" ht="15" customHeight="1" x14ac:dyDescent="0.2">
      <c r="A4" s="110">
        <v>3</v>
      </c>
      <c r="B4" s="184" t="s">
        <v>176</v>
      </c>
      <c r="C4" s="192">
        <v>0</v>
      </c>
      <c r="D4" s="192">
        <v>0</v>
      </c>
      <c r="E4" s="192">
        <v>0</v>
      </c>
      <c r="F4" s="192">
        <v>0</v>
      </c>
      <c r="G4" s="192">
        <v>0</v>
      </c>
      <c r="H4" s="192">
        <v>0</v>
      </c>
      <c r="I4" s="192">
        <v>0</v>
      </c>
      <c r="J4" s="192">
        <v>0</v>
      </c>
      <c r="K4" s="192">
        <v>0</v>
      </c>
      <c r="L4" s="192">
        <v>0</v>
      </c>
      <c r="M4" s="192">
        <v>0</v>
      </c>
      <c r="N4" s="192">
        <v>0</v>
      </c>
      <c r="O4" s="192">
        <v>0</v>
      </c>
      <c r="P4" s="192">
        <v>0</v>
      </c>
      <c r="Q4" s="192">
        <v>0</v>
      </c>
      <c r="R4" s="192">
        <v>0</v>
      </c>
      <c r="S4" s="192">
        <v>0</v>
      </c>
      <c r="T4" s="192">
        <v>0</v>
      </c>
      <c r="U4" s="192">
        <v>0</v>
      </c>
      <c r="V4" s="192">
        <v>0</v>
      </c>
      <c r="W4" s="192">
        <v>0</v>
      </c>
      <c r="X4" s="192">
        <v>0</v>
      </c>
      <c r="Y4" s="192">
        <v>0</v>
      </c>
      <c r="Z4" s="192">
        <v>0</v>
      </c>
      <c r="AA4" s="192">
        <v>0</v>
      </c>
      <c r="AB4" s="192">
        <v>0</v>
      </c>
      <c r="AC4" s="192">
        <v>0</v>
      </c>
      <c r="AD4" s="192">
        <v>0</v>
      </c>
      <c r="AE4" s="192">
        <v>0</v>
      </c>
      <c r="AF4" s="192">
        <v>0</v>
      </c>
      <c r="AG4" s="192">
        <v>0</v>
      </c>
      <c r="AH4" s="191">
        <f t="shared" si="0"/>
        <v>0</v>
      </c>
    </row>
    <row r="5" spans="1:34" ht="15" customHeight="1" x14ac:dyDescent="0.2">
      <c r="A5" s="110">
        <v>4</v>
      </c>
      <c r="B5" s="184" t="s">
        <v>183</v>
      </c>
      <c r="C5" s="192">
        <v>0</v>
      </c>
      <c r="D5" s="192">
        <v>0</v>
      </c>
      <c r="E5" s="192">
        <v>0</v>
      </c>
      <c r="F5" s="192">
        <v>0</v>
      </c>
      <c r="G5" s="192">
        <v>0</v>
      </c>
      <c r="H5" s="192">
        <v>0</v>
      </c>
      <c r="I5" s="192">
        <v>0</v>
      </c>
      <c r="J5" s="192">
        <v>0</v>
      </c>
      <c r="K5" s="192">
        <v>0</v>
      </c>
      <c r="L5" s="192">
        <v>0</v>
      </c>
      <c r="M5" s="192">
        <v>0</v>
      </c>
      <c r="N5" s="192">
        <v>0</v>
      </c>
      <c r="O5" s="192">
        <v>0</v>
      </c>
      <c r="P5" s="192">
        <v>0</v>
      </c>
      <c r="Q5" s="192">
        <v>0</v>
      </c>
      <c r="R5" s="192">
        <v>0</v>
      </c>
      <c r="S5" s="192">
        <v>0</v>
      </c>
      <c r="T5" s="192">
        <v>0</v>
      </c>
      <c r="U5" s="192">
        <v>0</v>
      </c>
      <c r="V5" s="192">
        <v>0</v>
      </c>
      <c r="W5" s="192">
        <v>0</v>
      </c>
      <c r="X5" s="192">
        <v>0</v>
      </c>
      <c r="Y5" s="192">
        <v>0</v>
      </c>
      <c r="Z5" s="192">
        <v>0</v>
      </c>
      <c r="AA5" s="192">
        <v>0</v>
      </c>
      <c r="AB5" s="192">
        <v>0</v>
      </c>
      <c r="AC5" s="192">
        <v>0</v>
      </c>
      <c r="AD5" s="192">
        <v>0</v>
      </c>
      <c r="AE5" s="192">
        <v>0</v>
      </c>
      <c r="AF5" s="192">
        <v>0</v>
      </c>
      <c r="AG5" s="192">
        <v>0</v>
      </c>
      <c r="AH5" s="191">
        <f t="shared" si="0"/>
        <v>0</v>
      </c>
    </row>
    <row r="6" spans="1:34" ht="15" customHeight="1" x14ac:dyDescent="0.2">
      <c r="A6" s="110">
        <v>5</v>
      </c>
      <c r="B6" s="184" t="s">
        <v>184</v>
      </c>
      <c r="C6" s="192">
        <v>0</v>
      </c>
      <c r="D6" s="192">
        <v>0</v>
      </c>
      <c r="E6" s="192">
        <v>0</v>
      </c>
      <c r="F6" s="192">
        <v>0</v>
      </c>
      <c r="G6" s="192">
        <v>0</v>
      </c>
      <c r="H6" s="192">
        <v>0</v>
      </c>
      <c r="I6" s="192">
        <v>0</v>
      </c>
      <c r="J6" s="192">
        <v>0</v>
      </c>
      <c r="K6" s="192">
        <v>0</v>
      </c>
      <c r="L6" s="192">
        <v>0</v>
      </c>
      <c r="M6" s="192">
        <v>0</v>
      </c>
      <c r="N6" s="192">
        <v>0</v>
      </c>
      <c r="O6" s="192">
        <v>0</v>
      </c>
      <c r="P6" s="192">
        <v>0</v>
      </c>
      <c r="Q6" s="192">
        <v>0</v>
      </c>
      <c r="R6" s="192">
        <v>0</v>
      </c>
      <c r="S6" s="192">
        <v>0</v>
      </c>
      <c r="T6" s="192">
        <v>0</v>
      </c>
      <c r="U6" s="192">
        <v>0</v>
      </c>
      <c r="V6" s="192">
        <v>0</v>
      </c>
      <c r="W6" s="192">
        <v>0</v>
      </c>
      <c r="X6" s="192">
        <v>0</v>
      </c>
      <c r="Y6" s="192">
        <v>0</v>
      </c>
      <c r="Z6" s="192">
        <v>0</v>
      </c>
      <c r="AA6" s="192">
        <v>0</v>
      </c>
      <c r="AB6" s="192">
        <v>0</v>
      </c>
      <c r="AC6" s="192">
        <v>0</v>
      </c>
      <c r="AD6" s="192">
        <v>0</v>
      </c>
      <c r="AE6" s="192">
        <v>0</v>
      </c>
      <c r="AF6" s="192">
        <v>0</v>
      </c>
      <c r="AG6" s="192">
        <v>0</v>
      </c>
      <c r="AH6" s="191">
        <f t="shared" si="0"/>
        <v>0</v>
      </c>
    </row>
    <row r="7" spans="1:34" ht="15" customHeight="1" x14ac:dyDescent="0.2">
      <c r="A7" s="110">
        <v>6</v>
      </c>
      <c r="B7" s="184" t="s">
        <v>185</v>
      </c>
      <c r="C7" s="192">
        <v>0</v>
      </c>
      <c r="D7" s="192">
        <v>0</v>
      </c>
      <c r="E7" s="192">
        <v>0</v>
      </c>
      <c r="F7" s="192">
        <v>0</v>
      </c>
      <c r="G7" s="192">
        <v>0</v>
      </c>
      <c r="H7" s="192">
        <v>0</v>
      </c>
      <c r="I7" s="192">
        <v>0</v>
      </c>
      <c r="J7" s="192">
        <v>0</v>
      </c>
      <c r="K7" s="192">
        <v>0</v>
      </c>
      <c r="L7" s="192">
        <v>0</v>
      </c>
      <c r="M7" s="192">
        <v>0</v>
      </c>
      <c r="N7" s="192">
        <v>0</v>
      </c>
      <c r="O7" s="192">
        <v>0</v>
      </c>
      <c r="P7" s="192">
        <v>0</v>
      </c>
      <c r="Q7" s="192">
        <v>0</v>
      </c>
      <c r="R7" s="192">
        <v>0</v>
      </c>
      <c r="S7" s="192">
        <v>0</v>
      </c>
      <c r="T7" s="192">
        <v>0</v>
      </c>
      <c r="U7" s="192">
        <v>0</v>
      </c>
      <c r="V7" s="192">
        <v>0</v>
      </c>
      <c r="W7" s="192">
        <v>0</v>
      </c>
      <c r="X7" s="192">
        <v>0</v>
      </c>
      <c r="Y7" s="192">
        <v>0</v>
      </c>
      <c r="Z7" s="192">
        <v>0</v>
      </c>
      <c r="AA7" s="192">
        <v>0</v>
      </c>
      <c r="AB7" s="192">
        <v>0</v>
      </c>
      <c r="AC7" s="192">
        <v>0</v>
      </c>
      <c r="AD7" s="192">
        <v>0</v>
      </c>
      <c r="AE7" s="192">
        <v>0</v>
      </c>
      <c r="AF7" s="192">
        <v>0</v>
      </c>
      <c r="AG7" s="192">
        <v>0</v>
      </c>
      <c r="AH7" s="191">
        <f t="shared" si="0"/>
        <v>0</v>
      </c>
    </row>
    <row r="8" spans="1:34" ht="15" customHeight="1" x14ac:dyDescent="0.2">
      <c r="A8" s="110">
        <v>7</v>
      </c>
      <c r="B8" s="184" t="s">
        <v>186</v>
      </c>
      <c r="C8" s="192">
        <v>0</v>
      </c>
      <c r="D8" s="192">
        <v>0</v>
      </c>
      <c r="E8" s="192">
        <v>0</v>
      </c>
      <c r="F8" s="192">
        <v>0</v>
      </c>
      <c r="G8" s="192">
        <v>0</v>
      </c>
      <c r="H8" s="192">
        <v>0</v>
      </c>
      <c r="I8" s="192">
        <v>0</v>
      </c>
      <c r="J8" s="192">
        <v>0</v>
      </c>
      <c r="K8" s="192">
        <v>0</v>
      </c>
      <c r="L8" s="192">
        <v>0</v>
      </c>
      <c r="M8" s="192">
        <v>0</v>
      </c>
      <c r="N8" s="192">
        <v>0</v>
      </c>
      <c r="O8" s="192">
        <v>0</v>
      </c>
      <c r="P8" s="192">
        <v>0</v>
      </c>
      <c r="Q8" s="192">
        <v>0</v>
      </c>
      <c r="R8" s="192">
        <v>0</v>
      </c>
      <c r="S8" s="192">
        <v>0</v>
      </c>
      <c r="T8" s="192">
        <v>0</v>
      </c>
      <c r="U8" s="192">
        <v>0</v>
      </c>
      <c r="V8" s="192">
        <v>0</v>
      </c>
      <c r="W8" s="192">
        <v>0</v>
      </c>
      <c r="X8" s="192">
        <v>0</v>
      </c>
      <c r="Y8" s="192">
        <v>0</v>
      </c>
      <c r="Z8" s="192">
        <v>0</v>
      </c>
      <c r="AA8" s="192">
        <v>0</v>
      </c>
      <c r="AB8" s="192">
        <v>0</v>
      </c>
      <c r="AC8" s="192">
        <v>0</v>
      </c>
      <c r="AD8" s="192">
        <v>0</v>
      </c>
      <c r="AE8" s="192">
        <v>0</v>
      </c>
      <c r="AF8" s="192">
        <v>0</v>
      </c>
      <c r="AG8" s="192">
        <v>0</v>
      </c>
      <c r="AH8" s="191">
        <f t="shared" si="0"/>
        <v>0</v>
      </c>
    </row>
    <row r="9" spans="1:34" ht="15" customHeight="1" x14ac:dyDescent="0.2">
      <c r="A9" s="110">
        <v>8</v>
      </c>
      <c r="B9" s="184" t="s">
        <v>187</v>
      </c>
      <c r="C9" s="192">
        <v>0</v>
      </c>
      <c r="D9" s="192">
        <v>0</v>
      </c>
      <c r="E9" s="192">
        <v>0</v>
      </c>
      <c r="F9" s="192">
        <v>0</v>
      </c>
      <c r="G9" s="192">
        <v>0</v>
      </c>
      <c r="H9" s="192">
        <v>0</v>
      </c>
      <c r="I9" s="192">
        <v>0</v>
      </c>
      <c r="J9" s="192">
        <v>0</v>
      </c>
      <c r="K9" s="192">
        <v>0</v>
      </c>
      <c r="L9" s="192">
        <v>0</v>
      </c>
      <c r="M9" s="192">
        <v>0</v>
      </c>
      <c r="N9" s="192">
        <v>0</v>
      </c>
      <c r="O9" s="192">
        <v>0</v>
      </c>
      <c r="P9" s="192">
        <v>0</v>
      </c>
      <c r="Q9" s="192">
        <v>0</v>
      </c>
      <c r="R9" s="192">
        <v>0</v>
      </c>
      <c r="S9" s="192">
        <v>0</v>
      </c>
      <c r="T9" s="192">
        <v>0</v>
      </c>
      <c r="U9" s="192">
        <v>0</v>
      </c>
      <c r="V9" s="192">
        <v>0</v>
      </c>
      <c r="W9" s="192">
        <v>0</v>
      </c>
      <c r="X9" s="192">
        <v>0</v>
      </c>
      <c r="Y9" s="192">
        <v>0</v>
      </c>
      <c r="Z9" s="192">
        <v>0</v>
      </c>
      <c r="AA9" s="192">
        <v>0</v>
      </c>
      <c r="AB9" s="192">
        <v>0</v>
      </c>
      <c r="AC9" s="192">
        <v>0</v>
      </c>
      <c r="AD9" s="192">
        <v>0</v>
      </c>
      <c r="AE9" s="192">
        <v>0</v>
      </c>
      <c r="AF9" s="192">
        <v>0</v>
      </c>
      <c r="AG9" s="192">
        <v>0</v>
      </c>
      <c r="AH9" s="191">
        <f t="shared" si="0"/>
        <v>0</v>
      </c>
    </row>
    <row r="10" spans="1:34" ht="15" customHeight="1" x14ac:dyDescent="0.2">
      <c r="A10" s="110">
        <v>9</v>
      </c>
      <c r="B10" s="184" t="s">
        <v>189</v>
      </c>
      <c r="C10" s="192">
        <v>0</v>
      </c>
      <c r="D10" s="192">
        <v>0</v>
      </c>
      <c r="E10" s="192">
        <v>0</v>
      </c>
      <c r="F10" s="192">
        <v>0</v>
      </c>
      <c r="G10" s="192">
        <v>0</v>
      </c>
      <c r="H10" s="192">
        <v>0</v>
      </c>
      <c r="I10" s="192">
        <v>0</v>
      </c>
      <c r="J10" s="192">
        <v>0</v>
      </c>
      <c r="K10" s="192">
        <v>0</v>
      </c>
      <c r="L10" s="192">
        <v>0</v>
      </c>
      <c r="M10" s="192">
        <v>0</v>
      </c>
      <c r="N10" s="192">
        <v>0</v>
      </c>
      <c r="O10" s="192">
        <v>0</v>
      </c>
      <c r="P10" s="192">
        <v>0</v>
      </c>
      <c r="Q10" s="192">
        <v>0</v>
      </c>
      <c r="R10" s="192">
        <v>0</v>
      </c>
      <c r="S10" s="192">
        <v>0</v>
      </c>
      <c r="T10" s="192">
        <v>0</v>
      </c>
      <c r="U10" s="192">
        <v>0</v>
      </c>
      <c r="V10" s="192">
        <v>0</v>
      </c>
      <c r="W10" s="192">
        <v>0</v>
      </c>
      <c r="X10" s="192">
        <v>0</v>
      </c>
      <c r="Y10" s="192">
        <v>0</v>
      </c>
      <c r="Z10" s="192">
        <v>0</v>
      </c>
      <c r="AA10" s="192">
        <v>0</v>
      </c>
      <c r="AB10" s="192">
        <v>0</v>
      </c>
      <c r="AC10" s="192">
        <v>0</v>
      </c>
      <c r="AD10" s="192">
        <v>0</v>
      </c>
      <c r="AE10" s="192">
        <v>0</v>
      </c>
      <c r="AF10" s="192">
        <v>0</v>
      </c>
      <c r="AG10" s="192">
        <v>0</v>
      </c>
      <c r="AH10" s="191">
        <f t="shared" si="0"/>
        <v>0</v>
      </c>
    </row>
    <row r="11" spans="1:34" ht="15" customHeight="1" x14ac:dyDescent="0.2">
      <c r="A11" s="110">
        <v>10</v>
      </c>
      <c r="B11" s="184" t="s">
        <v>190</v>
      </c>
      <c r="C11" s="192">
        <v>0</v>
      </c>
      <c r="D11" s="192">
        <v>0</v>
      </c>
      <c r="E11" s="192">
        <v>0</v>
      </c>
      <c r="F11" s="192">
        <v>0</v>
      </c>
      <c r="G11" s="192">
        <v>0</v>
      </c>
      <c r="H11" s="192">
        <v>0</v>
      </c>
      <c r="I11" s="192">
        <v>0</v>
      </c>
      <c r="J11" s="192">
        <v>0</v>
      </c>
      <c r="K11" s="192">
        <v>0</v>
      </c>
      <c r="L11" s="192">
        <v>0</v>
      </c>
      <c r="M11" s="192">
        <v>0</v>
      </c>
      <c r="N11" s="192">
        <v>0</v>
      </c>
      <c r="O11" s="192">
        <v>0</v>
      </c>
      <c r="P11" s="192">
        <v>0</v>
      </c>
      <c r="Q11" s="192">
        <v>0</v>
      </c>
      <c r="R11" s="192">
        <v>0</v>
      </c>
      <c r="S11" s="192">
        <v>0</v>
      </c>
      <c r="T11" s="192">
        <v>0</v>
      </c>
      <c r="U11" s="192">
        <v>0</v>
      </c>
      <c r="V11" s="192">
        <v>0</v>
      </c>
      <c r="W11" s="192">
        <v>0</v>
      </c>
      <c r="X11" s="192">
        <v>0</v>
      </c>
      <c r="Y11" s="192">
        <v>0</v>
      </c>
      <c r="Z11" s="192">
        <v>0</v>
      </c>
      <c r="AA11" s="192">
        <v>0</v>
      </c>
      <c r="AB11" s="192">
        <v>0</v>
      </c>
      <c r="AC11" s="192">
        <v>0</v>
      </c>
      <c r="AD11" s="192">
        <v>0</v>
      </c>
      <c r="AE11" s="192">
        <v>0</v>
      </c>
      <c r="AF11" s="192">
        <v>0</v>
      </c>
      <c r="AG11" s="192">
        <v>0</v>
      </c>
      <c r="AH11" s="191">
        <f t="shared" si="0"/>
        <v>0</v>
      </c>
    </row>
    <row r="12" spans="1:34" ht="15" customHeight="1" x14ac:dyDescent="0.2">
      <c r="A12" s="110">
        <v>11</v>
      </c>
      <c r="B12" s="184" t="s">
        <v>191</v>
      </c>
      <c r="C12" s="192">
        <v>0</v>
      </c>
      <c r="D12" s="192">
        <v>0</v>
      </c>
      <c r="E12" s="192">
        <v>0</v>
      </c>
      <c r="F12" s="192">
        <v>0</v>
      </c>
      <c r="G12" s="192">
        <v>0</v>
      </c>
      <c r="H12" s="192">
        <v>0</v>
      </c>
      <c r="I12" s="192">
        <v>0</v>
      </c>
      <c r="J12" s="192">
        <v>0</v>
      </c>
      <c r="K12" s="192">
        <v>0</v>
      </c>
      <c r="L12" s="192">
        <v>0</v>
      </c>
      <c r="M12" s="192">
        <v>0</v>
      </c>
      <c r="N12" s="192">
        <v>0</v>
      </c>
      <c r="O12" s="192">
        <v>0</v>
      </c>
      <c r="P12" s="192">
        <v>0</v>
      </c>
      <c r="Q12" s="192">
        <v>0</v>
      </c>
      <c r="R12" s="192">
        <v>0</v>
      </c>
      <c r="S12" s="192">
        <v>0</v>
      </c>
      <c r="T12" s="192">
        <v>0</v>
      </c>
      <c r="U12" s="192">
        <v>0</v>
      </c>
      <c r="V12" s="192">
        <v>0</v>
      </c>
      <c r="W12" s="192">
        <v>0</v>
      </c>
      <c r="X12" s="192">
        <v>0</v>
      </c>
      <c r="Y12" s="192">
        <v>0</v>
      </c>
      <c r="Z12" s="192">
        <v>0</v>
      </c>
      <c r="AA12" s="192">
        <v>0</v>
      </c>
      <c r="AB12" s="192">
        <v>0</v>
      </c>
      <c r="AC12" s="192">
        <v>0</v>
      </c>
      <c r="AD12" s="192">
        <v>0</v>
      </c>
      <c r="AE12" s="192">
        <v>0</v>
      </c>
      <c r="AF12" s="192">
        <v>0</v>
      </c>
      <c r="AG12" s="192">
        <v>0</v>
      </c>
      <c r="AH12" s="191">
        <f t="shared" si="0"/>
        <v>0</v>
      </c>
    </row>
    <row r="13" spans="1:34" ht="15" customHeight="1" x14ac:dyDescent="0.2">
      <c r="A13" s="110">
        <v>12</v>
      </c>
      <c r="B13" s="184" t="s">
        <v>192</v>
      </c>
      <c r="C13" s="192">
        <v>0</v>
      </c>
      <c r="D13" s="192">
        <v>0</v>
      </c>
      <c r="E13" s="192">
        <v>0</v>
      </c>
      <c r="F13" s="192">
        <v>0</v>
      </c>
      <c r="G13" s="192">
        <v>0</v>
      </c>
      <c r="H13" s="192">
        <v>0</v>
      </c>
      <c r="I13" s="192">
        <v>0</v>
      </c>
      <c r="J13" s="192">
        <v>0</v>
      </c>
      <c r="K13" s="192">
        <v>0</v>
      </c>
      <c r="L13" s="192">
        <v>0</v>
      </c>
      <c r="M13" s="192">
        <v>0</v>
      </c>
      <c r="N13" s="192">
        <v>0</v>
      </c>
      <c r="O13" s="192">
        <v>0</v>
      </c>
      <c r="P13" s="192">
        <v>0</v>
      </c>
      <c r="Q13" s="192">
        <v>0</v>
      </c>
      <c r="R13" s="192">
        <v>0</v>
      </c>
      <c r="S13" s="192">
        <v>0</v>
      </c>
      <c r="T13" s="192">
        <v>0</v>
      </c>
      <c r="U13" s="192">
        <v>0</v>
      </c>
      <c r="V13" s="192">
        <v>0</v>
      </c>
      <c r="W13" s="192">
        <v>0</v>
      </c>
      <c r="X13" s="192">
        <v>0</v>
      </c>
      <c r="Y13" s="192">
        <v>0</v>
      </c>
      <c r="Z13" s="192">
        <v>0</v>
      </c>
      <c r="AA13" s="192">
        <v>0</v>
      </c>
      <c r="AB13" s="192">
        <v>0</v>
      </c>
      <c r="AC13" s="192">
        <v>0</v>
      </c>
      <c r="AD13" s="192">
        <v>0</v>
      </c>
      <c r="AE13" s="192">
        <v>0</v>
      </c>
      <c r="AF13" s="192">
        <v>0</v>
      </c>
      <c r="AG13" s="192">
        <v>0</v>
      </c>
      <c r="AH13" s="191">
        <f t="shared" si="0"/>
        <v>0</v>
      </c>
    </row>
    <row r="14" spans="1:34" ht="15" customHeight="1" x14ac:dyDescent="0.2">
      <c r="A14" s="110">
        <v>13</v>
      </c>
      <c r="B14" s="184" t="s">
        <v>193</v>
      </c>
      <c r="C14" s="192">
        <v>0</v>
      </c>
      <c r="D14" s="192">
        <v>0</v>
      </c>
      <c r="E14" s="192">
        <v>0</v>
      </c>
      <c r="F14" s="192">
        <v>0</v>
      </c>
      <c r="G14" s="192">
        <v>0</v>
      </c>
      <c r="H14" s="192">
        <v>0</v>
      </c>
      <c r="I14" s="192">
        <v>0</v>
      </c>
      <c r="J14" s="192">
        <v>0</v>
      </c>
      <c r="K14" s="192">
        <v>0</v>
      </c>
      <c r="L14" s="192">
        <v>0</v>
      </c>
      <c r="M14" s="192">
        <v>0</v>
      </c>
      <c r="N14" s="192">
        <v>0</v>
      </c>
      <c r="O14" s="192">
        <v>0</v>
      </c>
      <c r="P14" s="192">
        <v>0</v>
      </c>
      <c r="Q14" s="192">
        <v>0</v>
      </c>
      <c r="R14" s="192">
        <v>0</v>
      </c>
      <c r="S14" s="192">
        <v>0</v>
      </c>
      <c r="T14" s="192">
        <v>0</v>
      </c>
      <c r="U14" s="192">
        <v>0</v>
      </c>
      <c r="V14" s="192">
        <v>0</v>
      </c>
      <c r="W14" s="192">
        <v>0</v>
      </c>
      <c r="X14" s="192">
        <v>0</v>
      </c>
      <c r="Y14" s="192">
        <v>0</v>
      </c>
      <c r="Z14" s="192">
        <v>0</v>
      </c>
      <c r="AA14" s="192">
        <v>0</v>
      </c>
      <c r="AB14" s="192">
        <v>0</v>
      </c>
      <c r="AC14" s="192">
        <v>0</v>
      </c>
      <c r="AD14" s="192">
        <v>0</v>
      </c>
      <c r="AE14" s="192">
        <v>0</v>
      </c>
      <c r="AF14" s="192">
        <v>0</v>
      </c>
      <c r="AG14" s="192">
        <v>0</v>
      </c>
      <c r="AH14" s="191">
        <f t="shared" si="0"/>
        <v>0</v>
      </c>
    </row>
    <row r="15" spans="1:34" ht="15" customHeight="1" x14ac:dyDescent="0.2">
      <c r="A15" s="110">
        <v>14</v>
      </c>
      <c r="B15" s="184" t="s">
        <v>194</v>
      </c>
      <c r="C15" s="192">
        <v>0</v>
      </c>
      <c r="D15" s="192">
        <v>0</v>
      </c>
      <c r="E15" s="192">
        <v>0</v>
      </c>
      <c r="F15" s="192">
        <v>0</v>
      </c>
      <c r="G15" s="192">
        <v>0</v>
      </c>
      <c r="H15" s="192">
        <v>0</v>
      </c>
      <c r="I15" s="192">
        <v>0</v>
      </c>
      <c r="J15" s="192">
        <v>0</v>
      </c>
      <c r="K15" s="192">
        <v>0</v>
      </c>
      <c r="L15" s="192">
        <v>0</v>
      </c>
      <c r="M15" s="192">
        <v>0</v>
      </c>
      <c r="N15" s="192">
        <v>0</v>
      </c>
      <c r="O15" s="192">
        <v>0</v>
      </c>
      <c r="P15" s="192">
        <v>0</v>
      </c>
      <c r="Q15" s="192">
        <v>0</v>
      </c>
      <c r="R15" s="192">
        <v>0</v>
      </c>
      <c r="S15" s="192">
        <v>0</v>
      </c>
      <c r="T15" s="192">
        <v>0</v>
      </c>
      <c r="U15" s="192">
        <v>0</v>
      </c>
      <c r="V15" s="192">
        <v>0</v>
      </c>
      <c r="W15" s="192">
        <v>0</v>
      </c>
      <c r="X15" s="192">
        <v>0</v>
      </c>
      <c r="Y15" s="192">
        <v>0</v>
      </c>
      <c r="Z15" s="192">
        <v>0</v>
      </c>
      <c r="AA15" s="192">
        <v>0</v>
      </c>
      <c r="AB15" s="192">
        <v>0</v>
      </c>
      <c r="AC15" s="192">
        <v>0</v>
      </c>
      <c r="AD15" s="192">
        <v>0</v>
      </c>
      <c r="AE15" s="192">
        <v>0</v>
      </c>
      <c r="AF15" s="192">
        <v>0</v>
      </c>
      <c r="AG15" s="192">
        <v>0</v>
      </c>
      <c r="AH15" s="191">
        <f t="shared" si="0"/>
        <v>0</v>
      </c>
    </row>
    <row r="16" spans="1:34" ht="15" customHeight="1" x14ac:dyDescent="0.2">
      <c r="A16" s="110">
        <v>15</v>
      </c>
      <c r="B16" s="184" t="s">
        <v>195</v>
      </c>
      <c r="C16" s="192">
        <v>0</v>
      </c>
      <c r="D16" s="192">
        <v>0</v>
      </c>
      <c r="E16" s="192">
        <v>0</v>
      </c>
      <c r="F16" s="192">
        <v>0</v>
      </c>
      <c r="G16" s="192">
        <v>0</v>
      </c>
      <c r="H16" s="192">
        <v>0</v>
      </c>
      <c r="I16" s="192">
        <v>0</v>
      </c>
      <c r="J16" s="192">
        <v>0</v>
      </c>
      <c r="K16" s="192">
        <v>0</v>
      </c>
      <c r="L16" s="192">
        <v>0</v>
      </c>
      <c r="M16" s="192">
        <v>0</v>
      </c>
      <c r="N16" s="192">
        <v>0</v>
      </c>
      <c r="O16" s="192">
        <v>0</v>
      </c>
      <c r="P16" s="192">
        <v>0</v>
      </c>
      <c r="Q16" s="192">
        <v>0</v>
      </c>
      <c r="R16" s="192">
        <v>0</v>
      </c>
      <c r="S16" s="192">
        <v>0</v>
      </c>
      <c r="T16" s="192">
        <v>0</v>
      </c>
      <c r="U16" s="192">
        <v>0</v>
      </c>
      <c r="V16" s="192">
        <v>0</v>
      </c>
      <c r="W16" s="192">
        <v>0</v>
      </c>
      <c r="X16" s="192">
        <v>0</v>
      </c>
      <c r="Y16" s="192">
        <v>0</v>
      </c>
      <c r="Z16" s="192">
        <v>0</v>
      </c>
      <c r="AA16" s="192">
        <v>0</v>
      </c>
      <c r="AB16" s="192">
        <v>0</v>
      </c>
      <c r="AC16" s="192">
        <v>0</v>
      </c>
      <c r="AD16" s="192">
        <v>0</v>
      </c>
      <c r="AE16" s="192">
        <v>0</v>
      </c>
      <c r="AF16" s="192">
        <v>0</v>
      </c>
      <c r="AG16" s="192">
        <v>0</v>
      </c>
      <c r="AH16" s="191">
        <f t="shared" si="0"/>
        <v>0</v>
      </c>
    </row>
    <row r="17" spans="1:34" ht="15" customHeight="1" x14ac:dyDescent="0.2">
      <c r="A17" s="110">
        <v>16</v>
      </c>
      <c r="B17" s="184" t="s">
        <v>196</v>
      </c>
      <c r="C17" s="192">
        <v>0</v>
      </c>
      <c r="D17" s="192">
        <v>0</v>
      </c>
      <c r="E17" s="192">
        <v>0</v>
      </c>
      <c r="F17" s="192">
        <v>0</v>
      </c>
      <c r="G17" s="192">
        <v>0</v>
      </c>
      <c r="H17" s="192">
        <v>0</v>
      </c>
      <c r="I17" s="192">
        <v>0</v>
      </c>
      <c r="J17" s="192">
        <v>0</v>
      </c>
      <c r="K17" s="192">
        <v>0</v>
      </c>
      <c r="L17" s="192">
        <v>0</v>
      </c>
      <c r="M17" s="192">
        <v>0</v>
      </c>
      <c r="N17" s="192">
        <v>0</v>
      </c>
      <c r="O17" s="192">
        <v>0</v>
      </c>
      <c r="P17" s="192">
        <v>0</v>
      </c>
      <c r="Q17" s="192">
        <v>0</v>
      </c>
      <c r="R17" s="192">
        <v>0</v>
      </c>
      <c r="S17" s="192">
        <v>0</v>
      </c>
      <c r="T17" s="192">
        <v>0</v>
      </c>
      <c r="U17" s="192">
        <v>0</v>
      </c>
      <c r="V17" s="192">
        <v>0</v>
      </c>
      <c r="W17" s="192">
        <v>0</v>
      </c>
      <c r="X17" s="192">
        <v>0</v>
      </c>
      <c r="Y17" s="192">
        <v>0</v>
      </c>
      <c r="Z17" s="192">
        <v>0</v>
      </c>
      <c r="AA17" s="192">
        <v>0</v>
      </c>
      <c r="AB17" s="192">
        <v>0</v>
      </c>
      <c r="AC17" s="192">
        <v>0</v>
      </c>
      <c r="AD17" s="192">
        <v>0</v>
      </c>
      <c r="AE17" s="192">
        <v>0</v>
      </c>
      <c r="AF17" s="192">
        <v>0</v>
      </c>
      <c r="AG17" s="192">
        <v>0</v>
      </c>
      <c r="AH17" s="191">
        <f t="shared" si="0"/>
        <v>0</v>
      </c>
    </row>
    <row r="18" spans="1:34" ht="15" customHeight="1" x14ac:dyDescent="0.2">
      <c r="A18" s="110">
        <v>17</v>
      </c>
      <c r="B18" s="184" t="s">
        <v>197</v>
      </c>
      <c r="C18" s="192">
        <v>0</v>
      </c>
      <c r="D18" s="192">
        <v>0</v>
      </c>
      <c r="E18" s="192">
        <v>0</v>
      </c>
      <c r="F18" s="192">
        <v>0</v>
      </c>
      <c r="G18" s="192">
        <v>0</v>
      </c>
      <c r="H18" s="192">
        <v>0</v>
      </c>
      <c r="I18" s="192">
        <v>0</v>
      </c>
      <c r="J18" s="192">
        <v>0</v>
      </c>
      <c r="K18" s="192">
        <v>0</v>
      </c>
      <c r="L18" s="192">
        <v>0</v>
      </c>
      <c r="M18" s="192">
        <v>0</v>
      </c>
      <c r="N18" s="192">
        <v>0</v>
      </c>
      <c r="O18" s="192">
        <v>0</v>
      </c>
      <c r="P18" s="192">
        <v>0</v>
      </c>
      <c r="Q18" s="192">
        <v>0</v>
      </c>
      <c r="R18" s="192">
        <v>0</v>
      </c>
      <c r="S18" s="192">
        <v>0</v>
      </c>
      <c r="T18" s="192">
        <v>0</v>
      </c>
      <c r="U18" s="192">
        <v>0</v>
      </c>
      <c r="V18" s="192">
        <v>0</v>
      </c>
      <c r="W18" s="192">
        <v>0</v>
      </c>
      <c r="X18" s="192">
        <v>0</v>
      </c>
      <c r="Y18" s="192">
        <v>0</v>
      </c>
      <c r="Z18" s="192">
        <v>0</v>
      </c>
      <c r="AA18" s="192">
        <v>0</v>
      </c>
      <c r="AB18" s="192">
        <v>0</v>
      </c>
      <c r="AC18" s="192">
        <v>0</v>
      </c>
      <c r="AD18" s="192">
        <v>0</v>
      </c>
      <c r="AE18" s="192">
        <v>0</v>
      </c>
      <c r="AF18" s="192">
        <v>0</v>
      </c>
      <c r="AG18" s="192">
        <v>0</v>
      </c>
      <c r="AH18" s="191">
        <f t="shared" si="0"/>
        <v>0</v>
      </c>
    </row>
    <row r="19" spans="1:34" ht="15" customHeight="1" x14ac:dyDescent="0.2">
      <c r="A19" s="110">
        <v>18</v>
      </c>
      <c r="B19" s="184" t="s">
        <v>198</v>
      </c>
      <c r="C19" s="192">
        <v>0</v>
      </c>
      <c r="D19" s="192">
        <v>0</v>
      </c>
      <c r="E19" s="192">
        <v>0</v>
      </c>
      <c r="F19" s="192">
        <v>0</v>
      </c>
      <c r="G19" s="192">
        <v>0</v>
      </c>
      <c r="H19" s="192">
        <v>0</v>
      </c>
      <c r="I19" s="192">
        <v>0</v>
      </c>
      <c r="J19" s="192">
        <v>0</v>
      </c>
      <c r="K19" s="192">
        <v>0</v>
      </c>
      <c r="L19" s="192">
        <v>0</v>
      </c>
      <c r="M19" s="192">
        <v>0</v>
      </c>
      <c r="N19" s="192">
        <v>0</v>
      </c>
      <c r="O19" s="192">
        <v>0</v>
      </c>
      <c r="P19" s="192">
        <v>0</v>
      </c>
      <c r="Q19" s="192">
        <v>0</v>
      </c>
      <c r="R19" s="192">
        <v>0</v>
      </c>
      <c r="S19" s="192">
        <v>0</v>
      </c>
      <c r="T19" s="192">
        <v>0</v>
      </c>
      <c r="U19" s="192">
        <v>0</v>
      </c>
      <c r="V19" s="192">
        <v>0</v>
      </c>
      <c r="W19" s="192">
        <v>0</v>
      </c>
      <c r="X19" s="192">
        <v>0</v>
      </c>
      <c r="Y19" s="192">
        <v>0</v>
      </c>
      <c r="Z19" s="192">
        <v>0</v>
      </c>
      <c r="AA19" s="192">
        <v>0</v>
      </c>
      <c r="AB19" s="192">
        <v>0</v>
      </c>
      <c r="AC19" s="192">
        <v>0</v>
      </c>
      <c r="AD19" s="192">
        <v>0</v>
      </c>
      <c r="AE19" s="192">
        <v>0</v>
      </c>
      <c r="AF19" s="192">
        <v>0</v>
      </c>
      <c r="AG19" s="192">
        <v>0</v>
      </c>
      <c r="AH19" s="191">
        <f t="shared" si="0"/>
        <v>0</v>
      </c>
    </row>
    <row r="20" spans="1:34" ht="15" customHeight="1" x14ac:dyDescent="0.2">
      <c r="A20" s="110">
        <v>19</v>
      </c>
      <c r="B20" s="184" t="s">
        <v>199</v>
      </c>
      <c r="C20" s="192">
        <v>0</v>
      </c>
      <c r="D20" s="192">
        <v>0</v>
      </c>
      <c r="E20" s="192">
        <v>0</v>
      </c>
      <c r="F20" s="192">
        <v>0</v>
      </c>
      <c r="G20" s="192">
        <v>0</v>
      </c>
      <c r="H20" s="192">
        <v>0</v>
      </c>
      <c r="I20" s="192">
        <v>0</v>
      </c>
      <c r="J20" s="192">
        <v>0</v>
      </c>
      <c r="K20" s="192">
        <v>0</v>
      </c>
      <c r="L20" s="192">
        <v>0</v>
      </c>
      <c r="M20" s="192">
        <v>0</v>
      </c>
      <c r="N20" s="192">
        <v>0</v>
      </c>
      <c r="O20" s="192">
        <v>0</v>
      </c>
      <c r="P20" s="192">
        <v>0</v>
      </c>
      <c r="Q20" s="192">
        <v>0</v>
      </c>
      <c r="R20" s="192">
        <v>0</v>
      </c>
      <c r="S20" s="192">
        <v>0</v>
      </c>
      <c r="T20" s="192">
        <v>0</v>
      </c>
      <c r="U20" s="192">
        <v>0</v>
      </c>
      <c r="V20" s="192">
        <v>0</v>
      </c>
      <c r="W20" s="192">
        <v>0</v>
      </c>
      <c r="X20" s="192">
        <v>0</v>
      </c>
      <c r="Y20" s="192">
        <v>0</v>
      </c>
      <c r="Z20" s="192">
        <v>0</v>
      </c>
      <c r="AA20" s="192">
        <v>0</v>
      </c>
      <c r="AB20" s="192">
        <v>0</v>
      </c>
      <c r="AC20" s="192">
        <v>0</v>
      </c>
      <c r="AD20" s="192">
        <v>0</v>
      </c>
      <c r="AE20" s="192">
        <v>0</v>
      </c>
      <c r="AF20" s="192">
        <v>0</v>
      </c>
      <c r="AG20" s="192">
        <v>0</v>
      </c>
      <c r="AH20" s="191">
        <f t="shared" si="0"/>
        <v>0</v>
      </c>
    </row>
    <row r="21" spans="1:34" ht="15" customHeight="1" x14ac:dyDescent="0.2">
      <c r="A21" s="110">
        <v>20</v>
      </c>
      <c r="B21" s="184" t="s">
        <v>200</v>
      </c>
      <c r="C21" s="192">
        <v>0</v>
      </c>
      <c r="D21" s="192">
        <v>0</v>
      </c>
      <c r="E21" s="192">
        <v>0</v>
      </c>
      <c r="F21" s="192">
        <v>0</v>
      </c>
      <c r="G21" s="192">
        <v>0</v>
      </c>
      <c r="H21" s="192">
        <v>0</v>
      </c>
      <c r="I21" s="192">
        <v>0</v>
      </c>
      <c r="J21" s="192">
        <v>0</v>
      </c>
      <c r="K21" s="192">
        <v>0</v>
      </c>
      <c r="L21" s="192">
        <v>0</v>
      </c>
      <c r="M21" s="192">
        <v>0</v>
      </c>
      <c r="N21" s="192">
        <v>0</v>
      </c>
      <c r="O21" s="192">
        <v>0</v>
      </c>
      <c r="P21" s="192">
        <v>0</v>
      </c>
      <c r="Q21" s="192">
        <v>0</v>
      </c>
      <c r="R21" s="192">
        <v>0</v>
      </c>
      <c r="S21" s="192">
        <v>0</v>
      </c>
      <c r="T21" s="192">
        <v>0</v>
      </c>
      <c r="U21" s="192">
        <v>0</v>
      </c>
      <c r="V21" s="192">
        <v>0</v>
      </c>
      <c r="W21" s="192">
        <v>0</v>
      </c>
      <c r="X21" s="192">
        <v>0</v>
      </c>
      <c r="Y21" s="192">
        <v>0</v>
      </c>
      <c r="Z21" s="192">
        <v>0</v>
      </c>
      <c r="AA21" s="192">
        <v>0</v>
      </c>
      <c r="AB21" s="192">
        <v>0</v>
      </c>
      <c r="AC21" s="192">
        <v>0</v>
      </c>
      <c r="AD21" s="192">
        <v>0</v>
      </c>
      <c r="AE21" s="192">
        <v>0</v>
      </c>
      <c r="AF21" s="192">
        <v>0</v>
      </c>
      <c r="AG21" s="192">
        <v>0</v>
      </c>
      <c r="AH21" s="191">
        <f t="shared" si="0"/>
        <v>0</v>
      </c>
    </row>
    <row r="22" spans="1:34" ht="15" customHeight="1" x14ac:dyDescent="0.2">
      <c r="A22" s="110">
        <v>21</v>
      </c>
      <c r="B22" s="184" t="s">
        <v>201</v>
      </c>
      <c r="C22" s="192">
        <v>0</v>
      </c>
      <c r="D22" s="192">
        <v>0</v>
      </c>
      <c r="E22" s="192">
        <v>0</v>
      </c>
      <c r="F22" s="192">
        <v>0</v>
      </c>
      <c r="G22" s="192">
        <v>0</v>
      </c>
      <c r="H22" s="192">
        <v>0</v>
      </c>
      <c r="I22" s="192">
        <v>0</v>
      </c>
      <c r="J22" s="192">
        <v>0</v>
      </c>
      <c r="K22" s="192">
        <v>0</v>
      </c>
      <c r="L22" s="192">
        <v>0</v>
      </c>
      <c r="M22" s="192">
        <v>0</v>
      </c>
      <c r="N22" s="192">
        <v>0</v>
      </c>
      <c r="O22" s="192">
        <v>0</v>
      </c>
      <c r="P22" s="192">
        <v>0</v>
      </c>
      <c r="Q22" s="192">
        <v>0</v>
      </c>
      <c r="R22" s="192">
        <v>0</v>
      </c>
      <c r="S22" s="192">
        <v>0</v>
      </c>
      <c r="T22" s="192">
        <v>0</v>
      </c>
      <c r="U22" s="192">
        <v>0</v>
      </c>
      <c r="V22" s="192">
        <v>0</v>
      </c>
      <c r="W22" s="192">
        <v>0</v>
      </c>
      <c r="X22" s="192">
        <v>0</v>
      </c>
      <c r="Y22" s="192">
        <v>0</v>
      </c>
      <c r="Z22" s="192">
        <v>0</v>
      </c>
      <c r="AA22" s="192">
        <v>0</v>
      </c>
      <c r="AB22" s="192">
        <v>0</v>
      </c>
      <c r="AC22" s="192">
        <v>0</v>
      </c>
      <c r="AD22" s="192">
        <v>0</v>
      </c>
      <c r="AE22" s="192">
        <v>0</v>
      </c>
      <c r="AF22" s="192">
        <v>0</v>
      </c>
      <c r="AG22" s="192">
        <v>0</v>
      </c>
      <c r="AH22" s="191">
        <f t="shared" si="0"/>
        <v>0</v>
      </c>
    </row>
    <row r="23" spans="1:34" ht="15" customHeight="1" x14ac:dyDescent="0.2">
      <c r="A23" s="110">
        <v>22</v>
      </c>
      <c r="B23" s="184" t="s">
        <v>202</v>
      </c>
      <c r="C23" s="192">
        <v>0</v>
      </c>
      <c r="D23" s="192">
        <v>0</v>
      </c>
      <c r="E23" s="192">
        <v>0</v>
      </c>
      <c r="F23" s="192">
        <v>0</v>
      </c>
      <c r="G23" s="192">
        <v>0</v>
      </c>
      <c r="H23" s="192">
        <v>0</v>
      </c>
      <c r="I23" s="192">
        <v>0</v>
      </c>
      <c r="J23" s="192">
        <v>0</v>
      </c>
      <c r="K23" s="192">
        <v>0</v>
      </c>
      <c r="L23" s="192">
        <v>0</v>
      </c>
      <c r="M23" s="192">
        <v>0</v>
      </c>
      <c r="N23" s="192">
        <v>0</v>
      </c>
      <c r="O23" s="192">
        <v>0</v>
      </c>
      <c r="P23" s="192">
        <v>0</v>
      </c>
      <c r="Q23" s="192">
        <v>0</v>
      </c>
      <c r="R23" s="192">
        <v>0</v>
      </c>
      <c r="S23" s="192">
        <v>0</v>
      </c>
      <c r="T23" s="192">
        <v>0</v>
      </c>
      <c r="U23" s="192">
        <v>0</v>
      </c>
      <c r="V23" s="192">
        <v>0</v>
      </c>
      <c r="W23" s="192">
        <v>0</v>
      </c>
      <c r="X23" s="192">
        <v>0</v>
      </c>
      <c r="Y23" s="192">
        <v>0</v>
      </c>
      <c r="Z23" s="192">
        <v>0</v>
      </c>
      <c r="AA23" s="192">
        <v>0</v>
      </c>
      <c r="AB23" s="192">
        <v>0</v>
      </c>
      <c r="AC23" s="192">
        <v>0</v>
      </c>
      <c r="AD23" s="192">
        <v>0</v>
      </c>
      <c r="AE23" s="192">
        <v>0</v>
      </c>
      <c r="AF23" s="192">
        <v>0</v>
      </c>
      <c r="AG23" s="192">
        <v>0</v>
      </c>
      <c r="AH23" s="191">
        <f t="shared" si="0"/>
        <v>0</v>
      </c>
    </row>
    <row r="24" spans="1:34" ht="15" customHeight="1" x14ac:dyDescent="0.2">
      <c r="A24" s="110">
        <v>23</v>
      </c>
      <c r="B24" s="184" t="s">
        <v>203</v>
      </c>
      <c r="C24" s="192">
        <v>0</v>
      </c>
      <c r="D24" s="192">
        <v>0</v>
      </c>
      <c r="E24" s="192">
        <v>0</v>
      </c>
      <c r="F24" s="192">
        <v>0</v>
      </c>
      <c r="G24" s="192">
        <v>0</v>
      </c>
      <c r="H24" s="192">
        <v>0</v>
      </c>
      <c r="I24" s="192">
        <v>0</v>
      </c>
      <c r="J24" s="192">
        <v>0</v>
      </c>
      <c r="K24" s="192">
        <v>0</v>
      </c>
      <c r="L24" s="192">
        <v>0</v>
      </c>
      <c r="M24" s="192">
        <v>0</v>
      </c>
      <c r="N24" s="192">
        <v>0</v>
      </c>
      <c r="O24" s="192">
        <v>0</v>
      </c>
      <c r="P24" s="192">
        <v>0</v>
      </c>
      <c r="Q24" s="192">
        <v>0</v>
      </c>
      <c r="R24" s="192">
        <v>0</v>
      </c>
      <c r="S24" s="192">
        <v>0</v>
      </c>
      <c r="T24" s="192">
        <v>0</v>
      </c>
      <c r="U24" s="192">
        <v>0</v>
      </c>
      <c r="V24" s="192">
        <v>0</v>
      </c>
      <c r="W24" s="192">
        <v>0</v>
      </c>
      <c r="X24" s="192">
        <v>0</v>
      </c>
      <c r="Y24" s="192">
        <v>0</v>
      </c>
      <c r="Z24" s="192">
        <v>0</v>
      </c>
      <c r="AA24" s="192">
        <v>0</v>
      </c>
      <c r="AB24" s="192">
        <v>0</v>
      </c>
      <c r="AC24" s="192">
        <v>0</v>
      </c>
      <c r="AD24" s="192">
        <v>0</v>
      </c>
      <c r="AE24" s="192">
        <v>0</v>
      </c>
      <c r="AF24" s="192">
        <v>0</v>
      </c>
      <c r="AG24" s="192">
        <v>0</v>
      </c>
      <c r="AH24" s="191">
        <f t="shared" si="0"/>
        <v>0</v>
      </c>
    </row>
    <row r="25" spans="1:34" ht="15" customHeight="1" x14ac:dyDescent="0.2">
      <c r="A25" s="110">
        <v>24</v>
      </c>
      <c r="B25" s="184" t="s">
        <v>204</v>
      </c>
      <c r="C25" s="192">
        <v>0</v>
      </c>
      <c r="D25" s="192">
        <v>0</v>
      </c>
      <c r="E25" s="192">
        <v>0</v>
      </c>
      <c r="F25" s="192">
        <v>0</v>
      </c>
      <c r="G25" s="192">
        <v>0</v>
      </c>
      <c r="H25" s="192">
        <v>0</v>
      </c>
      <c r="I25" s="192">
        <v>0</v>
      </c>
      <c r="J25" s="192">
        <v>0</v>
      </c>
      <c r="K25" s="192">
        <v>0</v>
      </c>
      <c r="L25" s="192">
        <v>0</v>
      </c>
      <c r="M25" s="192">
        <v>0</v>
      </c>
      <c r="N25" s="192">
        <v>0</v>
      </c>
      <c r="O25" s="192">
        <v>0</v>
      </c>
      <c r="P25" s="192">
        <v>0</v>
      </c>
      <c r="Q25" s="192">
        <v>0</v>
      </c>
      <c r="R25" s="192">
        <v>0</v>
      </c>
      <c r="S25" s="192">
        <v>0</v>
      </c>
      <c r="T25" s="192">
        <v>0</v>
      </c>
      <c r="U25" s="192">
        <v>0</v>
      </c>
      <c r="V25" s="192">
        <v>0</v>
      </c>
      <c r="W25" s="192">
        <v>0</v>
      </c>
      <c r="X25" s="192">
        <v>0</v>
      </c>
      <c r="Y25" s="192">
        <v>0</v>
      </c>
      <c r="Z25" s="192">
        <v>0</v>
      </c>
      <c r="AA25" s="192">
        <v>0</v>
      </c>
      <c r="AB25" s="192">
        <v>0</v>
      </c>
      <c r="AC25" s="192">
        <v>0</v>
      </c>
      <c r="AD25" s="192">
        <v>0</v>
      </c>
      <c r="AE25" s="192">
        <v>0</v>
      </c>
      <c r="AF25" s="192">
        <v>0</v>
      </c>
      <c r="AG25" s="192">
        <v>0</v>
      </c>
      <c r="AH25" s="191">
        <f t="shared" si="0"/>
        <v>0</v>
      </c>
    </row>
    <row r="26" spans="1:34" ht="15" customHeight="1" x14ac:dyDescent="0.2">
      <c r="A26" s="110">
        <v>25</v>
      </c>
      <c r="B26" s="184" t="s">
        <v>205</v>
      </c>
      <c r="C26" s="192">
        <v>0</v>
      </c>
      <c r="D26" s="192">
        <v>0</v>
      </c>
      <c r="E26" s="192">
        <v>0</v>
      </c>
      <c r="F26" s="192">
        <v>0</v>
      </c>
      <c r="G26" s="192">
        <v>0</v>
      </c>
      <c r="H26" s="192">
        <v>0</v>
      </c>
      <c r="I26" s="192">
        <v>0</v>
      </c>
      <c r="J26" s="192">
        <v>0</v>
      </c>
      <c r="K26" s="192">
        <v>0</v>
      </c>
      <c r="L26" s="192">
        <v>0</v>
      </c>
      <c r="M26" s="192">
        <v>0</v>
      </c>
      <c r="N26" s="192">
        <v>0</v>
      </c>
      <c r="O26" s="192">
        <v>0</v>
      </c>
      <c r="P26" s="192">
        <v>0</v>
      </c>
      <c r="Q26" s="192">
        <v>0</v>
      </c>
      <c r="R26" s="192">
        <v>0</v>
      </c>
      <c r="S26" s="192">
        <v>0</v>
      </c>
      <c r="T26" s="192">
        <v>0</v>
      </c>
      <c r="U26" s="192">
        <v>0</v>
      </c>
      <c r="V26" s="192">
        <v>0</v>
      </c>
      <c r="W26" s="192">
        <v>0</v>
      </c>
      <c r="X26" s="192">
        <v>0</v>
      </c>
      <c r="Y26" s="192">
        <v>0</v>
      </c>
      <c r="Z26" s="192">
        <v>0</v>
      </c>
      <c r="AA26" s="192">
        <v>0</v>
      </c>
      <c r="AB26" s="192">
        <v>0</v>
      </c>
      <c r="AC26" s="192">
        <v>0</v>
      </c>
      <c r="AD26" s="192">
        <v>0</v>
      </c>
      <c r="AE26" s="192">
        <v>0</v>
      </c>
      <c r="AF26" s="192">
        <v>0</v>
      </c>
      <c r="AG26" s="192">
        <v>0</v>
      </c>
      <c r="AH26" s="191">
        <f t="shared" si="0"/>
        <v>0</v>
      </c>
    </row>
    <row r="27" spans="1:34" ht="15" customHeight="1" x14ac:dyDescent="0.2">
      <c r="A27" s="110">
        <v>26</v>
      </c>
      <c r="B27" s="184" t="s">
        <v>206</v>
      </c>
      <c r="C27" s="192">
        <v>0</v>
      </c>
      <c r="D27" s="192">
        <v>0</v>
      </c>
      <c r="E27" s="192">
        <v>0</v>
      </c>
      <c r="F27" s="192">
        <v>0</v>
      </c>
      <c r="G27" s="192">
        <v>0</v>
      </c>
      <c r="H27" s="192">
        <v>0</v>
      </c>
      <c r="I27" s="192">
        <v>0</v>
      </c>
      <c r="J27" s="192">
        <v>0</v>
      </c>
      <c r="K27" s="192">
        <v>0</v>
      </c>
      <c r="L27" s="192">
        <v>0</v>
      </c>
      <c r="M27" s="192">
        <v>0</v>
      </c>
      <c r="N27" s="192">
        <v>0</v>
      </c>
      <c r="O27" s="192">
        <v>0</v>
      </c>
      <c r="P27" s="192">
        <v>0</v>
      </c>
      <c r="Q27" s="192">
        <v>0</v>
      </c>
      <c r="R27" s="192">
        <v>0</v>
      </c>
      <c r="S27" s="192">
        <v>0</v>
      </c>
      <c r="T27" s="192">
        <v>0</v>
      </c>
      <c r="U27" s="192">
        <v>0</v>
      </c>
      <c r="V27" s="192">
        <v>0</v>
      </c>
      <c r="W27" s="192">
        <v>0</v>
      </c>
      <c r="X27" s="192">
        <v>0</v>
      </c>
      <c r="Y27" s="192">
        <v>0</v>
      </c>
      <c r="Z27" s="192">
        <v>0</v>
      </c>
      <c r="AA27" s="192">
        <v>0</v>
      </c>
      <c r="AB27" s="192">
        <v>0</v>
      </c>
      <c r="AC27" s="192">
        <v>0</v>
      </c>
      <c r="AD27" s="192">
        <v>0</v>
      </c>
      <c r="AE27" s="192">
        <v>0</v>
      </c>
      <c r="AF27" s="192">
        <v>0</v>
      </c>
      <c r="AG27" s="192">
        <v>0</v>
      </c>
      <c r="AH27" s="191">
        <f t="shared" si="0"/>
        <v>0</v>
      </c>
    </row>
    <row r="28" spans="1:34" ht="15" customHeight="1" x14ac:dyDescent="0.2">
      <c r="A28" s="110">
        <v>27</v>
      </c>
      <c r="B28" s="184" t="s">
        <v>207</v>
      </c>
      <c r="C28" s="192">
        <v>0</v>
      </c>
      <c r="D28" s="192">
        <v>0</v>
      </c>
      <c r="E28" s="192">
        <v>0</v>
      </c>
      <c r="F28" s="192">
        <v>0</v>
      </c>
      <c r="G28" s="192">
        <v>0</v>
      </c>
      <c r="H28" s="192">
        <v>0</v>
      </c>
      <c r="I28" s="192">
        <v>0</v>
      </c>
      <c r="J28" s="192">
        <v>0</v>
      </c>
      <c r="K28" s="192">
        <v>0</v>
      </c>
      <c r="L28" s="192">
        <v>0</v>
      </c>
      <c r="M28" s="192">
        <v>0</v>
      </c>
      <c r="N28" s="192">
        <v>0</v>
      </c>
      <c r="O28" s="192">
        <v>0</v>
      </c>
      <c r="P28" s="192">
        <v>0</v>
      </c>
      <c r="Q28" s="192">
        <v>0</v>
      </c>
      <c r="R28" s="192">
        <v>0</v>
      </c>
      <c r="S28" s="192">
        <v>0</v>
      </c>
      <c r="T28" s="192">
        <v>0</v>
      </c>
      <c r="U28" s="192">
        <v>0</v>
      </c>
      <c r="V28" s="192">
        <v>0</v>
      </c>
      <c r="W28" s="192">
        <v>0</v>
      </c>
      <c r="X28" s="192">
        <v>0</v>
      </c>
      <c r="Y28" s="192">
        <v>0</v>
      </c>
      <c r="Z28" s="192">
        <v>0</v>
      </c>
      <c r="AA28" s="192">
        <v>0</v>
      </c>
      <c r="AB28" s="192">
        <v>0</v>
      </c>
      <c r="AC28" s="192">
        <v>0</v>
      </c>
      <c r="AD28" s="192">
        <v>0</v>
      </c>
      <c r="AE28" s="192">
        <v>0</v>
      </c>
      <c r="AF28" s="192">
        <v>0</v>
      </c>
      <c r="AG28" s="192">
        <v>0</v>
      </c>
      <c r="AH28" s="191">
        <f t="shared" si="0"/>
        <v>0</v>
      </c>
    </row>
    <row r="29" spans="1:34" ht="15" customHeight="1" x14ac:dyDescent="0.2">
      <c r="A29" s="110">
        <v>28</v>
      </c>
      <c r="B29" s="184" t="s">
        <v>257</v>
      </c>
      <c r="C29" s="192">
        <v>0</v>
      </c>
      <c r="D29" s="192">
        <v>0</v>
      </c>
      <c r="E29" s="192">
        <v>0</v>
      </c>
      <c r="F29" s="192">
        <v>0</v>
      </c>
      <c r="G29" s="192">
        <v>0</v>
      </c>
      <c r="H29" s="192">
        <v>0</v>
      </c>
      <c r="I29" s="192">
        <v>0</v>
      </c>
      <c r="J29" s="192">
        <v>0</v>
      </c>
      <c r="K29" s="192">
        <v>0</v>
      </c>
      <c r="L29" s="192">
        <v>0</v>
      </c>
      <c r="M29" s="192">
        <v>0</v>
      </c>
      <c r="N29" s="192">
        <v>0</v>
      </c>
      <c r="O29" s="192">
        <v>0</v>
      </c>
      <c r="P29" s="192">
        <v>0</v>
      </c>
      <c r="Q29" s="192">
        <v>0</v>
      </c>
      <c r="R29" s="192">
        <v>0</v>
      </c>
      <c r="S29" s="192">
        <v>0</v>
      </c>
      <c r="T29" s="192">
        <v>0</v>
      </c>
      <c r="U29" s="192">
        <v>0</v>
      </c>
      <c r="V29" s="192">
        <v>0</v>
      </c>
      <c r="W29" s="192">
        <v>0</v>
      </c>
      <c r="X29" s="192">
        <v>0</v>
      </c>
      <c r="Y29" s="192">
        <v>0</v>
      </c>
      <c r="Z29" s="192">
        <v>0</v>
      </c>
      <c r="AA29" s="192">
        <v>0</v>
      </c>
      <c r="AB29" s="192">
        <v>0</v>
      </c>
      <c r="AC29" s="192">
        <v>0</v>
      </c>
      <c r="AD29" s="192">
        <v>0</v>
      </c>
      <c r="AE29" s="192">
        <v>0</v>
      </c>
      <c r="AF29" s="192">
        <v>0</v>
      </c>
      <c r="AG29" s="192">
        <v>0</v>
      </c>
      <c r="AH29" s="191">
        <f t="shared" si="0"/>
        <v>0</v>
      </c>
    </row>
    <row r="30" spans="1:34" ht="15" customHeight="1" x14ac:dyDescent="0.2">
      <c r="A30" s="110">
        <v>29</v>
      </c>
      <c r="B30" s="184" t="s">
        <v>258</v>
      </c>
      <c r="C30" s="192">
        <v>0</v>
      </c>
      <c r="D30" s="192">
        <v>0</v>
      </c>
      <c r="E30" s="192">
        <v>0</v>
      </c>
      <c r="F30" s="192">
        <v>0</v>
      </c>
      <c r="G30" s="192">
        <v>0</v>
      </c>
      <c r="H30" s="192">
        <v>0</v>
      </c>
      <c r="I30" s="192">
        <v>0</v>
      </c>
      <c r="J30" s="192">
        <v>0</v>
      </c>
      <c r="K30" s="192">
        <v>0</v>
      </c>
      <c r="L30" s="192">
        <v>0</v>
      </c>
      <c r="M30" s="192">
        <v>0</v>
      </c>
      <c r="N30" s="192">
        <v>0</v>
      </c>
      <c r="O30" s="192">
        <v>0</v>
      </c>
      <c r="P30" s="192">
        <v>0</v>
      </c>
      <c r="Q30" s="192">
        <v>0</v>
      </c>
      <c r="R30" s="192">
        <v>0</v>
      </c>
      <c r="S30" s="192">
        <v>0</v>
      </c>
      <c r="T30" s="192">
        <v>0</v>
      </c>
      <c r="U30" s="192">
        <v>0</v>
      </c>
      <c r="V30" s="192">
        <v>0</v>
      </c>
      <c r="W30" s="192">
        <v>0</v>
      </c>
      <c r="X30" s="192">
        <v>0</v>
      </c>
      <c r="Y30" s="192">
        <v>0</v>
      </c>
      <c r="Z30" s="192">
        <v>0</v>
      </c>
      <c r="AA30" s="192">
        <v>0</v>
      </c>
      <c r="AB30" s="192">
        <v>0</v>
      </c>
      <c r="AC30" s="192">
        <v>0</v>
      </c>
      <c r="AD30" s="192">
        <v>0</v>
      </c>
      <c r="AE30" s="192">
        <v>0</v>
      </c>
      <c r="AF30" s="192">
        <v>0</v>
      </c>
      <c r="AG30" s="192">
        <v>0</v>
      </c>
      <c r="AH30" s="191">
        <f t="shared" si="0"/>
        <v>0</v>
      </c>
    </row>
    <row r="31" spans="1:34" ht="15" customHeight="1" x14ac:dyDescent="0.2">
      <c r="A31" s="110">
        <v>30</v>
      </c>
      <c r="B31" s="184" t="s">
        <v>259</v>
      </c>
      <c r="C31" s="192">
        <v>0</v>
      </c>
      <c r="D31" s="192">
        <v>0</v>
      </c>
      <c r="E31" s="192">
        <v>0</v>
      </c>
      <c r="F31" s="192">
        <v>0</v>
      </c>
      <c r="G31" s="192">
        <v>0</v>
      </c>
      <c r="H31" s="192">
        <v>0</v>
      </c>
      <c r="I31" s="192">
        <v>0</v>
      </c>
      <c r="J31" s="192">
        <v>0</v>
      </c>
      <c r="K31" s="192">
        <v>0</v>
      </c>
      <c r="L31" s="192">
        <v>0</v>
      </c>
      <c r="M31" s="192">
        <v>0</v>
      </c>
      <c r="N31" s="192">
        <v>0</v>
      </c>
      <c r="O31" s="192">
        <v>0</v>
      </c>
      <c r="P31" s="192">
        <v>0</v>
      </c>
      <c r="Q31" s="192">
        <v>0</v>
      </c>
      <c r="R31" s="192">
        <v>0</v>
      </c>
      <c r="S31" s="192">
        <v>0</v>
      </c>
      <c r="T31" s="192">
        <v>0</v>
      </c>
      <c r="U31" s="192">
        <v>0</v>
      </c>
      <c r="V31" s="192">
        <v>0</v>
      </c>
      <c r="W31" s="192">
        <v>0</v>
      </c>
      <c r="X31" s="192">
        <v>0</v>
      </c>
      <c r="Y31" s="192">
        <v>0</v>
      </c>
      <c r="Z31" s="192">
        <v>0</v>
      </c>
      <c r="AA31" s="192">
        <v>0</v>
      </c>
      <c r="AB31" s="192">
        <v>0</v>
      </c>
      <c r="AC31" s="192">
        <v>0</v>
      </c>
      <c r="AD31" s="192">
        <v>0</v>
      </c>
      <c r="AE31" s="192">
        <v>0</v>
      </c>
      <c r="AF31" s="192">
        <v>0</v>
      </c>
      <c r="AG31" s="192">
        <v>0</v>
      </c>
      <c r="AH31" s="191">
        <f t="shared" si="0"/>
        <v>0</v>
      </c>
    </row>
    <row r="32" spans="1:34" ht="15" customHeight="1" x14ac:dyDescent="0.2">
      <c r="A32" s="110">
        <v>31</v>
      </c>
      <c r="B32" s="184" t="s">
        <v>260</v>
      </c>
      <c r="C32" s="192">
        <v>0</v>
      </c>
      <c r="D32" s="192">
        <v>0</v>
      </c>
      <c r="E32" s="192">
        <v>0</v>
      </c>
      <c r="F32" s="192">
        <v>0</v>
      </c>
      <c r="G32" s="192">
        <v>0</v>
      </c>
      <c r="H32" s="192">
        <v>0</v>
      </c>
      <c r="I32" s="192">
        <v>0</v>
      </c>
      <c r="J32" s="192">
        <v>0</v>
      </c>
      <c r="K32" s="192">
        <v>0</v>
      </c>
      <c r="L32" s="192">
        <v>0</v>
      </c>
      <c r="M32" s="192">
        <v>0</v>
      </c>
      <c r="N32" s="192">
        <v>0</v>
      </c>
      <c r="O32" s="192">
        <v>0</v>
      </c>
      <c r="P32" s="192">
        <v>0</v>
      </c>
      <c r="Q32" s="192">
        <v>0</v>
      </c>
      <c r="R32" s="192">
        <v>0</v>
      </c>
      <c r="S32" s="192">
        <v>0</v>
      </c>
      <c r="T32" s="192">
        <v>0</v>
      </c>
      <c r="U32" s="192">
        <v>0</v>
      </c>
      <c r="V32" s="192">
        <v>0</v>
      </c>
      <c r="W32" s="192">
        <v>0</v>
      </c>
      <c r="X32" s="192">
        <v>0</v>
      </c>
      <c r="Y32" s="192">
        <v>0</v>
      </c>
      <c r="Z32" s="192">
        <v>0</v>
      </c>
      <c r="AA32" s="192">
        <v>0</v>
      </c>
      <c r="AB32" s="192">
        <v>0</v>
      </c>
      <c r="AC32" s="192">
        <v>0</v>
      </c>
      <c r="AD32" s="192">
        <v>0</v>
      </c>
      <c r="AE32" s="192">
        <v>0</v>
      </c>
      <c r="AF32" s="192">
        <v>0</v>
      </c>
      <c r="AG32" s="192">
        <v>0</v>
      </c>
      <c r="AH32" s="191">
        <f t="shared" si="0"/>
        <v>0</v>
      </c>
    </row>
    <row r="33" spans="1:34" ht="15" customHeight="1" x14ac:dyDescent="0.2">
      <c r="A33" s="110">
        <v>32</v>
      </c>
      <c r="B33" s="184" t="s">
        <v>208</v>
      </c>
      <c r="C33" s="192">
        <v>0</v>
      </c>
      <c r="D33" s="192">
        <v>0</v>
      </c>
      <c r="E33" s="192">
        <v>0</v>
      </c>
      <c r="F33" s="192">
        <v>0</v>
      </c>
      <c r="G33" s="192">
        <v>0</v>
      </c>
      <c r="H33" s="192">
        <v>0</v>
      </c>
      <c r="I33" s="192">
        <v>0</v>
      </c>
      <c r="J33" s="192">
        <v>0</v>
      </c>
      <c r="K33" s="192">
        <v>0</v>
      </c>
      <c r="L33" s="192">
        <v>0</v>
      </c>
      <c r="M33" s="192">
        <v>0</v>
      </c>
      <c r="N33" s="192">
        <v>0</v>
      </c>
      <c r="O33" s="192">
        <v>0</v>
      </c>
      <c r="P33" s="192">
        <v>0</v>
      </c>
      <c r="Q33" s="192">
        <v>0</v>
      </c>
      <c r="R33" s="192">
        <v>0</v>
      </c>
      <c r="S33" s="192">
        <v>0</v>
      </c>
      <c r="T33" s="192">
        <v>0</v>
      </c>
      <c r="U33" s="192">
        <v>0</v>
      </c>
      <c r="V33" s="192">
        <v>0</v>
      </c>
      <c r="W33" s="192">
        <v>0</v>
      </c>
      <c r="X33" s="192">
        <v>0</v>
      </c>
      <c r="Y33" s="192">
        <v>0</v>
      </c>
      <c r="Z33" s="192">
        <v>0</v>
      </c>
      <c r="AA33" s="192">
        <v>0</v>
      </c>
      <c r="AB33" s="192">
        <v>0</v>
      </c>
      <c r="AC33" s="192">
        <v>0</v>
      </c>
      <c r="AD33" s="192">
        <v>0</v>
      </c>
      <c r="AE33" s="192">
        <v>0</v>
      </c>
      <c r="AF33" s="192">
        <v>0</v>
      </c>
      <c r="AG33" s="192">
        <v>0</v>
      </c>
      <c r="AH33" s="191">
        <f t="shared" si="0"/>
        <v>0</v>
      </c>
    </row>
    <row r="34" spans="1:34" ht="15" customHeight="1" x14ac:dyDescent="0.2">
      <c r="A34" s="110">
        <v>33</v>
      </c>
      <c r="B34" s="184" t="s">
        <v>209</v>
      </c>
      <c r="C34" s="192">
        <v>0</v>
      </c>
      <c r="D34" s="192">
        <v>0</v>
      </c>
      <c r="E34" s="192">
        <v>0</v>
      </c>
      <c r="F34" s="192">
        <v>0</v>
      </c>
      <c r="G34" s="192">
        <v>0</v>
      </c>
      <c r="H34" s="192">
        <v>0</v>
      </c>
      <c r="I34" s="192">
        <v>0</v>
      </c>
      <c r="J34" s="192">
        <v>0</v>
      </c>
      <c r="K34" s="192">
        <v>0</v>
      </c>
      <c r="L34" s="192">
        <v>0</v>
      </c>
      <c r="M34" s="192">
        <v>0</v>
      </c>
      <c r="N34" s="192">
        <v>0</v>
      </c>
      <c r="O34" s="192">
        <v>0</v>
      </c>
      <c r="P34" s="192">
        <v>0</v>
      </c>
      <c r="Q34" s="192">
        <v>0</v>
      </c>
      <c r="R34" s="192">
        <v>0</v>
      </c>
      <c r="S34" s="192">
        <v>0</v>
      </c>
      <c r="T34" s="192">
        <v>0</v>
      </c>
      <c r="U34" s="192">
        <v>0</v>
      </c>
      <c r="V34" s="192">
        <v>0</v>
      </c>
      <c r="W34" s="192">
        <v>0</v>
      </c>
      <c r="X34" s="192">
        <v>0</v>
      </c>
      <c r="Y34" s="192">
        <v>0</v>
      </c>
      <c r="Z34" s="192">
        <v>0</v>
      </c>
      <c r="AA34" s="192">
        <v>0</v>
      </c>
      <c r="AB34" s="192">
        <v>0</v>
      </c>
      <c r="AC34" s="192">
        <v>0</v>
      </c>
      <c r="AD34" s="192">
        <v>0</v>
      </c>
      <c r="AE34" s="192">
        <v>0</v>
      </c>
      <c r="AF34" s="192">
        <v>0</v>
      </c>
      <c r="AG34" s="192">
        <v>0</v>
      </c>
      <c r="AH34" s="191">
        <f t="shared" si="0"/>
        <v>0</v>
      </c>
    </row>
    <row r="35" spans="1:34" ht="15" customHeight="1" x14ac:dyDescent="0.2">
      <c r="A35" s="110">
        <v>34</v>
      </c>
      <c r="B35" s="184" t="s">
        <v>210</v>
      </c>
      <c r="C35" s="192">
        <v>0</v>
      </c>
      <c r="D35" s="192">
        <v>0</v>
      </c>
      <c r="E35" s="192">
        <v>0</v>
      </c>
      <c r="F35" s="192">
        <v>0</v>
      </c>
      <c r="G35" s="192">
        <v>0</v>
      </c>
      <c r="H35" s="192">
        <v>0</v>
      </c>
      <c r="I35" s="192">
        <v>0</v>
      </c>
      <c r="J35" s="192">
        <v>0</v>
      </c>
      <c r="K35" s="192">
        <v>0</v>
      </c>
      <c r="L35" s="192">
        <v>0</v>
      </c>
      <c r="M35" s="192">
        <v>0</v>
      </c>
      <c r="N35" s="192">
        <v>0</v>
      </c>
      <c r="O35" s="192">
        <v>0</v>
      </c>
      <c r="P35" s="192">
        <v>0</v>
      </c>
      <c r="Q35" s="192">
        <v>0</v>
      </c>
      <c r="R35" s="192">
        <v>0</v>
      </c>
      <c r="S35" s="192">
        <v>0</v>
      </c>
      <c r="T35" s="192">
        <v>0</v>
      </c>
      <c r="U35" s="192">
        <v>0</v>
      </c>
      <c r="V35" s="192">
        <v>0</v>
      </c>
      <c r="W35" s="192">
        <v>0</v>
      </c>
      <c r="X35" s="192">
        <v>0</v>
      </c>
      <c r="Y35" s="192">
        <v>0</v>
      </c>
      <c r="Z35" s="192">
        <v>0</v>
      </c>
      <c r="AA35" s="192">
        <v>0</v>
      </c>
      <c r="AB35" s="192">
        <v>0</v>
      </c>
      <c r="AC35" s="192">
        <v>0</v>
      </c>
      <c r="AD35" s="192">
        <v>0</v>
      </c>
      <c r="AE35" s="192">
        <v>0</v>
      </c>
      <c r="AF35" s="192">
        <v>0</v>
      </c>
      <c r="AG35" s="192">
        <v>0</v>
      </c>
      <c r="AH35" s="191">
        <f t="shared" si="0"/>
        <v>0</v>
      </c>
    </row>
    <row r="36" spans="1:34" ht="15" customHeight="1" x14ac:dyDescent="0.2">
      <c r="A36" s="110">
        <v>35</v>
      </c>
      <c r="B36" s="184" t="s">
        <v>211</v>
      </c>
      <c r="C36" s="192">
        <v>0</v>
      </c>
      <c r="D36" s="192">
        <v>0</v>
      </c>
      <c r="E36" s="192">
        <v>0</v>
      </c>
      <c r="F36" s="192">
        <v>0</v>
      </c>
      <c r="G36" s="192">
        <v>0</v>
      </c>
      <c r="H36" s="192">
        <v>0</v>
      </c>
      <c r="I36" s="192">
        <v>0</v>
      </c>
      <c r="J36" s="192">
        <v>0</v>
      </c>
      <c r="K36" s="192">
        <v>0</v>
      </c>
      <c r="L36" s="192">
        <v>0</v>
      </c>
      <c r="M36" s="192">
        <v>0</v>
      </c>
      <c r="N36" s="192">
        <v>0</v>
      </c>
      <c r="O36" s="192">
        <v>0</v>
      </c>
      <c r="P36" s="192">
        <v>0</v>
      </c>
      <c r="Q36" s="192">
        <v>0</v>
      </c>
      <c r="R36" s="192">
        <v>0</v>
      </c>
      <c r="S36" s="192">
        <v>0</v>
      </c>
      <c r="T36" s="192">
        <v>0</v>
      </c>
      <c r="U36" s="192">
        <v>0</v>
      </c>
      <c r="V36" s="192">
        <v>0</v>
      </c>
      <c r="W36" s="192">
        <v>0</v>
      </c>
      <c r="X36" s="192">
        <v>0</v>
      </c>
      <c r="Y36" s="192">
        <v>0</v>
      </c>
      <c r="Z36" s="192">
        <v>0</v>
      </c>
      <c r="AA36" s="192">
        <v>0</v>
      </c>
      <c r="AB36" s="192">
        <v>0</v>
      </c>
      <c r="AC36" s="192">
        <v>0</v>
      </c>
      <c r="AD36" s="192">
        <v>0</v>
      </c>
      <c r="AE36" s="192">
        <v>0</v>
      </c>
      <c r="AF36" s="192">
        <v>0</v>
      </c>
      <c r="AG36" s="192">
        <v>0</v>
      </c>
      <c r="AH36" s="191">
        <f t="shared" si="0"/>
        <v>0</v>
      </c>
    </row>
    <row r="37" spans="1:34" ht="15" customHeight="1" x14ac:dyDescent="0.2">
      <c r="A37" s="110">
        <v>36</v>
      </c>
      <c r="B37" s="184" t="s">
        <v>212</v>
      </c>
      <c r="C37" s="192">
        <v>0</v>
      </c>
      <c r="D37" s="192">
        <v>0</v>
      </c>
      <c r="E37" s="192">
        <v>0</v>
      </c>
      <c r="F37" s="192">
        <v>0</v>
      </c>
      <c r="G37" s="192">
        <v>0</v>
      </c>
      <c r="H37" s="192">
        <v>0</v>
      </c>
      <c r="I37" s="192">
        <v>0</v>
      </c>
      <c r="J37" s="192">
        <v>0</v>
      </c>
      <c r="K37" s="192">
        <v>0</v>
      </c>
      <c r="L37" s="192">
        <v>0</v>
      </c>
      <c r="M37" s="192">
        <v>0</v>
      </c>
      <c r="N37" s="192">
        <v>0</v>
      </c>
      <c r="O37" s="192">
        <v>0</v>
      </c>
      <c r="P37" s="192">
        <v>0</v>
      </c>
      <c r="Q37" s="192">
        <v>0</v>
      </c>
      <c r="R37" s="192">
        <v>0</v>
      </c>
      <c r="S37" s="192">
        <v>0</v>
      </c>
      <c r="T37" s="192">
        <v>0</v>
      </c>
      <c r="U37" s="192">
        <v>0</v>
      </c>
      <c r="V37" s="192">
        <v>0</v>
      </c>
      <c r="W37" s="192">
        <v>0</v>
      </c>
      <c r="X37" s="192">
        <v>0</v>
      </c>
      <c r="Y37" s="192">
        <v>0</v>
      </c>
      <c r="Z37" s="192">
        <v>0</v>
      </c>
      <c r="AA37" s="192">
        <v>0</v>
      </c>
      <c r="AB37" s="192">
        <v>0</v>
      </c>
      <c r="AC37" s="192">
        <v>0</v>
      </c>
      <c r="AD37" s="192">
        <v>0</v>
      </c>
      <c r="AE37" s="192">
        <v>0</v>
      </c>
      <c r="AF37" s="192">
        <v>0</v>
      </c>
      <c r="AG37" s="192">
        <v>0</v>
      </c>
      <c r="AH37" s="191">
        <f t="shared" si="0"/>
        <v>0</v>
      </c>
    </row>
    <row r="38" spans="1:34" ht="15" customHeight="1" x14ac:dyDescent="0.2">
      <c r="A38" s="110">
        <v>37</v>
      </c>
      <c r="B38" s="184" t="s">
        <v>213</v>
      </c>
      <c r="C38" s="192">
        <v>0</v>
      </c>
      <c r="D38" s="192">
        <v>0</v>
      </c>
      <c r="E38" s="192">
        <v>0</v>
      </c>
      <c r="F38" s="192">
        <v>0</v>
      </c>
      <c r="G38" s="192">
        <v>0</v>
      </c>
      <c r="H38" s="192">
        <v>0</v>
      </c>
      <c r="I38" s="192">
        <v>0</v>
      </c>
      <c r="J38" s="192">
        <v>0</v>
      </c>
      <c r="K38" s="192">
        <v>0</v>
      </c>
      <c r="L38" s="192">
        <v>0</v>
      </c>
      <c r="M38" s="192">
        <v>0</v>
      </c>
      <c r="N38" s="192">
        <v>0</v>
      </c>
      <c r="O38" s="192">
        <v>0</v>
      </c>
      <c r="P38" s="192">
        <v>0</v>
      </c>
      <c r="Q38" s="192">
        <v>0</v>
      </c>
      <c r="R38" s="192">
        <v>0</v>
      </c>
      <c r="S38" s="192">
        <v>0</v>
      </c>
      <c r="T38" s="192">
        <v>0</v>
      </c>
      <c r="U38" s="192">
        <v>0</v>
      </c>
      <c r="V38" s="192">
        <v>0</v>
      </c>
      <c r="W38" s="192">
        <v>0</v>
      </c>
      <c r="X38" s="192">
        <v>0</v>
      </c>
      <c r="Y38" s="192">
        <v>0</v>
      </c>
      <c r="Z38" s="192">
        <v>0</v>
      </c>
      <c r="AA38" s="192">
        <v>0</v>
      </c>
      <c r="AB38" s="192">
        <v>0</v>
      </c>
      <c r="AC38" s="192">
        <v>0</v>
      </c>
      <c r="AD38" s="192">
        <v>0</v>
      </c>
      <c r="AE38" s="192">
        <v>0</v>
      </c>
      <c r="AF38" s="192">
        <v>0</v>
      </c>
      <c r="AG38" s="192">
        <v>0</v>
      </c>
      <c r="AH38" s="191">
        <f t="shared" si="0"/>
        <v>0</v>
      </c>
    </row>
    <row r="39" spans="1:34" ht="15" customHeight="1" x14ac:dyDescent="0.2">
      <c r="A39" s="110">
        <v>38</v>
      </c>
      <c r="B39" s="184" t="s">
        <v>214</v>
      </c>
      <c r="C39" s="192">
        <v>0</v>
      </c>
      <c r="D39" s="192">
        <v>0</v>
      </c>
      <c r="E39" s="192">
        <v>0</v>
      </c>
      <c r="F39" s="192">
        <v>0</v>
      </c>
      <c r="G39" s="192">
        <v>0</v>
      </c>
      <c r="H39" s="192">
        <v>0</v>
      </c>
      <c r="I39" s="192">
        <v>0</v>
      </c>
      <c r="J39" s="192">
        <v>0</v>
      </c>
      <c r="K39" s="192">
        <v>0</v>
      </c>
      <c r="L39" s="192">
        <v>0</v>
      </c>
      <c r="M39" s="192">
        <v>0</v>
      </c>
      <c r="N39" s="192">
        <v>0</v>
      </c>
      <c r="O39" s="192">
        <v>0</v>
      </c>
      <c r="P39" s="192">
        <v>0</v>
      </c>
      <c r="Q39" s="192">
        <v>0</v>
      </c>
      <c r="R39" s="192">
        <v>0</v>
      </c>
      <c r="S39" s="192">
        <v>0</v>
      </c>
      <c r="T39" s="192">
        <v>0</v>
      </c>
      <c r="U39" s="192">
        <v>0</v>
      </c>
      <c r="V39" s="192">
        <v>0</v>
      </c>
      <c r="W39" s="192">
        <v>0</v>
      </c>
      <c r="X39" s="192">
        <v>0</v>
      </c>
      <c r="Y39" s="192">
        <v>0</v>
      </c>
      <c r="Z39" s="192">
        <v>0</v>
      </c>
      <c r="AA39" s="192">
        <v>0</v>
      </c>
      <c r="AB39" s="192">
        <v>0</v>
      </c>
      <c r="AC39" s="192">
        <v>0</v>
      </c>
      <c r="AD39" s="192">
        <v>0</v>
      </c>
      <c r="AE39" s="192">
        <v>0</v>
      </c>
      <c r="AF39" s="192">
        <v>0</v>
      </c>
      <c r="AG39" s="192">
        <v>0</v>
      </c>
      <c r="AH39" s="191">
        <f t="shared" si="0"/>
        <v>0</v>
      </c>
    </row>
    <row r="40" spans="1:34" ht="15" customHeight="1" x14ac:dyDescent="0.2">
      <c r="A40" s="110">
        <v>39</v>
      </c>
      <c r="B40" s="184" t="s">
        <v>215</v>
      </c>
      <c r="C40" s="192">
        <v>0</v>
      </c>
      <c r="D40" s="192">
        <v>0</v>
      </c>
      <c r="E40" s="192">
        <v>0</v>
      </c>
      <c r="F40" s="192">
        <v>0</v>
      </c>
      <c r="G40" s="192">
        <v>0</v>
      </c>
      <c r="H40" s="192">
        <v>0</v>
      </c>
      <c r="I40" s="192">
        <v>0</v>
      </c>
      <c r="J40" s="192">
        <v>0</v>
      </c>
      <c r="K40" s="192">
        <v>0</v>
      </c>
      <c r="L40" s="192">
        <v>0</v>
      </c>
      <c r="M40" s="192">
        <v>0</v>
      </c>
      <c r="N40" s="192">
        <v>0</v>
      </c>
      <c r="O40" s="192">
        <v>0</v>
      </c>
      <c r="P40" s="192">
        <v>0</v>
      </c>
      <c r="Q40" s="192">
        <v>0</v>
      </c>
      <c r="R40" s="192">
        <v>0</v>
      </c>
      <c r="S40" s="192">
        <v>0</v>
      </c>
      <c r="T40" s="192">
        <v>0</v>
      </c>
      <c r="U40" s="192">
        <v>0</v>
      </c>
      <c r="V40" s="192">
        <v>0</v>
      </c>
      <c r="W40" s="192">
        <v>0</v>
      </c>
      <c r="X40" s="192">
        <v>0</v>
      </c>
      <c r="Y40" s="192">
        <v>0</v>
      </c>
      <c r="Z40" s="192">
        <v>0</v>
      </c>
      <c r="AA40" s="192">
        <v>0</v>
      </c>
      <c r="AB40" s="192">
        <v>0</v>
      </c>
      <c r="AC40" s="192">
        <v>0</v>
      </c>
      <c r="AD40" s="192">
        <v>0</v>
      </c>
      <c r="AE40" s="192">
        <v>0</v>
      </c>
      <c r="AF40" s="192">
        <v>0</v>
      </c>
      <c r="AG40" s="192">
        <v>0</v>
      </c>
      <c r="AH40" s="191">
        <f t="shared" si="0"/>
        <v>0</v>
      </c>
    </row>
    <row r="41" spans="1:34" ht="15" customHeight="1" x14ac:dyDescent="0.2">
      <c r="A41" s="110">
        <v>40</v>
      </c>
      <c r="B41" s="184" t="s">
        <v>216</v>
      </c>
      <c r="C41" s="192">
        <v>0</v>
      </c>
      <c r="D41" s="192">
        <v>0</v>
      </c>
      <c r="E41" s="192">
        <v>0</v>
      </c>
      <c r="F41" s="192">
        <v>0</v>
      </c>
      <c r="G41" s="192">
        <v>0</v>
      </c>
      <c r="H41" s="192">
        <v>0</v>
      </c>
      <c r="I41" s="192">
        <v>0</v>
      </c>
      <c r="J41" s="192">
        <v>0</v>
      </c>
      <c r="K41" s="192">
        <v>0</v>
      </c>
      <c r="L41" s="192">
        <v>0</v>
      </c>
      <c r="M41" s="192">
        <v>0</v>
      </c>
      <c r="N41" s="192">
        <v>0</v>
      </c>
      <c r="O41" s="192">
        <v>0</v>
      </c>
      <c r="P41" s="192">
        <v>0</v>
      </c>
      <c r="Q41" s="192">
        <v>0</v>
      </c>
      <c r="R41" s="192">
        <v>0</v>
      </c>
      <c r="S41" s="192">
        <v>0</v>
      </c>
      <c r="T41" s="192">
        <v>0</v>
      </c>
      <c r="U41" s="192">
        <v>0</v>
      </c>
      <c r="V41" s="192">
        <v>0</v>
      </c>
      <c r="W41" s="192">
        <v>0</v>
      </c>
      <c r="X41" s="192">
        <v>0</v>
      </c>
      <c r="Y41" s="192">
        <v>0</v>
      </c>
      <c r="Z41" s="192">
        <v>0</v>
      </c>
      <c r="AA41" s="192">
        <v>0</v>
      </c>
      <c r="AB41" s="192">
        <v>0</v>
      </c>
      <c r="AC41" s="192">
        <v>0</v>
      </c>
      <c r="AD41" s="192">
        <v>0</v>
      </c>
      <c r="AE41" s="192">
        <v>0</v>
      </c>
      <c r="AF41" s="192">
        <v>0</v>
      </c>
      <c r="AG41" s="192">
        <v>0</v>
      </c>
      <c r="AH41" s="191">
        <f t="shared" si="0"/>
        <v>0</v>
      </c>
    </row>
    <row r="42" spans="1:34" ht="15" customHeight="1" x14ac:dyDescent="0.2">
      <c r="A42" s="110">
        <v>41</v>
      </c>
      <c r="B42" s="184" t="s">
        <v>217</v>
      </c>
      <c r="C42" s="192">
        <v>0</v>
      </c>
      <c r="D42" s="192">
        <v>0</v>
      </c>
      <c r="E42" s="192">
        <v>0</v>
      </c>
      <c r="F42" s="192">
        <v>0</v>
      </c>
      <c r="G42" s="192">
        <v>0</v>
      </c>
      <c r="H42" s="192">
        <v>0</v>
      </c>
      <c r="I42" s="192">
        <v>0</v>
      </c>
      <c r="J42" s="192">
        <v>0</v>
      </c>
      <c r="K42" s="192">
        <v>0</v>
      </c>
      <c r="L42" s="192">
        <v>0</v>
      </c>
      <c r="M42" s="192">
        <v>0</v>
      </c>
      <c r="N42" s="192">
        <v>0</v>
      </c>
      <c r="O42" s="192">
        <v>0</v>
      </c>
      <c r="P42" s="192">
        <v>0</v>
      </c>
      <c r="Q42" s="192">
        <v>0</v>
      </c>
      <c r="R42" s="192">
        <v>0</v>
      </c>
      <c r="S42" s="192">
        <v>0</v>
      </c>
      <c r="T42" s="192">
        <v>0</v>
      </c>
      <c r="U42" s="192">
        <v>0</v>
      </c>
      <c r="V42" s="192">
        <v>0</v>
      </c>
      <c r="W42" s="192">
        <v>0</v>
      </c>
      <c r="X42" s="192">
        <v>0</v>
      </c>
      <c r="Y42" s="192">
        <v>0</v>
      </c>
      <c r="Z42" s="192">
        <v>0</v>
      </c>
      <c r="AA42" s="192">
        <v>0</v>
      </c>
      <c r="AB42" s="192">
        <v>0</v>
      </c>
      <c r="AC42" s="192">
        <v>0</v>
      </c>
      <c r="AD42" s="192">
        <v>0</v>
      </c>
      <c r="AE42" s="192">
        <v>0</v>
      </c>
      <c r="AF42" s="192">
        <v>0</v>
      </c>
      <c r="AG42" s="192">
        <v>0</v>
      </c>
      <c r="AH42" s="191">
        <f t="shared" si="0"/>
        <v>0</v>
      </c>
    </row>
    <row r="43" spans="1:34" ht="15" customHeight="1" x14ac:dyDescent="0.2">
      <c r="A43" s="110">
        <v>42</v>
      </c>
      <c r="B43" s="184" t="s">
        <v>218</v>
      </c>
      <c r="C43" s="192">
        <v>0</v>
      </c>
      <c r="D43" s="192">
        <v>0</v>
      </c>
      <c r="E43" s="192">
        <v>0</v>
      </c>
      <c r="F43" s="192">
        <v>0</v>
      </c>
      <c r="G43" s="192">
        <v>0</v>
      </c>
      <c r="H43" s="192">
        <v>0</v>
      </c>
      <c r="I43" s="192">
        <v>0</v>
      </c>
      <c r="J43" s="192">
        <v>0</v>
      </c>
      <c r="K43" s="192">
        <v>0</v>
      </c>
      <c r="L43" s="192">
        <v>0</v>
      </c>
      <c r="M43" s="192">
        <v>0</v>
      </c>
      <c r="N43" s="192">
        <v>0</v>
      </c>
      <c r="O43" s="192">
        <v>0</v>
      </c>
      <c r="P43" s="192">
        <v>0</v>
      </c>
      <c r="Q43" s="192">
        <v>0</v>
      </c>
      <c r="R43" s="192">
        <v>0</v>
      </c>
      <c r="S43" s="192">
        <v>0</v>
      </c>
      <c r="T43" s="192">
        <v>0</v>
      </c>
      <c r="U43" s="192">
        <v>0</v>
      </c>
      <c r="V43" s="192">
        <v>0</v>
      </c>
      <c r="W43" s="192">
        <v>0</v>
      </c>
      <c r="X43" s="192">
        <v>0</v>
      </c>
      <c r="Y43" s="192">
        <v>0</v>
      </c>
      <c r="Z43" s="192">
        <v>0</v>
      </c>
      <c r="AA43" s="192">
        <v>0</v>
      </c>
      <c r="AB43" s="192">
        <v>0</v>
      </c>
      <c r="AC43" s="192">
        <v>0</v>
      </c>
      <c r="AD43" s="192">
        <v>0</v>
      </c>
      <c r="AE43" s="192">
        <v>0</v>
      </c>
      <c r="AF43" s="192">
        <v>0</v>
      </c>
      <c r="AG43" s="192">
        <v>0</v>
      </c>
      <c r="AH43" s="191">
        <f t="shared" si="0"/>
        <v>0</v>
      </c>
    </row>
    <row r="44" spans="1:34" ht="15" customHeight="1" x14ac:dyDescent="0.2">
      <c r="A44" s="110">
        <v>43</v>
      </c>
      <c r="B44" s="184" t="s">
        <v>219</v>
      </c>
      <c r="C44" s="192">
        <v>0</v>
      </c>
      <c r="D44" s="192">
        <v>0</v>
      </c>
      <c r="E44" s="192">
        <v>0</v>
      </c>
      <c r="F44" s="192">
        <v>0</v>
      </c>
      <c r="G44" s="192">
        <v>0</v>
      </c>
      <c r="H44" s="192">
        <v>0</v>
      </c>
      <c r="I44" s="192">
        <v>0</v>
      </c>
      <c r="J44" s="192">
        <v>0</v>
      </c>
      <c r="K44" s="192">
        <v>0</v>
      </c>
      <c r="L44" s="192">
        <v>0</v>
      </c>
      <c r="M44" s="192">
        <v>0</v>
      </c>
      <c r="N44" s="192">
        <v>0</v>
      </c>
      <c r="O44" s="192">
        <v>0</v>
      </c>
      <c r="P44" s="192">
        <v>0</v>
      </c>
      <c r="Q44" s="192">
        <v>0</v>
      </c>
      <c r="R44" s="192">
        <v>0</v>
      </c>
      <c r="S44" s="192">
        <v>0</v>
      </c>
      <c r="T44" s="192">
        <v>0</v>
      </c>
      <c r="U44" s="192">
        <v>0</v>
      </c>
      <c r="V44" s="192">
        <v>0</v>
      </c>
      <c r="W44" s="192">
        <v>0</v>
      </c>
      <c r="X44" s="192">
        <v>0</v>
      </c>
      <c r="Y44" s="192">
        <v>0</v>
      </c>
      <c r="Z44" s="192">
        <v>0</v>
      </c>
      <c r="AA44" s="192">
        <v>0</v>
      </c>
      <c r="AB44" s="192">
        <v>0</v>
      </c>
      <c r="AC44" s="192">
        <v>0</v>
      </c>
      <c r="AD44" s="192">
        <v>0</v>
      </c>
      <c r="AE44" s="192">
        <v>0</v>
      </c>
      <c r="AF44" s="192">
        <v>0</v>
      </c>
      <c r="AG44" s="192">
        <v>0</v>
      </c>
      <c r="AH44" s="191">
        <f t="shared" si="0"/>
        <v>0</v>
      </c>
    </row>
    <row r="45" spans="1:34" ht="15" customHeight="1" x14ac:dyDescent="0.2">
      <c r="A45" s="110">
        <v>44</v>
      </c>
      <c r="B45" s="184" t="s">
        <v>220</v>
      </c>
      <c r="C45" s="192">
        <v>0</v>
      </c>
      <c r="D45" s="192">
        <v>0</v>
      </c>
      <c r="E45" s="192">
        <v>0</v>
      </c>
      <c r="F45" s="192">
        <v>0</v>
      </c>
      <c r="G45" s="192">
        <v>0</v>
      </c>
      <c r="H45" s="192">
        <v>0</v>
      </c>
      <c r="I45" s="192">
        <v>0</v>
      </c>
      <c r="J45" s="192">
        <v>0</v>
      </c>
      <c r="K45" s="192">
        <v>0</v>
      </c>
      <c r="L45" s="192">
        <v>0</v>
      </c>
      <c r="M45" s="192">
        <v>0</v>
      </c>
      <c r="N45" s="192">
        <v>0</v>
      </c>
      <c r="O45" s="192">
        <v>0</v>
      </c>
      <c r="P45" s="192">
        <v>0</v>
      </c>
      <c r="Q45" s="192">
        <v>0</v>
      </c>
      <c r="R45" s="192">
        <v>0</v>
      </c>
      <c r="S45" s="192">
        <v>0</v>
      </c>
      <c r="T45" s="192">
        <v>0</v>
      </c>
      <c r="U45" s="192">
        <v>0</v>
      </c>
      <c r="V45" s="192">
        <v>0</v>
      </c>
      <c r="W45" s="192">
        <v>0</v>
      </c>
      <c r="X45" s="192">
        <v>0</v>
      </c>
      <c r="Y45" s="192">
        <v>0</v>
      </c>
      <c r="Z45" s="192">
        <v>0</v>
      </c>
      <c r="AA45" s="192">
        <v>0</v>
      </c>
      <c r="AB45" s="192">
        <v>0</v>
      </c>
      <c r="AC45" s="192">
        <v>0</v>
      </c>
      <c r="AD45" s="192">
        <v>0</v>
      </c>
      <c r="AE45" s="192">
        <v>0</v>
      </c>
      <c r="AF45" s="192">
        <v>0</v>
      </c>
      <c r="AG45" s="192">
        <v>0</v>
      </c>
      <c r="AH45" s="191">
        <f t="shared" si="0"/>
        <v>0</v>
      </c>
    </row>
    <row r="46" spans="1:34" ht="15" customHeight="1" x14ac:dyDescent="0.2">
      <c r="A46" s="110">
        <v>45</v>
      </c>
      <c r="B46" s="184" t="s">
        <v>221</v>
      </c>
      <c r="C46" s="192">
        <v>0</v>
      </c>
      <c r="D46" s="192">
        <v>0</v>
      </c>
      <c r="E46" s="192">
        <v>0</v>
      </c>
      <c r="F46" s="192">
        <v>0</v>
      </c>
      <c r="G46" s="192">
        <v>0</v>
      </c>
      <c r="H46" s="192">
        <v>0</v>
      </c>
      <c r="I46" s="192">
        <v>0</v>
      </c>
      <c r="J46" s="192">
        <v>0</v>
      </c>
      <c r="K46" s="192">
        <v>0</v>
      </c>
      <c r="L46" s="192">
        <v>0</v>
      </c>
      <c r="M46" s="192">
        <v>0</v>
      </c>
      <c r="N46" s="192">
        <v>0</v>
      </c>
      <c r="O46" s="192">
        <v>0</v>
      </c>
      <c r="P46" s="192">
        <v>0</v>
      </c>
      <c r="Q46" s="192">
        <v>0</v>
      </c>
      <c r="R46" s="192">
        <v>0</v>
      </c>
      <c r="S46" s="192">
        <v>0</v>
      </c>
      <c r="T46" s="192">
        <v>0</v>
      </c>
      <c r="U46" s="192">
        <v>0</v>
      </c>
      <c r="V46" s="192">
        <v>0</v>
      </c>
      <c r="W46" s="192">
        <v>0</v>
      </c>
      <c r="X46" s="192">
        <v>0</v>
      </c>
      <c r="Y46" s="192">
        <v>0</v>
      </c>
      <c r="Z46" s="192">
        <v>0</v>
      </c>
      <c r="AA46" s="192">
        <v>0</v>
      </c>
      <c r="AB46" s="192">
        <v>0</v>
      </c>
      <c r="AC46" s="192">
        <v>0</v>
      </c>
      <c r="AD46" s="192">
        <v>0</v>
      </c>
      <c r="AE46" s="192">
        <v>0</v>
      </c>
      <c r="AF46" s="192">
        <v>0</v>
      </c>
      <c r="AG46" s="192">
        <v>0</v>
      </c>
      <c r="AH46" s="191">
        <f t="shared" si="0"/>
        <v>0</v>
      </c>
    </row>
    <row r="47" spans="1:34" ht="15" customHeight="1" x14ac:dyDescent="0.2">
      <c r="A47" s="110">
        <v>46</v>
      </c>
      <c r="B47" s="184" t="s">
        <v>222</v>
      </c>
      <c r="C47" s="192">
        <v>0</v>
      </c>
      <c r="D47" s="192">
        <v>0</v>
      </c>
      <c r="E47" s="192">
        <v>0</v>
      </c>
      <c r="F47" s="192">
        <v>0</v>
      </c>
      <c r="G47" s="192">
        <v>0</v>
      </c>
      <c r="H47" s="192">
        <v>0</v>
      </c>
      <c r="I47" s="192">
        <v>0</v>
      </c>
      <c r="J47" s="192">
        <v>0</v>
      </c>
      <c r="K47" s="192">
        <v>0</v>
      </c>
      <c r="L47" s="192">
        <v>0</v>
      </c>
      <c r="M47" s="192">
        <v>0</v>
      </c>
      <c r="N47" s="192">
        <v>0</v>
      </c>
      <c r="O47" s="192">
        <v>0</v>
      </c>
      <c r="P47" s="192">
        <v>0</v>
      </c>
      <c r="Q47" s="192">
        <v>0</v>
      </c>
      <c r="R47" s="192">
        <v>0</v>
      </c>
      <c r="S47" s="192">
        <v>0</v>
      </c>
      <c r="T47" s="192">
        <v>0</v>
      </c>
      <c r="U47" s="192">
        <v>0</v>
      </c>
      <c r="V47" s="192">
        <v>0</v>
      </c>
      <c r="W47" s="192">
        <v>0</v>
      </c>
      <c r="X47" s="192">
        <v>0</v>
      </c>
      <c r="Y47" s="192">
        <v>0</v>
      </c>
      <c r="Z47" s="192">
        <v>0</v>
      </c>
      <c r="AA47" s="192">
        <v>0</v>
      </c>
      <c r="AB47" s="192">
        <v>0</v>
      </c>
      <c r="AC47" s="192">
        <v>0</v>
      </c>
      <c r="AD47" s="192">
        <v>0</v>
      </c>
      <c r="AE47" s="192">
        <v>0</v>
      </c>
      <c r="AF47" s="192">
        <v>0</v>
      </c>
      <c r="AG47" s="192">
        <v>0</v>
      </c>
      <c r="AH47" s="191">
        <f t="shared" si="0"/>
        <v>0</v>
      </c>
    </row>
    <row r="48" spans="1:34" ht="15" customHeight="1" x14ac:dyDescent="0.2">
      <c r="A48" s="110">
        <v>47</v>
      </c>
      <c r="B48" s="184" t="s">
        <v>223</v>
      </c>
      <c r="C48" s="192">
        <v>0</v>
      </c>
      <c r="D48" s="192">
        <v>0</v>
      </c>
      <c r="E48" s="192">
        <v>0</v>
      </c>
      <c r="F48" s="192">
        <v>0</v>
      </c>
      <c r="G48" s="192">
        <v>0</v>
      </c>
      <c r="H48" s="192">
        <v>0</v>
      </c>
      <c r="I48" s="192">
        <v>0</v>
      </c>
      <c r="J48" s="192">
        <v>0</v>
      </c>
      <c r="K48" s="192">
        <v>0</v>
      </c>
      <c r="L48" s="192">
        <v>0</v>
      </c>
      <c r="M48" s="192">
        <v>0</v>
      </c>
      <c r="N48" s="192">
        <v>0</v>
      </c>
      <c r="O48" s="192">
        <v>0</v>
      </c>
      <c r="P48" s="192">
        <v>0</v>
      </c>
      <c r="Q48" s="192">
        <v>0</v>
      </c>
      <c r="R48" s="192">
        <v>0</v>
      </c>
      <c r="S48" s="192">
        <v>0</v>
      </c>
      <c r="T48" s="192">
        <v>0</v>
      </c>
      <c r="U48" s="192">
        <v>0</v>
      </c>
      <c r="V48" s="192">
        <v>0</v>
      </c>
      <c r="W48" s="192">
        <v>0</v>
      </c>
      <c r="X48" s="192">
        <v>0</v>
      </c>
      <c r="Y48" s="192">
        <v>0</v>
      </c>
      <c r="Z48" s="192">
        <v>0</v>
      </c>
      <c r="AA48" s="192">
        <v>0</v>
      </c>
      <c r="AB48" s="192">
        <v>0</v>
      </c>
      <c r="AC48" s="192">
        <v>0</v>
      </c>
      <c r="AD48" s="192">
        <v>0</v>
      </c>
      <c r="AE48" s="192">
        <v>0</v>
      </c>
      <c r="AF48" s="192">
        <v>0</v>
      </c>
      <c r="AG48" s="192">
        <v>0</v>
      </c>
      <c r="AH48" s="191">
        <f t="shared" si="0"/>
        <v>0</v>
      </c>
    </row>
    <row r="49" spans="1:34" ht="15" customHeight="1" x14ac:dyDescent="0.2">
      <c r="A49" s="110">
        <v>48</v>
      </c>
      <c r="B49" s="184" t="s">
        <v>224</v>
      </c>
      <c r="C49" s="192">
        <v>0</v>
      </c>
      <c r="D49" s="192">
        <v>0</v>
      </c>
      <c r="E49" s="192">
        <v>0</v>
      </c>
      <c r="F49" s="192">
        <v>0</v>
      </c>
      <c r="G49" s="192">
        <v>0</v>
      </c>
      <c r="H49" s="192">
        <v>0</v>
      </c>
      <c r="I49" s="192">
        <v>0</v>
      </c>
      <c r="J49" s="192">
        <v>0</v>
      </c>
      <c r="K49" s="192">
        <v>0</v>
      </c>
      <c r="L49" s="192">
        <v>0</v>
      </c>
      <c r="M49" s="192">
        <v>0</v>
      </c>
      <c r="N49" s="192">
        <v>0</v>
      </c>
      <c r="O49" s="192">
        <v>0</v>
      </c>
      <c r="P49" s="192">
        <v>0</v>
      </c>
      <c r="Q49" s="192">
        <v>0</v>
      </c>
      <c r="R49" s="192">
        <v>0</v>
      </c>
      <c r="S49" s="192">
        <v>0</v>
      </c>
      <c r="T49" s="192">
        <v>0</v>
      </c>
      <c r="U49" s="192">
        <v>0</v>
      </c>
      <c r="V49" s="192">
        <v>0</v>
      </c>
      <c r="W49" s="192">
        <v>0</v>
      </c>
      <c r="X49" s="192">
        <v>0</v>
      </c>
      <c r="Y49" s="192">
        <v>0</v>
      </c>
      <c r="Z49" s="192">
        <v>0</v>
      </c>
      <c r="AA49" s="192">
        <v>0</v>
      </c>
      <c r="AB49" s="192">
        <v>0</v>
      </c>
      <c r="AC49" s="192">
        <v>0</v>
      </c>
      <c r="AD49" s="192">
        <v>0</v>
      </c>
      <c r="AE49" s="192">
        <v>0</v>
      </c>
      <c r="AF49" s="192">
        <v>0</v>
      </c>
      <c r="AG49" s="192">
        <v>0</v>
      </c>
      <c r="AH49" s="191">
        <f t="shared" si="0"/>
        <v>0</v>
      </c>
    </row>
    <row r="50" spans="1:34" ht="15" customHeight="1" x14ac:dyDescent="0.2">
      <c r="A50" s="110">
        <v>49</v>
      </c>
      <c r="B50" s="184" t="s">
        <v>225</v>
      </c>
      <c r="C50" s="192">
        <v>0</v>
      </c>
      <c r="D50" s="192">
        <v>0</v>
      </c>
      <c r="E50" s="192">
        <v>0</v>
      </c>
      <c r="F50" s="192">
        <v>0</v>
      </c>
      <c r="G50" s="192">
        <v>0</v>
      </c>
      <c r="H50" s="192">
        <v>0</v>
      </c>
      <c r="I50" s="192">
        <v>0</v>
      </c>
      <c r="J50" s="192">
        <v>0</v>
      </c>
      <c r="K50" s="192">
        <v>0</v>
      </c>
      <c r="L50" s="192">
        <v>0</v>
      </c>
      <c r="M50" s="192">
        <v>0</v>
      </c>
      <c r="N50" s="192">
        <v>0</v>
      </c>
      <c r="O50" s="192">
        <v>0</v>
      </c>
      <c r="P50" s="192">
        <v>0</v>
      </c>
      <c r="Q50" s="192">
        <v>0</v>
      </c>
      <c r="R50" s="192">
        <v>0</v>
      </c>
      <c r="S50" s="192">
        <v>0</v>
      </c>
      <c r="T50" s="192">
        <v>0</v>
      </c>
      <c r="U50" s="192">
        <v>0</v>
      </c>
      <c r="V50" s="192">
        <v>0</v>
      </c>
      <c r="W50" s="192">
        <v>0</v>
      </c>
      <c r="X50" s="192">
        <v>0</v>
      </c>
      <c r="Y50" s="192">
        <v>0</v>
      </c>
      <c r="Z50" s="192">
        <v>0</v>
      </c>
      <c r="AA50" s="192">
        <v>0</v>
      </c>
      <c r="AB50" s="192">
        <v>0</v>
      </c>
      <c r="AC50" s="192">
        <v>0</v>
      </c>
      <c r="AD50" s="192">
        <v>0</v>
      </c>
      <c r="AE50" s="192">
        <v>0</v>
      </c>
      <c r="AF50" s="192">
        <v>0</v>
      </c>
      <c r="AG50" s="192">
        <v>0</v>
      </c>
      <c r="AH50" s="191">
        <f t="shared" si="0"/>
        <v>0</v>
      </c>
    </row>
    <row r="51" spans="1:34" ht="15" customHeight="1" x14ac:dyDescent="0.2">
      <c r="A51" s="110">
        <v>50</v>
      </c>
      <c r="B51" s="184" t="s">
        <v>124</v>
      </c>
      <c r="C51" s="192">
        <v>0</v>
      </c>
      <c r="D51" s="192">
        <v>0</v>
      </c>
      <c r="E51" s="192">
        <v>0</v>
      </c>
      <c r="F51" s="192">
        <v>0</v>
      </c>
      <c r="G51" s="192">
        <v>0</v>
      </c>
      <c r="H51" s="192">
        <v>0</v>
      </c>
      <c r="I51" s="192">
        <v>0</v>
      </c>
      <c r="J51" s="192">
        <v>0</v>
      </c>
      <c r="K51" s="192">
        <v>0</v>
      </c>
      <c r="L51" s="192">
        <v>0</v>
      </c>
      <c r="M51" s="192">
        <v>0</v>
      </c>
      <c r="N51" s="192">
        <v>0</v>
      </c>
      <c r="O51" s="192">
        <v>0</v>
      </c>
      <c r="P51" s="192">
        <v>0</v>
      </c>
      <c r="Q51" s="192">
        <v>0</v>
      </c>
      <c r="R51" s="192">
        <v>0</v>
      </c>
      <c r="S51" s="192">
        <v>0</v>
      </c>
      <c r="T51" s="192">
        <v>0</v>
      </c>
      <c r="U51" s="192">
        <v>0</v>
      </c>
      <c r="V51" s="192">
        <v>0</v>
      </c>
      <c r="W51" s="192">
        <v>0</v>
      </c>
      <c r="X51" s="192">
        <v>0</v>
      </c>
      <c r="Y51" s="192">
        <v>0</v>
      </c>
      <c r="Z51" s="192">
        <v>0</v>
      </c>
      <c r="AA51" s="192">
        <v>0</v>
      </c>
      <c r="AB51" s="192">
        <v>0</v>
      </c>
      <c r="AC51" s="192">
        <v>0</v>
      </c>
      <c r="AD51" s="192">
        <v>0</v>
      </c>
      <c r="AE51" s="192">
        <v>0</v>
      </c>
      <c r="AF51" s="192">
        <v>0</v>
      </c>
      <c r="AG51" s="192">
        <v>0</v>
      </c>
      <c r="AH51" s="191">
        <f t="shared" si="0"/>
        <v>0</v>
      </c>
    </row>
    <row r="52" spans="1:34" x14ac:dyDescent="0.2">
      <c r="A52" s="110">
        <v>51</v>
      </c>
      <c r="B52" s="184" t="s">
        <v>125</v>
      </c>
      <c r="C52" s="192">
        <v>0</v>
      </c>
      <c r="D52" s="192">
        <v>0</v>
      </c>
      <c r="E52" s="192">
        <v>0</v>
      </c>
      <c r="F52" s="192">
        <v>0</v>
      </c>
      <c r="G52" s="192">
        <v>0</v>
      </c>
      <c r="H52" s="192">
        <v>0</v>
      </c>
      <c r="I52" s="192">
        <v>0</v>
      </c>
      <c r="J52" s="192">
        <v>0</v>
      </c>
      <c r="K52" s="192">
        <v>0</v>
      </c>
      <c r="L52" s="192">
        <v>0</v>
      </c>
      <c r="M52" s="192">
        <v>0</v>
      </c>
      <c r="N52" s="192">
        <v>0</v>
      </c>
      <c r="O52" s="192">
        <v>0</v>
      </c>
      <c r="P52" s="192">
        <v>0</v>
      </c>
      <c r="Q52" s="192">
        <v>0</v>
      </c>
      <c r="R52" s="192">
        <v>0</v>
      </c>
      <c r="S52" s="192">
        <v>0</v>
      </c>
      <c r="T52" s="192">
        <v>0</v>
      </c>
      <c r="U52" s="192">
        <v>0</v>
      </c>
      <c r="V52" s="192">
        <v>0</v>
      </c>
      <c r="W52" s="192">
        <v>0</v>
      </c>
      <c r="X52" s="192">
        <v>0</v>
      </c>
      <c r="Y52" s="192">
        <v>0</v>
      </c>
      <c r="Z52" s="192">
        <v>0</v>
      </c>
      <c r="AA52" s="192">
        <v>0</v>
      </c>
      <c r="AB52" s="192">
        <v>0</v>
      </c>
      <c r="AC52" s="192">
        <v>0</v>
      </c>
      <c r="AD52" s="192">
        <v>0</v>
      </c>
      <c r="AE52" s="192">
        <v>0</v>
      </c>
      <c r="AF52" s="192">
        <v>0</v>
      </c>
      <c r="AG52" s="192">
        <v>0</v>
      </c>
      <c r="AH52" s="191">
        <f t="shared" si="0"/>
        <v>0</v>
      </c>
    </row>
    <row r="54" spans="1:34" x14ac:dyDescent="0.2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</row>
  </sheetData>
  <phoneticPr fontId="3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indexed="51"/>
  </sheetPr>
  <dimension ref="A1:AP187"/>
  <sheetViews>
    <sheetView workbookViewId="0">
      <selection activeCell="K5" sqref="K5"/>
    </sheetView>
  </sheetViews>
  <sheetFormatPr baseColWidth="10" defaultRowHeight="16" x14ac:dyDescent="0.2"/>
  <cols>
    <col min="1" max="1" width="17.33203125" style="110" bestFit="1" customWidth="1"/>
    <col min="2" max="4" width="10.83203125" style="110"/>
    <col min="5" max="5" width="39.83203125" style="110" bestFit="1" customWidth="1"/>
    <col min="6" max="6" width="8.1640625" style="110" bestFit="1" customWidth="1"/>
    <col min="7" max="7" width="7.5" style="110" bestFit="1" customWidth="1"/>
    <col min="8" max="8" width="8.6640625" style="110" bestFit="1" customWidth="1"/>
    <col min="9" max="9" width="8.83203125" style="110" bestFit="1" customWidth="1"/>
    <col min="10" max="10" width="8.83203125" style="156" bestFit="1" customWidth="1"/>
    <col min="11" max="11" width="8.6640625" style="156" bestFit="1" customWidth="1"/>
    <col min="12" max="12" width="12.33203125" style="110" bestFit="1" customWidth="1"/>
    <col min="13" max="13" width="13.5" style="110" bestFit="1" customWidth="1"/>
    <col min="14" max="14" width="13.83203125" style="110" bestFit="1" customWidth="1"/>
    <col min="15" max="15" width="13.6640625" style="110" bestFit="1" customWidth="1"/>
    <col min="16" max="16" width="13.5" style="110" bestFit="1" customWidth="1"/>
    <col min="17" max="17" width="12.83203125" style="110" bestFit="1" customWidth="1"/>
    <col min="18" max="18" width="14" style="110" bestFit="1" customWidth="1"/>
    <col min="19" max="20" width="14.1640625" style="110" bestFit="1" customWidth="1"/>
    <col min="21" max="21" width="14" style="110" bestFit="1" customWidth="1"/>
    <col min="22" max="22" width="8.6640625" style="110" bestFit="1" customWidth="1"/>
    <col min="23" max="23" width="8.83203125" style="110" bestFit="1" customWidth="1"/>
    <col min="24" max="24" width="14" style="110" bestFit="1" customWidth="1"/>
    <col min="25" max="25" width="21.33203125" style="134" bestFit="1" customWidth="1"/>
    <col min="26" max="26" width="13.6640625" style="110" bestFit="1" customWidth="1"/>
    <col min="27" max="27" width="13.83203125" style="110" bestFit="1" customWidth="1"/>
    <col min="28" max="28" width="19" style="110" bestFit="1" customWidth="1"/>
    <col min="29" max="29" width="26.33203125" style="134" bestFit="1" customWidth="1"/>
    <col min="30" max="30" width="14.1640625" style="110" bestFit="1" customWidth="1"/>
    <col min="31" max="31" width="14.33203125" style="110" bestFit="1" customWidth="1"/>
    <col min="32" max="32" width="19.5" style="110" bestFit="1" customWidth="1"/>
    <col min="33" max="33" width="26.83203125" style="134" bestFit="1" customWidth="1"/>
    <col min="34" max="34" width="24" style="110" bestFit="1" customWidth="1"/>
    <col min="35" max="35" width="30" style="110" bestFit="1" customWidth="1"/>
    <col min="36" max="36" width="19.1640625" style="110" bestFit="1" customWidth="1"/>
    <col min="37" max="37" width="25.5" style="110" bestFit="1" customWidth="1"/>
    <col min="38" max="38" width="31.5" style="110" bestFit="1" customWidth="1"/>
    <col min="39" max="39" width="20.6640625" style="110" bestFit="1" customWidth="1"/>
    <col min="40" max="40" width="25" style="110" bestFit="1" customWidth="1"/>
    <col min="41" max="41" width="31" style="110" bestFit="1" customWidth="1"/>
    <col min="42" max="42" width="20.1640625" style="110" bestFit="1" customWidth="1"/>
    <col min="43" max="16384" width="10.83203125" style="110"/>
  </cols>
  <sheetData>
    <row r="1" spans="1:42" s="162" customFormat="1" ht="17" thickBot="1" x14ac:dyDescent="0.25">
      <c r="D1" s="163" t="s">
        <v>8</v>
      </c>
      <c r="E1" s="163" t="s">
        <v>0</v>
      </c>
      <c r="F1" s="164" t="s">
        <v>101</v>
      </c>
      <c r="G1" s="165" t="s">
        <v>86</v>
      </c>
      <c r="H1" s="165" t="s">
        <v>87</v>
      </c>
      <c r="I1" s="165" t="s">
        <v>88</v>
      </c>
      <c r="J1" s="165" t="s">
        <v>89</v>
      </c>
      <c r="K1" s="165" t="s">
        <v>90</v>
      </c>
      <c r="L1" s="166" t="s">
        <v>91</v>
      </c>
      <c r="M1" s="166" t="s">
        <v>95</v>
      </c>
      <c r="N1" s="166" t="s">
        <v>94</v>
      </c>
      <c r="O1" s="166" t="s">
        <v>92</v>
      </c>
      <c r="P1" s="166" t="s">
        <v>93</v>
      </c>
      <c r="Q1" s="167" t="s">
        <v>96</v>
      </c>
      <c r="R1" s="167" t="s">
        <v>97</v>
      </c>
      <c r="S1" s="167" t="s">
        <v>98</v>
      </c>
      <c r="T1" s="167" t="s">
        <v>99</v>
      </c>
      <c r="U1" s="167" t="s">
        <v>100</v>
      </c>
      <c r="V1" s="165" t="s">
        <v>102</v>
      </c>
      <c r="W1" s="165" t="s">
        <v>103</v>
      </c>
      <c r="X1" s="165" t="s">
        <v>104</v>
      </c>
      <c r="Y1" s="165" t="s">
        <v>136</v>
      </c>
      <c r="Z1" s="166" t="s">
        <v>105</v>
      </c>
      <c r="AA1" s="166" t="s">
        <v>106</v>
      </c>
      <c r="AB1" s="166" t="s">
        <v>107</v>
      </c>
      <c r="AC1" s="168" t="s">
        <v>137</v>
      </c>
      <c r="AD1" s="167" t="s">
        <v>108</v>
      </c>
      <c r="AE1" s="167" t="s">
        <v>109</v>
      </c>
      <c r="AF1" s="167" t="s">
        <v>110</v>
      </c>
      <c r="AG1" s="167" t="s">
        <v>138</v>
      </c>
      <c r="AH1" s="165" t="s">
        <v>111</v>
      </c>
      <c r="AI1" s="165" t="s">
        <v>113</v>
      </c>
      <c r="AJ1" s="165" t="s">
        <v>112</v>
      </c>
      <c r="AK1" s="166" t="s">
        <v>117</v>
      </c>
      <c r="AL1" s="166" t="s">
        <v>118</v>
      </c>
      <c r="AM1" s="166" t="s">
        <v>119</v>
      </c>
      <c r="AN1" s="167" t="s">
        <v>114</v>
      </c>
      <c r="AO1" s="167" t="s">
        <v>115</v>
      </c>
      <c r="AP1" s="167" t="s">
        <v>116</v>
      </c>
    </row>
    <row r="2" spans="1:42" x14ac:dyDescent="0.2">
      <c r="A2" s="169" t="s">
        <v>76</v>
      </c>
      <c r="B2" s="170">
        <v>1</v>
      </c>
      <c r="D2" s="110">
        <v>1</v>
      </c>
      <c r="E2" s="183" t="s">
        <v>181</v>
      </c>
      <c r="F2" s="110">
        <v>0.995</v>
      </c>
      <c r="G2" s="171">
        <v>0.8</v>
      </c>
      <c r="H2" s="172">
        <v>0.5</v>
      </c>
      <c r="I2" s="172">
        <v>0</v>
      </c>
      <c r="J2" s="171">
        <v>0</v>
      </c>
      <c r="K2" s="171">
        <v>0</v>
      </c>
    </row>
    <row r="3" spans="1:42" x14ac:dyDescent="0.2">
      <c r="A3" s="169" t="s">
        <v>77</v>
      </c>
      <c r="B3" s="173">
        <v>1</v>
      </c>
      <c r="D3" s="110">
        <v>2</v>
      </c>
      <c r="E3" s="183" t="s">
        <v>182</v>
      </c>
      <c r="F3" s="110">
        <v>0.995</v>
      </c>
      <c r="G3" s="171">
        <v>0.8</v>
      </c>
      <c r="H3" s="172">
        <v>0.5</v>
      </c>
      <c r="I3" s="172">
        <v>0</v>
      </c>
      <c r="J3" s="171">
        <v>0</v>
      </c>
      <c r="K3" s="171">
        <v>0</v>
      </c>
    </row>
    <row r="4" spans="1:42" x14ac:dyDescent="0.2">
      <c r="A4" s="169" t="s">
        <v>78</v>
      </c>
      <c r="B4" s="173">
        <v>1</v>
      </c>
      <c r="D4" s="110">
        <v>3</v>
      </c>
      <c r="E4" s="183" t="s">
        <v>176</v>
      </c>
      <c r="F4" s="110">
        <v>0.995</v>
      </c>
      <c r="G4" s="171">
        <v>0.8</v>
      </c>
      <c r="H4" s="172">
        <v>0.5</v>
      </c>
      <c r="I4" s="172">
        <v>0.5</v>
      </c>
      <c r="J4" s="171">
        <v>0.3</v>
      </c>
      <c r="K4" s="171">
        <v>0.05</v>
      </c>
    </row>
    <row r="5" spans="1:42" x14ac:dyDescent="0.2">
      <c r="A5" s="169" t="s">
        <v>79</v>
      </c>
      <c r="B5" s="173">
        <v>1</v>
      </c>
      <c r="D5" s="110">
        <v>4</v>
      </c>
      <c r="E5" s="183" t="s">
        <v>183</v>
      </c>
      <c r="F5" s="110">
        <v>0.995</v>
      </c>
      <c r="G5" s="171">
        <v>0.8</v>
      </c>
      <c r="H5" s="172">
        <v>0.5</v>
      </c>
      <c r="I5" s="172">
        <v>0.5</v>
      </c>
      <c r="J5" s="171">
        <v>0.3</v>
      </c>
      <c r="K5" s="171">
        <v>0.05</v>
      </c>
    </row>
    <row r="6" spans="1:42" x14ac:dyDescent="0.2">
      <c r="A6" s="169" t="s">
        <v>80</v>
      </c>
      <c r="B6" s="173">
        <v>1</v>
      </c>
      <c r="D6" s="110">
        <v>5</v>
      </c>
      <c r="E6" s="183" t="s">
        <v>184</v>
      </c>
      <c r="F6" s="110">
        <v>0.995</v>
      </c>
      <c r="G6" s="171">
        <v>0.8</v>
      </c>
      <c r="H6" s="172">
        <v>0.5</v>
      </c>
      <c r="I6" s="172">
        <v>0.5</v>
      </c>
      <c r="J6" s="171">
        <v>0.3</v>
      </c>
      <c r="K6" s="171">
        <v>0.05</v>
      </c>
    </row>
    <row r="7" spans="1:42" x14ac:dyDescent="0.2">
      <c r="A7" s="169" t="s">
        <v>81</v>
      </c>
      <c r="B7" s="173">
        <v>1</v>
      </c>
      <c r="D7" s="110">
        <v>6</v>
      </c>
      <c r="E7" s="183" t="s">
        <v>185</v>
      </c>
      <c r="F7" s="110">
        <v>0.995</v>
      </c>
      <c r="G7" s="171">
        <v>0.8</v>
      </c>
      <c r="H7" s="172">
        <v>0.5</v>
      </c>
      <c r="I7" s="172">
        <v>0.5</v>
      </c>
      <c r="J7" s="171">
        <v>0.3</v>
      </c>
      <c r="K7" s="171">
        <v>0.05</v>
      </c>
    </row>
    <row r="8" spans="1:42" x14ac:dyDescent="0.2">
      <c r="A8" s="169" t="s">
        <v>82</v>
      </c>
      <c r="B8" s="173">
        <v>1</v>
      </c>
      <c r="D8" s="110">
        <v>7</v>
      </c>
      <c r="E8" s="183" t="s">
        <v>186</v>
      </c>
      <c r="F8" s="110">
        <v>0.995</v>
      </c>
      <c r="G8" s="171">
        <v>0.8</v>
      </c>
      <c r="H8" s="172">
        <v>0.5</v>
      </c>
      <c r="I8" s="172">
        <v>0.5</v>
      </c>
      <c r="J8" s="171">
        <v>0.3</v>
      </c>
      <c r="K8" s="171">
        <v>0.05</v>
      </c>
    </row>
    <row r="9" spans="1:42" x14ac:dyDescent="0.2">
      <c r="A9" s="169" t="s">
        <v>83</v>
      </c>
      <c r="B9" s="173">
        <v>0.1</v>
      </c>
      <c r="C9" s="111" t="s">
        <v>152</v>
      </c>
      <c r="D9" s="110">
        <v>8</v>
      </c>
      <c r="E9" s="183" t="s">
        <v>187</v>
      </c>
      <c r="F9" s="110">
        <v>0.995</v>
      </c>
      <c r="G9" s="171">
        <v>0.8</v>
      </c>
      <c r="H9" s="172">
        <v>0.5</v>
      </c>
      <c r="I9" s="172">
        <v>0.5</v>
      </c>
      <c r="J9" s="171">
        <v>0.3</v>
      </c>
      <c r="K9" s="171">
        <v>0.05</v>
      </c>
    </row>
    <row r="10" spans="1:42" ht="17" thickBot="1" x14ac:dyDescent="0.25">
      <c r="A10" s="169" t="s">
        <v>151</v>
      </c>
      <c r="B10" s="174">
        <f>1/3</f>
        <v>0.33333333333333331</v>
      </c>
      <c r="C10" s="111" t="s">
        <v>152</v>
      </c>
      <c r="D10" s="110">
        <v>9</v>
      </c>
      <c r="E10" s="183" t="s">
        <v>189</v>
      </c>
      <c r="F10" s="110">
        <v>0.995</v>
      </c>
      <c r="G10" s="171">
        <v>0.8</v>
      </c>
      <c r="H10" s="172">
        <v>0.5</v>
      </c>
      <c r="I10" s="172">
        <v>0.5</v>
      </c>
      <c r="J10" s="171">
        <v>0.3</v>
      </c>
      <c r="K10" s="171">
        <v>0.05</v>
      </c>
    </row>
    <row r="11" spans="1:42" x14ac:dyDescent="0.2">
      <c r="D11" s="110">
        <v>10</v>
      </c>
      <c r="E11" s="183" t="s">
        <v>190</v>
      </c>
      <c r="F11" s="110">
        <v>0.995</v>
      </c>
      <c r="G11" s="171">
        <v>0.8</v>
      </c>
      <c r="H11" s="172">
        <v>0.5</v>
      </c>
      <c r="I11" s="172">
        <v>0.5</v>
      </c>
      <c r="J11" s="171">
        <v>0.3</v>
      </c>
      <c r="K11" s="171">
        <v>0.05</v>
      </c>
    </row>
    <row r="12" spans="1:42" x14ac:dyDescent="0.2">
      <c r="D12" s="110">
        <v>11</v>
      </c>
      <c r="E12" s="183" t="s">
        <v>191</v>
      </c>
      <c r="F12" s="110">
        <v>0.995</v>
      </c>
      <c r="G12" s="171">
        <v>0.8</v>
      </c>
      <c r="H12" s="172">
        <v>0.5</v>
      </c>
      <c r="I12" s="172">
        <v>0.5</v>
      </c>
      <c r="J12" s="171">
        <v>0.3</v>
      </c>
      <c r="K12" s="171">
        <v>0.05</v>
      </c>
    </row>
    <row r="13" spans="1:42" x14ac:dyDescent="0.2">
      <c r="D13" s="110">
        <v>12</v>
      </c>
      <c r="E13" s="183" t="s">
        <v>192</v>
      </c>
      <c r="F13" s="110">
        <v>0.995</v>
      </c>
      <c r="G13" s="171">
        <v>0.8</v>
      </c>
      <c r="H13" s="172">
        <v>0.5</v>
      </c>
      <c r="I13" s="172">
        <v>0.5</v>
      </c>
      <c r="J13" s="171">
        <v>0.3</v>
      </c>
      <c r="K13" s="171">
        <v>0.05</v>
      </c>
    </row>
    <row r="14" spans="1:42" x14ac:dyDescent="0.2">
      <c r="D14" s="110">
        <v>13</v>
      </c>
      <c r="E14" s="183" t="s">
        <v>193</v>
      </c>
      <c r="F14" s="110">
        <v>0.995</v>
      </c>
      <c r="G14" s="171">
        <v>0.8</v>
      </c>
      <c r="H14" s="172">
        <v>0.5</v>
      </c>
      <c r="I14" s="172">
        <v>0.5</v>
      </c>
      <c r="J14" s="171">
        <v>0.3</v>
      </c>
      <c r="K14" s="171">
        <v>0.05</v>
      </c>
    </row>
    <row r="15" spans="1:42" x14ac:dyDescent="0.2">
      <c r="D15" s="110">
        <v>14</v>
      </c>
      <c r="E15" s="183" t="s">
        <v>194</v>
      </c>
      <c r="F15" s="110">
        <v>0.995</v>
      </c>
      <c r="G15" s="171">
        <v>0.8</v>
      </c>
      <c r="H15" s="172">
        <v>0.5</v>
      </c>
      <c r="I15" s="172">
        <v>0.5</v>
      </c>
      <c r="J15" s="171">
        <v>0.3</v>
      </c>
      <c r="K15" s="171">
        <v>0.05</v>
      </c>
    </row>
    <row r="16" spans="1:42" x14ac:dyDescent="0.2">
      <c r="D16" s="110">
        <v>15</v>
      </c>
      <c r="E16" s="183" t="s">
        <v>195</v>
      </c>
      <c r="F16" s="110">
        <v>0.995</v>
      </c>
      <c r="G16" s="171">
        <v>0.8</v>
      </c>
      <c r="H16" s="172">
        <v>0.5</v>
      </c>
      <c r="I16" s="172">
        <v>0.5</v>
      </c>
      <c r="J16" s="171">
        <v>0.3</v>
      </c>
      <c r="K16" s="171">
        <v>0.05</v>
      </c>
    </row>
    <row r="17" spans="4:33" x14ac:dyDescent="0.2">
      <c r="D17" s="110">
        <v>16</v>
      </c>
      <c r="E17" s="183" t="s">
        <v>196</v>
      </c>
      <c r="F17" s="110">
        <v>0.995</v>
      </c>
      <c r="G17" s="171">
        <v>0.8</v>
      </c>
      <c r="H17" s="172">
        <v>0.5</v>
      </c>
      <c r="I17" s="172">
        <v>0.5</v>
      </c>
      <c r="J17" s="171">
        <v>0.3</v>
      </c>
      <c r="K17" s="171">
        <v>0.05</v>
      </c>
    </row>
    <row r="18" spans="4:33" x14ac:dyDescent="0.2">
      <c r="D18" s="110">
        <v>17</v>
      </c>
      <c r="E18" s="183" t="s">
        <v>197</v>
      </c>
      <c r="F18" s="110">
        <v>0.995</v>
      </c>
      <c r="G18" s="171">
        <v>0.8</v>
      </c>
      <c r="H18" s="172">
        <v>0.5</v>
      </c>
      <c r="I18" s="172">
        <v>0.5</v>
      </c>
      <c r="J18" s="171">
        <v>0.3</v>
      </c>
      <c r="K18" s="171">
        <v>0.05</v>
      </c>
    </row>
    <row r="19" spans="4:33" ht="15" customHeight="1" x14ac:dyDescent="0.2">
      <c r="D19" s="110">
        <v>18</v>
      </c>
      <c r="E19" s="183" t="s">
        <v>198</v>
      </c>
      <c r="F19" s="110">
        <v>0.995</v>
      </c>
      <c r="G19" s="171">
        <v>0.8</v>
      </c>
      <c r="H19" s="172">
        <v>0.5</v>
      </c>
      <c r="I19" s="172">
        <v>0.5</v>
      </c>
      <c r="J19" s="171">
        <v>0.3</v>
      </c>
      <c r="K19" s="171">
        <v>0.05</v>
      </c>
    </row>
    <row r="20" spans="4:33" ht="15" customHeight="1" x14ac:dyDescent="0.2">
      <c r="D20" s="110">
        <v>19</v>
      </c>
      <c r="E20" s="183" t="s">
        <v>199</v>
      </c>
      <c r="F20" s="110">
        <v>0.995</v>
      </c>
      <c r="G20" s="171">
        <v>0.8</v>
      </c>
      <c r="H20" s="172">
        <v>0.5</v>
      </c>
      <c r="I20" s="172">
        <v>0.5</v>
      </c>
      <c r="J20" s="171">
        <v>0.3</v>
      </c>
      <c r="K20" s="171">
        <v>0.05</v>
      </c>
    </row>
    <row r="21" spans="4:33" ht="15" customHeight="1" x14ac:dyDescent="0.2">
      <c r="D21" s="110">
        <v>20</v>
      </c>
      <c r="E21" s="183" t="s">
        <v>200</v>
      </c>
      <c r="F21" s="110">
        <v>0.995</v>
      </c>
      <c r="G21" s="171">
        <v>0.8</v>
      </c>
      <c r="H21" s="172">
        <v>0.5</v>
      </c>
      <c r="I21" s="172">
        <v>0.5</v>
      </c>
      <c r="J21" s="171">
        <v>0.3</v>
      </c>
      <c r="K21" s="171">
        <v>0.05</v>
      </c>
    </row>
    <row r="22" spans="4:33" ht="15" customHeight="1" x14ac:dyDescent="0.2">
      <c r="D22" s="110">
        <v>21</v>
      </c>
      <c r="E22" s="183" t="s">
        <v>201</v>
      </c>
      <c r="F22" s="110">
        <v>0.995</v>
      </c>
      <c r="G22" s="171">
        <v>0.8</v>
      </c>
      <c r="H22" s="172">
        <v>0.5</v>
      </c>
      <c r="I22" s="172">
        <v>0.5</v>
      </c>
      <c r="J22" s="171">
        <v>0.3</v>
      </c>
      <c r="K22" s="171">
        <v>0.05</v>
      </c>
    </row>
    <row r="23" spans="4:33" ht="15" customHeight="1" x14ac:dyDescent="0.2">
      <c r="D23" s="110">
        <v>22</v>
      </c>
      <c r="E23" s="183" t="s">
        <v>202</v>
      </c>
      <c r="F23" s="110">
        <v>0.995</v>
      </c>
      <c r="G23" s="171">
        <v>0.8</v>
      </c>
      <c r="H23" s="172">
        <v>0.5</v>
      </c>
      <c r="I23" s="172">
        <v>0.5</v>
      </c>
      <c r="J23" s="171">
        <v>0.3</v>
      </c>
      <c r="K23" s="171">
        <v>0.05</v>
      </c>
    </row>
    <row r="24" spans="4:33" ht="15" customHeight="1" x14ac:dyDescent="0.2">
      <c r="D24" s="110">
        <v>23</v>
      </c>
      <c r="E24" s="183" t="s">
        <v>203</v>
      </c>
      <c r="F24" s="110">
        <v>0.995</v>
      </c>
      <c r="G24" s="171">
        <v>0.8</v>
      </c>
      <c r="H24" s="172">
        <v>0.5</v>
      </c>
      <c r="I24" s="172">
        <v>0.5</v>
      </c>
      <c r="J24" s="171">
        <v>0.3</v>
      </c>
      <c r="K24" s="171">
        <v>0.05</v>
      </c>
    </row>
    <row r="25" spans="4:33" ht="15" customHeight="1" x14ac:dyDescent="0.2">
      <c r="D25" s="110">
        <v>24</v>
      </c>
      <c r="E25" s="183" t="s">
        <v>204</v>
      </c>
      <c r="F25" s="110">
        <v>0.995</v>
      </c>
      <c r="G25" s="171">
        <v>0.8</v>
      </c>
      <c r="H25" s="172">
        <v>0.5</v>
      </c>
      <c r="I25" s="172">
        <v>0.5</v>
      </c>
      <c r="J25" s="171">
        <v>0.3</v>
      </c>
      <c r="K25" s="171">
        <v>0.05</v>
      </c>
    </row>
    <row r="26" spans="4:33" ht="15" customHeight="1" x14ac:dyDescent="0.2">
      <c r="D26" s="110">
        <v>25</v>
      </c>
      <c r="E26" s="183" t="s">
        <v>205</v>
      </c>
      <c r="F26" s="110">
        <v>0.995</v>
      </c>
      <c r="G26" s="171">
        <v>0.8</v>
      </c>
      <c r="H26" s="172">
        <v>0.5</v>
      </c>
      <c r="I26" s="172">
        <v>0.5</v>
      </c>
      <c r="J26" s="171">
        <v>0.3</v>
      </c>
      <c r="K26" s="171">
        <v>0.05</v>
      </c>
    </row>
    <row r="27" spans="4:33" ht="15" customHeight="1" x14ac:dyDescent="0.2">
      <c r="D27" s="110">
        <v>26</v>
      </c>
      <c r="E27" s="183" t="s">
        <v>206</v>
      </c>
      <c r="F27" s="110">
        <v>0.995</v>
      </c>
      <c r="G27" s="171">
        <v>0.8</v>
      </c>
      <c r="H27" s="172">
        <v>0.5</v>
      </c>
      <c r="I27" s="172">
        <v>0.5</v>
      </c>
      <c r="J27" s="171">
        <v>0.3</v>
      </c>
      <c r="K27" s="171">
        <v>0.05</v>
      </c>
    </row>
    <row r="28" spans="4:33" ht="15" customHeight="1" x14ac:dyDescent="0.2">
      <c r="D28" s="110">
        <v>27</v>
      </c>
      <c r="E28" s="183" t="s">
        <v>207</v>
      </c>
      <c r="F28" s="110">
        <v>0.995</v>
      </c>
      <c r="G28" s="171">
        <v>0.8</v>
      </c>
      <c r="H28" s="172">
        <v>0.5</v>
      </c>
      <c r="I28" s="172">
        <v>0.5</v>
      </c>
      <c r="J28" s="171">
        <v>0.3</v>
      </c>
      <c r="K28" s="171">
        <v>0.05</v>
      </c>
    </row>
    <row r="29" spans="4:33" ht="15" customHeight="1" x14ac:dyDescent="0.2">
      <c r="D29" s="110">
        <v>28</v>
      </c>
      <c r="E29" s="183" t="s">
        <v>257</v>
      </c>
      <c r="F29" s="110">
        <v>0.995</v>
      </c>
      <c r="G29" s="171">
        <v>0.8</v>
      </c>
      <c r="H29" s="172">
        <v>0.5</v>
      </c>
      <c r="I29" s="172">
        <v>0.5</v>
      </c>
      <c r="J29" s="171">
        <v>0.3</v>
      </c>
      <c r="K29" s="171">
        <v>0.05</v>
      </c>
    </row>
    <row r="30" spans="4:33" ht="15" customHeight="1" x14ac:dyDescent="0.2">
      <c r="D30" s="110">
        <v>29</v>
      </c>
      <c r="E30" s="183" t="s">
        <v>258</v>
      </c>
      <c r="F30" s="110">
        <v>0.995</v>
      </c>
      <c r="G30" s="171">
        <v>0.8</v>
      </c>
      <c r="H30" s="172">
        <v>0.5</v>
      </c>
      <c r="I30" s="172">
        <v>0.5</v>
      </c>
      <c r="J30" s="171">
        <v>0.3</v>
      </c>
      <c r="K30" s="171">
        <v>0.05</v>
      </c>
    </row>
    <row r="31" spans="4:33" ht="15" customHeight="1" x14ac:dyDescent="0.2">
      <c r="D31" s="110">
        <v>30</v>
      </c>
      <c r="E31" s="183" t="s">
        <v>259</v>
      </c>
      <c r="F31" s="110">
        <v>0.995</v>
      </c>
      <c r="G31" s="171">
        <v>0.8</v>
      </c>
      <c r="H31" s="172">
        <v>0.5</v>
      </c>
      <c r="I31" s="172">
        <v>0.5</v>
      </c>
      <c r="J31" s="171">
        <v>0.3</v>
      </c>
      <c r="K31" s="171">
        <v>0.05</v>
      </c>
      <c r="Y31" s="110"/>
      <c r="AC31" s="110"/>
      <c r="AG31" s="110"/>
    </row>
    <row r="32" spans="4:33" ht="15" customHeight="1" x14ac:dyDescent="0.2">
      <c r="D32" s="110">
        <v>31</v>
      </c>
      <c r="E32" s="183" t="s">
        <v>260</v>
      </c>
      <c r="F32" s="110">
        <v>0.995</v>
      </c>
      <c r="G32" s="171">
        <v>0.8</v>
      </c>
      <c r="H32" s="172">
        <v>0.5</v>
      </c>
      <c r="I32" s="172">
        <v>0.5</v>
      </c>
      <c r="J32" s="171">
        <v>0.3</v>
      </c>
      <c r="K32" s="171">
        <v>0.05</v>
      </c>
      <c r="Y32" s="110"/>
      <c r="AC32" s="110"/>
      <c r="AG32" s="110"/>
    </row>
    <row r="33" spans="4:33" ht="15" customHeight="1" x14ac:dyDescent="0.2">
      <c r="D33" s="110">
        <v>32</v>
      </c>
      <c r="E33" s="183" t="s">
        <v>208</v>
      </c>
      <c r="F33" s="110">
        <v>0.995</v>
      </c>
      <c r="G33" s="171">
        <v>0.8</v>
      </c>
      <c r="H33" s="172">
        <v>0.5</v>
      </c>
      <c r="I33" s="172">
        <v>0.5</v>
      </c>
      <c r="J33" s="171">
        <v>0.3</v>
      </c>
      <c r="K33" s="171">
        <v>0.05</v>
      </c>
      <c r="Y33" s="110"/>
      <c r="AC33" s="110"/>
      <c r="AG33" s="110"/>
    </row>
    <row r="34" spans="4:33" ht="15" customHeight="1" x14ac:dyDescent="0.2">
      <c r="D34" s="110">
        <v>33</v>
      </c>
      <c r="E34" s="183" t="s">
        <v>209</v>
      </c>
      <c r="F34" s="110">
        <v>0.995</v>
      </c>
      <c r="G34" s="171">
        <v>0.8</v>
      </c>
      <c r="H34" s="172">
        <v>0.5</v>
      </c>
      <c r="I34" s="172">
        <v>0.5</v>
      </c>
      <c r="J34" s="171">
        <v>0.3</v>
      </c>
      <c r="K34" s="171">
        <v>0.05</v>
      </c>
      <c r="Y34" s="110"/>
      <c r="AC34" s="110"/>
      <c r="AG34" s="110"/>
    </row>
    <row r="35" spans="4:33" ht="15" customHeight="1" x14ac:dyDescent="0.2">
      <c r="D35" s="110">
        <v>34</v>
      </c>
      <c r="E35" s="183" t="s">
        <v>210</v>
      </c>
      <c r="F35" s="110">
        <v>0.995</v>
      </c>
      <c r="G35" s="171">
        <v>0.8</v>
      </c>
      <c r="H35" s="172">
        <v>0.5</v>
      </c>
      <c r="I35" s="172">
        <v>0.5</v>
      </c>
      <c r="J35" s="171">
        <v>0.3</v>
      </c>
      <c r="K35" s="171">
        <v>0.05</v>
      </c>
      <c r="Y35" s="110"/>
      <c r="AC35" s="110"/>
      <c r="AG35" s="110"/>
    </row>
    <row r="36" spans="4:33" ht="15" customHeight="1" x14ac:dyDescent="0.2">
      <c r="D36" s="110">
        <v>35</v>
      </c>
      <c r="E36" s="183" t="s">
        <v>211</v>
      </c>
      <c r="F36" s="110">
        <v>0.995</v>
      </c>
      <c r="G36" s="171">
        <v>0.8</v>
      </c>
      <c r="H36" s="172">
        <v>0.5</v>
      </c>
      <c r="I36" s="172">
        <v>0.5</v>
      </c>
      <c r="J36" s="171">
        <v>0.3</v>
      </c>
      <c r="K36" s="171">
        <v>0.05</v>
      </c>
      <c r="Y36" s="110"/>
      <c r="AC36" s="110"/>
      <c r="AG36" s="110"/>
    </row>
    <row r="37" spans="4:33" ht="15" customHeight="1" x14ac:dyDescent="0.2">
      <c r="D37" s="110">
        <v>36</v>
      </c>
      <c r="E37" s="183" t="s">
        <v>212</v>
      </c>
      <c r="F37" s="110">
        <v>0.995</v>
      </c>
      <c r="G37" s="171">
        <v>0.8</v>
      </c>
      <c r="H37" s="172">
        <v>0.5</v>
      </c>
      <c r="I37" s="172">
        <v>0.5</v>
      </c>
      <c r="J37" s="171">
        <v>0.3</v>
      </c>
      <c r="K37" s="171">
        <v>0.05</v>
      </c>
      <c r="Y37" s="110"/>
      <c r="AC37" s="110"/>
      <c r="AG37" s="110"/>
    </row>
    <row r="38" spans="4:33" ht="15" customHeight="1" x14ac:dyDescent="0.2">
      <c r="D38" s="110">
        <v>37</v>
      </c>
      <c r="E38" s="183" t="s">
        <v>213</v>
      </c>
      <c r="F38" s="110">
        <v>0.995</v>
      </c>
      <c r="G38" s="171">
        <v>0.8</v>
      </c>
      <c r="H38" s="172">
        <v>0.5</v>
      </c>
      <c r="I38" s="172">
        <v>0.5</v>
      </c>
      <c r="J38" s="171">
        <v>0.3</v>
      </c>
      <c r="K38" s="171">
        <v>0.05</v>
      </c>
      <c r="Y38" s="110"/>
      <c r="AC38" s="110"/>
      <c r="AG38" s="110"/>
    </row>
    <row r="39" spans="4:33" ht="15" customHeight="1" x14ac:dyDescent="0.2">
      <c r="D39" s="110">
        <v>38</v>
      </c>
      <c r="E39" s="183" t="s">
        <v>214</v>
      </c>
      <c r="F39" s="110">
        <v>0.995</v>
      </c>
      <c r="G39" s="171">
        <v>0.8</v>
      </c>
      <c r="H39" s="172">
        <v>0.5</v>
      </c>
      <c r="I39" s="172">
        <v>0.5</v>
      </c>
      <c r="J39" s="171">
        <v>0.3</v>
      </c>
      <c r="K39" s="171">
        <v>0.05</v>
      </c>
      <c r="Y39" s="110"/>
      <c r="AC39" s="110"/>
      <c r="AG39" s="110"/>
    </row>
    <row r="40" spans="4:33" ht="15" customHeight="1" x14ac:dyDescent="0.2">
      <c r="D40" s="110">
        <v>39</v>
      </c>
      <c r="E40" s="183" t="s">
        <v>215</v>
      </c>
      <c r="F40" s="110">
        <v>0.995</v>
      </c>
      <c r="G40" s="171">
        <v>0.8</v>
      </c>
      <c r="H40" s="172">
        <v>0.5</v>
      </c>
      <c r="I40" s="172">
        <v>0.5</v>
      </c>
      <c r="J40" s="171">
        <v>0.3</v>
      </c>
      <c r="K40" s="171">
        <v>0.05</v>
      </c>
      <c r="Y40" s="110"/>
      <c r="AC40" s="110"/>
      <c r="AG40" s="110"/>
    </row>
    <row r="41" spans="4:33" ht="15" customHeight="1" x14ac:dyDescent="0.2">
      <c r="D41" s="110">
        <v>40</v>
      </c>
      <c r="E41" s="183" t="s">
        <v>216</v>
      </c>
      <c r="F41" s="110">
        <v>0.995</v>
      </c>
      <c r="G41" s="171">
        <v>0.8</v>
      </c>
      <c r="H41" s="172">
        <v>0.5</v>
      </c>
      <c r="I41" s="172">
        <v>0.5</v>
      </c>
      <c r="J41" s="171">
        <v>0.3</v>
      </c>
      <c r="K41" s="171">
        <v>0.05</v>
      </c>
    </row>
    <row r="42" spans="4:33" ht="15" customHeight="1" x14ac:dyDescent="0.2">
      <c r="D42" s="110">
        <v>41</v>
      </c>
      <c r="E42" s="183" t="s">
        <v>217</v>
      </c>
      <c r="F42" s="110">
        <v>0.995</v>
      </c>
      <c r="G42" s="171">
        <v>0.8</v>
      </c>
      <c r="H42" s="172">
        <v>0.5</v>
      </c>
      <c r="I42" s="172">
        <v>0.5</v>
      </c>
      <c r="J42" s="171">
        <v>0.3</v>
      </c>
      <c r="K42" s="171">
        <v>0.05</v>
      </c>
      <c r="Y42" s="110"/>
      <c r="AC42" s="110"/>
      <c r="AG42" s="110"/>
    </row>
    <row r="43" spans="4:33" ht="15" customHeight="1" x14ac:dyDescent="0.2">
      <c r="D43" s="110">
        <v>42</v>
      </c>
      <c r="E43" s="183" t="s">
        <v>218</v>
      </c>
      <c r="F43" s="110">
        <v>0.995</v>
      </c>
      <c r="G43" s="171">
        <v>0.8</v>
      </c>
      <c r="H43" s="172">
        <v>0.5</v>
      </c>
      <c r="I43" s="172">
        <v>0.5</v>
      </c>
      <c r="J43" s="171">
        <v>0.3</v>
      </c>
      <c r="K43" s="171">
        <v>0.05</v>
      </c>
      <c r="Y43" s="110"/>
      <c r="AC43" s="110"/>
      <c r="AG43" s="110"/>
    </row>
    <row r="44" spans="4:33" ht="15" customHeight="1" x14ac:dyDescent="0.2">
      <c r="D44" s="110">
        <v>43</v>
      </c>
      <c r="E44" s="183" t="s">
        <v>219</v>
      </c>
      <c r="F44" s="110">
        <v>0.995</v>
      </c>
      <c r="G44" s="171">
        <v>0.8</v>
      </c>
      <c r="H44" s="172">
        <v>0.5</v>
      </c>
      <c r="I44" s="172">
        <v>0.5</v>
      </c>
      <c r="J44" s="171">
        <v>0.3</v>
      </c>
      <c r="K44" s="171">
        <v>0.05</v>
      </c>
      <c r="Y44" s="110"/>
      <c r="AC44" s="110"/>
      <c r="AG44" s="110"/>
    </row>
    <row r="45" spans="4:33" ht="15" customHeight="1" x14ac:dyDescent="0.2">
      <c r="D45" s="110">
        <v>44</v>
      </c>
      <c r="E45" s="183" t="s">
        <v>220</v>
      </c>
      <c r="F45" s="110">
        <v>0.995</v>
      </c>
      <c r="G45" s="171">
        <v>0.8</v>
      </c>
      <c r="H45" s="172">
        <v>0.5</v>
      </c>
      <c r="I45" s="172">
        <v>0</v>
      </c>
      <c r="J45" s="171">
        <v>0</v>
      </c>
      <c r="K45" s="171">
        <v>0</v>
      </c>
      <c r="Y45" s="110"/>
      <c r="AC45" s="110"/>
      <c r="AG45" s="110"/>
    </row>
    <row r="46" spans="4:33" ht="15" customHeight="1" x14ac:dyDescent="0.2">
      <c r="D46" s="110">
        <v>45</v>
      </c>
      <c r="E46" s="183" t="s">
        <v>221</v>
      </c>
      <c r="F46" s="110">
        <v>0.995</v>
      </c>
      <c r="G46" s="171">
        <v>0.8</v>
      </c>
      <c r="H46" s="172">
        <v>0.5</v>
      </c>
      <c r="I46" s="172">
        <v>0.5</v>
      </c>
      <c r="J46" s="171">
        <v>0.3</v>
      </c>
      <c r="K46" s="171">
        <v>0.05</v>
      </c>
      <c r="Y46" s="110"/>
      <c r="AC46" s="110"/>
      <c r="AG46" s="110"/>
    </row>
    <row r="47" spans="4:33" ht="15" customHeight="1" x14ac:dyDescent="0.2">
      <c r="D47" s="110">
        <v>46</v>
      </c>
      <c r="E47" s="183" t="s">
        <v>222</v>
      </c>
      <c r="F47" s="110">
        <v>0.995</v>
      </c>
      <c r="G47" s="171">
        <v>0.8</v>
      </c>
      <c r="H47" s="172">
        <v>0.5</v>
      </c>
      <c r="I47" s="172">
        <v>0.5</v>
      </c>
      <c r="J47" s="171">
        <v>0.3</v>
      </c>
      <c r="K47" s="171">
        <v>0.05</v>
      </c>
      <c r="Y47" s="110"/>
      <c r="AC47" s="110"/>
      <c r="AG47" s="110"/>
    </row>
    <row r="48" spans="4:33" ht="15" customHeight="1" x14ac:dyDescent="0.2">
      <c r="D48" s="110">
        <v>47</v>
      </c>
      <c r="E48" s="183" t="s">
        <v>223</v>
      </c>
      <c r="F48" s="110">
        <v>0.995</v>
      </c>
      <c r="G48" s="171">
        <v>0.8</v>
      </c>
      <c r="H48" s="172">
        <v>0.5</v>
      </c>
      <c r="I48" s="172">
        <v>0.5</v>
      </c>
      <c r="J48" s="171">
        <v>0.3</v>
      </c>
      <c r="K48" s="171">
        <v>0.05</v>
      </c>
      <c r="Y48" s="110"/>
      <c r="AC48" s="110"/>
      <c r="AG48" s="110"/>
    </row>
    <row r="49" spans="4:33" ht="15" customHeight="1" x14ac:dyDescent="0.2">
      <c r="D49" s="110">
        <v>48</v>
      </c>
      <c r="E49" s="183" t="s">
        <v>224</v>
      </c>
      <c r="F49" s="110">
        <v>0.995</v>
      </c>
      <c r="G49" s="171">
        <v>0.8</v>
      </c>
      <c r="H49" s="172">
        <v>0.5</v>
      </c>
      <c r="I49" s="172">
        <v>0.5</v>
      </c>
      <c r="J49" s="171">
        <v>0.3</v>
      </c>
      <c r="K49" s="171">
        <v>0.05</v>
      </c>
      <c r="Y49" s="110"/>
      <c r="AC49" s="110"/>
      <c r="AG49" s="110"/>
    </row>
    <row r="50" spans="4:33" ht="15" customHeight="1" x14ac:dyDescent="0.2">
      <c r="D50" s="110">
        <v>49</v>
      </c>
      <c r="E50" s="183" t="s">
        <v>225</v>
      </c>
      <c r="F50" s="110">
        <v>0.995</v>
      </c>
      <c r="G50" s="171">
        <v>0.8</v>
      </c>
      <c r="H50" s="172">
        <v>0.5</v>
      </c>
      <c r="I50" s="171">
        <v>0</v>
      </c>
      <c r="J50" s="171">
        <v>0</v>
      </c>
      <c r="K50" s="171">
        <v>0</v>
      </c>
      <c r="Y50" s="110"/>
      <c r="AC50" s="110"/>
      <c r="AG50" s="110"/>
    </row>
    <row r="51" spans="4:33" ht="15" customHeight="1" x14ac:dyDescent="0.2">
      <c r="D51" s="110">
        <v>50</v>
      </c>
      <c r="E51" s="183" t="s">
        <v>124</v>
      </c>
      <c r="F51" s="110">
        <v>0.995</v>
      </c>
      <c r="G51" s="171">
        <v>0.8</v>
      </c>
      <c r="H51" s="172">
        <v>0.5</v>
      </c>
      <c r="I51" s="171">
        <v>0</v>
      </c>
      <c r="J51" s="171">
        <v>0</v>
      </c>
      <c r="K51" s="171">
        <v>0</v>
      </c>
      <c r="Y51" s="110"/>
      <c r="AC51" s="110"/>
      <c r="AG51" s="110"/>
    </row>
    <row r="52" spans="4:33" ht="15" customHeight="1" x14ac:dyDescent="0.2">
      <c r="D52" s="110">
        <v>51</v>
      </c>
      <c r="E52" s="183" t="s">
        <v>125</v>
      </c>
      <c r="F52" s="110">
        <v>0.995</v>
      </c>
      <c r="G52" s="171">
        <v>0.8</v>
      </c>
      <c r="H52" s="172">
        <v>0.5</v>
      </c>
      <c r="I52" s="171">
        <v>0</v>
      </c>
      <c r="J52" s="171">
        <v>0</v>
      </c>
      <c r="K52" s="171">
        <v>0</v>
      </c>
      <c r="Y52" s="110"/>
      <c r="AC52" s="110"/>
      <c r="AG52" s="110"/>
    </row>
    <row r="53" spans="4:33" ht="15" customHeight="1" x14ac:dyDescent="0.2">
      <c r="J53" s="110"/>
      <c r="K53" s="110"/>
      <c r="Y53" s="110"/>
      <c r="AC53" s="110"/>
      <c r="AG53" s="110"/>
    </row>
    <row r="54" spans="4:33" ht="15" customHeight="1" x14ac:dyDescent="0.2">
      <c r="J54" s="110"/>
      <c r="K54" s="110"/>
      <c r="Y54" s="110"/>
      <c r="AC54" s="110"/>
      <c r="AG54" s="110"/>
    </row>
    <row r="55" spans="4:33" ht="15" customHeight="1" x14ac:dyDescent="0.2">
      <c r="J55" s="110"/>
      <c r="K55" s="110"/>
      <c r="Y55" s="110"/>
      <c r="AC55" s="110"/>
      <c r="AG55" s="110"/>
    </row>
    <row r="56" spans="4:33" ht="15" customHeight="1" x14ac:dyDescent="0.2">
      <c r="J56" s="110"/>
      <c r="K56" s="110"/>
      <c r="Y56" s="110"/>
      <c r="AC56" s="110"/>
      <c r="AG56" s="110"/>
    </row>
    <row r="57" spans="4:33" ht="15" customHeight="1" x14ac:dyDescent="0.2">
      <c r="J57" s="110"/>
      <c r="K57" s="110"/>
      <c r="Y57" s="110"/>
      <c r="AC57" s="110"/>
      <c r="AG57" s="110"/>
    </row>
    <row r="58" spans="4:33" ht="15" customHeight="1" x14ac:dyDescent="0.2">
      <c r="J58" s="110"/>
      <c r="K58" s="110"/>
      <c r="Y58" s="110"/>
      <c r="AC58" s="110"/>
      <c r="AG58" s="110"/>
    </row>
    <row r="59" spans="4:33" ht="15" customHeight="1" x14ac:dyDescent="0.2">
      <c r="J59" s="110"/>
      <c r="K59" s="110"/>
      <c r="Y59" s="110"/>
      <c r="AC59" s="110"/>
      <c r="AG59" s="110"/>
    </row>
    <row r="60" spans="4:33" ht="15" customHeight="1" x14ac:dyDescent="0.2">
      <c r="J60" s="110"/>
      <c r="K60" s="110"/>
      <c r="Y60" s="110"/>
      <c r="AC60" s="110"/>
      <c r="AG60" s="110"/>
    </row>
    <row r="61" spans="4:33" ht="15" customHeight="1" x14ac:dyDescent="0.2">
      <c r="J61" s="110"/>
      <c r="K61" s="110"/>
      <c r="Y61" s="110"/>
      <c r="AC61" s="110"/>
      <c r="AG61" s="110"/>
    </row>
    <row r="62" spans="4:33" ht="15" customHeight="1" x14ac:dyDescent="0.2">
      <c r="J62" s="110"/>
      <c r="K62" s="110"/>
      <c r="Y62" s="110"/>
      <c r="AC62" s="110"/>
      <c r="AG62" s="110"/>
    </row>
    <row r="63" spans="4:33" ht="15" customHeight="1" x14ac:dyDescent="0.2">
      <c r="J63" s="110"/>
      <c r="K63" s="110"/>
      <c r="Y63" s="110"/>
      <c r="AC63" s="110"/>
      <c r="AG63" s="110"/>
    </row>
    <row r="64" spans="4:33" ht="15" customHeight="1" x14ac:dyDescent="0.2">
      <c r="J64" s="110"/>
      <c r="K64" s="110"/>
      <c r="Y64" s="110"/>
      <c r="AC64" s="110"/>
      <c r="AG64" s="110"/>
    </row>
    <row r="65" spans="10:33" ht="15" customHeight="1" x14ac:dyDescent="0.2">
      <c r="J65" s="110"/>
      <c r="K65" s="110"/>
      <c r="Y65" s="110"/>
      <c r="AC65" s="110"/>
      <c r="AG65" s="110"/>
    </row>
    <row r="66" spans="10:33" ht="15" customHeight="1" x14ac:dyDescent="0.2">
      <c r="J66" s="110"/>
      <c r="K66" s="110"/>
      <c r="Y66" s="110"/>
      <c r="AC66" s="110"/>
      <c r="AG66" s="110"/>
    </row>
    <row r="67" spans="10:33" ht="15" customHeight="1" x14ac:dyDescent="0.2">
      <c r="J67" s="110"/>
      <c r="K67" s="110"/>
      <c r="Y67" s="110"/>
      <c r="AC67" s="110"/>
      <c r="AG67" s="110"/>
    </row>
    <row r="68" spans="10:33" ht="15" customHeight="1" x14ac:dyDescent="0.2">
      <c r="J68" s="110"/>
      <c r="K68" s="110"/>
      <c r="Y68" s="110"/>
      <c r="AC68" s="110"/>
      <c r="AG68" s="110"/>
    </row>
    <row r="69" spans="10:33" ht="15" customHeight="1" x14ac:dyDescent="0.2">
      <c r="J69" s="110"/>
      <c r="K69" s="110"/>
      <c r="Y69" s="110"/>
      <c r="AC69" s="110"/>
      <c r="AG69" s="110"/>
    </row>
    <row r="70" spans="10:33" ht="15" customHeight="1" x14ac:dyDescent="0.2">
      <c r="J70" s="110"/>
      <c r="K70" s="110"/>
      <c r="Y70" s="110"/>
      <c r="AC70" s="110"/>
      <c r="AG70" s="110"/>
    </row>
    <row r="71" spans="10:33" ht="15" customHeight="1" x14ac:dyDescent="0.2">
      <c r="J71" s="110"/>
      <c r="K71" s="110"/>
      <c r="Y71" s="110"/>
      <c r="AC71" s="110"/>
      <c r="AG71" s="110"/>
    </row>
    <row r="72" spans="10:33" ht="15" customHeight="1" x14ac:dyDescent="0.2">
      <c r="J72" s="110"/>
      <c r="K72" s="110"/>
      <c r="Y72" s="110"/>
      <c r="AC72" s="110"/>
      <c r="AG72" s="110"/>
    </row>
    <row r="73" spans="10:33" ht="15" customHeight="1" x14ac:dyDescent="0.2">
      <c r="J73" s="110"/>
      <c r="K73" s="110"/>
      <c r="Y73" s="110"/>
      <c r="AC73" s="110"/>
      <c r="AG73" s="110"/>
    </row>
    <row r="74" spans="10:33" ht="15" customHeight="1" x14ac:dyDescent="0.2">
      <c r="J74" s="110"/>
      <c r="K74" s="110"/>
      <c r="Y74" s="110"/>
      <c r="AC74" s="110"/>
      <c r="AG74" s="110"/>
    </row>
    <row r="75" spans="10:33" ht="15" customHeight="1" x14ac:dyDescent="0.2">
      <c r="J75" s="110"/>
      <c r="K75" s="110"/>
      <c r="Y75" s="110"/>
      <c r="AC75" s="110"/>
      <c r="AG75" s="110"/>
    </row>
    <row r="76" spans="10:33" ht="15" customHeight="1" x14ac:dyDescent="0.2">
      <c r="J76" s="110"/>
      <c r="K76" s="110"/>
      <c r="Y76" s="110"/>
      <c r="AC76" s="110"/>
      <c r="AG76" s="110"/>
    </row>
    <row r="77" spans="10:33" ht="15" customHeight="1" x14ac:dyDescent="0.2">
      <c r="J77" s="110"/>
      <c r="K77" s="110"/>
      <c r="Y77" s="110"/>
      <c r="AC77" s="110"/>
      <c r="AG77" s="110"/>
    </row>
    <row r="78" spans="10:33" ht="15" customHeight="1" x14ac:dyDescent="0.2">
      <c r="J78" s="110"/>
      <c r="K78" s="110"/>
    </row>
    <row r="79" spans="10:33" ht="15" customHeight="1" x14ac:dyDescent="0.2">
      <c r="J79" s="110"/>
      <c r="K79" s="110"/>
    </row>
    <row r="80" spans="10:33" ht="15" customHeight="1" x14ac:dyDescent="0.2">
      <c r="J80" s="110"/>
      <c r="K80" s="110"/>
    </row>
    <row r="81" spans="10:33" ht="15" customHeight="1" x14ac:dyDescent="0.2">
      <c r="J81" s="110"/>
      <c r="K81" s="110"/>
    </row>
    <row r="82" spans="10:33" ht="15" customHeight="1" x14ac:dyDescent="0.2">
      <c r="J82" s="110"/>
      <c r="K82" s="110"/>
    </row>
    <row r="83" spans="10:33" ht="15" customHeight="1" x14ac:dyDescent="0.2">
      <c r="J83" s="110"/>
      <c r="K83" s="110"/>
    </row>
    <row r="84" spans="10:33" ht="15" customHeight="1" x14ac:dyDescent="0.2">
      <c r="J84" s="110"/>
      <c r="K84" s="110"/>
    </row>
    <row r="85" spans="10:33" ht="15" customHeight="1" x14ac:dyDescent="0.2">
      <c r="J85" s="110"/>
      <c r="K85" s="110"/>
      <c r="Y85" s="110"/>
      <c r="AC85" s="110"/>
      <c r="AG85" s="110"/>
    </row>
    <row r="86" spans="10:33" ht="15" customHeight="1" x14ac:dyDescent="0.2">
      <c r="J86" s="110"/>
      <c r="K86" s="110"/>
      <c r="Y86" s="110"/>
      <c r="AC86" s="110"/>
      <c r="AG86" s="110"/>
    </row>
    <row r="87" spans="10:33" ht="15" customHeight="1" x14ac:dyDescent="0.2">
      <c r="J87" s="110"/>
      <c r="K87" s="110"/>
      <c r="Y87" s="110"/>
      <c r="AC87" s="110"/>
      <c r="AG87" s="110"/>
    </row>
    <row r="88" spans="10:33" ht="15" customHeight="1" x14ac:dyDescent="0.2">
      <c r="J88" s="110"/>
      <c r="K88" s="110"/>
      <c r="Y88" s="110"/>
      <c r="AC88" s="110"/>
      <c r="AG88" s="110"/>
    </row>
    <row r="89" spans="10:33" ht="15" customHeight="1" x14ac:dyDescent="0.2">
      <c r="J89" s="110"/>
      <c r="K89" s="110"/>
      <c r="Y89" s="110"/>
      <c r="AC89" s="110"/>
      <c r="AG89" s="110"/>
    </row>
    <row r="90" spans="10:33" ht="15" customHeight="1" x14ac:dyDescent="0.2">
      <c r="J90" s="110"/>
      <c r="K90" s="110"/>
      <c r="Y90" s="110"/>
      <c r="AC90" s="110"/>
      <c r="AG90" s="110"/>
    </row>
    <row r="91" spans="10:33" ht="15" customHeight="1" x14ac:dyDescent="0.2">
      <c r="J91" s="110"/>
      <c r="K91" s="110"/>
      <c r="Y91" s="110"/>
      <c r="AC91" s="110"/>
      <c r="AG91" s="110"/>
    </row>
    <row r="92" spans="10:33" ht="15" customHeight="1" x14ac:dyDescent="0.2">
      <c r="J92" s="110"/>
      <c r="K92" s="110"/>
      <c r="Y92" s="110"/>
      <c r="AC92" s="110"/>
      <c r="AG92" s="110"/>
    </row>
    <row r="93" spans="10:33" ht="15" customHeight="1" x14ac:dyDescent="0.2">
      <c r="J93" s="110"/>
      <c r="K93" s="110"/>
      <c r="Y93" s="110"/>
      <c r="AC93" s="110"/>
      <c r="AG93" s="110"/>
    </row>
    <row r="94" spans="10:33" ht="15" customHeight="1" x14ac:dyDescent="0.2">
      <c r="J94" s="110"/>
      <c r="K94" s="110"/>
      <c r="Y94" s="110"/>
      <c r="AC94" s="110"/>
      <c r="AG94" s="110"/>
    </row>
    <row r="95" spans="10:33" ht="15" customHeight="1" x14ac:dyDescent="0.2">
      <c r="J95" s="110"/>
      <c r="K95" s="110"/>
      <c r="Y95" s="110"/>
      <c r="AC95" s="110"/>
      <c r="AG95" s="110"/>
    </row>
    <row r="96" spans="10:33" ht="15" customHeight="1" x14ac:dyDescent="0.2">
      <c r="J96" s="110"/>
      <c r="K96" s="110"/>
      <c r="Y96" s="110"/>
      <c r="AC96" s="110"/>
      <c r="AG96" s="110"/>
    </row>
    <row r="97" spans="10:33" ht="15" customHeight="1" x14ac:dyDescent="0.2">
      <c r="J97" s="110"/>
      <c r="K97" s="110"/>
      <c r="Y97" s="110"/>
      <c r="AC97" s="110"/>
      <c r="AG97" s="110"/>
    </row>
    <row r="98" spans="10:33" ht="15" customHeight="1" x14ac:dyDescent="0.2">
      <c r="J98" s="110"/>
      <c r="K98" s="110"/>
      <c r="Y98" s="110"/>
      <c r="AC98" s="110"/>
      <c r="AG98" s="110"/>
    </row>
    <row r="99" spans="10:33" ht="15" customHeight="1" x14ac:dyDescent="0.2">
      <c r="J99" s="110"/>
      <c r="K99" s="110"/>
      <c r="Y99" s="110"/>
      <c r="AC99" s="110"/>
      <c r="AG99" s="110"/>
    </row>
    <row r="100" spans="10:33" ht="15" customHeight="1" x14ac:dyDescent="0.2">
      <c r="J100" s="110"/>
      <c r="K100" s="110"/>
      <c r="Y100" s="110"/>
      <c r="AC100" s="110"/>
      <c r="AG100" s="110"/>
    </row>
    <row r="101" spans="10:33" ht="15" customHeight="1" x14ac:dyDescent="0.2">
      <c r="J101" s="110"/>
      <c r="K101" s="110"/>
      <c r="Y101" s="110"/>
      <c r="AC101" s="110"/>
      <c r="AG101" s="110"/>
    </row>
    <row r="102" spans="10:33" ht="15" customHeight="1" x14ac:dyDescent="0.2">
      <c r="J102" s="110"/>
      <c r="K102" s="110"/>
      <c r="Y102" s="110"/>
      <c r="AC102" s="110"/>
      <c r="AG102" s="110"/>
    </row>
    <row r="103" spans="10:33" ht="15" customHeight="1" x14ac:dyDescent="0.2">
      <c r="J103" s="110"/>
      <c r="K103" s="110"/>
      <c r="Y103" s="110"/>
      <c r="AC103" s="110"/>
      <c r="AG103" s="110"/>
    </row>
    <row r="104" spans="10:33" ht="15" customHeight="1" x14ac:dyDescent="0.2">
      <c r="J104" s="110"/>
      <c r="K104" s="110"/>
      <c r="Y104" s="110"/>
      <c r="AC104" s="110"/>
      <c r="AG104" s="110"/>
    </row>
    <row r="105" spans="10:33" ht="15" customHeight="1" x14ac:dyDescent="0.2">
      <c r="J105" s="110"/>
      <c r="K105" s="110"/>
      <c r="Y105" s="110"/>
      <c r="AC105" s="110"/>
      <c r="AG105" s="110"/>
    </row>
    <row r="106" spans="10:33" ht="15" customHeight="1" x14ac:dyDescent="0.2">
      <c r="J106" s="110"/>
      <c r="K106" s="110"/>
      <c r="Y106" s="110"/>
      <c r="AC106" s="110"/>
      <c r="AG106" s="110"/>
    </row>
    <row r="107" spans="10:33" ht="15" customHeight="1" x14ac:dyDescent="0.2">
      <c r="J107" s="110"/>
      <c r="K107" s="110"/>
      <c r="Y107" s="110"/>
      <c r="AC107" s="110"/>
      <c r="AG107" s="110"/>
    </row>
    <row r="108" spans="10:33" ht="15" customHeight="1" x14ac:dyDescent="0.2">
      <c r="J108" s="110"/>
      <c r="K108" s="110"/>
      <c r="Y108" s="110"/>
      <c r="AC108" s="110"/>
      <c r="AG108" s="110"/>
    </row>
    <row r="109" spans="10:33" ht="15" customHeight="1" x14ac:dyDescent="0.2">
      <c r="J109" s="110"/>
      <c r="K109" s="110"/>
      <c r="Y109" s="110"/>
      <c r="AC109" s="110"/>
      <c r="AG109" s="110"/>
    </row>
    <row r="110" spans="10:33" ht="15" customHeight="1" x14ac:dyDescent="0.2">
      <c r="J110" s="110"/>
      <c r="K110" s="110"/>
      <c r="Y110" s="110"/>
      <c r="AC110" s="110"/>
      <c r="AG110" s="110"/>
    </row>
    <row r="111" spans="10:33" ht="15" customHeight="1" x14ac:dyDescent="0.2">
      <c r="J111" s="110"/>
      <c r="K111" s="110"/>
      <c r="Y111" s="110"/>
      <c r="AC111" s="110"/>
      <c r="AG111" s="110"/>
    </row>
    <row r="112" spans="10:33" ht="15" customHeight="1" x14ac:dyDescent="0.2">
      <c r="J112" s="110"/>
      <c r="K112" s="110"/>
      <c r="Y112" s="110"/>
      <c r="AC112" s="110"/>
      <c r="AG112" s="110"/>
    </row>
    <row r="113" spans="10:33" ht="15" customHeight="1" x14ac:dyDescent="0.2">
      <c r="J113" s="110"/>
      <c r="K113" s="110"/>
      <c r="Y113" s="110"/>
      <c r="AC113" s="110"/>
      <c r="AG113" s="110"/>
    </row>
    <row r="114" spans="10:33" ht="15" customHeight="1" x14ac:dyDescent="0.2">
      <c r="J114" s="110"/>
      <c r="K114" s="110"/>
      <c r="Y114" s="110"/>
      <c r="AC114" s="110"/>
      <c r="AG114" s="110"/>
    </row>
    <row r="115" spans="10:33" ht="15" customHeight="1" x14ac:dyDescent="0.2">
      <c r="J115" s="110"/>
      <c r="K115" s="110"/>
      <c r="Y115" s="110"/>
      <c r="AC115" s="110"/>
      <c r="AG115" s="110"/>
    </row>
    <row r="116" spans="10:33" ht="15" customHeight="1" x14ac:dyDescent="0.2">
      <c r="J116" s="110"/>
      <c r="K116" s="110"/>
      <c r="Y116" s="110"/>
      <c r="AC116" s="110"/>
      <c r="AG116" s="110"/>
    </row>
    <row r="117" spans="10:33" ht="15" customHeight="1" x14ac:dyDescent="0.2">
      <c r="J117" s="110"/>
      <c r="K117" s="110"/>
      <c r="Y117" s="110"/>
      <c r="AC117" s="110"/>
      <c r="AG117" s="110"/>
    </row>
    <row r="118" spans="10:33" ht="15" customHeight="1" x14ac:dyDescent="0.2">
      <c r="J118" s="110"/>
      <c r="K118" s="110"/>
      <c r="Y118" s="110"/>
      <c r="AC118" s="110"/>
      <c r="AG118" s="110"/>
    </row>
    <row r="119" spans="10:33" ht="15" customHeight="1" x14ac:dyDescent="0.2">
      <c r="J119" s="110"/>
      <c r="K119" s="110"/>
      <c r="Y119" s="110"/>
      <c r="AC119" s="110"/>
      <c r="AG119" s="110"/>
    </row>
    <row r="120" spans="10:33" ht="15" customHeight="1" x14ac:dyDescent="0.2">
      <c r="J120" s="110"/>
      <c r="K120" s="110"/>
      <c r="Y120" s="110"/>
      <c r="AC120" s="110"/>
      <c r="AG120" s="110"/>
    </row>
    <row r="121" spans="10:33" ht="15" customHeight="1" x14ac:dyDescent="0.2">
      <c r="J121" s="110"/>
      <c r="K121" s="110"/>
      <c r="Y121" s="110"/>
      <c r="AC121" s="110"/>
      <c r="AG121" s="110"/>
    </row>
    <row r="122" spans="10:33" ht="15" customHeight="1" x14ac:dyDescent="0.2">
      <c r="J122" s="110"/>
      <c r="K122" s="110"/>
      <c r="Y122" s="110"/>
      <c r="AC122" s="110"/>
      <c r="AG122" s="110"/>
    </row>
    <row r="123" spans="10:33" ht="15" customHeight="1" x14ac:dyDescent="0.2">
      <c r="J123" s="110"/>
      <c r="K123" s="110"/>
      <c r="Y123" s="110"/>
      <c r="AC123" s="110"/>
      <c r="AG123" s="110"/>
    </row>
    <row r="124" spans="10:33" ht="15" customHeight="1" x14ac:dyDescent="0.2">
      <c r="J124" s="110"/>
      <c r="K124" s="110"/>
      <c r="Y124" s="110"/>
      <c r="AC124" s="110"/>
      <c r="AG124" s="110"/>
    </row>
    <row r="125" spans="10:33" ht="15" customHeight="1" x14ac:dyDescent="0.2">
      <c r="J125" s="110"/>
      <c r="K125" s="110"/>
      <c r="Y125" s="110"/>
      <c r="AC125" s="110"/>
      <c r="AG125" s="110"/>
    </row>
    <row r="126" spans="10:33" ht="15" customHeight="1" x14ac:dyDescent="0.2">
      <c r="J126" s="110"/>
      <c r="K126" s="110"/>
      <c r="Y126" s="110"/>
      <c r="AC126" s="110"/>
      <c r="AG126" s="110"/>
    </row>
    <row r="127" spans="10:33" ht="15" customHeight="1" x14ac:dyDescent="0.2">
      <c r="J127" s="110"/>
      <c r="K127" s="110"/>
      <c r="Y127" s="110"/>
      <c r="AC127" s="110"/>
      <c r="AG127" s="110"/>
    </row>
    <row r="128" spans="10:33" ht="15" customHeight="1" x14ac:dyDescent="0.2">
      <c r="J128" s="110"/>
      <c r="K128" s="110"/>
      <c r="Y128" s="110"/>
      <c r="AC128" s="110"/>
      <c r="AG128" s="110"/>
    </row>
    <row r="129" spans="10:33" ht="15" customHeight="1" x14ac:dyDescent="0.2">
      <c r="J129" s="110"/>
      <c r="K129" s="110"/>
      <c r="Y129" s="110"/>
      <c r="AC129" s="110"/>
      <c r="AG129" s="110"/>
    </row>
    <row r="130" spans="10:33" ht="15" customHeight="1" x14ac:dyDescent="0.2">
      <c r="J130" s="110"/>
      <c r="K130" s="110"/>
      <c r="Y130" s="110"/>
      <c r="AC130" s="110"/>
      <c r="AG130" s="110"/>
    </row>
    <row r="131" spans="10:33" ht="15" customHeight="1" x14ac:dyDescent="0.2">
      <c r="J131" s="110"/>
      <c r="K131" s="110"/>
      <c r="Y131" s="110"/>
      <c r="AC131" s="110"/>
      <c r="AG131" s="110"/>
    </row>
    <row r="132" spans="10:33" ht="15" customHeight="1" x14ac:dyDescent="0.2">
      <c r="J132" s="110"/>
      <c r="K132" s="110"/>
      <c r="Y132" s="110"/>
      <c r="AC132" s="110"/>
      <c r="AG132" s="110"/>
    </row>
    <row r="133" spans="10:33" ht="15" customHeight="1" x14ac:dyDescent="0.2">
      <c r="J133" s="110"/>
      <c r="K133" s="110"/>
      <c r="Y133" s="110"/>
      <c r="AC133" s="110"/>
      <c r="AG133" s="110"/>
    </row>
    <row r="134" spans="10:33" ht="15" customHeight="1" x14ac:dyDescent="0.2">
      <c r="J134" s="110"/>
      <c r="K134" s="110"/>
      <c r="Y134" s="110"/>
      <c r="AC134" s="110"/>
      <c r="AG134" s="110"/>
    </row>
    <row r="135" spans="10:33" ht="15" customHeight="1" x14ac:dyDescent="0.2">
      <c r="J135" s="110"/>
      <c r="K135" s="110"/>
      <c r="Y135" s="110"/>
      <c r="AC135" s="110"/>
      <c r="AG135" s="110"/>
    </row>
    <row r="136" spans="10:33" ht="15" customHeight="1" x14ac:dyDescent="0.2">
      <c r="J136" s="110"/>
      <c r="K136" s="110"/>
      <c r="Y136" s="110"/>
      <c r="AC136" s="110"/>
      <c r="AG136" s="110"/>
    </row>
    <row r="137" spans="10:33" ht="15" customHeight="1" x14ac:dyDescent="0.2">
      <c r="J137" s="110"/>
      <c r="K137" s="110"/>
      <c r="Y137" s="110"/>
      <c r="AC137" s="110"/>
      <c r="AG137" s="110"/>
    </row>
    <row r="138" spans="10:33" ht="15" customHeight="1" x14ac:dyDescent="0.2">
      <c r="J138" s="110"/>
      <c r="K138" s="110"/>
      <c r="Y138" s="110"/>
      <c r="AC138" s="110"/>
      <c r="AG138" s="110"/>
    </row>
    <row r="139" spans="10:33" ht="15" customHeight="1" x14ac:dyDescent="0.2">
      <c r="J139" s="110"/>
      <c r="K139" s="110"/>
      <c r="Y139" s="110"/>
      <c r="AC139" s="110"/>
      <c r="AG139" s="110"/>
    </row>
    <row r="140" spans="10:33" ht="15" customHeight="1" x14ac:dyDescent="0.2">
      <c r="J140" s="110"/>
      <c r="K140" s="110"/>
      <c r="Y140" s="110"/>
      <c r="AC140" s="110"/>
      <c r="AG140" s="110"/>
    </row>
    <row r="141" spans="10:33" ht="15" customHeight="1" x14ac:dyDescent="0.2">
      <c r="J141" s="110"/>
      <c r="K141" s="110"/>
      <c r="Y141" s="110"/>
      <c r="AC141" s="110"/>
      <c r="AG141" s="110"/>
    </row>
    <row r="142" spans="10:33" ht="15" customHeight="1" x14ac:dyDescent="0.2">
      <c r="J142" s="110"/>
      <c r="K142" s="110"/>
      <c r="Y142" s="110"/>
      <c r="AC142" s="110"/>
      <c r="AG142" s="110"/>
    </row>
    <row r="143" spans="10:33" ht="15" customHeight="1" x14ac:dyDescent="0.2">
      <c r="J143" s="110"/>
      <c r="K143" s="110"/>
      <c r="Y143" s="110"/>
      <c r="AC143" s="110"/>
      <c r="AG143" s="110"/>
    </row>
    <row r="144" spans="10:33" ht="15" customHeight="1" x14ac:dyDescent="0.2">
      <c r="J144" s="110"/>
      <c r="K144" s="110"/>
      <c r="Y144" s="110"/>
      <c r="AC144" s="110"/>
      <c r="AG144" s="110"/>
    </row>
    <row r="145" spans="10:33" ht="15" customHeight="1" x14ac:dyDescent="0.2">
      <c r="J145" s="110"/>
      <c r="K145" s="110"/>
      <c r="Y145" s="110"/>
      <c r="AC145" s="110"/>
      <c r="AG145" s="110"/>
    </row>
    <row r="146" spans="10:33" ht="15" customHeight="1" x14ac:dyDescent="0.2">
      <c r="J146" s="110"/>
      <c r="K146" s="110"/>
      <c r="Y146" s="110"/>
      <c r="AC146" s="110"/>
      <c r="AG146" s="110"/>
    </row>
    <row r="147" spans="10:33" ht="15" customHeight="1" x14ac:dyDescent="0.2">
      <c r="J147" s="110"/>
      <c r="K147" s="110"/>
      <c r="Y147" s="110"/>
      <c r="AC147" s="110"/>
      <c r="AG147" s="110"/>
    </row>
    <row r="148" spans="10:33" ht="15" customHeight="1" x14ac:dyDescent="0.2">
      <c r="J148" s="110"/>
      <c r="K148" s="110"/>
      <c r="Y148" s="110"/>
      <c r="AC148" s="110"/>
      <c r="AG148" s="110"/>
    </row>
    <row r="149" spans="10:33" ht="15" customHeight="1" x14ac:dyDescent="0.2">
      <c r="J149" s="110"/>
      <c r="K149" s="110"/>
      <c r="Y149" s="110"/>
      <c r="AC149" s="110"/>
      <c r="AG149" s="110"/>
    </row>
    <row r="150" spans="10:33" ht="15" customHeight="1" x14ac:dyDescent="0.2">
      <c r="J150" s="110"/>
      <c r="K150" s="110"/>
      <c r="Y150" s="110"/>
      <c r="AC150" s="110"/>
      <c r="AG150" s="110"/>
    </row>
    <row r="151" spans="10:33" ht="15" customHeight="1" x14ac:dyDescent="0.2">
      <c r="J151" s="110"/>
      <c r="K151" s="110"/>
      <c r="Y151" s="110"/>
      <c r="AC151" s="110"/>
      <c r="AG151" s="110"/>
    </row>
    <row r="152" spans="10:33" ht="15" customHeight="1" x14ac:dyDescent="0.2">
      <c r="J152" s="110"/>
      <c r="K152" s="110"/>
      <c r="Y152" s="110"/>
      <c r="AC152" s="110"/>
      <c r="AG152" s="110"/>
    </row>
    <row r="153" spans="10:33" ht="15" customHeight="1" x14ac:dyDescent="0.2">
      <c r="J153" s="110"/>
      <c r="K153" s="110"/>
      <c r="Y153" s="110"/>
      <c r="AC153" s="110"/>
      <c r="AG153" s="110"/>
    </row>
    <row r="154" spans="10:33" ht="15" customHeight="1" x14ac:dyDescent="0.2">
      <c r="J154" s="110"/>
      <c r="K154" s="110"/>
      <c r="Y154" s="110"/>
      <c r="AC154" s="110"/>
      <c r="AG154" s="110"/>
    </row>
    <row r="155" spans="10:33" ht="15" customHeight="1" x14ac:dyDescent="0.2">
      <c r="J155" s="110"/>
      <c r="K155" s="110"/>
      <c r="Y155" s="110"/>
      <c r="AC155" s="110"/>
      <c r="AG155" s="110"/>
    </row>
    <row r="156" spans="10:33" ht="15" customHeight="1" x14ac:dyDescent="0.2">
      <c r="J156" s="110"/>
      <c r="K156" s="110"/>
      <c r="Y156" s="110"/>
      <c r="AC156" s="110"/>
      <c r="AG156" s="110"/>
    </row>
    <row r="157" spans="10:33" ht="15" customHeight="1" x14ac:dyDescent="0.2">
      <c r="J157" s="110"/>
      <c r="K157" s="110"/>
      <c r="Y157" s="110"/>
      <c r="AC157" s="110"/>
      <c r="AG157" s="110"/>
    </row>
    <row r="158" spans="10:33" ht="15" customHeight="1" x14ac:dyDescent="0.2">
      <c r="J158" s="110"/>
      <c r="K158" s="110"/>
      <c r="Y158" s="110"/>
      <c r="AC158" s="110"/>
      <c r="AG158" s="110"/>
    </row>
    <row r="159" spans="10:33" ht="15" customHeight="1" x14ac:dyDescent="0.2">
      <c r="J159" s="110"/>
      <c r="K159" s="110"/>
      <c r="Y159" s="110"/>
      <c r="AC159" s="110"/>
      <c r="AG159" s="110"/>
    </row>
    <row r="160" spans="10:33" ht="15" customHeight="1" x14ac:dyDescent="0.2">
      <c r="J160" s="110"/>
      <c r="K160" s="110"/>
      <c r="Y160" s="110"/>
      <c r="AC160" s="110"/>
      <c r="AG160" s="110"/>
    </row>
    <row r="161" spans="10:33" ht="15" customHeight="1" x14ac:dyDescent="0.2">
      <c r="J161" s="110"/>
      <c r="K161" s="110"/>
      <c r="Y161" s="110"/>
      <c r="AC161" s="110"/>
      <c r="AG161" s="110"/>
    </row>
    <row r="162" spans="10:33" ht="15" customHeight="1" x14ac:dyDescent="0.2">
      <c r="J162" s="110"/>
      <c r="K162" s="110"/>
      <c r="Y162" s="110"/>
      <c r="AC162" s="110"/>
      <c r="AG162" s="110"/>
    </row>
    <row r="163" spans="10:33" ht="15" customHeight="1" x14ac:dyDescent="0.2">
      <c r="J163" s="110"/>
      <c r="K163" s="110"/>
      <c r="Y163" s="110"/>
      <c r="AC163" s="110"/>
      <c r="AG163" s="110"/>
    </row>
    <row r="164" spans="10:33" ht="15" customHeight="1" x14ac:dyDescent="0.2">
      <c r="J164" s="110"/>
      <c r="K164" s="110"/>
      <c r="Y164" s="110"/>
      <c r="AC164" s="110"/>
      <c r="AG164" s="110"/>
    </row>
    <row r="165" spans="10:33" ht="15" customHeight="1" x14ac:dyDescent="0.2">
      <c r="J165" s="110"/>
      <c r="K165" s="110"/>
      <c r="Y165" s="110"/>
      <c r="AC165" s="110"/>
      <c r="AG165" s="110"/>
    </row>
    <row r="166" spans="10:33" ht="15" customHeight="1" x14ac:dyDescent="0.2">
      <c r="J166" s="110"/>
      <c r="K166" s="110"/>
      <c r="Y166" s="110"/>
      <c r="AC166" s="110"/>
      <c r="AG166" s="110"/>
    </row>
    <row r="167" spans="10:33" ht="15" customHeight="1" x14ac:dyDescent="0.2">
      <c r="J167" s="110"/>
      <c r="K167" s="110"/>
      <c r="Y167" s="110"/>
      <c r="AC167" s="110"/>
      <c r="AG167" s="110"/>
    </row>
    <row r="168" spans="10:33" ht="15" customHeight="1" x14ac:dyDescent="0.2">
      <c r="J168" s="110"/>
      <c r="K168" s="110"/>
      <c r="Y168" s="110"/>
      <c r="AC168" s="110"/>
      <c r="AG168" s="110"/>
    </row>
    <row r="169" spans="10:33" ht="15" customHeight="1" x14ac:dyDescent="0.2">
      <c r="J169" s="110"/>
      <c r="K169" s="110"/>
      <c r="Y169" s="110"/>
      <c r="AC169" s="110"/>
      <c r="AG169" s="110"/>
    </row>
    <row r="170" spans="10:33" ht="15" customHeight="1" x14ac:dyDescent="0.2">
      <c r="J170" s="110"/>
      <c r="K170" s="110"/>
      <c r="Y170" s="110"/>
      <c r="AC170" s="110"/>
      <c r="AG170" s="110"/>
    </row>
    <row r="171" spans="10:33" ht="15" customHeight="1" x14ac:dyDescent="0.2">
      <c r="J171" s="110"/>
      <c r="K171" s="110"/>
      <c r="Y171" s="110"/>
      <c r="AC171" s="110"/>
      <c r="AG171" s="110"/>
    </row>
    <row r="172" spans="10:33" ht="15" customHeight="1" x14ac:dyDescent="0.2">
      <c r="J172" s="110"/>
      <c r="K172" s="110"/>
      <c r="Y172" s="110"/>
      <c r="AC172" s="110"/>
      <c r="AG172" s="110"/>
    </row>
    <row r="173" spans="10:33" ht="15" customHeight="1" x14ac:dyDescent="0.2">
      <c r="J173" s="110"/>
      <c r="K173" s="110"/>
      <c r="Y173" s="110"/>
      <c r="AC173" s="110"/>
      <c r="AG173" s="110"/>
    </row>
    <row r="174" spans="10:33" ht="15" customHeight="1" x14ac:dyDescent="0.2">
      <c r="J174" s="110"/>
      <c r="K174" s="110"/>
      <c r="Y174" s="110"/>
      <c r="AC174" s="110"/>
      <c r="AG174" s="110"/>
    </row>
    <row r="175" spans="10:33" ht="15" customHeight="1" x14ac:dyDescent="0.2">
      <c r="J175" s="110"/>
      <c r="K175" s="110"/>
      <c r="Y175" s="110"/>
      <c r="AC175" s="110"/>
      <c r="AG175" s="110"/>
    </row>
    <row r="176" spans="10:33" ht="15" customHeight="1" x14ac:dyDescent="0.2">
      <c r="J176" s="110"/>
      <c r="K176" s="110"/>
      <c r="Y176" s="110"/>
      <c r="AC176" s="110"/>
      <c r="AG176" s="110"/>
    </row>
    <row r="177" spans="10:33" ht="15" customHeight="1" x14ac:dyDescent="0.2">
      <c r="J177" s="110"/>
      <c r="K177" s="110"/>
      <c r="Y177" s="110"/>
      <c r="AC177" s="110"/>
      <c r="AG177" s="110"/>
    </row>
    <row r="178" spans="10:33" ht="15" customHeight="1" x14ac:dyDescent="0.2">
      <c r="J178" s="110"/>
      <c r="K178" s="110"/>
      <c r="Y178" s="110"/>
      <c r="AC178" s="110"/>
      <c r="AG178" s="110"/>
    </row>
    <row r="179" spans="10:33" ht="15" customHeight="1" x14ac:dyDescent="0.2">
      <c r="J179" s="110"/>
      <c r="K179" s="110"/>
      <c r="Y179" s="110"/>
      <c r="AC179" s="110"/>
      <c r="AG179" s="110"/>
    </row>
    <row r="180" spans="10:33" ht="15" customHeight="1" x14ac:dyDescent="0.2">
      <c r="J180" s="110"/>
      <c r="K180" s="110"/>
      <c r="Y180" s="110"/>
      <c r="AC180" s="110"/>
      <c r="AG180" s="110"/>
    </row>
    <row r="181" spans="10:33" ht="15" customHeight="1" x14ac:dyDescent="0.2">
      <c r="J181" s="110"/>
      <c r="K181" s="110"/>
      <c r="Y181" s="110"/>
      <c r="AC181" s="110"/>
      <c r="AG181" s="110"/>
    </row>
    <row r="182" spans="10:33" ht="15" customHeight="1" x14ac:dyDescent="0.2">
      <c r="J182" s="110"/>
      <c r="K182" s="110"/>
      <c r="Y182" s="110"/>
      <c r="AC182" s="110"/>
      <c r="AG182" s="110"/>
    </row>
    <row r="183" spans="10:33" ht="15" customHeight="1" x14ac:dyDescent="0.2">
      <c r="J183" s="110"/>
      <c r="K183" s="110"/>
      <c r="Y183" s="110"/>
      <c r="AC183" s="110"/>
      <c r="AG183" s="110"/>
    </row>
    <row r="184" spans="10:33" ht="15" customHeight="1" x14ac:dyDescent="0.2">
      <c r="J184" s="110"/>
      <c r="K184" s="110"/>
      <c r="Y184" s="110"/>
      <c r="AC184" s="110"/>
      <c r="AG184" s="110"/>
    </row>
    <row r="185" spans="10:33" ht="15" customHeight="1" x14ac:dyDescent="0.2">
      <c r="J185" s="110"/>
      <c r="K185" s="110"/>
      <c r="Y185" s="110"/>
      <c r="AC185" s="110"/>
      <c r="AG185" s="110"/>
    </row>
    <row r="186" spans="10:33" ht="15" customHeight="1" x14ac:dyDescent="0.2">
      <c r="J186" s="110"/>
      <c r="K186" s="110"/>
      <c r="Y186" s="110"/>
      <c r="AC186" s="110"/>
      <c r="AG186" s="110"/>
    </row>
    <row r="187" spans="10:33" ht="15" customHeight="1" x14ac:dyDescent="0.2">
      <c r="J187" s="110"/>
      <c r="K187" s="110"/>
      <c r="Y187" s="110"/>
      <c r="AC187" s="110"/>
      <c r="AG187" s="110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indexed="51"/>
  </sheetPr>
  <dimension ref="A1:AZ55"/>
  <sheetViews>
    <sheetView topLeftCell="A42" workbookViewId="0">
      <selection activeCell="A56" sqref="A56"/>
    </sheetView>
  </sheetViews>
  <sheetFormatPr baseColWidth="10" defaultRowHeight="14" customHeight="1" x14ac:dyDescent="0.2"/>
  <cols>
    <col min="1" max="1" width="39.83203125" style="172" bestFit="1" customWidth="1"/>
    <col min="2" max="46" width="10.83203125" style="172"/>
    <col min="47" max="48" width="10.83203125" style="110"/>
    <col min="49" max="16384" width="10.83203125" style="172"/>
  </cols>
  <sheetData>
    <row r="1" spans="1:52" ht="16" x14ac:dyDescent="0.2">
      <c r="A1" s="175" t="s">
        <v>120</v>
      </c>
      <c r="B1" s="137" t="s">
        <v>181</v>
      </c>
      <c r="C1" s="137" t="s">
        <v>182</v>
      </c>
      <c r="D1" s="137" t="s">
        <v>176</v>
      </c>
      <c r="E1" s="137" t="s">
        <v>183</v>
      </c>
      <c r="F1" s="137" t="s">
        <v>184</v>
      </c>
      <c r="G1" s="176" t="s">
        <v>185</v>
      </c>
      <c r="H1" s="176" t="s">
        <v>186</v>
      </c>
      <c r="I1" s="176" t="s">
        <v>187</v>
      </c>
      <c r="J1" s="176" t="s">
        <v>189</v>
      </c>
      <c r="K1" s="176" t="s">
        <v>190</v>
      </c>
      <c r="L1" s="176" t="s">
        <v>191</v>
      </c>
      <c r="M1" s="176" t="s">
        <v>192</v>
      </c>
      <c r="N1" s="176" t="s">
        <v>193</v>
      </c>
      <c r="O1" s="176" t="s">
        <v>194</v>
      </c>
      <c r="P1" s="176" t="s">
        <v>195</v>
      </c>
      <c r="Q1" s="137" t="s">
        <v>196</v>
      </c>
      <c r="R1" s="137" t="s">
        <v>197</v>
      </c>
      <c r="S1" s="137" t="s">
        <v>198</v>
      </c>
      <c r="T1" s="137" t="s">
        <v>199</v>
      </c>
      <c r="U1" s="137" t="s">
        <v>200</v>
      </c>
      <c r="V1" s="137" t="s">
        <v>201</v>
      </c>
      <c r="W1" s="137" t="s">
        <v>202</v>
      </c>
      <c r="X1" s="137" t="s">
        <v>203</v>
      </c>
      <c r="Y1" s="137" t="s">
        <v>204</v>
      </c>
      <c r="Z1" s="137" t="s">
        <v>205</v>
      </c>
      <c r="AA1" s="137" t="s">
        <v>206</v>
      </c>
      <c r="AB1" s="137" t="s">
        <v>207</v>
      </c>
      <c r="AC1" s="137" t="s">
        <v>261</v>
      </c>
      <c r="AD1" s="137" t="s">
        <v>262</v>
      </c>
      <c r="AE1" s="137" t="s">
        <v>263</v>
      </c>
      <c r="AF1" s="137" t="s">
        <v>264</v>
      </c>
      <c r="AG1" s="137" t="s">
        <v>208</v>
      </c>
      <c r="AH1" s="137" t="s">
        <v>209</v>
      </c>
      <c r="AI1" s="137" t="s">
        <v>210</v>
      </c>
      <c r="AJ1" s="137" t="s">
        <v>211</v>
      </c>
      <c r="AK1" s="137" t="s">
        <v>212</v>
      </c>
      <c r="AL1" s="137" t="s">
        <v>213</v>
      </c>
      <c r="AM1" s="137" t="s">
        <v>214</v>
      </c>
      <c r="AN1" s="137" t="s">
        <v>215</v>
      </c>
      <c r="AO1" s="137" t="s">
        <v>216</v>
      </c>
      <c r="AP1" s="137" t="s">
        <v>217</v>
      </c>
      <c r="AQ1" s="137" t="s">
        <v>218</v>
      </c>
      <c r="AR1" s="137" t="s">
        <v>219</v>
      </c>
      <c r="AS1" s="137" t="s">
        <v>220</v>
      </c>
      <c r="AT1" s="137" t="s">
        <v>221</v>
      </c>
      <c r="AU1" s="139" t="s">
        <v>222</v>
      </c>
      <c r="AV1" s="139" t="s">
        <v>223</v>
      </c>
      <c r="AW1" s="137" t="s">
        <v>224</v>
      </c>
      <c r="AX1" s="137" t="s">
        <v>225</v>
      </c>
      <c r="AY1" s="137" t="s">
        <v>124</v>
      </c>
      <c r="AZ1" s="172" t="s">
        <v>125</v>
      </c>
    </row>
    <row r="2" spans="1:52" s="110" customFormat="1" ht="16" x14ac:dyDescent="0.2">
      <c r="A2" s="184" t="s">
        <v>181</v>
      </c>
      <c r="B2" s="383">
        <v>0.8</v>
      </c>
      <c r="C2" s="383">
        <v>0.8</v>
      </c>
      <c r="D2" s="383">
        <v>0.8</v>
      </c>
      <c r="E2" s="383">
        <v>0.8</v>
      </c>
      <c r="F2" s="383">
        <v>0.8</v>
      </c>
      <c r="G2" s="383">
        <v>0.8</v>
      </c>
      <c r="H2" s="383">
        <v>0.8</v>
      </c>
      <c r="I2" s="383">
        <v>0.8</v>
      </c>
      <c r="J2" s="383">
        <v>0.8</v>
      </c>
      <c r="K2" s="383">
        <v>0.8</v>
      </c>
      <c r="L2" s="383">
        <v>0.8</v>
      </c>
      <c r="M2" s="383">
        <v>0.8</v>
      </c>
      <c r="N2" s="383">
        <v>0.8</v>
      </c>
      <c r="O2" s="383">
        <v>0.8</v>
      </c>
      <c r="P2" s="383">
        <v>0.8</v>
      </c>
      <c r="Q2" s="383">
        <v>0.8</v>
      </c>
      <c r="R2" s="383">
        <v>0.8</v>
      </c>
      <c r="S2" s="383">
        <v>0.8</v>
      </c>
      <c r="T2" s="383">
        <v>0.8</v>
      </c>
      <c r="U2" s="383">
        <v>0.8</v>
      </c>
      <c r="V2" s="383">
        <v>0.8</v>
      </c>
      <c r="W2" s="383">
        <v>0.8</v>
      </c>
      <c r="X2" s="383">
        <v>0.8</v>
      </c>
      <c r="Y2" s="383">
        <v>0.8</v>
      </c>
      <c r="Z2" s="383">
        <v>0.8</v>
      </c>
      <c r="AA2" s="383">
        <v>0.8</v>
      </c>
      <c r="AB2" s="383">
        <v>0.8</v>
      </c>
      <c r="AC2" s="383">
        <v>0.8</v>
      </c>
      <c r="AD2" s="383">
        <v>0.8</v>
      </c>
      <c r="AE2" s="383">
        <v>0.8</v>
      </c>
      <c r="AF2" s="383">
        <v>0.8</v>
      </c>
      <c r="AG2" s="383">
        <v>0.8</v>
      </c>
      <c r="AH2" s="383">
        <v>0.8</v>
      </c>
      <c r="AI2" s="383">
        <v>0.8</v>
      </c>
      <c r="AJ2" s="383">
        <v>0.8</v>
      </c>
      <c r="AK2" s="383">
        <v>0.8</v>
      </c>
      <c r="AL2" s="383">
        <v>0.8</v>
      </c>
      <c r="AM2" s="383">
        <v>0.8</v>
      </c>
      <c r="AN2" s="383">
        <v>0.8</v>
      </c>
      <c r="AO2" s="383">
        <v>0.8</v>
      </c>
      <c r="AP2" s="383">
        <v>0.8</v>
      </c>
      <c r="AQ2" s="383">
        <v>0.8</v>
      </c>
      <c r="AR2" s="383">
        <v>0.8</v>
      </c>
      <c r="AS2" s="383">
        <v>0.8</v>
      </c>
      <c r="AT2" s="383">
        <v>0.8</v>
      </c>
      <c r="AU2" s="383">
        <v>0.8</v>
      </c>
      <c r="AV2" s="383">
        <v>0.8</v>
      </c>
      <c r="AW2" s="383">
        <v>0.8</v>
      </c>
      <c r="AX2" s="383">
        <v>0.8</v>
      </c>
      <c r="AY2" s="383">
        <v>0.8</v>
      </c>
      <c r="AZ2" s="383">
        <v>0.8</v>
      </c>
    </row>
    <row r="3" spans="1:52" s="110" customFormat="1" ht="16" x14ac:dyDescent="0.2">
      <c r="A3" s="184" t="s">
        <v>182</v>
      </c>
      <c r="B3" s="383">
        <v>0.8</v>
      </c>
      <c r="C3" s="383">
        <v>0.8</v>
      </c>
      <c r="D3" s="383">
        <v>0.8</v>
      </c>
      <c r="E3" s="383">
        <v>0.8</v>
      </c>
      <c r="F3" s="383">
        <v>0.8</v>
      </c>
      <c r="G3" s="383">
        <v>0.8</v>
      </c>
      <c r="H3" s="383">
        <v>0.8</v>
      </c>
      <c r="I3" s="383">
        <v>0.8</v>
      </c>
      <c r="J3" s="383">
        <v>0.8</v>
      </c>
      <c r="K3" s="383">
        <v>0.8</v>
      </c>
      <c r="L3" s="383">
        <v>0.8</v>
      </c>
      <c r="M3" s="383">
        <v>0.8</v>
      </c>
      <c r="N3" s="383">
        <v>0.8</v>
      </c>
      <c r="O3" s="383">
        <v>0.8</v>
      </c>
      <c r="P3" s="383">
        <v>0.8</v>
      </c>
      <c r="Q3" s="383">
        <v>0.8</v>
      </c>
      <c r="R3" s="383">
        <v>0.8</v>
      </c>
      <c r="S3" s="383">
        <v>0.8</v>
      </c>
      <c r="T3" s="383">
        <v>0.8</v>
      </c>
      <c r="U3" s="383">
        <v>0.8</v>
      </c>
      <c r="V3" s="383">
        <v>0.8</v>
      </c>
      <c r="W3" s="383">
        <v>0.8</v>
      </c>
      <c r="X3" s="383">
        <v>0.8</v>
      </c>
      <c r="Y3" s="383">
        <v>0.8</v>
      </c>
      <c r="Z3" s="383">
        <v>0.8</v>
      </c>
      <c r="AA3" s="383">
        <v>0.8</v>
      </c>
      <c r="AB3" s="383">
        <v>0.8</v>
      </c>
      <c r="AC3" s="383">
        <v>0.8</v>
      </c>
      <c r="AD3" s="383">
        <v>0.8</v>
      </c>
      <c r="AE3" s="383">
        <v>0.8</v>
      </c>
      <c r="AF3" s="383">
        <v>0.8</v>
      </c>
      <c r="AG3" s="383">
        <v>0.8</v>
      </c>
      <c r="AH3" s="383">
        <v>0.8</v>
      </c>
      <c r="AI3" s="383">
        <v>0.8</v>
      </c>
      <c r="AJ3" s="383">
        <v>0.8</v>
      </c>
      <c r="AK3" s="383">
        <v>0.8</v>
      </c>
      <c r="AL3" s="383">
        <v>0.8</v>
      </c>
      <c r="AM3" s="383">
        <v>0.8</v>
      </c>
      <c r="AN3" s="383">
        <v>0.8</v>
      </c>
      <c r="AO3" s="383">
        <v>0.8</v>
      </c>
      <c r="AP3" s="383">
        <v>0.8</v>
      </c>
      <c r="AQ3" s="383">
        <v>0.8</v>
      </c>
      <c r="AR3" s="383">
        <v>0.8</v>
      </c>
      <c r="AS3" s="383">
        <v>0.8</v>
      </c>
      <c r="AT3" s="383">
        <v>0.8</v>
      </c>
      <c r="AU3" s="383">
        <v>0.8</v>
      </c>
      <c r="AV3" s="383">
        <v>0.8</v>
      </c>
      <c r="AW3" s="383">
        <v>0.8</v>
      </c>
      <c r="AX3" s="383">
        <v>0.8</v>
      </c>
      <c r="AY3" s="383">
        <v>0.8</v>
      </c>
      <c r="AZ3" s="383">
        <v>0.8</v>
      </c>
    </row>
    <row r="4" spans="1:52" s="110" customFormat="1" ht="16" x14ac:dyDescent="0.2">
      <c r="A4" s="184" t="s">
        <v>176</v>
      </c>
      <c r="B4" s="383">
        <v>0.8</v>
      </c>
      <c r="C4" s="383">
        <v>0.8</v>
      </c>
      <c r="D4" s="383">
        <v>0.8</v>
      </c>
      <c r="E4" s="383">
        <v>0.8</v>
      </c>
      <c r="F4" s="383">
        <v>0.8</v>
      </c>
      <c r="G4" s="383">
        <v>0.8</v>
      </c>
      <c r="H4" s="383">
        <v>0.8</v>
      </c>
      <c r="I4" s="383">
        <v>0.8</v>
      </c>
      <c r="J4" s="383">
        <v>0.8</v>
      </c>
      <c r="K4" s="383">
        <v>0.8</v>
      </c>
      <c r="L4" s="383">
        <v>0.8</v>
      </c>
      <c r="M4" s="383">
        <v>0.8</v>
      </c>
      <c r="N4" s="383">
        <v>0.8</v>
      </c>
      <c r="O4" s="383">
        <v>0.8</v>
      </c>
      <c r="P4" s="383">
        <v>0.8</v>
      </c>
      <c r="Q4" s="383">
        <v>0.8</v>
      </c>
      <c r="R4" s="383">
        <v>0.8</v>
      </c>
      <c r="S4" s="383">
        <v>0.8</v>
      </c>
      <c r="T4" s="383">
        <v>0.8</v>
      </c>
      <c r="U4" s="383">
        <v>0.8</v>
      </c>
      <c r="V4" s="383">
        <v>0.8</v>
      </c>
      <c r="W4" s="383">
        <v>0.8</v>
      </c>
      <c r="X4" s="383">
        <v>0.8</v>
      </c>
      <c r="Y4" s="383">
        <v>0.8</v>
      </c>
      <c r="Z4" s="383">
        <v>0.8</v>
      </c>
      <c r="AA4" s="383">
        <v>0.8</v>
      </c>
      <c r="AB4" s="383">
        <v>0.8</v>
      </c>
      <c r="AC4" s="383">
        <v>0.8</v>
      </c>
      <c r="AD4" s="383">
        <v>0.8</v>
      </c>
      <c r="AE4" s="383">
        <v>0.8</v>
      </c>
      <c r="AF4" s="383">
        <v>0.8</v>
      </c>
      <c r="AG4" s="383">
        <v>0.8</v>
      </c>
      <c r="AH4" s="383">
        <v>0.8</v>
      </c>
      <c r="AI4" s="383">
        <v>0.8</v>
      </c>
      <c r="AJ4" s="383">
        <v>0.8</v>
      </c>
      <c r="AK4" s="383">
        <v>0.8</v>
      </c>
      <c r="AL4" s="383">
        <v>0.8</v>
      </c>
      <c r="AM4" s="383">
        <v>0.8</v>
      </c>
      <c r="AN4" s="383">
        <v>0.8</v>
      </c>
      <c r="AO4" s="383">
        <v>0.8</v>
      </c>
      <c r="AP4" s="383">
        <v>0.8</v>
      </c>
      <c r="AQ4" s="383">
        <v>0.8</v>
      </c>
      <c r="AR4" s="383">
        <v>0.8</v>
      </c>
      <c r="AS4" s="383">
        <v>0.8</v>
      </c>
      <c r="AT4" s="383">
        <v>0.8</v>
      </c>
      <c r="AU4" s="383">
        <v>0.8</v>
      </c>
      <c r="AV4" s="383">
        <v>0.8</v>
      </c>
      <c r="AW4" s="383">
        <v>0.8</v>
      </c>
      <c r="AX4" s="383">
        <v>0.8</v>
      </c>
      <c r="AY4" s="383">
        <v>0.8</v>
      </c>
      <c r="AZ4" s="383">
        <v>0.8</v>
      </c>
    </row>
    <row r="5" spans="1:52" s="110" customFormat="1" ht="16" x14ac:dyDescent="0.2">
      <c r="A5" s="184" t="s">
        <v>183</v>
      </c>
      <c r="B5" s="383">
        <v>0.8</v>
      </c>
      <c r="C5" s="383">
        <v>0.8</v>
      </c>
      <c r="D5" s="383">
        <v>0.8</v>
      </c>
      <c r="E5" s="383">
        <v>0.8</v>
      </c>
      <c r="F5" s="383">
        <v>0.8</v>
      </c>
      <c r="G5" s="383">
        <v>0.8</v>
      </c>
      <c r="H5" s="383">
        <v>0.8</v>
      </c>
      <c r="I5" s="383">
        <v>0.8</v>
      </c>
      <c r="J5" s="383">
        <v>0.8</v>
      </c>
      <c r="K5" s="383">
        <v>0.8</v>
      </c>
      <c r="L5" s="383">
        <v>0.8</v>
      </c>
      <c r="M5" s="383">
        <v>0.8</v>
      </c>
      <c r="N5" s="383">
        <v>0.8</v>
      </c>
      <c r="O5" s="383">
        <v>0.8</v>
      </c>
      <c r="P5" s="383">
        <v>0.8</v>
      </c>
      <c r="Q5" s="383">
        <v>0.8</v>
      </c>
      <c r="R5" s="383">
        <v>0.8</v>
      </c>
      <c r="S5" s="383">
        <v>0.8</v>
      </c>
      <c r="T5" s="383">
        <v>0.8</v>
      </c>
      <c r="U5" s="383">
        <v>0.8</v>
      </c>
      <c r="V5" s="383">
        <v>0.8</v>
      </c>
      <c r="W5" s="383">
        <v>0.8</v>
      </c>
      <c r="X5" s="383">
        <v>0.8</v>
      </c>
      <c r="Y5" s="383">
        <v>0.8</v>
      </c>
      <c r="Z5" s="383">
        <v>0.8</v>
      </c>
      <c r="AA5" s="383">
        <v>0.8</v>
      </c>
      <c r="AB5" s="383">
        <v>0.8</v>
      </c>
      <c r="AC5" s="383">
        <v>0.8</v>
      </c>
      <c r="AD5" s="383">
        <v>0.8</v>
      </c>
      <c r="AE5" s="383">
        <v>0.8</v>
      </c>
      <c r="AF5" s="383">
        <v>0.8</v>
      </c>
      <c r="AG5" s="383">
        <v>0.8</v>
      </c>
      <c r="AH5" s="383">
        <v>0.8</v>
      </c>
      <c r="AI5" s="383">
        <v>0.8</v>
      </c>
      <c r="AJ5" s="383">
        <v>0.8</v>
      </c>
      <c r="AK5" s="383">
        <v>0.8</v>
      </c>
      <c r="AL5" s="383">
        <v>0.8</v>
      </c>
      <c r="AM5" s="383">
        <v>0.8</v>
      </c>
      <c r="AN5" s="383">
        <v>0.8</v>
      </c>
      <c r="AO5" s="383">
        <v>0.8</v>
      </c>
      <c r="AP5" s="383">
        <v>0.8</v>
      </c>
      <c r="AQ5" s="383">
        <v>0.8</v>
      </c>
      <c r="AR5" s="383">
        <v>0.8</v>
      </c>
      <c r="AS5" s="383">
        <v>0.8</v>
      </c>
      <c r="AT5" s="383">
        <v>0.8</v>
      </c>
      <c r="AU5" s="383">
        <v>0.8</v>
      </c>
      <c r="AV5" s="383">
        <v>0.8</v>
      </c>
      <c r="AW5" s="383">
        <v>0.8</v>
      </c>
      <c r="AX5" s="383">
        <v>0.8</v>
      </c>
      <c r="AY5" s="383">
        <v>0.8</v>
      </c>
      <c r="AZ5" s="383">
        <v>0.8</v>
      </c>
    </row>
    <row r="6" spans="1:52" s="110" customFormat="1" ht="16" x14ac:dyDescent="0.2">
      <c r="A6" s="184" t="s">
        <v>184</v>
      </c>
      <c r="B6" s="383">
        <v>0.8</v>
      </c>
      <c r="C6" s="383">
        <v>0.8</v>
      </c>
      <c r="D6" s="383">
        <v>0.8</v>
      </c>
      <c r="E6" s="383">
        <v>0.8</v>
      </c>
      <c r="F6" s="383">
        <v>0.8</v>
      </c>
      <c r="G6" s="383">
        <v>0.8</v>
      </c>
      <c r="H6" s="383">
        <v>0.8</v>
      </c>
      <c r="I6" s="383">
        <v>0.8</v>
      </c>
      <c r="J6" s="383">
        <v>0.8</v>
      </c>
      <c r="K6" s="383">
        <v>0.8</v>
      </c>
      <c r="L6" s="383">
        <v>0.8</v>
      </c>
      <c r="M6" s="383">
        <v>0.8</v>
      </c>
      <c r="N6" s="383">
        <v>0.8</v>
      </c>
      <c r="O6" s="383">
        <v>0.8</v>
      </c>
      <c r="P6" s="383">
        <v>0.8</v>
      </c>
      <c r="Q6" s="383">
        <v>0.8</v>
      </c>
      <c r="R6" s="383">
        <v>0.8</v>
      </c>
      <c r="S6" s="383">
        <v>0.8</v>
      </c>
      <c r="T6" s="383">
        <v>0.8</v>
      </c>
      <c r="U6" s="383">
        <v>0.8</v>
      </c>
      <c r="V6" s="383">
        <v>0.8</v>
      </c>
      <c r="W6" s="383">
        <v>0.8</v>
      </c>
      <c r="X6" s="383">
        <v>0.8</v>
      </c>
      <c r="Y6" s="383">
        <v>0.8</v>
      </c>
      <c r="Z6" s="383">
        <v>0.8</v>
      </c>
      <c r="AA6" s="383">
        <v>0.8</v>
      </c>
      <c r="AB6" s="383">
        <v>0.8</v>
      </c>
      <c r="AC6" s="383">
        <v>0.8</v>
      </c>
      <c r="AD6" s="383">
        <v>0.8</v>
      </c>
      <c r="AE6" s="383">
        <v>0.8</v>
      </c>
      <c r="AF6" s="383">
        <v>0.8</v>
      </c>
      <c r="AG6" s="383">
        <v>0.8</v>
      </c>
      <c r="AH6" s="383">
        <v>0.8</v>
      </c>
      <c r="AI6" s="383">
        <v>0.8</v>
      </c>
      <c r="AJ6" s="383">
        <v>0.8</v>
      </c>
      <c r="AK6" s="383">
        <v>0.8</v>
      </c>
      <c r="AL6" s="383">
        <v>0.8</v>
      </c>
      <c r="AM6" s="383">
        <v>0.8</v>
      </c>
      <c r="AN6" s="383">
        <v>0.8</v>
      </c>
      <c r="AO6" s="383">
        <v>0.8</v>
      </c>
      <c r="AP6" s="383">
        <v>0.8</v>
      </c>
      <c r="AQ6" s="383">
        <v>0.8</v>
      </c>
      <c r="AR6" s="383">
        <v>0.8</v>
      </c>
      <c r="AS6" s="383">
        <v>0.8</v>
      </c>
      <c r="AT6" s="383">
        <v>0.8</v>
      </c>
      <c r="AU6" s="383">
        <v>0.8</v>
      </c>
      <c r="AV6" s="383">
        <v>0.8</v>
      </c>
      <c r="AW6" s="383">
        <v>0.8</v>
      </c>
      <c r="AX6" s="383">
        <v>0.8</v>
      </c>
      <c r="AY6" s="383">
        <v>0.8</v>
      </c>
      <c r="AZ6" s="383">
        <v>0.8</v>
      </c>
    </row>
    <row r="7" spans="1:52" s="110" customFormat="1" ht="16" x14ac:dyDescent="0.2">
      <c r="A7" s="184" t="s">
        <v>185</v>
      </c>
      <c r="B7" s="383">
        <v>0.8</v>
      </c>
      <c r="C7" s="383">
        <v>0.8</v>
      </c>
      <c r="D7" s="383">
        <v>0.8</v>
      </c>
      <c r="E7" s="383">
        <v>0.8</v>
      </c>
      <c r="F7" s="383">
        <v>0.8</v>
      </c>
      <c r="G7" s="383">
        <v>0.8</v>
      </c>
      <c r="H7" s="383">
        <v>0.8</v>
      </c>
      <c r="I7" s="383">
        <v>0.8</v>
      </c>
      <c r="J7" s="383">
        <v>0.8</v>
      </c>
      <c r="K7" s="383">
        <v>0.8</v>
      </c>
      <c r="L7" s="383">
        <v>0.8</v>
      </c>
      <c r="M7" s="383">
        <v>0.8</v>
      </c>
      <c r="N7" s="383">
        <v>0.8</v>
      </c>
      <c r="O7" s="383">
        <v>0.8</v>
      </c>
      <c r="P7" s="383">
        <v>0.8</v>
      </c>
      <c r="Q7" s="383">
        <v>0.8</v>
      </c>
      <c r="R7" s="383">
        <v>0.8</v>
      </c>
      <c r="S7" s="383">
        <v>0.8</v>
      </c>
      <c r="T7" s="383">
        <v>0.8</v>
      </c>
      <c r="U7" s="383">
        <v>0.8</v>
      </c>
      <c r="V7" s="383">
        <v>0.8</v>
      </c>
      <c r="W7" s="383">
        <v>0.8</v>
      </c>
      <c r="X7" s="383">
        <v>0.8</v>
      </c>
      <c r="Y7" s="383">
        <v>0.8</v>
      </c>
      <c r="Z7" s="383">
        <v>0.8</v>
      </c>
      <c r="AA7" s="383">
        <v>0.8</v>
      </c>
      <c r="AB7" s="383">
        <v>0.8</v>
      </c>
      <c r="AC7" s="383">
        <v>0.8</v>
      </c>
      <c r="AD7" s="383">
        <v>0.8</v>
      </c>
      <c r="AE7" s="383">
        <v>0.8</v>
      </c>
      <c r="AF7" s="383">
        <v>0.8</v>
      </c>
      <c r="AG7" s="383">
        <v>0.8</v>
      </c>
      <c r="AH7" s="383">
        <v>0.8</v>
      </c>
      <c r="AI7" s="383">
        <v>0.8</v>
      </c>
      <c r="AJ7" s="383">
        <v>0.8</v>
      </c>
      <c r="AK7" s="383">
        <v>0.8</v>
      </c>
      <c r="AL7" s="383">
        <v>0.8</v>
      </c>
      <c r="AM7" s="383">
        <v>0.8</v>
      </c>
      <c r="AN7" s="383">
        <v>0.8</v>
      </c>
      <c r="AO7" s="383">
        <v>0.8</v>
      </c>
      <c r="AP7" s="383">
        <v>0.8</v>
      </c>
      <c r="AQ7" s="383">
        <v>0.8</v>
      </c>
      <c r="AR7" s="383">
        <v>0.8</v>
      </c>
      <c r="AS7" s="383">
        <v>0.8</v>
      </c>
      <c r="AT7" s="383">
        <v>0.8</v>
      </c>
      <c r="AU7" s="383">
        <v>0.8</v>
      </c>
      <c r="AV7" s="383">
        <v>0.8</v>
      </c>
      <c r="AW7" s="383">
        <v>0.8</v>
      </c>
      <c r="AX7" s="383">
        <v>0.8</v>
      </c>
      <c r="AY7" s="383">
        <v>0.8</v>
      </c>
      <c r="AZ7" s="383">
        <v>0.8</v>
      </c>
    </row>
    <row r="8" spans="1:52" s="110" customFormat="1" ht="16" x14ac:dyDescent="0.2">
      <c r="A8" s="184" t="s">
        <v>186</v>
      </c>
      <c r="B8" s="383">
        <v>0.8</v>
      </c>
      <c r="C8" s="383">
        <v>0.8</v>
      </c>
      <c r="D8" s="383">
        <v>0.8</v>
      </c>
      <c r="E8" s="383">
        <v>0.8</v>
      </c>
      <c r="F8" s="383">
        <v>0.8</v>
      </c>
      <c r="G8" s="383">
        <v>0.8</v>
      </c>
      <c r="H8" s="383">
        <v>0.8</v>
      </c>
      <c r="I8" s="383">
        <v>0.8</v>
      </c>
      <c r="J8" s="383">
        <v>0.8</v>
      </c>
      <c r="K8" s="383">
        <v>0.8</v>
      </c>
      <c r="L8" s="383">
        <v>0.8</v>
      </c>
      <c r="M8" s="383">
        <v>0.8</v>
      </c>
      <c r="N8" s="383">
        <v>0.8</v>
      </c>
      <c r="O8" s="383">
        <v>0.8</v>
      </c>
      <c r="P8" s="383">
        <v>0.8</v>
      </c>
      <c r="Q8" s="383">
        <v>0.8</v>
      </c>
      <c r="R8" s="383">
        <v>0.8</v>
      </c>
      <c r="S8" s="383">
        <v>0.8</v>
      </c>
      <c r="T8" s="383">
        <v>0.8</v>
      </c>
      <c r="U8" s="383">
        <v>0.8</v>
      </c>
      <c r="V8" s="383">
        <v>0.8</v>
      </c>
      <c r="W8" s="383">
        <v>0.8</v>
      </c>
      <c r="X8" s="383">
        <v>0.8</v>
      </c>
      <c r="Y8" s="383">
        <v>0.8</v>
      </c>
      <c r="Z8" s="383">
        <v>0.8</v>
      </c>
      <c r="AA8" s="383">
        <v>0.8</v>
      </c>
      <c r="AB8" s="383">
        <v>0.8</v>
      </c>
      <c r="AC8" s="383">
        <v>0.8</v>
      </c>
      <c r="AD8" s="383">
        <v>0.8</v>
      </c>
      <c r="AE8" s="383">
        <v>0.8</v>
      </c>
      <c r="AF8" s="383">
        <v>0.8</v>
      </c>
      <c r="AG8" s="383">
        <v>0.8</v>
      </c>
      <c r="AH8" s="383">
        <v>0.8</v>
      </c>
      <c r="AI8" s="383">
        <v>0.8</v>
      </c>
      <c r="AJ8" s="383">
        <v>0.8</v>
      </c>
      <c r="AK8" s="383">
        <v>0.8</v>
      </c>
      <c r="AL8" s="383">
        <v>0.8</v>
      </c>
      <c r="AM8" s="383">
        <v>0.8</v>
      </c>
      <c r="AN8" s="383">
        <v>0.8</v>
      </c>
      <c r="AO8" s="383">
        <v>0.8</v>
      </c>
      <c r="AP8" s="383">
        <v>0.8</v>
      </c>
      <c r="AQ8" s="383">
        <v>0.8</v>
      </c>
      <c r="AR8" s="383">
        <v>0.8</v>
      </c>
      <c r="AS8" s="383">
        <v>0.8</v>
      </c>
      <c r="AT8" s="383">
        <v>0.8</v>
      </c>
      <c r="AU8" s="383">
        <v>0.8</v>
      </c>
      <c r="AV8" s="383">
        <v>0.8</v>
      </c>
      <c r="AW8" s="383">
        <v>0.8</v>
      </c>
      <c r="AX8" s="383">
        <v>0.8</v>
      </c>
      <c r="AY8" s="383">
        <v>0.8</v>
      </c>
      <c r="AZ8" s="383">
        <v>0.8</v>
      </c>
    </row>
    <row r="9" spans="1:52" s="110" customFormat="1" ht="16" x14ac:dyDescent="0.2">
      <c r="A9" s="184" t="s">
        <v>187</v>
      </c>
      <c r="B9" s="383">
        <v>0.8</v>
      </c>
      <c r="C9" s="383">
        <v>0.8</v>
      </c>
      <c r="D9" s="383">
        <v>0.8</v>
      </c>
      <c r="E9" s="383">
        <v>0.8</v>
      </c>
      <c r="F9" s="383">
        <v>0.8</v>
      </c>
      <c r="G9" s="383">
        <v>0.8</v>
      </c>
      <c r="H9" s="383">
        <v>0.8</v>
      </c>
      <c r="I9" s="383">
        <v>0.8</v>
      </c>
      <c r="J9" s="383">
        <v>0.8</v>
      </c>
      <c r="K9" s="383">
        <v>0.8</v>
      </c>
      <c r="L9" s="383">
        <v>0.8</v>
      </c>
      <c r="M9" s="383">
        <v>0.8</v>
      </c>
      <c r="N9" s="383">
        <v>0.8</v>
      </c>
      <c r="O9" s="383">
        <v>0.8</v>
      </c>
      <c r="P9" s="383">
        <v>0.8</v>
      </c>
      <c r="Q9" s="383">
        <v>0.8</v>
      </c>
      <c r="R9" s="383">
        <v>0.8</v>
      </c>
      <c r="S9" s="383">
        <v>0.8</v>
      </c>
      <c r="T9" s="383">
        <v>0.8</v>
      </c>
      <c r="U9" s="383">
        <v>0.8</v>
      </c>
      <c r="V9" s="383">
        <v>0.8</v>
      </c>
      <c r="W9" s="383">
        <v>0.8</v>
      </c>
      <c r="X9" s="383">
        <v>0.8</v>
      </c>
      <c r="Y9" s="383">
        <v>0.8</v>
      </c>
      <c r="Z9" s="383">
        <v>0.8</v>
      </c>
      <c r="AA9" s="383">
        <v>0.8</v>
      </c>
      <c r="AB9" s="383">
        <v>0.8</v>
      </c>
      <c r="AC9" s="383">
        <v>0.8</v>
      </c>
      <c r="AD9" s="383">
        <v>0.8</v>
      </c>
      <c r="AE9" s="383">
        <v>0.8</v>
      </c>
      <c r="AF9" s="383">
        <v>0.8</v>
      </c>
      <c r="AG9" s="383">
        <v>0.8</v>
      </c>
      <c r="AH9" s="383">
        <v>0.8</v>
      </c>
      <c r="AI9" s="383">
        <v>0.8</v>
      </c>
      <c r="AJ9" s="383">
        <v>0.8</v>
      </c>
      <c r="AK9" s="383">
        <v>0.8</v>
      </c>
      <c r="AL9" s="383">
        <v>0.8</v>
      </c>
      <c r="AM9" s="383">
        <v>0.8</v>
      </c>
      <c r="AN9" s="383">
        <v>0.8</v>
      </c>
      <c r="AO9" s="383">
        <v>0.8</v>
      </c>
      <c r="AP9" s="383">
        <v>0.8</v>
      </c>
      <c r="AQ9" s="383">
        <v>0.8</v>
      </c>
      <c r="AR9" s="383">
        <v>0.8</v>
      </c>
      <c r="AS9" s="383">
        <v>0.8</v>
      </c>
      <c r="AT9" s="383">
        <v>0.8</v>
      </c>
      <c r="AU9" s="383">
        <v>0.8</v>
      </c>
      <c r="AV9" s="383">
        <v>0.8</v>
      </c>
      <c r="AW9" s="383">
        <v>0.8</v>
      </c>
      <c r="AX9" s="383">
        <v>0.8</v>
      </c>
      <c r="AY9" s="383">
        <v>0.8</v>
      </c>
      <c r="AZ9" s="383">
        <v>0.8</v>
      </c>
    </row>
    <row r="10" spans="1:52" s="110" customFormat="1" ht="16" x14ac:dyDescent="0.2">
      <c r="A10" s="184" t="s">
        <v>189</v>
      </c>
      <c r="B10" s="383">
        <v>0.8</v>
      </c>
      <c r="C10" s="383">
        <v>0.8</v>
      </c>
      <c r="D10" s="383">
        <v>0.8</v>
      </c>
      <c r="E10" s="383">
        <v>0.8</v>
      </c>
      <c r="F10" s="383">
        <v>0.8</v>
      </c>
      <c r="G10" s="383">
        <v>0.8</v>
      </c>
      <c r="H10" s="383">
        <v>0.8</v>
      </c>
      <c r="I10" s="383">
        <v>0.8</v>
      </c>
      <c r="J10" s="383">
        <v>0.8</v>
      </c>
      <c r="K10" s="383">
        <v>0.8</v>
      </c>
      <c r="L10" s="383">
        <v>0.8</v>
      </c>
      <c r="M10" s="383">
        <v>0.8</v>
      </c>
      <c r="N10" s="383">
        <v>0.8</v>
      </c>
      <c r="O10" s="383">
        <v>0.8</v>
      </c>
      <c r="P10" s="383">
        <v>0.8</v>
      </c>
      <c r="Q10" s="383">
        <v>0.8</v>
      </c>
      <c r="R10" s="383">
        <v>0.8</v>
      </c>
      <c r="S10" s="383">
        <v>0.8</v>
      </c>
      <c r="T10" s="383">
        <v>0.8</v>
      </c>
      <c r="U10" s="383">
        <v>0.8</v>
      </c>
      <c r="V10" s="383">
        <v>0.8</v>
      </c>
      <c r="W10" s="383">
        <v>0.8</v>
      </c>
      <c r="X10" s="383">
        <v>0.8</v>
      </c>
      <c r="Y10" s="383">
        <v>0.8</v>
      </c>
      <c r="Z10" s="383">
        <v>0.8</v>
      </c>
      <c r="AA10" s="383">
        <v>0.8</v>
      </c>
      <c r="AB10" s="383">
        <v>0.8</v>
      </c>
      <c r="AC10" s="383">
        <v>0.8</v>
      </c>
      <c r="AD10" s="383">
        <v>0.8</v>
      </c>
      <c r="AE10" s="383">
        <v>0.8</v>
      </c>
      <c r="AF10" s="383">
        <v>0.8</v>
      </c>
      <c r="AG10" s="383">
        <v>0.8</v>
      </c>
      <c r="AH10" s="383">
        <v>0.8</v>
      </c>
      <c r="AI10" s="383">
        <v>0.8</v>
      </c>
      <c r="AJ10" s="383">
        <v>0.8</v>
      </c>
      <c r="AK10" s="383">
        <v>0.8</v>
      </c>
      <c r="AL10" s="383">
        <v>0.8</v>
      </c>
      <c r="AM10" s="383">
        <v>0.8</v>
      </c>
      <c r="AN10" s="383">
        <v>0.8</v>
      </c>
      <c r="AO10" s="383">
        <v>0.8</v>
      </c>
      <c r="AP10" s="383">
        <v>0.8</v>
      </c>
      <c r="AQ10" s="383">
        <v>0.8</v>
      </c>
      <c r="AR10" s="383">
        <v>0.8</v>
      </c>
      <c r="AS10" s="383">
        <v>0.8</v>
      </c>
      <c r="AT10" s="383">
        <v>0.8</v>
      </c>
      <c r="AU10" s="383">
        <v>0.8</v>
      </c>
      <c r="AV10" s="383">
        <v>0.8</v>
      </c>
      <c r="AW10" s="383">
        <v>0.8</v>
      </c>
      <c r="AX10" s="383">
        <v>0.8</v>
      </c>
      <c r="AY10" s="383">
        <v>0.8</v>
      </c>
      <c r="AZ10" s="383">
        <v>0.8</v>
      </c>
    </row>
    <row r="11" spans="1:52" s="110" customFormat="1" ht="16" x14ac:dyDescent="0.2">
      <c r="A11" s="184" t="s">
        <v>190</v>
      </c>
      <c r="B11" s="383">
        <v>0.8</v>
      </c>
      <c r="C11" s="383">
        <v>0.8</v>
      </c>
      <c r="D11" s="383">
        <v>0.8</v>
      </c>
      <c r="E11" s="383">
        <v>0.8</v>
      </c>
      <c r="F11" s="383">
        <v>0.8</v>
      </c>
      <c r="G11" s="383">
        <v>0.8</v>
      </c>
      <c r="H11" s="383">
        <v>0.8</v>
      </c>
      <c r="I11" s="383">
        <v>0.8</v>
      </c>
      <c r="J11" s="383">
        <v>0.8</v>
      </c>
      <c r="K11" s="383">
        <v>0.8</v>
      </c>
      <c r="L11" s="383">
        <v>0.8</v>
      </c>
      <c r="M11" s="383">
        <v>0.8</v>
      </c>
      <c r="N11" s="383">
        <v>0.8</v>
      </c>
      <c r="O11" s="383">
        <v>0.8</v>
      </c>
      <c r="P11" s="383">
        <v>0.8</v>
      </c>
      <c r="Q11" s="383">
        <v>0.8</v>
      </c>
      <c r="R11" s="383">
        <v>0.8</v>
      </c>
      <c r="S11" s="383">
        <v>0.8</v>
      </c>
      <c r="T11" s="383">
        <v>0.8</v>
      </c>
      <c r="U11" s="383">
        <v>0.8</v>
      </c>
      <c r="V11" s="383">
        <v>0.8</v>
      </c>
      <c r="W11" s="383">
        <v>0.8</v>
      </c>
      <c r="X11" s="383">
        <v>0.8</v>
      </c>
      <c r="Y11" s="383">
        <v>0.8</v>
      </c>
      <c r="Z11" s="383">
        <v>0.8</v>
      </c>
      <c r="AA11" s="383">
        <v>0.8</v>
      </c>
      <c r="AB11" s="383">
        <v>0.8</v>
      </c>
      <c r="AC11" s="383">
        <v>0.8</v>
      </c>
      <c r="AD11" s="383">
        <v>0.8</v>
      </c>
      <c r="AE11" s="383">
        <v>0.8</v>
      </c>
      <c r="AF11" s="383">
        <v>0.8</v>
      </c>
      <c r="AG11" s="383">
        <v>0.8</v>
      </c>
      <c r="AH11" s="383">
        <v>0.8</v>
      </c>
      <c r="AI11" s="383">
        <v>0.8</v>
      </c>
      <c r="AJ11" s="383">
        <v>0.8</v>
      </c>
      <c r="AK11" s="383">
        <v>0.8</v>
      </c>
      <c r="AL11" s="383">
        <v>0.8</v>
      </c>
      <c r="AM11" s="383">
        <v>0.8</v>
      </c>
      <c r="AN11" s="383">
        <v>0.8</v>
      </c>
      <c r="AO11" s="383">
        <v>0.8</v>
      </c>
      <c r="AP11" s="383">
        <v>0.8</v>
      </c>
      <c r="AQ11" s="383">
        <v>0.8</v>
      </c>
      <c r="AR11" s="383">
        <v>0.8</v>
      </c>
      <c r="AS11" s="383">
        <v>0.8</v>
      </c>
      <c r="AT11" s="383">
        <v>0.8</v>
      </c>
      <c r="AU11" s="383">
        <v>0.8</v>
      </c>
      <c r="AV11" s="383">
        <v>0.8</v>
      </c>
      <c r="AW11" s="383">
        <v>0.8</v>
      </c>
      <c r="AX11" s="383">
        <v>0.8</v>
      </c>
      <c r="AY11" s="383">
        <v>0.8</v>
      </c>
      <c r="AZ11" s="383">
        <v>0.8</v>
      </c>
    </row>
    <row r="12" spans="1:52" s="110" customFormat="1" ht="16" x14ac:dyDescent="0.2">
      <c r="A12" s="184" t="s">
        <v>191</v>
      </c>
      <c r="B12" s="383">
        <v>0.8</v>
      </c>
      <c r="C12" s="383">
        <v>0.8</v>
      </c>
      <c r="D12" s="383">
        <v>0.8</v>
      </c>
      <c r="E12" s="383">
        <v>0.8</v>
      </c>
      <c r="F12" s="383">
        <v>0.8</v>
      </c>
      <c r="G12" s="383">
        <v>0.8</v>
      </c>
      <c r="H12" s="383">
        <v>0.8</v>
      </c>
      <c r="I12" s="383">
        <v>0.8</v>
      </c>
      <c r="J12" s="383">
        <v>0.8</v>
      </c>
      <c r="K12" s="383">
        <v>0.8</v>
      </c>
      <c r="L12" s="383">
        <v>0.8</v>
      </c>
      <c r="M12" s="383">
        <v>0.8</v>
      </c>
      <c r="N12" s="383">
        <v>0.8</v>
      </c>
      <c r="O12" s="383">
        <v>0.8</v>
      </c>
      <c r="P12" s="383">
        <v>0.8</v>
      </c>
      <c r="Q12" s="383">
        <v>0.8</v>
      </c>
      <c r="R12" s="383">
        <v>0.8</v>
      </c>
      <c r="S12" s="383">
        <v>0.8</v>
      </c>
      <c r="T12" s="383">
        <v>0.8</v>
      </c>
      <c r="U12" s="383">
        <v>0.8</v>
      </c>
      <c r="V12" s="383">
        <v>0.8</v>
      </c>
      <c r="W12" s="383">
        <v>0.8</v>
      </c>
      <c r="X12" s="383">
        <v>0.8</v>
      </c>
      <c r="Y12" s="383">
        <v>0.8</v>
      </c>
      <c r="Z12" s="383">
        <v>0.8</v>
      </c>
      <c r="AA12" s="383">
        <v>0.8</v>
      </c>
      <c r="AB12" s="383">
        <v>0.8</v>
      </c>
      <c r="AC12" s="383">
        <v>0.8</v>
      </c>
      <c r="AD12" s="383">
        <v>0.8</v>
      </c>
      <c r="AE12" s="383">
        <v>0.8</v>
      </c>
      <c r="AF12" s="383">
        <v>0.8</v>
      </c>
      <c r="AG12" s="383">
        <v>0.8</v>
      </c>
      <c r="AH12" s="383">
        <v>0.8</v>
      </c>
      <c r="AI12" s="383">
        <v>0.8</v>
      </c>
      <c r="AJ12" s="383">
        <v>0.8</v>
      </c>
      <c r="AK12" s="383">
        <v>0.8</v>
      </c>
      <c r="AL12" s="383">
        <v>0.8</v>
      </c>
      <c r="AM12" s="383">
        <v>0.8</v>
      </c>
      <c r="AN12" s="383">
        <v>0.8</v>
      </c>
      <c r="AO12" s="383">
        <v>0.8</v>
      </c>
      <c r="AP12" s="383">
        <v>0.8</v>
      </c>
      <c r="AQ12" s="383">
        <v>0.8</v>
      </c>
      <c r="AR12" s="383">
        <v>0.8</v>
      </c>
      <c r="AS12" s="383">
        <v>0.8</v>
      </c>
      <c r="AT12" s="383">
        <v>0.8</v>
      </c>
      <c r="AU12" s="383">
        <v>0.8</v>
      </c>
      <c r="AV12" s="383">
        <v>0.8</v>
      </c>
      <c r="AW12" s="383">
        <v>0.8</v>
      </c>
      <c r="AX12" s="383">
        <v>0.8</v>
      </c>
      <c r="AY12" s="383">
        <v>0.8</v>
      </c>
      <c r="AZ12" s="383">
        <v>0.8</v>
      </c>
    </row>
    <row r="13" spans="1:52" s="110" customFormat="1" ht="16" x14ac:dyDescent="0.2">
      <c r="A13" s="184" t="s">
        <v>192</v>
      </c>
      <c r="B13" s="383">
        <v>0.8</v>
      </c>
      <c r="C13" s="383">
        <v>0.8</v>
      </c>
      <c r="D13" s="383">
        <v>0.8</v>
      </c>
      <c r="E13" s="383">
        <v>0.8</v>
      </c>
      <c r="F13" s="383">
        <v>0.8</v>
      </c>
      <c r="G13" s="383">
        <v>0.8</v>
      </c>
      <c r="H13" s="383">
        <v>0.8</v>
      </c>
      <c r="I13" s="383">
        <v>0.8</v>
      </c>
      <c r="J13" s="383">
        <v>0.8</v>
      </c>
      <c r="K13" s="383">
        <v>0.8</v>
      </c>
      <c r="L13" s="383">
        <v>0.8</v>
      </c>
      <c r="M13" s="383">
        <v>0.8</v>
      </c>
      <c r="N13" s="383">
        <v>0.8</v>
      </c>
      <c r="O13" s="383">
        <v>0.8</v>
      </c>
      <c r="P13" s="383">
        <v>0.8</v>
      </c>
      <c r="Q13" s="383">
        <v>0.8</v>
      </c>
      <c r="R13" s="383">
        <v>0.8</v>
      </c>
      <c r="S13" s="383">
        <v>0.8</v>
      </c>
      <c r="T13" s="383">
        <v>0.8</v>
      </c>
      <c r="U13" s="383">
        <v>0.8</v>
      </c>
      <c r="V13" s="383">
        <v>0.8</v>
      </c>
      <c r="W13" s="383">
        <v>0.8</v>
      </c>
      <c r="X13" s="383">
        <v>0.8</v>
      </c>
      <c r="Y13" s="383">
        <v>0.8</v>
      </c>
      <c r="Z13" s="383">
        <v>0.8</v>
      </c>
      <c r="AA13" s="383">
        <v>0.8</v>
      </c>
      <c r="AB13" s="383">
        <v>0.8</v>
      </c>
      <c r="AC13" s="383">
        <v>0.8</v>
      </c>
      <c r="AD13" s="383">
        <v>0.8</v>
      </c>
      <c r="AE13" s="383">
        <v>0.8</v>
      </c>
      <c r="AF13" s="383">
        <v>0.8</v>
      </c>
      <c r="AG13" s="383">
        <v>0.8</v>
      </c>
      <c r="AH13" s="383">
        <v>0.8</v>
      </c>
      <c r="AI13" s="383">
        <v>0.8</v>
      </c>
      <c r="AJ13" s="383">
        <v>0.8</v>
      </c>
      <c r="AK13" s="383">
        <v>0.8</v>
      </c>
      <c r="AL13" s="383">
        <v>0.8</v>
      </c>
      <c r="AM13" s="383">
        <v>0.8</v>
      </c>
      <c r="AN13" s="383">
        <v>0.8</v>
      </c>
      <c r="AO13" s="383">
        <v>0.8</v>
      </c>
      <c r="AP13" s="383">
        <v>0.8</v>
      </c>
      <c r="AQ13" s="383">
        <v>0.8</v>
      </c>
      <c r="AR13" s="383">
        <v>0.8</v>
      </c>
      <c r="AS13" s="383">
        <v>0.8</v>
      </c>
      <c r="AT13" s="383">
        <v>0.8</v>
      </c>
      <c r="AU13" s="383">
        <v>0.8</v>
      </c>
      <c r="AV13" s="383">
        <v>0.8</v>
      </c>
      <c r="AW13" s="383">
        <v>0.8</v>
      </c>
      <c r="AX13" s="383">
        <v>0.8</v>
      </c>
      <c r="AY13" s="383">
        <v>0.8</v>
      </c>
      <c r="AZ13" s="383">
        <v>0.8</v>
      </c>
    </row>
    <row r="14" spans="1:52" s="110" customFormat="1" ht="16" x14ac:dyDescent="0.2">
      <c r="A14" s="184" t="s">
        <v>193</v>
      </c>
      <c r="B14" s="383">
        <v>0.8</v>
      </c>
      <c r="C14" s="383">
        <v>0.8</v>
      </c>
      <c r="D14" s="383">
        <v>0.8</v>
      </c>
      <c r="E14" s="383">
        <v>0.8</v>
      </c>
      <c r="F14" s="383">
        <v>0.8</v>
      </c>
      <c r="G14" s="383">
        <v>0.8</v>
      </c>
      <c r="H14" s="383">
        <v>0.8</v>
      </c>
      <c r="I14" s="383">
        <v>0.8</v>
      </c>
      <c r="J14" s="383">
        <v>0.8</v>
      </c>
      <c r="K14" s="383">
        <v>0.8</v>
      </c>
      <c r="L14" s="383">
        <v>0.8</v>
      </c>
      <c r="M14" s="383">
        <v>0.8</v>
      </c>
      <c r="N14" s="383">
        <v>0.8</v>
      </c>
      <c r="O14" s="383">
        <v>0.8</v>
      </c>
      <c r="P14" s="383">
        <v>0.8</v>
      </c>
      <c r="Q14" s="383">
        <v>0.8</v>
      </c>
      <c r="R14" s="383">
        <v>0.8</v>
      </c>
      <c r="S14" s="383">
        <v>0.8</v>
      </c>
      <c r="T14" s="383">
        <v>0.8</v>
      </c>
      <c r="U14" s="383">
        <v>0.8</v>
      </c>
      <c r="V14" s="383">
        <v>0.8</v>
      </c>
      <c r="W14" s="383">
        <v>0.8</v>
      </c>
      <c r="X14" s="383">
        <v>0.8</v>
      </c>
      <c r="Y14" s="383">
        <v>0.8</v>
      </c>
      <c r="Z14" s="383">
        <v>0.8</v>
      </c>
      <c r="AA14" s="383">
        <v>0.8</v>
      </c>
      <c r="AB14" s="383">
        <v>0.8</v>
      </c>
      <c r="AC14" s="383">
        <v>0.8</v>
      </c>
      <c r="AD14" s="383">
        <v>0.8</v>
      </c>
      <c r="AE14" s="383">
        <v>0.8</v>
      </c>
      <c r="AF14" s="383">
        <v>0.8</v>
      </c>
      <c r="AG14" s="383">
        <v>0.8</v>
      </c>
      <c r="AH14" s="383">
        <v>0.8</v>
      </c>
      <c r="AI14" s="383">
        <v>0.8</v>
      </c>
      <c r="AJ14" s="383">
        <v>0.8</v>
      </c>
      <c r="AK14" s="383">
        <v>0.8</v>
      </c>
      <c r="AL14" s="383">
        <v>0.8</v>
      </c>
      <c r="AM14" s="383">
        <v>0.8</v>
      </c>
      <c r="AN14" s="383">
        <v>0.8</v>
      </c>
      <c r="AO14" s="383">
        <v>0.8</v>
      </c>
      <c r="AP14" s="383">
        <v>0.8</v>
      </c>
      <c r="AQ14" s="383">
        <v>0.8</v>
      </c>
      <c r="AR14" s="383">
        <v>0.8</v>
      </c>
      <c r="AS14" s="383">
        <v>0.8</v>
      </c>
      <c r="AT14" s="383">
        <v>0.8</v>
      </c>
      <c r="AU14" s="383">
        <v>0.8</v>
      </c>
      <c r="AV14" s="383">
        <v>0.8</v>
      </c>
      <c r="AW14" s="383">
        <v>0.8</v>
      </c>
      <c r="AX14" s="383">
        <v>0.8</v>
      </c>
      <c r="AY14" s="383">
        <v>0.8</v>
      </c>
      <c r="AZ14" s="383">
        <v>0.8</v>
      </c>
    </row>
    <row r="15" spans="1:52" s="110" customFormat="1" ht="16" x14ac:dyDescent="0.2">
      <c r="A15" s="184" t="s">
        <v>194</v>
      </c>
      <c r="B15" s="383">
        <v>0.8</v>
      </c>
      <c r="C15" s="383">
        <v>0.8</v>
      </c>
      <c r="D15" s="383">
        <v>0.8</v>
      </c>
      <c r="E15" s="383">
        <v>0.8</v>
      </c>
      <c r="F15" s="383">
        <v>0.8</v>
      </c>
      <c r="G15" s="383">
        <v>0.8</v>
      </c>
      <c r="H15" s="383">
        <v>0.8</v>
      </c>
      <c r="I15" s="383">
        <v>0.8</v>
      </c>
      <c r="J15" s="383">
        <v>0.8</v>
      </c>
      <c r="K15" s="383">
        <v>0.8</v>
      </c>
      <c r="L15" s="383">
        <v>0.8</v>
      </c>
      <c r="M15" s="383">
        <v>0.8</v>
      </c>
      <c r="N15" s="383">
        <v>0.8</v>
      </c>
      <c r="O15" s="383">
        <v>0.8</v>
      </c>
      <c r="P15" s="383">
        <v>0.8</v>
      </c>
      <c r="Q15" s="383">
        <v>0.8</v>
      </c>
      <c r="R15" s="383">
        <v>0.8</v>
      </c>
      <c r="S15" s="383">
        <v>0.8</v>
      </c>
      <c r="T15" s="383">
        <v>0.8</v>
      </c>
      <c r="U15" s="383">
        <v>0.8</v>
      </c>
      <c r="V15" s="383">
        <v>0.8</v>
      </c>
      <c r="W15" s="383">
        <v>0.8</v>
      </c>
      <c r="X15" s="383">
        <v>0.8</v>
      </c>
      <c r="Y15" s="383">
        <v>0.8</v>
      </c>
      <c r="Z15" s="383">
        <v>0.8</v>
      </c>
      <c r="AA15" s="383">
        <v>0.8</v>
      </c>
      <c r="AB15" s="383">
        <v>0.8</v>
      </c>
      <c r="AC15" s="383">
        <v>0.8</v>
      </c>
      <c r="AD15" s="383">
        <v>0.8</v>
      </c>
      <c r="AE15" s="383">
        <v>0.8</v>
      </c>
      <c r="AF15" s="383">
        <v>0.8</v>
      </c>
      <c r="AG15" s="383">
        <v>0.8</v>
      </c>
      <c r="AH15" s="383">
        <v>0.8</v>
      </c>
      <c r="AI15" s="383">
        <v>0.8</v>
      </c>
      <c r="AJ15" s="383">
        <v>0.8</v>
      </c>
      <c r="AK15" s="383">
        <v>0.8</v>
      </c>
      <c r="AL15" s="383">
        <v>0.8</v>
      </c>
      <c r="AM15" s="383">
        <v>0.8</v>
      </c>
      <c r="AN15" s="383">
        <v>0.8</v>
      </c>
      <c r="AO15" s="383">
        <v>0.8</v>
      </c>
      <c r="AP15" s="383">
        <v>0.8</v>
      </c>
      <c r="AQ15" s="383">
        <v>0.8</v>
      </c>
      <c r="AR15" s="383">
        <v>0.8</v>
      </c>
      <c r="AS15" s="383">
        <v>0.8</v>
      </c>
      <c r="AT15" s="383">
        <v>0.8</v>
      </c>
      <c r="AU15" s="383">
        <v>0.8</v>
      </c>
      <c r="AV15" s="383">
        <v>0.8</v>
      </c>
      <c r="AW15" s="383">
        <v>0.8</v>
      </c>
      <c r="AX15" s="383">
        <v>0.8</v>
      </c>
      <c r="AY15" s="383">
        <v>0.8</v>
      </c>
      <c r="AZ15" s="383">
        <v>0.8</v>
      </c>
    </row>
    <row r="16" spans="1:52" s="110" customFormat="1" ht="16" x14ac:dyDescent="0.2">
      <c r="A16" s="184" t="s">
        <v>195</v>
      </c>
      <c r="B16" s="383">
        <v>0.8</v>
      </c>
      <c r="C16" s="383">
        <v>0.8</v>
      </c>
      <c r="D16" s="383">
        <v>0.8</v>
      </c>
      <c r="E16" s="383">
        <v>0.8</v>
      </c>
      <c r="F16" s="383">
        <v>0.8</v>
      </c>
      <c r="G16" s="383">
        <v>0.8</v>
      </c>
      <c r="H16" s="383">
        <v>0.8</v>
      </c>
      <c r="I16" s="383">
        <v>0.8</v>
      </c>
      <c r="J16" s="383">
        <v>0.8</v>
      </c>
      <c r="K16" s="383">
        <v>0.8</v>
      </c>
      <c r="L16" s="383">
        <v>0.8</v>
      </c>
      <c r="M16" s="383">
        <v>0.8</v>
      </c>
      <c r="N16" s="383">
        <v>0.8</v>
      </c>
      <c r="O16" s="383">
        <v>0.8</v>
      </c>
      <c r="P16" s="383">
        <v>0.8</v>
      </c>
      <c r="Q16" s="383">
        <v>0.8</v>
      </c>
      <c r="R16" s="383">
        <v>0.8</v>
      </c>
      <c r="S16" s="383">
        <v>0.8</v>
      </c>
      <c r="T16" s="383">
        <v>0.8</v>
      </c>
      <c r="U16" s="383">
        <v>0.8</v>
      </c>
      <c r="V16" s="383">
        <v>0.8</v>
      </c>
      <c r="W16" s="383">
        <v>0.8</v>
      </c>
      <c r="X16" s="383">
        <v>0.8</v>
      </c>
      <c r="Y16" s="383">
        <v>0.8</v>
      </c>
      <c r="Z16" s="383">
        <v>0.8</v>
      </c>
      <c r="AA16" s="383">
        <v>0.8</v>
      </c>
      <c r="AB16" s="383">
        <v>0.8</v>
      </c>
      <c r="AC16" s="383">
        <v>0.8</v>
      </c>
      <c r="AD16" s="383">
        <v>0.8</v>
      </c>
      <c r="AE16" s="383">
        <v>0.8</v>
      </c>
      <c r="AF16" s="383">
        <v>0.8</v>
      </c>
      <c r="AG16" s="383">
        <v>0.8</v>
      </c>
      <c r="AH16" s="383">
        <v>0.8</v>
      </c>
      <c r="AI16" s="383">
        <v>0.8</v>
      </c>
      <c r="AJ16" s="383">
        <v>0.8</v>
      </c>
      <c r="AK16" s="383">
        <v>0.8</v>
      </c>
      <c r="AL16" s="383">
        <v>0.8</v>
      </c>
      <c r="AM16" s="383">
        <v>0.8</v>
      </c>
      <c r="AN16" s="383">
        <v>0.8</v>
      </c>
      <c r="AO16" s="383">
        <v>0.8</v>
      </c>
      <c r="AP16" s="383">
        <v>0.8</v>
      </c>
      <c r="AQ16" s="383">
        <v>0.8</v>
      </c>
      <c r="AR16" s="383">
        <v>0.8</v>
      </c>
      <c r="AS16" s="383">
        <v>0.8</v>
      </c>
      <c r="AT16" s="383">
        <v>0.8</v>
      </c>
      <c r="AU16" s="383">
        <v>0.8</v>
      </c>
      <c r="AV16" s="383">
        <v>0.8</v>
      </c>
      <c r="AW16" s="383">
        <v>0.8</v>
      </c>
      <c r="AX16" s="383">
        <v>0.8</v>
      </c>
      <c r="AY16" s="383">
        <v>0.8</v>
      </c>
      <c r="AZ16" s="383">
        <v>0.8</v>
      </c>
    </row>
    <row r="17" spans="1:52" s="110" customFormat="1" ht="16" x14ac:dyDescent="0.2">
      <c r="A17" s="184" t="s">
        <v>196</v>
      </c>
      <c r="B17" s="383">
        <v>0.8</v>
      </c>
      <c r="C17" s="383">
        <v>0.8</v>
      </c>
      <c r="D17" s="383">
        <v>0.8</v>
      </c>
      <c r="E17" s="383">
        <v>0.8</v>
      </c>
      <c r="F17" s="383">
        <v>0.8</v>
      </c>
      <c r="G17" s="383">
        <v>0.8</v>
      </c>
      <c r="H17" s="383">
        <v>0.8</v>
      </c>
      <c r="I17" s="383">
        <v>0.8</v>
      </c>
      <c r="J17" s="383">
        <v>0.8</v>
      </c>
      <c r="K17" s="383">
        <v>0.8</v>
      </c>
      <c r="L17" s="383">
        <v>0.8</v>
      </c>
      <c r="M17" s="383">
        <v>0.8</v>
      </c>
      <c r="N17" s="383">
        <v>0.8</v>
      </c>
      <c r="O17" s="383">
        <v>0.8</v>
      </c>
      <c r="P17" s="383">
        <v>0.8</v>
      </c>
      <c r="Q17" s="383">
        <v>0.8</v>
      </c>
      <c r="R17" s="383">
        <v>0.8</v>
      </c>
      <c r="S17" s="383">
        <v>0.8</v>
      </c>
      <c r="T17" s="383">
        <v>0.8</v>
      </c>
      <c r="U17" s="383">
        <v>0.8</v>
      </c>
      <c r="V17" s="383">
        <v>0.8</v>
      </c>
      <c r="W17" s="383">
        <v>0.8</v>
      </c>
      <c r="X17" s="383">
        <v>0.8</v>
      </c>
      <c r="Y17" s="383">
        <v>0.8</v>
      </c>
      <c r="Z17" s="383">
        <v>0.8</v>
      </c>
      <c r="AA17" s="383">
        <v>0.8</v>
      </c>
      <c r="AB17" s="383">
        <v>0.8</v>
      </c>
      <c r="AC17" s="383">
        <v>0.8</v>
      </c>
      <c r="AD17" s="383">
        <v>0.8</v>
      </c>
      <c r="AE17" s="383">
        <v>0.8</v>
      </c>
      <c r="AF17" s="383">
        <v>0.8</v>
      </c>
      <c r="AG17" s="383">
        <v>0.8</v>
      </c>
      <c r="AH17" s="383">
        <v>0.8</v>
      </c>
      <c r="AI17" s="383">
        <v>0.8</v>
      </c>
      <c r="AJ17" s="383">
        <v>0.8</v>
      </c>
      <c r="AK17" s="383">
        <v>0.8</v>
      </c>
      <c r="AL17" s="383">
        <v>0.8</v>
      </c>
      <c r="AM17" s="383">
        <v>0.8</v>
      </c>
      <c r="AN17" s="383">
        <v>0.8</v>
      </c>
      <c r="AO17" s="383">
        <v>0.8</v>
      </c>
      <c r="AP17" s="383">
        <v>0.8</v>
      </c>
      <c r="AQ17" s="383">
        <v>0.8</v>
      </c>
      <c r="AR17" s="383">
        <v>0.8</v>
      </c>
      <c r="AS17" s="383">
        <v>0.8</v>
      </c>
      <c r="AT17" s="383">
        <v>0.8</v>
      </c>
      <c r="AU17" s="383">
        <v>0.8</v>
      </c>
      <c r="AV17" s="383">
        <v>0.8</v>
      </c>
      <c r="AW17" s="383">
        <v>0.8</v>
      </c>
      <c r="AX17" s="383">
        <v>0.8</v>
      </c>
      <c r="AY17" s="383">
        <v>0.8</v>
      </c>
      <c r="AZ17" s="383">
        <v>0.8</v>
      </c>
    </row>
    <row r="18" spans="1:52" s="110" customFormat="1" ht="16" x14ac:dyDescent="0.2">
      <c r="A18" s="184" t="s">
        <v>197</v>
      </c>
      <c r="B18" s="383">
        <v>0.8</v>
      </c>
      <c r="C18" s="383">
        <v>0.8</v>
      </c>
      <c r="D18" s="383">
        <v>0.8</v>
      </c>
      <c r="E18" s="383">
        <v>0.8</v>
      </c>
      <c r="F18" s="383">
        <v>0.8</v>
      </c>
      <c r="G18" s="383">
        <v>0.8</v>
      </c>
      <c r="H18" s="383">
        <v>0.8</v>
      </c>
      <c r="I18" s="383">
        <v>0.8</v>
      </c>
      <c r="J18" s="383">
        <v>0.8</v>
      </c>
      <c r="K18" s="383">
        <v>0.8</v>
      </c>
      <c r="L18" s="383">
        <v>0.8</v>
      </c>
      <c r="M18" s="383">
        <v>0.8</v>
      </c>
      <c r="N18" s="383">
        <v>0.8</v>
      </c>
      <c r="O18" s="383">
        <v>0.8</v>
      </c>
      <c r="P18" s="383">
        <v>0.8</v>
      </c>
      <c r="Q18" s="383">
        <v>0.8</v>
      </c>
      <c r="R18" s="383">
        <v>0.8</v>
      </c>
      <c r="S18" s="383">
        <v>0.8</v>
      </c>
      <c r="T18" s="383">
        <v>0.8</v>
      </c>
      <c r="U18" s="383">
        <v>0.8</v>
      </c>
      <c r="V18" s="383">
        <v>0.8</v>
      </c>
      <c r="W18" s="383">
        <v>0.8</v>
      </c>
      <c r="X18" s="383">
        <v>0.8</v>
      </c>
      <c r="Y18" s="383">
        <v>0.8</v>
      </c>
      <c r="Z18" s="383">
        <v>0.8</v>
      </c>
      <c r="AA18" s="383">
        <v>0.8</v>
      </c>
      <c r="AB18" s="383">
        <v>0.8</v>
      </c>
      <c r="AC18" s="383">
        <v>0.8</v>
      </c>
      <c r="AD18" s="383">
        <v>0.8</v>
      </c>
      <c r="AE18" s="383">
        <v>0.8</v>
      </c>
      <c r="AF18" s="383">
        <v>0.8</v>
      </c>
      <c r="AG18" s="383">
        <v>0.8</v>
      </c>
      <c r="AH18" s="383">
        <v>0.8</v>
      </c>
      <c r="AI18" s="383">
        <v>0.8</v>
      </c>
      <c r="AJ18" s="383">
        <v>0.8</v>
      </c>
      <c r="AK18" s="383">
        <v>0.8</v>
      </c>
      <c r="AL18" s="383">
        <v>0.8</v>
      </c>
      <c r="AM18" s="383">
        <v>0.8</v>
      </c>
      <c r="AN18" s="383">
        <v>0.8</v>
      </c>
      <c r="AO18" s="383">
        <v>0.8</v>
      </c>
      <c r="AP18" s="383">
        <v>0.8</v>
      </c>
      <c r="AQ18" s="383">
        <v>0.8</v>
      </c>
      <c r="AR18" s="383">
        <v>0.8</v>
      </c>
      <c r="AS18" s="383">
        <v>0.8</v>
      </c>
      <c r="AT18" s="383">
        <v>0.8</v>
      </c>
      <c r="AU18" s="383">
        <v>0.8</v>
      </c>
      <c r="AV18" s="383">
        <v>0.8</v>
      </c>
      <c r="AW18" s="383">
        <v>0.8</v>
      </c>
      <c r="AX18" s="383">
        <v>0.8</v>
      </c>
      <c r="AY18" s="383">
        <v>0.8</v>
      </c>
      <c r="AZ18" s="383">
        <v>0.8</v>
      </c>
    </row>
    <row r="19" spans="1:52" s="110" customFormat="1" ht="16" x14ac:dyDescent="0.2">
      <c r="A19" s="184" t="s">
        <v>198</v>
      </c>
      <c r="B19" s="383">
        <v>0.8</v>
      </c>
      <c r="C19" s="383">
        <v>0.8</v>
      </c>
      <c r="D19" s="383">
        <v>0.8</v>
      </c>
      <c r="E19" s="383">
        <v>0.8</v>
      </c>
      <c r="F19" s="383">
        <v>0.8</v>
      </c>
      <c r="G19" s="383">
        <v>0.8</v>
      </c>
      <c r="H19" s="383">
        <v>0.8</v>
      </c>
      <c r="I19" s="383">
        <v>0.8</v>
      </c>
      <c r="J19" s="383">
        <v>0.8</v>
      </c>
      <c r="K19" s="383">
        <v>0.8</v>
      </c>
      <c r="L19" s="383">
        <v>0.8</v>
      </c>
      <c r="M19" s="383">
        <v>0.8</v>
      </c>
      <c r="N19" s="383">
        <v>0.8</v>
      </c>
      <c r="O19" s="383">
        <v>0.8</v>
      </c>
      <c r="P19" s="383">
        <v>0.8</v>
      </c>
      <c r="Q19" s="383">
        <v>0.8</v>
      </c>
      <c r="R19" s="383">
        <v>0.8</v>
      </c>
      <c r="S19" s="383">
        <v>0.8</v>
      </c>
      <c r="T19" s="383">
        <v>0.8</v>
      </c>
      <c r="U19" s="383">
        <v>0.8</v>
      </c>
      <c r="V19" s="383">
        <v>0.8</v>
      </c>
      <c r="W19" s="383">
        <v>0.8</v>
      </c>
      <c r="X19" s="383">
        <v>0.8</v>
      </c>
      <c r="Y19" s="383">
        <v>0.8</v>
      </c>
      <c r="Z19" s="383">
        <v>0.8</v>
      </c>
      <c r="AA19" s="383">
        <v>0.8</v>
      </c>
      <c r="AB19" s="383">
        <v>0.8</v>
      </c>
      <c r="AC19" s="383">
        <v>0.8</v>
      </c>
      <c r="AD19" s="383">
        <v>0.8</v>
      </c>
      <c r="AE19" s="383">
        <v>0.8</v>
      </c>
      <c r="AF19" s="383">
        <v>0.8</v>
      </c>
      <c r="AG19" s="383">
        <v>0.8</v>
      </c>
      <c r="AH19" s="383">
        <v>0.8</v>
      </c>
      <c r="AI19" s="383">
        <v>0.8</v>
      </c>
      <c r="AJ19" s="383">
        <v>0.8</v>
      </c>
      <c r="AK19" s="383">
        <v>0.8</v>
      </c>
      <c r="AL19" s="383">
        <v>0.8</v>
      </c>
      <c r="AM19" s="383">
        <v>0.8</v>
      </c>
      <c r="AN19" s="383">
        <v>0.8</v>
      </c>
      <c r="AO19" s="383">
        <v>0.8</v>
      </c>
      <c r="AP19" s="383">
        <v>0.8</v>
      </c>
      <c r="AQ19" s="383">
        <v>0.8</v>
      </c>
      <c r="AR19" s="383">
        <v>0.8</v>
      </c>
      <c r="AS19" s="383">
        <v>0.8</v>
      </c>
      <c r="AT19" s="383">
        <v>0.8</v>
      </c>
      <c r="AU19" s="383">
        <v>0.8</v>
      </c>
      <c r="AV19" s="383">
        <v>0.8</v>
      </c>
      <c r="AW19" s="383">
        <v>0.8</v>
      </c>
      <c r="AX19" s="383">
        <v>0.8</v>
      </c>
      <c r="AY19" s="383">
        <v>0.8</v>
      </c>
      <c r="AZ19" s="383">
        <v>0.8</v>
      </c>
    </row>
    <row r="20" spans="1:52" s="110" customFormat="1" ht="16" x14ac:dyDescent="0.2">
      <c r="A20" s="184" t="s">
        <v>199</v>
      </c>
      <c r="B20" s="383">
        <v>0.8</v>
      </c>
      <c r="C20" s="383">
        <v>0.8</v>
      </c>
      <c r="D20" s="383">
        <v>0.8</v>
      </c>
      <c r="E20" s="383">
        <v>0.8</v>
      </c>
      <c r="F20" s="383">
        <v>0.8</v>
      </c>
      <c r="G20" s="383">
        <v>0.8</v>
      </c>
      <c r="H20" s="383">
        <v>0.8</v>
      </c>
      <c r="I20" s="383">
        <v>0.8</v>
      </c>
      <c r="J20" s="383">
        <v>0.8</v>
      </c>
      <c r="K20" s="383">
        <v>0.8</v>
      </c>
      <c r="L20" s="383">
        <v>0.8</v>
      </c>
      <c r="M20" s="383">
        <v>0.8</v>
      </c>
      <c r="N20" s="383">
        <v>0.8</v>
      </c>
      <c r="O20" s="383">
        <v>0.8</v>
      </c>
      <c r="P20" s="383">
        <v>0.8</v>
      </c>
      <c r="Q20" s="383">
        <v>0.8</v>
      </c>
      <c r="R20" s="383">
        <v>0.8</v>
      </c>
      <c r="S20" s="383">
        <v>0.8</v>
      </c>
      <c r="T20" s="383">
        <v>0.8</v>
      </c>
      <c r="U20" s="383">
        <v>0.8</v>
      </c>
      <c r="V20" s="383">
        <v>0.8</v>
      </c>
      <c r="W20" s="383">
        <v>0.8</v>
      </c>
      <c r="X20" s="383">
        <v>0.8</v>
      </c>
      <c r="Y20" s="383">
        <v>0.8</v>
      </c>
      <c r="Z20" s="383">
        <v>0.8</v>
      </c>
      <c r="AA20" s="383">
        <v>0.8</v>
      </c>
      <c r="AB20" s="383">
        <v>0.8</v>
      </c>
      <c r="AC20" s="383">
        <v>0.8</v>
      </c>
      <c r="AD20" s="383">
        <v>0.8</v>
      </c>
      <c r="AE20" s="383">
        <v>0.8</v>
      </c>
      <c r="AF20" s="383">
        <v>0.8</v>
      </c>
      <c r="AG20" s="383">
        <v>0.8</v>
      </c>
      <c r="AH20" s="383">
        <v>0.8</v>
      </c>
      <c r="AI20" s="383">
        <v>0.8</v>
      </c>
      <c r="AJ20" s="383">
        <v>0.8</v>
      </c>
      <c r="AK20" s="383">
        <v>0.8</v>
      </c>
      <c r="AL20" s="383">
        <v>0.8</v>
      </c>
      <c r="AM20" s="383">
        <v>0.8</v>
      </c>
      <c r="AN20" s="383">
        <v>0.8</v>
      </c>
      <c r="AO20" s="383">
        <v>0.8</v>
      </c>
      <c r="AP20" s="383">
        <v>0.8</v>
      </c>
      <c r="AQ20" s="383">
        <v>0.8</v>
      </c>
      <c r="AR20" s="383">
        <v>0.8</v>
      </c>
      <c r="AS20" s="383">
        <v>0.8</v>
      </c>
      <c r="AT20" s="383">
        <v>0.8</v>
      </c>
      <c r="AU20" s="383">
        <v>0.8</v>
      </c>
      <c r="AV20" s="383">
        <v>0.8</v>
      </c>
      <c r="AW20" s="383">
        <v>0.8</v>
      </c>
      <c r="AX20" s="383">
        <v>0.8</v>
      </c>
      <c r="AY20" s="383">
        <v>0.8</v>
      </c>
      <c r="AZ20" s="383">
        <v>0.8</v>
      </c>
    </row>
    <row r="21" spans="1:52" s="110" customFormat="1" ht="16" x14ac:dyDescent="0.2">
      <c r="A21" s="184" t="s">
        <v>200</v>
      </c>
      <c r="B21" s="383">
        <v>0.8</v>
      </c>
      <c r="C21" s="383">
        <v>0.8</v>
      </c>
      <c r="D21" s="383">
        <v>0.8</v>
      </c>
      <c r="E21" s="383">
        <v>0.8</v>
      </c>
      <c r="F21" s="383">
        <v>0.8</v>
      </c>
      <c r="G21" s="383">
        <v>0.8</v>
      </c>
      <c r="H21" s="383">
        <v>0.8</v>
      </c>
      <c r="I21" s="383">
        <v>0.8</v>
      </c>
      <c r="J21" s="383">
        <v>0.8</v>
      </c>
      <c r="K21" s="383">
        <v>0.8</v>
      </c>
      <c r="L21" s="383">
        <v>0.8</v>
      </c>
      <c r="M21" s="383">
        <v>0.8</v>
      </c>
      <c r="N21" s="383">
        <v>0.8</v>
      </c>
      <c r="O21" s="383">
        <v>0.8</v>
      </c>
      <c r="P21" s="383">
        <v>0.8</v>
      </c>
      <c r="Q21" s="383">
        <v>0.8</v>
      </c>
      <c r="R21" s="383">
        <v>0.8</v>
      </c>
      <c r="S21" s="383">
        <v>0.8</v>
      </c>
      <c r="T21" s="383">
        <v>0.8</v>
      </c>
      <c r="U21" s="383">
        <v>0.8</v>
      </c>
      <c r="V21" s="383">
        <v>0.8</v>
      </c>
      <c r="W21" s="383">
        <v>0.8</v>
      </c>
      <c r="X21" s="383">
        <v>0.8</v>
      </c>
      <c r="Y21" s="383">
        <v>0.8</v>
      </c>
      <c r="Z21" s="383">
        <v>0.8</v>
      </c>
      <c r="AA21" s="383">
        <v>0.8</v>
      </c>
      <c r="AB21" s="383">
        <v>0.8</v>
      </c>
      <c r="AC21" s="383">
        <v>0.8</v>
      </c>
      <c r="AD21" s="383">
        <v>0.8</v>
      </c>
      <c r="AE21" s="383">
        <v>0.8</v>
      </c>
      <c r="AF21" s="383">
        <v>0.8</v>
      </c>
      <c r="AG21" s="383">
        <v>0.8</v>
      </c>
      <c r="AH21" s="383">
        <v>0.8</v>
      </c>
      <c r="AI21" s="383">
        <v>0.8</v>
      </c>
      <c r="AJ21" s="383">
        <v>0.8</v>
      </c>
      <c r="AK21" s="383">
        <v>0.8</v>
      </c>
      <c r="AL21" s="383">
        <v>0.8</v>
      </c>
      <c r="AM21" s="383">
        <v>0.8</v>
      </c>
      <c r="AN21" s="383">
        <v>0.8</v>
      </c>
      <c r="AO21" s="383">
        <v>0.8</v>
      </c>
      <c r="AP21" s="383">
        <v>0.8</v>
      </c>
      <c r="AQ21" s="383">
        <v>0.8</v>
      </c>
      <c r="AR21" s="383">
        <v>0.8</v>
      </c>
      <c r="AS21" s="383">
        <v>0.8</v>
      </c>
      <c r="AT21" s="383">
        <v>0.8</v>
      </c>
      <c r="AU21" s="383">
        <v>0.8</v>
      </c>
      <c r="AV21" s="383">
        <v>0.8</v>
      </c>
      <c r="AW21" s="383">
        <v>0.8</v>
      </c>
      <c r="AX21" s="383">
        <v>0.8</v>
      </c>
      <c r="AY21" s="383">
        <v>0.8</v>
      </c>
      <c r="AZ21" s="383">
        <v>0.8</v>
      </c>
    </row>
    <row r="22" spans="1:52" s="110" customFormat="1" ht="16" x14ac:dyDescent="0.2">
      <c r="A22" s="184" t="s">
        <v>201</v>
      </c>
      <c r="B22" s="383">
        <v>0.8</v>
      </c>
      <c r="C22" s="383">
        <v>0.8</v>
      </c>
      <c r="D22" s="383">
        <v>0.8</v>
      </c>
      <c r="E22" s="383">
        <v>0.8</v>
      </c>
      <c r="F22" s="383">
        <v>0.8</v>
      </c>
      <c r="G22" s="383">
        <v>0.8</v>
      </c>
      <c r="H22" s="383">
        <v>0.8</v>
      </c>
      <c r="I22" s="383">
        <v>0.8</v>
      </c>
      <c r="J22" s="383">
        <v>0.8</v>
      </c>
      <c r="K22" s="383">
        <v>0.8</v>
      </c>
      <c r="L22" s="383">
        <v>0.8</v>
      </c>
      <c r="M22" s="383">
        <v>0.8</v>
      </c>
      <c r="N22" s="383">
        <v>0.8</v>
      </c>
      <c r="O22" s="383">
        <v>0.8</v>
      </c>
      <c r="P22" s="383">
        <v>0.8</v>
      </c>
      <c r="Q22" s="383">
        <v>0.8</v>
      </c>
      <c r="R22" s="383">
        <v>0.8</v>
      </c>
      <c r="S22" s="383">
        <v>0.8</v>
      </c>
      <c r="T22" s="383">
        <v>0.8</v>
      </c>
      <c r="U22" s="383">
        <v>0.8</v>
      </c>
      <c r="V22" s="383">
        <v>0.8</v>
      </c>
      <c r="W22" s="383">
        <v>0.8</v>
      </c>
      <c r="X22" s="383">
        <v>0.8</v>
      </c>
      <c r="Y22" s="383">
        <v>0.8</v>
      </c>
      <c r="Z22" s="383">
        <v>0.8</v>
      </c>
      <c r="AA22" s="383">
        <v>0.8</v>
      </c>
      <c r="AB22" s="383">
        <v>0.8</v>
      </c>
      <c r="AC22" s="383">
        <v>0.8</v>
      </c>
      <c r="AD22" s="383">
        <v>0.8</v>
      </c>
      <c r="AE22" s="383">
        <v>0.8</v>
      </c>
      <c r="AF22" s="383">
        <v>0.8</v>
      </c>
      <c r="AG22" s="383">
        <v>0.8</v>
      </c>
      <c r="AH22" s="383">
        <v>0.8</v>
      </c>
      <c r="AI22" s="383">
        <v>0.8</v>
      </c>
      <c r="AJ22" s="383">
        <v>0.8</v>
      </c>
      <c r="AK22" s="383">
        <v>0.8</v>
      </c>
      <c r="AL22" s="383">
        <v>0.8</v>
      </c>
      <c r="AM22" s="383">
        <v>0.8</v>
      </c>
      <c r="AN22" s="383">
        <v>0.8</v>
      </c>
      <c r="AO22" s="383">
        <v>0.8</v>
      </c>
      <c r="AP22" s="383">
        <v>0.8</v>
      </c>
      <c r="AQ22" s="383">
        <v>0.8</v>
      </c>
      <c r="AR22" s="383">
        <v>0.8</v>
      </c>
      <c r="AS22" s="383">
        <v>0.8</v>
      </c>
      <c r="AT22" s="383">
        <v>0.8</v>
      </c>
      <c r="AU22" s="383">
        <v>0.8</v>
      </c>
      <c r="AV22" s="383">
        <v>0.8</v>
      </c>
      <c r="AW22" s="383">
        <v>0.8</v>
      </c>
      <c r="AX22" s="383">
        <v>0.8</v>
      </c>
      <c r="AY22" s="383">
        <v>0.8</v>
      </c>
      <c r="AZ22" s="383">
        <v>0.8</v>
      </c>
    </row>
    <row r="23" spans="1:52" s="110" customFormat="1" ht="16" x14ac:dyDescent="0.2">
      <c r="A23" s="184" t="s">
        <v>202</v>
      </c>
      <c r="B23" s="383">
        <v>0.8</v>
      </c>
      <c r="C23" s="383">
        <v>0.8</v>
      </c>
      <c r="D23" s="383">
        <v>0.8</v>
      </c>
      <c r="E23" s="383">
        <v>0.8</v>
      </c>
      <c r="F23" s="383">
        <v>0.8</v>
      </c>
      <c r="G23" s="383">
        <v>0.8</v>
      </c>
      <c r="H23" s="383">
        <v>0.8</v>
      </c>
      <c r="I23" s="383">
        <v>0.8</v>
      </c>
      <c r="J23" s="383">
        <v>0.8</v>
      </c>
      <c r="K23" s="383">
        <v>0.8</v>
      </c>
      <c r="L23" s="383">
        <v>0.8</v>
      </c>
      <c r="M23" s="383">
        <v>0.8</v>
      </c>
      <c r="N23" s="383">
        <v>0.8</v>
      </c>
      <c r="O23" s="383">
        <v>0.8</v>
      </c>
      <c r="P23" s="383">
        <v>0.8</v>
      </c>
      <c r="Q23" s="383">
        <v>0.8</v>
      </c>
      <c r="R23" s="383">
        <v>0.8</v>
      </c>
      <c r="S23" s="383">
        <v>0.8</v>
      </c>
      <c r="T23" s="383">
        <v>0.8</v>
      </c>
      <c r="U23" s="383">
        <v>0.8</v>
      </c>
      <c r="V23" s="383">
        <v>0.8</v>
      </c>
      <c r="W23" s="383">
        <v>0.8</v>
      </c>
      <c r="X23" s="383">
        <v>0.8</v>
      </c>
      <c r="Y23" s="383">
        <v>0.8</v>
      </c>
      <c r="Z23" s="383">
        <v>0.8</v>
      </c>
      <c r="AA23" s="383">
        <v>0.8</v>
      </c>
      <c r="AB23" s="383">
        <v>0.8</v>
      </c>
      <c r="AC23" s="383">
        <v>0.8</v>
      </c>
      <c r="AD23" s="383">
        <v>0.8</v>
      </c>
      <c r="AE23" s="383">
        <v>0.8</v>
      </c>
      <c r="AF23" s="383">
        <v>0.8</v>
      </c>
      <c r="AG23" s="383">
        <v>0.8</v>
      </c>
      <c r="AH23" s="383">
        <v>0.8</v>
      </c>
      <c r="AI23" s="383">
        <v>0.8</v>
      </c>
      <c r="AJ23" s="383">
        <v>0.8</v>
      </c>
      <c r="AK23" s="383">
        <v>0.8</v>
      </c>
      <c r="AL23" s="383">
        <v>0.8</v>
      </c>
      <c r="AM23" s="383">
        <v>0.8</v>
      </c>
      <c r="AN23" s="383">
        <v>0.8</v>
      </c>
      <c r="AO23" s="383">
        <v>0.8</v>
      </c>
      <c r="AP23" s="383">
        <v>0.8</v>
      </c>
      <c r="AQ23" s="383">
        <v>0.8</v>
      </c>
      <c r="AR23" s="383">
        <v>0.8</v>
      </c>
      <c r="AS23" s="383">
        <v>0.8</v>
      </c>
      <c r="AT23" s="383">
        <v>0.8</v>
      </c>
      <c r="AU23" s="383">
        <v>0.8</v>
      </c>
      <c r="AV23" s="383">
        <v>0.8</v>
      </c>
      <c r="AW23" s="383">
        <v>0.8</v>
      </c>
      <c r="AX23" s="383">
        <v>0.8</v>
      </c>
      <c r="AY23" s="383">
        <v>0.8</v>
      </c>
      <c r="AZ23" s="383">
        <v>0.8</v>
      </c>
    </row>
    <row r="24" spans="1:52" s="110" customFormat="1" ht="16" x14ac:dyDescent="0.2">
      <c r="A24" s="184" t="s">
        <v>203</v>
      </c>
      <c r="B24" s="383">
        <v>0.8</v>
      </c>
      <c r="C24" s="383">
        <v>0.8</v>
      </c>
      <c r="D24" s="383">
        <v>0.8</v>
      </c>
      <c r="E24" s="383">
        <v>0.8</v>
      </c>
      <c r="F24" s="383">
        <v>0.8</v>
      </c>
      <c r="G24" s="383">
        <v>0.8</v>
      </c>
      <c r="H24" s="383">
        <v>0.8</v>
      </c>
      <c r="I24" s="383">
        <v>0.8</v>
      </c>
      <c r="J24" s="383">
        <v>0.8</v>
      </c>
      <c r="K24" s="383">
        <v>0.8</v>
      </c>
      <c r="L24" s="383">
        <v>0.8</v>
      </c>
      <c r="M24" s="383">
        <v>0.8</v>
      </c>
      <c r="N24" s="383">
        <v>0.8</v>
      </c>
      <c r="O24" s="383">
        <v>0.8</v>
      </c>
      <c r="P24" s="383">
        <v>0.8</v>
      </c>
      <c r="Q24" s="383">
        <v>0.8</v>
      </c>
      <c r="R24" s="383">
        <v>0.8</v>
      </c>
      <c r="S24" s="383">
        <v>0.8</v>
      </c>
      <c r="T24" s="383">
        <v>0.8</v>
      </c>
      <c r="U24" s="383">
        <v>0.8</v>
      </c>
      <c r="V24" s="383">
        <v>0.8</v>
      </c>
      <c r="W24" s="383">
        <v>0.8</v>
      </c>
      <c r="X24" s="383">
        <v>0.8</v>
      </c>
      <c r="Y24" s="383">
        <v>0.8</v>
      </c>
      <c r="Z24" s="383">
        <v>0.8</v>
      </c>
      <c r="AA24" s="383">
        <v>0.8</v>
      </c>
      <c r="AB24" s="383">
        <v>0.8</v>
      </c>
      <c r="AC24" s="383">
        <v>0.8</v>
      </c>
      <c r="AD24" s="383">
        <v>0.8</v>
      </c>
      <c r="AE24" s="383">
        <v>0.8</v>
      </c>
      <c r="AF24" s="383">
        <v>0.8</v>
      </c>
      <c r="AG24" s="383">
        <v>0.8</v>
      </c>
      <c r="AH24" s="383">
        <v>0.8</v>
      </c>
      <c r="AI24" s="383">
        <v>0.8</v>
      </c>
      <c r="AJ24" s="383">
        <v>0.8</v>
      </c>
      <c r="AK24" s="383">
        <v>0.8</v>
      </c>
      <c r="AL24" s="383">
        <v>0.8</v>
      </c>
      <c r="AM24" s="383">
        <v>0.8</v>
      </c>
      <c r="AN24" s="383">
        <v>0.8</v>
      </c>
      <c r="AO24" s="383">
        <v>0.8</v>
      </c>
      <c r="AP24" s="383">
        <v>0.8</v>
      </c>
      <c r="AQ24" s="383">
        <v>0.8</v>
      </c>
      <c r="AR24" s="383">
        <v>0.8</v>
      </c>
      <c r="AS24" s="383">
        <v>0.8</v>
      </c>
      <c r="AT24" s="383">
        <v>0.8</v>
      </c>
      <c r="AU24" s="383">
        <v>0.8</v>
      </c>
      <c r="AV24" s="383">
        <v>0.8</v>
      </c>
      <c r="AW24" s="383">
        <v>0.8</v>
      </c>
      <c r="AX24" s="383">
        <v>0.8</v>
      </c>
      <c r="AY24" s="383">
        <v>0.8</v>
      </c>
      <c r="AZ24" s="383">
        <v>0.8</v>
      </c>
    </row>
    <row r="25" spans="1:52" s="110" customFormat="1" ht="16" x14ac:dyDescent="0.2">
      <c r="A25" s="184" t="s">
        <v>204</v>
      </c>
      <c r="B25" s="383">
        <v>0.8</v>
      </c>
      <c r="C25" s="383">
        <v>0.8</v>
      </c>
      <c r="D25" s="383">
        <v>0.8</v>
      </c>
      <c r="E25" s="383">
        <v>0.8</v>
      </c>
      <c r="F25" s="383">
        <v>0.8</v>
      </c>
      <c r="G25" s="383">
        <v>0.8</v>
      </c>
      <c r="H25" s="383">
        <v>0.8</v>
      </c>
      <c r="I25" s="383">
        <v>0.8</v>
      </c>
      <c r="J25" s="383">
        <v>0.8</v>
      </c>
      <c r="K25" s="383">
        <v>0.8</v>
      </c>
      <c r="L25" s="383">
        <v>0.8</v>
      </c>
      <c r="M25" s="383">
        <v>0.8</v>
      </c>
      <c r="N25" s="383">
        <v>0.8</v>
      </c>
      <c r="O25" s="383">
        <v>0.8</v>
      </c>
      <c r="P25" s="383">
        <v>0.8</v>
      </c>
      <c r="Q25" s="383">
        <v>0.8</v>
      </c>
      <c r="R25" s="383">
        <v>0.8</v>
      </c>
      <c r="S25" s="383">
        <v>0.8</v>
      </c>
      <c r="T25" s="383">
        <v>0.8</v>
      </c>
      <c r="U25" s="383">
        <v>0.8</v>
      </c>
      <c r="V25" s="383">
        <v>0.8</v>
      </c>
      <c r="W25" s="383">
        <v>0.8</v>
      </c>
      <c r="X25" s="383">
        <v>0.8</v>
      </c>
      <c r="Y25" s="383">
        <v>0.8</v>
      </c>
      <c r="Z25" s="383">
        <v>0.8</v>
      </c>
      <c r="AA25" s="383">
        <v>0.8</v>
      </c>
      <c r="AB25" s="383">
        <v>0.8</v>
      </c>
      <c r="AC25" s="383">
        <v>0.8</v>
      </c>
      <c r="AD25" s="383">
        <v>0.8</v>
      </c>
      <c r="AE25" s="383">
        <v>0.8</v>
      </c>
      <c r="AF25" s="383">
        <v>0.8</v>
      </c>
      <c r="AG25" s="383">
        <v>0.8</v>
      </c>
      <c r="AH25" s="383">
        <v>0.8</v>
      </c>
      <c r="AI25" s="383">
        <v>0.8</v>
      </c>
      <c r="AJ25" s="383">
        <v>0.8</v>
      </c>
      <c r="AK25" s="383">
        <v>0.8</v>
      </c>
      <c r="AL25" s="383">
        <v>0.8</v>
      </c>
      <c r="AM25" s="383">
        <v>0.8</v>
      </c>
      <c r="AN25" s="383">
        <v>0.8</v>
      </c>
      <c r="AO25" s="383">
        <v>0.8</v>
      </c>
      <c r="AP25" s="383">
        <v>0.8</v>
      </c>
      <c r="AQ25" s="383">
        <v>0.8</v>
      </c>
      <c r="AR25" s="383">
        <v>0.8</v>
      </c>
      <c r="AS25" s="383">
        <v>0.8</v>
      </c>
      <c r="AT25" s="383">
        <v>0.8</v>
      </c>
      <c r="AU25" s="383">
        <v>0.8</v>
      </c>
      <c r="AV25" s="383">
        <v>0.8</v>
      </c>
      <c r="AW25" s="383">
        <v>0.8</v>
      </c>
      <c r="AX25" s="383">
        <v>0.8</v>
      </c>
      <c r="AY25" s="383">
        <v>0.8</v>
      </c>
      <c r="AZ25" s="383">
        <v>0.8</v>
      </c>
    </row>
    <row r="26" spans="1:52" s="110" customFormat="1" ht="16" x14ac:dyDescent="0.2">
      <c r="A26" s="184" t="s">
        <v>205</v>
      </c>
      <c r="B26" s="383">
        <v>0.8</v>
      </c>
      <c r="C26" s="383">
        <v>0.8</v>
      </c>
      <c r="D26" s="383">
        <v>0.8</v>
      </c>
      <c r="E26" s="383">
        <v>0.8</v>
      </c>
      <c r="F26" s="383">
        <v>0.8</v>
      </c>
      <c r="G26" s="383">
        <v>0.8</v>
      </c>
      <c r="H26" s="383">
        <v>0.8</v>
      </c>
      <c r="I26" s="383">
        <v>0.8</v>
      </c>
      <c r="J26" s="383">
        <v>0.8</v>
      </c>
      <c r="K26" s="383">
        <v>0.8</v>
      </c>
      <c r="L26" s="383">
        <v>0.8</v>
      </c>
      <c r="M26" s="383">
        <v>0.8</v>
      </c>
      <c r="N26" s="383">
        <v>0.8</v>
      </c>
      <c r="O26" s="383">
        <v>0.8</v>
      </c>
      <c r="P26" s="383">
        <v>0.8</v>
      </c>
      <c r="Q26" s="383">
        <v>0.8</v>
      </c>
      <c r="R26" s="383">
        <v>0.8</v>
      </c>
      <c r="S26" s="383">
        <v>0.8</v>
      </c>
      <c r="T26" s="383">
        <v>0.8</v>
      </c>
      <c r="U26" s="383">
        <v>0.8</v>
      </c>
      <c r="V26" s="383">
        <v>0.8</v>
      </c>
      <c r="W26" s="383">
        <v>0.8</v>
      </c>
      <c r="X26" s="383">
        <v>0.8</v>
      </c>
      <c r="Y26" s="383">
        <v>0.8</v>
      </c>
      <c r="Z26" s="383">
        <v>0.8</v>
      </c>
      <c r="AA26" s="383">
        <v>0.8</v>
      </c>
      <c r="AB26" s="383">
        <v>0.8</v>
      </c>
      <c r="AC26" s="383">
        <v>0.8</v>
      </c>
      <c r="AD26" s="383">
        <v>0.8</v>
      </c>
      <c r="AE26" s="383">
        <v>0.8</v>
      </c>
      <c r="AF26" s="383">
        <v>0.8</v>
      </c>
      <c r="AG26" s="383">
        <v>0.8</v>
      </c>
      <c r="AH26" s="383">
        <v>0.8</v>
      </c>
      <c r="AI26" s="383">
        <v>0.8</v>
      </c>
      <c r="AJ26" s="383">
        <v>0.8</v>
      </c>
      <c r="AK26" s="383">
        <v>0.8</v>
      </c>
      <c r="AL26" s="383">
        <v>0.8</v>
      </c>
      <c r="AM26" s="383">
        <v>0.8</v>
      </c>
      <c r="AN26" s="383">
        <v>0.8</v>
      </c>
      <c r="AO26" s="383">
        <v>0.8</v>
      </c>
      <c r="AP26" s="383">
        <v>0.8</v>
      </c>
      <c r="AQ26" s="383">
        <v>0.8</v>
      </c>
      <c r="AR26" s="383">
        <v>0.8</v>
      </c>
      <c r="AS26" s="383">
        <v>0.8</v>
      </c>
      <c r="AT26" s="383">
        <v>0.8</v>
      </c>
      <c r="AU26" s="383">
        <v>0.8</v>
      </c>
      <c r="AV26" s="383">
        <v>0.8</v>
      </c>
      <c r="AW26" s="383">
        <v>0.8</v>
      </c>
      <c r="AX26" s="383">
        <v>0.8</v>
      </c>
      <c r="AY26" s="383">
        <v>0.8</v>
      </c>
      <c r="AZ26" s="383">
        <v>0.8</v>
      </c>
    </row>
    <row r="27" spans="1:52" s="110" customFormat="1" ht="16" x14ac:dyDescent="0.2">
      <c r="A27" s="184" t="s">
        <v>206</v>
      </c>
      <c r="B27" s="383">
        <v>0.8</v>
      </c>
      <c r="C27" s="383">
        <v>0.8</v>
      </c>
      <c r="D27" s="383">
        <v>0.8</v>
      </c>
      <c r="E27" s="383">
        <v>0.8</v>
      </c>
      <c r="F27" s="383">
        <v>0.8</v>
      </c>
      <c r="G27" s="383">
        <v>0.8</v>
      </c>
      <c r="H27" s="383">
        <v>0.8</v>
      </c>
      <c r="I27" s="383">
        <v>0.8</v>
      </c>
      <c r="J27" s="383">
        <v>0.8</v>
      </c>
      <c r="K27" s="383">
        <v>0.8</v>
      </c>
      <c r="L27" s="383">
        <v>0.8</v>
      </c>
      <c r="M27" s="383">
        <v>0.8</v>
      </c>
      <c r="N27" s="383">
        <v>0.8</v>
      </c>
      <c r="O27" s="383">
        <v>0.8</v>
      </c>
      <c r="P27" s="383">
        <v>0.8</v>
      </c>
      <c r="Q27" s="383">
        <v>0.8</v>
      </c>
      <c r="R27" s="383">
        <v>0.8</v>
      </c>
      <c r="S27" s="383">
        <v>0.8</v>
      </c>
      <c r="T27" s="383">
        <v>0.8</v>
      </c>
      <c r="U27" s="383">
        <v>0.8</v>
      </c>
      <c r="V27" s="383">
        <v>0.8</v>
      </c>
      <c r="W27" s="383">
        <v>0.8</v>
      </c>
      <c r="X27" s="383">
        <v>0.8</v>
      </c>
      <c r="Y27" s="383">
        <v>0.8</v>
      </c>
      <c r="Z27" s="383">
        <v>0.8</v>
      </c>
      <c r="AA27" s="383">
        <v>0.8</v>
      </c>
      <c r="AB27" s="383">
        <v>0.8</v>
      </c>
      <c r="AC27" s="383">
        <v>0.8</v>
      </c>
      <c r="AD27" s="383">
        <v>0.8</v>
      </c>
      <c r="AE27" s="383">
        <v>0.8</v>
      </c>
      <c r="AF27" s="383">
        <v>0.8</v>
      </c>
      <c r="AG27" s="383">
        <v>0.8</v>
      </c>
      <c r="AH27" s="383">
        <v>0.8</v>
      </c>
      <c r="AI27" s="383">
        <v>0.8</v>
      </c>
      <c r="AJ27" s="383">
        <v>0.8</v>
      </c>
      <c r="AK27" s="383">
        <v>0.8</v>
      </c>
      <c r="AL27" s="383">
        <v>0.8</v>
      </c>
      <c r="AM27" s="383">
        <v>0.8</v>
      </c>
      <c r="AN27" s="383">
        <v>0.8</v>
      </c>
      <c r="AO27" s="383">
        <v>0.8</v>
      </c>
      <c r="AP27" s="383">
        <v>0.8</v>
      </c>
      <c r="AQ27" s="383">
        <v>0.8</v>
      </c>
      <c r="AR27" s="383">
        <v>0.8</v>
      </c>
      <c r="AS27" s="383">
        <v>0.8</v>
      </c>
      <c r="AT27" s="383">
        <v>0.8</v>
      </c>
      <c r="AU27" s="383">
        <v>0.8</v>
      </c>
      <c r="AV27" s="383">
        <v>0.8</v>
      </c>
      <c r="AW27" s="383">
        <v>0.8</v>
      </c>
      <c r="AX27" s="383">
        <v>0.8</v>
      </c>
      <c r="AY27" s="383">
        <v>0.8</v>
      </c>
      <c r="AZ27" s="383">
        <v>0.8</v>
      </c>
    </row>
    <row r="28" spans="1:52" s="110" customFormat="1" ht="16" x14ac:dyDescent="0.2">
      <c r="A28" s="184" t="s">
        <v>207</v>
      </c>
      <c r="B28" s="383">
        <v>0.8</v>
      </c>
      <c r="C28" s="383">
        <v>0.8</v>
      </c>
      <c r="D28" s="383">
        <v>0.8</v>
      </c>
      <c r="E28" s="383">
        <v>0.8</v>
      </c>
      <c r="F28" s="383">
        <v>0.8</v>
      </c>
      <c r="G28" s="383">
        <v>0.8</v>
      </c>
      <c r="H28" s="383">
        <v>0.8</v>
      </c>
      <c r="I28" s="383">
        <v>0.8</v>
      </c>
      <c r="J28" s="383">
        <v>0.8</v>
      </c>
      <c r="K28" s="383">
        <v>0.8</v>
      </c>
      <c r="L28" s="383">
        <v>0.8</v>
      </c>
      <c r="M28" s="383">
        <v>0.8</v>
      </c>
      <c r="N28" s="383">
        <v>0.8</v>
      </c>
      <c r="O28" s="383">
        <v>0.8</v>
      </c>
      <c r="P28" s="383">
        <v>0.8</v>
      </c>
      <c r="Q28" s="383">
        <v>0.8</v>
      </c>
      <c r="R28" s="383">
        <v>0.8</v>
      </c>
      <c r="S28" s="383">
        <v>0.8</v>
      </c>
      <c r="T28" s="383">
        <v>0.8</v>
      </c>
      <c r="U28" s="383">
        <v>0.8</v>
      </c>
      <c r="V28" s="383">
        <v>0.8</v>
      </c>
      <c r="W28" s="383">
        <v>0.8</v>
      </c>
      <c r="X28" s="383">
        <v>0.8</v>
      </c>
      <c r="Y28" s="383">
        <v>0.8</v>
      </c>
      <c r="Z28" s="383">
        <v>0.8</v>
      </c>
      <c r="AA28" s="383">
        <v>0.8</v>
      </c>
      <c r="AB28" s="383">
        <v>0.8</v>
      </c>
      <c r="AC28" s="383">
        <v>0.8</v>
      </c>
      <c r="AD28" s="383">
        <v>0.8</v>
      </c>
      <c r="AE28" s="383">
        <v>0.8</v>
      </c>
      <c r="AF28" s="383">
        <v>0.8</v>
      </c>
      <c r="AG28" s="383">
        <v>0.8</v>
      </c>
      <c r="AH28" s="383">
        <v>0.8</v>
      </c>
      <c r="AI28" s="383">
        <v>0.8</v>
      </c>
      <c r="AJ28" s="383">
        <v>0.8</v>
      </c>
      <c r="AK28" s="383">
        <v>0.8</v>
      </c>
      <c r="AL28" s="383">
        <v>0.8</v>
      </c>
      <c r="AM28" s="383">
        <v>0.8</v>
      </c>
      <c r="AN28" s="383">
        <v>0.8</v>
      </c>
      <c r="AO28" s="383">
        <v>0.8</v>
      </c>
      <c r="AP28" s="383">
        <v>0.8</v>
      </c>
      <c r="AQ28" s="383">
        <v>0.8</v>
      </c>
      <c r="AR28" s="383">
        <v>0.8</v>
      </c>
      <c r="AS28" s="383">
        <v>0.8</v>
      </c>
      <c r="AT28" s="383">
        <v>0.8</v>
      </c>
      <c r="AU28" s="383">
        <v>0.8</v>
      </c>
      <c r="AV28" s="383">
        <v>0.8</v>
      </c>
      <c r="AW28" s="383">
        <v>0.8</v>
      </c>
      <c r="AX28" s="383">
        <v>0.8</v>
      </c>
      <c r="AY28" s="383">
        <v>0.8</v>
      </c>
      <c r="AZ28" s="383">
        <v>0.8</v>
      </c>
    </row>
    <row r="29" spans="1:52" s="110" customFormat="1" ht="16" x14ac:dyDescent="0.2">
      <c r="A29" s="184" t="s">
        <v>257</v>
      </c>
      <c r="B29" s="383">
        <v>0.8</v>
      </c>
      <c r="C29" s="383">
        <v>0.8</v>
      </c>
      <c r="D29" s="383">
        <v>0.8</v>
      </c>
      <c r="E29" s="383">
        <v>0.8</v>
      </c>
      <c r="F29" s="383">
        <v>0.8</v>
      </c>
      <c r="G29" s="383">
        <v>0.8</v>
      </c>
      <c r="H29" s="383">
        <v>0.8</v>
      </c>
      <c r="I29" s="383">
        <v>0.8</v>
      </c>
      <c r="J29" s="383">
        <v>0.8</v>
      </c>
      <c r="K29" s="383">
        <v>0.8</v>
      </c>
      <c r="L29" s="383">
        <v>0.8</v>
      </c>
      <c r="M29" s="383">
        <v>0.8</v>
      </c>
      <c r="N29" s="383">
        <v>0.8</v>
      </c>
      <c r="O29" s="383">
        <v>0.8</v>
      </c>
      <c r="P29" s="383">
        <v>0.8</v>
      </c>
      <c r="Q29" s="383">
        <v>0.8</v>
      </c>
      <c r="R29" s="383">
        <v>0.8</v>
      </c>
      <c r="S29" s="383">
        <v>0.8</v>
      </c>
      <c r="T29" s="383">
        <v>0.8</v>
      </c>
      <c r="U29" s="383">
        <v>0.8</v>
      </c>
      <c r="V29" s="383">
        <v>0.8</v>
      </c>
      <c r="W29" s="383">
        <v>0.8</v>
      </c>
      <c r="X29" s="383">
        <v>0.8</v>
      </c>
      <c r="Y29" s="383">
        <v>0.8</v>
      </c>
      <c r="Z29" s="383">
        <v>0.8</v>
      </c>
      <c r="AA29" s="383">
        <v>0.8</v>
      </c>
      <c r="AB29" s="383">
        <v>0.8</v>
      </c>
      <c r="AC29" s="383">
        <v>0.8</v>
      </c>
      <c r="AD29" s="383">
        <v>0.8</v>
      </c>
      <c r="AE29" s="383">
        <v>0.8</v>
      </c>
      <c r="AF29" s="383">
        <v>0.8</v>
      </c>
      <c r="AG29" s="383">
        <v>0.8</v>
      </c>
      <c r="AH29" s="383">
        <v>0.8</v>
      </c>
      <c r="AI29" s="383">
        <v>0.8</v>
      </c>
      <c r="AJ29" s="383">
        <v>0.8</v>
      </c>
      <c r="AK29" s="383">
        <v>0.8</v>
      </c>
      <c r="AL29" s="383">
        <v>0.8</v>
      </c>
      <c r="AM29" s="383">
        <v>0.8</v>
      </c>
      <c r="AN29" s="383">
        <v>0.8</v>
      </c>
      <c r="AO29" s="383">
        <v>0.8</v>
      </c>
      <c r="AP29" s="383">
        <v>0.8</v>
      </c>
      <c r="AQ29" s="383">
        <v>0.8</v>
      </c>
      <c r="AR29" s="383">
        <v>0.8</v>
      </c>
      <c r="AS29" s="383">
        <v>0.8</v>
      </c>
      <c r="AT29" s="383">
        <v>0.8</v>
      </c>
      <c r="AU29" s="383">
        <v>0.8</v>
      </c>
      <c r="AV29" s="383">
        <v>0.8</v>
      </c>
      <c r="AW29" s="383">
        <v>0.8</v>
      </c>
      <c r="AX29" s="383">
        <v>0.8</v>
      </c>
      <c r="AY29" s="383">
        <v>0.8</v>
      </c>
      <c r="AZ29" s="383">
        <v>0.8</v>
      </c>
    </row>
    <row r="30" spans="1:52" s="110" customFormat="1" ht="16" x14ac:dyDescent="0.2">
      <c r="A30" s="184" t="s">
        <v>258</v>
      </c>
      <c r="B30" s="383">
        <v>0.8</v>
      </c>
      <c r="C30" s="383">
        <v>0.8</v>
      </c>
      <c r="D30" s="383">
        <v>0.8</v>
      </c>
      <c r="E30" s="383">
        <v>0.8</v>
      </c>
      <c r="F30" s="383">
        <v>0.8</v>
      </c>
      <c r="G30" s="383">
        <v>0.8</v>
      </c>
      <c r="H30" s="383">
        <v>0.8</v>
      </c>
      <c r="I30" s="383">
        <v>0.8</v>
      </c>
      <c r="J30" s="383">
        <v>0.8</v>
      </c>
      <c r="K30" s="383">
        <v>0.8</v>
      </c>
      <c r="L30" s="383">
        <v>0.8</v>
      </c>
      <c r="M30" s="383">
        <v>0.8</v>
      </c>
      <c r="N30" s="383">
        <v>0.8</v>
      </c>
      <c r="O30" s="383">
        <v>0.8</v>
      </c>
      <c r="P30" s="383">
        <v>0.8</v>
      </c>
      <c r="Q30" s="383">
        <v>0.8</v>
      </c>
      <c r="R30" s="383">
        <v>0.8</v>
      </c>
      <c r="S30" s="383">
        <v>0.8</v>
      </c>
      <c r="T30" s="383">
        <v>0.8</v>
      </c>
      <c r="U30" s="383">
        <v>0.8</v>
      </c>
      <c r="V30" s="383">
        <v>0.8</v>
      </c>
      <c r="W30" s="383">
        <v>0.8</v>
      </c>
      <c r="X30" s="383">
        <v>0.8</v>
      </c>
      <c r="Y30" s="383">
        <v>0.8</v>
      </c>
      <c r="Z30" s="383">
        <v>0.8</v>
      </c>
      <c r="AA30" s="383">
        <v>0.8</v>
      </c>
      <c r="AB30" s="383">
        <v>0.8</v>
      </c>
      <c r="AC30" s="383">
        <v>0.8</v>
      </c>
      <c r="AD30" s="383">
        <v>0.8</v>
      </c>
      <c r="AE30" s="383">
        <v>0.8</v>
      </c>
      <c r="AF30" s="383">
        <v>0.8</v>
      </c>
      <c r="AG30" s="383">
        <v>0.8</v>
      </c>
      <c r="AH30" s="383">
        <v>0.8</v>
      </c>
      <c r="AI30" s="383">
        <v>0.8</v>
      </c>
      <c r="AJ30" s="383">
        <v>0.8</v>
      </c>
      <c r="AK30" s="383">
        <v>0.8</v>
      </c>
      <c r="AL30" s="383">
        <v>0.8</v>
      </c>
      <c r="AM30" s="383">
        <v>0.8</v>
      </c>
      <c r="AN30" s="383">
        <v>0.8</v>
      </c>
      <c r="AO30" s="383">
        <v>0.8</v>
      </c>
      <c r="AP30" s="383">
        <v>0.8</v>
      </c>
      <c r="AQ30" s="383">
        <v>0.8</v>
      </c>
      <c r="AR30" s="383">
        <v>0.8</v>
      </c>
      <c r="AS30" s="383">
        <v>0.8</v>
      </c>
      <c r="AT30" s="383">
        <v>0.8</v>
      </c>
      <c r="AU30" s="383">
        <v>0.8</v>
      </c>
      <c r="AV30" s="383">
        <v>0.8</v>
      </c>
      <c r="AW30" s="383">
        <v>0.8</v>
      </c>
      <c r="AX30" s="383">
        <v>0.8</v>
      </c>
      <c r="AY30" s="383">
        <v>0.8</v>
      </c>
      <c r="AZ30" s="383">
        <v>0.8</v>
      </c>
    </row>
    <row r="31" spans="1:52" s="110" customFormat="1" ht="16" x14ac:dyDescent="0.2">
      <c r="A31" s="184" t="s">
        <v>259</v>
      </c>
      <c r="B31" s="383">
        <v>0.8</v>
      </c>
      <c r="C31" s="383">
        <v>0.8</v>
      </c>
      <c r="D31" s="383">
        <v>0.8</v>
      </c>
      <c r="E31" s="383">
        <v>0.8</v>
      </c>
      <c r="F31" s="383">
        <v>0.8</v>
      </c>
      <c r="G31" s="383">
        <v>0.8</v>
      </c>
      <c r="H31" s="383">
        <v>0.8</v>
      </c>
      <c r="I31" s="383">
        <v>0.8</v>
      </c>
      <c r="J31" s="383">
        <v>0.8</v>
      </c>
      <c r="K31" s="383">
        <v>0.8</v>
      </c>
      <c r="L31" s="383">
        <v>0.8</v>
      </c>
      <c r="M31" s="383">
        <v>0.8</v>
      </c>
      <c r="N31" s="383">
        <v>0.8</v>
      </c>
      <c r="O31" s="383">
        <v>0.8</v>
      </c>
      <c r="P31" s="383">
        <v>0.8</v>
      </c>
      <c r="Q31" s="383">
        <v>0.8</v>
      </c>
      <c r="R31" s="383">
        <v>0.8</v>
      </c>
      <c r="S31" s="383">
        <v>0.8</v>
      </c>
      <c r="T31" s="383">
        <v>0.8</v>
      </c>
      <c r="U31" s="383">
        <v>0.8</v>
      </c>
      <c r="V31" s="383">
        <v>0.8</v>
      </c>
      <c r="W31" s="383">
        <v>0.8</v>
      </c>
      <c r="X31" s="383">
        <v>0.8</v>
      </c>
      <c r="Y31" s="383">
        <v>0.8</v>
      </c>
      <c r="Z31" s="383">
        <v>0.8</v>
      </c>
      <c r="AA31" s="383">
        <v>0.8</v>
      </c>
      <c r="AB31" s="383">
        <v>0.8</v>
      </c>
      <c r="AC31" s="383">
        <v>0.8</v>
      </c>
      <c r="AD31" s="383">
        <v>0.8</v>
      </c>
      <c r="AE31" s="383">
        <v>0.8</v>
      </c>
      <c r="AF31" s="383">
        <v>0.8</v>
      </c>
      <c r="AG31" s="383">
        <v>0.8</v>
      </c>
      <c r="AH31" s="383">
        <v>0.8</v>
      </c>
      <c r="AI31" s="383">
        <v>0.8</v>
      </c>
      <c r="AJ31" s="383">
        <v>0.8</v>
      </c>
      <c r="AK31" s="383">
        <v>0.8</v>
      </c>
      <c r="AL31" s="383">
        <v>0.8</v>
      </c>
      <c r="AM31" s="383">
        <v>0.8</v>
      </c>
      <c r="AN31" s="383">
        <v>0.8</v>
      </c>
      <c r="AO31" s="383">
        <v>0.8</v>
      </c>
      <c r="AP31" s="383">
        <v>0.8</v>
      </c>
      <c r="AQ31" s="383">
        <v>0.8</v>
      </c>
      <c r="AR31" s="383">
        <v>0.8</v>
      </c>
      <c r="AS31" s="383">
        <v>0.8</v>
      </c>
      <c r="AT31" s="383">
        <v>0.8</v>
      </c>
      <c r="AU31" s="383">
        <v>0.8</v>
      </c>
      <c r="AV31" s="383">
        <v>0.8</v>
      </c>
      <c r="AW31" s="383">
        <v>0.8</v>
      </c>
      <c r="AX31" s="383">
        <v>0.8</v>
      </c>
      <c r="AY31" s="383">
        <v>0.8</v>
      </c>
      <c r="AZ31" s="383">
        <v>0.8</v>
      </c>
    </row>
    <row r="32" spans="1:52" s="110" customFormat="1" ht="16" x14ac:dyDescent="0.2">
      <c r="A32" s="184" t="s">
        <v>260</v>
      </c>
      <c r="B32" s="383">
        <v>0.8</v>
      </c>
      <c r="C32" s="383">
        <v>0.8</v>
      </c>
      <c r="D32" s="383">
        <v>0.8</v>
      </c>
      <c r="E32" s="383">
        <v>0.8</v>
      </c>
      <c r="F32" s="383">
        <v>0.8</v>
      </c>
      <c r="G32" s="383">
        <v>0.8</v>
      </c>
      <c r="H32" s="383">
        <v>0.8</v>
      </c>
      <c r="I32" s="383">
        <v>0.8</v>
      </c>
      <c r="J32" s="383">
        <v>0.8</v>
      </c>
      <c r="K32" s="383">
        <v>0.8</v>
      </c>
      <c r="L32" s="383">
        <v>0.8</v>
      </c>
      <c r="M32" s="383">
        <v>0.8</v>
      </c>
      <c r="N32" s="383">
        <v>0.8</v>
      </c>
      <c r="O32" s="383">
        <v>0.8</v>
      </c>
      <c r="P32" s="383">
        <v>0.8</v>
      </c>
      <c r="Q32" s="383">
        <v>0.8</v>
      </c>
      <c r="R32" s="383">
        <v>0.8</v>
      </c>
      <c r="S32" s="383">
        <v>0.8</v>
      </c>
      <c r="T32" s="383">
        <v>0.8</v>
      </c>
      <c r="U32" s="383">
        <v>0.8</v>
      </c>
      <c r="V32" s="383">
        <v>0.8</v>
      </c>
      <c r="W32" s="383">
        <v>0.8</v>
      </c>
      <c r="X32" s="383">
        <v>0.8</v>
      </c>
      <c r="Y32" s="383">
        <v>0.8</v>
      </c>
      <c r="Z32" s="383">
        <v>0.8</v>
      </c>
      <c r="AA32" s="383">
        <v>0.8</v>
      </c>
      <c r="AB32" s="383">
        <v>0.8</v>
      </c>
      <c r="AC32" s="383">
        <v>0.8</v>
      </c>
      <c r="AD32" s="383">
        <v>0.8</v>
      </c>
      <c r="AE32" s="383">
        <v>0.8</v>
      </c>
      <c r="AF32" s="383">
        <v>0.8</v>
      </c>
      <c r="AG32" s="383">
        <v>0.8</v>
      </c>
      <c r="AH32" s="383">
        <v>0.8</v>
      </c>
      <c r="AI32" s="383">
        <v>0.8</v>
      </c>
      <c r="AJ32" s="383">
        <v>0.8</v>
      </c>
      <c r="AK32" s="383">
        <v>0.8</v>
      </c>
      <c r="AL32" s="383">
        <v>0.8</v>
      </c>
      <c r="AM32" s="383">
        <v>0.8</v>
      </c>
      <c r="AN32" s="383">
        <v>0.8</v>
      </c>
      <c r="AO32" s="383">
        <v>0.8</v>
      </c>
      <c r="AP32" s="383">
        <v>0.8</v>
      </c>
      <c r="AQ32" s="383">
        <v>0.8</v>
      </c>
      <c r="AR32" s="383">
        <v>0.8</v>
      </c>
      <c r="AS32" s="383">
        <v>0.8</v>
      </c>
      <c r="AT32" s="383">
        <v>0.8</v>
      </c>
      <c r="AU32" s="383">
        <v>0.8</v>
      </c>
      <c r="AV32" s="383">
        <v>0.8</v>
      </c>
      <c r="AW32" s="383">
        <v>0.8</v>
      </c>
      <c r="AX32" s="383">
        <v>0.8</v>
      </c>
      <c r="AY32" s="383">
        <v>0.8</v>
      </c>
      <c r="AZ32" s="383">
        <v>0.8</v>
      </c>
    </row>
    <row r="33" spans="1:52" s="110" customFormat="1" ht="16" x14ac:dyDescent="0.2">
      <c r="A33" s="184" t="s">
        <v>208</v>
      </c>
      <c r="B33" s="383">
        <v>0.8</v>
      </c>
      <c r="C33" s="383">
        <v>0.8</v>
      </c>
      <c r="D33" s="383">
        <v>0.8</v>
      </c>
      <c r="E33" s="383">
        <v>0.8</v>
      </c>
      <c r="F33" s="383">
        <v>0.8</v>
      </c>
      <c r="G33" s="383">
        <v>0.8</v>
      </c>
      <c r="H33" s="383">
        <v>0.8</v>
      </c>
      <c r="I33" s="383">
        <v>0.8</v>
      </c>
      <c r="J33" s="383">
        <v>0.8</v>
      </c>
      <c r="K33" s="383">
        <v>0.8</v>
      </c>
      <c r="L33" s="383">
        <v>0.8</v>
      </c>
      <c r="M33" s="383">
        <v>0.8</v>
      </c>
      <c r="N33" s="383">
        <v>0.8</v>
      </c>
      <c r="O33" s="383">
        <v>0.8</v>
      </c>
      <c r="P33" s="383">
        <v>0.8</v>
      </c>
      <c r="Q33" s="383">
        <v>0.8</v>
      </c>
      <c r="R33" s="383">
        <v>0.8</v>
      </c>
      <c r="S33" s="383">
        <v>0.8</v>
      </c>
      <c r="T33" s="383">
        <v>0.8</v>
      </c>
      <c r="U33" s="383">
        <v>0.8</v>
      </c>
      <c r="V33" s="383">
        <v>0.8</v>
      </c>
      <c r="W33" s="383">
        <v>0.8</v>
      </c>
      <c r="X33" s="383">
        <v>0.8</v>
      </c>
      <c r="Y33" s="383">
        <v>0.8</v>
      </c>
      <c r="Z33" s="383">
        <v>0.8</v>
      </c>
      <c r="AA33" s="383">
        <v>0.8</v>
      </c>
      <c r="AB33" s="383">
        <v>0.8</v>
      </c>
      <c r="AC33" s="383">
        <v>0.8</v>
      </c>
      <c r="AD33" s="383">
        <v>0.8</v>
      </c>
      <c r="AE33" s="383">
        <v>0.8</v>
      </c>
      <c r="AF33" s="383">
        <v>0.8</v>
      </c>
      <c r="AG33" s="383">
        <v>0.8</v>
      </c>
      <c r="AH33" s="383">
        <v>0.8</v>
      </c>
      <c r="AI33" s="383">
        <v>0.8</v>
      </c>
      <c r="AJ33" s="383">
        <v>0.8</v>
      </c>
      <c r="AK33" s="383">
        <v>0.8</v>
      </c>
      <c r="AL33" s="383">
        <v>0.8</v>
      </c>
      <c r="AM33" s="383">
        <v>0.8</v>
      </c>
      <c r="AN33" s="383">
        <v>0.8</v>
      </c>
      <c r="AO33" s="383">
        <v>0.8</v>
      </c>
      <c r="AP33" s="383">
        <v>0.8</v>
      </c>
      <c r="AQ33" s="383">
        <v>0.8</v>
      </c>
      <c r="AR33" s="383">
        <v>0.8</v>
      </c>
      <c r="AS33" s="383">
        <v>0.8</v>
      </c>
      <c r="AT33" s="383">
        <v>0.8</v>
      </c>
      <c r="AU33" s="383">
        <v>0.8</v>
      </c>
      <c r="AV33" s="383">
        <v>0.8</v>
      </c>
      <c r="AW33" s="383">
        <v>0.8</v>
      </c>
      <c r="AX33" s="383">
        <v>0.8</v>
      </c>
      <c r="AY33" s="383">
        <v>0.8</v>
      </c>
      <c r="AZ33" s="383">
        <v>0.8</v>
      </c>
    </row>
    <row r="34" spans="1:52" s="110" customFormat="1" ht="16" x14ac:dyDescent="0.2">
      <c r="A34" s="184" t="s">
        <v>209</v>
      </c>
      <c r="B34" s="383">
        <v>0.8</v>
      </c>
      <c r="C34" s="383">
        <v>0.8</v>
      </c>
      <c r="D34" s="383">
        <v>0.8</v>
      </c>
      <c r="E34" s="383">
        <v>0.8</v>
      </c>
      <c r="F34" s="383">
        <v>0.8</v>
      </c>
      <c r="G34" s="383">
        <v>0.8</v>
      </c>
      <c r="H34" s="383">
        <v>0.8</v>
      </c>
      <c r="I34" s="383">
        <v>0.8</v>
      </c>
      <c r="J34" s="383">
        <v>0.8</v>
      </c>
      <c r="K34" s="383">
        <v>0.8</v>
      </c>
      <c r="L34" s="383">
        <v>0.8</v>
      </c>
      <c r="M34" s="383">
        <v>0.8</v>
      </c>
      <c r="N34" s="383">
        <v>0.8</v>
      </c>
      <c r="O34" s="383">
        <v>0.8</v>
      </c>
      <c r="P34" s="383">
        <v>0.8</v>
      </c>
      <c r="Q34" s="383">
        <v>0.8</v>
      </c>
      <c r="R34" s="383">
        <v>0.8</v>
      </c>
      <c r="S34" s="383">
        <v>0.8</v>
      </c>
      <c r="T34" s="383">
        <v>0.8</v>
      </c>
      <c r="U34" s="383">
        <v>0.8</v>
      </c>
      <c r="V34" s="383">
        <v>0.8</v>
      </c>
      <c r="W34" s="383">
        <v>0.8</v>
      </c>
      <c r="X34" s="383">
        <v>0.8</v>
      </c>
      <c r="Y34" s="383">
        <v>0.8</v>
      </c>
      <c r="Z34" s="383">
        <v>0.8</v>
      </c>
      <c r="AA34" s="383">
        <v>0.8</v>
      </c>
      <c r="AB34" s="383">
        <v>0.8</v>
      </c>
      <c r="AC34" s="383">
        <v>0.8</v>
      </c>
      <c r="AD34" s="383">
        <v>0.8</v>
      </c>
      <c r="AE34" s="383">
        <v>0.8</v>
      </c>
      <c r="AF34" s="383">
        <v>0.8</v>
      </c>
      <c r="AG34" s="383">
        <v>0.8</v>
      </c>
      <c r="AH34" s="383">
        <v>0.8</v>
      </c>
      <c r="AI34" s="383">
        <v>0.8</v>
      </c>
      <c r="AJ34" s="383">
        <v>0.8</v>
      </c>
      <c r="AK34" s="383">
        <v>0.8</v>
      </c>
      <c r="AL34" s="383">
        <v>0.8</v>
      </c>
      <c r="AM34" s="383">
        <v>0.8</v>
      </c>
      <c r="AN34" s="383">
        <v>0.8</v>
      </c>
      <c r="AO34" s="383">
        <v>0.8</v>
      </c>
      <c r="AP34" s="383">
        <v>0.8</v>
      </c>
      <c r="AQ34" s="383">
        <v>0.8</v>
      </c>
      <c r="AR34" s="383">
        <v>0.8</v>
      </c>
      <c r="AS34" s="383">
        <v>0.8</v>
      </c>
      <c r="AT34" s="383">
        <v>0.8</v>
      </c>
      <c r="AU34" s="383">
        <v>0.8</v>
      </c>
      <c r="AV34" s="383">
        <v>0.8</v>
      </c>
      <c r="AW34" s="383">
        <v>0.8</v>
      </c>
      <c r="AX34" s="383">
        <v>0.8</v>
      </c>
      <c r="AY34" s="383">
        <v>0.8</v>
      </c>
      <c r="AZ34" s="383">
        <v>0.8</v>
      </c>
    </row>
    <row r="35" spans="1:52" s="110" customFormat="1" ht="16" x14ac:dyDescent="0.2">
      <c r="A35" s="184" t="s">
        <v>210</v>
      </c>
      <c r="B35" s="383">
        <v>0.8</v>
      </c>
      <c r="C35" s="383">
        <v>0.8</v>
      </c>
      <c r="D35" s="383">
        <v>0.8</v>
      </c>
      <c r="E35" s="383">
        <v>0.8</v>
      </c>
      <c r="F35" s="383">
        <v>0.8</v>
      </c>
      <c r="G35" s="383">
        <v>0.8</v>
      </c>
      <c r="H35" s="383">
        <v>0.8</v>
      </c>
      <c r="I35" s="383">
        <v>0.8</v>
      </c>
      <c r="J35" s="383">
        <v>0.8</v>
      </c>
      <c r="K35" s="383">
        <v>0.8</v>
      </c>
      <c r="L35" s="383">
        <v>0.8</v>
      </c>
      <c r="M35" s="383">
        <v>0.8</v>
      </c>
      <c r="N35" s="383">
        <v>0.8</v>
      </c>
      <c r="O35" s="383">
        <v>0.8</v>
      </c>
      <c r="P35" s="383">
        <v>0.8</v>
      </c>
      <c r="Q35" s="383">
        <v>0.8</v>
      </c>
      <c r="R35" s="383">
        <v>0.8</v>
      </c>
      <c r="S35" s="383">
        <v>0.8</v>
      </c>
      <c r="T35" s="383">
        <v>0.8</v>
      </c>
      <c r="U35" s="383">
        <v>0.8</v>
      </c>
      <c r="V35" s="383">
        <v>0.8</v>
      </c>
      <c r="W35" s="383">
        <v>0.8</v>
      </c>
      <c r="X35" s="383">
        <v>0.8</v>
      </c>
      <c r="Y35" s="383">
        <v>0.8</v>
      </c>
      <c r="Z35" s="383">
        <v>0.8</v>
      </c>
      <c r="AA35" s="383">
        <v>0.8</v>
      </c>
      <c r="AB35" s="383">
        <v>0.8</v>
      </c>
      <c r="AC35" s="383">
        <v>0.8</v>
      </c>
      <c r="AD35" s="383">
        <v>0.8</v>
      </c>
      <c r="AE35" s="383">
        <v>0.8</v>
      </c>
      <c r="AF35" s="383">
        <v>0.8</v>
      </c>
      <c r="AG35" s="383">
        <v>0.8</v>
      </c>
      <c r="AH35" s="383">
        <v>0.8</v>
      </c>
      <c r="AI35" s="383">
        <v>0.8</v>
      </c>
      <c r="AJ35" s="383">
        <v>0.8</v>
      </c>
      <c r="AK35" s="383">
        <v>0.8</v>
      </c>
      <c r="AL35" s="383">
        <v>0.8</v>
      </c>
      <c r="AM35" s="383">
        <v>0.8</v>
      </c>
      <c r="AN35" s="383">
        <v>0.8</v>
      </c>
      <c r="AO35" s="383">
        <v>0.8</v>
      </c>
      <c r="AP35" s="383">
        <v>0.8</v>
      </c>
      <c r="AQ35" s="383">
        <v>0.8</v>
      </c>
      <c r="AR35" s="383">
        <v>0.8</v>
      </c>
      <c r="AS35" s="383">
        <v>0.8</v>
      </c>
      <c r="AT35" s="383">
        <v>0.8</v>
      </c>
      <c r="AU35" s="383">
        <v>0.8</v>
      </c>
      <c r="AV35" s="383">
        <v>0.8</v>
      </c>
      <c r="AW35" s="383">
        <v>0.8</v>
      </c>
      <c r="AX35" s="383">
        <v>0.8</v>
      </c>
      <c r="AY35" s="383">
        <v>0.8</v>
      </c>
      <c r="AZ35" s="383">
        <v>0.8</v>
      </c>
    </row>
    <row r="36" spans="1:52" s="110" customFormat="1" ht="16" x14ac:dyDescent="0.2">
      <c r="A36" s="184" t="s">
        <v>211</v>
      </c>
      <c r="B36" s="383">
        <v>0.8</v>
      </c>
      <c r="C36" s="383">
        <v>0.8</v>
      </c>
      <c r="D36" s="383">
        <v>0.8</v>
      </c>
      <c r="E36" s="383">
        <v>0.8</v>
      </c>
      <c r="F36" s="383">
        <v>0.8</v>
      </c>
      <c r="G36" s="383">
        <v>0.8</v>
      </c>
      <c r="H36" s="383">
        <v>0.8</v>
      </c>
      <c r="I36" s="383">
        <v>0.8</v>
      </c>
      <c r="J36" s="383">
        <v>0.8</v>
      </c>
      <c r="K36" s="383">
        <v>0.8</v>
      </c>
      <c r="L36" s="383">
        <v>0.8</v>
      </c>
      <c r="M36" s="383">
        <v>0.8</v>
      </c>
      <c r="N36" s="383">
        <v>0.8</v>
      </c>
      <c r="O36" s="383">
        <v>0.8</v>
      </c>
      <c r="P36" s="383">
        <v>0.8</v>
      </c>
      <c r="Q36" s="383">
        <v>0.8</v>
      </c>
      <c r="R36" s="383">
        <v>0.8</v>
      </c>
      <c r="S36" s="383">
        <v>0.8</v>
      </c>
      <c r="T36" s="383">
        <v>0.8</v>
      </c>
      <c r="U36" s="383">
        <v>0.8</v>
      </c>
      <c r="V36" s="383">
        <v>0.8</v>
      </c>
      <c r="W36" s="383">
        <v>0.8</v>
      </c>
      <c r="X36" s="383">
        <v>0.8</v>
      </c>
      <c r="Y36" s="383">
        <v>0.8</v>
      </c>
      <c r="Z36" s="383">
        <v>0.8</v>
      </c>
      <c r="AA36" s="383">
        <v>0.8</v>
      </c>
      <c r="AB36" s="383">
        <v>0.8</v>
      </c>
      <c r="AC36" s="383">
        <v>0.8</v>
      </c>
      <c r="AD36" s="383">
        <v>0.8</v>
      </c>
      <c r="AE36" s="383">
        <v>0.8</v>
      </c>
      <c r="AF36" s="383">
        <v>0.8</v>
      </c>
      <c r="AG36" s="383">
        <v>0.8</v>
      </c>
      <c r="AH36" s="383">
        <v>0.8</v>
      </c>
      <c r="AI36" s="383">
        <v>0.8</v>
      </c>
      <c r="AJ36" s="383">
        <v>0.8</v>
      </c>
      <c r="AK36" s="383">
        <v>0.8</v>
      </c>
      <c r="AL36" s="383">
        <v>0.8</v>
      </c>
      <c r="AM36" s="383">
        <v>0.8</v>
      </c>
      <c r="AN36" s="383">
        <v>0.8</v>
      </c>
      <c r="AO36" s="383">
        <v>0.8</v>
      </c>
      <c r="AP36" s="383">
        <v>0.8</v>
      </c>
      <c r="AQ36" s="383">
        <v>0.8</v>
      </c>
      <c r="AR36" s="383">
        <v>0.8</v>
      </c>
      <c r="AS36" s="383">
        <v>0.8</v>
      </c>
      <c r="AT36" s="383">
        <v>0.8</v>
      </c>
      <c r="AU36" s="383">
        <v>0.8</v>
      </c>
      <c r="AV36" s="383">
        <v>0.8</v>
      </c>
      <c r="AW36" s="383">
        <v>0.8</v>
      </c>
      <c r="AX36" s="383">
        <v>0.8</v>
      </c>
      <c r="AY36" s="383">
        <v>0.8</v>
      </c>
      <c r="AZ36" s="383">
        <v>0.8</v>
      </c>
    </row>
    <row r="37" spans="1:52" s="110" customFormat="1" ht="16" x14ac:dyDescent="0.2">
      <c r="A37" s="184" t="s">
        <v>212</v>
      </c>
      <c r="B37" s="383">
        <v>0.8</v>
      </c>
      <c r="C37" s="383">
        <v>0.8</v>
      </c>
      <c r="D37" s="383">
        <v>0.8</v>
      </c>
      <c r="E37" s="383">
        <v>0.8</v>
      </c>
      <c r="F37" s="383">
        <v>0.8</v>
      </c>
      <c r="G37" s="383">
        <v>0.8</v>
      </c>
      <c r="H37" s="383">
        <v>0.8</v>
      </c>
      <c r="I37" s="383">
        <v>0.8</v>
      </c>
      <c r="J37" s="383">
        <v>0.8</v>
      </c>
      <c r="K37" s="383">
        <v>0.8</v>
      </c>
      <c r="L37" s="383">
        <v>0.8</v>
      </c>
      <c r="M37" s="383">
        <v>0.8</v>
      </c>
      <c r="N37" s="383">
        <v>0.8</v>
      </c>
      <c r="O37" s="383">
        <v>0.8</v>
      </c>
      <c r="P37" s="383">
        <v>0.8</v>
      </c>
      <c r="Q37" s="383">
        <v>0.8</v>
      </c>
      <c r="R37" s="383">
        <v>0.8</v>
      </c>
      <c r="S37" s="383">
        <v>0.8</v>
      </c>
      <c r="T37" s="383">
        <v>0.8</v>
      </c>
      <c r="U37" s="383">
        <v>0.8</v>
      </c>
      <c r="V37" s="383">
        <v>0.8</v>
      </c>
      <c r="W37" s="383">
        <v>0.8</v>
      </c>
      <c r="X37" s="383">
        <v>0.8</v>
      </c>
      <c r="Y37" s="383">
        <v>0.8</v>
      </c>
      <c r="Z37" s="383">
        <v>0.8</v>
      </c>
      <c r="AA37" s="383">
        <v>0.8</v>
      </c>
      <c r="AB37" s="383">
        <v>0.8</v>
      </c>
      <c r="AC37" s="383">
        <v>0.8</v>
      </c>
      <c r="AD37" s="383">
        <v>0.8</v>
      </c>
      <c r="AE37" s="383">
        <v>0.8</v>
      </c>
      <c r="AF37" s="383">
        <v>0.8</v>
      </c>
      <c r="AG37" s="383">
        <v>0.8</v>
      </c>
      <c r="AH37" s="383">
        <v>0.8</v>
      </c>
      <c r="AI37" s="383">
        <v>0.8</v>
      </c>
      <c r="AJ37" s="383">
        <v>0.8</v>
      </c>
      <c r="AK37" s="383">
        <v>0.8</v>
      </c>
      <c r="AL37" s="383">
        <v>0.8</v>
      </c>
      <c r="AM37" s="383">
        <v>0.8</v>
      </c>
      <c r="AN37" s="383">
        <v>0.8</v>
      </c>
      <c r="AO37" s="383">
        <v>0.8</v>
      </c>
      <c r="AP37" s="383">
        <v>0.8</v>
      </c>
      <c r="AQ37" s="383">
        <v>0.8</v>
      </c>
      <c r="AR37" s="383">
        <v>0.8</v>
      </c>
      <c r="AS37" s="383">
        <v>0.8</v>
      </c>
      <c r="AT37" s="383">
        <v>0.8</v>
      </c>
      <c r="AU37" s="383">
        <v>0.8</v>
      </c>
      <c r="AV37" s="383">
        <v>0.8</v>
      </c>
      <c r="AW37" s="383">
        <v>0.8</v>
      </c>
      <c r="AX37" s="383">
        <v>0.8</v>
      </c>
      <c r="AY37" s="383">
        <v>0.8</v>
      </c>
      <c r="AZ37" s="383">
        <v>0.8</v>
      </c>
    </row>
    <row r="38" spans="1:52" s="110" customFormat="1" ht="16" x14ac:dyDescent="0.2">
      <c r="A38" s="184" t="s">
        <v>213</v>
      </c>
      <c r="B38" s="383">
        <v>0.8</v>
      </c>
      <c r="C38" s="383">
        <v>0.8</v>
      </c>
      <c r="D38" s="383">
        <v>0.8</v>
      </c>
      <c r="E38" s="383">
        <v>0.8</v>
      </c>
      <c r="F38" s="383">
        <v>0.8</v>
      </c>
      <c r="G38" s="383">
        <v>0.8</v>
      </c>
      <c r="H38" s="383">
        <v>0.8</v>
      </c>
      <c r="I38" s="383">
        <v>0.8</v>
      </c>
      <c r="J38" s="383">
        <v>0.8</v>
      </c>
      <c r="K38" s="383">
        <v>0.8</v>
      </c>
      <c r="L38" s="383">
        <v>0.8</v>
      </c>
      <c r="M38" s="383">
        <v>0.8</v>
      </c>
      <c r="N38" s="383">
        <v>0.8</v>
      </c>
      <c r="O38" s="383">
        <v>0.8</v>
      </c>
      <c r="P38" s="383">
        <v>0.8</v>
      </c>
      <c r="Q38" s="383">
        <v>0.8</v>
      </c>
      <c r="R38" s="383">
        <v>0.8</v>
      </c>
      <c r="S38" s="383">
        <v>0.8</v>
      </c>
      <c r="T38" s="383">
        <v>0.8</v>
      </c>
      <c r="U38" s="383">
        <v>0.8</v>
      </c>
      <c r="V38" s="383">
        <v>0.8</v>
      </c>
      <c r="W38" s="383">
        <v>0.8</v>
      </c>
      <c r="X38" s="383">
        <v>0.8</v>
      </c>
      <c r="Y38" s="383">
        <v>0.8</v>
      </c>
      <c r="Z38" s="383">
        <v>0.8</v>
      </c>
      <c r="AA38" s="383">
        <v>0.8</v>
      </c>
      <c r="AB38" s="383">
        <v>0.8</v>
      </c>
      <c r="AC38" s="383">
        <v>0.8</v>
      </c>
      <c r="AD38" s="383">
        <v>0.8</v>
      </c>
      <c r="AE38" s="383">
        <v>0.8</v>
      </c>
      <c r="AF38" s="383">
        <v>0.8</v>
      </c>
      <c r="AG38" s="383">
        <v>0.8</v>
      </c>
      <c r="AH38" s="383">
        <v>0.8</v>
      </c>
      <c r="AI38" s="383">
        <v>0.8</v>
      </c>
      <c r="AJ38" s="383">
        <v>0.8</v>
      </c>
      <c r="AK38" s="383">
        <v>0.8</v>
      </c>
      <c r="AL38" s="383">
        <v>0.8</v>
      </c>
      <c r="AM38" s="383">
        <v>0.8</v>
      </c>
      <c r="AN38" s="383">
        <v>0.8</v>
      </c>
      <c r="AO38" s="383">
        <v>0.8</v>
      </c>
      <c r="AP38" s="383">
        <v>0.8</v>
      </c>
      <c r="AQ38" s="383">
        <v>0.8</v>
      </c>
      <c r="AR38" s="383">
        <v>0.8</v>
      </c>
      <c r="AS38" s="383">
        <v>0.8</v>
      </c>
      <c r="AT38" s="383">
        <v>0.8</v>
      </c>
      <c r="AU38" s="383">
        <v>0.8</v>
      </c>
      <c r="AV38" s="383">
        <v>0.8</v>
      </c>
      <c r="AW38" s="383">
        <v>0.8</v>
      </c>
      <c r="AX38" s="383">
        <v>0.8</v>
      </c>
      <c r="AY38" s="383">
        <v>0.8</v>
      </c>
      <c r="AZ38" s="383">
        <v>0.8</v>
      </c>
    </row>
    <row r="39" spans="1:52" s="110" customFormat="1" ht="16" x14ac:dyDescent="0.2">
      <c r="A39" s="184" t="s">
        <v>214</v>
      </c>
      <c r="B39" s="383">
        <v>0.8</v>
      </c>
      <c r="C39" s="383">
        <v>0.8</v>
      </c>
      <c r="D39" s="383">
        <v>0.8</v>
      </c>
      <c r="E39" s="383">
        <v>0.8</v>
      </c>
      <c r="F39" s="383">
        <v>0.8</v>
      </c>
      <c r="G39" s="383">
        <v>0.8</v>
      </c>
      <c r="H39" s="383">
        <v>0.8</v>
      </c>
      <c r="I39" s="383">
        <v>0.8</v>
      </c>
      <c r="J39" s="383">
        <v>0.8</v>
      </c>
      <c r="K39" s="383">
        <v>0.8</v>
      </c>
      <c r="L39" s="383">
        <v>0.8</v>
      </c>
      <c r="M39" s="383">
        <v>0.8</v>
      </c>
      <c r="N39" s="383">
        <v>0.8</v>
      </c>
      <c r="O39" s="383">
        <v>0.8</v>
      </c>
      <c r="P39" s="383">
        <v>0.8</v>
      </c>
      <c r="Q39" s="383">
        <v>0.8</v>
      </c>
      <c r="R39" s="383">
        <v>0.8</v>
      </c>
      <c r="S39" s="383">
        <v>0.8</v>
      </c>
      <c r="T39" s="383">
        <v>0.8</v>
      </c>
      <c r="U39" s="383">
        <v>0.8</v>
      </c>
      <c r="V39" s="383">
        <v>0.8</v>
      </c>
      <c r="W39" s="383">
        <v>0.8</v>
      </c>
      <c r="X39" s="383">
        <v>0.8</v>
      </c>
      <c r="Y39" s="383">
        <v>0.8</v>
      </c>
      <c r="Z39" s="383">
        <v>0.8</v>
      </c>
      <c r="AA39" s="383">
        <v>0.8</v>
      </c>
      <c r="AB39" s="383">
        <v>0.8</v>
      </c>
      <c r="AC39" s="383">
        <v>0.8</v>
      </c>
      <c r="AD39" s="383">
        <v>0.8</v>
      </c>
      <c r="AE39" s="383">
        <v>0.8</v>
      </c>
      <c r="AF39" s="383">
        <v>0.8</v>
      </c>
      <c r="AG39" s="383">
        <v>0.8</v>
      </c>
      <c r="AH39" s="383">
        <v>0.8</v>
      </c>
      <c r="AI39" s="383">
        <v>0.8</v>
      </c>
      <c r="AJ39" s="383">
        <v>0.8</v>
      </c>
      <c r="AK39" s="383">
        <v>0.8</v>
      </c>
      <c r="AL39" s="383">
        <v>0.8</v>
      </c>
      <c r="AM39" s="383">
        <v>0.8</v>
      </c>
      <c r="AN39" s="383">
        <v>0.8</v>
      </c>
      <c r="AO39" s="383">
        <v>0.8</v>
      </c>
      <c r="AP39" s="383">
        <v>0.8</v>
      </c>
      <c r="AQ39" s="383">
        <v>0.8</v>
      </c>
      <c r="AR39" s="383">
        <v>0.8</v>
      </c>
      <c r="AS39" s="383">
        <v>0.8</v>
      </c>
      <c r="AT39" s="383">
        <v>0.8</v>
      </c>
      <c r="AU39" s="383">
        <v>0.8</v>
      </c>
      <c r="AV39" s="383">
        <v>0.8</v>
      </c>
      <c r="AW39" s="383">
        <v>0.8</v>
      </c>
      <c r="AX39" s="383">
        <v>0.8</v>
      </c>
      <c r="AY39" s="383">
        <v>0.8</v>
      </c>
      <c r="AZ39" s="383">
        <v>0.8</v>
      </c>
    </row>
    <row r="40" spans="1:52" s="110" customFormat="1" ht="16" x14ac:dyDescent="0.2">
      <c r="A40" s="184" t="s">
        <v>215</v>
      </c>
      <c r="B40" s="383">
        <v>0.8</v>
      </c>
      <c r="C40" s="383">
        <v>0.8</v>
      </c>
      <c r="D40" s="383">
        <v>0.8</v>
      </c>
      <c r="E40" s="383">
        <v>0.8</v>
      </c>
      <c r="F40" s="383">
        <v>0.8</v>
      </c>
      <c r="G40" s="383">
        <v>0.8</v>
      </c>
      <c r="H40" s="383">
        <v>0.8</v>
      </c>
      <c r="I40" s="383">
        <v>0.8</v>
      </c>
      <c r="J40" s="383">
        <v>0.8</v>
      </c>
      <c r="K40" s="383">
        <v>0.8</v>
      </c>
      <c r="L40" s="383">
        <v>0.8</v>
      </c>
      <c r="M40" s="383">
        <v>0.8</v>
      </c>
      <c r="N40" s="383">
        <v>0.8</v>
      </c>
      <c r="O40" s="383">
        <v>0.8</v>
      </c>
      <c r="P40" s="383">
        <v>0.8</v>
      </c>
      <c r="Q40" s="383">
        <v>0.8</v>
      </c>
      <c r="R40" s="383">
        <v>0.8</v>
      </c>
      <c r="S40" s="383">
        <v>0.8</v>
      </c>
      <c r="T40" s="383">
        <v>0.8</v>
      </c>
      <c r="U40" s="383">
        <v>0.8</v>
      </c>
      <c r="V40" s="383">
        <v>0.8</v>
      </c>
      <c r="W40" s="383">
        <v>0.8</v>
      </c>
      <c r="X40" s="383">
        <v>0.8</v>
      </c>
      <c r="Y40" s="383">
        <v>0.8</v>
      </c>
      <c r="Z40" s="383">
        <v>0.8</v>
      </c>
      <c r="AA40" s="383">
        <v>0.8</v>
      </c>
      <c r="AB40" s="383">
        <v>0.8</v>
      </c>
      <c r="AC40" s="383">
        <v>0.8</v>
      </c>
      <c r="AD40" s="383">
        <v>0.8</v>
      </c>
      <c r="AE40" s="383">
        <v>0.8</v>
      </c>
      <c r="AF40" s="383">
        <v>0.8</v>
      </c>
      <c r="AG40" s="383">
        <v>0.8</v>
      </c>
      <c r="AH40" s="383">
        <v>0.8</v>
      </c>
      <c r="AI40" s="383">
        <v>0.8</v>
      </c>
      <c r="AJ40" s="383">
        <v>0.8</v>
      </c>
      <c r="AK40" s="383">
        <v>0.8</v>
      </c>
      <c r="AL40" s="383">
        <v>0.8</v>
      </c>
      <c r="AM40" s="383">
        <v>0.8</v>
      </c>
      <c r="AN40" s="383">
        <v>0.8</v>
      </c>
      <c r="AO40" s="383">
        <v>0.8</v>
      </c>
      <c r="AP40" s="383">
        <v>0.8</v>
      </c>
      <c r="AQ40" s="383">
        <v>0.8</v>
      </c>
      <c r="AR40" s="383">
        <v>0.8</v>
      </c>
      <c r="AS40" s="383">
        <v>0.8</v>
      </c>
      <c r="AT40" s="383">
        <v>0.8</v>
      </c>
      <c r="AU40" s="383">
        <v>0.8</v>
      </c>
      <c r="AV40" s="383">
        <v>0.8</v>
      </c>
      <c r="AW40" s="383">
        <v>0.8</v>
      </c>
      <c r="AX40" s="383">
        <v>0.8</v>
      </c>
      <c r="AY40" s="383">
        <v>0.8</v>
      </c>
      <c r="AZ40" s="383">
        <v>0.8</v>
      </c>
    </row>
    <row r="41" spans="1:52" s="110" customFormat="1" ht="16" x14ac:dyDescent="0.2">
      <c r="A41" s="184" t="s">
        <v>216</v>
      </c>
      <c r="B41" s="383">
        <v>0.8</v>
      </c>
      <c r="C41" s="383">
        <v>0.8</v>
      </c>
      <c r="D41" s="383">
        <v>0.8</v>
      </c>
      <c r="E41" s="383">
        <v>0.8</v>
      </c>
      <c r="F41" s="383">
        <v>0.8</v>
      </c>
      <c r="G41" s="383">
        <v>0.8</v>
      </c>
      <c r="H41" s="383">
        <v>0.8</v>
      </c>
      <c r="I41" s="383">
        <v>0.8</v>
      </c>
      <c r="J41" s="383">
        <v>0.8</v>
      </c>
      <c r="K41" s="383">
        <v>0.8</v>
      </c>
      <c r="L41" s="383">
        <v>0.8</v>
      </c>
      <c r="M41" s="383">
        <v>0.8</v>
      </c>
      <c r="N41" s="383">
        <v>0.8</v>
      </c>
      <c r="O41" s="383">
        <v>0.8</v>
      </c>
      <c r="P41" s="383">
        <v>0.8</v>
      </c>
      <c r="Q41" s="383">
        <v>0.8</v>
      </c>
      <c r="R41" s="383">
        <v>0.8</v>
      </c>
      <c r="S41" s="383">
        <v>0.8</v>
      </c>
      <c r="T41" s="383">
        <v>0.8</v>
      </c>
      <c r="U41" s="383">
        <v>0.8</v>
      </c>
      <c r="V41" s="383">
        <v>0.8</v>
      </c>
      <c r="W41" s="383">
        <v>0.8</v>
      </c>
      <c r="X41" s="383">
        <v>0.8</v>
      </c>
      <c r="Y41" s="383">
        <v>0.8</v>
      </c>
      <c r="Z41" s="383">
        <v>0.8</v>
      </c>
      <c r="AA41" s="383">
        <v>0.8</v>
      </c>
      <c r="AB41" s="383">
        <v>0.8</v>
      </c>
      <c r="AC41" s="383">
        <v>0.8</v>
      </c>
      <c r="AD41" s="383">
        <v>0.8</v>
      </c>
      <c r="AE41" s="383">
        <v>0.8</v>
      </c>
      <c r="AF41" s="383">
        <v>0.8</v>
      </c>
      <c r="AG41" s="383">
        <v>0.8</v>
      </c>
      <c r="AH41" s="383">
        <v>0.8</v>
      </c>
      <c r="AI41" s="383">
        <v>0.8</v>
      </c>
      <c r="AJ41" s="383">
        <v>0.8</v>
      </c>
      <c r="AK41" s="383">
        <v>0.8</v>
      </c>
      <c r="AL41" s="383">
        <v>0.8</v>
      </c>
      <c r="AM41" s="383">
        <v>0.8</v>
      </c>
      <c r="AN41" s="383">
        <v>0.8</v>
      </c>
      <c r="AO41" s="383">
        <v>0.8</v>
      </c>
      <c r="AP41" s="383">
        <v>0.8</v>
      </c>
      <c r="AQ41" s="383">
        <v>0.8</v>
      </c>
      <c r="AR41" s="383">
        <v>0.8</v>
      </c>
      <c r="AS41" s="383">
        <v>0.8</v>
      </c>
      <c r="AT41" s="383">
        <v>0.8</v>
      </c>
      <c r="AU41" s="383">
        <v>0.8</v>
      </c>
      <c r="AV41" s="383">
        <v>0.8</v>
      </c>
      <c r="AW41" s="383">
        <v>0.8</v>
      </c>
      <c r="AX41" s="383">
        <v>0.8</v>
      </c>
      <c r="AY41" s="383">
        <v>0.8</v>
      </c>
      <c r="AZ41" s="383">
        <v>0.8</v>
      </c>
    </row>
    <row r="42" spans="1:52" s="110" customFormat="1" ht="16" x14ac:dyDescent="0.2">
      <c r="A42" s="184" t="s">
        <v>217</v>
      </c>
      <c r="B42" s="383">
        <v>0.8</v>
      </c>
      <c r="C42" s="383">
        <v>0.8</v>
      </c>
      <c r="D42" s="383">
        <v>0.8</v>
      </c>
      <c r="E42" s="383">
        <v>0.8</v>
      </c>
      <c r="F42" s="383">
        <v>0.8</v>
      </c>
      <c r="G42" s="383">
        <v>0.8</v>
      </c>
      <c r="H42" s="383">
        <v>0.8</v>
      </c>
      <c r="I42" s="383">
        <v>0.8</v>
      </c>
      <c r="J42" s="383">
        <v>0.8</v>
      </c>
      <c r="K42" s="383">
        <v>0.8</v>
      </c>
      <c r="L42" s="383">
        <v>0.8</v>
      </c>
      <c r="M42" s="383">
        <v>0.8</v>
      </c>
      <c r="N42" s="383">
        <v>0.8</v>
      </c>
      <c r="O42" s="383">
        <v>0.8</v>
      </c>
      <c r="P42" s="383">
        <v>0.8</v>
      </c>
      <c r="Q42" s="383">
        <v>0.8</v>
      </c>
      <c r="R42" s="383">
        <v>0.8</v>
      </c>
      <c r="S42" s="383">
        <v>0.8</v>
      </c>
      <c r="T42" s="383">
        <v>0.8</v>
      </c>
      <c r="U42" s="383">
        <v>0.8</v>
      </c>
      <c r="V42" s="383">
        <v>0.8</v>
      </c>
      <c r="W42" s="383">
        <v>0.8</v>
      </c>
      <c r="X42" s="383">
        <v>0.8</v>
      </c>
      <c r="Y42" s="383">
        <v>0.8</v>
      </c>
      <c r="Z42" s="383">
        <v>0.8</v>
      </c>
      <c r="AA42" s="383">
        <v>0.8</v>
      </c>
      <c r="AB42" s="383">
        <v>0.8</v>
      </c>
      <c r="AC42" s="383">
        <v>0.8</v>
      </c>
      <c r="AD42" s="383">
        <v>0.8</v>
      </c>
      <c r="AE42" s="383">
        <v>0.8</v>
      </c>
      <c r="AF42" s="383">
        <v>0.8</v>
      </c>
      <c r="AG42" s="383">
        <v>0.8</v>
      </c>
      <c r="AH42" s="383">
        <v>0.8</v>
      </c>
      <c r="AI42" s="383">
        <v>0.8</v>
      </c>
      <c r="AJ42" s="383">
        <v>0.8</v>
      </c>
      <c r="AK42" s="383">
        <v>0.8</v>
      </c>
      <c r="AL42" s="383">
        <v>0.8</v>
      </c>
      <c r="AM42" s="383">
        <v>0.8</v>
      </c>
      <c r="AN42" s="383">
        <v>0.8</v>
      </c>
      <c r="AO42" s="383">
        <v>0.8</v>
      </c>
      <c r="AP42" s="383">
        <v>0.8</v>
      </c>
      <c r="AQ42" s="383">
        <v>0.8</v>
      </c>
      <c r="AR42" s="383">
        <v>0.8</v>
      </c>
      <c r="AS42" s="383">
        <v>0.8</v>
      </c>
      <c r="AT42" s="383">
        <v>0.8</v>
      </c>
      <c r="AU42" s="383">
        <v>0.8</v>
      </c>
      <c r="AV42" s="383">
        <v>0.8</v>
      </c>
      <c r="AW42" s="383">
        <v>0.8</v>
      </c>
      <c r="AX42" s="383">
        <v>0.8</v>
      </c>
      <c r="AY42" s="383">
        <v>0.8</v>
      </c>
      <c r="AZ42" s="383">
        <v>0.8</v>
      </c>
    </row>
    <row r="43" spans="1:52" s="110" customFormat="1" ht="16" x14ac:dyDescent="0.2">
      <c r="A43" s="184" t="s">
        <v>218</v>
      </c>
      <c r="B43" s="383">
        <v>0.8</v>
      </c>
      <c r="C43" s="383">
        <v>0.8</v>
      </c>
      <c r="D43" s="383">
        <v>0.8</v>
      </c>
      <c r="E43" s="383">
        <v>0.8</v>
      </c>
      <c r="F43" s="383">
        <v>0.8</v>
      </c>
      <c r="G43" s="383">
        <v>0.8</v>
      </c>
      <c r="H43" s="383">
        <v>0.8</v>
      </c>
      <c r="I43" s="383">
        <v>0.8</v>
      </c>
      <c r="J43" s="383">
        <v>0.8</v>
      </c>
      <c r="K43" s="383">
        <v>0.8</v>
      </c>
      <c r="L43" s="383">
        <v>0.8</v>
      </c>
      <c r="M43" s="383">
        <v>0.8</v>
      </c>
      <c r="N43" s="383">
        <v>0.8</v>
      </c>
      <c r="O43" s="383">
        <v>0.8</v>
      </c>
      <c r="P43" s="383">
        <v>0.8</v>
      </c>
      <c r="Q43" s="383">
        <v>0.8</v>
      </c>
      <c r="R43" s="383">
        <v>0.8</v>
      </c>
      <c r="S43" s="383">
        <v>0.8</v>
      </c>
      <c r="T43" s="383">
        <v>0.8</v>
      </c>
      <c r="U43" s="383">
        <v>0.8</v>
      </c>
      <c r="V43" s="383">
        <v>0.8</v>
      </c>
      <c r="W43" s="383">
        <v>0.8</v>
      </c>
      <c r="X43" s="383">
        <v>0.8</v>
      </c>
      <c r="Y43" s="383">
        <v>0.8</v>
      </c>
      <c r="Z43" s="383">
        <v>0.8</v>
      </c>
      <c r="AA43" s="383">
        <v>0.8</v>
      </c>
      <c r="AB43" s="383">
        <v>0.8</v>
      </c>
      <c r="AC43" s="383">
        <v>0.8</v>
      </c>
      <c r="AD43" s="383">
        <v>0.8</v>
      </c>
      <c r="AE43" s="383">
        <v>0.8</v>
      </c>
      <c r="AF43" s="383">
        <v>0.8</v>
      </c>
      <c r="AG43" s="383">
        <v>0.8</v>
      </c>
      <c r="AH43" s="383">
        <v>0.8</v>
      </c>
      <c r="AI43" s="383">
        <v>0.8</v>
      </c>
      <c r="AJ43" s="383">
        <v>0.8</v>
      </c>
      <c r="AK43" s="383">
        <v>0.8</v>
      </c>
      <c r="AL43" s="383">
        <v>0.8</v>
      </c>
      <c r="AM43" s="383">
        <v>0.8</v>
      </c>
      <c r="AN43" s="383">
        <v>0.8</v>
      </c>
      <c r="AO43" s="383">
        <v>0.8</v>
      </c>
      <c r="AP43" s="383">
        <v>0.8</v>
      </c>
      <c r="AQ43" s="383">
        <v>0.8</v>
      </c>
      <c r="AR43" s="383">
        <v>0.8</v>
      </c>
      <c r="AS43" s="383">
        <v>0.8</v>
      </c>
      <c r="AT43" s="383">
        <v>0.8</v>
      </c>
      <c r="AU43" s="383">
        <v>0.8</v>
      </c>
      <c r="AV43" s="383">
        <v>0.8</v>
      </c>
      <c r="AW43" s="383">
        <v>0.8</v>
      </c>
      <c r="AX43" s="383">
        <v>0.8</v>
      </c>
      <c r="AY43" s="383">
        <v>0.8</v>
      </c>
      <c r="AZ43" s="383">
        <v>0.8</v>
      </c>
    </row>
    <row r="44" spans="1:52" s="110" customFormat="1" ht="16" x14ac:dyDescent="0.2">
      <c r="A44" s="184" t="s">
        <v>219</v>
      </c>
      <c r="B44" s="383">
        <v>0.8</v>
      </c>
      <c r="C44" s="383">
        <v>0.8</v>
      </c>
      <c r="D44" s="383">
        <v>0.8</v>
      </c>
      <c r="E44" s="383">
        <v>0.8</v>
      </c>
      <c r="F44" s="383">
        <v>0.8</v>
      </c>
      <c r="G44" s="383">
        <v>0.8</v>
      </c>
      <c r="H44" s="383">
        <v>0.8</v>
      </c>
      <c r="I44" s="383">
        <v>0.8</v>
      </c>
      <c r="J44" s="383">
        <v>0.8</v>
      </c>
      <c r="K44" s="383">
        <v>0.8</v>
      </c>
      <c r="L44" s="383">
        <v>0.8</v>
      </c>
      <c r="M44" s="383">
        <v>0.8</v>
      </c>
      <c r="N44" s="383">
        <v>0.8</v>
      </c>
      <c r="O44" s="383">
        <v>0.8</v>
      </c>
      <c r="P44" s="383">
        <v>0.8</v>
      </c>
      <c r="Q44" s="383">
        <v>0.8</v>
      </c>
      <c r="R44" s="383">
        <v>0.8</v>
      </c>
      <c r="S44" s="383">
        <v>0.8</v>
      </c>
      <c r="T44" s="383">
        <v>0.8</v>
      </c>
      <c r="U44" s="383">
        <v>0.8</v>
      </c>
      <c r="V44" s="383">
        <v>0.8</v>
      </c>
      <c r="W44" s="383">
        <v>0.8</v>
      </c>
      <c r="X44" s="383">
        <v>0.8</v>
      </c>
      <c r="Y44" s="383">
        <v>0.8</v>
      </c>
      <c r="Z44" s="383">
        <v>0.8</v>
      </c>
      <c r="AA44" s="383">
        <v>0.8</v>
      </c>
      <c r="AB44" s="383">
        <v>0.8</v>
      </c>
      <c r="AC44" s="383">
        <v>0.8</v>
      </c>
      <c r="AD44" s="383">
        <v>0.8</v>
      </c>
      <c r="AE44" s="383">
        <v>0.8</v>
      </c>
      <c r="AF44" s="383">
        <v>0.8</v>
      </c>
      <c r="AG44" s="383">
        <v>0.8</v>
      </c>
      <c r="AH44" s="383">
        <v>0.8</v>
      </c>
      <c r="AI44" s="383">
        <v>0.8</v>
      </c>
      <c r="AJ44" s="383">
        <v>0.8</v>
      </c>
      <c r="AK44" s="383">
        <v>0.8</v>
      </c>
      <c r="AL44" s="383">
        <v>0.8</v>
      </c>
      <c r="AM44" s="383">
        <v>0.8</v>
      </c>
      <c r="AN44" s="383">
        <v>0.8</v>
      </c>
      <c r="AO44" s="383">
        <v>0.8</v>
      </c>
      <c r="AP44" s="383">
        <v>0.8</v>
      </c>
      <c r="AQ44" s="383">
        <v>0.8</v>
      </c>
      <c r="AR44" s="383">
        <v>0.8</v>
      </c>
      <c r="AS44" s="383">
        <v>0.8</v>
      </c>
      <c r="AT44" s="383">
        <v>0.8</v>
      </c>
      <c r="AU44" s="383">
        <v>0.8</v>
      </c>
      <c r="AV44" s="383">
        <v>0.8</v>
      </c>
      <c r="AW44" s="383">
        <v>0.8</v>
      </c>
      <c r="AX44" s="383">
        <v>0.8</v>
      </c>
      <c r="AY44" s="383">
        <v>0.8</v>
      </c>
      <c r="AZ44" s="383">
        <v>0.8</v>
      </c>
    </row>
    <row r="45" spans="1:52" s="110" customFormat="1" ht="16" x14ac:dyDescent="0.2">
      <c r="A45" s="184" t="s">
        <v>220</v>
      </c>
      <c r="B45" s="383">
        <v>0.8</v>
      </c>
      <c r="C45" s="383">
        <v>0.8</v>
      </c>
      <c r="D45" s="383">
        <v>0.8</v>
      </c>
      <c r="E45" s="383">
        <v>0.8</v>
      </c>
      <c r="F45" s="383">
        <v>0.8</v>
      </c>
      <c r="G45" s="383">
        <v>0.8</v>
      </c>
      <c r="H45" s="383">
        <v>0.8</v>
      </c>
      <c r="I45" s="383">
        <v>0.8</v>
      </c>
      <c r="J45" s="383">
        <v>0.8</v>
      </c>
      <c r="K45" s="383">
        <v>0.8</v>
      </c>
      <c r="L45" s="383">
        <v>0.8</v>
      </c>
      <c r="M45" s="383">
        <v>0.8</v>
      </c>
      <c r="N45" s="383">
        <v>0.8</v>
      </c>
      <c r="O45" s="383">
        <v>0.8</v>
      </c>
      <c r="P45" s="383">
        <v>0.8</v>
      </c>
      <c r="Q45" s="383">
        <v>0.8</v>
      </c>
      <c r="R45" s="383">
        <v>0.8</v>
      </c>
      <c r="S45" s="383">
        <v>0.8</v>
      </c>
      <c r="T45" s="383">
        <v>0.8</v>
      </c>
      <c r="U45" s="383">
        <v>0.8</v>
      </c>
      <c r="V45" s="383">
        <v>0.8</v>
      </c>
      <c r="W45" s="383">
        <v>0.8</v>
      </c>
      <c r="X45" s="383">
        <v>0.8</v>
      </c>
      <c r="Y45" s="383">
        <v>0.8</v>
      </c>
      <c r="Z45" s="383">
        <v>0.8</v>
      </c>
      <c r="AA45" s="383">
        <v>0.8</v>
      </c>
      <c r="AB45" s="383">
        <v>0.8</v>
      </c>
      <c r="AC45" s="383">
        <v>0.8</v>
      </c>
      <c r="AD45" s="383">
        <v>0.8</v>
      </c>
      <c r="AE45" s="383">
        <v>0.8</v>
      </c>
      <c r="AF45" s="383">
        <v>0.8</v>
      </c>
      <c r="AG45" s="383">
        <v>0.8</v>
      </c>
      <c r="AH45" s="383">
        <v>0.8</v>
      </c>
      <c r="AI45" s="383">
        <v>0.8</v>
      </c>
      <c r="AJ45" s="383">
        <v>0.8</v>
      </c>
      <c r="AK45" s="383">
        <v>0.8</v>
      </c>
      <c r="AL45" s="383">
        <v>0.8</v>
      </c>
      <c r="AM45" s="383">
        <v>0.8</v>
      </c>
      <c r="AN45" s="383">
        <v>0.8</v>
      </c>
      <c r="AO45" s="383">
        <v>0.8</v>
      </c>
      <c r="AP45" s="383">
        <v>0.8</v>
      </c>
      <c r="AQ45" s="383">
        <v>0.8</v>
      </c>
      <c r="AR45" s="383">
        <v>0.8</v>
      </c>
      <c r="AS45" s="383">
        <v>0.8</v>
      </c>
      <c r="AT45" s="383">
        <v>0.8</v>
      </c>
      <c r="AU45" s="383">
        <v>0.8</v>
      </c>
      <c r="AV45" s="383">
        <v>0.8</v>
      </c>
      <c r="AW45" s="383">
        <v>0.8</v>
      </c>
      <c r="AX45" s="383">
        <v>0.8</v>
      </c>
      <c r="AY45" s="383">
        <v>0.8</v>
      </c>
      <c r="AZ45" s="383">
        <v>0.8</v>
      </c>
    </row>
    <row r="46" spans="1:52" s="110" customFormat="1" ht="16" x14ac:dyDescent="0.2">
      <c r="A46" s="184" t="s">
        <v>221</v>
      </c>
      <c r="B46" s="383">
        <v>0.8</v>
      </c>
      <c r="C46" s="383">
        <v>0.8</v>
      </c>
      <c r="D46" s="383">
        <v>0.8</v>
      </c>
      <c r="E46" s="383">
        <v>0.8</v>
      </c>
      <c r="F46" s="383">
        <v>0.8</v>
      </c>
      <c r="G46" s="383">
        <v>0.8</v>
      </c>
      <c r="H46" s="383">
        <v>0.8</v>
      </c>
      <c r="I46" s="383">
        <v>0.8</v>
      </c>
      <c r="J46" s="383">
        <v>0.8</v>
      </c>
      <c r="K46" s="383">
        <v>0.8</v>
      </c>
      <c r="L46" s="383">
        <v>0.8</v>
      </c>
      <c r="M46" s="383">
        <v>0.8</v>
      </c>
      <c r="N46" s="383">
        <v>0.8</v>
      </c>
      <c r="O46" s="383">
        <v>0.8</v>
      </c>
      <c r="P46" s="383">
        <v>0.8</v>
      </c>
      <c r="Q46" s="383">
        <v>0.8</v>
      </c>
      <c r="R46" s="383">
        <v>0.8</v>
      </c>
      <c r="S46" s="383">
        <v>0.8</v>
      </c>
      <c r="T46" s="383">
        <v>0.8</v>
      </c>
      <c r="U46" s="383">
        <v>0.8</v>
      </c>
      <c r="V46" s="383">
        <v>0.8</v>
      </c>
      <c r="W46" s="383">
        <v>0.8</v>
      </c>
      <c r="X46" s="383">
        <v>0.8</v>
      </c>
      <c r="Y46" s="383">
        <v>0.8</v>
      </c>
      <c r="Z46" s="383">
        <v>0.8</v>
      </c>
      <c r="AA46" s="383">
        <v>0.8</v>
      </c>
      <c r="AB46" s="383">
        <v>0.8</v>
      </c>
      <c r="AC46" s="383">
        <v>0.8</v>
      </c>
      <c r="AD46" s="383">
        <v>0.8</v>
      </c>
      <c r="AE46" s="383">
        <v>0.8</v>
      </c>
      <c r="AF46" s="383">
        <v>0.8</v>
      </c>
      <c r="AG46" s="383">
        <v>0.8</v>
      </c>
      <c r="AH46" s="383">
        <v>0.8</v>
      </c>
      <c r="AI46" s="383">
        <v>0.8</v>
      </c>
      <c r="AJ46" s="383">
        <v>0.8</v>
      </c>
      <c r="AK46" s="383">
        <v>0.8</v>
      </c>
      <c r="AL46" s="383">
        <v>0.8</v>
      </c>
      <c r="AM46" s="383">
        <v>0.8</v>
      </c>
      <c r="AN46" s="383">
        <v>0.8</v>
      </c>
      <c r="AO46" s="383">
        <v>0.8</v>
      </c>
      <c r="AP46" s="383">
        <v>0.8</v>
      </c>
      <c r="AQ46" s="383">
        <v>0.8</v>
      </c>
      <c r="AR46" s="383">
        <v>0.8</v>
      </c>
      <c r="AS46" s="383">
        <v>0.8</v>
      </c>
      <c r="AT46" s="383">
        <v>0.8</v>
      </c>
      <c r="AU46" s="383">
        <v>0.8</v>
      </c>
      <c r="AV46" s="383">
        <v>0.8</v>
      </c>
      <c r="AW46" s="383">
        <v>0.8</v>
      </c>
      <c r="AX46" s="383">
        <v>0.8</v>
      </c>
      <c r="AY46" s="383">
        <v>0.8</v>
      </c>
      <c r="AZ46" s="383">
        <v>0.8</v>
      </c>
    </row>
    <row r="47" spans="1:52" s="134" customFormat="1" ht="16" x14ac:dyDescent="0.2">
      <c r="A47" s="184" t="s">
        <v>222</v>
      </c>
      <c r="B47" s="383">
        <v>0.8</v>
      </c>
      <c r="C47" s="383">
        <v>0.8</v>
      </c>
      <c r="D47" s="383">
        <v>0.8</v>
      </c>
      <c r="E47" s="383">
        <v>0.8</v>
      </c>
      <c r="F47" s="383">
        <v>0.8</v>
      </c>
      <c r="G47" s="383">
        <v>0.8</v>
      </c>
      <c r="H47" s="383">
        <v>0.8</v>
      </c>
      <c r="I47" s="383">
        <v>0.8</v>
      </c>
      <c r="J47" s="383">
        <v>0.8</v>
      </c>
      <c r="K47" s="383">
        <v>0.8</v>
      </c>
      <c r="L47" s="383">
        <v>0.8</v>
      </c>
      <c r="M47" s="383">
        <v>0.8</v>
      </c>
      <c r="N47" s="383">
        <v>0.8</v>
      </c>
      <c r="O47" s="383">
        <v>0.8</v>
      </c>
      <c r="P47" s="383">
        <v>0.8</v>
      </c>
      <c r="Q47" s="383">
        <v>0.8</v>
      </c>
      <c r="R47" s="383">
        <v>0.8</v>
      </c>
      <c r="S47" s="383">
        <v>0.8</v>
      </c>
      <c r="T47" s="383">
        <v>0.8</v>
      </c>
      <c r="U47" s="383">
        <v>0.8</v>
      </c>
      <c r="V47" s="383">
        <v>0.8</v>
      </c>
      <c r="W47" s="383">
        <v>0.8</v>
      </c>
      <c r="X47" s="383">
        <v>0.8</v>
      </c>
      <c r="Y47" s="383">
        <v>0.8</v>
      </c>
      <c r="Z47" s="383">
        <v>0.8</v>
      </c>
      <c r="AA47" s="383">
        <v>0.8</v>
      </c>
      <c r="AB47" s="383">
        <v>0.8</v>
      </c>
      <c r="AC47" s="383">
        <v>0.8</v>
      </c>
      <c r="AD47" s="383">
        <v>0.8</v>
      </c>
      <c r="AE47" s="383">
        <v>0.8</v>
      </c>
      <c r="AF47" s="383">
        <v>0.8</v>
      </c>
      <c r="AG47" s="383">
        <v>0.8</v>
      </c>
      <c r="AH47" s="383">
        <v>0.8</v>
      </c>
      <c r="AI47" s="383">
        <v>0.8</v>
      </c>
      <c r="AJ47" s="383">
        <v>0.8</v>
      </c>
      <c r="AK47" s="383">
        <v>0.8</v>
      </c>
      <c r="AL47" s="383">
        <v>0.8</v>
      </c>
      <c r="AM47" s="383">
        <v>0.8</v>
      </c>
      <c r="AN47" s="383">
        <v>0.8</v>
      </c>
      <c r="AO47" s="383">
        <v>0.8</v>
      </c>
      <c r="AP47" s="383">
        <v>0.8</v>
      </c>
      <c r="AQ47" s="383">
        <v>0.8</v>
      </c>
      <c r="AR47" s="383">
        <v>0.8</v>
      </c>
      <c r="AS47" s="383">
        <v>0.8</v>
      </c>
      <c r="AT47" s="383">
        <v>0.8</v>
      </c>
      <c r="AU47" s="383">
        <v>0.8</v>
      </c>
      <c r="AV47" s="383">
        <v>0.8</v>
      </c>
      <c r="AW47" s="383">
        <v>0.8</v>
      </c>
      <c r="AX47" s="383">
        <v>0.8</v>
      </c>
      <c r="AY47" s="383">
        <v>0.8</v>
      </c>
      <c r="AZ47" s="383">
        <v>0.8</v>
      </c>
    </row>
    <row r="48" spans="1:52" s="134" customFormat="1" ht="16" x14ac:dyDescent="0.2">
      <c r="A48" s="184" t="s">
        <v>223</v>
      </c>
      <c r="B48" s="383">
        <v>0.8</v>
      </c>
      <c r="C48" s="383">
        <v>0.8</v>
      </c>
      <c r="D48" s="383">
        <v>0.8</v>
      </c>
      <c r="E48" s="383">
        <v>0.8</v>
      </c>
      <c r="F48" s="383">
        <v>0.8</v>
      </c>
      <c r="G48" s="383">
        <v>0.8</v>
      </c>
      <c r="H48" s="383">
        <v>0.8</v>
      </c>
      <c r="I48" s="383">
        <v>0.8</v>
      </c>
      <c r="J48" s="383">
        <v>0.8</v>
      </c>
      <c r="K48" s="383">
        <v>0.8</v>
      </c>
      <c r="L48" s="383">
        <v>0.8</v>
      </c>
      <c r="M48" s="383">
        <v>0.8</v>
      </c>
      <c r="N48" s="383">
        <v>0.8</v>
      </c>
      <c r="O48" s="383">
        <v>0.8</v>
      </c>
      <c r="P48" s="383">
        <v>0.8</v>
      </c>
      <c r="Q48" s="383">
        <v>0.8</v>
      </c>
      <c r="R48" s="383">
        <v>0.8</v>
      </c>
      <c r="S48" s="383">
        <v>0.8</v>
      </c>
      <c r="T48" s="383">
        <v>0.8</v>
      </c>
      <c r="U48" s="383">
        <v>0.8</v>
      </c>
      <c r="V48" s="383">
        <v>0.8</v>
      </c>
      <c r="W48" s="383">
        <v>0.8</v>
      </c>
      <c r="X48" s="383">
        <v>0.8</v>
      </c>
      <c r="Y48" s="383">
        <v>0.8</v>
      </c>
      <c r="Z48" s="383">
        <v>0.8</v>
      </c>
      <c r="AA48" s="383">
        <v>0.8</v>
      </c>
      <c r="AB48" s="383">
        <v>0.8</v>
      </c>
      <c r="AC48" s="383">
        <v>0.8</v>
      </c>
      <c r="AD48" s="383">
        <v>0.8</v>
      </c>
      <c r="AE48" s="383">
        <v>0.8</v>
      </c>
      <c r="AF48" s="383">
        <v>0.8</v>
      </c>
      <c r="AG48" s="383">
        <v>0.8</v>
      </c>
      <c r="AH48" s="383">
        <v>0.8</v>
      </c>
      <c r="AI48" s="383">
        <v>0.8</v>
      </c>
      <c r="AJ48" s="383">
        <v>0.8</v>
      </c>
      <c r="AK48" s="383">
        <v>0.8</v>
      </c>
      <c r="AL48" s="383">
        <v>0.8</v>
      </c>
      <c r="AM48" s="383">
        <v>0.8</v>
      </c>
      <c r="AN48" s="383">
        <v>0.8</v>
      </c>
      <c r="AO48" s="383">
        <v>0.8</v>
      </c>
      <c r="AP48" s="383">
        <v>0.8</v>
      </c>
      <c r="AQ48" s="383">
        <v>0.8</v>
      </c>
      <c r="AR48" s="383">
        <v>0.8</v>
      </c>
      <c r="AS48" s="383">
        <v>0.8</v>
      </c>
      <c r="AT48" s="383">
        <v>0.8</v>
      </c>
      <c r="AU48" s="383">
        <v>0.8</v>
      </c>
      <c r="AV48" s="383">
        <v>0.8</v>
      </c>
      <c r="AW48" s="383">
        <v>0.8</v>
      </c>
      <c r="AX48" s="383">
        <v>0.8</v>
      </c>
      <c r="AY48" s="383">
        <v>0.8</v>
      </c>
      <c r="AZ48" s="383">
        <v>0.8</v>
      </c>
    </row>
    <row r="49" spans="1:52" s="110" customFormat="1" ht="16" x14ac:dyDescent="0.2">
      <c r="A49" s="184" t="s">
        <v>224</v>
      </c>
      <c r="B49" s="383">
        <v>0.8</v>
      </c>
      <c r="C49" s="383">
        <v>0.8</v>
      </c>
      <c r="D49" s="383">
        <v>0.8</v>
      </c>
      <c r="E49" s="383">
        <v>0.8</v>
      </c>
      <c r="F49" s="383">
        <v>0.8</v>
      </c>
      <c r="G49" s="383">
        <v>0.8</v>
      </c>
      <c r="H49" s="383">
        <v>0.8</v>
      </c>
      <c r="I49" s="383">
        <v>0.8</v>
      </c>
      <c r="J49" s="383">
        <v>0.8</v>
      </c>
      <c r="K49" s="383">
        <v>0.8</v>
      </c>
      <c r="L49" s="383">
        <v>0.8</v>
      </c>
      <c r="M49" s="383">
        <v>0.8</v>
      </c>
      <c r="N49" s="383">
        <v>0.8</v>
      </c>
      <c r="O49" s="383">
        <v>0.8</v>
      </c>
      <c r="P49" s="383">
        <v>0.8</v>
      </c>
      <c r="Q49" s="383">
        <v>0.8</v>
      </c>
      <c r="R49" s="383">
        <v>0.8</v>
      </c>
      <c r="S49" s="383">
        <v>0.8</v>
      </c>
      <c r="T49" s="383">
        <v>0.8</v>
      </c>
      <c r="U49" s="383">
        <v>0.8</v>
      </c>
      <c r="V49" s="383">
        <v>0.8</v>
      </c>
      <c r="W49" s="383">
        <v>0.8</v>
      </c>
      <c r="X49" s="383">
        <v>0.8</v>
      </c>
      <c r="Y49" s="383">
        <v>0.8</v>
      </c>
      <c r="Z49" s="383">
        <v>0.8</v>
      </c>
      <c r="AA49" s="383">
        <v>0.8</v>
      </c>
      <c r="AB49" s="383">
        <v>0.8</v>
      </c>
      <c r="AC49" s="383">
        <v>0.8</v>
      </c>
      <c r="AD49" s="383">
        <v>0.8</v>
      </c>
      <c r="AE49" s="383">
        <v>0.8</v>
      </c>
      <c r="AF49" s="383">
        <v>0.8</v>
      </c>
      <c r="AG49" s="383">
        <v>0.8</v>
      </c>
      <c r="AH49" s="383">
        <v>0.8</v>
      </c>
      <c r="AI49" s="383">
        <v>0.8</v>
      </c>
      <c r="AJ49" s="383">
        <v>0.8</v>
      </c>
      <c r="AK49" s="383">
        <v>0.8</v>
      </c>
      <c r="AL49" s="383">
        <v>0.8</v>
      </c>
      <c r="AM49" s="383">
        <v>0.8</v>
      </c>
      <c r="AN49" s="383">
        <v>0.8</v>
      </c>
      <c r="AO49" s="383">
        <v>0.8</v>
      </c>
      <c r="AP49" s="383">
        <v>0.8</v>
      </c>
      <c r="AQ49" s="383">
        <v>0.8</v>
      </c>
      <c r="AR49" s="383">
        <v>0.8</v>
      </c>
      <c r="AS49" s="383">
        <v>0.8</v>
      </c>
      <c r="AT49" s="383">
        <v>0.8</v>
      </c>
      <c r="AU49" s="383">
        <v>0.8</v>
      </c>
      <c r="AV49" s="383">
        <v>0.8</v>
      </c>
      <c r="AW49" s="383">
        <v>0.8</v>
      </c>
      <c r="AX49" s="383">
        <v>0.8</v>
      </c>
      <c r="AY49" s="383">
        <v>0.8</v>
      </c>
      <c r="AZ49" s="383">
        <v>0.8</v>
      </c>
    </row>
    <row r="50" spans="1:52" s="110" customFormat="1" ht="16" x14ac:dyDescent="0.2">
      <c r="A50" s="184" t="s">
        <v>225</v>
      </c>
      <c r="B50" s="383">
        <v>0.8</v>
      </c>
      <c r="C50" s="383">
        <v>0.8</v>
      </c>
      <c r="D50" s="383">
        <v>0.8</v>
      </c>
      <c r="E50" s="383">
        <v>0.8</v>
      </c>
      <c r="F50" s="383">
        <v>0.8</v>
      </c>
      <c r="G50" s="383">
        <v>0.8</v>
      </c>
      <c r="H50" s="383">
        <v>0.8</v>
      </c>
      <c r="I50" s="383">
        <v>0.8</v>
      </c>
      <c r="J50" s="383">
        <v>0.8</v>
      </c>
      <c r="K50" s="383">
        <v>0.8</v>
      </c>
      <c r="L50" s="383">
        <v>0.8</v>
      </c>
      <c r="M50" s="383">
        <v>0.8</v>
      </c>
      <c r="N50" s="383">
        <v>0.8</v>
      </c>
      <c r="O50" s="383">
        <v>0.8</v>
      </c>
      <c r="P50" s="383">
        <v>0.8</v>
      </c>
      <c r="Q50" s="383">
        <v>0.8</v>
      </c>
      <c r="R50" s="383">
        <v>0.8</v>
      </c>
      <c r="S50" s="383">
        <v>0.8</v>
      </c>
      <c r="T50" s="383">
        <v>0.8</v>
      </c>
      <c r="U50" s="383">
        <v>0.8</v>
      </c>
      <c r="V50" s="383">
        <v>0.8</v>
      </c>
      <c r="W50" s="383">
        <v>0.8</v>
      </c>
      <c r="X50" s="383">
        <v>0.8</v>
      </c>
      <c r="Y50" s="383">
        <v>0.8</v>
      </c>
      <c r="Z50" s="383">
        <v>0.8</v>
      </c>
      <c r="AA50" s="383">
        <v>0.8</v>
      </c>
      <c r="AB50" s="383">
        <v>0.8</v>
      </c>
      <c r="AC50" s="383">
        <v>0.8</v>
      </c>
      <c r="AD50" s="383">
        <v>0.8</v>
      </c>
      <c r="AE50" s="383">
        <v>0.8</v>
      </c>
      <c r="AF50" s="383">
        <v>0.8</v>
      </c>
      <c r="AG50" s="383">
        <v>0.8</v>
      </c>
      <c r="AH50" s="383">
        <v>0.8</v>
      </c>
      <c r="AI50" s="383">
        <v>0.8</v>
      </c>
      <c r="AJ50" s="383">
        <v>0.8</v>
      </c>
      <c r="AK50" s="383">
        <v>0.8</v>
      </c>
      <c r="AL50" s="383">
        <v>0.8</v>
      </c>
      <c r="AM50" s="383">
        <v>0.8</v>
      </c>
      <c r="AN50" s="383">
        <v>0.8</v>
      </c>
      <c r="AO50" s="383">
        <v>0.8</v>
      </c>
      <c r="AP50" s="383">
        <v>0.8</v>
      </c>
      <c r="AQ50" s="383">
        <v>0.8</v>
      </c>
      <c r="AR50" s="383">
        <v>0.8</v>
      </c>
      <c r="AS50" s="383">
        <v>0.8</v>
      </c>
      <c r="AT50" s="383">
        <v>0.8</v>
      </c>
      <c r="AU50" s="383">
        <v>0.8</v>
      </c>
      <c r="AV50" s="383">
        <v>0.8</v>
      </c>
      <c r="AW50" s="383">
        <v>0.8</v>
      </c>
      <c r="AX50" s="383">
        <v>0.8</v>
      </c>
      <c r="AY50" s="383">
        <v>0.8</v>
      </c>
      <c r="AZ50" s="383">
        <v>0.8</v>
      </c>
    </row>
    <row r="51" spans="1:52" s="110" customFormat="1" ht="16" x14ac:dyDescent="0.2">
      <c r="A51" s="184" t="s">
        <v>124</v>
      </c>
      <c r="B51" s="383">
        <v>0.8</v>
      </c>
      <c r="C51" s="383">
        <v>0.8</v>
      </c>
      <c r="D51" s="383">
        <v>0.8</v>
      </c>
      <c r="E51" s="383">
        <v>0.8</v>
      </c>
      <c r="F51" s="383">
        <v>0.8</v>
      </c>
      <c r="G51" s="383">
        <v>0.8</v>
      </c>
      <c r="H51" s="383">
        <v>0.8</v>
      </c>
      <c r="I51" s="383">
        <v>0.8</v>
      </c>
      <c r="J51" s="383">
        <v>0.8</v>
      </c>
      <c r="K51" s="383">
        <v>0.8</v>
      </c>
      <c r="L51" s="383">
        <v>0.8</v>
      </c>
      <c r="M51" s="383">
        <v>0.8</v>
      </c>
      <c r="N51" s="383">
        <v>0.8</v>
      </c>
      <c r="O51" s="383">
        <v>0.8</v>
      </c>
      <c r="P51" s="383">
        <v>0.8</v>
      </c>
      <c r="Q51" s="383">
        <v>0.8</v>
      </c>
      <c r="R51" s="383">
        <v>0.8</v>
      </c>
      <c r="S51" s="383">
        <v>0.8</v>
      </c>
      <c r="T51" s="383">
        <v>0.8</v>
      </c>
      <c r="U51" s="383">
        <v>0.8</v>
      </c>
      <c r="V51" s="383">
        <v>0.8</v>
      </c>
      <c r="W51" s="383">
        <v>0.8</v>
      </c>
      <c r="X51" s="383">
        <v>0.8</v>
      </c>
      <c r="Y51" s="383">
        <v>0.8</v>
      </c>
      <c r="Z51" s="383">
        <v>0.8</v>
      </c>
      <c r="AA51" s="383">
        <v>0.8</v>
      </c>
      <c r="AB51" s="383">
        <v>0.8</v>
      </c>
      <c r="AC51" s="383">
        <v>0.8</v>
      </c>
      <c r="AD51" s="383">
        <v>0.8</v>
      </c>
      <c r="AE51" s="383">
        <v>0.8</v>
      </c>
      <c r="AF51" s="383">
        <v>0.8</v>
      </c>
      <c r="AG51" s="383">
        <v>0.8</v>
      </c>
      <c r="AH51" s="383">
        <v>0.8</v>
      </c>
      <c r="AI51" s="383">
        <v>0.8</v>
      </c>
      <c r="AJ51" s="383">
        <v>0.8</v>
      </c>
      <c r="AK51" s="383">
        <v>0.8</v>
      </c>
      <c r="AL51" s="383">
        <v>0.8</v>
      </c>
      <c r="AM51" s="383">
        <v>0.8</v>
      </c>
      <c r="AN51" s="383">
        <v>0.8</v>
      </c>
      <c r="AO51" s="383">
        <v>0.8</v>
      </c>
      <c r="AP51" s="383">
        <v>0.8</v>
      </c>
      <c r="AQ51" s="383">
        <v>0.8</v>
      </c>
      <c r="AR51" s="383">
        <v>0.8</v>
      </c>
      <c r="AS51" s="383">
        <v>0.8</v>
      </c>
      <c r="AT51" s="383">
        <v>0.8</v>
      </c>
      <c r="AU51" s="383">
        <v>0.8</v>
      </c>
      <c r="AV51" s="383">
        <v>0.8</v>
      </c>
      <c r="AW51" s="383">
        <v>0.8</v>
      </c>
      <c r="AX51" s="383">
        <v>0.8</v>
      </c>
      <c r="AY51" s="383">
        <v>0.8</v>
      </c>
      <c r="AZ51" s="383">
        <v>0.8</v>
      </c>
    </row>
    <row r="52" spans="1:52" s="110" customFormat="1" ht="16" x14ac:dyDescent="0.2">
      <c r="A52" s="184" t="s">
        <v>125</v>
      </c>
      <c r="B52" s="383">
        <v>0.8</v>
      </c>
      <c r="C52" s="383">
        <v>0.8</v>
      </c>
      <c r="D52" s="383">
        <v>0.8</v>
      </c>
      <c r="E52" s="383">
        <v>0.8</v>
      </c>
      <c r="F52" s="383">
        <v>0.8</v>
      </c>
      <c r="G52" s="383">
        <v>0.8</v>
      </c>
      <c r="H52" s="383">
        <v>0.8</v>
      </c>
      <c r="I52" s="383">
        <v>0.8</v>
      </c>
      <c r="J52" s="383">
        <v>0.8</v>
      </c>
      <c r="K52" s="383">
        <v>0.8</v>
      </c>
      <c r="L52" s="383">
        <v>0.8</v>
      </c>
      <c r="M52" s="383">
        <v>0.8</v>
      </c>
      <c r="N52" s="383">
        <v>0.8</v>
      </c>
      <c r="O52" s="383">
        <v>0.8</v>
      </c>
      <c r="P52" s="383">
        <v>0.8</v>
      </c>
      <c r="Q52" s="383">
        <v>0.8</v>
      </c>
      <c r="R52" s="383">
        <v>0.8</v>
      </c>
      <c r="S52" s="383">
        <v>0.8</v>
      </c>
      <c r="T52" s="383">
        <v>0.8</v>
      </c>
      <c r="U52" s="383">
        <v>0.8</v>
      </c>
      <c r="V52" s="383">
        <v>0.8</v>
      </c>
      <c r="W52" s="383">
        <v>0.8</v>
      </c>
      <c r="X52" s="383">
        <v>0.8</v>
      </c>
      <c r="Y52" s="383">
        <v>0.8</v>
      </c>
      <c r="Z52" s="383">
        <v>0.8</v>
      </c>
      <c r="AA52" s="383">
        <v>0.8</v>
      </c>
      <c r="AB52" s="383">
        <v>0.8</v>
      </c>
      <c r="AC52" s="383">
        <v>0.8</v>
      </c>
      <c r="AD52" s="383">
        <v>0.8</v>
      </c>
      <c r="AE52" s="383">
        <v>0.8</v>
      </c>
      <c r="AF52" s="383">
        <v>0.8</v>
      </c>
      <c r="AG52" s="383">
        <v>0.8</v>
      </c>
      <c r="AH52" s="383">
        <v>0.8</v>
      </c>
      <c r="AI52" s="383">
        <v>0.8</v>
      </c>
      <c r="AJ52" s="383">
        <v>0.8</v>
      </c>
      <c r="AK52" s="383">
        <v>0.8</v>
      </c>
      <c r="AL52" s="383">
        <v>0.8</v>
      </c>
      <c r="AM52" s="383">
        <v>0.8</v>
      </c>
      <c r="AN52" s="383">
        <v>0.8</v>
      </c>
      <c r="AO52" s="383">
        <v>0.8</v>
      </c>
      <c r="AP52" s="383">
        <v>0.8</v>
      </c>
      <c r="AQ52" s="383">
        <v>0.8</v>
      </c>
      <c r="AR52" s="383">
        <v>0.8</v>
      </c>
      <c r="AS52" s="383">
        <v>0.8</v>
      </c>
      <c r="AT52" s="383">
        <v>0.8</v>
      </c>
      <c r="AU52" s="383">
        <v>0.8</v>
      </c>
      <c r="AV52" s="383">
        <v>0.8</v>
      </c>
      <c r="AW52" s="383">
        <v>0.8</v>
      </c>
      <c r="AX52" s="383">
        <v>0.8</v>
      </c>
      <c r="AY52" s="383">
        <v>0.8</v>
      </c>
      <c r="AZ52" s="383">
        <v>0.8</v>
      </c>
    </row>
    <row r="53" spans="1:52" s="110" customFormat="1" ht="16" x14ac:dyDescent="0.2">
      <c r="A53" s="136" t="s">
        <v>163</v>
      </c>
      <c r="B53" s="383">
        <v>0.8</v>
      </c>
      <c r="C53" s="383">
        <v>0.8</v>
      </c>
      <c r="D53" s="383">
        <v>0.8</v>
      </c>
      <c r="E53" s="383">
        <v>0.8</v>
      </c>
      <c r="F53" s="383">
        <v>0.8</v>
      </c>
      <c r="G53" s="383">
        <v>0.8</v>
      </c>
      <c r="H53" s="383">
        <v>0.8</v>
      </c>
      <c r="I53" s="383">
        <v>0.8</v>
      </c>
      <c r="J53" s="383">
        <v>0.8</v>
      </c>
      <c r="K53" s="383">
        <v>0.8</v>
      </c>
      <c r="L53" s="383">
        <v>0.8</v>
      </c>
      <c r="M53" s="383">
        <v>0.8</v>
      </c>
      <c r="N53" s="383">
        <v>0.8</v>
      </c>
      <c r="O53" s="383">
        <v>0.8</v>
      </c>
      <c r="P53" s="383">
        <v>0.8</v>
      </c>
      <c r="Q53" s="383">
        <v>0.8</v>
      </c>
      <c r="R53" s="383">
        <v>0.8</v>
      </c>
      <c r="S53" s="383">
        <v>0.8</v>
      </c>
      <c r="T53" s="383">
        <v>0.8</v>
      </c>
      <c r="U53" s="383">
        <v>0.8</v>
      </c>
      <c r="V53" s="383">
        <v>0.8</v>
      </c>
      <c r="W53" s="383">
        <v>0.8</v>
      </c>
      <c r="X53" s="383">
        <v>0.8</v>
      </c>
      <c r="Y53" s="383">
        <v>0.8</v>
      </c>
      <c r="Z53" s="383">
        <v>0.8</v>
      </c>
      <c r="AA53" s="383">
        <v>0.8</v>
      </c>
      <c r="AB53" s="383">
        <v>0.8</v>
      </c>
      <c r="AC53" s="383">
        <v>0.8</v>
      </c>
      <c r="AD53" s="383">
        <v>0.8</v>
      </c>
      <c r="AE53" s="383">
        <v>0.8</v>
      </c>
      <c r="AF53" s="383">
        <v>0.8</v>
      </c>
      <c r="AG53" s="383">
        <v>0.8</v>
      </c>
      <c r="AH53" s="383">
        <v>0.8</v>
      </c>
      <c r="AI53" s="383">
        <v>0.8</v>
      </c>
      <c r="AJ53" s="383">
        <v>0.8</v>
      </c>
      <c r="AK53" s="383">
        <v>0.8</v>
      </c>
      <c r="AL53" s="383">
        <v>0.8</v>
      </c>
      <c r="AM53" s="383">
        <v>0.8</v>
      </c>
      <c r="AN53" s="383">
        <v>0.8</v>
      </c>
      <c r="AO53" s="383">
        <v>0.8</v>
      </c>
      <c r="AP53" s="383">
        <v>0.8</v>
      </c>
      <c r="AQ53" s="383">
        <v>0.8</v>
      </c>
      <c r="AR53" s="383">
        <v>0.8</v>
      </c>
      <c r="AS53" s="383">
        <v>0.8</v>
      </c>
      <c r="AT53" s="383">
        <v>0.8</v>
      </c>
      <c r="AU53" s="383">
        <v>0.8</v>
      </c>
      <c r="AV53" s="383">
        <v>0.8</v>
      </c>
      <c r="AW53" s="383">
        <v>0.8</v>
      </c>
      <c r="AX53" s="383">
        <v>0.8</v>
      </c>
      <c r="AY53" s="383">
        <v>0.8</v>
      </c>
      <c r="AZ53" s="383">
        <v>0.8</v>
      </c>
    </row>
    <row r="54" spans="1:52" s="110" customFormat="1" ht="16" x14ac:dyDescent="0.2">
      <c r="AU54" s="134"/>
      <c r="AV54" s="134"/>
    </row>
    <row r="55" spans="1:52" s="110" customFormat="1" ht="16" x14ac:dyDescent="0.2">
      <c r="AU55" s="134"/>
      <c r="AV55" s="134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indexed="51"/>
  </sheetPr>
  <dimension ref="A1:AZ53"/>
  <sheetViews>
    <sheetView workbookViewId="0">
      <selection activeCell="A55" sqref="A55"/>
    </sheetView>
  </sheetViews>
  <sheetFormatPr baseColWidth="10" defaultRowHeight="14" customHeight="1" x14ac:dyDescent="0.2"/>
  <cols>
    <col min="1" max="1" width="39.83203125" style="172" bestFit="1" customWidth="1"/>
    <col min="2" max="46" width="10.83203125" style="172"/>
    <col min="47" max="48" width="10.83203125" style="110"/>
    <col min="49" max="16384" width="10.83203125" style="172"/>
  </cols>
  <sheetData>
    <row r="1" spans="1:52" ht="16" x14ac:dyDescent="0.2">
      <c r="A1" s="175" t="s">
        <v>141</v>
      </c>
      <c r="B1" s="154" t="s">
        <v>181</v>
      </c>
      <c r="C1" s="154" t="s">
        <v>182</v>
      </c>
      <c r="D1" s="154" t="s">
        <v>176</v>
      </c>
      <c r="E1" s="154" t="s">
        <v>183</v>
      </c>
      <c r="F1" s="154" t="s">
        <v>184</v>
      </c>
      <c r="G1" s="136" t="s">
        <v>185</v>
      </c>
      <c r="H1" s="154" t="s">
        <v>186</v>
      </c>
      <c r="I1" s="154" t="s">
        <v>187</v>
      </c>
      <c r="J1" s="154" t="s">
        <v>189</v>
      </c>
      <c r="K1" s="154" t="s">
        <v>190</v>
      </c>
      <c r="L1" s="154" t="s">
        <v>191</v>
      </c>
      <c r="M1" s="154" t="s">
        <v>192</v>
      </c>
      <c r="N1" s="154" t="s">
        <v>193</v>
      </c>
      <c r="O1" s="154" t="s">
        <v>194</v>
      </c>
      <c r="P1" s="154" t="s">
        <v>195</v>
      </c>
      <c r="Q1" s="154" t="s">
        <v>196</v>
      </c>
      <c r="R1" s="154" t="s">
        <v>197</v>
      </c>
      <c r="S1" s="154" t="s">
        <v>198</v>
      </c>
      <c r="T1" s="154" t="s">
        <v>199</v>
      </c>
      <c r="U1" s="154" t="s">
        <v>200</v>
      </c>
      <c r="V1" s="154" t="s">
        <v>201</v>
      </c>
      <c r="W1" s="154" t="s">
        <v>202</v>
      </c>
      <c r="X1" s="154" t="s">
        <v>203</v>
      </c>
      <c r="Y1" s="154" t="s">
        <v>204</v>
      </c>
      <c r="Z1" s="154" t="s">
        <v>205</v>
      </c>
      <c r="AA1" s="154" t="s">
        <v>206</v>
      </c>
      <c r="AB1" s="154" t="s">
        <v>207</v>
      </c>
      <c r="AC1" s="154" t="s">
        <v>261</v>
      </c>
      <c r="AD1" s="154" t="s">
        <v>262</v>
      </c>
      <c r="AE1" s="154" t="s">
        <v>263</v>
      </c>
      <c r="AF1" s="154" t="s">
        <v>264</v>
      </c>
      <c r="AG1" s="154" t="s">
        <v>208</v>
      </c>
      <c r="AH1" s="154" t="s">
        <v>209</v>
      </c>
      <c r="AI1" s="154" t="s">
        <v>210</v>
      </c>
      <c r="AJ1" s="154" t="s">
        <v>211</v>
      </c>
      <c r="AK1" s="154" t="s">
        <v>212</v>
      </c>
      <c r="AL1" s="154" t="s">
        <v>213</v>
      </c>
      <c r="AM1" s="154" t="s">
        <v>214</v>
      </c>
      <c r="AN1" s="154" t="s">
        <v>215</v>
      </c>
      <c r="AO1" s="154" t="s">
        <v>216</v>
      </c>
      <c r="AP1" s="154" t="s">
        <v>217</v>
      </c>
      <c r="AQ1" s="154" t="s">
        <v>218</v>
      </c>
      <c r="AR1" s="154" t="s">
        <v>219</v>
      </c>
      <c r="AS1" s="154" t="s">
        <v>220</v>
      </c>
      <c r="AT1" s="154" t="s">
        <v>221</v>
      </c>
      <c r="AU1" s="110" t="s">
        <v>222</v>
      </c>
      <c r="AV1" s="110" t="s">
        <v>223</v>
      </c>
      <c r="AW1" s="154" t="s">
        <v>224</v>
      </c>
      <c r="AX1" s="154" t="s">
        <v>225</v>
      </c>
      <c r="AY1" s="154" t="s">
        <v>124</v>
      </c>
      <c r="AZ1" s="172" t="s">
        <v>125</v>
      </c>
    </row>
    <row r="2" spans="1:52" s="110" customFormat="1" ht="16" x14ac:dyDescent="0.2">
      <c r="A2" s="184" t="s">
        <v>181</v>
      </c>
      <c r="B2" s="383">
        <v>0</v>
      </c>
      <c r="C2" s="383">
        <v>0</v>
      </c>
      <c r="D2" s="383">
        <v>0</v>
      </c>
      <c r="E2" s="383">
        <v>0</v>
      </c>
      <c r="F2" s="383">
        <v>0</v>
      </c>
      <c r="G2" s="383">
        <v>0</v>
      </c>
      <c r="H2" s="383">
        <v>0</v>
      </c>
      <c r="I2" s="383">
        <v>0</v>
      </c>
      <c r="J2" s="383">
        <v>0</v>
      </c>
      <c r="K2" s="383">
        <v>0</v>
      </c>
      <c r="L2" s="383">
        <v>0</v>
      </c>
      <c r="M2" s="383">
        <v>0</v>
      </c>
      <c r="N2" s="383">
        <v>0</v>
      </c>
      <c r="O2" s="383">
        <v>0</v>
      </c>
      <c r="P2" s="383">
        <v>0</v>
      </c>
      <c r="Q2" s="383">
        <v>0</v>
      </c>
      <c r="R2" s="383">
        <v>0</v>
      </c>
      <c r="S2" s="383">
        <v>0</v>
      </c>
      <c r="T2" s="383">
        <v>0</v>
      </c>
      <c r="U2" s="383">
        <v>0</v>
      </c>
      <c r="V2" s="383">
        <v>0</v>
      </c>
      <c r="W2" s="383">
        <v>0</v>
      </c>
      <c r="X2" s="383">
        <v>0</v>
      </c>
      <c r="Y2" s="383">
        <v>0</v>
      </c>
      <c r="Z2" s="383">
        <v>0</v>
      </c>
      <c r="AA2" s="383">
        <v>0</v>
      </c>
      <c r="AB2" s="383">
        <v>0</v>
      </c>
      <c r="AC2" s="383">
        <v>0</v>
      </c>
      <c r="AD2" s="383">
        <v>0</v>
      </c>
      <c r="AE2" s="383">
        <v>0</v>
      </c>
      <c r="AF2" s="383">
        <v>0</v>
      </c>
      <c r="AG2" s="383">
        <v>0</v>
      </c>
      <c r="AH2" s="383">
        <v>0</v>
      </c>
      <c r="AI2" s="383">
        <v>0</v>
      </c>
      <c r="AJ2" s="383">
        <v>0</v>
      </c>
      <c r="AK2" s="383">
        <v>0</v>
      </c>
      <c r="AL2" s="383">
        <v>0</v>
      </c>
      <c r="AM2" s="383">
        <v>0</v>
      </c>
      <c r="AN2" s="383">
        <v>0</v>
      </c>
      <c r="AO2" s="383">
        <v>0</v>
      </c>
      <c r="AP2" s="383">
        <v>0</v>
      </c>
      <c r="AQ2" s="383">
        <v>0</v>
      </c>
      <c r="AR2" s="383">
        <v>0</v>
      </c>
      <c r="AS2" s="383">
        <v>0</v>
      </c>
      <c r="AT2" s="383">
        <v>0</v>
      </c>
      <c r="AU2" s="383">
        <v>0</v>
      </c>
      <c r="AV2" s="383">
        <v>0</v>
      </c>
      <c r="AW2" s="383">
        <v>0</v>
      </c>
      <c r="AX2" s="383">
        <v>0</v>
      </c>
      <c r="AY2" s="383">
        <v>0</v>
      </c>
      <c r="AZ2" s="383">
        <v>0</v>
      </c>
    </row>
    <row r="3" spans="1:52" s="110" customFormat="1" ht="16" x14ac:dyDescent="0.2">
      <c r="A3" s="184" t="s">
        <v>182</v>
      </c>
      <c r="B3" s="383">
        <v>0</v>
      </c>
      <c r="C3" s="383">
        <v>0</v>
      </c>
      <c r="D3" s="383">
        <v>0</v>
      </c>
      <c r="E3" s="383">
        <v>0</v>
      </c>
      <c r="F3" s="383">
        <v>0</v>
      </c>
      <c r="G3" s="383">
        <v>0</v>
      </c>
      <c r="H3" s="383">
        <v>0</v>
      </c>
      <c r="I3" s="383">
        <v>0</v>
      </c>
      <c r="J3" s="383">
        <v>0</v>
      </c>
      <c r="K3" s="383">
        <v>0</v>
      </c>
      <c r="L3" s="383">
        <v>0</v>
      </c>
      <c r="M3" s="383">
        <v>0</v>
      </c>
      <c r="N3" s="383">
        <v>0</v>
      </c>
      <c r="O3" s="383">
        <v>0</v>
      </c>
      <c r="P3" s="383">
        <v>0</v>
      </c>
      <c r="Q3" s="383">
        <v>0</v>
      </c>
      <c r="R3" s="383">
        <v>0</v>
      </c>
      <c r="S3" s="383">
        <v>0</v>
      </c>
      <c r="T3" s="383">
        <v>0</v>
      </c>
      <c r="U3" s="383">
        <v>0</v>
      </c>
      <c r="V3" s="383">
        <v>0</v>
      </c>
      <c r="W3" s="383">
        <v>0</v>
      </c>
      <c r="X3" s="383">
        <v>0</v>
      </c>
      <c r="Y3" s="383">
        <v>0</v>
      </c>
      <c r="Z3" s="383">
        <v>0</v>
      </c>
      <c r="AA3" s="383">
        <v>0</v>
      </c>
      <c r="AB3" s="383">
        <v>0</v>
      </c>
      <c r="AC3" s="383">
        <v>0</v>
      </c>
      <c r="AD3" s="383">
        <v>0</v>
      </c>
      <c r="AE3" s="383">
        <v>0</v>
      </c>
      <c r="AF3" s="383">
        <v>0</v>
      </c>
      <c r="AG3" s="383">
        <v>0</v>
      </c>
      <c r="AH3" s="383">
        <v>0</v>
      </c>
      <c r="AI3" s="383">
        <v>0</v>
      </c>
      <c r="AJ3" s="383">
        <v>0</v>
      </c>
      <c r="AK3" s="383">
        <v>0</v>
      </c>
      <c r="AL3" s="383">
        <v>0</v>
      </c>
      <c r="AM3" s="383">
        <v>0</v>
      </c>
      <c r="AN3" s="383">
        <v>0</v>
      </c>
      <c r="AO3" s="383">
        <v>0</v>
      </c>
      <c r="AP3" s="383">
        <v>0</v>
      </c>
      <c r="AQ3" s="383">
        <v>0</v>
      </c>
      <c r="AR3" s="383">
        <v>0</v>
      </c>
      <c r="AS3" s="383">
        <v>0</v>
      </c>
      <c r="AT3" s="383">
        <v>0</v>
      </c>
      <c r="AU3" s="383">
        <v>0</v>
      </c>
      <c r="AV3" s="383">
        <v>0</v>
      </c>
      <c r="AW3" s="383">
        <v>0</v>
      </c>
      <c r="AX3" s="383">
        <v>0</v>
      </c>
      <c r="AY3" s="383">
        <v>0</v>
      </c>
      <c r="AZ3" s="383">
        <v>0</v>
      </c>
    </row>
    <row r="4" spans="1:52" s="110" customFormat="1" ht="16" x14ac:dyDescent="0.2">
      <c r="A4" s="184" t="s">
        <v>176</v>
      </c>
      <c r="B4" s="383">
        <v>0</v>
      </c>
      <c r="C4" s="383">
        <v>0</v>
      </c>
      <c r="D4" s="383">
        <v>0</v>
      </c>
      <c r="E4" s="383">
        <v>0</v>
      </c>
      <c r="F4" s="383">
        <v>0</v>
      </c>
      <c r="G4" s="383">
        <v>0</v>
      </c>
      <c r="H4" s="383">
        <v>0</v>
      </c>
      <c r="I4" s="383">
        <v>0</v>
      </c>
      <c r="J4" s="383">
        <v>0</v>
      </c>
      <c r="K4" s="383">
        <v>0</v>
      </c>
      <c r="L4" s="383">
        <v>0</v>
      </c>
      <c r="M4" s="383">
        <v>0</v>
      </c>
      <c r="N4" s="383">
        <v>0</v>
      </c>
      <c r="O4" s="383">
        <v>0</v>
      </c>
      <c r="P4" s="383">
        <v>0</v>
      </c>
      <c r="Q4" s="383">
        <v>0</v>
      </c>
      <c r="R4" s="383">
        <v>0</v>
      </c>
      <c r="S4" s="383">
        <v>0</v>
      </c>
      <c r="T4" s="383">
        <v>0</v>
      </c>
      <c r="U4" s="383">
        <v>0</v>
      </c>
      <c r="V4" s="383">
        <v>0</v>
      </c>
      <c r="W4" s="383">
        <v>0</v>
      </c>
      <c r="X4" s="383">
        <v>0</v>
      </c>
      <c r="Y4" s="383">
        <v>0</v>
      </c>
      <c r="Z4" s="383">
        <v>0</v>
      </c>
      <c r="AA4" s="383">
        <v>0</v>
      </c>
      <c r="AB4" s="383">
        <v>0</v>
      </c>
      <c r="AC4" s="383">
        <v>0</v>
      </c>
      <c r="AD4" s="383">
        <v>0</v>
      </c>
      <c r="AE4" s="383">
        <v>0</v>
      </c>
      <c r="AF4" s="383">
        <v>0</v>
      </c>
      <c r="AG4" s="383">
        <v>0</v>
      </c>
      <c r="AH4" s="383">
        <v>0</v>
      </c>
      <c r="AI4" s="383">
        <v>0</v>
      </c>
      <c r="AJ4" s="383">
        <v>0</v>
      </c>
      <c r="AK4" s="383">
        <v>0</v>
      </c>
      <c r="AL4" s="383">
        <v>0</v>
      </c>
      <c r="AM4" s="383">
        <v>0</v>
      </c>
      <c r="AN4" s="383">
        <v>0</v>
      </c>
      <c r="AO4" s="383">
        <v>0</v>
      </c>
      <c r="AP4" s="383">
        <v>0</v>
      </c>
      <c r="AQ4" s="383">
        <v>0</v>
      </c>
      <c r="AR4" s="383">
        <v>0</v>
      </c>
      <c r="AS4" s="383">
        <v>0</v>
      </c>
      <c r="AT4" s="383">
        <v>0</v>
      </c>
      <c r="AU4" s="383">
        <v>0</v>
      </c>
      <c r="AV4" s="383">
        <v>0</v>
      </c>
      <c r="AW4" s="383">
        <v>0</v>
      </c>
      <c r="AX4" s="383">
        <v>0</v>
      </c>
      <c r="AY4" s="383">
        <v>0</v>
      </c>
      <c r="AZ4" s="383">
        <v>0</v>
      </c>
    </row>
    <row r="5" spans="1:52" s="110" customFormat="1" ht="16" x14ac:dyDescent="0.2">
      <c r="A5" s="184" t="s">
        <v>183</v>
      </c>
      <c r="B5" s="383">
        <v>0</v>
      </c>
      <c r="C5" s="383">
        <v>0</v>
      </c>
      <c r="D5" s="383">
        <v>0</v>
      </c>
      <c r="E5" s="383">
        <v>0</v>
      </c>
      <c r="F5" s="383">
        <v>0</v>
      </c>
      <c r="G5" s="383">
        <v>0</v>
      </c>
      <c r="H5" s="383">
        <v>0</v>
      </c>
      <c r="I5" s="383">
        <v>0</v>
      </c>
      <c r="J5" s="383">
        <v>0</v>
      </c>
      <c r="K5" s="383">
        <v>0</v>
      </c>
      <c r="L5" s="383">
        <v>0</v>
      </c>
      <c r="M5" s="383">
        <v>0</v>
      </c>
      <c r="N5" s="383">
        <v>0</v>
      </c>
      <c r="O5" s="383">
        <v>0</v>
      </c>
      <c r="P5" s="383">
        <v>0</v>
      </c>
      <c r="Q5" s="383">
        <v>0</v>
      </c>
      <c r="R5" s="383">
        <v>0</v>
      </c>
      <c r="S5" s="383">
        <v>0</v>
      </c>
      <c r="T5" s="383">
        <v>0</v>
      </c>
      <c r="U5" s="383">
        <v>0</v>
      </c>
      <c r="V5" s="383">
        <v>0</v>
      </c>
      <c r="W5" s="383">
        <v>0</v>
      </c>
      <c r="X5" s="383">
        <v>0</v>
      </c>
      <c r="Y5" s="383">
        <v>0</v>
      </c>
      <c r="Z5" s="383">
        <v>0</v>
      </c>
      <c r="AA5" s="383">
        <v>0</v>
      </c>
      <c r="AB5" s="383">
        <v>0</v>
      </c>
      <c r="AC5" s="383">
        <v>0</v>
      </c>
      <c r="AD5" s="383">
        <v>0</v>
      </c>
      <c r="AE5" s="383">
        <v>0</v>
      </c>
      <c r="AF5" s="383">
        <v>0</v>
      </c>
      <c r="AG5" s="383">
        <v>0</v>
      </c>
      <c r="AH5" s="383">
        <v>0</v>
      </c>
      <c r="AI5" s="383">
        <v>0</v>
      </c>
      <c r="AJ5" s="383">
        <v>0</v>
      </c>
      <c r="AK5" s="383">
        <v>0</v>
      </c>
      <c r="AL5" s="383">
        <v>0</v>
      </c>
      <c r="AM5" s="383">
        <v>0</v>
      </c>
      <c r="AN5" s="383">
        <v>0</v>
      </c>
      <c r="AO5" s="383">
        <v>0</v>
      </c>
      <c r="AP5" s="383">
        <v>0</v>
      </c>
      <c r="AQ5" s="383">
        <v>0</v>
      </c>
      <c r="AR5" s="383">
        <v>0</v>
      </c>
      <c r="AS5" s="383">
        <v>0</v>
      </c>
      <c r="AT5" s="383">
        <v>0</v>
      </c>
      <c r="AU5" s="383">
        <v>0</v>
      </c>
      <c r="AV5" s="383">
        <v>0</v>
      </c>
      <c r="AW5" s="383">
        <v>0</v>
      </c>
      <c r="AX5" s="383">
        <v>0</v>
      </c>
      <c r="AY5" s="383">
        <v>0</v>
      </c>
      <c r="AZ5" s="383">
        <v>0</v>
      </c>
    </row>
    <row r="6" spans="1:52" s="110" customFormat="1" ht="16" x14ac:dyDescent="0.2">
      <c r="A6" s="184" t="s">
        <v>184</v>
      </c>
      <c r="B6" s="383">
        <v>0</v>
      </c>
      <c r="C6" s="383">
        <v>0</v>
      </c>
      <c r="D6" s="383">
        <v>0</v>
      </c>
      <c r="E6" s="383">
        <v>0</v>
      </c>
      <c r="F6" s="383">
        <v>0</v>
      </c>
      <c r="G6" s="383">
        <v>0</v>
      </c>
      <c r="H6" s="383">
        <v>0</v>
      </c>
      <c r="I6" s="383">
        <v>0</v>
      </c>
      <c r="J6" s="383">
        <v>0</v>
      </c>
      <c r="K6" s="383">
        <v>0</v>
      </c>
      <c r="L6" s="383">
        <v>0</v>
      </c>
      <c r="M6" s="383">
        <v>0</v>
      </c>
      <c r="N6" s="383">
        <v>0</v>
      </c>
      <c r="O6" s="383">
        <v>0</v>
      </c>
      <c r="P6" s="383">
        <v>0</v>
      </c>
      <c r="Q6" s="383">
        <v>0</v>
      </c>
      <c r="R6" s="383">
        <v>0</v>
      </c>
      <c r="S6" s="383">
        <v>0</v>
      </c>
      <c r="T6" s="383">
        <v>0</v>
      </c>
      <c r="U6" s="383">
        <v>0</v>
      </c>
      <c r="V6" s="383">
        <v>0</v>
      </c>
      <c r="W6" s="383">
        <v>0</v>
      </c>
      <c r="X6" s="383">
        <v>0</v>
      </c>
      <c r="Y6" s="383">
        <v>0</v>
      </c>
      <c r="Z6" s="383">
        <v>0</v>
      </c>
      <c r="AA6" s="383">
        <v>0</v>
      </c>
      <c r="AB6" s="383">
        <v>0</v>
      </c>
      <c r="AC6" s="383">
        <v>0</v>
      </c>
      <c r="AD6" s="383">
        <v>0</v>
      </c>
      <c r="AE6" s="383">
        <v>0</v>
      </c>
      <c r="AF6" s="383">
        <v>0</v>
      </c>
      <c r="AG6" s="383">
        <v>0</v>
      </c>
      <c r="AH6" s="383">
        <v>0</v>
      </c>
      <c r="AI6" s="383">
        <v>0</v>
      </c>
      <c r="AJ6" s="383">
        <v>0</v>
      </c>
      <c r="AK6" s="383">
        <v>0</v>
      </c>
      <c r="AL6" s="383">
        <v>0</v>
      </c>
      <c r="AM6" s="383">
        <v>0</v>
      </c>
      <c r="AN6" s="383">
        <v>0</v>
      </c>
      <c r="AO6" s="383">
        <v>0</v>
      </c>
      <c r="AP6" s="383">
        <v>0</v>
      </c>
      <c r="AQ6" s="383">
        <v>0</v>
      </c>
      <c r="AR6" s="383">
        <v>0</v>
      </c>
      <c r="AS6" s="383">
        <v>0</v>
      </c>
      <c r="AT6" s="383">
        <v>0</v>
      </c>
      <c r="AU6" s="383">
        <v>0</v>
      </c>
      <c r="AV6" s="383">
        <v>0</v>
      </c>
      <c r="AW6" s="383">
        <v>0</v>
      </c>
      <c r="AX6" s="383">
        <v>0</v>
      </c>
      <c r="AY6" s="383">
        <v>0</v>
      </c>
      <c r="AZ6" s="383">
        <v>0</v>
      </c>
    </row>
    <row r="7" spans="1:52" s="110" customFormat="1" ht="16" x14ac:dyDescent="0.2">
      <c r="A7" s="184" t="s">
        <v>185</v>
      </c>
      <c r="B7" s="383">
        <v>0</v>
      </c>
      <c r="C7" s="383">
        <v>0</v>
      </c>
      <c r="D7" s="383">
        <v>0</v>
      </c>
      <c r="E7" s="383">
        <v>0</v>
      </c>
      <c r="F7" s="383">
        <v>0</v>
      </c>
      <c r="G7" s="383">
        <v>0</v>
      </c>
      <c r="H7" s="383">
        <v>0</v>
      </c>
      <c r="I7" s="383">
        <v>0</v>
      </c>
      <c r="J7" s="383">
        <v>0</v>
      </c>
      <c r="K7" s="383">
        <v>0</v>
      </c>
      <c r="L7" s="383">
        <v>0</v>
      </c>
      <c r="M7" s="383">
        <v>0</v>
      </c>
      <c r="N7" s="383">
        <v>0</v>
      </c>
      <c r="O7" s="383">
        <v>0</v>
      </c>
      <c r="P7" s="383">
        <v>0</v>
      </c>
      <c r="Q7" s="383">
        <v>0</v>
      </c>
      <c r="R7" s="383">
        <v>0</v>
      </c>
      <c r="S7" s="383">
        <v>0</v>
      </c>
      <c r="T7" s="383">
        <v>0</v>
      </c>
      <c r="U7" s="383">
        <v>0</v>
      </c>
      <c r="V7" s="383">
        <v>0</v>
      </c>
      <c r="W7" s="383">
        <v>0</v>
      </c>
      <c r="X7" s="383">
        <v>0</v>
      </c>
      <c r="Y7" s="383">
        <v>0</v>
      </c>
      <c r="Z7" s="383">
        <v>0</v>
      </c>
      <c r="AA7" s="383">
        <v>0</v>
      </c>
      <c r="AB7" s="383">
        <v>0</v>
      </c>
      <c r="AC7" s="383">
        <v>0</v>
      </c>
      <c r="AD7" s="383">
        <v>0</v>
      </c>
      <c r="AE7" s="383">
        <v>0</v>
      </c>
      <c r="AF7" s="383">
        <v>0</v>
      </c>
      <c r="AG7" s="383">
        <v>0</v>
      </c>
      <c r="AH7" s="383">
        <v>0</v>
      </c>
      <c r="AI7" s="383">
        <v>0</v>
      </c>
      <c r="AJ7" s="383">
        <v>0</v>
      </c>
      <c r="AK7" s="383">
        <v>0</v>
      </c>
      <c r="AL7" s="383">
        <v>0</v>
      </c>
      <c r="AM7" s="383">
        <v>0</v>
      </c>
      <c r="AN7" s="383">
        <v>0</v>
      </c>
      <c r="AO7" s="383">
        <v>0</v>
      </c>
      <c r="AP7" s="383">
        <v>0</v>
      </c>
      <c r="AQ7" s="383">
        <v>0</v>
      </c>
      <c r="AR7" s="383">
        <v>0</v>
      </c>
      <c r="AS7" s="383">
        <v>0</v>
      </c>
      <c r="AT7" s="383">
        <v>0</v>
      </c>
      <c r="AU7" s="383">
        <v>0</v>
      </c>
      <c r="AV7" s="383">
        <v>0</v>
      </c>
      <c r="AW7" s="383">
        <v>0</v>
      </c>
      <c r="AX7" s="383">
        <v>0</v>
      </c>
      <c r="AY7" s="383">
        <v>0</v>
      </c>
      <c r="AZ7" s="383">
        <v>0</v>
      </c>
    </row>
    <row r="8" spans="1:52" s="110" customFormat="1" ht="16" x14ac:dyDescent="0.2">
      <c r="A8" s="184" t="s">
        <v>186</v>
      </c>
      <c r="B8" s="383">
        <v>0</v>
      </c>
      <c r="C8" s="383">
        <v>0</v>
      </c>
      <c r="D8" s="383">
        <v>0</v>
      </c>
      <c r="E8" s="383">
        <v>0</v>
      </c>
      <c r="F8" s="383">
        <v>0</v>
      </c>
      <c r="G8" s="383">
        <v>0</v>
      </c>
      <c r="H8" s="383">
        <v>0</v>
      </c>
      <c r="I8" s="383">
        <v>0</v>
      </c>
      <c r="J8" s="383">
        <v>0</v>
      </c>
      <c r="K8" s="383">
        <v>0</v>
      </c>
      <c r="L8" s="383">
        <v>0</v>
      </c>
      <c r="M8" s="383">
        <v>0</v>
      </c>
      <c r="N8" s="383">
        <v>0</v>
      </c>
      <c r="O8" s="383">
        <v>0</v>
      </c>
      <c r="P8" s="383">
        <v>0</v>
      </c>
      <c r="Q8" s="383">
        <v>0</v>
      </c>
      <c r="R8" s="383">
        <v>0</v>
      </c>
      <c r="S8" s="383">
        <v>0</v>
      </c>
      <c r="T8" s="383">
        <v>0</v>
      </c>
      <c r="U8" s="383">
        <v>0</v>
      </c>
      <c r="V8" s="383">
        <v>0</v>
      </c>
      <c r="W8" s="383">
        <v>0</v>
      </c>
      <c r="X8" s="383">
        <v>0</v>
      </c>
      <c r="Y8" s="383">
        <v>0</v>
      </c>
      <c r="Z8" s="383">
        <v>0</v>
      </c>
      <c r="AA8" s="383">
        <v>0</v>
      </c>
      <c r="AB8" s="383">
        <v>0</v>
      </c>
      <c r="AC8" s="383">
        <v>0</v>
      </c>
      <c r="AD8" s="383">
        <v>0</v>
      </c>
      <c r="AE8" s="383">
        <v>0</v>
      </c>
      <c r="AF8" s="383">
        <v>0</v>
      </c>
      <c r="AG8" s="383">
        <v>0</v>
      </c>
      <c r="AH8" s="383">
        <v>0</v>
      </c>
      <c r="AI8" s="383">
        <v>0</v>
      </c>
      <c r="AJ8" s="383">
        <v>0</v>
      </c>
      <c r="AK8" s="383">
        <v>0</v>
      </c>
      <c r="AL8" s="383">
        <v>0</v>
      </c>
      <c r="AM8" s="383">
        <v>0</v>
      </c>
      <c r="AN8" s="383">
        <v>0</v>
      </c>
      <c r="AO8" s="383">
        <v>0</v>
      </c>
      <c r="AP8" s="383">
        <v>0</v>
      </c>
      <c r="AQ8" s="383">
        <v>0</v>
      </c>
      <c r="AR8" s="383">
        <v>0</v>
      </c>
      <c r="AS8" s="383">
        <v>0</v>
      </c>
      <c r="AT8" s="383">
        <v>0</v>
      </c>
      <c r="AU8" s="383">
        <v>0</v>
      </c>
      <c r="AV8" s="383">
        <v>0</v>
      </c>
      <c r="AW8" s="383">
        <v>0</v>
      </c>
      <c r="AX8" s="383">
        <v>0</v>
      </c>
      <c r="AY8" s="383">
        <v>0</v>
      </c>
      <c r="AZ8" s="383">
        <v>0</v>
      </c>
    </row>
    <row r="9" spans="1:52" s="110" customFormat="1" ht="16" x14ac:dyDescent="0.2">
      <c r="A9" s="184" t="s">
        <v>187</v>
      </c>
      <c r="B9" s="383">
        <v>0</v>
      </c>
      <c r="C9" s="383">
        <v>0</v>
      </c>
      <c r="D9" s="383">
        <v>0</v>
      </c>
      <c r="E9" s="383">
        <v>0</v>
      </c>
      <c r="F9" s="383">
        <v>0</v>
      </c>
      <c r="G9" s="383">
        <v>0</v>
      </c>
      <c r="H9" s="383">
        <v>0</v>
      </c>
      <c r="I9" s="383">
        <v>0</v>
      </c>
      <c r="J9" s="383">
        <v>0</v>
      </c>
      <c r="K9" s="383">
        <v>0</v>
      </c>
      <c r="L9" s="383">
        <v>0</v>
      </c>
      <c r="M9" s="383">
        <v>0</v>
      </c>
      <c r="N9" s="383">
        <v>0</v>
      </c>
      <c r="O9" s="383">
        <v>0</v>
      </c>
      <c r="P9" s="383">
        <v>0</v>
      </c>
      <c r="Q9" s="383">
        <v>0</v>
      </c>
      <c r="R9" s="383">
        <v>0</v>
      </c>
      <c r="S9" s="383">
        <v>0</v>
      </c>
      <c r="T9" s="383">
        <v>0</v>
      </c>
      <c r="U9" s="383">
        <v>0</v>
      </c>
      <c r="V9" s="383">
        <v>0</v>
      </c>
      <c r="W9" s="383">
        <v>0</v>
      </c>
      <c r="X9" s="383">
        <v>0</v>
      </c>
      <c r="Y9" s="383">
        <v>0</v>
      </c>
      <c r="Z9" s="383">
        <v>0</v>
      </c>
      <c r="AA9" s="383">
        <v>0</v>
      </c>
      <c r="AB9" s="383">
        <v>0</v>
      </c>
      <c r="AC9" s="383">
        <v>0</v>
      </c>
      <c r="AD9" s="383">
        <v>0</v>
      </c>
      <c r="AE9" s="383">
        <v>0</v>
      </c>
      <c r="AF9" s="383">
        <v>0</v>
      </c>
      <c r="AG9" s="383">
        <v>0</v>
      </c>
      <c r="AH9" s="383">
        <v>0</v>
      </c>
      <c r="AI9" s="383">
        <v>0</v>
      </c>
      <c r="AJ9" s="383">
        <v>0</v>
      </c>
      <c r="AK9" s="383">
        <v>0</v>
      </c>
      <c r="AL9" s="383">
        <v>0</v>
      </c>
      <c r="AM9" s="383">
        <v>0</v>
      </c>
      <c r="AN9" s="383">
        <v>0</v>
      </c>
      <c r="AO9" s="383">
        <v>0</v>
      </c>
      <c r="AP9" s="383">
        <v>0</v>
      </c>
      <c r="AQ9" s="383">
        <v>0</v>
      </c>
      <c r="AR9" s="383">
        <v>0</v>
      </c>
      <c r="AS9" s="383">
        <v>0</v>
      </c>
      <c r="AT9" s="383">
        <v>0</v>
      </c>
      <c r="AU9" s="383">
        <v>0</v>
      </c>
      <c r="AV9" s="383">
        <v>0</v>
      </c>
      <c r="AW9" s="383">
        <v>0</v>
      </c>
      <c r="AX9" s="383">
        <v>0</v>
      </c>
      <c r="AY9" s="383">
        <v>0</v>
      </c>
      <c r="AZ9" s="383">
        <v>0</v>
      </c>
    </row>
    <row r="10" spans="1:52" s="110" customFormat="1" ht="16" x14ac:dyDescent="0.2">
      <c r="A10" s="184" t="s">
        <v>189</v>
      </c>
      <c r="B10" s="383">
        <v>0</v>
      </c>
      <c r="C10" s="383">
        <v>0</v>
      </c>
      <c r="D10" s="383">
        <v>0</v>
      </c>
      <c r="E10" s="383">
        <v>0</v>
      </c>
      <c r="F10" s="383">
        <v>0</v>
      </c>
      <c r="G10" s="383">
        <v>0</v>
      </c>
      <c r="H10" s="383">
        <v>0</v>
      </c>
      <c r="I10" s="383">
        <v>0</v>
      </c>
      <c r="J10" s="383">
        <v>0</v>
      </c>
      <c r="K10" s="383">
        <v>0</v>
      </c>
      <c r="L10" s="383">
        <v>0</v>
      </c>
      <c r="M10" s="383">
        <v>0</v>
      </c>
      <c r="N10" s="383">
        <v>0</v>
      </c>
      <c r="O10" s="383">
        <v>0</v>
      </c>
      <c r="P10" s="383">
        <v>0</v>
      </c>
      <c r="Q10" s="383">
        <v>0</v>
      </c>
      <c r="R10" s="383">
        <v>0</v>
      </c>
      <c r="S10" s="383">
        <v>0</v>
      </c>
      <c r="T10" s="383">
        <v>0</v>
      </c>
      <c r="U10" s="383">
        <v>0</v>
      </c>
      <c r="V10" s="383">
        <v>0</v>
      </c>
      <c r="W10" s="383">
        <v>0</v>
      </c>
      <c r="X10" s="383">
        <v>0</v>
      </c>
      <c r="Y10" s="383">
        <v>0</v>
      </c>
      <c r="Z10" s="383">
        <v>0</v>
      </c>
      <c r="AA10" s="383">
        <v>0</v>
      </c>
      <c r="AB10" s="383">
        <v>0</v>
      </c>
      <c r="AC10" s="383">
        <v>0</v>
      </c>
      <c r="AD10" s="383">
        <v>0</v>
      </c>
      <c r="AE10" s="383">
        <v>0</v>
      </c>
      <c r="AF10" s="383">
        <v>0</v>
      </c>
      <c r="AG10" s="383">
        <v>0</v>
      </c>
      <c r="AH10" s="383">
        <v>0</v>
      </c>
      <c r="AI10" s="383">
        <v>0</v>
      </c>
      <c r="AJ10" s="383">
        <v>0</v>
      </c>
      <c r="AK10" s="383">
        <v>0</v>
      </c>
      <c r="AL10" s="383">
        <v>0</v>
      </c>
      <c r="AM10" s="383">
        <v>0</v>
      </c>
      <c r="AN10" s="383">
        <v>0</v>
      </c>
      <c r="AO10" s="383">
        <v>0</v>
      </c>
      <c r="AP10" s="383">
        <v>0</v>
      </c>
      <c r="AQ10" s="383">
        <v>0</v>
      </c>
      <c r="AR10" s="383">
        <v>0</v>
      </c>
      <c r="AS10" s="383">
        <v>0</v>
      </c>
      <c r="AT10" s="383">
        <v>0</v>
      </c>
      <c r="AU10" s="383">
        <v>0</v>
      </c>
      <c r="AV10" s="383">
        <v>0</v>
      </c>
      <c r="AW10" s="383">
        <v>0</v>
      </c>
      <c r="AX10" s="383">
        <v>0</v>
      </c>
      <c r="AY10" s="383">
        <v>0</v>
      </c>
      <c r="AZ10" s="383">
        <v>0</v>
      </c>
    </row>
    <row r="11" spans="1:52" s="110" customFormat="1" ht="16" x14ac:dyDescent="0.2">
      <c r="A11" s="184" t="s">
        <v>190</v>
      </c>
      <c r="B11" s="383">
        <v>0</v>
      </c>
      <c r="C11" s="383">
        <v>0</v>
      </c>
      <c r="D11" s="383">
        <v>0</v>
      </c>
      <c r="E11" s="383">
        <v>0</v>
      </c>
      <c r="F11" s="383">
        <v>0</v>
      </c>
      <c r="G11" s="383">
        <v>0</v>
      </c>
      <c r="H11" s="383">
        <v>0</v>
      </c>
      <c r="I11" s="383">
        <v>0</v>
      </c>
      <c r="J11" s="383">
        <v>0</v>
      </c>
      <c r="K11" s="383">
        <v>0</v>
      </c>
      <c r="L11" s="383">
        <v>0</v>
      </c>
      <c r="M11" s="383">
        <v>0</v>
      </c>
      <c r="N11" s="383">
        <v>0</v>
      </c>
      <c r="O11" s="383">
        <v>0</v>
      </c>
      <c r="P11" s="383">
        <v>0</v>
      </c>
      <c r="Q11" s="383">
        <v>0</v>
      </c>
      <c r="R11" s="383">
        <v>0</v>
      </c>
      <c r="S11" s="383">
        <v>0</v>
      </c>
      <c r="T11" s="383">
        <v>0</v>
      </c>
      <c r="U11" s="383">
        <v>0</v>
      </c>
      <c r="V11" s="383">
        <v>0</v>
      </c>
      <c r="W11" s="383">
        <v>0</v>
      </c>
      <c r="X11" s="383">
        <v>0</v>
      </c>
      <c r="Y11" s="383">
        <v>0</v>
      </c>
      <c r="Z11" s="383">
        <v>0</v>
      </c>
      <c r="AA11" s="383">
        <v>0</v>
      </c>
      <c r="AB11" s="383">
        <v>0</v>
      </c>
      <c r="AC11" s="383">
        <v>0</v>
      </c>
      <c r="AD11" s="383">
        <v>0</v>
      </c>
      <c r="AE11" s="383">
        <v>0</v>
      </c>
      <c r="AF11" s="383">
        <v>0</v>
      </c>
      <c r="AG11" s="383">
        <v>0</v>
      </c>
      <c r="AH11" s="383">
        <v>0</v>
      </c>
      <c r="AI11" s="383">
        <v>0</v>
      </c>
      <c r="AJ11" s="383">
        <v>0</v>
      </c>
      <c r="AK11" s="383">
        <v>0</v>
      </c>
      <c r="AL11" s="383">
        <v>0</v>
      </c>
      <c r="AM11" s="383">
        <v>0</v>
      </c>
      <c r="AN11" s="383">
        <v>0</v>
      </c>
      <c r="AO11" s="383">
        <v>0</v>
      </c>
      <c r="AP11" s="383">
        <v>0</v>
      </c>
      <c r="AQ11" s="383">
        <v>0</v>
      </c>
      <c r="AR11" s="383">
        <v>0</v>
      </c>
      <c r="AS11" s="383">
        <v>0</v>
      </c>
      <c r="AT11" s="383">
        <v>0</v>
      </c>
      <c r="AU11" s="383">
        <v>0</v>
      </c>
      <c r="AV11" s="383">
        <v>0</v>
      </c>
      <c r="AW11" s="383">
        <v>0</v>
      </c>
      <c r="AX11" s="383">
        <v>0</v>
      </c>
      <c r="AY11" s="383">
        <v>0</v>
      </c>
      <c r="AZ11" s="383">
        <v>0</v>
      </c>
    </row>
    <row r="12" spans="1:52" s="110" customFormat="1" ht="16" x14ac:dyDescent="0.2">
      <c r="A12" s="184" t="s">
        <v>191</v>
      </c>
      <c r="B12" s="383">
        <v>0</v>
      </c>
      <c r="C12" s="383">
        <v>0</v>
      </c>
      <c r="D12" s="383">
        <v>0</v>
      </c>
      <c r="E12" s="383">
        <v>0</v>
      </c>
      <c r="F12" s="383">
        <v>0</v>
      </c>
      <c r="G12" s="383">
        <v>0</v>
      </c>
      <c r="H12" s="383">
        <v>0</v>
      </c>
      <c r="I12" s="383">
        <v>0</v>
      </c>
      <c r="J12" s="383">
        <v>0</v>
      </c>
      <c r="K12" s="383">
        <v>0</v>
      </c>
      <c r="L12" s="383">
        <v>0</v>
      </c>
      <c r="M12" s="383">
        <v>0</v>
      </c>
      <c r="N12" s="383">
        <v>0</v>
      </c>
      <c r="O12" s="383">
        <v>0</v>
      </c>
      <c r="P12" s="383">
        <v>0</v>
      </c>
      <c r="Q12" s="383">
        <v>0</v>
      </c>
      <c r="R12" s="383">
        <v>0</v>
      </c>
      <c r="S12" s="383">
        <v>0</v>
      </c>
      <c r="T12" s="383">
        <v>0</v>
      </c>
      <c r="U12" s="383">
        <v>0</v>
      </c>
      <c r="V12" s="383">
        <v>0</v>
      </c>
      <c r="W12" s="383">
        <v>0</v>
      </c>
      <c r="X12" s="383">
        <v>0</v>
      </c>
      <c r="Y12" s="383">
        <v>0</v>
      </c>
      <c r="Z12" s="383">
        <v>0</v>
      </c>
      <c r="AA12" s="383">
        <v>0</v>
      </c>
      <c r="AB12" s="383">
        <v>0</v>
      </c>
      <c r="AC12" s="383">
        <v>0</v>
      </c>
      <c r="AD12" s="383">
        <v>0</v>
      </c>
      <c r="AE12" s="383">
        <v>0</v>
      </c>
      <c r="AF12" s="383">
        <v>0</v>
      </c>
      <c r="AG12" s="383">
        <v>0</v>
      </c>
      <c r="AH12" s="383">
        <v>0</v>
      </c>
      <c r="AI12" s="383">
        <v>0</v>
      </c>
      <c r="AJ12" s="383">
        <v>0</v>
      </c>
      <c r="AK12" s="383">
        <v>0</v>
      </c>
      <c r="AL12" s="383">
        <v>0</v>
      </c>
      <c r="AM12" s="383">
        <v>0</v>
      </c>
      <c r="AN12" s="383">
        <v>0</v>
      </c>
      <c r="AO12" s="383">
        <v>0</v>
      </c>
      <c r="AP12" s="383">
        <v>0</v>
      </c>
      <c r="AQ12" s="383">
        <v>0</v>
      </c>
      <c r="AR12" s="383">
        <v>0</v>
      </c>
      <c r="AS12" s="383">
        <v>0</v>
      </c>
      <c r="AT12" s="383">
        <v>0</v>
      </c>
      <c r="AU12" s="383">
        <v>0</v>
      </c>
      <c r="AV12" s="383">
        <v>0</v>
      </c>
      <c r="AW12" s="383">
        <v>0</v>
      </c>
      <c r="AX12" s="383">
        <v>0</v>
      </c>
      <c r="AY12" s="383">
        <v>0</v>
      </c>
      <c r="AZ12" s="383">
        <v>0</v>
      </c>
    </row>
    <row r="13" spans="1:52" s="110" customFormat="1" ht="16" x14ac:dyDescent="0.2">
      <c r="A13" s="184" t="s">
        <v>192</v>
      </c>
      <c r="B13" s="383">
        <v>0</v>
      </c>
      <c r="C13" s="383">
        <v>0</v>
      </c>
      <c r="D13" s="383">
        <v>0</v>
      </c>
      <c r="E13" s="383">
        <v>0</v>
      </c>
      <c r="F13" s="383">
        <v>0</v>
      </c>
      <c r="G13" s="383">
        <v>0</v>
      </c>
      <c r="H13" s="383">
        <v>0</v>
      </c>
      <c r="I13" s="383">
        <v>0</v>
      </c>
      <c r="J13" s="383">
        <v>0</v>
      </c>
      <c r="K13" s="383">
        <v>0</v>
      </c>
      <c r="L13" s="383">
        <v>0</v>
      </c>
      <c r="M13" s="383">
        <v>0</v>
      </c>
      <c r="N13" s="383">
        <v>0</v>
      </c>
      <c r="O13" s="383">
        <v>0</v>
      </c>
      <c r="P13" s="383">
        <v>0</v>
      </c>
      <c r="Q13" s="383">
        <v>0</v>
      </c>
      <c r="R13" s="383">
        <v>0</v>
      </c>
      <c r="S13" s="383">
        <v>0</v>
      </c>
      <c r="T13" s="383">
        <v>0</v>
      </c>
      <c r="U13" s="383">
        <v>0</v>
      </c>
      <c r="V13" s="383">
        <v>0</v>
      </c>
      <c r="W13" s="383">
        <v>0</v>
      </c>
      <c r="X13" s="383">
        <v>0</v>
      </c>
      <c r="Y13" s="383">
        <v>0</v>
      </c>
      <c r="Z13" s="383">
        <v>0</v>
      </c>
      <c r="AA13" s="383">
        <v>0</v>
      </c>
      <c r="AB13" s="383">
        <v>0</v>
      </c>
      <c r="AC13" s="383">
        <v>0</v>
      </c>
      <c r="AD13" s="383">
        <v>0</v>
      </c>
      <c r="AE13" s="383">
        <v>0</v>
      </c>
      <c r="AF13" s="383">
        <v>0</v>
      </c>
      <c r="AG13" s="383">
        <v>0</v>
      </c>
      <c r="AH13" s="383">
        <v>0</v>
      </c>
      <c r="AI13" s="383">
        <v>0</v>
      </c>
      <c r="AJ13" s="383">
        <v>0</v>
      </c>
      <c r="AK13" s="383">
        <v>0</v>
      </c>
      <c r="AL13" s="383">
        <v>0</v>
      </c>
      <c r="AM13" s="383">
        <v>0</v>
      </c>
      <c r="AN13" s="383">
        <v>0</v>
      </c>
      <c r="AO13" s="383">
        <v>0</v>
      </c>
      <c r="AP13" s="383">
        <v>0</v>
      </c>
      <c r="AQ13" s="383">
        <v>0</v>
      </c>
      <c r="AR13" s="383">
        <v>0</v>
      </c>
      <c r="AS13" s="383">
        <v>0</v>
      </c>
      <c r="AT13" s="383">
        <v>0</v>
      </c>
      <c r="AU13" s="383">
        <v>0</v>
      </c>
      <c r="AV13" s="383">
        <v>0</v>
      </c>
      <c r="AW13" s="383">
        <v>0</v>
      </c>
      <c r="AX13" s="383">
        <v>0</v>
      </c>
      <c r="AY13" s="383">
        <v>0</v>
      </c>
      <c r="AZ13" s="383">
        <v>0</v>
      </c>
    </row>
    <row r="14" spans="1:52" s="110" customFormat="1" ht="16" x14ac:dyDescent="0.2">
      <c r="A14" s="184" t="s">
        <v>193</v>
      </c>
      <c r="B14" s="383">
        <v>0</v>
      </c>
      <c r="C14" s="383">
        <v>0</v>
      </c>
      <c r="D14" s="383">
        <v>0</v>
      </c>
      <c r="E14" s="383">
        <v>0</v>
      </c>
      <c r="F14" s="383">
        <v>0</v>
      </c>
      <c r="G14" s="383">
        <v>0</v>
      </c>
      <c r="H14" s="383">
        <v>0</v>
      </c>
      <c r="I14" s="383">
        <v>0</v>
      </c>
      <c r="J14" s="383">
        <v>0</v>
      </c>
      <c r="K14" s="383">
        <v>0</v>
      </c>
      <c r="L14" s="383">
        <v>0</v>
      </c>
      <c r="M14" s="383">
        <v>0</v>
      </c>
      <c r="N14" s="383">
        <v>0</v>
      </c>
      <c r="O14" s="383">
        <v>0</v>
      </c>
      <c r="P14" s="383">
        <v>0</v>
      </c>
      <c r="Q14" s="383">
        <v>0</v>
      </c>
      <c r="R14" s="383">
        <v>0</v>
      </c>
      <c r="S14" s="383">
        <v>0</v>
      </c>
      <c r="T14" s="383">
        <v>0</v>
      </c>
      <c r="U14" s="383">
        <v>0</v>
      </c>
      <c r="V14" s="383">
        <v>0</v>
      </c>
      <c r="W14" s="383">
        <v>0</v>
      </c>
      <c r="X14" s="383">
        <v>0</v>
      </c>
      <c r="Y14" s="383">
        <v>0</v>
      </c>
      <c r="Z14" s="383">
        <v>0</v>
      </c>
      <c r="AA14" s="383">
        <v>0</v>
      </c>
      <c r="AB14" s="383">
        <v>0</v>
      </c>
      <c r="AC14" s="383">
        <v>0</v>
      </c>
      <c r="AD14" s="383">
        <v>0</v>
      </c>
      <c r="AE14" s="383">
        <v>0</v>
      </c>
      <c r="AF14" s="383">
        <v>0</v>
      </c>
      <c r="AG14" s="383">
        <v>0</v>
      </c>
      <c r="AH14" s="383">
        <v>0</v>
      </c>
      <c r="AI14" s="383">
        <v>0</v>
      </c>
      <c r="AJ14" s="383">
        <v>0</v>
      </c>
      <c r="AK14" s="383">
        <v>0</v>
      </c>
      <c r="AL14" s="383">
        <v>0</v>
      </c>
      <c r="AM14" s="383">
        <v>0</v>
      </c>
      <c r="AN14" s="383">
        <v>0</v>
      </c>
      <c r="AO14" s="383">
        <v>0</v>
      </c>
      <c r="AP14" s="383">
        <v>0</v>
      </c>
      <c r="AQ14" s="383">
        <v>0</v>
      </c>
      <c r="AR14" s="383">
        <v>0</v>
      </c>
      <c r="AS14" s="383">
        <v>0</v>
      </c>
      <c r="AT14" s="383">
        <v>0</v>
      </c>
      <c r="AU14" s="383">
        <v>0</v>
      </c>
      <c r="AV14" s="383">
        <v>0</v>
      </c>
      <c r="AW14" s="383">
        <v>0</v>
      </c>
      <c r="AX14" s="383">
        <v>0</v>
      </c>
      <c r="AY14" s="383">
        <v>0</v>
      </c>
      <c r="AZ14" s="383">
        <v>0</v>
      </c>
    </row>
    <row r="15" spans="1:52" s="110" customFormat="1" ht="16" x14ac:dyDescent="0.2">
      <c r="A15" s="184" t="s">
        <v>194</v>
      </c>
      <c r="B15" s="383">
        <v>0</v>
      </c>
      <c r="C15" s="383">
        <v>0</v>
      </c>
      <c r="D15" s="383">
        <v>0</v>
      </c>
      <c r="E15" s="383">
        <v>0</v>
      </c>
      <c r="F15" s="383">
        <v>0</v>
      </c>
      <c r="G15" s="383">
        <v>0</v>
      </c>
      <c r="H15" s="383">
        <v>0</v>
      </c>
      <c r="I15" s="383">
        <v>0</v>
      </c>
      <c r="J15" s="383">
        <v>0</v>
      </c>
      <c r="K15" s="383">
        <v>0</v>
      </c>
      <c r="L15" s="383">
        <v>0</v>
      </c>
      <c r="M15" s="383">
        <v>0</v>
      </c>
      <c r="N15" s="383">
        <v>0</v>
      </c>
      <c r="O15" s="383">
        <v>0</v>
      </c>
      <c r="P15" s="383">
        <v>0</v>
      </c>
      <c r="Q15" s="383">
        <v>0</v>
      </c>
      <c r="R15" s="383">
        <v>0</v>
      </c>
      <c r="S15" s="383">
        <v>0</v>
      </c>
      <c r="T15" s="383">
        <v>0</v>
      </c>
      <c r="U15" s="383">
        <v>0</v>
      </c>
      <c r="V15" s="383">
        <v>0</v>
      </c>
      <c r="W15" s="383">
        <v>0</v>
      </c>
      <c r="X15" s="383">
        <v>0</v>
      </c>
      <c r="Y15" s="383">
        <v>0</v>
      </c>
      <c r="Z15" s="383">
        <v>0</v>
      </c>
      <c r="AA15" s="383">
        <v>0</v>
      </c>
      <c r="AB15" s="383">
        <v>0</v>
      </c>
      <c r="AC15" s="383">
        <v>0</v>
      </c>
      <c r="AD15" s="383">
        <v>0</v>
      </c>
      <c r="AE15" s="383">
        <v>0</v>
      </c>
      <c r="AF15" s="383">
        <v>0</v>
      </c>
      <c r="AG15" s="383">
        <v>0</v>
      </c>
      <c r="AH15" s="383">
        <v>0</v>
      </c>
      <c r="AI15" s="383">
        <v>0</v>
      </c>
      <c r="AJ15" s="383">
        <v>0</v>
      </c>
      <c r="AK15" s="383">
        <v>0</v>
      </c>
      <c r="AL15" s="383">
        <v>0</v>
      </c>
      <c r="AM15" s="383">
        <v>0</v>
      </c>
      <c r="AN15" s="383">
        <v>0</v>
      </c>
      <c r="AO15" s="383">
        <v>0</v>
      </c>
      <c r="AP15" s="383">
        <v>0</v>
      </c>
      <c r="AQ15" s="383">
        <v>0</v>
      </c>
      <c r="AR15" s="383">
        <v>0</v>
      </c>
      <c r="AS15" s="383">
        <v>0</v>
      </c>
      <c r="AT15" s="383">
        <v>0</v>
      </c>
      <c r="AU15" s="383">
        <v>0</v>
      </c>
      <c r="AV15" s="383">
        <v>0</v>
      </c>
      <c r="AW15" s="383">
        <v>0</v>
      </c>
      <c r="AX15" s="383">
        <v>0</v>
      </c>
      <c r="AY15" s="383">
        <v>0</v>
      </c>
      <c r="AZ15" s="383">
        <v>0</v>
      </c>
    </row>
    <row r="16" spans="1:52" s="110" customFormat="1" ht="16" x14ac:dyDescent="0.2">
      <c r="A16" s="184" t="s">
        <v>195</v>
      </c>
      <c r="B16" s="383">
        <v>0</v>
      </c>
      <c r="C16" s="383">
        <v>0</v>
      </c>
      <c r="D16" s="383">
        <v>0</v>
      </c>
      <c r="E16" s="383">
        <v>0</v>
      </c>
      <c r="F16" s="383">
        <v>0</v>
      </c>
      <c r="G16" s="383">
        <v>0</v>
      </c>
      <c r="H16" s="383">
        <v>0</v>
      </c>
      <c r="I16" s="383">
        <v>0</v>
      </c>
      <c r="J16" s="383">
        <v>0</v>
      </c>
      <c r="K16" s="383">
        <v>0</v>
      </c>
      <c r="L16" s="383">
        <v>0</v>
      </c>
      <c r="M16" s="383">
        <v>0</v>
      </c>
      <c r="N16" s="383">
        <v>0</v>
      </c>
      <c r="O16" s="383">
        <v>0</v>
      </c>
      <c r="P16" s="383">
        <v>0</v>
      </c>
      <c r="Q16" s="383">
        <v>0</v>
      </c>
      <c r="R16" s="383">
        <v>0</v>
      </c>
      <c r="S16" s="383">
        <v>0</v>
      </c>
      <c r="T16" s="383">
        <v>0</v>
      </c>
      <c r="U16" s="383">
        <v>0</v>
      </c>
      <c r="V16" s="383">
        <v>0</v>
      </c>
      <c r="W16" s="383">
        <v>0</v>
      </c>
      <c r="X16" s="383">
        <v>0</v>
      </c>
      <c r="Y16" s="383">
        <v>0</v>
      </c>
      <c r="Z16" s="383">
        <v>0</v>
      </c>
      <c r="AA16" s="383">
        <v>0</v>
      </c>
      <c r="AB16" s="383">
        <v>0</v>
      </c>
      <c r="AC16" s="383">
        <v>0</v>
      </c>
      <c r="AD16" s="383">
        <v>0</v>
      </c>
      <c r="AE16" s="383">
        <v>0</v>
      </c>
      <c r="AF16" s="383">
        <v>0</v>
      </c>
      <c r="AG16" s="383">
        <v>0</v>
      </c>
      <c r="AH16" s="383">
        <v>0</v>
      </c>
      <c r="AI16" s="383">
        <v>0</v>
      </c>
      <c r="AJ16" s="383">
        <v>0</v>
      </c>
      <c r="AK16" s="383">
        <v>0</v>
      </c>
      <c r="AL16" s="383">
        <v>0</v>
      </c>
      <c r="AM16" s="383">
        <v>0</v>
      </c>
      <c r="AN16" s="383">
        <v>0</v>
      </c>
      <c r="AO16" s="383">
        <v>0</v>
      </c>
      <c r="AP16" s="383">
        <v>0</v>
      </c>
      <c r="AQ16" s="383">
        <v>0</v>
      </c>
      <c r="AR16" s="383">
        <v>0</v>
      </c>
      <c r="AS16" s="383">
        <v>0</v>
      </c>
      <c r="AT16" s="383">
        <v>0</v>
      </c>
      <c r="AU16" s="383">
        <v>0</v>
      </c>
      <c r="AV16" s="383">
        <v>0</v>
      </c>
      <c r="AW16" s="383">
        <v>0</v>
      </c>
      <c r="AX16" s="383">
        <v>0</v>
      </c>
      <c r="AY16" s="383">
        <v>0</v>
      </c>
      <c r="AZ16" s="383">
        <v>0</v>
      </c>
    </row>
    <row r="17" spans="1:52" s="110" customFormat="1" ht="16" x14ac:dyDescent="0.2">
      <c r="A17" s="184" t="s">
        <v>196</v>
      </c>
      <c r="B17" s="383">
        <v>0</v>
      </c>
      <c r="C17" s="383">
        <v>0</v>
      </c>
      <c r="D17" s="383">
        <v>0</v>
      </c>
      <c r="E17" s="383">
        <v>0</v>
      </c>
      <c r="F17" s="383">
        <v>0</v>
      </c>
      <c r="G17" s="383">
        <v>0</v>
      </c>
      <c r="H17" s="383">
        <v>0</v>
      </c>
      <c r="I17" s="383">
        <v>0</v>
      </c>
      <c r="J17" s="383">
        <v>0</v>
      </c>
      <c r="K17" s="383">
        <v>0</v>
      </c>
      <c r="L17" s="383">
        <v>0</v>
      </c>
      <c r="M17" s="383">
        <v>0</v>
      </c>
      <c r="N17" s="383">
        <v>0</v>
      </c>
      <c r="O17" s="383">
        <v>0</v>
      </c>
      <c r="P17" s="383">
        <v>0</v>
      </c>
      <c r="Q17" s="383">
        <v>0</v>
      </c>
      <c r="R17" s="383">
        <v>0</v>
      </c>
      <c r="S17" s="383">
        <v>0</v>
      </c>
      <c r="T17" s="383">
        <v>0</v>
      </c>
      <c r="U17" s="383">
        <v>0</v>
      </c>
      <c r="V17" s="383">
        <v>0</v>
      </c>
      <c r="W17" s="383">
        <v>0</v>
      </c>
      <c r="X17" s="383">
        <v>0</v>
      </c>
      <c r="Y17" s="383">
        <v>0</v>
      </c>
      <c r="Z17" s="383">
        <v>0</v>
      </c>
      <c r="AA17" s="383">
        <v>0</v>
      </c>
      <c r="AB17" s="383">
        <v>0</v>
      </c>
      <c r="AC17" s="383">
        <v>0</v>
      </c>
      <c r="AD17" s="383">
        <v>0</v>
      </c>
      <c r="AE17" s="383">
        <v>0</v>
      </c>
      <c r="AF17" s="383">
        <v>0</v>
      </c>
      <c r="AG17" s="383">
        <v>0</v>
      </c>
      <c r="AH17" s="383">
        <v>0</v>
      </c>
      <c r="AI17" s="383">
        <v>0</v>
      </c>
      <c r="AJ17" s="383">
        <v>0</v>
      </c>
      <c r="AK17" s="383">
        <v>0</v>
      </c>
      <c r="AL17" s="383">
        <v>0</v>
      </c>
      <c r="AM17" s="383">
        <v>0</v>
      </c>
      <c r="AN17" s="383">
        <v>0</v>
      </c>
      <c r="AO17" s="383">
        <v>0</v>
      </c>
      <c r="AP17" s="383">
        <v>0</v>
      </c>
      <c r="AQ17" s="383">
        <v>0</v>
      </c>
      <c r="AR17" s="383">
        <v>0</v>
      </c>
      <c r="AS17" s="383">
        <v>0</v>
      </c>
      <c r="AT17" s="383">
        <v>0</v>
      </c>
      <c r="AU17" s="383">
        <v>0</v>
      </c>
      <c r="AV17" s="383">
        <v>0</v>
      </c>
      <c r="AW17" s="383">
        <v>0</v>
      </c>
      <c r="AX17" s="383">
        <v>0</v>
      </c>
      <c r="AY17" s="383">
        <v>0</v>
      </c>
      <c r="AZ17" s="383">
        <v>0</v>
      </c>
    </row>
    <row r="18" spans="1:52" s="110" customFormat="1" ht="16" x14ac:dyDescent="0.2">
      <c r="A18" s="184" t="s">
        <v>197</v>
      </c>
      <c r="B18" s="383">
        <v>0</v>
      </c>
      <c r="C18" s="383">
        <v>0</v>
      </c>
      <c r="D18" s="383">
        <v>0</v>
      </c>
      <c r="E18" s="383">
        <v>0</v>
      </c>
      <c r="F18" s="383">
        <v>0</v>
      </c>
      <c r="G18" s="383">
        <v>0</v>
      </c>
      <c r="H18" s="383">
        <v>0</v>
      </c>
      <c r="I18" s="383">
        <v>0</v>
      </c>
      <c r="J18" s="383">
        <v>0</v>
      </c>
      <c r="K18" s="383">
        <v>0</v>
      </c>
      <c r="L18" s="383">
        <v>0</v>
      </c>
      <c r="M18" s="383">
        <v>0</v>
      </c>
      <c r="N18" s="383">
        <v>0</v>
      </c>
      <c r="O18" s="383">
        <v>0</v>
      </c>
      <c r="P18" s="383">
        <v>0</v>
      </c>
      <c r="Q18" s="383">
        <v>0</v>
      </c>
      <c r="R18" s="383">
        <v>0</v>
      </c>
      <c r="S18" s="383">
        <v>0</v>
      </c>
      <c r="T18" s="383">
        <v>0</v>
      </c>
      <c r="U18" s="383">
        <v>0</v>
      </c>
      <c r="V18" s="383">
        <v>0</v>
      </c>
      <c r="W18" s="383">
        <v>0</v>
      </c>
      <c r="X18" s="383">
        <v>0</v>
      </c>
      <c r="Y18" s="383">
        <v>0</v>
      </c>
      <c r="Z18" s="383">
        <v>0</v>
      </c>
      <c r="AA18" s="383">
        <v>0</v>
      </c>
      <c r="AB18" s="383">
        <v>0</v>
      </c>
      <c r="AC18" s="383">
        <v>0</v>
      </c>
      <c r="AD18" s="383">
        <v>0</v>
      </c>
      <c r="AE18" s="383">
        <v>0</v>
      </c>
      <c r="AF18" s="383">
        <v>0</v>
      </c>
      <c r="AG18" s="383">
        <v>0</v>
      </c>
      <c r="AH18" s="383">
        <v>0</v>
      </c>
      <c r="AI18" s="383">
        <v>0</v>
      </c>
      <c r="AJ18" s="383">
        <v>0</v>
      </c>
      <c r="AK18" s="383">
        <v>0</v>
      </c>
      <c r="AL18" s="383">
        <v>0</v>
      </c>
      <c r="AM18" s="383">
        <v>0</v>
      </c>
      <c r="AN18" s="383">
        <v>0</v>
      </c>
      <c r="AO18" s="383">
        <v>0</v>
      </c>
      <c r="AP18" s="383">
        <v>0</v>
      </c>
      <c r="AQ18" s="383">
        <v>0</v>
      </c>
      <c r="AR18" s="383">
        <v>0</v>
      </c>
      <c r="AS18" s="383">
        <v>0</v>
      </c>
      <c r="AT18" s="383">
        <v>0</v>
      </c>
      <c r="AU18" s="383">
        <v>0</v>
      </c>
      <c r="AV18" s="383">
        <v>0</v>
      </c>
      <c r="AW18" s="383">
        <v>0</v>
      </c>
      <c r="AX18" s="383">
        <v>0</v>
      </c>
      <c r="AY18" s="383">
        <v>0</v>
      </c>
      <c r="AZ18" s="383">
        <v>0</v>
      </c>
    </row>
    <row r="19" spans="1:52" s="110" customFormat="1" ht="16" x14ac:dyDescent="0.2">
      <c r="A19" s="184" t="s">
        <v>198</v>
      </c>
      <c r="B19" s="383">
        <v>0</v>
      </c>
      <c r="C19" s="383">
        <v>0</v>
      </c>
      <c r="D19" s="383">
        <v>0</v>
      </c>
      <c r="E19" s="383">
        <v>0</v>
      </c>
      <c r="F19" s="383">
        <v>0</v>
      </c>
      <c r="G19" s="383">
        <v>0</v>
      </c>
      <c r="H19" s="383">
        <v>0</v>
      </c>
      <c r="I19" s="383">
        <v>0</v>
      </c>
      <c r="J19" s="383">
        <v>0</v>
      </c>
      <c r="K19" s="383">
        <v>0</v>
      </c>
      <c r="L19" s="383">
        <v>0</v>
      </c>
      <c r="M19" s="383">
        <v>0</v>
      </c>
      <c r="N19" s="383">
        <v>0</v>
      </c>
      <c r="O19" s="383">
        <v>0</v>
      </c>
      <c r="P19" s="383">
        <v>0</v>
      </c>
      <c r="Q19" s="383">
        <v>0</v>
      </c>
      <c r="R19" s="383">
        <v>0</v>
      </c>
      <c r="S19" s="383">
        <v>0</v>
      </c>
      <c r="T19" s="383">
        <v>0</v>
      </c>
      <c r="U19" s="383">
        <v>0</v>
      </c>
      <c r="V19" s="383">
        <v>0</v>
      </c>
      <c r="W19" s="383">
        <v>0</v>
      </c>
      <c r="X19" s="383">
        <v>0</v>
      </c>
      <c r="Y19" s="383">
        <v>0</v>
      </c>
      <c r="Z19" s="383">
        <v>0</v>
      </c>
      <c r="AA19" s="383">
        <v>0</v>
      </c>
      <c r="AB19" s="383">
        <v>0</v>
      </c>
      <c r="AC19" s="383">
        <v>0</v>
      </c>
      <c r="AD19" s="383">
        <v>0</v>
      </c>
      <c r="AE19" s="383">
        <v>0</v>
      </c>
      <c r="AF19" s="383">
        <v>0</v>
      </c>
      <c r="AG19" s="383">
        <v>0</v>
      </c>
      <c r="AH19" s="383">
        <v>0</v>
      </c>
      <c r="AI19" s="383">
        <v>0</v>
      </c>
      <c r="AJ19" s="383">
        <v>0</v>
      </c>
      <c r="AK19" s="383">
        <v>0</v>
      </c>
      <c r="AL19" s="383">
        <v>0</v>
      </c>
      <c r="AM19" s="383">
        <v>0</v>
      </c>
      <c r="AN19" s="383">
        <v>0</v>
      </c>
      <c r="AO19" s="383">
        <v>0</v>
      </c>
      <c r="AP19" s="383">
        <v>0</v>
      </c>
      <c r="AQ19" s="383">
        <v>0</v>
      </c>
      <c r="AR19" s="383">
        <v>0</v>
      </c>
      <c r="AS19" s="383">
        <v>0</v>
      </c>
      <c r="AT19" s="383">
        <v>0</v>
      </c>
      <c r="AU19" s="383">
        <v>0</v>
      </c>
      <c r="AV19" s="383">
        <v>0</v>
      </c>
      <c r="AW19" s="383">
        <v>0</v>
      </c>
      <c r="AX19" s="383">
        <v>0</v>
      </c>
      <c r="AY19" s="383">
        <v>0</v>
      </c>
      <c r="AZ19" s="383">
        <v>0</v>
      </c>
    </row>
    <row r="20" spans="1:52" s="110" customFormat="1" ht="16" x14ac:dyDescent="0.2">
      <c r="A20" s="184" t="s">
        <v>199</v>
      </c>
      <c r="B20" s="383">
        <v>0</v>
      </c>
      <c r="C20" s="383">
        <v>0</v>
      </c>
      <c r="D20" s="383">
        <v>0</v>
      </c>
      <c r="E20" s="383">
        <v>0</v>
      </c>
      <c r="F20" s="383">
        <v>0</v>
      </c>
      <c r="G20" s="383">
        <v>0</v>
      </c>
      <c r="H20" s="383">
        <v>0</v>
      </c>
      <c r="I20" s="383">
        <v>0</v>
      </c>
      <c r="J20" s="383">
        <v>0</v>
      </c>
      <c r="K20" s="383">
        <v>0</v>
      </c>
      <c r="L20" s="383">
        <v>0</v>
      </c>
      <c r="M20" s="383">
        <v>0</v>
      </c>
      <c r="N20" s="383">
        <v>0</v>
      </c>
      <c r="O20" s="383">
        <v>0</v>
      </c>
      <c r="P20" s="383">
        <v>0</v>
      </c>
      <c r="Q20" s="383">
        <v>0</v>
      </c>
      <c r="R20" s="383">
        <v>0</v>
      </c>
      <c r="S20" s="383">
        <v>0</v>
      </c>
      <c r="T20" s="383">
        <v>0</v>
      </c>
      <c r="U20" s="383">
        <v>0</v>
      </c>
      <c r="V20" s="383">
        <v>0</v>
      </c>
      <c r="W20" s="383">
        <v>0</v>
      </c>
      <c r="X20" s="383">
        <v>0</v>
      </c>
      <c r="Y20" s="383">
        <v>0</v>
      </c>
      <c r="Z20" s="383">
        <v>0</v>
      </c>
      <c r="AA20" s="383">
        <v>0</v>
      </c>
      <c r="AB20" s="383">
        <v>0</v>
      </c>
      <c r="AC20" s="383">
        <v>0</v>
      </c>
      <c r="AD20" s="383">
        <v>0</v>
      </c>
      <c r="AE20" s="383">
        <v>0</v>
      </c>
      <c r="AF20" s="383">
        <v>0</v>
      </c>
      <c r="AG20" s="383">
        <v>0</v>
      </c>
      <c r="AH20" s="383">
        <v>0</v>
      </c>
      <c r="AI20" s="383">
        <v>0</v>
      </c>
      <c r="AJ20" s="383">
        <v>0</v>
      </c>
      <c r="AK20" s="383">
        <v>0</v>
      </c>
      <c r="AL20" s="383">
        <v>0</v>
      </c>
      <c r="AM20" s="383">
        <v>0</v>
      </c>
      <c r="AN20" s="383">
        <v>0</v>
      </c>
      <c r="AO20" s="383">
        <v>0</v>
      </c>
      <c r="AP20" s="383">
        <v>0</v>
      </c>
      <c r="AQ20" s="383">
        <v>0</v>
      </c>
      <c r="AR20" s="383">
        <v>0</v>
      </c>
      <c r="AS20" s="383">
        <v>0</v>
      </c>
      <c r="AT20" s="383">
        <v>0</v>
      </c>
      <c r="AU20" s="383">
        <v>0</v>
      </c>
      <c r="AV20" s="383">
        <v>0</v>
      </c>
      <c r="AW20" s="383">
        <v>0</v>
      </c>
      <c r="AX20" s="383">
        <v>0</v>
      </c>
      <c r="AY20" s="383">
        <v>0</v>
      </c>
      <c r="AZ20" s="383">
        <v>0</v>
      </c>
    </row>
    <row r="21" spans="1:52" s="110" customFormat="1" ht="16" x14ac:dyDescent="0.2">
      <c r="A21" s="184" t="s">
        <v>200</v>
      </c>
      <c r="B21" s="383">
        <v>0</v>
      </c>
      <c r="C21" s="383">
        <v>0</v>
      </c>
      <c r="D21" s="383">
        <v>0</v>
      </c>
      <c r="E21" s="383">
        <v>0</v>
      </c>
      <c r="F21" s="383">
        <v>0</v>
      </c>
      <c r="G21" s="383">
        <v>0</v>
      </c>
      <c r="H21" s="383">
        <v>0</v>
      </c>
      <c r="I21" s="383">
        <v>0</v>
      </c>
      <c r="J21" s="383">
        <v>0</v>
      </c>
      <c r="K21" s="383">
        <v>0</v>
      </c>
      <c r="L21" s="383">
        <v>0</v>
      </c>
      <c r="M21" s="383">
        <v>0</v>
      </c>
      <c r="N21" s="383">
        <v>0</v>
      </c>
      <c r="O21" s="383">
        <v>0</v>
      </c>
      <c r="P21" s="383">
        <v>0</v>
      </c>
      <c r="Q21" s="383">
        <v>0</v>
      </c>
      <c r="R21" s="383">
        <v>0</v>
      </c>
      <c r="S21" s="383">
        <v>0</v>
      </c>
      <c r="T21" s="383">
        <v>0</v>
      </c>
      <c r="U21" s="383">
        <v>0</v>
      </c>
      <c r="V21" s="383">
        <v>0</v>
      </c>
      <c r="W21" s="383">
        <v>0</v>
      </c>
      <c r="X21" s="383">
        <v>0</v>
      </c>
      <c r="Y21" s="383">
        <v>0</v>
      </c>
      <c r="Z21" s="383">
        <v>0</v>
      </c>
      <c r="AA21" s="383">
        <v>0</v>
      </c>
      <c r="AB21" s="383">
        <v>0</v>
      </c>
      <c r="AC21" s="383">
        <v>0</v>
      </c>
      <c r="AD21" s="383">
        <v>0</v>
      </c>
      <c r="AE21" s="383">
        <v>0</v>
      </c>
      <c r="AF21" s="383">
        <v>0</v>
      </c>
      <c r="AG21" s="383">
        <v>0</v>
      </c>
      <c r="AH21" s="383">
        <v>0</v>
      </c>
      <c r="AI21" s="383">
        <v>0</v>
      </c>
      <c r="AJ21" s="383">
        <v>0</v>
      </c>
      <c r="AK21" s="383">
        <v>0</v>
      </c>
      <c r="AL21" s="383">
        <v>0</v>
      </c>
      <c r="AM21" s="383">
        <v>0</v>
      </c>
      <c r="AN21" s="383">
        <v>0</v>
      </c>
      <c r="AO21" s="383">
        <v>0</v>
      </c>
      <c r="AP21" s="383">
        <v>0</v>
      </c>
      <c r="AQ21" s="383">
        <v>0</v>
      </c>
      <c r="AR21" s="383">
        <v>0</v>
      </c>
      <c r="AS21" s="383">
        <v>0</v>
      </c>
      <c r="AT21" s="383">
        <v>0</v>
      </c>
      <c r="AU21" s="383">
        <v>0</v>
      </c>
      <c r="AV21" s="383">
        <v>0</v>
      </c>
      <c r="AW21" s="383">
        <v>0</v>
      </c>
      <c r="AX21" s="383">
        <v>0</v>
      </c>
      <c r="AY21" s="383">
        <v>0</v>
      </c>
      <c r="AZ21" s="383">
        <v>0</v>
      </c>
    </row>
    <row r="22" spans="1:52" s="110" customFormat="1" ht="16" x14ac:dyDescent="0.2">
      <c r="A22" s="184" t="s">
        <v>201</v>
      </c>
      <c r="B22" s="383">
        <v>0</v>
      </c>
      <c r="C22" s="383">
        <v>0</v>
      </c>
      <c r="D22" s="383">
        <v>0</v>
      </c>
      <c r="E22" s="383">
        <v>0</v>
      </c>
      <c r="F22" s="383">
        <v>0</v>
      </c>
      <c r="G22" s="383">
        <v>0</v>
      </c>
      <c r="H22" s="383">
        <v>0</v>
      </c>
      <c r="I22" s="383">
        <v>0</v>
      </c>
      <c r="J22" s="383">
        <v>0</v>
      </c>
      <c r="K22" s="383">
        <v>0</v>
      </c>
      <c r="L22" s="383">
        <v>0</v>
      </c>
      <c r="M22" s="383">
        <v>0</v>
      </c>
      <c r="N22" s="383">
        <v>0</v>
      </c>
      <c r="O22" s="383">
        <v>0</v>
      </c>
      <c r="P22" s="383">
        <v>0</v>
      </c>
      <c r="Q22" s="383">
        <v>0</v>
      </c>
      <c r="R22" s="383">
        <v>0</v>
      </c>
      <c r="S22" s="383">
        <v>0</v>
      </c>
      <c r="T22" s="383">
        <v>0</v>
      </c>
      <c r="U22" s="383">
        <v>0</v>
      </c>
      <c r="V22" s="383">
        <v>0</v>
      </c>
      <c r="W22" s="383">
        <v>0</v>
      </c>
      <c r="X22" s="383">
        <v>0</v>
      </c>
      <c r="Y22" s="383">
        <v>0</v>
      </c>
      <c r="Z22" s="383">
        <v>0</v>
      </c>
      <c r="AA22" s="383">
        <v>0</v>
      </c>
      <c r="AB22" s="383">
        <v>0</v>
      </c>
      <c r="AC22" s="383">
        <v>0</v>
      </c>
      <c r="AD22" s="383">
        <v>0</v>
      </c>
      <c r="AE22" s="383">
        <v>0</v>
      </c>
      <c r="AF22" s="383">
        <v>0</v>
      </c>
      <c r="AG22" s="383">
        <v>0</v>
      </c>
      <c r="AH22" s="383">
        <v>0</v>
      </c>
      <c r="AI22" s="383">
        <v>0</v>
      </c>
      <c r="AJ22" s="383">
        <v>0</v>
      </c>
      <c r="AK22" s="383">
        <v>0</v>
      </c>
      <c r="AL22" s="383">
        <v>0</v>
      </c>
      <c r="AM22" s="383">
        <v>0</v>
      </c>
      <c r="AN22" s="383">
        <v>0</v>
      </c>
      <c r="AO22" s="383">
        <v>0</v>
      </c>
      <c r="AP22" s="383">
        <v>0</v>
      </c>
      <c r="AQ22" s="383">
        <v>0</v>
      </c>
      <c r="AR22" s="383">
        <v>0</v>
      </c>
      <c r="AS22" s="383">
        <v>0</v>
      </c>
      <c r="AT22" s="383">
        <v>0</v>
      </c>
      <c r="AU22" s="383">
        <v>0</v>
      </c>
      <c r="AV22" s="383">
        <v>0</v>
      </c>
      <c r="AW22" s="383">
        <v>0</v>
      </c>
      <c r="AX22" s="383">
        <v>0</v>
      </c>
      <c r="AY22" s="383">
        <v>0</v>
      </c>
      <c r="AZ22" s="383">
        <v>0</v>
      </c>
    </row>
    <row r="23" spans="1:52" s="110" customFormat="1" ht="16" x14ac:dyDescent="0.2">
      <c r="A23" s="184" t="s">
        <v>202</v>
      </c>
      <c r="B23" s="383">
        <v>0</v>
      </c>
      <c r="C23" s="383">
        <v>0</v>
      </c>
      <c r="D23" s="383">
        <v>0</v>
      </c>
      <c r="E23" s="383">
        <v>0</v>
      </c>
      <c r="F23" s="383">
        <v>0</v>
      </c>
      <c r="G23" s="383">
        <v>0</v>
      </c>
      <c r="H23" s="383">
        <v>0</v>
      </c>
      <c r="I23" s="383">
        <v>0</v>
      </c>
      <c r="J23" s="383">
        <v>0</v>
      </c>
      <c r="K23" s="383">
        <v>0</v>
      </c>
      <c r="L23" s="383">
        <v>0</v>
      </c>
      <c r="M23" s="383">
        <v>0</v>
      </c>
      <c r="N23" s="383">
        <v>0</v>
      </c>
      <c r="O23" s="383">
        <v>0</v>
      </c>
      <c r="P23" s="383">
        <v>0</v>
      </c>
      <c r="Q23" s="383">
        <v>0</v>
      </c>
      <c r="R23" s="383">
        <v>0</v>
      </c>
      <c r="S23" s="383">
        <v>0</v>
      </c>
      <c r="T23" s="383">
        <v>0</v>
      </c>
      <c r="U23" s="383">
        <v>0</v>
      </c>
      <c r="V23" s="383">
        <v>0</v>
      </c>
      <c r="W23" s="383">
        <v>0</v>
      </c>
      <c r="X23" s="383">
        <v>0</v>
      </c>
      <c r="Y23" s="383">
        <v>0</v>
      </c>
      <c r="Z23" s="383">
        <v>0</v>
      </c>
      <c r="AA23" s="383">
        <v>0</v>
      </c>
      <c r="AB23" s="383">
        <v>0</v>
      </c>
      <c r="AC23" s="383">
        <v>0</v>
      </c>
      <c r="AD23" s="383">
        <v>0</v>
      </c>
      <c r="AE23" s="383">
        <v>0</v>
      </c>
      <c r="AF23" s="383">
        <v>0</v>
      </c>
      <c r="AG23" s="383">
        <v>0</v>
      </c>
      <c r="AH23" s="383">
        <v>0</v>
      </c>
      <c r="AI23" s="383">
        <v>0</v>
      </c>
      <c r="AJ23" s="383">
        <v>0</v>
      </c>
      <c r="AK23" s="383">
        <v>0</v>
      </c>
      <c r="AL23" s="383">
        <v>0</v>
      </c>
      <c r="AM23" s="383">
        <v>0</v>
      </c>
      <c r="AN23" s="383">
        <v>0</v>
      </c>
      <c r="AO23" s="383">
        <v>0</v>
      </c>
      <c r="AP23" s="383">
        <v>0</v>
      </c>
      <c r="AQ23" s="383">
        <v>0</v>
      </c>
      <c r="AR23" s="383">
        <v>0</v>
      </c>
      <c r="AS23" s="383">
        <v>0</v>
      </c>
      <c r="AT23" s="383">
        <v>0</v>
      </c>
      <c r="AU23" s="383">
        <v>0</v>
      </c>
      <c r="AV23" s="383">
        <v>0</v>
      </c>
      <c r="AW23" s="383">
        <v>0</v>
      </c>
      <c r="AX23" s="383">
        <v>0</v>
      </c>
      <c r="AY23" s="383">
        <v>0</v>
      </c>
      <c r="AZ23" s="383">
        <v>0</v>
      </c>
    </row>
    <row r="24" spans="1:52" s="110" customFormat="1" ht="16" x14ac:dyDescent="0.2">
      <c r="A24" s="184" t="s">
        <v>203</v>
      </c>
      <c r="B24" s="383">
        <v>0</v>
      </c>
      <c r="C24" s="383">
        <v>0</v>
      </c>
      <c r="D24" s="383">
        <v>0</v>
      </c>
      <c r="E24" s="383">
        <v>0</v>
      </c>
      <c r="F24" s="383">
        <v>0</v>
      </c>
      <c r="G24" s="383">
        <v>0</v>
      </c>
      <c r="H24" s="383">
        <v>0</v>
      </c>
      <c r="I24" s="383">
        <v>0</v>
      </c>
      <c r="J24" s="383">
        <v>0</v>
      </c>
      <c r="K24" s="383">
        <v>0</v>
      </c>
      <c r="L24" s="383">
        <v>0</v>
      </c>
      <c r="M24" s="383">
        <v>0</v>
      </c>
      <c r="N24" s="383">
        <v>0</v>
      </c>
      <c r="O24" s="383">
        <v>0</v>
      </c>
      <c r="P24" s="383">
        <v>0</v>
      </c>
      <c r="Q24" s="383">
        <v>0</v>
      </c>
      <c r="R24" s="383">
        <v>0</v>
      </c>
      <c r="S24" s="383">
        <v>0</v>
      </c>
      <c r="T24" s="383">
        <v>0</v>
      </c>
      <c r="U24" s="383">
        <v>0</v>
      </c>
      <c r="V24" s="383">
        <v>0</v>
      </c>
      <c r="W24" s="383">
        <v>0</v>
      </c>
      <c r="X24" s="383">
        <v>0</v>
      </c>
      <c r="Y24" s="383">
        <v>0</v>
      </c>
      <c r="Z24" s="383">
        <v>0</v>
      </c>
      <c r="AA24" s="383">
        <v>0</v>
      </c>
      <c r="AB24" s="383">
        <v>0</v>
      </c>
      <c r="AC24" s="383">
        <v>0</v>
      </c>
      <c r="AD24" s="383">
        <v>0</v>
      </c>
      <c r="AE24" s="383">
        <v>0</v>
      </c>
      <c r="AF24" s="383">
        <v>0</v>
      </c>
      <c r="AG24" s="383">
        <v>0</v>
      </c>
      <c r="AH24" s="383">
        <v>0</v>
      </c>
      <c r="AI24" s="383">
        <v>0</v>
      </c>
      <c r="AJ24" s="383">
        <v>0</v>
      </c>
      <c r="AK24" s="383">
        <v>0</v>
      </c>
      <c r="AL24" s="383">
        <v>0</v>
      </c>
      <c r="AM24" s="383">
        <v>0</v>
      </c>
      <c r="AN24" s="383">
        <v>0</v>
      </c>
      <c r="AO24" s="383">
        <v>0</v>
      </c>
      <c r="AP24" s="383">
        <v>0</v>
      </c>
      <c r="AQ24" s="383">
        <v>0</v>
      </c>
      <c r="AR24" s="383">
        <v>0</v>
      </c>
      <c r="AS24" s="383">
        <v>0</v>
      </c>
      <c r="AT24" s="383">
        <v>0</v>
      </c>
      <c r="AU24" s="383">
        <v>0</v>
      </c>
      <c r="AV24" s="383">
        <v>0</v>
      </c>
      <c r="AW24" s="383">
        <v>0</v>
      </c>
      <c r="AX24" s="383">
        <v>0</v>
      </c>
      <c r="AY24" s="383">
        <v>0</v>
      </c>
      <c r="AZ24" s="383">
        <v>0</v>
      </c>
    </row>
    <row r="25" spans="1:52" s="110" customFormat="1" ht="16" x14ac:dyDescent="0.2">
      <c r="A25" s="184" t="s">
        <v>204</v>
      </c>
      <c r="B25" s="383">
        <v>0</v>
      </c>
      <c r="C25" s="383">
        <v>0</v>
      </c>
      <c r="D25" s="383">
        <v>0</v>
      </c>
      <c r="E25" s="383">
        <v>0</v>
      </c>
      <c r="F25" s="383">
        <v>0</v>
      </c>
      <c r="G25" s="383">
        <v>0</v>
      </c>
      <c r="H25" s="383">
        <v>0</v>
      </c>
      <c r="I25" s="383">
        <v>0</v>
      </c>
      <c r="J25" s="383">
        <v>0</v>
      </c>
      <c r="K25" s="383">
        <v>0</v>
      </c>
      <c r="L25" s="383">
        <v>0</v>
      </c>
      <c r="M25" s="383">
        <v>0</v>
      </c>
      <c r="N25" s="383">
        <v>0</v>
      </c>
      <c r="O25" s="383">
        <v>0</v>
      </c>
      <c r="P25" s="383">
        <v>0</v>
      </c>
      <c r="Q25" s="383">
        <v>0</v>
      </c>
      <c r="R25" s="383">
        <v>0</v>
      </c>
      <c r="S25" s="383">
        <v>0</v>
      </c>
      <c r="T25" s="383">
        <v>0</v>
      </c>
      <c r="U25" s="383">
        <v>0</v>
      </c>
      <c r="V25" s="383">
        <v>0</v>
      </c>
      <c r="W25" s="383">
        <v>0</v>
      </c>
      <c r="X25" s="383">
        <v>0</v>
      </c>
      <c r="Y25" s="383">
        <v>0</v>
      </c>
      <c r="Z25" s="383">
        <v>0</v>
      </c>
      <c r="AA25" s="383">
        <v>0</v>
      </c>
      <c r="AB25" s="383">
        <v>0</v>
      </c>
      <c r="AC25" s="383">
        <v>0</v>
      </c>
      <c r="AD25" s="383">
        <v>0</v>
      </c>
      <c r="AE25" s="383">
        <v>0</v>
      </c>
      <c r="AF25" s="383">
        <v>0</v>
      </c>
      <c r="AG25" s="383">
        <v>0</v>
      </c>
      <c r="AH25" s="383">
        <v>0</v>
      </c>
      <c r="AI25" s="383">
        <v>0</v>
      </c>
      <c r="AJ25" s="383">
        <v>0</v>
      </c>
      <c r="AK25" s="383">
        <v>0</v>
      </c>
      <c r="AL25" s="383">
        <v>0</v>
      </c>
      <c r="AM25" s="383">
        <v>0</v>
      </c>
      <c r="AN25" s="383">
        <v>0</v>
      </c>
      <c r="AO25" s="383">
        <v>0</v>
      </c>
      <c r="AP25" s="383">
        <v>0</v>
      </c>
      <c r="AQ25" s="383">
        <v>0</v>
      </c>
      <c r="AR25" s="383">
        <v>0</v>
      </c>
      <c r="AS25" s="383">
        <v>0</v>
      </c>
      <c r="AT25" s="383">
        <v>0</v>
      </c>
      <c r="AU25" s="383">
        <v>0</v>
      </c>
      <c r="AV25" s="383">
        <v>0</v>
      </c>
      <c r="AW25" s="383">
        <v>0</v>
      </c>
      <c r="AX25" s="383">
        <v>0</v>
      </c>
      <c r="AY25" s="383">
        <v>0</v>
      </c>
      <c r="AZ25" s="383">
        <v>0</v>
      </c>
    </row>
    <row r="26" spans="1:52" s="110" customFormat="1" ht="16" x14ac:dyDescent="0.2">
      <c r="A26" s="184" t="s">
        <v>205</v>
      </c>
      <c r="B26" s="383">
        <v>0</v>
      </c>
      <c r="C26" s="383">
        <v>0</v>
      </c>
      <c r="D26" s="383">
        <v>0</v>
      </c>
      <c r="E26" s="383">
        <v>0</v>
      </c>
      <c r="F26" s="383">
        <v>0</v>
      </c>
      <c r="G26" s="383">
        <v>0</v>
      </c>
      <c r="H26" s="383">
        <v>0</v>
      </c>
      <c r="I26" s="383">
        <v>0</v>
      </c>
      <c r="J26" s="383">
        <v>0</v>
      </c>
      <c r="K26" s="383">
        <v>0</v>
      </c>
      <c r="L26" s="383">
        <v>0</v>
      </c>
      <c r="M26" s="383">
        <v>0</v>
      </c>
      <c r="N26" s="383">
        <v>0</v>
      </c>
      <c r="O26" s="383">
        <v>0</v>
      </c>
      <c r="P26" s="383">
        <v>0</v>
      </c>
      <c r="Q26" s="383">
        <v>0</v>
      </c>
      <c r="R26" s="383">
        <v>0</v>
      </c>
      <c r="S26" s="383">
        <v>0</v>
      </c>
      <c r="T26" s="383">
        <v>0</v>
      </c>
      <c r="U26" s="383">
        <v>0</v>
      </c>
      <c r="V26" s="383">
        <v>0</v>
      </c>
      <c r="W26" s="383">
        <v>0</v>
      </c>
      <c r="X26" s="383">
        <v>0</v>
      </c>
      <c r="Y26" s="383">
        <v>0</v>
      </c>
      <c r="Z26" s="383">
        <v>0</v>
      </c>
      <c r="AA26" s="383">
        <v>0</v>
      </c>
      <c r="AB26" s="383">
        <v>0</v>
      </c>
      <c r="AC26" s="383">
        <v>0</v>
      </c>
      <c r="AD26" s="383">
        <v>0</v>
      </c>
      <c r="AE26" s="383">
        <v>0</v>
      </c>
      <c r="AF26" s="383">
        <v>0</v>
      </c>
      <c r="AG26" s="383">
        <v>0</v>
      </c>
      <c r="AH26" s="383">
        <v>0</v>
      </c>
      <c r="AI26" s="383">
        <v>0</v>
      </c>
      <c r="AJ26" s="383">
        <v>0</v>
      </c>
      <c r="AK26" s="383">
        <v>0</v>
      </c>
      <c r="AL26" s="383">
        <v>0</v>
      </c>
      <c r="AM26" s="383">
        <v>0</v>
      </c>
      <c r="AN26" s="383">
        <v>0</v>
      </c>
      <c r="AO26" s="383">
        <v>0</v>
      </c>
      <c r="AP26" s="383">
        <v>0</v>
      </c>
      <c r="AQ26" s="383">
        <v>0</v>
      </c>
      <c r="AR26" s="383">
        <v>0</v>
      </c>
      <c r="AS26" s="383">
        <v>0</v>
      </c>
      <c r="AT26" s="383">
        <v>0</v>
      </c>
      <c r="AU26" s="383">
        <v>0</v>
      </c>
      <c r="AV26" s="383">
        <v>0</v>
      </c>
      <c r="AW26" s="383">
        <v>0</v>
      </c>
      <c r="AX26" s="383">
        <v>0</v>
      </c>
      <c r="AY26" s="383">
        <v>0</v>
      </c>
      <c r="AZ26" s="383">
        <v>0</v>
      </c>
    </row>
    <row r="27" spans="1:52" s="110" customFormat="1" ht="16" x14ac:dyDescent="0.2">
      <c r="A27" s="184" t="s">
        <v>206</v>
      </c>
      <c r="B27" s="383">
        <v>0</v>
      </c>
      <c r="C27" s="383">
        <v>0</v>
      </c>
      <c r="D27" s="383">
        <v>0</v>
      </c>
      <c r="E27" s="383">
        <v>0</v>
      </c>
      <c r="F27" s="383">
        <v>0</v>
      </c>
      <c r="G27" s="383">
        <v>0</v>
      </c>
      <c r="H27" s="383">
        <v>0</v>
      </c>
      <c r="I27" s="383">
        <v>0</v>
      </c>
      <c r="J27" s="383">
        <v>0</v>
      </c>
      <c r="K27" s="383">
        <v>0</v>
      </c>
      <c r="L27" s="383">
        <v>0</v>
      </c>
      <c r="M27" s="383">
        <v>0</v>
      </c>
      <c r="N27" s="383">
        <v>0</v>
      </c>
      <c r="O27" s="383">
        <v>0</v>
      </c>
      <c r="P27" s="383">
        <v>0</v>
      </c>
      <c r="Q27" s="383">
        <v>0</v>
      </c>
      <c r="R27" s="383">
        <v>0</v>
      </c>
      <c r="S27" s="383">
        <v>0</v>
      </c>
      <c r="T27" s="383">
        <v>0</v>
      </c>
      <c r="U27" s="383">
        <v>0</v>
      </c>
      <c r="V27" s="383">
        <v>0</v>
      </c>
      <c r="W27" s="383">
        <v>0</v>
      </c>
      <c r="X27" s="383">
        <v>0</v>
      </c>
      <c r="Y27" s="383">
        <v>0</v>
      </c>
      <c r="Z27" s="383">
        <v>0</v>
      </c>
      <c r="AA27" s="383">
        <v>0</v>
      </c>
      <c r="AB27" s="383">
        <v>0</v>
      </c>
      <c r="AC27" s="383">
        <v>0</v>
      </c>
      <c r="AD27" s="383">
        <v>0</v>
      </c>
      <c r="AE27" s="383">
        <v>0</v>
      </c>
      <c r="AF27" s="383">
        <v>0</v>
      </c>
      <c r="AG27" s="383">
        <v>0</v>
      </c>
      <c r="AH27" s="383">
        <v>0</v>
      </c>
      <c r="AI27" s="383">
        <v>0</v>
      </c>
      <c r="AJ27" s="383">
        <v>0</v>
      </c>
      <c r="AK27" s="383">
        <v>0</v>
      </c>
      <c r="AL27" s="383">
        <v>0</v>
      </c>
      <c r="AM27" s="383">
        <v>0</v>
      </c>
      <c r="AN27" s="383">
        <v>0</v>
      </c>
      <c r="AO27" s="383">
        <v>0</v>
      </c>
      <c r="AP27" s="383">
        <v>0</v>
      </c>
      <c r="AQ27" s="383">
        <v>0</v>
      </c>
      <c r="AR27" s="383">
        <v>0</v>
      </c>
      <c r="AS27" s="383">
        <v>0</v>
      </c>
      <c r="AT27" s="383">
        <v>0</v>
      </c>
      <c r="AU27" s="383">
        <v>0</v>
      </c>
      <c r="AV27" s="383">
        <v>0</v>
      </c>
      <c r="AW27" s="383">
        <v>0</v>
      </c>
      <c r="AX27" s="383">
        <v>0</v>
      </c>
      <c r="AY27" s="383">
        <v>0</v>
      </c>
      <c r="AZ27" s="383">
        <v>0</v>
      </c>
    </row>
    <row r="28" spans="1:52" s="110" customFormat="1" ht="16" x14ac:dyDescent="0.2">
      <c r="A28" s="184" t="s">
        <v>207</v>
      </c>
      <c r="B28" s="383">
        <v>0</v>
      </c>
      <c r="C28" s="383">
        <v>0</v>
      </c>
      <c r="D28" s="383">
        <v>0</v>
      </c>
      <c r="E28" s="383">
        <v>0</v>
      </c>
      <c r="F28" s="383">
        <v>0</v>
      </c>
      <c r="G28" s="383">
        <v>0</v>
      </c>
      <c r="H28" s="383">
        <v>0</v>
      </c>
      <c r="I28" s="383">
        <v>0</v>
      </c>
      <c r="J28" s="383">
        <v>0</v>
      </c>
      <c r="K28" s="383">
        <v>0</v>
      </c>
      <c r="L28" s="383">
        <v>0</v>
      </c>
      <c r="M28" s="383">
        <v>0</v>
      </c>
      <c r="N28" s="383">
        <v>0</v>
      </c>
      <c r="O28" s="383">
        <v>0</v>
      </c>
      <c r="P28" s="383">
        <v>0</v>
      </c>
      <c r="Q28" s="383">
        <v>0</v>
      </c>
      <c r="R28" s="383">
        <v>0</v>
      </c>
      <c r="S28" s="383">
        <v>0</v>
      </c>
      <c r="T28" s="383">
        <v>0</v>
      </c>
      <c r="U28" s="383">
        <v>0</v>
      </c>
      <c r="V28" s="383">
        <v>0</v>
      </c>
      <c r="W28" s="383">
        <v>0</v>
      </c>
      <c r="X28" s="383">
        <v>0</v>
      </c>
      <c r="Y28" s="383">
        <v>0</v>
      </c>
      <c r="Z28" s="383">
        <v>0</v>
      </c>
      <c r="AA28" s="383">
        <v>0</v>
      </c>
      <c r="AB28" s="383">
        <v>0</v>
      </c>
      <c r="AC28" s="383">
        <v>0</v>
      </c>
      <c r="AD28" s="383">
        <v>0</v>
      </c>
      <c r="AE28" s="383">
        <v>0</v>
      </c>
      <c r="AF28" s="383">
        <v>0</v>
      </c>
      <c r="AG28" s="383">
        <v>0</v>
      </c>
      <c r="AH28" s="383">
        <v>0</v>
      </c>
      <c r="AI28" s="383">
        <v>0</v>
      </c>
      <c r="AJ28" s="383">
        <v>0</v>
      </c>
      <c r="AK28" s="383">
        <v>0</v>
      </c>
      <c r="AL28" s="383">
        <v>0</v>
      </c>
      <c r="AM28" s="383">
        <v>0</v>
      </c>
      <c r="AN28" s="383">
        <v>0</v>
      </c>
      <c r="AO28" s="383">
        <v>0</v>
      </c>
      <c r="AP28" s="383">
        <v>0</v>
      </c>
      <c r="AQ28" s="383">
        <v>0</v>
      </c>
      <c r="AR28" s="383">
        <v>0</v>
      </c>
      <c r="AS28" s="383">
        <v>0</v>
      </c>
      <c r="AT28" s="383">
        <v>0</v>
      </c>
      <c r="AU28" s="383">
        <v>0</v>
      </c>
      <c r="AV28" s="383">
        <v>0</v>
      </c>
      <c r="AW28" s="383">
        <v>0</v>
      </c>
      <c r="AX28" s="383">
        <v>0</v>
      </c>
      <c r="AY28" s="383">
        <v>0</v>
      </c>
      <c r="AZ28" s="383">
        <v>0</v>
      </c>
    </row>
    <row r="29" spans="1:52" s="110" customFormat="1" ht="16" x14ac:dyDescent="0.2">
      <c r="A29" s="184" t="s">
        <v>257</v>
      </c>
      <c r="B29" s="383">
        <v>0</v>
      </c>
      <c r="C29" s="383">
        <v>0</v>
      </c>
      <c r="D29" s="383">
        <v>0</v>
      </c>
      <c r="E29" s="383">
        <v>0</v>
      </c>
      <c r="F29" s="383">
        <v>0</v>
      </c>
      <c r="G29" s="383">
        <v>0</v>
      </c>
      <c r="H29" s="383">
        <v>0</v>
      </c>
      <c r="I29" s="383">
        <v>0</v>
      </c>
      <c r="J29" s="383">
        <v>0</v>
      </c>
      <c r="K29" s="383">
        <v>0</v>
      </c>
      <c r="L29" s="383">
        <v>0</v>
      </c>
      <c r="M29" s="383">
        <v>0</v>
      </c>
      <c r="N29" s="383">
        <v>0</v>
      </c>
      <c r="O29" s="383">
        <v>0</v>
      </c>
      <c r="P29" s="383">
        <v>0</v>
      </c>
      <c r="Q29" s="383">
        <v>0</v>
      </c>
      <c r="R29" s="383">
        <v>0</v>
      </c>
      <c r="S29" s="383">
        <v>0</v>
      </c>
      <c r="T29" s="383">
        <v>0</v>
      </c>
      <c r="U29" s="383">
        <v>0</v>
      </c>
      <c r="V29" s="383">
        <v>0</v>
      </c>
      <c r="W29" s="383">
        <v>0</v>
      </c>
      <c r="X29" s="383">
        <v>0</v>
      </c>
      <c r="Y29" s="383">
        <v>0</v>
      </c>
      <c r="Z29" s="383">
        <v>0</v>
      </c>
      <c r="AA29" s="383">
        <v>0</v>
      </c>
      <c r="AB29" s="383">
        <v>0</v>
      </c>
      <c r="AC29" s="383">
        <v>0</v>
      </c>
      <c r="AD29" s="383">
        <v>0</v>
      </c>
      <c r="AE29" s="383">
        <v>0</v>
      </c>
      <c r="AF29" s="383">
        <v>0</v>
      </c>
      <c r="AG29" s="383">
        <v>0</v>
      </c>
      <c r="AH29" s="383">
        <v>0</v>
      </c>
      <c r="AI29" s="383">
        <v>0</v>
      </c>
      <c r="AJ29" s="383">
        <v>0</v>
      </c>
      <c r="AK29" s="383">
        <v>0</v>
      </c>
      <c r="AL29" s="383">
        <v>0</v>
      </c>
      <c r="AM29" s="383">
        <v>0</v>
      </c>
      <c r="AN29" s="383">
        <v>0</v>
      </c>
      <c r="AO29" s="383">
        <v>0</v>
      </c>
      <c r="AP29" s="383">
        <v>0</v>
      </c>
      <c r="AQ29" s="383">
        <v>0</v>
      </c>
      <c r="AR29" s="383">
        <v>0</v>
      </c>
      <c r="AS29" s="383">
        <v>0</v>
      </c>
      <c r="AT29" s="383">
        <v>0</v>
      </c>
      <c r="AU29" s="383">
        <v>0</v>
      </c>
      <c r="AV29" s="383">
        <v>0</v>
      </c>
      <c r="AW29" s="383">
        <v>0</v>
      </c>
      <c r="AX29" s="383">
        <v>0</v>
      </c>
      <c r="AY29" s="383">
        <v>0</v>
      </c>
      <c r="AZ29" s="383">
        <v>0</v>
      </c>
    </row>
    <row r="30" spans="1:52" s="110" customFormat="1" ht="16" x14ac:dyDescent="0.2">
      <c r="A30" s="184" t="s">
        <v>258</v>
      </c>
      <c r="B30" s="383">
        <v>0</v>
      </c>
      <c r="C30" s="383">
        <v>0</v>
      </c>
      <c r="D30" s="383">
        <v>0</v>
      </c>
      <c r="E30" s="383">
        <v>0</v>
      </c>
      <c r="F30" s="383">
        <v>0</v>
      </c>
      <c r="G30" s="383">
        <v>0</v>
      </c>
      <c r="H30" s="383">
        <v>0</v>
      </c>
      <c r="I30" s="383">
        <v>0</v>
      </c>
      <c r="J30" s="383">
        <v>0</v>
      </c>
      <c r="K30" s="383">
        <v>0</v>
      </c>
      <c r="L30" s="383">
        <v>0</v>
      </c>
      <c r="M30" s="383">
        <v>0</v>
      </c>
      <c r="N30" s="383">
        <v>0</v>
      </c>
      <c r="O30" s="383">
        <v>0</v>
      </c>
      <c r="P30" s="383">
        <v>0</v>
      </c>
      <c r="Q30" s="383">
        <v>0</v>
      </c>
      <c r="R30" s="383">
        <v>0</v>
      </c>
      <c r="S30" s="383">
        <v>0</v>
      </c>
      <c r="T30" s="383">
        <v>0</v>
      </c>
      <c r="U30" s="383">
        <v>0</v>
      </c>
      <c r="V30" s="383">
        <v>0</v>
      </c>
      <c r="W30" s="383">
        <v>0</v>
      </c>
      <c r="X30" s="383">
        <v>0</v>
      </c>
      <c r="Y30" s="383">
        <v>0</v>
      </c>
      <c r="Z30" s="383">
        <v>0</v>
      </c>
      <c r="AA30" s="383">
        <v>0</v>
      </c>
      <c r="AB30" s="383">
        <v>0</v>
      </c>
      <c r="AC30" s="383">
        <v>0</v>
      </c>
      <c r="AD30" s="383">
        <v>0</v>
      </c>
      <c r="AE30" s="383">
        <v>0</v>
      </c>
      <c r="AF30" s="383">
        <v>0</v>
      </c>
      <c r="AG30" s="383">
        <v>0</v>
      </c>
      <c r="AH30" s="383">
        <v>0</v>
      </c>
      <c r="AI30" s="383">
        <v>0</v>
      </c>
      <c r="AJ30" s="383">
        <v>0</v>
      </c>
      <c r="AK30" s="383">
        <v>0</v>
      </c>
      <c r="AL30" s="383">
        <v>0</v>
      </c>
      <c r="AM30" s="383">
        <v>0</v>
      </c>
      <c r="AN30" s="383">
        <v>0</v>
      </c>
      <c r="AO30" s="383">
        <v>0</v>
      </c>
      <c r="AP30" s="383">
        <v>0</v>
      </c>
      <c r="AQ30" s="383">
        <v>0</v>
      </c>
      <c r="AR30" s="383">
        <v>0</v>
      </c>
      <c r="AS30" s="383">
        <v>0</v>
      </c>
      <c r="AT30" s="383">
        <v>0</v>
      </c>
      <c r="AU30" s="383">
        <v>0</v>
      </c>
      <c r="AV30" s="383">
        <v>0</v>
      </c>
      <c r="AW30" s="383">
        <v>0</v>
      </c>
      <c r="AX30" s="383">
        <v>0</v>
      </c>
      <c r="AY30" s="383">
        <v>0</v>
      </c>
      <c r="AZ30" s="383">
        <v>0</v>
      </c>
    </row>
    <row r="31" spans="1:52" s="110" customFormat="1" ht="16" x14ac:dyDescent="0.2">
      <c r="A31" s="184" t="s">
        <v>259</v>
      </c>
      <c r="B31" s="383">
        <v>0</v>
      </c>
      <c r="C31" s="383">
        <v>0</v>
      </c>
      <c r="D31" s="383">
        <v>0</v>
      </c>
      <c r="E31" s="383">
        <v>0</v>
      </c>
      <c r="F31" s="383">
        <v>0</v>
      </c>
      <c r="G31" s="383">
        <v>0</v>
      </c>
      <c r="H31" s="383">
        <v>0</v>
      </c>
      <c r="I31" s="383">
        <v>0</v>
      </c>
      <c r="J31" s="383">
        <v>0</v>
      </c>
      <c r="K31" s="383">
        <v>0</v>
      </c>
      <c r="L31" s="383">
        <v>0</v>
      </c>
      <c r="M31" s="383">
        <v>0</v>
      </c>
      <c r="N31" s="383">
        <v>0</v>
      </c>
      <c r="O31" s="383">
        <v>0</v>
      </c>
      <c r="P31" s="383">
        <v>0</v>
      </c>
      <c r="Q31" s="383">
        <v>0</v>
      </c>
      <c r="R31" s="383">
        <v>0</v>
      </c>
      <c r="S31" s="383">
        <v>0</v>
      </c>
      <c r="T31" s="383">
        <v>0</v>
      </c>
      <c r="U31" s="383">
        <v>0</v>
      </c>
      <c r="V31" s="383">
        <v>0</v>
      </c>
      <c r="W31" s="383">
        <v>0</v>
      </c>
      <c r="X31" s="383">
        <v>0</v>
      </c>
      <c r="Y31" s="383">
        <v>0</v>
      </c>
      <c r="Z31" s="383">
        <v>0</v>
      </c>
      <c r="AA31" s="383">
        <v>0</v>
      </c>
      <c r="AB31" s="383">
        <v>0</v>
      </c>
      <c r="AC31" s="383">
        <v>0</v>
      </c>
      <c r="AD31" s="383">
        <v>0</v>
      </c>
      <c r="AE31" s="383">
        <v>0</v>
      </c>
      <c r="AF31" s="383">
        <v>0</v>
      </c>
      <c r="AG31" s="383">
        <v>0</v>
      </c>
      <c r="AH31" s="383">
        <v>0</v>
      </c>
      <c r="AI31" s="383">
        <v>0</v>
      </c>
      <c r="AJ31" s="383">
        <v>0</v>
      </c>
      <c r="AK31" s="383">
        <v>0</v>
      </c>
      <c r="AL31" s="383">
        <v>0</v>
      </c>
      <c r="AM31" s="383">
        <v>0</v>
      </c>
      <c r="AN31" s="383">
        <v>0</v>
      </c>
      <c r="AO31" s="383">
        <v>0</v>
      </c>
      <c r="AP31" s="383">
        <v>0</v>
      </c>
      <c r="AQ31" s="383">
        <v>0</v>
      </c>
      <c r="AR31" s="383">
        <v>0</v>
      </c>
      <c r="AS31" s="383">
        <v>0</v>
      </c>
      <c r="AT31" s="383">
        <v>0</v>
      </c>
      <c r="AU31" s="383">
        <v>0</v>
      </c>
      <c r="AV31" s="383">
        <v>0</v>
      </c>
      <c r="AW31" s="383">
        <v>0</v>
      </c>
      <c r="AX31" s="383">
        <v>0</v>
      </c>
      <c r="AY31" s="383">
        <v>0</v>
      </c>
      <c r="AZ31" s="383">
        <v>0</v>
      </c>
    </row>
    <row r="32" spans="1:52" s="110" customFormat="1" ht="16" x14ac:dyDescent="0.2">
      <c r="A32" s="184" t="s">
        <v>260</v>
      </c>
      <c r="B32" s="383">
        <v>0</v>
      </c>
      <c r="C32" s="383">
        <v>0</v>
      </c>
      <c r="D32" s="383">
        <v>0</v>
      </c>
      <c r="E32" s="383">
        <v>0</v>
      </c>
      <c r="F32" s="383">
        <v>0</v>
      </c>
      <c r="G32" s="383">
        <v>0</v>
      </c>
      <c r="H32" s="383">
        <v>0</v>
      </c>
      <c r="I32" s="383">
        <v>0</v>
      </c>
      <c r="J32" s="383">
        <v>0</v>
      </c>
      <c r="K32" s="383">
        <v>0</v>
      </c>
      <c r="L32" s="383">
        <v>0</v>
      </c>
      <c r="M32" s="383">
        <v>0</v>
      </c>
      <c r="N32" s="383">
        <v>0</v>
      </c>
      <c r="O32" s="383">
        <v>0</v>
      </c>
      <c r="P32" s="383">
        <v>0</v>
      </c>
      <c r="Q32" s="383">
        <v>0</v>
      </c>
      <c r="R32" s="383">
        <v>0</v>
      </c>
      <c r="S32" s="383">
        <v>0</v>
      </c>
      <c r="T32" s="383">
        <v>0</v>
      </c>
      <c r="U32" s="383">
        <v>0</v>
      </c>
      <c r="V32" s="383">
        <v>0</v>
      </c>
      <c r="W32" s="383">
        <v>0</v>
      </c>
      <c r="X32" s="383">
        <v>0</v>
      </c>
      <c r="Y32" s="383">
        <v>0</v>
      </c>
      <c r="Z32" s="383">
        <v>0</v>
      </c>
      <c r="AA32" s="383">
        <v>0</v>
      </c>
      <c r="AB32" s="383">
        <v>0</v>
      </c>
      <c r="AC32" s="383">
        <v>0</v>
      </c>
      <c r="AD32" s="383">
        <v>0</v>
      </c>
      <c r="AE32" s="383">
        <v>0</v>
      </c>
      <c r="AF32" s="383">
        <v>0</v>
      </c>
      <c r="AG32" s="383">
        <v>0</v>
      </c>
      <c r="AH32" s="383">
        <v>0</v>
      </c>
      <c r="AI32" s="383">
        <v>0</v>
      </c>
      <c r="AJ32" s="383">
        <v>0</v>
      </c>
      <c r="AK32" s="383">
        <v>0</v>
      </c>
      <c r="AL32" s="383">
        <v>0</v>
      </c>
      <c r="AM32" s="383">
        <v>0</v>
      </c>
      <c r="AN32" s="383">
        <v>0</v>
      </c>
      <c r="AO32" s="383">
        <v>0</v>
      </c>
      <c r="AP32" s="383">
        <v>0</v>
      </c>
      <c r="AQ32" s="383">
        <v>0</v>
      </c>
      <c r="AR32" s="383">
        <v>0</v>
      </c>
      <c r="AS32" s="383">
        <v>0</v>
      </c>
      <c r="AT32" s="383">
        <v>0</v>
      </c>
      <c r="AU32" s="383">
        <v>0</v>
      </c>
      <c r="AV32" s="383">
        <v>0</v>
      </c>
      <c r="AW32" s="383">
        <v>0</v>
      </c>
      <c r="AX32" s="383">
        <v>0</v>
      </c>
      <c r="AY32" s="383">
        <v>0</v>
      </c>
      <c r="AZ32" s="383">
        <v>0</v>
      </c>
    </row>
    <row r="33" spans="1:52" s="110" customFormat="1" ht="16" x14ac:dyDescent="0.2">
      <c r="A33" s="184" t="s">
        <v>208</v>
      </c>
      <c r="B33" s="383">
        <v>0</v>
      </c>
      <c r="C33" s="383">
        <v>0</v>
      </c>
      <c r="D33" s="383">
        <v>0</v>
      </c>
      <c r="E33" s="383">
        <v>0</v>
      </c>
      <c r="F33" s="383">
        <v>0</v>
      </c>
      <c r="G33" s="383">
        <v>0</v>
      </c>
      <c r="H33" s="383">
        <v>0</v>
      </c>
      <c r="I33" s="383">
        <v>0</v>
      </c>
      <c r="J33" s="383">
        <v>0</v>
      </c>
      <c r="K33" s="383">
        <v>0</v>
      </c>
      <c r="L33" s="383">
        <v>0</v>
      </c>
      <c r="M33" s="383">
        <v>0</v>
      </c>
      <c r="N33" s="383">
        <v>0</v>
      </c>
      <c r="O33" s="383">
        <v>0</v>
      </c>
      <c r="P33" s="383">
        <v>0</v>
      </c>
      <c r="Q33" s="383">
        <v>0</v>
      </c>
      <c r="R33" s="383">
        <v>0</v>
      </c>
      <c r="S33" s="383">
        <v>0</v>
      </c>
      <c r="T33" s="383">
        <v>0</v>
      </c>
      <c r="U33" s="383">
        <v>0</v>
      </c>
      <c r="V33" s="383">
        <v>0</v>
      </c>
      <c r="W33" s="383">
        <v>0</v>
      </c>
      <c r="X33" s="383">
        <v>0</v>
      </c>
      <c r="Y33" s="383">
        <v>0</v>
      </c>
      <c r="Z33" s="383">
        <v>0</v>
      </c>
      <c r="AA33" s="383">
        <v>0</v>
      </c>
      <c r="AB33" s="383">
        <v>0</v>
      </c>
      <c r="AC33" s="383">
        <v>0</v>
      </c>
      <c r="AD33" s="383">
        <v>0</v>
      </c>
      <c r="AE33" s="383">
        <v>0</v>
      </c>
      <c r="AF33" s="383">
        <v>0</v>
      </c>
      <c r="AG33" s="383">
        <v>0</v>
      </c>
      <c r="AH33" s="383">
        <v>0</v>
      </c>
      <c r="AI33" s="383">
        <v>0</v>
      </c>
      <c r="AJ33" s="383">
        <v>0</v>
      </c>
      <c r="AK33" s="383">
        <v>0</v>
      </c>
      <c r="AL33" s="383">
        <v>0</v>
      </c>
      <c r="AM33" s="383">
        <v>0</v>
      </c>
      <c r="AN33" s="383">
        <v>0</v>
      </c>
      <c r="AO33" s="383">
        <v>0</v>
      </c>
      <c r="AP33" s="383">
        <v>0</v>
      </c>
      <c r="AQ33" s="383">
        <v>0</v>
      </c>
      <c r="AR33" s="383">
        <v>0</v>
      </c>
      <c r="AS33" s="383">
        <v>0</v>
      </c>
      <c r="AT33" s="383">
        <v>0</v>
      </c>
      <c r="AU33" s="383">
        <v>0</v>
      </c>
      <c r="AV33" s="383">
        <v>0</v>
      </c>
      <c r="AW33" s="383">
        <v>0</v>
      </c>
      <c r="AX33" s="383">
        <v>0</v>
      </c>
      <c r="AY33" s="383">
        <v>0</v>
      </c>
      <c r="AZ33" s="383">
        <v>0</v>
      </c>
    </row>
    <row r="34" spans="1:52" s="110" customFormat="1" ht="16" x14ac:dyDescent="0.2">
      <c r="A34" s="184" t="s">
        <v>209</v>
      </c>
      <c r="B34" s="383">
        <v>0</v>
      </c>
      <c r="C34" s="383">
        <v>0</v>
      </c>
      <c r="D34" s="383">
        <v>0</v>
      </c>
      <c r="E34" s="383">
        <v>0</v>
      </c>
      <c r="F34" s="383">
        <v>0</v>
      </c>
      <c r="G34" s="383">
        <v>0</v>
      </c>
      <c r="H34" s="383">
        <v>0</v>
      </c>
      <c r="I34" s="383">
        <v>0</v>
      </c>
      <c r="J34" s="383">
        <v>0</v>
      </c>
      <c r="K34" s="383">
        <v>0</v>
      </c>
      <c r="L34" s="383">
        <v>0</v>
      </c>
      <c r="M34" s="383">
        <v>0</v>
      </c>
      <c r="N34" s="383">
        <v>0</v>
      </c>
      <c r="O34" s="383">
        <v>0</v>
      </c>
      <c r="P34" s="383">
        <v>0</v>
      </c>
      <c r="Q34" s="383">
        <v>0</v>
      </c>
      <c r="R34" s="383">
        <v>0</v>
      </c>
      <c r="S34" s="383">
        <v>0</v>
      </c>
      <c r="T34" s="383">
        <v>0</v>
      </c>
      <c r="U34" s="383">
        <v>0</v>
      </c>
      <c r="V34" s="383">
        <v>0</v>
      </c>
      <c r="W34" s="383">
        <v>0</v>
      </c>
      <c r="X34" s="383">
        <v>0</v>
      </c>
      <c r="Y34" s="383">
        <v>0</v>
      </c>
      <c r="Z34" s="383">
        <v>0</v>
      </c>
      <c r="AA34" s="383">
        <v>0</v>
      </c>
      <c r="AB34" s="383">
        <v>0</v>
      </c>
      <c r="AC34" s="383">
        <v>0</v>
      </c>
      <c r="AD34" s="383">
        <v>0</v>
      </c>
      <c r="AE34" s="383">
        <v>0</v>
      </c>
      <c r="AF34" s="383">
        <v>0</v>
      </c>
      <c r="AG34" s="383">
        <v>0</v>
      </c>
      <c r="AH34" s="383">
        <v>0</v>
      </c>
      <c r="AI34" s="383">
        <v>0</v>
      </c>
      <c r="AJ34" s="383">
        <v>0</v>
      </c>
      <c r="AK34" s="383">
        <v>0</v>
      </c>
      <c r="AL34" s="383">
        <v>0</v>
      </c>
      <c r="AM34" s="383">
        <v>0</v>
      </c>
      <c r="AN34" s="383">
        <v>0</v>
      </c>
      <c r="AO34" s="383">
        <v>0</v>
      </c>
      <c r="AP34" s="383">
        <v>0</v>
      </c>
      <c r="AQ34" s="383">
        <v>0</v>
      </c>
      <c r="AR34" s="383">
        <v>0</v>
      </c>
      <c r="AS34" s="383">
        <v>0</v>
      </c>
      <c r="AT34" s="383">
        <v>0</v>
      </c>
      <c r="AU34" s="383">
        <v>0</v>
      </c>
      <c r="AV34" s="383">
        <v>0</v>
      </c>
      <c r="AW34" s="383">
        <v>0</v>
      </c>
      <c r="AX34" s="383">
        <v>0</v>
      </c>
      <c r="AY34" s="383">
        <v>0</v>
      </c>
      <c r="AZ34" s="383">
        <v>0</v>
      </c>
    </row>
    <row r="35" spans="1:52" s="110" customFormat="1" ht="16" x14ac:dyDescent="0.2">
      <c r="A35" s="184" t="s">
        <v>210</v>
      </c>
      <c r="B35" s="383">
        <v>0</v>
      </c>
      <c r="C35" s="383">
        <v>0</v>
      </c>
      <c r="D35" s="383">
        <v>0</v>
      </c>
      <c r="E35" s="383">
        <v>0</v>
      </c>
      <c r="F35" s="383">
        <v>0</v>
      </c>
      <c r="G35" s="383">
        <v>0</v>
      </c>
      <c r="H35" s="383">
        <v>0</v>
      </c>
      <c r="I35" s="383">
        <v>0</v>
      </c>
      <c r="J35" s="383">
        <v>0</v>
      </c>
      <c r="K35" s="383">
        <v>0</v>
      </c>
      <c r="L35" s="383">
        <v>0</v>
      </c>
      <c r="M35" s="383">
        <v>0</v>
      </c>
      <c r="N35" s="383">
        <v>0</v>
      </c>
      <c r="O35" s="383">
        <v>0</v>
      </c>
      <c r="P35" s="383">
        <v>0</v>
      </c>
      <c r="Q35" s="383">
        <v>0</v>
      </c>
      <c r="R35" s="383">
        <v>0</v>
      </c>
      <c r="S35" s="383">
        <v>0</v>
      </c>
      <c r="T35" s="383">
        <v>0</v>
      </c>
      <c r="U35" s="383">
        <v>0</v>
      </c>
      <c r="V35" s="383">
        <v>0</v>
      </c>
      <c r="W35" s="383">
        <v>0</v>
      </c>
      <c r="X35" s="383">
        <v>0</v>
      </c>
      <c r="Y35" s="383">
        <v>0</v>
      </c>
      <c r="Z35" s="383">
        <v>0</v>
      </c>
      <c r="AA35" s="383">
        <v>0</v>
      </c>
      <c r="AB35" s="383">
        <v>0</v>
      </c>
      <c r="AC35" s="383">
        <v>0</v>
      </c>
      <c r="AD35" s="383">
        <v>0</v>
      </c>
      <c r="AE35" s="383">
        <v>0</v>
      </c>
      <c r="AF35" s="383">
        <v>0</v>
      </c>
      <c r="AG35" s="383">
        <v>0</v>
      </c>
      <c r="AH35" s="383">
        <v>0</v>
      </c>
      <c r="AI35" s="383">
        <v>0</v>
      </c>
      <c r="AJ35" s="383">
        <v>0</v>
      </c>
      <c r="AK35" s="383">
        <v>0</v>
      </c>
      <c r="AL35" s="383">
        <v>0</v>
      </c>
      <c r="AM35" s="383">
        <v>0</v>
      </c>
      <c r="AN35" s="383">
        <v>0</v>
      </c>
      <c r="AO35" s="383">
        <v>0</v>
      </c>
      <c r="AP35" s="383">
        <v>0</v>
      </c>
      <c r="AQ35" s="383">
        <v>0</v>
      </c>
      <c r="AR35" s="383">
        <v>0</v>
      </c>
      <c r="AS35" s="383">
        <v>0</v>
      </c>
      <c r="AT35" s="383">
        <v>0</v>
      </c>
      <c r="AU35" s="383">
        <v>0</v>
      </c>
      <c r="AV35" s="383">
        <v>0</v>
      </c>
      <c r="AW35" s="383">
        <v>0</v>
      </c>
      <c r="AX35" s="383">
        <v>0</v>
      </c>
      <c r="AY35" s="383">
        <v>0</v>
      </c>
      <c r="AZ35" s="383">
        <v>0</v>
      </c>
    </row>
    <row r="36" spans="1:52" s="110" customFormat="1" ht="16" x14ac:dyDescent="0.2">
      <c r="A36" s="184" t="s">
        <v>211</v>
      </c>
      <c r="B36" s="383">
        <v>0</v>
      </c>
      <c r="C36" s="383">
        <v>0</v>
      </c>
      <c r="D36" s="383">
        <v>0</v>
      </c>
      <c r="E36" s="383">
        <v>0</v>
      </c>
      <c r="F36" s="383">
        <v>0</v>
      </c>
      <c r="G36" s="383">
        <v>0</v>
      </c>
      <c r="H36" s="383">
        <v>0</v>
      </c>
      <c r="I36" s="383">
        <v>0</v>
      </c>
      <c r="J36" s="383">
        <v>0</v>
      </c>
      <c r="K36" s="383">
        <v>0</v>
      </c>
      <c r="L36" s="383">
        <v>0</v>
      </c>
      <c r="M36" s="383">
        <v>0</v>
      </c>
      <c r="N36" s="383">
        <v>0</v>
      </c>
      <c r="O36" s="383">
        <v>0</v>
      </c>
      <c r="P36" s="383">
        <v>0</v>
      </c>
      <c r="Q36" s="383">
        <v>0</v>
      </c>
      <c r="R36" s="383">
        <v>0</v>
      </c>
      <c r="S36" s="383">
        <v>0</v>
      </c>
      <c r="T36" s="383">
        <v>0</v>
      </c>
      <c r="U36" s="383">
        <v>0</v>
      </c>
      <c r="V36" s="383">
        <v>0</v>
      </c>
      <c r="W36" s="383">
        <v>0</v>
      </c>
      <c r="X36" s="383">
        <v>0</v>
      </c>
      <c r="Y36" s="383">
        <v>0</v>
      </c>
      <c r="Z36" s="383">
        <v>0</v>
      </c>
      <c r="AA36" s="383">
        <v>0</v>
      </c>
      <c r="AB36" s="383">
        <v>0</v>
      </c>
      <c r="AC36" s="383">
        <v>0</v>
      </c>
      <c r="AD36" s="383">
        <v>0</v>
      </c>
      <c r="AE36" s="383">
        <v>0</v>
      </c>
      <c r="AF36" s="383">
        <v>0</v>
      </c>
      <c r="AG36" s="383">
        <v>0</v>
      </c>
      <c r="AH36" s="383">
        <v>0</v>
      </c>
      <c r="AI36" s="383">
        <v>0</v>
      </c>
      <c r="AJ36" s="383">
        <v>0</v>
      </c>
      <c r="AK36" s="383">
        <v>0</v>
      </c>
      <c r="AL36" s="383">
        <v>0</v>
      </c>
      <c r="AM36" s="383">
        <v>0</v>
      </c>
      <c r="AN36" s="383">
        <v>0</v>
      </c>
      <c r="AO36" s="383">
        <v>0</v>
      </c>
      <c r="AP36" s="383">
        <v>0</v>
      </c>
      <c r="AQ36" s="383">
        <v>0</v>
      </c>
      <c r="AR36" s="383">
        <v>0</v>
      </c>
      <c r="AS36" s="383">
        <v>0</v>
      </c>
      <c r="AT36" s="383">
        <v>0</v>
      </c>
      <c r="AU36" s="383">
        <v>0</v>
      </c>
      <c r="AV36" s="383">
        <v>0</v>
      </c>
      <c r="AW36" s="383">
        <v>0</v>
      </c>
      <c r="AX36" s="383">
        <v>0</v>
      </c>
      <c r="AY36" s="383">
        <v>0</v>
      </c>
      <c r="AZ36" s="383">
        <v>0</v>
      </c>
    </row>
    <row r="37" spans="1:52" s="110" customFormat="1" ht="16" x14ac:dyDescent="0.2">
      <c r="A37" s="184" t="s">
        <v>212</v>
      </c>
      <c r="B37" s="383">
        <v>0</v>
      </c>
      <c r="C37" s="383">
        <v>0</v>
      </c>
      <c r="D37" s="383">
        <v>0</v>
      </c>
      <c r="E37" s="383">
        <v>0</v>
      </c>
      <c r="F37" s="383">
        <v>0</v>
      </c>
      <c r="G37" s="383">
        <v>0</v>
      </c>
      <c r="H37" s="383">
        <v>0</v>
      </c>
      <c r="I37" s="383">
        <v>0</v>
      </c>
      <c r="J37" s="383">
        <v>0</v>
      </c>
      <c r="K37" s="383">
        <v>0</v>
      </c>
      <c r="L37" s="383">
        <v>0</v>
      </c>
      <c r="M37" s="383">
        <v>0</v>
      </c>
      <c r="N37" s="383">
        <v>0</v>
      </c>
      <c r="O37" s="383">
        <v>0</v>
      </c>
      <c r="P37" s="383">
        <v>0</v>
      </c>
      <c r="Q37" s="383">
        <v>0</v>
      </c>
      <c r="R37" s="383">
        <v>0</v>
      </c>
      <c r="S37" s="383">
        <v>0</v>
      </c>
      <c r="T37" s="383">
        <v>0</v>
      </c>
      <c r="U37" s="383">
        <v>0</v>
      </c>
      <c r="V37" s="383">
        <v>0</v>
      </c>
      <c r="W37" s="383">
        <v>0</v>
      </c>
      <c r="X37" s="383">
        <v>0</v>
      </c>
      <c r="Y37" s="383">
        <v>0</v>
      </c>
      <c r="Z37" s="383">
        <v>0</v>
      </c>
      <c r="AA37" s="383">
        <v>0</v>
      </c>
      <c r="AB37" s="383">
        <v>0</v>
      </c>
      <c r="AC37" s="383">
        <v>0</v>
      </c>
      <c r="AD37" s="383">
        <v>0</v>
      </c>
      <c r="AE37" s="383">
        <v>0</v>
      </c>
      <c r="AF37" s="383">
        <v>0</v>
      </c>
      <c r="AG37" s="383">
        <v>0</v>
      </c>
      <c r="AH37" s="383">
        <v>0</v>
      </c>
      <c r="AI37" s="383">
        <v>0</v>
      </c>
      <c r="AJ37" s="383">
        <v>0</v>
      </c>
      <c r="AK37" s="383">
        <v>0</v>
      </c>
      <c r="AL37" s="383">
        <v>0</v>
      </c>
      <c r="AM37" s="383">
        <v>0</v>
      </c>
      <c r="AN37" s="383">
        <v>0</v>
      </c>
      <c r="AO37" s="383">
        <v>0</v>
      </c>
      <c r="AP37" s="383">
        <v>0</v>
      </c>
      <c r="AQ37" s="383">
        <v>0</v>
      </c>
      <c r="AR37" s="383">
        <v>0</v>
      </c>
      <c r="AS37" s="383">
        <v>0</v>
      </c>
      <c r="AT37" s="383">
        <v>0</v>
      </c>
      <c r="AU37" s="383">
        <v>0</v>
      </c>
      <c r="AV37" s="383">
        <v>0</v>
      </c>
      <c r="AW37" s="383">
        <v>0</v>
      </c>
      <c r="AX37" s="383">
        <v>0</v>
      </c>
      <c r="AY37" s="383">
        <v>0</v>
      </c>
      <c r="AZ37" s="383">
        <v>0</v>
      </c>
    </row>
    <row r="38" spans="1:52" s="110" customFormat="1" ht="16" x14ac:dyDescent="0.2">
      <c r="A38" s="184" t="s">
        <v>213</v>
      </c>
      <c r="B38" s="383">
        <v>0</v>
      </c>
      <c r="C38" s="383">
        <v>0</v>
      </c>
      <c r="D38" s="383">
        <v>0</v>
      </c>
      <c r="E38" s="383">
        <v>0</v>
      </c>
      <c r="F38" s="383">
        <v>0</v>
      </c>
      <c r="G38" s="383">
        <v>0</v>
      </c>
      <c r="H38" s="383">
        <v>0</v>
      </c>
      <c r="I38" s="383">
        <v>0</v>
      </c>
      <c r="J38" s="383">
        <v>0</v>
      </c>
      <c r="K38" s="383">
        <v>0</v>
      </c>
      <c r="L38" s="383">
        <v>0</v>
      </c>
      <c r="M38" s="383">
        <v>0</v>
      </c>
      <c r="N38" s="383">
        <v>0</v>
      </c>
      <c r="O38" s="383">
        <v>0</v>
      </c>
      <c r="P38" s="383">
        <v>0</v>
      </c>
      <c r="Q38" s="383">
        <v>0</v>
      </c>
      <c r="R38" s="383">
        <v>0</v>
      </c>
      <c r="S38" s="383">
        <v>0</v>
      </c>
      <c r="T38" s="383">
        <v>0</v>
      </c>
      <c r="U38" s="383">
        <v>0</v>
      </c>
      <c r="V38" s="383">
        <v>0</v>
      </c>
      <c r="W38" s="383">
        <v>0</v>
      </c>
      <c r="X38" s="383">
        <v>0</v>
      </c>
      <c r="Y38" s="383">
        <v>0</v>
      </c>
      <c r="Z38" s="383">
        <v>0</v>
      </c>
      <c r="AA38" s="383">
        <v>0</v>
      </c>
      <c r="AB38" s="383">
        <v>0</v>
      </c>
      <c r="AC38" s="383">
        <v>0</v>
      </c>
      <c r="AD38" s="383">
        <v>0</v>
      </c>
      <c r="AE38" s="383">
        <v>0</v>
      </c>
      <c r="AF38" s="383">
        <v>0</v>
      </c>
      <c r="AG38" s="383">
        <v>0</v>
      </c>
      <c r="AH38" s="383">
        <v>0</v>
      </c>
      <c r="AI38" s="383">
        <v>0</v>
      </c>
      <c r="AJ38" s="383">
        <v>0</v>
      </c>
      <c r="AK38" s="383">
        <v>0</v>
      </c>
      <c r="AL38" s="383">
        <v>0</v>
      </c>
      <c r="AM38" s="383">
        <v>0</v>
      </c>
      <c r="AN38" s="383">
        <v>0</v>
      </c>
      <c r="AO38" s="383">
        <v>0</v>
      </c>
      <c r="AP38" s="383">
        <v>0</v>
      </c>
      <c r="AQ38" s="383">
        <v>0</v>
      </c>
      <c r="AR38" s="383">
        <v>0</v>
      </c>
      <c r="AS38" s="383">
        <v>0</v>
      </c>
      <c r="AT38" s="383">
        <v>0</v>
      </c>
      <c r="AU38" s="383">
        <v>0</v>
      </c>
      <c r="AV38" s="383">
        <v>0</v>
      </c>
      <c r="AW38" s="383">
        <v>0</v>
      </c>
      <c r="AX38" s="383">
        <v>0</v>
      </c>
      <c r="AY38" s="383">
        <v>0</v>
      </c>
      <c r="AZ38" s="383">
        <v>0</v>
      </c>
    </row>
    <row r="39" spans="1:52" s="110" customFormat="1" ht="16" x14ac:dyDescent="0.2">
      <c r="A39" s="184" t="s">
        <v>214</v>
      </c>
      <c r="B39" s="383">
        <v>0</v>
      </c>
      <c r="C39" s="383">
        <v>0</v>
      </c>
      <c r="D39" s="383">
        <v>0</v>
      </c>
      <c r="E39" s="383">
        <v>0</v>
      </c>
      <c r="F39" s="383">
        <v>0</v>
      </c>
      <c r="G39" s="383">
        <v>0</v>
      </c>
      <c r="H39" s="383">
        <v>0</v>
      </c>
      <c r="I39" s="383">
        <v>0</v>
      </c>
      <c r="J39" s="383">
        <v>0</v>
      </c>
      <c r="K39" s="383">
        <v>0</v>
      </c>
      <c r="L39" s="383">
        <v>0</v>
      </c>
      <c r="M39" s="383">
        <v>0</v>
      </c>
      <c r="N39" s="383">
        <v>0</v>
      </c>
      <c r="O39" s="383">
        <v>0</v>
      </c>
      <c r="P39" s="383">
        <v>0</v>
      </c>
      <c r="Q39" s="383">
        <v>0</v>
      </c>
      <c r="R39" s="383">
        <v>0</v>
      </c>
      <c r="S39" s="383">
        <v>0</v>
      </c>
      <c r="T39" s="383">
        <v>0</v>
      </c>
      <c r="U39" s="383">
        <v>0</v>
      </c>
      <c r="V39" s="383">
        <v>0</v>
      </c>
      <c r="W39" s="383">
        <v>0</v>
      </c>
      <c r="X39" s="383">
        <v>0</v>
      </c>
      <c r="Y39" s="383">
        <v>0</v>
      </c>
      <c r="Z39" s="383">
        <v>0</v>
      </c>
      <c r="AA39" s="383">
        <v>0</v>
      </c>
      <c r="AB39" s="383">
        <v>0</v>
      </c>
      <c r="AC39" s="383">
        <v>0</v>
      </c>
      <c r="AD39" s="383">
        <v>0</v>
      </c>
      <c r="AE39" s="383">
        <v>0</v>
      </c>
      <c r="AF39" s="383">
        <v>0</v>
      </c>
      <c r="AG39" s="383">
        <v>0</v>
      </c>
      <c r="AH39" s="383">
        <v>0</v>
      </c>
      <c r="AI39" s="383">
        <v>0</v>
      </c>
      <c r="AJ39" s="383">
        <v>0</v>
      </c>
      <c r="AK39" s="383">
        <v>0</v>
      </c>
      <c r="AL39" s="383">
        <v>0</v>
      </c>
      <c r="AM39" s="383">
        <v>0</v>
      </c>
      <c r="AN39" s="383">
        <v>0</v>
      </c>
      <c r="AO39" s="383">
        <v>0</v>
      </c>
      <c r="AP39" s="383">
        <v>0</v>
      </c>
      <c r="AQ39" s="383">
        <v>0</v>
      </c>
      <c r="AR39" s="383">
        <v>0</v>
      </c>
      <c r="AS39" s="383">
        <v>0</v>
      </c>
      <c r="AT39" s="383">
        <v>0</v>
      </c>
      <c r="AU39" s="383">
        <v>0</v>
      </c>
      <c r="AV39" s="383">
        <v>0</v>
      </c>
      <c r="AW39" s="383">
        <v>0</v>
      </c>
      <c r="AX39" s="383">
        <v>0</v>
      </c>
      <c r="AY39" s="383">
        <v>0</v>
      </c>
      <c r="AZ39" s="383">
        <v>0</v>
      </c>
    </row>
    <row r="40" spans="1:52" s="110" customFormat="1" ht="16" x14ac:dyDescent="0.2">
      <c r="A40" s="184" t="s">
        <v>215</v>
      </c>
      <c r="B40" s="383">
        <v>0</v>
      </c>
      <c r="C40" s="383">
        <v>0</v>
      </c>
      <c r="D40" s="383">
        <v>0</v>
      </c>
      <c r="E40" s="383">
        <v>0</v>
      </c>
      <c r="F40" s="383">
        <v>0</v>
      </c>
      <c r="G40" s="383">
        <v>0</v>
      </c>
      <c r="H40" s="383">
        <v>0</v>
      </c>
      <c r="I40" s="383">
        <v>0</v>
      </c>
      <c r="J40" s="383">
        <v>0</v>
      </c>
      <c r="K40" s="383">
        <v>0</v>
      </c>
      <c r="L40" s="383">
        <v>0</v>
      </c>
      <c r="M40" s="383">
        <v>0</v>
      </c>
      <c r="N40" s="383">
        <v>0</v>
      </c>
      <c r="O40" s="383">
        <v>0</v>
      </c>
      <c r="P40" s="383">
        <v>0</v>
      </c>
      <c r="Q40" s="383">
        <v>0</v>
      </c>
      <c r="R40" s="383">
        <v>0</v>
      </c>
      <c r="S40" s="383">
        <v>0</v>
      </c>
      <c r="T40" s="383">
        <v>0</v>
      </c>
      <c r="U40" s="383">
        <v>0</v>
      </c>
      <c r="V40" s="383">
        <v>0</v>
      </c>
      <c r="W40" s="383">
        <v>0</v>
      </c>
      <c r="X40" s="383">
        <v>0</v>
      </c>
      <c r="Y40" s="383">
        <v>0</v>
      </c>
      <c r="Z40" s="383">
        <v>0</v>
      </c>
      <c r="AA40" s="383">
        <v>0</v>
      </c>
      <c r="AB40" s="383">
        <v>0</v>
      </c>
      <c r="AC40" s="383">
        <v>0</v>
      </c>
      <c r="AD40" s="383">
        <v>0</v>
      </c>
      <c r="AE40" s="383">
        <v>0</v>
      </c>
      <c r="AF40" s="383">
        <v>0</v>
      </c>
      <c r="AG40" s="383">
        <v>0</v>
      </c>
      <c r="AH40" s="383">
        <v>0</v>
      </c>
      <c r="AI40" s="383">
        <v>0</v>
      </c>
      <c r="AJ40" s="383">
        <v>0</v>
      </c>
      <c r="AK40" s="383">
        <v>0</v>
      </c>
      <c r="AL40" s="383">
        <v>0</v>
      </c>
      <c r="AM40" s="383">
        <v>0</v>
      </c>
      <c r="AN40" s="383">
        <v>0</v>
      </c>
      <c r="AO40" s="383">
        <v>0</v>
      </c>
      <c r="AP40" s="383">
        <v>0</v>
      </c>
      <c r="AQ40" s="383">
        <v>0</v>
      </c>
      <c r="AR40" s="383">
        <v>0</v>
      </c>
      <c r="AS40" s="383">
        <v>0</v>
      </c>
      <c r="AT40" s="383">
        <v>0</v>
      </c>
      <c r="AU40" s="383">
        <v>0</v>
      </c>
      <c r="AV40" s="383">
        <v>0</v>
      </c>
      <c r="AW40" s="383">
        <v>0</v>
      </c>
      <c r="AX40" s="383">
        <v>0</v>
      </c>
      <c r="AY40" s="383">
        <v>0</v>
      </c>
      <c r="AZ40" s="383">
        <v>0</v>
      </c>
    </row>
    <row r="41" spans="1:52" s="110" customFormat="1" ht="16" x14ac:dyDescent="0.2">
      <c r="A41" s="184" t="s">
        <v>216</v>
      </c>
      <c r="B41" s="383">
        <v>0</v>
      </c>
      <c r="C41" s="383">
        <v>0</v>
      </c>
      <c r="D41" s="383">
        <v>0</v>
      </c>
      <c r="E41" s="383">
        <v>0</v>
      </c>
      <c r="F41" s="383">
        <v>0</v>
      </c>
      <c r="G41" s="383">
        <v>0</v>
      </c>
      <c r="H41" s="383">
        <v>0</v>
      </c>
      <c r="I41" s="383">
        <v>0</v>
      </c>
      <c r="J41" s="383">
        <v>0</v>
      </c>
      <c r="K41" s="383">
        <v>0</v>
      </c>
      <c r="L41" s="383">
        <v>0</v>
      </c>
      <c r="M41" s="383">
        <v>0</v>
      </c>
      <c r="N41" s="383">
        <v>0</v>
      </c>
      <c r="O41" s="383">
        <v>0</v>
      </c>
      <c r="P41" s="383">
        <v>0</v>
      </c>
      <c r="Q41" s="383">
        <v>0</v>
      </c>
      <c r="R41" s="383">
        <v>0</v>
      </c>
      <c r="S41" s="383">
        <v>0</v>
      </c>
      <c r="T41" s="383">
        <v>0</v>
      </c>
      <c r="U41" s="383">
        <v>0</v>
      </c>
      <c r="V41" s="383">
        <v>0</v>
      </c>
      <c r="W41" s="383">
        <v>0</v>
      </c>
      <c r="X41" s="383">
        <v>0</v>
      </c>
      <c r="Y41" s="383">
        <v>0</v>
      </c>
      <c r="Z41" s="383">
        <v>0</v>
      </c>
      <c r="AA41" s="383">
        <v>0</v>
      </c>
      <c r="AB41" s="383">
        <v>0</v>
      </c>
      <c r="AC41" s="383">
        <v>0</v>
      </c>
      <c r="AD41" s="383">
        <v>0</v>
      </c>
      <c r="AE41" s="383">
        <v>0</v>
      </c>
      <c r="AF41" s="383">
        <v>0</v>
      </c>
      <c r="AG41" s="383">
        <v>0</v>
      </c>
      <c r="AH41" s="383">
        <v>0</v>
      </c>
      <c r="AI41" s="383">
        <v>0</v>
      </c>
      <c r="AJ41" s="383">
        <v>0</v>
      </c>
      <c r="AK41" s="383">
        <v>0</v>
      </c>
      <c r="AL41" s="383">
        <v>0</v>
      </c>
      <c r="AM41" s="383">
        <v>0</v>
      </c>
      <c r="AN41" s="383">
        <v>0</v>
      </c>
      <c r="AO41" s="383">
        <v>0</v>
      </c>
      <c r="AP41" s="383">
        <v>0</v>
      </c>
      <c r="AQ41" s="383">
        <v>0</v>
      </c>
      <c r="AR41" s="383">
        <v>0</v>
      </c>
      <c r="AS41" s="383">
        <v>0</v>
      </c>
      <c r="AT41" s="383">
        <v>0</v>
      </c>
      <c r="AU41" s="383">
        <v>0</v>
      </c>
      <c r="AV41" s="383">
        <v>0</v>
      </c>
      <c r="AW41" s="383">
        <v>0</v>
      </c>
      <c r="AX41" s="383">
        <v>0</v>
      </c>
      <c r="AY41" s="383">
        <v>0</v>
      </c>
      <c r="AZ41" s="383">
        <v>0</v>
      </c>
    </row>
    <row r="42" spans="1:52" s="110" customFormat="1" ht="16" x14ac:dyDescent="0.2">
      <c r="A42" s="184" t="s">
        <v>217</v>
      </c>
      <c r="B42" s="383">
        <v>0</v>
      </c>
      <c r="C42" s="383">
        <v>0</v>
      </c>
      <c r="D42" s="383">
        <v>0</v>
      </c>
      <c r="E42" s="383">
        <v>0</v>
      </c>
      <c r="F42" s="383">
        <v>0</v>
      </c>
      <c r="G42" s="383">
        <v>0</v>
      </c>
      <c r="H42" s="383">
        <v>0</v>
      </c>
      <c r="I42" s="383">
        <v>0</v>
      </c>
      <c r="J42" s="383">
        <v>0</v>
      </c>
      <c r="K42" s="383">
        <v>0</v>
      </c>
      <c r="L42" s="383">
        <v>0</v>
      </c>
      <c r="M42" s="383">
        <v>0</v>
      </c>
      <c r="N42" s="383">
        <v>0</v>
      </c>
      <c r="O42" s="383">
        <v>0</v>
      </c>
      <c r="P42" s="383">
        <v>0</v>
      </c>
      <c r="Q42" s="383">
        <v>0</v>
      </c>
      <c r="R42" s="383">
        <v>0</v>
      </c>
      <c r="S42" s="383">
        <v>0</v>
      </c>
      <c r="T42" s="383">
        <v>0</v>
      </c>
      <c r="U42" s="383">
        <v>0</v>
      </c>
      <c r="V42" s="383">
        <v>0</v>
      </c>
      <c r="W42" s="383">
        <v>0</v>
      </c>
      <c r="X42" s="383">
        <v>0</v>
      </c>
      <c r="Y42" s="383">
        <v>0</v>
      </c>
      <c r="Z42" s="383">
        <v>0</v>
      </c>
      <c r="AA42" s="383">
        <v>0</v>
      </c>
      <c r="AB42" s="383">
        <v>0</v>
      </c>
      <c r="AC42" s="383">
        <v>0</v>
      </c>
      <c r="AD42" s="383">
        <v>0</v>
      </c>
      <c r="AE42" s="383">
        <v>0</v>
      </c>
      <c r="AF42" s="383">
        <v>0</v>
      </c>
      <c r="AG42" s="383">
        <v>0</v>
      </c>
      <c r="AH42" s="383">
        <v>0</v>
      </c>
      <c r="AI42" s="383">
        <v>0</v>
      </c>
      <c r="AJ42" s="383">
        <v>0</v>
      </c>
      <c r="AK42" s="383">
        <v>0</v>
      </c>
      <c r="AL42" s="383">
        <v>0</v>
      </c>
      <c r="AM42" s="383">
        <v>0</v>
      </c>
      <c r="AN42" s="383">
        <v>0</v>
      </c>
      <c r="AO42" s="383">
        <v>0</v>
      </c>
      <c r="AP42" s="383">
        <v>0</v>
      </c>
      <c r="AQ42" s="383">
        <v>0</v>
      </c>
      <c r="AR42" s="383">
        <v>0</v>
      </c>
      <c r="AS42" s="383">
        <v>0</v>
      </c>
      <c r="AT42" s="383">
        <v>0</v>
      </c>
      <c r="AU42" s="383">
        <v>0</v>
      </c>
      <c r="AV42" s="383">
        <v>0</v>
      </c>
      <c r="AW42" s="383">
        <v>0</v>
      </c>
      <c r="AX42" s="383">
        <v>0</v>
      </c>
      <c r="AY42" s="383">
        <v>0</v>
      </c>
      <c r="AZ42" s="383">
        <v>0</v>
      </c>
    </row>
    <row r="43" spans="1:52" s="110" customFormat="1" ht="16" x14ac:dyDescent="0.2">
      <c r="A43" s="184" t="s">
        <v>218</v>
      </c>
      <c r="B43" s="383">
        <v>0</v>
      </c>
      <c r="C43" s="383">
        <v>0</v>
      </c>
      <c r="D43" s="383">
        <v>0</v>
      </c>
      <c r="E43" s="383">
        <v>0</v>
      </c>
      <c r="F43" s="383">
        <v>0</v>
      </c>
      <c r="G43" s="383">
        <v>0</v>
      </c>
      <c r="H43" s="383">
        <v>0</v>
      </c>
      <c r="I43" s="383">
        <v>0</v>
      </c>
      <c r="J43" s="383">
        <v>0</v>
      </c>
      <c r="K43" s="383">
        <v>0</v>
      </c>
      <c r="L43" s="383">
        <v>0</v>
      </c>
      <c r="M43" s="383">
        <v>0</v>
      </c>
      <c r="N43" s="383">
        <v>0</v>
      </c>
      <c r="O43" s="383">
        <v>0</v>
      </c>
      <c r="P43" s="383">
        <v>0</v>
      </c>
      <c r="Q43" s="383">
        <v>0</v>
      </c>
      <c r="R43" s="383">
        <v>0</v>
      </c>
      <c r="S43" s="383">
        <v>0</v>
      </c>
      <c r="T43" s="383">
        <v>0</v>
      </c>
      <c r="U43" s="383">
        <v>0</v>
      </c>
      <c r="V43" s="383">
        <v>0</v>
      </c>
      <c r="W43" s="383">
        <v>0</v>
      </c>
      <c r="X43" s="383">
        <v>0</v>
      </c>
      <c r="Y43" s="383">
        <v>0</v>
      </c>
      <c r="Z43" s="383">
        <v>0</v>
      </c>
      <c r="AA43" s="383">
        <v>0</v>
      </c>
      <c r="AB43" s="383">
        <v>0</v>
      </c>
      <c r="AC43" s="383">
        <v>0</v>
      </c>
      <c r="AD43" s="383">
        <v>0</v>
      </c>
      <c r="AE43" s="383">
        <v>0</v>
      </c>
      <c r="AF43" s="383">
        <v>0</v>
      </c>
      <c r="AG43" s="383">
        <v>0</v>
      </c>
      <c r="AH43" s="383">
        <v>0</v>
      </c>
      <c r="AI43" s="383">
        <v>0</v>
      </c>
      <c r="AJ43" s="383">
        <v>0</v>
      </c>
      <c r="AK43" s="383">
        <v>0</v>
      </c>
      <c r="AL43" s="383">
        <v>0</v>
      </c>
      <c r="AM43" s="383">
        <v>0</v>
      </c>
      <c r="AN43" s="383">
        <v>0</v>
      </c>
      <c r="AO43" s="383">
        <v>0</v>
      </c>
      <c r="AP43" s="383">
        <v>0</v>
      </c>
      <c r="AQ43" s="383">
        <v>0</v>
      </c>
      <c r="AR43" s="383">
        <v>0</v>
      </c>
      <c r="AS43" s="383">
        <v>0</v>
      </c>
      <c r="AT43" s="383">
        <v>0</v>
      </c>
      <c r="AU43" s="383">
        <v>0</v>
      </c>
      <c r="AV43" s="383">
        <v>0</v>
      </c>
      <c r="AW43" s="383">
        <v>0</v>
      </c>
      <c r="AX43" s="383">
        <v>0</v>
      </c>
      <c r="AY43" s="383">
        <v>0</v>
      </c>
      <c r="AZ43" s="383">
        <v>0</v>
      </c>
    </row>
    <row r="44" spans="1:52" s="110" customFormat="1" ht="16" x14ac:dyDescent="0.2">
      <c r="A44" s="184" t="s">
        <v>219</v>
      </c>
      <c r="B44" s="383">
        <v>0</v>
      </c>
      <c r="C44" s="383">
        <v>0</v>
      </c>
      <c r="D44" s="383">
        <v>0</v>
      </c>
      <c r="E44" s="383">
        <v>0</v>
      </c>
      <c r="F44" s="383">
        <v>0</v>
      </c>
      <c r="G44" s="383">
        <v>0</v>
      </c>
      <c r="H44" s="383">
        <v>0</v>
      </c>
      <c r="I44" s="383">
        <v>0</v>
      </c>
      <c r="J44" s="383">
        <v>0</v>
      </c>
      <c r="K44" s="383">
        <v>0</v>
      </c>
      <c r="L44" s="383">
        <v>0</v>
      </c>
      <c r="M44" s="383">
        <v>0</v>
      </c>
      <c r="N44" s="383">
        <v>0</v>
      </c>
      <c r="O44" s="383">
        <v>0</v>
      </c>
      <c r="P44" s="383">
        <v>0</v>
      </c>
      <c r="Q44" s="383">
        <v>0</v>
      </c>
      <c r="R44" s="383">
        <v>0</v>
      </c>
      <c r="S44" s="383">
        <v>0</v>
      </c>
      <c r="T44" s="383">
        <v>0</v>
      </c>
      <c r="U44" s="383">
        <v>0</v>
      </c>
      <c r="V44" s="383">
        <v>0</v>
      </c>
      <c r="W44" s="383">
        <v>0</v>
      </c>
      <c r="X44" s="383">
        <v>0</v>
      </c>
      <c r="Y44" s="383">
        <v>0</v>
      </c>
      <c r="Z44" s="383">
        <v>0</v>
      </c>
      <c r="AA44" s="383">
        <v>0</v>
      </c>
      <c r="AB44" s="383">
        <v>0</v>
      </c>
      <c r="AC44" s="383">
        <v>0</v>
      </c>
      <c r="AD44" s="383">
        <v>0</v>
      </c>
      <c r="AE44" s="383">
        <v>0</v>
      </c>
      <c r="AF44" s="383">
        <v>0</v>
      </c>
      <c r="AG44" s="383">
        <v>0</v>
      </c>
      <c r="AH44" s="383">
        <v>0</v>
      </c>
      <c r="AI44" s="383">
        <v>0</v>
      </c>
      <c r="AJ44" s="383">
        <v>0</v>
      </c>
      <c r="AK44" s="383">
        <v>0</v>
      </c>
      <c r="AL44" s="383">
        <v>0</v>
      </c>
      <c r="AM44" s="383">
        <v>0</v>
      </c>
      <c r="AN44" s="383">
        <v>0</v>
      </c>
      <c r="AO44" s="383">
        <v>0</v>
      </c>
      <c r="AP44" s="383">
        <v>0</v>
      </c>
      <c r="AQ44" s="383">
        <v>0</v>
      </c>
      <c r="AR44" s="383">
        <v>0</v>
      </c>
      <c r="AS44" s="383">
        <v>0</v>
      </c>
      <c r="AT44" s="383">
        <v>0</v>
      </c>
      <c r="AU44" s="383">
        <v>0</v>
      </c>
      <c r="AV44" s="383">
        <v>0</v>
      </c>
      <c r="AW44" s="383">
        <v>0</v>
      </c>
      <c r="AX44" s="383">
        <v>0</v>
      </c>
      <c r="AY44" s="383">
        <v>0</v>
      </c>
      <c r="AZ44" s="383">
        <v>0</v>
      </c>
    </row>
    <row r="45" spans="1:52" s="110" customFormat="1" ht="16" x14ac:dyDescent="0.2">
      <c r="A45" s="184" t="s">
        <v>220</v>
      </c>
      <c r="B45" s="383">
        <v>0</v>
      </c>
      <c r="C45" s="383">
        <v>0</v>
      </c>
      <c r="D45" s="383">
        <v>0</v>
      </c>
      <c r="E45" s="383">
        <v>0</v>
      </c>
      <c r="F45" s="383">
        <v>0</v>
      </c>
      <c r="G45" s="383">
        <v>0</v>
      </c>
      <c r="H45" s="383">
        <v>0</v>
      </c>
      <c r="I45" s="383">
        <v>0</v>
      </c>
      <c r="J45" s="383">
        <v>0</v>
      </c>
      <c r="K45" s="383">
        <v>0</v>
      </c>
      <c r="L45" s="383">
        <v>0</v>
      </c>
      <c r="M45" s="383">
        <v>0</v>
      </c>
      <c r="N45" s="383">
        <v>0</v>
      </c>
      <c r="O45" s="383">
        <v>0</v>
      </c>
      <c r="P45" s="383">
        <v>0</v>
      </c>
      <c r="Q45" s="383">
        <v>0</v>
      </c>
      <c r="R45" s="383">
        <v>0</v>
      </c>
      <c r="S45" s="383">
        <v>0</v>
      </c>
      <c r="T45" s="383">
        <v>0</v>
      </c>
      <c r="U45" s="383">
        <v>0</v>
      </c>
      <c r="V45" s="383">
        <v>0</v>
      </c>
      <c r="W45" s="383">
        <v>0</v>
      </c>
      <c r="X45" s="383">
        <v>0</v>
      </c>
      <c r="Y45" s="383">
        <v>0</v>
      </c>
      <c r="Z45" s="383">
        <v>0</v>
      </c>
      <c r="AA45" s="383">
        <v>0</v>
      </c>
      <c r="AB45" s="383">
        <v>0</v>
      </c>
      <c r="AC45" s="383">
        <v>0</v>
      </c>
      <c r="AD45" s="383">
        <v>0</v>
      </c>
      <c r="AE45" s="383">
        <v>0</v>
      </c>
      <c r="AF45" s="383">
        <v>0</v>
      </c>
      <c r="AG45" s="383">
        <v>0</v>
      </c>
      <c r="AH45" s="383">
        <v>0</v>
      </c>
      <c r="AI45" s="383">
        <v>0</v>
      </c>
      <c r="AJ45" s="383">
        <v>0</v>
      </c>
      <c r="AK45" s="383">
        <v>0</v>
      </c>
      <c r="AL45" s="383">
        <v>0</v>
      </c>
      <c r="AM45" s="383">
        <v>0</v>
      </c>
      <c r="AN45" s="383">
        <v>0</v>
      </c>
      <c r="AO45" s="383">
        <v>0</v>
      </c>
      <c r="AP45" s="383">
        <v>0</v>
      </c>
      <c r="AQ45" s="383">
        <v>0</v>
      </c>
      <c r="AR45" s="383">
        <v>0</v>
      </c>
      <c r="AS45" s="383">
        <v>0</v>
      </c>
      <c r="AT45" s="383">
        <v>0</v>
      </c>
      <c r="AU45" s="383">
        <v>0</v>
      </c>
      <c r="AV45" s="383">
        <v>0</v>
      </c>
      <c r="AW45" s="383">
        <v>0</v>
      </c>
      <c r="AX45" s="383">
        <v>0</v>
      </c>
      <c r="AY45" s="383">
        <v>0</v>
      </c>
      <c r="AZ45" s="383">
        <v>0</v>
      </c>
    </row>
    <row r="46" spans="1:52" s="110" customFormat="1" ht="16" x14ac:dyDescent="0.2">
      <c r="A46" s="184" t="s">
        <v>221</v>
      </c>
      <c r="B46" s="383">
        <v>0</v>
      </c>
      <c r="C46" s="383">
        <v>0</v>
      </c>
      <c r="D46" s="383">
        <v>0</v>
      </c>
      <c r="E46" s="383">
        <v>0</v>
      </c>
      <c r="F46" s="383">
        <v>0</v>
      </c>
      <c r="G46" s="383">
        <v>0</v>
      </c>
      <c r="H46" s="383">
        <v>0</v>
      </c>
      <c r="I46" s="383">
        <v>0</v>
      </c>
      <c r="J46" s="383">
        <v>0</v>
      </c>
      <c r="K46" s="383">
        <v>0</v>
      </c>
      <c r="L46" s="383">
        <v>0</v>
      </c>
      <c r="M46" s="383">
        <v>0</v>
      </c>
      <c r="N46" s="383">
        <v>0</v>
      </c>
      <c r="O46" s="383">
        <v>0</v>
      </c>
      <c r="P46" s="383">
        <v>0</v>
      </c>
      <c r="Q46" s="383">
        <v>0</v>
      </c>
      <c r="R46" s="383">
        <v>0</v>
      </c>
      <c r="S46" s="383">
        <v>0</v>
      </c>
      <c r="T46" s="383">
        <v>0</v>
      </c>
      <c r="U46" s="383">
        <v>0</v>
      </c>
      <c r="V46" s="383">
        <v>0</v>
      </c>
      <c r="W46" s="383">
        <v>0</v>
      </c>
      <c r="X46" s="383">
        <v>0</v>
      </c>
      <c r="Y46" s="383">
        <v>0</v>
      </c>
      <c r="Z46" s="383">
        <v>0</v>
      </c>
      <c r="AA46" s="383">
        <v>0</v>
      </c>
      <c r="AB46" s="383">
        <v>0</v>
      </c>
      <c r="AC46" s="383">
        <v>0</v>
      </c>
      <c r="AD46" s="383">
        <v>0</v>
      </c>
      <c r="AE46" s="383">
        <v>0</v>
      </c>
      <c r="AF46" s="383">
        <v>0</v>
      </c>
      <c r="AG46" s="383">
        <v>0</v>
      </c>
      <c r="AH46" s="383">
        <v>0</v>
      </c>
      <c r="AI46" s="383">
        <v>0</v>
      </c>
      <c r="AJ46" s="383">
        <v>0</v>
      </c>
      <c r="AK46" s="383">
        <v>0</v>
      </c>
      <c r="AL46" s="383">
        <v>0</v>
      </c>
      <c r="AM46" s="383">
        <v>0</v>
      </c>
      <c r="AN46" s="383">
        <v>0</v>
      </c>
      <c r="AO46" s="383">
        <v>0</v>
      </c>
      <c r="AP46" s="383">
        <v>0</v>
      </c>
      <c r="AQ46" s="383">
        <v>0</v>
      </c>
      <c r="AR46" s="383">
        <v>0</v>
      </c>
      <c r="AS46" s="383">
        <v>0</v>
      </c>
      <c r="AT46" s="383">
        <v>0</v>
      </c>
      <c r="AU46" s="383">
        <v>0</v>
      </c>
      <c r="AV46" s="383">
        <v>0</v>
      </c>
      <c r="AW46" s="383">
        <v>0</v>
      </c>
      <c r="AX46" s="383">
        <v>0</v>
      </c>
      <c r="AY46" s="383">
        <v>0</v>
      </c>
      <c r="AZ46" s="383">
        <v>0</v>
      </c>
    </row>
    <row r="47" spans="1:52" s="134" customFormat="1" ht="16" x14ac:dyDescent="0.2">
      <c r="A47" s="184" t="s">
        <v>222</v>
      </c>
      <c r="B47" s="383">
        <v>0</v>
      </c>
      <c r="C47" s="383">
        <v>0</v>
      </c>
      <c r="D47" s="383">
        <v>0</v>
      </c>
      <c r="E47" s="383">
        <v>0</v>
      </c>
      <c r="F47" s="383">
        <v>0</v>
      </c>
      <c r="G47" s="383">
        <v>0</v>
      </c>
      <c r="H47" s="383">
        <v>0</v>
      </c>
      <c r="I47" s="383">
        <v>0</v>
      </c>
      <c r="J47" s="383">
        <v>0</v>
      </c>
      <c r="K47" s="383">
        <v>0</v>
      </c>
      <c r="L47" s="383">
        <v>0</v>
      </c>
      <c r="M47" s="383">
        <v>0</v>
      </c>
      <c r="N47" s="383">
        <v>0</v>
      </c>
      <c r="O47" s="383">
        <v>0</v>
      </c>
      <c r="P47" s="383">
        <v>0</v>
      </c>
      <c r="Q47" s="383">
        <v>0</v>
      </c>
      <c r="R47" s="383">
        <v>0</v>
      </c>
      <c r="S47" s="383">
        <v>0</v>
      </c>
      <c r="T47" s="383">
        <v>0</v>
      </c>
      <c r="U47" s="383">
        <v>0</v>
      </c>
      <c r="V47" s="383">
        <v>0</v>
      </c>
      <c r="W47" s="383">
        <v>0</v>
      </c>
      <c r="X47" s="383">
        <v>0</v>
      </c>
      <c r="Y47" s="383">
        <v>0</v>
      </c>
      <c r="Z47" s="383">
        <v>0</v>
      </c>
      <c r="AA47" s="383">
        <v>0</v>
      </c>
      <c r="AB47" s="383">
        <v>0</v>
      </c>
      <c r="AC47" s="383">
        <v>0</v>
      </c>
      <c r="AD47" s="383">
        <v>0</v>
      </c>
      <c r="AE47" s="383">
        <v>0</v>
      </c>
      <c r="AF47" s="383">
        <v>0</v>
      </c>
      <c r="AG47" s="383">
        <v>0</v>
      </c>
      <c r="AH47" s="383">
        <v>0</v>
      </c>
      <c r="AI47" s="383">
        <v>0</v>
      </c>
      <c r="AJ47" s="383">
        <v>0</v>
      </c>
      <c r="AK47" s="383">
        <v>0</v>
      </c>
      <c r="AL47" s="383">
        <v>0</v>
      </c>
      <c r="AM47" s="383">
        <v>0</v>
      </c>
      <c r="AN47" s="383">
        <v>0</v>
      </c>
      <c r="AO47" s="383">
        <v>0</v>
      </c>
      <c r="AP47" s="383">
        <v>0</v>
      </c>
      <c r="AQ47" s="383">
        <v>0</v>
      </c>
      <c r="AR47" s="383">
        <v>0</v>
      </c>
      <c r="AS47" s="383">
        <v>0</v>
      </c>
      <c r="AT47" s="383">
        <v>0</v>
      </c>
      <c r="AU47" s="383">
        <v>0</v>
      </c>
      <c r="AV47" s="383">
        <v>0</v>
      </c>
      <c r="AW47" s="383">
        <v>0</v>
      </c>
      <c r="AX47" s="383">
        <v>0</v>
      </c>
      <c r="AY47" s="383">
        <v>0</v>
      </c>
      <c r="AZ47" s="383">
        <v>0</v>
      </c>
    </row>
    <row r="48" spans="1:52" s="134" customFormat="1" ht="16" x14ac:dyDescent="0.2">
      <c r="A48" s="184" t="s">
        <v>223</v>
      </c>
      <c r="B48" s="383">
        <v>0</v>
      </c>
      <c r="C48" s="383">
        <v>0</v>
      </c>
      <c r="D48" s="383">
        <v>0</v>
      </c>
      <c r="E48" s="383">
        <v>0</v>
      </c>
      <c r="F48" s="383">
        <v>0</v>
      </c>
      <c r="G48" s="383">
        <v>0</v>
      </c>
      <c r="H48" s="383">
        <v>0</v>
      </c>
      <c r="I48" s="383">
        <v>0</v>
      </c>
      <c r="J48" s="383">
        <v>0</v>
      </c>
      <c r="K48" s="383">
        <v>0</v>
      </c>
      <c r="L48" s="383">
        <v>0</v>
      </c>
      <c r="M48" s="383">
        <v>0</v>
      </c>
      <c r="N48" s="383">
        <v>0</v>
      </c>
      <c r="O48" s="383">
        <v>0</v>
      </c>
      <c r="P48" s="383">
        <v>0</v>
      </c>
      <c r="Q48" s="383">
        <v>0</v>
      </c>
      <c r="R48" s="383">
        <v>0</v>
      </c>
      <c r="S48" s="383">
        <v>0</v>
      </c>
      <c r="T48" s="383">
        <v>0</v>
      </c>
      <c r="U48" s="383">
        <v>0</v>
      </c>
      <c r="V48" s="383">
        <v>0</v>
      </c>
      <c r="W48" s="383">
        <v>0</v>
      </c>
      <c r="X48" s="383">
        <v>0</v>
      </c>
      <c r="Y48" s="383">
        <v>0</v>
      </c>
      <c r="Z48" s="383">
        <v>0</v>
      </c>
      <c r="AA48" s="383">
        <v>0</v>
      </c>
      <c r="AB48" s="383">
        <v>0</v>
      </c>
      <c r="AC48" s="383">
        <v>0</v>
      </c>
      <c r="AD48" s="383">
        <v>0</v>
      </c>
      <c r="AE48" s="383">
        <v>0</v>
      </c>
      <c r="AF48" s="383">
        <v>0</v>
      </c>
      <c r="AG48" s="383">
        <v>0</v>
      </c>
      <c r="AH48" s="383">
        <v>0</v>
      </c>
      <c r="AI48" s="383">
        <v>0</v>
      </c>
      <c r="AJ48" s="383">
        <v>0</v>
      </c>
      <c r="AK48" s="383">
        <v>0</v>
      </c>
      <c r="AL48" s="383">
        <v>0</v>
      </c>
      <c r="AM48" s="383">
        <v>0</v>
      </c>
      <c r="AN48" s="383">
        <v>0</v>
      </c>
      <c r="AO48" s="383">
        <v>0</v>
      </c>
      <c r="AP48" s="383">
        <v>0</v>
      </c>
      <c r="AQ48" s="383">
        <v>0</v>
      </c>
      <c r="AR48" s="383">
        <v>0</v>
      </c>
      <c r="AS48" s="383">
        <v>0</v>
      </c>
      <c r="AT48" s="383">
        <v>0</v>
      </c>
      <c r="AU48" s="383">
        <v>0</v>
      </c>
      <c r="AV48" s="383">
        <v>0</v>
      </c>
      <c r="AW48" s="383">
        <v>0</v>
      </c>
      <c r="AX48" s="383">
        <v>0</v>
      </c>
      <c r="AY48" s="383">
        <v>0</v>
      </c>
      <c r="AZ48" s="383">
        <v>0</v>
      </c>
    </row>
    <row r="49" spans="1:52" s="110" customFormat="1" ht="16" x14ac:dyDescent="0.2">
      <c r="A49" s="184" t="s">
        <v>224</v>
      </c>
      <c r="B49" s="383">
        <v>0</v>
      </c>
      <c r="C49" s="383">
        <v>0</v>
      </c>
      <c r="D49" s="383">
        <v>0</v>
      </c>
      <c r="E49" s="383">
        <v>0</v>
      </c>
      <c r="F49" s="383">
        <v>0</v>
      </c>
      <c r="G49" s="383">
        <v>0</v>
      </c>
      <c r="H49" s="383">
        <v>0</v>
      </c>
      <c r="I49" s="383">
        <v>0</v>
      </c>
      <c r="J49" s="383">
        <v>0</v>
      </c>
      <c r="K49" s="383">
        <v>0</v>
      </c>
      <c r="L49" s="383">
        <v>0</v>
      </c>
      <c r="M49" s="383">
        <v>0</v>
      </c>
      <c r="N49" s="383">
        <v>0</v>
      </c>
      <c r="O49" s="383">
        <v>0</v>
      </c>
      <c r="P49" s="383">
        <v>0</v>
      </c>
      <c r="Q49" s="383">
        <v>0</v>
      </c>
      <c r="R49" s="383">
        <v>0</v>
      </c>
      <c r="S49" s="383">
        <v>0</v>
      </c>
      <c r="T49" s="383">
        <v>0</v>
      </c>
      <c r="U49" s="383">
        <v>0</v>
      </c>
      <c r="V49" s="383">
        <v>0</v>
      </c>
      <c r="W49" s="383">
        <v>0</v>
      </c>
      <c r="X49" s="383">
        <v>0</v>
      </c>
      <c r="Y49" s="383">
        <v>0</v>
      </c>
      <c r="Z49" s="383">
        <v>0</v>
      </c>
      <c r="AA49" s="383">
        <v>0</v>
      </c>
      <c r="AB49" s="383">
        <v>0</v>
      </c>
      <c r="AC49" s="383">
        <v>0</v>
      </c>
      <c r="AD49" s="383">
        <v>0</v>
      </c>
      <c r="AE49" s="383">
        <v>0</v>
      </c>
      <c r="AF49" s="383">
        <v>0</v>
      </c>
      <c r="AG49" s="383">
        <v>0</v>
      </c>
      <c r="AH49" s="383">
        <v>0</v>
      </c>
      <c r="AI49" s="383">
        <v>0</v>
      </c>
      <c r="AJ49" s="383">
        <v>0</v>
      </c>
      <c r="AK49" s="383">
        <v>0</v>
      </c>
      <c r="AL49" s="383">
        <v>0</v>
      </c>
      <c r="AM49" s="383">
        <v>0</v>
      </c>
      <c r="AN49" s="383">
        <v>0</v>
      </c>
      <c r="AO49" s="383">
        <v>0</v>
      </c>
      <c r="AP49" s="383">
        <v>0</v>
      </c>
      <c r="AQ49" s="383">
        <v>0</v>
      </c>
      <c r="AR49" s="383">
        <v>0</v>
      </c>
      <c r="AS49" s="383">
        <v>0</v>
      </c>
      <c r="AT49" s="383">
        <v>0</v>
      </c>
      <c r="AU49" s="383">
        <v>0</v>
      </c>
      <c r="AV49" s="383">
        <v>0</v>
      </c>
      <c r="AW49" s="383">
        <v>0</v>
      </c>
      <c r="AX49" s="383">
        <v>0</v>
      </c>
      <c r="AY49" s="383">
        <v>0</v>
      </c>
      <c r="AZ49" s="383">
        <v>0</v>
      </c>
    </row>
    <row r="50" spans="1:52" s="110" customFormat="1" ht="16" x14ac:dyDescent="0.2">
      <c r="A50" s="184" t="s">
        <v>225</v>
      </c>
      <c r="B50" s="383">
        <v>0</v>
      </c>
      <c r="C50" s="383">
        <v>0</v>
      </c>
      <c r="D50" s="383">
        <v>0</v>
      </c>
      <c r="E50" s="383">
        <v>0</v>
      </c>
      <c r="F50" s="383">
        <v>0</v>
      </c>
      <c r="G50" s="383">
        <v>0</v>
      </c>
      <c r="H50" s="383">
        <v>0</v>
      </c>
      <c r="I50" s="383">
        <v>0</v>
      </c>
      <c r="J50" s="383">
        <v>0</v>
      </c>
      <c r="K50" s="383">
        <v>0</v>
      </c>
      <c r="L50" s="383">
        <v>0</v>
      </c>
      <c r="M50" s="383">
        <v>0</v>
      </c>
      <c r="N50" s="383">
        <v>0</v>
      </c>
      <c r="O50" s="383">
        <v>0</v>
      </c>
      <c r="P50" s="383">
        <v>0</v>
      </c>
      <c r="Q50" s="383">
        <v>0</v>
      </c>
      <c r="R50" s="383">
        <v>0</v>
      </c>
      <c r="S50" s="383">
        <v>0</v>
      </c>
      <c r="T50" s="383">
        <v>0</v>
      </c>
      <c r="U50" s="383">
        <v>0</v>
      </c>
      <c r="V50" s="383">
        <v>0</v>
      </c>
      <c r="W50" s="383">
        <v>0</v>
      </c>
      <c r="X50" s="383">
        <v>0</v>
      </c>
      <c r="Y50" s="383">
        <v>0</v>
      </c>
      <c r="Z50" s="383">
        <v>0</v>
      </c>
      <c r="AA50" s="383">
        <v>0</v>
      </c>
      <c r="AB50" s="383">
        <v>0</v>
      </c>
      <c r="AC50" s="383">
        <v>0</v>
      </c>
      <c r="AD50" s="383">
        <v>0</v>
      </c>
      <c r="AE50" s="383">
        <v>0</v>
      </c>
      <c r="AF50" s="383">
        <v>0</v>
      </c>
      <c r="AG50" s="383">
        <v>0</v>
      </c>
      <c r="AH50" s="383">
        <v>0</v>
      </c>
      <c r="AI50" s="383">
        <v>0</v>
      </c>
      <c r="AJ50" s="383">
        <v>0</v>
      </c>
      <c r="AK50" s="383">
        <v>0</v>
      </c>
      <c r="AL50" s="383">
        <v>0</v>
      </c>
      <c r="AM50" s="383">
        <v>0</v>
      </c>
      <c r="AN50" s="383">
        <v>0</v>
      </c>
      <c r="AO50" s="383">
        <v>0</v>
      </c>
      <c r="AP50" s="383">
        <v>0</v>
      </c>
      <c r="AQ50" s="383">
        <v>0</v>
      </c>
      <c r="AR50" s="383">
        <v>0</v>
      </c>
      <c r="AS50" s="383">
        <v>0</v>
      </c>
      <c r="AT50" s="383">
        <v>0</v>
      </c>
      <c r="AU50" s="383">
        <v>0</v>
      </c>
      <c r="AV50" s="383">
        <v>0</v>
      </c>
      <c r="AW50" s="383">
        <v>0</v>
      </c>
      <c r="AX50" s="383">
        <v>0</v>
      </c>
      <c r="AY50" s="383">
        <v>0</v>
      </c>
      <c r="AZ50" s="383">
        <v>0</v>
      </c>
    </row>
    <row r="51" spans="1:52" s="110" customFormat="1" ht="16" x14ac:dyDescent="0.2">
      <c r="A51" s="184" t="s">
        <v>124</v>
      </c>
      <c r="B51" s="383">
        <v>0</v>
      </c>
      <c r="C51" s="383">
        <v>0</v>
      </c>
      <c r="D51" s="383">
        <v>0</v>
      </c>
      <c r="E51" s="383">
        <v>0</v>
      </c>
      <c r="F51" s="383">
        <v>0</v>
      </c>
      <c r="G51" s="383">
        <v>0</v>
      </c>
      <c r="H51" s="383">
        <v>0</v>
      </c>
      <c r="I51" s="383">
        <v>0</v>
      </c>
      <c r="J51" s="383">
        <v>0</v>
      </c>
      <c r="K51" s="383">
        <v>0</v>
      </c>
      <c r="L51" s="383">
        <v>0</v>
      </c>
      <c r="M51" s="383">
        <v>0</v>
      </c>
      <c r="N51" s="383">
        <v>0</v>
      </c>
      <c r="O51" s="383">
        <v>0</v>
      </c>
      <c r="P51" s="383">
        <v>0</v>
      </c>
      <c r="Q51" s="383">
        <v>0</v>
      </c>
      <c r="R51" s="383">
        <v>0</v>
      </c>
      <c r="S51" s="383">
        <v>0</v>
      </c>
      <c r="T51" s="383">
        <v>0</v>
      </c>
      <c r="U51" s="383">
        <v>0</v>
      </c>
      <c r="V51" s="383">
        <v>0</v>
      </c>
      <c r="W51" s="383">
        <v>0</v>
      </c>
      <c r="X51" s="383">
        <v>0</v>
      </c>
      <c r="Y51" s="383">
        <v>0</v>
      </c>
      <c r="Z51" s="383">
        <v>0</v>
      </c>
      <c r="AA51" s="383">
        <v>0</v>
      </c>
      <c r="AB51" s="383">
        <v>0</v>
      </c>
      <c r="AC51" s="383">
        <v>0</v>
      </c>
      <c r="AD51" s="383">
        <v>0</v>
      </c>
      <c r="AE51" s="383">
        <v>0</v>
      </c>
      <c r="AF51" s="383">
        <v>0</v>
      </c>
      <c r="AG51" s="383">
        <v>0</v>
      </c>
      <c r="AH51" s="383">
        <v>0</v>
      </c>
      <c r="AI51" s="383">
        <v>0</v>
      </c>
      <c r="AJ51" s="383">
        <v>0</v>
      </c>
      <c r="AK51" s="383">
        <v>0</v>
      </c>
      <c r="AL51" s="383">
        <v>0</v>
      </c>
      <c r="AM51" s="383">
        <v>0</v>
      </c>
      <c r="AN51" s="383">
        <v>0</v>
      </c>
      <c r="AO51" s="383">
        <v>0</v>
      </c>
      <c r="AP51" s="383">
        <v>0</v>
      </c>
      <c r="AQ51" s="383">
        <v>0</v>
      </c>
      <c r="AR51" s="383">
        <v>0</v>
      </c>
      <c r="AS51" s="383">
        <v>0</v>
      </c>
      <c r="AT51" s="383">
        <v>0</v>
      </c>
      <c r="AU51" s="383">
        <v>0</v>
      </c>
      <c r="AV51" s="383">
        <v>0</v>
      </c>
      <c r="AW51" s="383">
        <v>0</v>
      </c>
      <c r="AX51" s="383">
        <v>0</v>
      </c>
      <c r="AY51" s="383">
        <v>0</v>
      </c>
      <c r="AZ51" s="383">
        <v>0</v>
      </c>
    </row>
    <row r="52" spans="1:52" s="110" customFormat="1" ht="16" x14ac:dyDescent="0.2">
      <c r="A52" s="184" t="s">
        <v>125</v>
      </c>
      <c r="B52" s="383">
        <v>0</v>
      </c>
      <c r="C52" s="383">
        <v>0</v>
      </c>
      <c r="D52" s="383">
        <v>0</v>
      </c>
      <c r="E52" s="383">
        <v>0</v>
      </c>
      <c r="F52" s="383">
        <v>0</v>
      </c>
      <c r="G52" s="383">
        <v>0</v>
      </c>
      <c r="H52" s="383">
        <v>0</v>
      </c>
      <c r="I52" s="383">
        <v>0</v>
      </c>
      <c r="J52" s="383">
        <v>0</v>
      </c>
      <c r="K52" s="383">
        <v>0</v>
      </c>
      <c r="L52" s="383">
        <v>0</v>
      </c>
      <c r="M52" s="383">
        <v>0</v>
      </c>
      <c r="N52" s="383">
        <v>0</v>
      </c>
      <c r="O52" s="383">
        <v>0</v>
      </c>
      <c r="P52" s="383">
        <v>0</v>
      </c>
      <c r="Q52" s="383">
        <v>0</v>
      </c>
      <c r="R52" s="383">
        <v>0</v>
      </c>
      <c r="S52" s="383">
        <v>0</v>
      </c>
      <c r="T52" s="383">
        <v>0</v>
      </c>
      <c r="U52" s="383">
        <v>0</v>
      </c>
      <c r="V52" s="383">
        <v>0</v>
      </c>
      <c r="W52" s="383">
        <v>0</v>
      </c>
      <c r="X52" s="383">
        <v>0</v>
      </c>
      <c r="Y52" s="383">
        <v>0</v>
      </c>
      <c r="Z52" s="383">
        <v>0</v>
      </c>
      <c r="AA52" s="383">
        <v>0</v>
      </c>
      <c r="AB52" s="383">
        <v>0</v>
      </c>
      <c r="AC52" s="383">
        <v>0</v>
      </c>
      <c r="AD52" s="383">
        <v>0</v>
      </c>
      <c r="AE52" s="383">
        <v>0</v>
      </c>
      <c r="AF52" s="383">
        <v>0</v>
      </c>
      <c r="AG52" s="383">
        <v>0</v>
      </c>
      <c r="AH52" s="383">
        <v>0</v>
      </c>
      <c r="AI52" s="383">
        <v>0</v>
      </c>
      <c r="AJ52" s="383">
        <v>0</v>
      </c>
      <c r="AK52" s="383">
        <v>0</v>
      </c>
      <c r="AL52" s="383">
        <v>0</v>
      </c>
      <c r="AM52" s="383">
        <v>0</v>
      </c>
      <c r="AN52" s="383">
        <v>0</v>
      </c>
      <c r="AO52" s="383">
        <v>0</v>
      </c>
      <c r="AP52" s="383">
        <v>0</v>
      </c>
      <c r="AQ52" s="383">
        <v>0</v>
      </c>
      <c r="AR52" s="383">
        <v>0</v>
      </c>
      <c r="AS52" s="383">
        <v>0</v>
      </c>
      <c r="AT52" s="383">
        <v>0</v>
      </c>
      <c r="AU52" s="383">
        <v>0</v>
      </c>
      <c r="AV52" s="383">
        <v>0</v>
      </c>
      <c r="AW52" s="383">
        <v>0</v>
      </c>
      <c r="AX52" s="383">
        <v>0</v>
      </c>
      <c r="AY52" s="383">
        <v>0</v>
      </c>
      <c r="AZ52" s="383">
        <v>0</v>
      </c>
    </row>
    <row r="53" spans="1:52" s="110" customFormat="1" ht="16" x14ac:dyDescent="0.2">
      <c r="A53" s="136" t="s">
        <v>163</v>
      </c>
      <c r="B53" s="383">
        <v>0</v>
      </c>
      <c r="C53" s="383">
        <v>0</v>
      </c>
      <c r="D53" s="383">
        <v>0</v>
      </c>
      <c r="E53" s="383">
        <v>0</v>
      </c>
      <c r="F53" s="383">
        <v>0</v>
      </c>
      <c r="G53" s="383">
        <v>0</v>
      </c>
      <c r="H53" s="383">
        <v>0</v>
      </c>
      <c r="I53" s="383">
        <v>0</v>
      </c>
      <c r="J53" s="383">
        <v>0</v>
      </c>
      <c r="K53" s="383">
        <v>0</v>
      </c>
      <c r="L53" s="383">
        <v>0</v>
      </c>
      <c r="M53" s="383">
        <v>0</v>
      </c>
      <c r="N53" s="383">
        <v>0</v>
      </c>
      <c r="O53" s="383">
        <v>0</v>
      </c>
      <c r="P53" s="383">
        <v>0</v>
      </c>
      <c r="Q53" s="383">
        <v>0</v>
      </c>
      <c r="R53" s="383">
        <v>0</v>
      </c>
      <c r="S53" s="383">
        <v>0</v>
      </c>
      <c r="T53" s="383">
        <v>0</v>
      </c>
      <c r="U53" s="383">
        <v>0</v>
      </c>
      <c r="V53" s="383">
        <v>0</v>
      </c>
      <c r="W53" s="383">
        <v>0</v>
      </c>
      <c r="X53" s="383">
        <v>0</v>
      </c>
      <c r="Y53" s="383">
        <v>0</v>
      </c>
      <c r="Z53" s="383">
        <v>0</v>
      </c>
      <c r="AA53" s="383">
        <v>0</v>
      </c>
      <c r="AB53" s="383">
        <v>0</v>
      </c>
      <c r="AC53" s="383">
        <v>0</v>
      </c>
      <c r="AD53" s="383">
        <v>0</v>
      </c>
      <c r="AE53" s="383">
        <v>0</v>
      </c>
      <c r="AF53" s="383">
        <v>0</v>
      </c>
      <c r="AG53" s="383">
        <v>0</v>
      </c>
      <c r="AH53" s="383">
        <v>0</v>
      </c>
      <c r="AI53" s="383">
        <v>0</v>
      </c>
      <c r="AJ53" s="383">
        <v>0</v>
      </c>
      <c r="AK53" s="383">
        <v>0</v>
      </c>
      <c r="AL53" s="383">
        <v>0</v>
      </c>
      <c r="AM53" s="383">
        <v>0</v>
      </c>
      <c r="AN53" s="383">
        <v>0</v>
      </c>
      <c r="AO53" s="383">
        <v>0</v>
      </c>
      <c r="AP53" s="383">
        <v>0</v>
      </c>
      <c r="AQ53" s="383">
        <v>0</v>
      </c>
      <c r="AR53" s="383">
        <v>0</v>
      </c>
      <c r="AS53" s="383">
        <v>0</v>
      </c>
      <c r="AT53" s="383">
        <v>0</v>
      </c>
      <c r="AU53" s="383">
        <v>0</v>
      </c>
      <c r="AV53" s="383">
        <v>0</v>
      </c>
      <c r="AW53" s="383">
        <v>0</v>
      </c>
      <c r="AX53" s="383">
        <v>0</v>
      </c>
      <c r="AY53" s="383">
        <v>0</v>
      </c>
      <c r="AZ53" s="383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indexed="51"/>
  </sheetPr>
  <dimension ref="A1:AG54"/>
  <sheetViews>
    <sheetView workbookViewId="0">
      <selection activeCell="B55" sqref="B55"/>
    </sheetView>
  </sheetViews>
  <sheetFormatPr baseColWidth="10" defaultRowHeight="14" customHeight="1" x14ac:dyDescent="0.2"/>
  <cols>
    <col min="1" max="1" width="12.6640625" style="110" customWidth="1"/>
    <col min="2" max="2" width="46.5" style="110" bestFit="1" customWidth="1"/>
    <col min="3" max="3" width="12.5" style="156" bestFit="1" customWidth="1"/>
    <col min="4" max="4" width="11.1640625" style="156" bestFit="1" customWidth="1"/>
    <col min="5" max="5" width="18.1640625" style="156" bestFit="1" customWidth="1"/>
    <col min="6" max="6" width="17.6640625" style="156" bestFit="1" customWidth="1"/>
    <col min="7" max="7" width="18.83203125" style="156" bestFit="1" customWidth="1"/>
    <col min="8" max="8" width="18.33203125" style="156" bestFit="1" customWidth="1"/>
    <col min="9" max="9" width="19.1640625" style="156" bestFit="1" customWidth="1"/>
    <col min="10" max="10" width="14.6640625" style="156" bestFit="1" customWidth="1"/>
    <col min="11" max="11" width="15" style="156" bestFit="1" customWidth="1"/>
    <col min="12" max="12" width="14.6640625" style="156" bestFit="1" customWidth="1"/>
    <col min="13" max="13" width="11.33203125" style="156" bestFit="1" customWidth="1"/>
    <col min="14" max="14" width="9.5" style="156" bestFit="1" customWidth="1"/>
    <col min="15" max="15" width="21.6640625" style="156" bestFit="1" customWidth="1"/>
    <col min="16" max="16" width="7.33203125" style="156" bestFit="1" customWidth="1"/>
    <col min="17" max="17" width="6.83203125" style="156" bestFit="1" customWidth="1"/>
    <col min="18" max="18" width="10.6640625" style="156" bestFit="1" customWidth="1"/>
    <col min="19" max="19" width="22.83203125" style="156" bestFit="1" customWidth="1"/>
    <col min="20" max="20" width="20.1640625" style="156" bestFit="1" customWidth="1"/>
    <col min="21" max="21" width="20.33203125" style="156" bestFit="1" customWidth="1"/>
    <col min="22" max="22" width="22.1640625" style="156" bestFit="1" customWidth="1"/>
    <col min="23" max="23" width="24.1640625" style="156" bestFit="1" customWidth="1"/>
    <col min="24" max="24" width="18.1640625" style="156" bestFit="1" customWidth="1"/>
    <col min="25" max="25" width="16.1640625" style="156" bestFit="1" customWidth="1"/>
    <col min="26" max="26" width="14.83203125" style="156" bestFit="1" customWidth="1"/>
    <col min="27" max="27" width="22.1640625" style="156" bestFit="1" customWidth="1"/>
    <col min="28" max="28" width="18" style="156" bestFit="1" customWidth="1"/>
    <col min="29" max="29" width="21.6640625" style="156" bestFit="1" customWidth="1"/>
    <col min="30" max="30" width="23.6640625" style="156" bestFit="1" customWidth="1"/>
    <col min="31" max="31" width="17.6640625" style="156" bestFit="1" customWidth="1"/>
    <col min="32" max="32" width="15.6640625" style="156" bestFit="1" customWidth="1"/>
    <col min="33" max="33" width="9.6640625" style="156" customWidth="1"/>
    <col min="34" max="16384" width="10.83203125" style="110"/>
  </cols>
  <sheetData>
    <row r="1" spans="1:33" ht="34" x14ac:dyDescent="0.2">
      <c r="A1" s="155" t="s">
        <v>85</v>
      </c>
      <c r="B1" s="159" t="s">
        <v>0</v>
      </c>
      <c r="C1" s="177" t="s">
        <v>226</v>
      </c>
      <c r="D1" s="177" t="s">
        <v>227</v>
      </c>
      <c r="E1" s="177" t="s">
        <v>228</v>
      </c>
      <c r="F1" s="157" t="s">
        <v>229</v>
      </c>
      <c r="G1" s="157" t="s">
        <v>230</v>
      </c>
      <c r="H1" s="157" t="s">
        <v>231</v>
      </c>
      <c r="I1" s="157" t="s">
        <v>232</v>
      </c>
      <c r="J1" s="156" t="s">
        <v>233</v>
      </c>
      <c r="K1" s="156" t="s">
        <v>234</v>
      </c>
      <c r="L1" s="156" t="s">
        <v>235</v>
      </c>
      <c r="M1" s="156" t="s">
        <v>236</v>
      </c>
      <c r="N1" s="156" t="s">
        <v>237</v>
      </c>
      <c r="O1" s="156" t="s">
        <v>238</v>
      </c>
      <c r="P1" s="156" t="s">
        <v>239</v>
      </c>
      <c r="Q1" s="156" t="s">
        <v>240</v>
      </c>
      <c r="R1" s="157" t="s">
        <v>241</v>
      </c>
      <c r="S1" s="157" t="s">
        <v>242</v>
      </c>
      <c r="T1" s="157" t="s">
        <v>244</v>
      </c>
      <c r="U1" s="157" t="s">
        <v>245</v>
      </c>
      <c r="V1" s="157" t="s">
        <v>246</v>
      </c>
      <c r="W1" s="157" t="s">
        <v>247</v>
      </c>
      <c r="X1" s="157" t="s">
        <v>248</v>
      </c>
      <c r="Y1" s="157" t="s">
        <v>249</v>
      </c>
      <c r="Z1" s="157" t="s">
        <v>250</v>
      </c>
      <c r="AA1" s="157" t="s">
        <v>251</v>
      </c>
      <c r="AB1" s="157" t="s">
        <v>252</v>
      </c>
      <c r="AC1" s="157" t="s">
        <v>253</v>
      </c>
      <c r="AD1" s="157" t="s">
        <v>254</v>
      </c>
      <c r="AE1" s="157" t="s">
        <v>255</v>
      </c>
      <c r="AF1" s="157" t="s">
        <v>256</v>
      </c>
      <c r="AG1" s="157" t="s">
        <v>243</v>
      </c>
    </row>
    <row r="2" spans="1:33" ht="14" customHeight="1" x14ac:dyDescent="0.2">
      <c r="A2" s="134">
        <v>1</v>
      </c>
      <c r="B2" s="184" t="s">
        <v>181</v>
      </c>
      <c r="C2" s="192">
        <v>0.8</v>
      </c>
      <c r="D2" s="192">
        <v>0.8</v>
      </c>
      <c r="E2" s="192">
        <v>0.8</v>
      </c>
      <c r="F2" s="192">
        <v>0.8</v>
      </c>
      <c r="G2" s="192">
        <v>0.8</v>
      </c>
      <c r="H2" s="192">
        <v>0.8</v>
      </c>
      <c r="I2" s="192">
        <v>0.8</v>
      </c>
      <c r="J2" s="192">
        <v>0.8</v>
      </c>
      <c r="K2" s="192">
        <v>0.8</v>
      </c>
      <c r="L2" s="192">
        <v>0.8</v>
      </c>
      <c r="M2" s="192">
        <v>0.8</v>
      </c>
      <c r="N2" s="192">
        <v>0.8</v>
      </c>
      <c r="O2" s="192">
        <v>0.8</v>
      </c>
      <c r="P2" s="192">
        <v>0.8</v>
      </c>
      <c r="Q2" s="192">
        <v>0.8</v>
      </c>
      <c r="R2" s="192">
        <v>0.8</v>
      </c>
      <c r="S2" s="192">
        <v>0.8</v>
      </c>
      <c r="T2" s="192">
        <v>0.8</v>
      </c>
      <c r="U2" s="192">
        <v>0.8</v>
      </c>
      <c r="V2" s="192">
        <v>0.8</v>
      </c>
      <c r="W2" s="192">
        <v>0.8</v>
      </c>
      <c r="X2" s="192">
        <v>0.8</v>
      </c>
      <c r="Y2" s="192">
        <v>0.8</v>
      </c>
      <c r="Z2" s="192">
        <v>0.8</v>
      </c>
      <c r="AA2" s="192">
        <v>0.8</v>
      </c>
      <c r="AB2" s="192">
        <v>0.8</v>
      </c>
      <c r="AC2" s="192">
        <v>0.8</v>
      </c>
      <c r="AD2" s="192">
        <v>0.8</v>
      </c>
      <c r="AE2" s="192">
        <v>0.8</v>
      </c>
      <c r="AF2" s="192">
        <v>0.8</v>
      </c>
      <c r="AG2" s="192">
        <v>0.8</v>
      </c>
    </row>
    <row r="3" spans="1:33" ht="14" customHeight="1" x14ac:dyDescent="0.2">
      <c r="A3" s="134">
        <v>2</v>
      </c>
      <c r="B3" s="184" t="s">
        <v>182</v>
      </c>
      <c r="C3" s="192">
        <v>0.8</v>
      </c>
      <c r="D3" s="192">
        <v>0.8</v>
      </c>
      <c r="E3" s="192">
        <v>0.8</v>
      </c>
      <c r="F3" s="192">
        <v>0.8</v>
      </c>
      <c r="G3" s="192">
        <v>0.8</v>
      </c>
      <c r="H3" s="192">
        <v>0.8</v>
      </c>
      <c r="I3" s="192">
        <v>0.8</v>
      </c>
      <c r="J3" s="192">
        <v>0.8</v>
      </c>
      <c r="K3" s="192">
        <v>0.8</v>
      </c>
      <c r="L3" s="192">
        <v>0.8</v>
      </c>
      <c r="M3" s="192">
        <v>0.8</v>
      </c>
      <c r="N3" s="192">
        <v>0.8</v>
      </c>
      <c r="O3" s="192">
        <v>0.8</v>
      </c>
      <c r="P3" s="192">
        <v>0.8</v>
      </c>
      <c r="Q3" s="192">
        <v>0.8</v>
      </c>
      <c r="R3" s="192">
        <v>0.8</v>
      </c>
      <c r="S3" s="192">
        <v>0.8</v>
      </c>
      <c r="T3" s="192">
        <v>0.8</v>
      </c>
      <c r="U3" s="192">
        <v>0.8</v>
      </c>
      <c r="V3" s="192">
        <v>0.8</v>
      </c>
      <c r="W3" s="192">
        <v>0.8</v>
      </c>
      <c r="X3" s="192">
        <v>0.8</v>
      </c>
      <c r="Y3" s="192">
        <v>0.8</v>
      </c>
      <c r="Z3" s="192">
        <v>0.8</v>
      </c>
      <c r="AA3" s="192">
        <v>0.8</v>
      </c>
      <c r="AB3" s="192">
        <v>0.8</v>
      </c>
      <c r="AC3" s="192">
        <v>0.8</v>
      </c>
      <c r="AD3" s="192">
        <v>0.8</v>
      </c>
      <c r="AE3" s="192">
        <v>0.8</v>
      </c>
      <c r="AF3" s="192">
        <v>0.8</v>
      </c>
      <c r="AG3" s="192">
        <v>0.8</v>
      </c>
    </row>
    <row r="4" spans="1:33" ht="14" customHeight="1" x14ac:dyDescent="0.2">
      <c r="A4" s="134">
        <v>3</v>
      </c>
      <c r="B4" s="184" t="s">
        <v>176</v>
      </c>
      <c r="C4" s="192">
        <v>0.8</v>
      </c>
      <c r="D4" s="192">
        <v>0.8</v>
      </c>
      <c r="E4" s="192">
        <v>0.8</v>
      </c>
      <c r="F4" s="192">
        <v>0.8</v>
      </c>
      <c r="G4" s="192">
        <v>0.8</v>
      </c>
      <c r="H4" s="192">
        <v>0.8</v>
      </c>
      <c r="I4" s="192">
        <v>0.8</v>
      </c>
      <c r="J4" s="192">
        <v>0.8</v>
      </c>
      <c r="K4" s="192">
        <v>0.8</v>
      </c>
      <c r="L4" s="192">
        <v>0.8</v>
      </c>
      <c r="M4" s="192">
        <v>0.8</v>
      </c>
      <c r="N4" s="192">
        <v>0.8</v>
      </c>
      <c r="O4" s="192">
        <v>0.8</v>
      </c>
      <c r="P4" s="192">
        <v>0.8</v>
      </c>
      <c r="Q4" s="192">
        <v>0.8</v>
      </c>
      <c r="R4" s="192">
        <v>0.8</v>
      </c>
      <c r="S4" s="192">
        <v>0.8</v>
      </c>
      <c r="T4" s="192">
        <v>0.8</v>
      </c>
      <c r="U4" s="192">
        <v>0.8</v>
      </c>
      <c r="V4" s="192">
        <v>0.8</v>
      </c>
      <c r="W4" s="192">
        <v>0.8</v>
      </c>
      <c r="X4" s="192">
        <v>0.8</v>
      </c>
      <c r="Y4" s="192">
        <v>0.8</v>
      </c>
      <c r="Z4" s="192">
        <v>0.8</v>
      </c>
      <c r="AA4" s="192">
        <v>0.8</v>
      </c>
      <c r="AB4" s="192">
        <v>0.8</v>
      </c>
      <c r="AC4" s="192">
        <v>0.8</v>
      </c>
      <c r="AD4" s="192">
        <v>0.8</v>
      </c>
      <c r="AE4" s="192">
        <v>0.8</v>
      </c>
      <c r="AF4" s="192">
        <v>0.8</v>
      </c>
      <c r="AG4" s="192">
        <v>0.8</v>
      </c>
    </row>
    <row r="5" spans="1:33" ht="14" customHeight="1" x14ac:dyDescent="0.2">
      <c r="A5" s="134">
        <v>4</v>
      </c>
      <c r="B5" s="184" t="s">
        <v>183</v>
      </c>
      <c r="C5" s="192">
        <v>0.8</v>
      </c>
      <c r="D5" s="192">
        <v>0.8</v>
      </c>
      <c r="E5" s="192">
        <v>0.8</v>
      </c>
      <c r="F5" s="192">
        <v>0.8</v>
      </c>
      <c r="G5" s="192">
        <v>0.8</v>
      </c>
      <c r="H5" s="192">
        <v>0.8</v>
      </c>
      <c r="I5" s="192">
        <v>0.8</v>
      </c>
      <c r="J5" s="192">
        <v>0.8</v>
      </c>
      <c r="K5" s="192">
        <v>0.8</v>
      </c>
      <c r="L5" s="192">
        <v>0.8</v>
      </c>
      <c r="M5" s="192">
        <v>0.8</v>
      </c>
      <c r="N5" s="192">
        <v>0.8</v>
      </c>
      <c r="O5" s="192">
        <v>0.8</v>
      </c>
      <c r="P5" s="192">
        <v>0.8</v>
      </c>
      <c r="Q5" s="192">
        <v>0.8</v>
      </c>
      <c r="R5" s="192">
        <v>0.8</v>
      </c>
      <c r="S5" s="192">
        <v>0.8</v>
      </c>
      <c r="T5" s="192">
        <v>0.8</v>
      </c>
      <c r="U5" s="192">
        <v>0.8</v>
      </c>
      <c r="V5" s="192">
        <v>0.8</v>
      </c>
      <c r="W5" s="192">
        <v>0.8</v>
      </c>
      <c r="X5" s="192">
        <v>0.8</v>
      </c>
      <c r="Y5" s="192">
        <v>0.8</v>
      </c>
      <c r="Z5" s="192">
        <v>0.8</v>
      </c>
      <c r="AA5" s="192">
        <v>0.8</v>
      </c>
      <c r="AB5" s="192">
        <v>0.8</v>
      </c>
      <c r="AC5" s="192">
        <v>0.8</v>
      </c>
      <c r="AD5" s="192">
        <v>0.8</v>
      </c>
      <c r="AE5" s="192">
        <v>0.8</v>
      </c>
      <c r="AF5" s="192">
        <v>0.8</v>
      </c>
      <c r="AG5" s="192">
        <v>0.8</v>
      </c>
    </row>
    <row r="6" spans="1:33" ht="14" customHeight="1" x14ac:dyDescent="0.2">
      <c r="A6" s="134">
        <v>5</v>
      </c>
      <c r="B6" s="184" t="s">
        <v>184</v>
      </c>
      <c r="C6" s="192">
        <v>0.8</v>
      </c>
      <c r="D6" s="192">
        <v>0.8</v>
      </c>
      <c r="E6" s="192">
        <v>0.8</v>
      </c>
      <c r="F6" s="192">
        <v>0.8</v>
      </c>
      <c r="G6" s="192">
        <v>0.8</v>
      </c>
      <c r="H6" s="192">
        <v>0.8</v>
      </c>
      <c r="I6" s="192">
        <v>0.8</v>
      </c>
      <c r="J6" s="192">
        <v>0.8</v>
      </c>
      <c r="K6" s="192">
        <v>0.8</v>
      </c>
      <c r="L6" s="192">
        <v>0.8</v>
      </c>
      <c r="M6" s="192">
        <v>0.8</v>
      </c>
      <c r="N6" s="192">
        <v>0.8</v>
      </c>
      <c r="O6" s="192">
        <v>0.8</v>
      </c>
      <c r="P6" s="192">
        <v>0.8</v>
      </c>
      <c r="Q6" s="192">
        <v>0.8</v>
      </c>
      <c r="R6" s="192">
        <v>0.8</v>
      </c>
      <c r="S6" s="192">
        <v>0.8</v>
      </c>
      <c r="T6" s="192">
        <v>0.8</v>
      </c>
      <c r="U6" s="192">
        <v>0.8</v>
      </c>
      <c r="V6" s="192">
        <v>0.8</v>
      </c>
      <c r="W6" s="192">
        <v>0.8</v>
      </c>
      <c r="X6" s="192">
        <v>0.8</v>
      </c>
      <c r="Y6" s="192">
        <v>0.8</v>
      </c>
      <c r="Z6" s="192">
        <v>0.8</v>
      </c>
      <c r="AA6" s="192">
        <v>0.8</v>
      </c>
      <c r="AB6" s="192">
        <v>0.8</v>
      </c>
      <c r="AC6" s="192">
        <v>0.8</v>
      </c>
      <c r="AD6" s="192">
        <v>0.8</v>
      </c>
      <c r="AE6" s="192">
        <v>0.8</v>
      </c>
      <c r="AF6" s="192">
        <v>0.8</v>
      </c>
      <c r="AG6" s="192">
        <v>0.8</v>
      </c>
    </row>
    <row r="7" spans="1:33" ht="14" customHeight="1" x14ac:dyDescent="0.2">
      <c r="A7" s="134">
        <v>6</v>
      </c>
      <c r="B7" s="184" t="s">
        <v>185</v>
      </c>
      <c r="C7" s="192">
        <v>0.8</v>
      </c>
      <c r="D7" s="192">
        <v>0.8</v>
      </c>
      <c r="E7" s="192">
        <v>0.8</v>
      </c>
      <c r="F7" s="192">
        <v>0.8</v>
      </c>
      <c r="G7" s="192">
        <v>0.8</v>
      </c>
      <c r="H7" s="192">
        <v>0.8</v>
      </c>
      <c r="I7" s="192">
        <v>0.8</v>
      </c>
      <c r="J7" s="192">
        <v>0.8</v>
      </c>
      <c r="K7" s="192">
        <v>0.8</v>
      </c>
      <c r="L7" s="192">
        <v>0.8</v>
      </c>
      <c r="M7" s="192">
        <v>0.8</v>
      </c>
      <c r="N7" s="192">
        <v>0.8</v>
      </c>
      <c r="O7" s="192">
        <v>0.8</v>
      </c>
      <c r="P7" s="192">
        <v>0.8</v>
      </c>
      <c r="Q7" s="192">
        <v>0.8</v>
      </c>
      <c r="R7" s="192">
        <v>0.8</v>
      </c>
      <c r="S7" s="192">
        <v>0.8</v>
      </c>
      <c r="T7" s="192">
        <v>0.8</v>
      </c>
      <c r="U7" s="192">
        <v>0.8</v>
      </c>
      <c r="V7" s="192">
        <v>0.8</v>
      </c>
      <c r="W7" s="192">
        <v>0.8</v>
      </c>
      <c r="X7" s="192">
        <v>0.8</v>
      </c>
      <c r="Y7" s="192">
        <v>0.8</v>
      </c>
      <c r="Z7" s="192">
        <v>0.8</v>
      </c>
      <c r="AA7" s="192">
        <v>0.8</v>
      </c>
      <c r="AB7" s="192">
        <v>0.8</v>
      </c>
      <c r="AC7" s="192">
        <v>0.8</v>
      </c>
      <c r="AD7" s="192">
        <v>0.8</v>
      </c>
      <c r="AE7" s="192">
        <v>0.8</v>
      </c>
      <c r="AF7" s="192">
        <v>0.8</v>
      </c>
      <c r="AG7" s="192">
        <v>0.8</v>
      </c>
    </row>
    <row r="8" spans="1:33" ht="14" customHeight="1" x14ac:dyDescent="0.2">
      <c r="A8" s="134">
        <v>7</v>
      </c>
      <c r="B8" s="184" t="s">
        <v>186</v>
      </c>
      <c r="C8" s="192">
        <v>0.8</v>
      </c>
      <c r="D8" s="192">
        <v>0.8</v>
      </c>
      <c r="E8" s="192">
        <v>0.8</v>
      </c>
      <c r="F8" s="192">
        <v>0.8</v>
      </c>
      <c r="G8" s="192">
        <v>0.8</v>
      </c>
      <c r="H8" s="192">
        <v>0.8</v>
      </c>
      <c r="I8" s="192">
        <v>0.8</v>
      </c>
      <c r="J8" s="192">
        <v>0.8</v>
      </c>
      <c r="K8" s="192">
        <v>0.8</v>
      </c>
      <c r="L8" s="192">
        <v>0.8</v>
      </c>
      <c r="M8" s="192">
        <v>0.8</v>
      </c>
      <c r="N8" s="192">
        <v>0.8</v>
      </c>
      <c r="O8" s="192">
        <v>0.8</v>
      </c>
      <c r="P8" s="192">
        <v>0.8</v>
      </c>
      <c r="Q8" s="192">
        <v>0.8</v>
      </c>
      <c r="R8" s="192">
        <v>0.8</v>
      </c>
      <c r="S8" s="192">
        <v>0.8</v>
      </c>
      <c r="T8" s="192">
        <v>0.8</v>
      </c>
      <c r="U8" s="192">
        <v>0.8</v>
      </c>
      <c r="V8" s="192">
        <v>0.8</v>
      </c>
      <c r="W8" s="192">
        <v>0.8</v>
      </c>
      <c r="X8" s="192">
        <v>0.8</v>
      </c>
      <c r="Y8" s="192">
        <v>0.8</v>
      </c>
      <c r="Z8" s="192">
        <v>0.8</v>
      </c>
      <c r="AA8" s="192">
        <v>0.8</v>
      </c>
      <c r="AB8" s="192">
        <v>0.8</v>
      </c>
      <c r="AC8" s="192">
        <v>0.8</v>
      </c>
      <c r="AD8" s="192">
        <v>0.8</v>
      </c>
      <c r="AE8" s="192">
        <v>0.8</v>
      </c>
      <c r="AF8" s="192">
        <v>0.8</v>
      </c>
      <c r="AG8" s="192">
        <v>0.8</v>
      </c>
    </row>
    <row r="9" spans="1:33" ht="14" customHeight="1" x14ac:dyDescent="0.2">
      <c r="A9" s="134">
        <v>8</v>
      </c>
      <c r="B9" s="184" t="s">
        <v>187</v>
      </c>
      <c r="C9" s="192">
        <v>0.8</v>
      </c>
      <c r="D9" s="192">
        <v>0.8</v>
      </c>
      <c r="E9" s="192">
        <v>0.8</v>
      </c>
      <c r="F9" s="192">
        <v>0.8</v>
      </c>
      <c r="G9" s="192">
        <v>0.8</v>
      </c>
      <c r="H9" s="192">
        <v>0.8</v>
      </c>
      <c r="I9" s="192">
        <v>0.8</v>
      </c>
      <c r="J9" s="192">
        <v>0.8</v>
      </c>
      <c r="K9" s="192">
        <v>0.8</v>
      </c>
      <c r="L9" s="192">
        <v>0.8</v>
      </c>
      <c r="M9" s="192">
        <v>0.8</v>
      </c>
      <c r="N9" s="192">
        <v>0.8</v>
      </c>
      <c r="O9" s="192">
        <v>0.8</v>
      </c>
      <c r="P9" s="192">
        <v>0.8</v>
      </c>
      <c r="Q9" s="192">
        <v>0.8</v>
      </c>
      <c r="R9" s="192">
        <v>0.8</v>
      </c>
      <c r="S9" s="192">
        <v>0.8</v>
      </c>
      <c r="T9" s="192">
        <v>0.8</v>
      </c>
      <c r="U9" s="192">
        <v>0.8</v>
      </c>
      <c r="V9" s="192">
        <v>0.8</v>
      </c>
      <c r="W9" s="192">
        <v>0.8</v>
      </c>
      <c r="X9" s="192">
        <v>0.8</v>
      </c>
      <c r="Y9" s="192">
        <v>0.8</v>
      </c>
      <c r="Z9" s="192">
        <v>0.8</v>
      </c>
      <c r="AA9" s="192">
        <v>0.8</v>
      </c>
      <c r="AB9" s="192">
        <v>0.8</v>
      </c>
      <c r="AC9" s="192">
        <v>0.8</v>
      </c>
      <c r="AD9" s="192">
        <v>0.8</v>
      </c>
      <c r="AE9" s="192">
        <v>0.8</v>
      </c>
      <c r="AF9" s="192">
        <v>0.8</v>
      </c>
      <c r="AG9" s="192">
        <v>0.8</v>
      </c>
    </row>
    <row r="10" spans="1:33" ht="14" customHeight="1" x14ac:dyDescent="0.2">
      <c r="A10" s="134">
        <v>9</v>
      </c>
      <c r="B10" s="184" t="s">
        <v>189</v>
      </c>
      <c r="C10" s="192">
        <v>0.8</v>
      </c>
      <c r="D10" s="192">
        <v>0.8</v>
      </c>
      <c r="E10" s="192">
        <v>0.8</v>
      </c>
      <c r="F10" s="192">
        <v>0.8</v>
      </c>
      <c r="G10" s="192">
        <v>0.8</v>
      </c>
      <c r="H10" s="192">
        <v>0.8</v>
      </c>
      <c r="I10" s="192">
        <v>0.8</v>
      </c>
      <c r="J10" s="192">
        <v>0.8</v>
      </c>
      <c r="K10" s="192">
        <v>0.8</v>
      </c>
      <c r="L10" s="192">
        <v>0.8</v>
      </c>
      <c r="M10" s="192">
        <v>0.8</v>
      </c>
      <c r="N10" s="192">
        <v>0.8</v>
      </c>
      <c r="O10" s="192">
        <v>0.8</v>
      </c>
      <c r="P10" s="192">
        <v>0.8</v>
      </c>
      <c r="Q10" s="192">
        <v>0.8</v>
      </c>
      <c r="R10" s="192">
        <v>0.8</v>
      </c>
      <c r="S10" s="192">
        <v>0.8</v>
      </c>
      <c r="T10" s="192">
        <v>0.8</v>
      </c>
      <c r="U10" s="192">
        <v>0.8</v>
      </c>
      <c r="V10" s="192">
        <v>0.8</v>
      </c>
      <c r="W10" s="192">
        <v>0.8</v>
      </c>
      <c r="X10" s="192">
        <v>0.8</v>
      </c>
      <c r="Y10" s="192">
        <v>0.8</v>
      </c>
      <c r="Z10" s="192">
        <v>0.8</v>
      </c>
      <c r="AA10" s="192">
        <v>0.8</v>
      </c>
      <c r="AB10" s="192">
        <v>0.8</v>
      </c>
      <c r="AC10" s="192">
        <v>0.8</v>
      </c>
      <c r="AD10" s="192">
        <v>0.8</v>
      </c>
      <c r="AE10" s="192">
        <v>0.8</v>
      </c>
      <c r="AF10" s="192">
        <v>0.8</v>
      </c>
      <c r="AG10" s="192">
        <v>0.8</v>
      </c>
    </row>
    <row r="11" spans="1:33" ht="14" customHeight="1" x14ac:dyDescent="0.2">
      <c r="A11" s="134">
        <v>10</v>
      </c>
      <c r="B11" s="184" t="s">
        <v>190</v>
      </c>
      <c r="C11" s="192">
        <v>0.8</v>
      </c>
      <c r="D11" s="192">
        <v>0.8</v>
      </c>
      <c r="E11" s="192">
        <v>0.8</v>
      </c>
      <c r="F11" s="192">
        <v>0.8</v>
      </c>
      <c r="G11" s="192">
        <v>0.8</v>
      </c>
      <c r="H11" s="192">
        <v>0.8</v>
      </c>
      <c r="I11" s="192">
        <v>0.8</v>
      </c>
      <c r="J11" s="192">
        <v>0.8</v>
      </c>
      <c r="K11" s="192">
        <v>0.8</v>
      </c>
      <c r="L11" s="192">
        <v>0.8</v>
      </c>
      <c r="M11" s="192">
        <v>0.8</v>
      </c>
      <c r="N11" s="192">
        <v>0.8</v>
      </c>
      <c r="O11" s="192">
        <v>0.8</v>
      </c>
      <c r="P11" s="192">
        <v>0.8</v>
      </c>
      <c r="Q11" s="192">
        <v>0.8</v>
      </c>
      <c r="R11" s="192">
        <v>0.8</v>
      </c>
      <c r="S11" s="192">
        <v>0.8</v>
      </c>
      <c r="T11" s="192">
        <v>0.8</v>
      </c>
      <c r="U11" s="192">
        <v>0.8</v>
      </c>
      <c r="V11" s="192">
        <v>0.8</v>
      </c>
      <c r="W11" s="192">
        <v>0.8</v>
      </c>
      <c r="X11" s="192">
        <v>0.8</v>
      </c>
      <c r="Y11" s="192">
        <v>0.8</v>
      </c>
      <c r="Z11" s="192">
        <v>0.8</v>
      </c>
      <c r="AA11" s="192">
        <v>0.8</v>
      </c>
      <c r="AB11" s="192">
        <v>0.8</v>
      </c>
      <c r="AC11" s="192">
        <v>0.8</v>
      </c>
      <c r="AD11" s="192">
        <v>0.8</v>
      </c>
      <c r="AE11" s="192">
        <v>0.8</v>
      </c>
      <c r="AF11" s="192">
        <v>0.8</v>
      </c>
      <c r="AG11" s="192">
        <v>0.8</v>
      </c>
    </row>
    <row r="12" spans="1:33" ht="14" customHeight="1" x14ac:dyDescent="0.2">
      <c r="A12" s="134">
        <v>11</v>
      </c>
      <c r="B12" s="184" t="s">
        <v>191</v>
      </c>
      <c r="C12" s="192">
        <v>0.8</v>
      </c>
      <c r="D12" s="192">
        <v>0.8</v>
      </c>
      <c r="E12" s="192">
        <v>0.8</v>
      </c>
      <c r="F12" s="192">
        <v>0.8</v>
      </c>
      <c r="G12" s="192">
        <v>0.8</v>
      </c>
      <c r="H12" s="192">
        <v>0.8</v>
      </c>
      <c r="I12" s="192">
        <v>0.8</v>
      </c>
      <c r="J12" s="192">
        <v>0.8</v>
      </c>
      <c r="K12" s="192">
        <v>0.8</v>
      </c>
      <c r="L12" s="192">
        <v>0.8</v>
      </c>
      <c r="M12" s="192">
        <v>0.8</v>
      </c>
      <c r="N12" s="192">
        <v>0.8</v>
      </c>
      <c r="O12" s="192">
        <v>0.8</v>
      </c>
      <c r="P12" s="192">
        <v>0.8</v>
      </c>
      <c r="Q12" s="192">
        <v>0.8</v>
      </c>
      <c r="R12" s="192">
        <v>0.8</v>
      </c>
      <c r="S12" s="192">
        <v>0.8</v>
      </c>
      <c r="T12" s="192">
        <v>0.8</v>
      </c>
      <c r="U12" s="192">
        <v>0.8</v>
      </c>
      <c r="V12" s="192">
        <v>0.8</v>
      </c>
      <c r="W12" s="192">
        <v>0.8</v>
      </c>
      <c r="X12" s="192">
        <v>0.8</v>
      </c>
      <c r="Y12" s="192">
        <v>0.8</v>
      </c>
      <c r="Z12" s="192">
        <v>0.8</v>
      </c>
      <c r="AA12" s="192">
        <v>0.8</v>
      </c>
      <c r="AB12" s="192">
        <v>0.8</v>
      </c>
      <c r="AC12" s="192">
        <v>0.8</v>
      </c>
      <c r="AD12" s="192">
        <v>0.8</v>
      </c>
      <c r="AE12" s="192">
        <v>0.8</v>
      </c>
      <c r="AF12" s="192">
        <v>0.8</v>
      </c>
      <c r="AG12" s="192">
        <v>0.8</v>
      </c>
    </row>
    <row r="13" spans="1:33" ht="14" customHeight="1" x14ac:dyDescent="0.2">
      <c r="A13" s="134">
        <v>12</v>
      </c>
      <c r="B13" s="184" t="s">
        <v>192</v>
      </c>
      <c r="C13" s="192">
        <v>0.8</v>
      </c>
      <c r="D13" s="192">
        <v>0.8</v>
      </c>
      <c r="E13" s="192">
        <v>0.8</v>
      </c>
      <c r="F13" s="192">
        <v>0.8</v>
      </c>
      <c r="G13" s="192">
        <v>0.8</v>
      </c>
      <c r="H13" s="192">
        <v>0.8</v>
      </c>
      <c r="I13" s="192">
        <v>0.8</v>
      </c>
      <c r="J13" s="192">
        <v>0.8</v>
      </c>
      <c r="K13" s="192">
        <v>0.8</v>
      </c>
      <c r="L13" s="192">
        <v>0.8</v>
      </c>
      <c r="M13" s="192">
        <v>0.8</v>
      </c>
      <c r="N13" s="192">
        <v>0.8</v>
      </c>
      <c r="O13" s="192">
        <v>0.8</v>
      </c>
      <c r="P13" s="192">
        <v>0.8</v>
      </c>
      <c r="Q13" s="192">
        <v>0.8</v>
      </c>
      <c r="R13" s="192">
        <v>0.8</v>
      </c>
      <c r="S13" s="192">
        <v>0.8</v>
      </c>
      <c r="T13" s="192">
        <v>0.8</v>
      </c>
      <c r="U13" s="192">
        <v>0.8</v>
      </c>
      <c r="V13" s="192">
        <v>0.8</v>
      </c>
      <c r="W13" s="192">
        <v>0.8</v>
      </c>
      <c r="X13" s="192">
        <v>0.8</v>
      </c>
      <c r="Y13" s="192">
        <v>0.8</v>
      </c>
      <c r="Z13" s="192">
        <v>0.8</v>
      </c>
      <c r="AA13" s="192">
        <v>0.8</v>
      </c>
      <c r="AB13" s="192">
        <v>0.8</v>
      </c>
      <c r="AC13" s="192">
        <v>0.8</v>
      </c>
      <c r="AD13" s="192">
        <v>0.8</v>
      </c>
      <c r="AE13" s="192">
        <v>0.8</v>
      </c>
      <c r="AF13" s="192">
        <v>0.8</v>
      </c>
      <c r="AG13" s="192">
        <v>0.8</v>
      </c>
    </row>
    <row r="14" spans="1:33" ht="14" customHeight="1" x14ac:dyDescent="0.2">
      <c r="A14" s="134">
        <v>13</v>
      </c>
      <c r="B14" s="184" t="s">
        <v>193</v>
      </c>
      <c r="C14" s="192">
        <v>0.8</v>
      </c>
      <c r="D14" s="192">
        <v>0.8</v>
      </c>
      <c r="E14" s="192">
        <v>0.8</v>
      </c>
      <c r="F14" s="192">
        <v>0.8</v>
      </c>
      <c r="G14" s="192">
        <v>0.8</v>
      </c>
      <c r="H14" s="192">
        <v>0.8</v>
      </c>
      <c r="I14" s="192">
        <v>0.8</v>
      </c>
      <c r="J14" s="192">
        <v>0.8</v>
      </c>
      <c r="K14" s="192">
        <v>0.8</v>
      </c>
      <c r="L14" s="192">
        <v>0.8</v>
      </c>
      <c r="M14" s="192">
        <v>0.8</v>
      </c>
      <c r="N14" s="192">
        <v>0.8</v>
      </c>
      <c r="O14" s="192">
        <v>0.8</v>
      </c>
      <c r="P14" s="192">
        <v>0.8</v>
      </c>
      <c r="Q14" s="192">
        <v>0.8</v>
      </c>
      <c r="R14" s="192">
        <v>0.8</v>
      </c>
      <c r="S14" s="192">
        <v>0.8</v>
      </c>
      <c r="T14" s="192">
        <v>0.8</v>
      </c>
      <c r="U14" s="192">
        <v>0.8</v>
      </c>
      <c r="V14" s="192">
        <v>0.8</v>
      </c>
      <c r="W14" s="192">
        <v>0.8</v>
      </c>
      <c r="X14" s="192">
        <v>0.8</v>
      </c>
      <c r="Y14" s="192">
        <v>0.8</v>
      </c>
      <c r="Z14" s="192">
        <v>0.8</v>
      </c>
      <c r="AA14" s="192">
        <v>0.8</v>
      </c>
      <c r="AB14" s="192">
        <v>0.8</v>
      </c>
      <c r="AC14" s="192">
        <v>0.8</v>
      </c>
      <c r="AD14" s="192">
        <v>0.8</v>
      </c>
      <c r="AE14" s="192">
        <v>0.8</v>
      </c>
      <c r="AF14" s="192">
        <v>0.8</v>
      </c>
      <c r="AG14" s="192">
        <v>0.8</v>
      </c>
    </row>
    <row r="15" spans="1:33" ht="14" customHeight="1" x14ac:dyDescent="0.2">
      <c r="A15" s="134">
        <v>14</v>
      </c>
      <c r="B15" s="184" t="s">
        <v>194</v>
      </c>
      <c r="C15" s="192">
        <v>0.8</v>
      </c>
      <c r="D15" s="192">
        <v>0.8</v>
      </c>
      <c r="E15" s="192">
        <v>0.8</v>
      </c>
      <c r="F15" s="192">
        <v>0.8</v>
      </c>
      <c r="G15" s="192">
        <v>0.8</v>
      </c>
      <c r="H15" s="192">
        <v>0.8</v>
      </c>
      <c r="I15" s="192">
        <v>0.8</v>
      </c>
      <c r="J15" s="192">
        <v>0.8</v>
      </c>
      <c r="K15" s="192">
        <v>0.8</v>
      </c>
      <c r="L15" s="192">
        <v>0.8</v>
      </c>
      <c r="M15" s="192">
        <v>0.8</v>
      </c>
      <c r="N15" s="192">
        <v>0.8</v>
      </c>
      <c r="O15" s="192">
        <v>0.8</v>
      </c>
      <c r="P15" s="192">
        <v>0.8</v>
      </c>
      <c r="Q15" s="192">
        <v>0.8</v>
      </c>
      <c r="R15" s="192">
        <v>0.8</v>
      </c>
      <c r="S15" s="192">
        <v>0.8</v>
      </c>
      <c r="T15" s="192">
        <v>0.8</v>
      </c>
      <c r="U15" s="192">
        <v>0.8</v>
      </c>
      <c r="V15" s="192">
        <v>0.8</v>
      </c>
      <c r="W15" s="192">
        <v>0.8</v>
      </c>
      <c r="X15" s="192">
        <v>0.8</v>
      </c>
      <c r="Y15" s="192">
        <v>0.8</v>
      </c>
      <c r="Z15" s="192">
        <v>0.8</v>
      </c>
      <c r="AA15" s="192">
        <v>0.8</v>
      </c>
      <c r="AB15" s="192">
        <v>0.8</v>
      </c>
      <c r="AC15" s="192">
        <v>0.8</v>
      </c>
      <c r="AD15" s="192">
        <v>0.8</v>
      </c>
      <c r="AE15" s="192">
        <v>0.8</v>
      </c>
      <c r="AF15" s="192">
        <v>0.8</v>
      </c>
      <c r="AG15" s="192">
        <v>0.8</v>
      </c>
    </row>
    <row r="16" spans="1:33" ht="14" customHeight="1" x14ac:dyDescent="0.2">
      <c r="A16" s="134">
        <v>15</v>
      </c>
      <c r="B16" s="184" t="s">
        <v>195</v>
      </c>
      <c r="C16" s="192">
        <v>0.8</v>
      </c>
      <c r="D16" s="192">
        <v>0.8</v>
      </c>
      <c r="E16" s="192">
        <v>0.8</v>
      </c>
      <c r="F16" s="192">
        <v>0.8</v>
      </c>
      <c r="G16" s="192">
        <v>0.8</v>
      </c>
      <c r="H16" s="192">
        <v>0.8</v>
      </c>
      <c r="I16" s="192">
        <v>0.8</v>
      </c>
      <c r="J16" s="192">
        <v>0.8</v>
      </c>
      <c r="K16" s="192">
        <v>0.8</v>
      </c>
      <c r="L16" s="192">
        <v>0.8</v>
      </c>
      <c r="M16" s="192">
        <v>0.8</v>
      </c>
      <c r="N16" s="192">
        <v>0.8</v>
      </c>
      <c r="O16" s="192">
        <v>0.8</v>
      </c>
      <c r="P16" s="192">
        <v>0.8</v>
      </c>
      <c r="Q16" s="192">
        <v>0.8</v>
      </c>
      <c r="R16" s="192">
        <v>0.8</v>
      </c>
      <c r="S16" s="192">
        <v>0.8</v>
      </c>
      <c r="T16" s="192">
        <v>0.8</v>
      </c>
      <c r="U16" s="192">
        <v>0.8</v>
      </c>
      <c r="V16" s="192">
        <v>0.8</v>
      </c>
      <c r="W16" s="192">
        <v>0.8</v>
      </c>
      <c r="X16" s="192">
        <v>0.8</v>
      </c>
      <c r="Y16" s="192">
        <v>0.8</v>
      </c>
      <c r="Z16" s="192">
        <v>0.8</v>
      </c>
      <c r="AA16" s="192">
        <v>0.8</v>
      </c>
      <c r="AB16" s="192">
        <v>0.8</v>
      </c>
      <c r="AC16" s="192">
        <v>0.8</v>
      </c>
      <c r="AD16" s="192">
        <v>0.8</v>
      </c>
      <c r="AE16" s="192">
        <v>0.8</v>
      </c>
      <c r="AF16" s="192">
        <v>0.8</v>
      </c>
      <c r="AG16" s="192">
        <v>0.8</v>
      </c>
    </row>
    <row r="17" spans="1:33" ht="14" customHeight="1" x14ac:dyDescent="0.2">
      <c r="A17" s="134">
        <v>16</v>
      </c>
      <c r="B17" s="184" t="s">
        <v>196</v>
      </c>
      <c r="C17" s="192">
        <v>0.8</v>
      </c>
      <c r="D17" s="192">
        <v>0.8</v>
      </c>
      <c r="E17" s="192">
        <v>0.8</v>
      </c>
      <c r="F17" s="192">
        <v>0.8</v>
      </c>
      <c r="G17" s="192">
        <v>0.8</v>
      </c>
      <c r="H17" s="192">
        <v>0.8</v>
      </c>
      <c r="I17" s="192">
        <v>0.8</v>
      </c>
      <c r="J17" s="192">
        <v>0.8</v>
      </c>
      <c r="K17" s="192">
        <v>0.8</v>
      </c>
      <c r="L17" s="192">
        <v>0.8</v>
      </c>
      <c r="M17" s="192">
        <v>0.8</v>
      </c>
      <c r="N17" s="192">
        <v>0.8</v>
      </c>
      <c r="O17" s="192">
        <v>0.8</v>
      </c>
      <c r="P17" s="192">
        <v>0.8</v>
      </c>
      <c r="Q17" s="192">
        <v>0.8</v>
      </c>
      <c r="R17" s="192">
        <v>0.8</v>
      </c>
      <c r="S17" s="192">
        <v>0.8</v>
      </c>
      <c r="T17" s="192">
        <v>0.8</v>
      </c>
      <c r="U17" s="192">
        <v>0.8</v>
      </c>
      <c r="V17" s="192">
        <v>0.8</v>
      </c>
      <c r="W17" s="192">
        <v>0.8</v>
      </c>
      <c r="X17" s="192">
        <v>0.8</v>
      </c>
      <c r="Y17" s="192">
        <v>0.8</v>
      </c>
      <c r="Z17" s="192">
        <v>0.8</v>
      </c>
      <c r="AA17" s="192">
        <v>0.8</v>
      </c>
      <c r="AB17" s="192">
        <v>0.8</v>
      </c>
      <c r="AC17" s="192">
        <v>0.8</v>
      </c>
      <c r="AD17" s="192">
        <v>0.8</v>
      </c>
      <c r="AE17" s="192">
        <v>0.8</v>
      </c>
      <c r="AF17" s="192">
        <v>0.8</v>
      </c>
      <c r="AG17" s="192">
        <v>0.8</v>
      </c>
    </row>
    <row r="18" spans="1:33" ht="14" customHeight="1" x14ac:dyDescent="0.2">
      <c r="A18" s="134">
        <v>17</v>
      </c>
      <c r="B18" s="184" t="s">
        <v>197</v>
      </c>
      <c r="C18" s="192">
        <v>0.8</v>
      </c>
      <c r="D18" s="192">
        <v>0.8</v>
      </c>
      <c r="E18" s="192">
        <v>0.8</v>
      </c>
      <c r="F18" s="192">
        <v>0.8</v>
      </c>
      <c r="G18" s="192">
        <v>0.8</v>
      </c>
      <c r="H18" s="192">
        <v>0.8</v>
      </c>
      <c r="I18" s="192">
        <v>0.8</v>
      </c>
      <c r="J18" s="192">
        <v>0.8</v>
      </c>
      <c r="K18" s="192">
        <v>0.8</v>
      </c>
      <c r="L18" s="192">
        <v>0.8</v>
      </c>
      <c r="M18" s="192">
        <v>0.8</v>
      </c>
      <c r="N18" s="192">
        <v>0.8</v>
      </c>
      <c r="O18" s="192">
        <v>0.8</v>
      </c>
      <c r="P18" s="192">
        <v>0.8</v>
      </c>
      <c r="Q18" s="192">
        <v>0.8</v>
      </c>
      <c r="R18" s="192">
        <v>0.8</v>
      </c>
      <c r="S18" s="192">
        <v>0.8</v>
      </c>
      <c r="T18" s="192">
        <v>0.8</v>
      </c>
      <c r="U18" s="192">
        <v>0.8</v>
      </c>
      <c r="V18" s="192">
        <v>0.8</v>
      </c>
      <c r="W18" s="192">
        <v>0.8</v>
      </c>
      <c r="X18" s="192">
        <v>0.8</v>
      </c>
      <c r="Y18" s="192">
        <v>0.8</v>
      </c>
      <c r="Z18" s="192">
        <v>0.8</v>
      </c>
      <c r="AA18" s="192">
        <v>0.8</v>
      </c>
      <c r="AB18" s="192">
        <v>0.8</v>
      </c>
      <c r="AC18" s="192">
        <v>0.8</v>
      </c>
      <c r="AD18" s="192">
        <v>0.8</v>
      </c>
      <c r="AE18" s="192">
        <v>0.8</v>
      </c>
      <c r="AF18" s="192">
        <v>0.8</v>
      </c>
      <c r="AG18" s="192">
        <v>0.8</v>
      </c>
    </row>
    <row r="19" spans="1:33" ht="14" customHeight="1" x14ac:dyDescent="0.2">
      <c r="A19" s="134">
        <v>18</v>
      </c>
      <c r="B19" s="184" t="s">
        <v>198</v>
      </c>
      <c r="C19" s="192">
        <v>0.8</v>
      </c>
      <c r="D19" s="192">
        <v>0.8</v>
      </c>
      <c r="E19" s="192">
        <v>0.8</v>
      </c>
      <c r="F19" s="192">
        <v>0.8</v>
      </c>
      <c r="G19" s="192">
        <v>0.8</v>
      </c>
      <c r="H19" s="192">
        <v>0.8</v>
      </c>
      <c r="I19" s="192">
        <v>0.8</v>
      </c>
      <c r="J19" s="192">
        <v>0.8</v>
      </c>
      <c r="K19" s="192">
        <v>0.8</v>
      </c>
      <c r="L19" s="192">
        <v>0.8</v>
      </c>
      <c r="M19" s="192">
        <v>0.8</v>
      </c>
      <c r="N19" s="192">
        <v>0.8</v>
      </c>
      <c r="O19" s="192">
        <v>0.8</v>
      </c>
      <c r="P19" s="192">
        <v>0.8</v>
      </c>
      <c r="Q19" s="192">
        <v>0.8</v>
      </c>
      <c r="R19" s="192">
        <v>0.8</v>
      </c>
      <c r="S19" s="192">
        <v>0.8</v>
      </c>
      <c r="T19" s="192">
        <v>0.8</v>
      </c>
      <c r="U19" s="192">
        <v>0.8</v>
      </c>
      <c r="V19" s="192">
        <v>0.8</v>
      </c>
      <c r="W19" s="192">
        <v>0.8</v>
      </c>
      <c r="X19" s="192">
        <v>0.8</v>
      </c>
      <c r="Y19" s="192">
        <v>0.8</v>
      </c>
      <c r="Z19" s="192">
        <v>0.8</v>
      </c>
      <c r="AA19" s="192">
        <v>0.8</v>
      </c>
      <c r="AB19" s="192">
        <v>0.8</v>
      </c>
      <c r="AC19" s="192">
        <v>0.8</v>
      </c>
      <c r="AD19" s="192">
        <v>0.8</v>
      </c>
      <c r="AE19" s="192">
        <v>0.8</v>
      </c>
      <c r="AF19" s="192">
        <v>0.8</v>
      </c>
      <c r="AG19" s="192">
        <v>0.8</v>
      </c>
    </row>
    <row r="20" spans="1:33" ht="14" customHeight="1" x14ac:dyDescent="0.2">
      <c r="A20" s="134">
        <v>19</v>
      </c>
      <c r="B20" s="184" t="s">
        <v>199</v>
      </c>
      <c r="C20" s="192">
        <v>0.8</v>
      </c>
      <c r="D20" s="192">
        <v>0.8</v>
      </c>
      <c r="E20" s="192">
        <v>0.8</v>
      </c>
      <c r="F20" s="192">
        <v>0.8</v>
      </c>
      <c r="G20" s="192">
        <v>0.8</v>
      </c>
      <c r="H20" s="192">
        <v>0.8</v>
      </c>
      <c r="I20" s="192">
        <v>0.8</v>
      </c>
      <c r="J20" s="192">
        <v>0.8</v>
      </c>
      <c r="K20" s="192">
        <v>0.8</v>
      </c>
      <c r="L20" s="192">
        <v>0.8</v>
      </c>
      <c r="M20" s="192">
        <v>0.8</v>
      </c>
      <c r="N20" s="192">
        <v>0.8</v>
      </c>
      <c r="O20" s="192">
        <v>0.8</v>
      </c>
      <c r="P20" s="192">
        <v>0.8</v>
      </c>
      <c r="Q20" s="192">
        <v>0.8</v>
      </c>
      <c r="R20" s="192">
        <v>0.8</v>
      </c>
      <c r="S20" s="192">
        <v>0.8</v>
      </c>
      <c r="T20" s="192">
        <v>0.8</v>
      </c>
      <c r="U20" s="192">
        <v>0.8</v>
      </c>
      <c r="V20" s="192">
        <v>0.8</v>
      </c>
      <c r="W20" s="192">
        <v>0.8</v>
      </c>
      <c r="X20" s="192">
        <v>0.8</v>
      </c>
      <c r="Y20" s="192">
        <v>0.8</v>
      </c>
      <c r="Z20" s="192">
        <v>0.8</v>
      </c>
      <c r="AA20" s="192">
        <v>0.8</v>
      </c>
      <c r="AB20" s="192">
        <v>0.8</v>
      </c>
      <c r="AC20" s="192">
        <v>0.8</v>
      </c>
      <c r="AD20" s="192">
        <v>0.8</v>
      </c>
      <c r="AE20" s="192">
        <v>0.8</v>
      </c>
      <c r="AF20" s="192">
        <v>0.8</v>
      </c>
      <c r="AG20" s="192">
        <v>0.8</v>
      </c>
    </row>
    <row r="21" spans="1:33" ht="14" customHeight="1" x14ac:dyDescent="0.2">
      <c r="A21" s="134">
        <v>20</v>
      </c>
      <c r="B21" s="184" t="s">
        <v>200</v>
      </c>
      <c r="C21" s="192">
        <v>0.8</v>
      </c>
      <c r="D21" s="192">
        <v>0.8</v>
      </c>
      <c r="E21" s="192">
        <v>0.8</v>
      </c>
      <c r="F21" s="192">
        <v>0.8</v>
      </c>
      <c r="G21" s="192">
        <v>0.8</v>
      </c>
      <c r="H21" s="192">
        <v>0.8</v>
      </c>
      <c r="I21" s="192">
        <v>0.8</v>
      </c>
      <c r="J21" s="192">
        <v>0.8</v>
      </c>
      <c r="K21" s="192">
        <v>0.8</v>
      </c>
      <c r="L21" s="192">
        <v>0.8</v>
      </c>
      <c r="M21" s="192">
        <v>0.8</v>
      </c>
      <c r="N21" s="192">
        <v>0.8</v>
      </c>
      <c r="O21" s="192">
        <v>0.8</v>
      </c>
      <c r="P21" s="192">
        <v>0.8</v>
      </c>
      <c r="Q21" s="192">
        <v>0.8</v>
      </c>
      <c r="R21" s="192">
        <v>0.8</v>
      </c>
      <c r="S21" s="192">
        <v>0.8</v>
      </c>
      <c r="T21" s="192">
        <v>0.8</v>
      </c>
      <c r="U21" s="192">
        <v>0.8</v>
      </c>
      <c r="V21" s="192">
        <v>0.8</v>
      </c>
      <c r="W21" s="192">
        <v>0.8</v>
      </c>
      <c r="X21" s="192">
        <v>0.8</v>
      </c>
      <c r="Y21" s="192">
        <v>0.8</v>
      </c>
      <c r="Z21" s="192">
        <v>0.8</v>
      </c>
      <c r="AA21" s="192">
        <v>0.8</v>
      </c>
      <c r="AB21" s="192">
        <v>0.8</v>
      </c>
      <c r="AC21" s="192">
        <v>0.8</v>
      </c>
      <c r="AD21" s="192">
        <v>0.8</v>
      </c>
      <c r="AE21" s="192">
        <v>0.8</v>
      </c>
      <c r="AF21" s="192">
        <v>0.8</v>
      </c>
      <c r="AG21" s="192">
        <v>0.8</v>
      </c>
    </row>
    <row r="22" spans="1:33" ht="14" customHeight="1" x14ac:dyDescent="0.2">
      <c r="A22" s="134">
        <v>21</v>
      </c>
      <c r="B22" s="184" t="s">
        <v>201</v>
      </c>
      <c r="C22" s="192">
        <v>0.8</v>
      </c>
      <c r="D22" s="192">
        <v>0.8</v>
      </c>
      <c r="E22" s="192">
        <v>0.8</v>
      </c>
      <c r="F22" s="192">
        <v>0.8</v>
      </c>
      <c r="G22" s="192">
        <v>0.8</v>
      </c>
      <c r="H22" s="192">
        <v>0.8</v>
      </c>
      <c r="I22" s="192">
        <v>0.8</v>
      </c>
      <c r="J22" s="192">
        <v>0.8</v>
      </c>
      <c r="K22" s="192">
        <v>0.8</v>
      </c>
      <c r="L22" s="192">
        <v>0.8</v>
      </c>
      <c r="M22" s="192">
        <v>0.8</v>
      </c>
      <c r="N22" s="192">
        <v>0.8</v>
      </c>
      <c r="O22" s="192">
        <v>0.8</v>
      </c>
      <c r="P22" s="192">
        <v>0.8</v>
      </c>
      <c r="Q22" s="192">
        <v>0.8</v>
      </c>
      <c r="R22" s="192">
        <v>0.8</v>
      </c>
      <c r="S22" s="192">
        <v>0.8</v>
      </c>
      <c r="T22" s="192">
        <v>0.8</v>
      </c>
      <c r="U22" s="192">
        <v>0.8</v>
      </c>
      <c r="V22" s="192">
        <v>0.8</v>
      </c>
      <c r="W22" s="192">
        <v>0.8</v>
      </c>
      <c r="X22" s="192">
        <v>0.8</v>
      </c>
      <c r="Y22" s="192">
        <v>0.8</v>
      </c>
      <c r="Z22" s="192">
        <v>0.8</v>
      </c>
      <c r="AA22" s="192">
        <v>0.8</v>
      </c>
      <c r="AB22" s="192">
        <v>0.8</v>
      </c>
      <c r="AC22" s="192">
        <v>0.8</v>
      </c>
      <c r="AD22" s="192">
        <v>0.8</v>
      </c>
      <c r="AE22" s="192">
        <v>0.8</v>
      </c>
      <c r="AF22" s="192">
        <v>0.8</v>
      </c>
      <c r="AG22" s="192">
        <v>0.8</v>
      </c>
    </row>
    <row r="23" spans="1:33" ht="14" customHeight="1" x14ac:dyDescent="0.2">
      <c r="A23" s="134">
        <v>22</v>
      </c>
      <c r="B23" s="184" t="s">
        <v>202</v>
      </c>
      <c r="C23" s="192">
        <v>0.8</v>
      </c>
      <c r="D23" s="192">
        <v>0.8</v>
      </c>
      <c r="E23" s="192">
        <v>0.8</v>
      </c>
      <c r="F23" s="192">
        <v>0.8</v>
      </c>
      <c r="G23" s="192">
        <v>0.8</v>
      </c>
      <c r="H23" s="192">
        <v>0.8</v>
      </c>
      <c r="I23" s="192">
        <v>0.8</v>
      </c>
      <c r="J23" s="192">
        <v>0.8</v>
      </c>
      <c r="K23" s="192">
        <v>0.8</v>
      </c>
      <c r="L23" s="192">
        <v>0.8</v>
      </c>
      <c r="M23" s="192">
        <v>0.8</v>
      </c>
      <c r="N23" s="192">
        <v>0.8</v>
      </c>
      <c r="O23" s="192">
        <v>0.8</v>
      </c>
      <c r="P23" s="192">
        <v>0.8</v>
      </c>
      <c r="Q23" s="192">
        <v>0.8</v>
      </c>
      <c r="R23" s="192">
        <v>0.8</v>
      </c>
      <c r="S23" s="192">
        <v>0.8</v>
      </c>
      <c r="T23" s="192">
        <v>0.8</v>
      </c>
      <c r="U23" s="192">
        <v>0.8</v>
      </c>
      <c r="V23" s="192">
        <v>0.8</v>
      </c>
      <c r="W23" s="192">
        <v>0.8</v>
      </c>
      <c r="X23" s="192">
        <v>0.8</v>
      </c>
      <c r="Y23" s="192">
        <v>0.8</v>
      </c>
      <c r="Z23" s="192">
        <v>0.8</v>
      </c>
      <c r="AA23" s="192">
        <v>0.8</v>
      </c>
      <c r="AB23" s="192">
        <v>0.8</v>
      </c>
      <c r="AC23" s="192">
        <v>0.8</v>
      </c>
      <c r="AD23" s="192">
        <v>0.8</v>
      </c>
      <c r="AE23" s="192">
        <v>0.8</v>
      </c>
      <c r="AF23" s="192">
        <v>0.8</v>
      </c>
      <c r="AG23" s="192">
        <v>0.8</v>
      </c>
    </row>
    <row r="24" spans="1:33" ht="14" customHeight="1" x14ac:dyDescent="0.2">
      <c r="A24" s="134">
        <v>23</v>
      </c>
      <c r="B24" s="184" t="s">
        <v>203</v>
      </c>
      <c r="C24" s="192">
        <v>0.8</v>
      </c>
      <c r="D24" s="192">
        <v>0.8</v>
      </c>
      <c r="E24" s="192">
        <v>0.8</v>
      </c>
      <c r="F24" s="192">
        <v>0.8</v>
      </c>
      <c r="G24" s="192">
        <v>0.8</v>
      </c>
      <c r="H24" s="192">
        <v>0.8</v>
      </c>
      <c r="I24" s="192">
        <v>0.8</v>
      </c>
      <c r="J24" s="192">
        <v>0.8</v>
      </c>
      <c r="K24" s="192">
        <v>0.8</v>
      </c>
      <c r="L24" s="192">
        <v>0.8</v>
      </c>
      <c r="M24" s="192">
        <v>0.8</v>
      </c>
      <c r="N24" s="192">
        <v>0.8</v>
      </c>
      <c r="O24" s="192">
        <v>0.8</v>
      </c>
      <c r="P24" s="192">
        <v>0.8</v>
      </c>
      <c r="Q24" s="192">
        <v>0.8</v>
      </c>
      <c r="R24" s="192">
        <v>0.8</v>
      </c>
      <c r="S24" s="192">
        <v>0.8</v>
      </c>
      <c r="T24" s="192">
        <v>0.8</v>
      </c>
      <c r="U24" s="192">
        <v>0.8</v>
      </c>
      <c r="V24" s="192">
        <v>0.8</v>
      </c>
      <c r="W24" s="192">
        <v>0.8</v>
      </c>
      <c r="X24" s="192">
        <v>0.8</v>
      </c>
      <c r="Y24" s="192">
        <v>0.8</v>
      </c>
      <c r="Z24" s="192">
        <v>0.8</v>
      </c>
      <c r="AA24" s="192">
        <v>0.8</v>
      </c>
      <c r="AB24" s="192">
        <v>0.8</v>
      </c>
      <c r="AC24" s="192">
        <v>0.8</v>
      </c>
      <c r="AD24" s="192">
        <v>0.8</v>
      </c>
      <c r="AE24" s="192">
        <v>0.8</v>
      </c>
      <c r="AF24" s="192">
        <v>0.8</v>
      </c>
      <c r="AG24" s="192">
        <v>0.8</v>
      </c>
    </row>
    <row r="25" spans="1:33" ht="14" customHeight="1" x14ac:dyDescent="0.2">
      <c r="A25" s="134">
        <v>24</v>
      </c>
      <c r="B25" s="184" t="s">
        <v>204</v>
      </c>
      <c r="C25" s="192">
        <v>0.8</v>
      </c>
      <c r="D25" s="192">
        <v>0.8</v>
      </c>
      <c r="E25" s="192">
        <v>0.8</v>
      </c>
      <c r="F25" s="192">
        <v>0.8</v>
      </c>
      <c r="G25" s="192">
        <v>0.8</v>
      </c>
      <c r="H25" s="192">
        <v>0.8</v>
      </c>
      <c r="I25" s="192">
        <v>0.8</v>
      </c>
      <c r="J25" s="192">
        <v>0.8</v>
      </c>
      <c r="K25" s="192">
        <v>0.8</v>
      </c>
      <c r="L25" s="192">
        <v>0.8</v>
      </c>
      <c r="M25" s="192">
        <v>0.8</v>
      </c>
      <c r="N25" s="192">
        <v>0.8</v>
      </c>
      <c r="O25" s="192">
        <v>0.8</v>
      </c>
      <c r="P25" s="192">
        <v>0.8</v>
      </c>
      <c r="Q25" s="192">
        <v>0.8</v>
      </c>
      <c r="R25" s="192">
        <v>0.8</v>
      </c>
      <c r="S25" s="192">
        <v>0.8</v>
      </c>
      <c r="T25" s="192">
        <v>0.8</v>
      </c>
      <c r="U25" s="192">
        <v>0.8</v>
      </c>
      <c r="V25" s="192">
        <v>0.8</v>
      </c>
      <c r="W25" s="192">
        <v>0.8</v>
      </c>
      <c r="X25" s="192">
        <v>0.8</v>
      </c>
      <c r="Y25" s="192">
        <v>0.8</v>
      </c>
      <c r="Z25" s="192">
        <v>0.8</v>
      </c>
      <c r="AA25" s="192">
        <v>0.8</v>
      </c>
      <c r="AB25" s="192">
        <v>0.8</v>
      </c>
      <c r="AC25" s="192">
        <v>0.8</v>
      </c>
      <c r="AD25" s="192">
        <v>0.8</v>
      </c>
      <c r="AE25" s="192">
        <v>0.8</v>
      </c>
      <c r="AF25" s="192">
        <v>0.8</v>
      </c>
      <c r="AG25" s="192">
        <v>0.8</v>
      </c>
    </row>
    <row r="26" spans="1:33" ht="14" customHeight="1" x14ac:dyDescent="0.2">
      <c r="A26" s="134">
        <v>25</v>
      </c>
      <c r="B26" s="184" t="s">
        <v>205</v>
      </c>
      <c r="C26" s="192">
        <v>0.8</v>
      </c>
      <c r="D26" s="192">
        <v>0.8</v>
      </c>
      <c r="E26" s="192">
        <v>0.8</v>
      </c>
      <c r="F26" s="192">
        <v>0.8</v>
      </c>
      <c r="G26" s="192">
        <v>0.8</v>
      </c>
      <c r="H26" s="192">
        <v>0.8</v>
      </c>
      <c r="I26" s="192">
        <v>0.8</v>
      </c>
      <c r="J26" s="192">
        <v>0.8</v>
      </c>
      <c r="K26" s="192">
        <v>0.8</v>
      </c>
      <c r="L26" s="192">
        <v>0.8</v>
      </c>
      <c r="M26" s="192">
        <v>0.8</v>
      </c>
      <c r="N26" s="192">
        <v>0.8</v>
      </c>
      <c r="O26" s="192">
        <v>0.8</v>
      </c>
      <c r="P26" s="192">
        <v>0.8</v>
      </c>
      <c r="Q26" s="192">
        <v>0.8</v>
      </c>
      <c r="R26" s="192">
        <v>0.8</v>
      </c>
      <c r="S26" s="192">
        <v>0.8</v>
      </c>
      <c r="T26" s="192">
        <v>0.8</v>
      </c>
      <c r="U26" s="192">
        <v>0.8</v>
      </c>
      <c r="V26" s="192">
        <v>0.8</v>
      </c>
      <c r="W26" s="192">
        <v>0.8</v>
      </c>
      <c r="X26" s="192">
        <v>0.8</v>
      </c>
      <c r="Y26" s="192">
        <v>0.8</v>
      </c>
      <c r="Z26" s="192">
        <v>0.8</v>
      </c>
      <c r="AA26" s="192">
        <v>0.8</v>
      </c>
      <c r="AB26" s="192">
        <v>0.8</v>
      </c>
      <c r="AC26" s="192">
        <v>0.8</v>
      </c>
      <c r="AD26" s="192">
        <v>0.8</v>
      </c>
      <c r="AE26" s="192">
        <v>0.8</v>
      </c>
      <c r="AF26" s="192">
        <v>0.8</v>
      </c>
      <c r="AG26" s="192">
        <v>0.8</v>
      </c>
    </row>
    <row r="27" spans="1:33" ht="14" customHeight="1" x14ac:dyDescent="0.2">
      <c r="A27" s="134">
        <v>26</v>
      </c>
      <c r="B27" s="184" t="s">
        <v>206</v>
      </c>
      <c r="C27" s="192">
        <v>0.8</v>
      </c>
      <c r="D27" s="192">
        <v>0.8</v>
      </c>
      <c r="E27" s="192">
        <v>0.8</v>
      </c>
      <c r="F27" s="192">
        <v>0.8</v>
      </c>
      <c r="G27" s="192">
        <v>0.8</v>
      </c>
      <c r="H27" s="192">
        <v>0.8</v>
      </c>
      <c r="I27" s="192">
        <v>0.8</v>
      </c>
      <c r="J27" s="192">
        <v>0.8</v>
      </c>
      <c r="K27" s="192">
        <v>0.8</v>
      </c>
      <c r="L27" s="192">
        <v>0.8</v>
      </c>
      <c r="M27" s="192">
        <v>0.8</v>
      </c>
      <c r="N27" s="192">
        <v>0.8</v>
      </c>
      <c r="O27" s="192">
        <v>0.8</v>
      </c>
      <c r="P27" s="192">
        <v>0.8</v>
      </c>
      <c r="Q27" s="192">
        <v>0.8</v>
      </c>
      <c r="R27" s="192">
        <v>0.8</v>
      </c>
      <c r="S27" s="192">
        <v>0.8</v>
      </c>
      <c r="T27" s="192">
        <v>0.8</v>
      </c>
      <c r="U27" s="192">
        <v>0.8</v>
      </c>
      <c r="V27" s="192">
        <v>0.8</v>
      </c>
      <c r="W27" s="192">
        <v>0.8</v>
      </c>
      <c r="X27" s="192">
        <v>0.8</v>
      </c>
      <c r="Y27" s="192">
        <v>0.8</v>
      </c>
      <c r="Z27" s="192">
        <v>0.8</v>
      </c>
      <c r="AA27" s="192">
        <v>0.8</v>
      </c>
      <c r="AB27" s="192">
        <v>0.8</v>
      </c>
      <c r="AC27" s="192">
        <v>0.8</v>
      </c>
      <c r="AD27" s="192">
        <v>0.8</v>
      </c>
      <c r="AE27" s="192">
        <v>0.8</v>
      </c>
      <c r="AF27" s="192">
        <v>0.8</v>
      </c>
      <c r="AG27" s="192">
        <v>0.8</v>
      </c>
    </row>
    <row r="28" spans="1:33" ht="14" customHeight="1" x14ac:dyDescent="0.2">
      <c r="A28" s="134">
        <v>27</v>
      </c>
      <c r="B28" s="184" t="s">
        <v>207</v>
      </c>
      <c r="C28" s="192">
        <v>0.8</v>
      </c>
      <c r="D28" s="192">
        <v>0.8</v>
      </c>
      <c r="E28" s="192">
        <v>0.8</v>
      </c>
      <c r="F28" s="192">
        <v>0.8</v>
      </c>
      <c r="G28" s="192">
        <v>0.8</v>
      </c>
      <c r="H28" s="192">
        <v>0.8</v>
      </c>
      <c r="I28" s="192">
        <v>0.8</v>
      </c>
      <c r="J28" s="192">
        <v>0.8</v>
      </c>
      <c r="K28" s="192">
        <v>0.8</v>
      </c>
      <c r="L28" s="192">
        <v>0.8</v>
      </c>
      <c r="M28" s="192">
        <v>0.8</v>
      </c>
      <c r="N28" s="192">
        <v>0.8</v>
      </c>
      <c r="O28" s="192">
        <v>0.8</v>
      </c>
      <c r="P28" s="192">
        <v>0.8</v>
      </c>
      <c r="Q28" s="192">
        <v>0.8</v>
      </c>
      <c r="R28" s="192">
        <v>0.8</v>
      </c>
      <c r="S28" s="192">
        <v>0.8</v>
      </c>
      <c r="T28" s="192">
        <v>0.8</v>
      </c>
      <c r="U28" s="192">
        <v>0.8</v>
      </c>
      <c r="V28" s="192">
        <v>0.8</v>
      </c>
      <c r="W28" s="192">
        <v>0.8</v>
      </c>
      <c r="X28" s="192">
        <v>0.8</v>
      </c>
      <c r="Y28" s="192">
        <v>0.8</v>
      </c>
      <c r="Z28" s="192">
        <v>0.8</v>
      </c>
      <c r="AA28" s="192">
        <v>0.8</v>
      </c>
      <c r="AB28" s="192">
        <v>0.8</v>
      </c>
      <c r="AC28" s="192">
        <v>0.8</v>
      </c>
      <c r="AD28" s="192">
        <v>0.8</v>
      </c>
      <c r="AE28" s="192">
        <v>0.8</v>
      </c>
      <c r="AF28" s="192">
        <v>0.8</v>
      </c>
      <c r="AG28" s="192">
        <v>0.8</v>
      </c>
    </row>
    <row r="29" spans="1:33" ht="14" customHeight="1" x14ac:dyDescent="0.2">
      <c r="A29" s="134">
        <v>28</v>
      </c>
      <c r="B29" s="184" t="s">
        <v>257</v>
      </c>
      <c r="C29" s="192">
        <v>0.8</v>
      </c>
      <c r="D29" s="192">
        <v>0.8</v>
      </c>
      <c r="E29" s="192">
        <v>0.8</v>
      </c>
      <c r="F29" s="192">
        <v>0.8</v>
      </c>
      <c r="G29" s="192">
        <v>0.8</v>
      </c>
      <c r="H29" s="192">
        <v>0.8</v>
      </c>
      <c r="I29" s="192">
        <v>0.8</v>
      </c>
      <c r="J29" s="192">
        <v>0.8</v>
      </c>
      <c r="K29" s="192">
        <v>0.8</v>
      </c>
      <c r="L29" s="192">
        <v>0.8</v>
      </c>
      <c r="M29" s="192">
        <v>0.8</v>
      </c>
      <c r="N29" s="192">
        <v>0.8</v>
      </c>
      <c r="O29" s="192">
        <v>0.8</v>
      </c>
      <c r="P29" s="192">
        <v>0.8</v>
      </c>
      <c r="Q29" s="192">
        <v>0.8</v>
      </c>
      <c r="R29" s="192">
        <v>0.8</v>
      </c>
      <c r="S29" s="192">
        <v>0.8</v>
      </c>
      <c r="T29" s="192">
        <v>0.8</v>
      </c>
      <c r="U29" s="192">
        <v>0.8</v>
      </c>
      <c r="V29" s="192">
        <v>0.8</v>
      </c>
      <c r="W29" s="192">
        <v>0.8</v>
      </c>
      <c r="X29" s="192">
        <v>0.8</v>
      </c>
      <c r="Y29" s="192">
        <v>0.8</v>
      </c>
      <c r="Z29" s="192">
        <v>0.8</v>
      </c>
      <c r="AA29" s="192">
        <v>0.8</v>
      </c>
      <c r="AB29" s="192">
        <v>0.8</v>
      </c>
      <c r="AC29" s="192">
        <v>0.8</v>
      </c>
      <c r="AD29" s="192">
        <v>0.8</v>
      </c>
      <c r="AE29" s="192">
        <v>0.8</v>
      </c>
      <c r="AF29" s="192">
        <v>0.8</v>
      </c>
      <c r="AG29" s="192">
        <v>0.8</v>
      </c>
    </row>
    <row r="30" spans="1:33" ht="14" customHeight="1" x14ac:dyDescent="0.2">
      <c r="A30" s="134">
        <v>29</v>
      </c>
      <c r="B30" s="184" t="s">
        <v>258</v>
      </c>
      <c r="C30" s="192">
        <v>0.8</v>
      </c>
      <c r="D30" s="192">
        <v>0.8</v>
      </c>
      <c r="E30" s="192">
        <v>0.8</v>
      </c>
      <c r="F30" s="192">
        <v>0.8</v>
      </c>
      <c r="G30" s="192">
        <v>0.8</v>
      </c>
      <c r="H30" s="192">
        <v>0.8</v>
      </c>
      <c r="I30" s="192">
        <v>0.8</v>
      </c>
      <c r="J30" s="192">
        <v>0.8</v>
      </c>
      <c r="K30" s="192">
        <v>0.8</v>
      </c>
      <c r="L30" s="192">
        <v>0.8</v>
      </c>
      <c r="M30" s="192">
        <v>0.8</v>
      </c>
      <c r="N30" s="192">
        <v>0.8</v>
      </c>
      <c r="O30" s="192">
        <v>0.8</v>
      </c>
      <c r="P30" s="192">
        <v>0.8</v>
      </c>
      <c r="Q30" s="192">
        <v>0.8</v>
      </c>
      <c r="R30" s="192">
        <v>0.8</v>
      </c>
      <c r="S30" s="192">
        <v>0.8</v>
      </c>
      <c r="T30" s="192">
        <v>0.8</v>
      </c>
      <c r="U30" s="192">
        <v>0.8</v>
      </c>
      <c r="V30" s="192">
        <v>0.8</v>
      </c>
      <c r="W30" s="192">
        <v>0.8</v>
      </c>
      <c r="X30" s="192">
        <v>0.8</v>
      </c>
      <c r="Y30" s="192">
        <v>0.8</v>
      </c>
      <c r="Z30" s="192">
        <v>0.8</v>
      </c>
      <c r="AA30" s="192">
        <v>0.8</v>
      </c>
      <c r="AB30" s="192">
        <v>0.8</v>
      </c>
      <c r="AC30" s="192">
        <v>0.8</v>
      </c>
      <c r="AD30" s="192">
        <v>0.8</v>
      </c>
      <c r="AE30" s="192">
        <v>0.8</v>
      </c>
      <c r="AF30" s="192">
        <v>0.8</v>
      </c>
      <c r="AG30" s="192">
        <v>0.8</v>
      </c>
    </row>
    <row r="31" spans="1:33" ht="14" customHeight="1" x14ac:dyDescent="0.2">
      <c r="A31" s="134">
        <v>30</v>
      </c>
      <c r="B31" s="184" t="s">
        <v>259</v>
      </c>
      <c r="C31" s="192">
        <v>0.8</v>
      </c>
      <c r="D31" s="192">
        <v>0.8</v>
      </c>
      <c r="E31" s="192">
        <v>0.8</v>
      </c>
      <c r="F31" s="192">
        <v>0.8</v>
      </c>
      <c r="G31" s="192">
        <v>0.8</v>
      </c>
      <c r="H31" s="192">
        <v>0.8</v>
      </c>
      <c r="I31" s="192">
        <v>0.8</v>
      </c>
      <c r="J31" s="192">
        <v>0.8</v>
      </c>
      <c r="K31" s="192">
        <v>0.8</v>
      </c>
      <c r="L31" s="192">
        <v>0.8</v>
      </c>
      <c r="M31" s="192">
        <v>0.8</v>
      </c>
      <c r="N31" s="192">
        <v>0.8</v>
      </c>
      <c r="O31" s="192">
        <v>0.8</v>
      </c>
      <c r="P31" s="192">
        <v>0.8</v>
      </c>
      <c r="Q31" s="192">
        <v>0.8</v>
      </c>
      <c r="R31" s="192">
        <v>0.8</v>
      </c>
      <c r="S31" s="192">
        <v>0.8</v>
      </c>
      <c r="T31" s="192">
        <v>0.8</v>
      </c>
      <c r="U31" s="192">
        <v>0.8</v>
      </c>
      <c r="V31" s="192">
        <v>0.8</v>
      </c>
      <c r="W31" s="192">
        <v>0.8</v>
      </c>
      <c r="X31" s="192">
        <v>0.8</v>
      </c>
      <c r="Y31" s="192">
        <v>0.8</v>
      </c>
      <c r="Z31" s="192">
        <v>0.8</v>
      </c>
      <c r="AA31" s="192">
        <v>0.8</v>
      </c>
      <c r="AB31" s="192">
        <v>0.8</v>
      </c>
      <c r="AC31" s="192">
        <v>0.8</v>
      </c>
      <c r="AD31" s="192">
        <v>0.8</v>
      </c>
      <c r="AE31" s="192">
        <v>0.8</v>
      </c>
      <c r="AF31" s="192">
        <v>0.8</v>
      </c>
      <c r="AG31" s="192">
        <v>0.8</v>
      </c>
    </row>
    <row r="32" spans="1:33" ht="14" customHeight="1" x14ac:dyDescent="0.2">
      <c r="A32" s="134">
        <v>31</v>
      </c>
      <c r="B32" s="184" t="s">
        <v>260</v>
      </c>
      <c r="C32" s="192">
        <v>0.8</v>
      </c>
      <c r="D32" s="192">
        <v>0.8</v>
      </c>
      <c r="E32" s="192">
        <v>0.8</v>
      </c>
      <c r="F32" s="192">
        <v>0.8</v>
      </c>
      <c r="G32" s="192">
        <v>0.8</v>
      </c>
      <c r="H32" s="192">
        <v>0.8</v>
      </c>
      <c r="I32" s="192">
        <v>0.8</v>
      </c>
      <c r="J32" s="192">
        <v>0.8</v>
      </c>
      <c r="K32" s="192">
        <v>0.8</v>
      </c>
      <c r="L32" s="192">
        <v>0.8</v>
      </c>
      <c r="M32" s="192">
        <v>0.8</v>
      </c>
      <c r="N32" s="192">
        <v>0.8</v>
      </c>
      <c r="O32" s="192">
        <v>0.8</v>
      </c>
      <c r="P32" s="192">
        <v>0.8</v>
      </c>
      <c r="Q32" s="192">
        <v>0.8</v>
      </c>
      <c r="R32" s="192">
        <v>0.8</v>
      </c>
      <c r="S32" s="192">
        <v>0.8</v>
      </c>
      <c r="T32" s="192">
        <v>0.8</v>
      </c>
      <c r="U32" s="192">
        <v>0.8</v>
      </c>
      <c r="V32" s="192">
        <v>0.8</v>
      </c>
      <c r="W32" s="192">
        <v>0.8</v>
      </c>
      <c r="X32" s="192">
        <v>0.8</v>
      </c>
      <c r="Y32" s="192">
        <v>0.8</v>
      </c>
      <c r="Z32" s="192">
        <v>0.8</v>
      </c>
      <c r="AA32" s="192">
        <v>0.8</v>
      </c>
      <c r="AB32" s="192">
        <v>0.8</v>
      </c>
      <c r="AC32" s="192">
        <v>0.8</v>
      </c>
      <c r="AD32" s="192">
        <v>0.8</v>
      </c>
      <c r="AE32" s="192">
        <v>0.8</v>
      </c>
      <c r="AF32" s="192">
        <v>0.8</v>
      </c>
      <c r="AG32" s="192">
        <v>0.8</v>
      </c>
    </row>
    <row r="33" spans="1:33" ht="14" customHeight="1" x14ac:dyDescent="0.2">
      <c r="A33" s="134">
        <v>32</v>
      </c>
      <c r="B33" s="184" t="s">
        <v>208</v>
      </c>
      <c r="C33" s="192">
        <v>0.8</v>
      </c>
      <c r="D33" s="192">
        <v>0.8</v>
      </c>
      <c r="E33" s="192">
        <v>0.8</v>
      </c>
      <c r="F33" s="192">
        <v>0.8</v>
      </c>
      <c r="G33" s="192">
        <v>0.8</v>
      </c>
      <c r="H33" s="192">
        <v>0.8</v>
      </c>
      <c r="I33" s="192">
        <v>0.8</v>
      </c>
      <c r="J33" s="192">
        <v>0.8</v>
      </c>
      <c r="K33" s="192">
        <v>0.8</v>
      </c>
      <c r="L33" s="192">
        <v>0.8</v>
      </c>
      <c r="M33" s="192">
        <v>0.8</v>
      </c>
      <c r="N33" s="192">
        <v>0.8</v>
      </c>
      <c r="O33" s="192">
        <v>0.8</v>
      </c>
      <c r="P33" s="192">
        <v>0.8</v>
      </c>
      <c r="Q33" s="192">
        <v>0.8</v>
      </c>
      <c r="R33" s="192">
        <v>0.8</v>
      </c>
      <c r="S33" s="192">
        <v>0.8</v>
      </c>
      <c r="T33" s="192">
        <v>0.8</v>
      </c>
      <c r="U33" s="192">
        <v>0.8</v>
      </c>
      <c r="V33" s="192">
        <v>0.8</v>
      </c>
      <c r="W33" s="192">
        <v>0.8</v>
      </c>
      <c r="X33" s="192">
        <v>0.8</v>
      </c>
      <c r="Y33" s="192">
        <v>0.8</v>
      </c>
      <c r="Z33" s="192">
        <v>0.8</v>
      </c>
      <c r="AA33" s="192">
        <v>0.8</v>
      </c>
      <c r="AB33" s="192">
        <v>0.8</v>
      </c>
      <c r="AC33" s="192">
        <v>0.8</v>
      </c>
      <c r="AD33" s="192">
        <v>0.8</v>
      </c>
      <c r="AE33" s="192">
        <v>0.8</v>
      </c>
      <c r="AF33" s="192">
        <v>0.8</v>
      </c>
      <c r="AG33" s="192">
        <v>0.8</v>
      </c>
    </row>
    <row r="34" spans="1:33" ht="14" customHeight="1" x14ac:dyDescent="0.2">
      <c r="A34" s="134">
        <v>33</v>
      </c>
      <c r="B34" s="184" t="s">
        <v>209</v>
      </c>
      <c r="C34" s="192">
        <v>0.8</v>
      </c>
      <c r="D34" s="192">
        <v>0.8</v>
      </c>
      <c r="E34" s="192">
        <v>0.8</v>
      </c>
      <c r="F34" s="192">
        <v>0.8</v>
      </c>
      <c r="G34" s="192">
        <v>0.8</v>
      </c>
      <c r="H34" s="192">
        <v>0.8</v>
      </c>
      <c r="I34" s="192">
        <v>0.8</v>
      </c>
      <c r="J34" s="192">
        <v>0.8</v>
      </c>
      <c r="K34" s="192">
        <v>0.8</v>
      </c>
      <c r="L34" s="192">
        <v>0.8</v>
      </c>
      <c r="M34" s="192">
        <v>0.8</v>
      </c>
      <c r="N34" s="192">
        <v>0.8</v>
      </c>
      <c r="O34" s="192">
        <v>0.8</v>
      </c>
      <c r="P34" s="192">
        <v>0.8</v>
      </c>
      <c r="Q34" s="192">
        <v>0.8</v>
      </c>
      <c r="R34" s="192">
        <v>0.8</v>
      </c>
      <c r="S34" s="192">
        <v>0.8</v>
      </c>
      <c r="T34" s="192">
        <v>0.8</v>
      </c>
      <c r="U34" s="192">
        <v>0.8</v>
      </c>
      <c r="V34" s="192">
        <v>0.8</v>
      </c>
      <c r="W34" s="192">
        <v>0.8</v>
      </c>
      <c r="X34" s="192">
        <v>0.8</v>
      </c>
      <c r="Y34" s="192">
        <v>0.8</v>
      </c>
      <c r="Z34" s="192">
        <v>0.8</v>
      </c>
      <c r="AA34" s="192">
        <v>0.8</v>
      </c>
      <c r="AB34" s="192">
        <v>0.8</v>
      </c>
      <c r="AC34" s="192">
        <v>0.8</v>
      </c>
      <c r="AD34" s="192">
        <v>0.8</v>
      </c>
      <c r="AE34" s="192">
        <v>0.8</v>
      </c>
      <c r="AF34" s="192">
        <v>0.8</v>
      </c>
      <c r="AG34" s="192">
        <v>0.8</v>
      </c>
    </row>
    <row r="35" spans="1:33" ht="14" customHeight="1" x14ac:dyDescent="0.2">
      <c r="A35" s="134">
        <v>34</v>
      </c>
      <c r="B35" s="184" t="s">
        <v>210</v>
      </c>
      <c r="C35" s="192">
        <v>0.8</v>
      </c>
      <c r="D35" s="192">
        <v>0.8</v>
      </c>
      <c r="E35" s="192">
        <v>0.8</v>
      </c>
      <c r="F35" s="192">
        <v>0.8</v>
      </c>
      <c r="G35" s="192">
        <v>0.8</v>
      </c>
      <c r="H35" s="192">
        <v>0.8</v>
      </c>
      <c r="I35" s="192">
        <v>0.8</v>
      </c>
      <c r="J35" s="192">
        <v>0.8</v>
      </c>
      <c r="K35" s="192">
        <v>0.8</v>
      </c>
      <c r="L35" s="192">
        <v>0.8</v>
      </c>
      <c r="M35" s="192">
        <v>0.8</v>
      </c>
      <c r="N35" s="192">
        <v>0.8</v>
      </c>
      <c r="O35" s="192">
        <v>0.8</v>
      </c>
      <c r="P35" s="192">
        <v>0.8</v>
      </c>
      <c r="Q35" s="192">
        <v>0.8</v>
      </c>
      <c r="R35" s="192">
        <v>0.8</v>
      </c>
      <c r="S35" s="192">
        <v>0.8</v>
      </c>
      <c r="T35" s="192">
        <v>0.8</v>
      </c>
      <c r="U35" s="192">
        <v>0.8</v>
      </c>
      <c r="V35" s="192">
        <v>0.8</v>
      </c>
      <c r="W35" s="192">
        <v>0.8</v>
      </c>
      <c r="X35" s="192">
        <v>0.8</v>
      </c>
      <c r="Y35" s="192">
        <v>0.8</v>
      </c>
      <c r="Z35" s="192">
        <v>0.8</v>
      </c>
      <c r="AA35" s="192">
        <v>0.8</v>
      </c>
      <c r="AB35" s="192">
        <v>0.8</v>
      </c>
      <c r="AC35" s="192">
        <v>0.8</v>
      </c>
      <c r="AD35" s="192">
        <v>0.8</v>
      </c>
      <c r="AE35" s="192">
        <v>0.8</v>
      </c>
      <c r="AF35" s="192">
        <v>0.8</v>
      </c>
      <c r="AG35" s="192">
        <v>0.8</v>
      </c>
    </row>
    <row r="36" spans="1:33" ht="14" customHeight="1" x14ac:dyDescent="0.2">
      <c r="A36" s="134">
        <v>35</v>
      </c>
      <c r="B36" s="184" t="s">
        <v>211</v>
      </c>
      <c r="C36" s="192">
        <v>0.8</v>
      </c>
      <c r="D36" s="192">
        <v>0.8</v>
      </c>
      <c r="E36" s="192">
        <v>0.8</v>
      </c>
      <c r="F36" s="192">
        <v>0.8</v>
      </c>
      <c r="G36" s="192">
        <v>0.8</v>
      </c>
      <c r="H36" s="192">
        <v>0.8</v>
      </c>
      <c r="I36" s="192">
        <v>0.8</v>
      </c>
      <c r="J36" s="192">
        <v>0.8</v>
      </c>
      <c r="K36" s="192">
        <v>0.8</v>
      </c>
      <c r="L36" s="192">
        <v>0.8</v>
      </c>
      <c r="M36" s="192">
        <v>0.8</v>
      </c>
      <c r="N36" s="192">
        <v>0.8</v>
      </c>
      <c r="O36" s="192">
        <v>0.8</v>
      </c>
      <c r="P36" s="192">
        <v>0.8</v>
      </c>
      <c r="Q36" s="192">
        <v>0.8</v>
      </c>
      <c r="R36" s="192">
        <v>0.8</v>
      </c>
      <c r="S36" s="192">
        <v>0.8</v>
      </c>
      <c r="T36" s="192">
        <v>0.8</v>
      </c>
      <c r="U36" s="192">
        <v>0.8</v>
      </c>
      <c r="V36" s="192">
        <v>0.8</v>
      </c>
      <c r="W36" s="192">
        <v>0.8</v>
      </c>
      <c r="X36" s="192">
        <v>0.8</v>
      </c>
      <c r="Y36" s="192">
        <v>0.8</v>
      </c>
      <c r="Z36" s="192">
        <v>0.8</v>
      </c>
      <c r="AA36" s="192">
        <v>0.8</v>
      </c>
      <c r="AB36" s="192">
        <v>0.8</v>
      </c>
      <c r="AC36" s="192">
        <v>0.8</v>
      </c>
      <c r="AD36" s="192">
        <v>0.8</v>
      </c>
      <c r="AE36" s="192">
        <v>0.8</v>
      </c>
      <c r="AF36" s="192">
        <v>0.8</v>
      </c>
      <c r="AG36" s="192">
        <v>0.8</v>
      </c>
    </row>
    <row r="37" spans="1:33" ht="14" customHeight="1" x14ac:dyDescent="0.2">
      <c r="A37" s="134">
        <v>36</v>
      </c>
      <c r="B37" s="184" t="s">
        <v>212</v>
      </c>
      <c r="C37" s="192">
        <v>0.8</v>
      </c>
      <c r="D37" s="192">
        <v>0.8</v>
      </c>
      <c r="E37" s="192">
        <v>0.8</v>
      </c>
      <c r="F37" s="192">
        <v>0.8</v>
      </c>
      <c r="G37" s="192">
        <v>0.8</v>
      </c>
      <c r="H37" s="192">
        <v>0.8</v>
      </c>
      <c r="I37" s="192">
        <v>0.8</v>
      </c>
      <c r="J37" s="192">
        <v>0.8</v>
      </c>
      <c r="K37" s="192">
        <v>0.8</v>
      </c>
      <c r="L37" s="192">
        <v>0.8</v>
      </c>
      <c r="M37" s="192">
        <v>0.8</v>
      </c>
      <c r="N37" s="192">
        <v>0.8</v>
      </c>
      <c r="O37" s="192">
        <v>0.8</v>
      </c>
      <c r="P37" s="192">
        <v>0.8</v>
      </c>
      <c r="Q37" s="192">
        <v>0.8</v>
      </c>
      <c r="R37" s="192">
        <v>0.8</v>
      </c>
      <c r="S37" s="192">
        <v>0.8</v>
      </c>
      <c r="T37" s="192">
        <v>0.8</v>
      </c>
      <c r="U37" s="192">
        <v>0.8</v>
      </c>
      <c r="V37" s="192">
        <v>0.8</v>
      </c>
      <c r="W37" s="192">
        <v>0.8</v>
      </c>
      <c r="X37" s="192">
        <v>0.8</v>
      </c>
      <c r="Y37" s="192">
        <v>0.8</v>
      </c>
      <c r="Z37" s="192">
        <v>0.8</v>
      </c>
      <c r="AA37" s="192">
        <v>0.8</v>
      </c>
      <c r="AB37" s="192">
        <v>0.8</v>
      </c>
      <c r="AC37" s="192">
        <v>0.8</v>
      </c>
      <c r="AD37" s="192">
        <v>0.8</v>
      </c>
      <c r="AE37" s="192">
        <v>0.8</v>
      </c>
      <c r="AF37" s="192">
        <v>0.8</v>
      </c>
      <c r="AG37" s="192">
        <v>0.8</v>
      </c>
    </row>
    <row r="38" spans="1:33" ht="14" customHeight="1" x14ac:dyDescent="0.2">
      <c r="A38" s="134">
        <v>37</v>
      </c>
      <c r="B38" s="184" t="s">
        <v>213</v>
      </c>
      <c r="C38" s="192">
        <v>0.8</v>
      </c>
      <c r="D38" s="192">
        <v>0.8</v>
      </c>
      <c r="E38" s="192">
        <v>0.8</v>
      </c>
      <c r="F38" s="192">
        <v>0.8</v>
      </c>
      <c r="G38" s="192">
        <v>0.8</v>
      </c>
      <c r="H38" s="192">
        <v>0.8</v>
      </c>
      <c r="I38" s="192">
        <v>0.8</v>
      </c>
      <c r="J38" s="192">
        <v>0.8</v>
      </c>
      <c r="K38" s="192">
        <v>0.8</v>
      </c>
      <c r="L38" s="192">
        <v>0.8</v>
      </c>
      <c r="M38" s="192">
        <v>0.8</v>
      </c>
      <c r="N38" s="192">
        <v>0.8</v>
      </c>
      <c r="O38" s="192">
        <v>0.8</v>
      </c>
      <c r="P38" s="192">
        <v>0.8</v>
      </c>
      <c r="Q38" s="192">
        <v>0.8</v>
      </c>
      <c r="R38" s="192">
        <v>0.8</v>
      </c>
      <c r="S38" s="192">
        <v>0.8</v>
      </c>
      <c r="T38" s="192">
        <v>0.8</v>
      </c>
      <c r="U38" s="192">
        <v>0.8</v>
      </c>
      <c r="V38" s="192">
        <v>0.8</v>
      </c>
      <c r="W38" s="192">
        <v>0.8</v>
      </c>
      <c r="X38" s="192">
        <v>0.8</v>
      </c>
      <c r="Y38" s="192">
        <v>0.8</v>
      </c>
      <c r="Z38" s="192">
        <v>0.8</v>
      </c>
      <c r="AA38" s="192">
        <v>0.8</v>
      </c>
      <c r="AB38" s="192">
        <v>0.8</v>
      </c>
      <c r="AC38" s="192">
        <v>0.8</v>
      </c>
      <c r="AD38" s="192">
        <v>0.8</v>
      </c>
      <c r="AE38" s="192">
        <v>0.8</v>
      </c>
      <c r="AF38" s="192">
        <v>0.8</v>
      </c>
      <c r="AG38" s="192">
        <v>0.8</v>
      </c>
    </row>
    <row r="39" spans="1:33" ht="14" customHeight="1" x14ac:dyDescent="0.2">
      <c r="A39" s="134">
        <v>38</v>
      </c>
      <c r="B39" s="184" t="s">
        <v>214</v>
      </c>
      <c r="C39" s="192">
        <v>0.8</v>
      </c>
      <c r="D39" s="192">
        <v>0.8</v>
      </c>
      <c r="E39" s="192">
        <v>0.8</v>
      </c>
      <c r="F39" s="192">
        <v>0.8</v>
      </c>
      <c r="G39" s="192">
        <v>0.8</v>
      </c>
      <c r="H39" s="192">
        <v>0.8</v>
      </c>
      <c r="I39" s="192">
        <v>0.8</v>
      </c>
      <c r="J39" s="192">
        <v>0.8</v>
      </c>
      <c r="K39" s="192">
        <v>0.8</v>
      </c>
      <c r="L39" s="192">
        <v>0.8</v>
      </c>
      <c r="M39" s="192">
        <v>0.8</v>
      </c>
      <c r="N39" s="192">
        <v>0.8</v>
      </c>
      <c r="O39" s="192">
        <v>0.8</v>
      </c>
      <c r="P39" s="192">
        <v>0.8</v>
      </c>
      <c r="Q39" s="192">
        <v>0.8</v>
      </c>
      <c r="R39" s="192">
        <v>0.8</v>
      </c>
      <c r="S39" s="192">
        <v>0.8</v>
      </c>
      <c r="T39" s="192">
        <v>0.8</v>
      </c>
      <c r="U39" s="192">
        <v>0.8</v>
      </c>
      <c r="V39" s="192">
        <v>0.8</v>
      </c>
      <c r="W39" s="192">
        <v>0.8</v>
      </c>
      <c r="X39" s="192">
        <v>0.8</v>
      </c>
      <c r="Y39" s="192">
        <v>0.8</v>
      </c>
      <c r="Z39" s="192">
        <v>0.8</v>
      </c>
      <c r="AA39" s="192">
        <v>0.8</v>
      </c>
      <c r="AB39" s="192">
        <v>0.8</v>
      </c>
      <c r="AC39" s="192">
        <v>0.8</v>
      </c>
      <c r="AD39" s="192">
        <v>0.8</v>
      </c>
      <c r="AE39" s="192">
        <v>0.8</v>
      </c>
      <c r="AF39" s="192">
        <v>0.8</v>
      </c>
      <c r="AG39" s="192">
        <v>0.8</v>
      </c>
    </row>
    <row r="40" spans="1:33" ht="14" customHeight="1" x14ac:dyDescent="0.2">
      <c r="A40" s="134">
        <v>39</v>
      </c>
      <c r="B40" s="184" t="s">
        <v>215</v>
      </c>
      <c r="C40" s="192">
        <v>0.8</v>
      </c>
      <c r="D40" s="192">
        <v>0.8</v>
      </c>
      <c r="E40" s="192">
        <v>0.8</v>
      </c>
      <c r="F40" s="192">
        <v>0.8</v>
      </c>
      <c r="G40" s="192">
        <v>0.8</v>
      </c>
      <c r="H40" s="192">
        <v>0.8</v>
      </c>
      <c r="I40" s="192">
        <v>0.8</v>
      </c>
      <c r="J40" s="192">
        <v>0.8</v>
      </c>
      <c r="K40" s="192">
        <v>0.8</v>
      </c>
      <c r="L40" s="192">
        <v>0.8</v>
      </c>
      <c r="M40" s="192">
        <v>0.8</v>
      </c>
      <c r="N40" s="192">
        <v>0.8</v>
      </c>
      <c r="O40" s="192">
        <v>0.8</v>
      </c>
      <c r="P40" s="192">
        <v>0.8</v>
      </c>
      <c r="Q40" s="192">
        <v>0.8</v>
      </c>
      <c r="R40" s="192">
        <v>0.8</v>
      </c>
      <c r="S40" s="192">
        <v>0.8</v>
      </c>
      <c r="T40" s="192">
        <v>0.8</v>
      </c>
      <c r="U40" s="192">
        <v>0.8</v>
      </c>
      <c r="V40" s="192">
        <v>0.8</v>
      </c>
      <c r="W40" s="192">
        <v>0.8</v>
      </c>
      <c r="X40" s="192">
        <v>0.8</v>
      </c>
      <c r="Y40" s="192">
        <v>0.8</v>
      </c>
      <c r="Z40" s="192">
        <v>0.8</v>
      </c>
      <c r="AA40" s="192">
        <v>0.8</v>
      </c>
      <c r="AB40" s="192">
        <v>0.8</v>
      </c>
      <c r="AC40" s="192">
        <v>0.8</v>
      </c>
      <c r="AD40" s="192">
        <v>0.8</v>
      </c>
      <c r="AE40" s="192">
        <v>0.8</v>
      </c>
      <c r="AF40" s="192">
        <v>0.8</v>
      </c>
      <c r="AG40" s="192">
        <v>0.8</v>
      </c>
    </row>
    <row r="41" spans="1:33" ht="14" customHeight="1" x14ac:dyDescent="0.2">
      <c r="A41" s="134">
        <v>40</v>
      </c>
      <c r="B41" s="184" t="s">
        <v>216</v>
      </c>
      <c r="C41" s="192">
        <v>0.8</v>
      </c>
      <c r="D41" s="192">
        <v>0.8</v>
      </c>
      <c r="E41" s="192">
        <v>0.8</v>
      </c>
      <c r="F41" s="192">
        <v>0.8</v>
      </c>
      <c r="G41" s="192">
        <v>0.8</v>
      </c>
      <c r="H41" s="192">
        <v>0.8</v>
      </c>
      <c r="I41" s="192">
        <v>0.8</v>
      </c>
      <c r="J41" s="192">
        <v>0.8</v>
      </c>
      <c r="K41" s="192">
        <v>0.8</v>
      </c>
      <c r="L41" s="192">
        <v>0.8</v>
      </c>
      <c r="M41" s="192">
        <v>0.8</v>
      </c>
      <c r="N41" s="192">
        <v>0.8</v>
      </c>
      <c r="O41" s="192">
        <v>0.8</v>
      </c>
      <c r="P41" s="192">
        <v>0.8</v>
      </c>
      <c r="Q41" s="192">
        <v>0.8</v>
      </c>
      <c r="R41" s="192">
        <v>0.8</v>
      </c>
      <c r="S41" s="192">
        <v>0.8</v>
      </c>
      <c r="T41" s="192">
        <v>0.8</v>
      </c>
      <c r="U41" s="192">
        <v>0.8</v>
      </c>
      <c r="V41" s="192">
        <v>0.8</v>
      </c>
      <c r="W41" s="192">
        <v>0.8</v>
      </c>
      <c r="X41" s="192">
        <v>0.8</v>
      </c>
      <c r="Y41" s="192">
        <v>0.8</v>
      </c>
      <c r="Z41" s="192">
        <v>0.8</v>
      </c>
      <c r="AA41" s="192">
        <v>0.8</v>
      </c>
      <c r="AB41" s="192">
        <v>0.8</v>
      </c>
      <c r="AC41" s="192">
        <v>0.8</v>
      </c>
      <c r="AD41" s="192">
        <v>0.8</v>
      </c>
      <c r="AE41" s="192">
        <v>0.8</v>
      </c>
      <c r="AF41" s="192">
        <v>0.8</v>
      </c>
      <c r="AG41" s="192">
        <v>0.8</v>
      </c>
    </row>
    <row r="42" spans="1:33" ht="14" customHeight="1" x14ac:dyDescent="0.2">
      <c r="A42" s="134">
        <v>41</v>
      </c>
      <c r="B42" s="184" t="s">
        <v>217</v>
      </c>
      <c r="C42" s="192">
        <v>0.8</v>
      </c>
      <c r="D42" s="192">
        <v>0.8</v>
      </c>
      <c r="E42" s="192">
        <v>0.8</v>
      </c>
      <c r="F42" s="192">
        <v>0.8</v>
      </c>
      <c r="G42" s="192">
        <v>0.8</v>
      </c>
      <c r="H42" s="192">
        <v>0.8</v>
      </c>
      <c r="I42" s="192">
        <v>0.8</v>
      </c>
      <c r="J42" s="192">
        <v>0.8</v>
      </c>
      <c r="K42" s="192">
        <v>0.8</v>
      </c>
      <c r="L42" s="192">
        <v>0.8</v>
      </c>
      <c r="M42" s="192">
        <v>0.8</v>
      </c>
      <c r="N42" s="192">
        <v>0.8</v>
      </c>
      <c r="O42" s="192">
        <v>0.8</v>
      </c>
      <c r="P42" s="192">
        <v>0.8</v>
      </c>
      <c r="Q42" s="192">
        <v>0.8</v>
      </c>
      <c r="R42" s="192">
        <v>0.8</v>
      </c>
      <c r="S42" s="192">
        <v>0.8</v>
      </c>
      <c r="T42" s="192">
        <v>0.8</v>
      </c>
      <c r="U42" s="192">
        <v>0.8</v>
      </c>
      <c r="V42" s="192">
        <v>0.8</v>
      </c>
      <c r="W42" s="192">
        <v>0.8</v>
      </c>
      <c r="X42" s="192">
        <v>0.8</v>
      </c>
      <c r="Y42" s="192">
        <v>0.8</v>
      </c>
      <c r="Z42" s="192">
        <v>0.8</v>
      </c>
      <c r="AA42" s="192">
        <v>0.8</v>
      </c>
      <c r="AB42" s="192">
        <v>0.8</v>
      </c>
      <c r="AC42" s="192">
        <v>0.8</v>
      </c>
      <c r="AD42" s="192">
        <v>0.8</v>
      </c>
      <c r="AE42" s="192">
        <v>0.8</v>
      </c>
      <c r="AF42" s="192">
        <v>0.8</v>
      </c>
      <c r="AG42" s="192">
        <v>0.8</v>
      </c>
    </row>
    <row r="43" spans="1:33" ht="14" customHeight="1" x14ac:dyDescent="0.2">
      <c r="A43" s="134">
        <v>42</v>
      </c>
      <c r="B43" s="184" t="s">
        <v>218</v>
      </c>
      <c r="C43" s="192">
        <v>0.8</v>
      </c>
      <c r="D43" s="192">
        <v>0.8</v>
      </c>
      <c r="E43" s="192">
        <v>0.8</v>
      </c>
      <c r="F43" s="192">
        <v>0.8</v>
      </c>
      <c r="G43" s="192">
        <v>0.8</v>
      </c>
      <c r="H43" s="192">
        <v>0.8</v>
      </c>
      <c r="I43" s="192">
        <v>0.8</v>
      </c>
      <c r="J43" s="192">
        <v>0.8</v>
      </c>
      <c r="K43" s="192">
        <v>0.8</v>
      </c>
      <c r="L43" s="192">
        <v>0.8</v>
      </c>
      <c r="M43" s="192">
        <v>0.8</v>
      </c>
      <c r="N43" s="192">
        <v>0.8</v>
      </c>
      <c r="O43" s="192">
        <v>0.8</v>
      </c>
      <c r="P43" s="192">
        <v>0.8</v>
      </c>
      <c r="Q43" s="192">
        <v>0.8</v>
      </c>
      <c r="R43" s="192">
        <v>0.8</v>
      </c>
      <c r="S43" s="192">
        <v>0.8</v>
      </c>
      <c r="T43" s="192">
        <v>0.8</v>
      </c>
      <c r="U43" s="192">
        <v>0.8</v>
      </c>
      <c r="V43" s="192">
        <v>0.8</v>
      </c>
      <c r="W43" s="192">
        <v>0.8</v>
      </c>
      <c r="X43" s="192">
        <v>0.8</v>
      </c>
      <c r="Y43" s="192">
        <v>0.8</v>
      </c>
      <c r="Z43" s="192">
        <v>0.8</v>
      </c>
      <c r="AA43" s="192">
        <v>0.8</v>
      </c>
      <c r="AB43" s="192">
        <v>0.8</v>
      </c>
      <c r="AC43" s="192">
        <v>0.8</v>
      </c>
      <c r="AD43" s="192">
        <v>0.8</v>
      </c>
      <c r="AE43" s="192">
        <v>0.8</v>
      </c>
      <c r="AF43" s="192">
        <v>0.8</v>
      </c>
      <c r="AG43" s="192">
        <v>0.8</v>
      </c>
    </row>
    <row r="44" spans="1:33" ht="14" customHeight="1" x14ac:dyDescent="0.2">
      <c r="A44" s="134">
        <v>43</v>
      </c>
      <c r="B44" s="184" t="s">
        <v>219</v>
      </c>
      <c r="C44" s="192">
        <v>0.8</v>
      </c>
      <c r="D44" s="192">
        <v>0.8</v>
      </c>
      <c r="E44" s="192">
        <v>0.8</v>
      </c>
      <c r="F44" s="192">
        <v>0.8</v>
      </c>
      <c r="G44" s="192">
        <v>0.8</v>
      </c>
      <c r="H44" s="192">
        <v>0.8</v>
      </c>
      <c r="I44" s="192">
        <v>0.8</v>
      </c>
      <c r="J44" s="192">
        <v>0.8</v>
      </c>
      <c r="K44" s="192">
        <v>0.8</v>
      </c>
      <c r="L44" s="192">
        <v>0.8</v>
      </c>
      <c r="M44" s="192">
        <v>0.8</v>
      </c>
      <c r="N44" s="192">
        <v>0.8</v>
      </c>
      <c r="O44" s="192">
        <v>0.8</v>
      </c>
      <c r="P44" s="192">
        <v>0.8</v>
      </c>
      <c r="Q44" s="192">
        <v>0.8</v>
      </c>
      <c r="R44" s="192">
        <v>0.8</v>
      </c>
      <c r="S44" s="192">
        <v>0.8</v>
      </c>
      <c r="T44" s="192">
        <v>0.8</v>
      </c>
      <c r="U44" s="192">
        <v>0.8</v>
      </c>
      <c r="V44" s="192">
        <v>0.8</v>
      </c>
      <c r="W44" s="192">
        <v>0.8</v>
      </c>
      <c r="X44" s="192">
        <v>0.8</v>
      </c>
      <c r="Y44" s="192">
        <v>0.8</v>
      </c>
      <c r="Z44" s="192">
        <v>0.8</v>
      </c>
      <c r="AA44" s="192">
        <v>0.8</v>
      </c>
      <c r="AB44" s="192">
        <v>0.8</v>
      </c>
      <c r="AC44" s="192">
        <v>0.8</v>
      </c>
      <c r="AD44" s="192">
        <v>0.8</v>
      </c>
      <c r="AE44" s="192">
        <v>0.8</v>
      </c>
      <c r="AF44" s="192">
        <v>0.8</v>
      </c>
      <c r="AG44" s="192">
        <v>0.8</v>
      </c>
    </row>
    <row r="45" spans="1:33" ht="14" customHeight="1" x14ac:dyDescent="0.2">
      <c r="A45" s="134">
        <v>44</v>
      </c>
      <c r="B45" s="184" t="s">
        <v>220</v>
      </c>
      <c r="C45" s="192">
        <v>0.8</v>
      </c>
      <c r="D45" s="192">
        <v>0.8</v>
      </c>
      <c r="E45" s="192">
        <v>0.8</v>
      </c>
      <c r="F45" s="192">
        <v>0.8</v>
      </c>
      <c r="G45" s="192">
        <v>0.8</v>
      </c>
      <c r="H45" s="192">
        <v>0.8</v>
      </c>
      <c r="I45" s="192">
        <v>0.8</v>
      </c>
      <c r="J45" s="192">
        <v>0.8</v>
      </c>
      <c r="K45" s="192">
        <v>0.8</v>
      </c>
      <c r="L45" s="192">
        <v>0.8</v>
      </c>
      <c r="M45" s="192">
        <v>0.8</v>
      </c>
      <c r="N45" s="192">
        <v>0.8</v>
      </c>
      <c r="O45" s="192">
        <v>0.8</v>
      </c>
      <c r="P45" s="192">
        <v>0.8</v>
      </c>
      <c r="Q45" s="192">
        <v>0.8</v>
      </c>
      <c r="R45" s="192">
        <v>0.8</v>
      </c>
      <c r="S45" s="192">
        <v>0.8</v>
      </c>
      <c r="T45" s="192">
        <v>0.8</v>
      </c>
      <c r="U45" s="192">
        <v>0.8</v>
      </c>
      <c r="V45" s="192">
        <v>0.8</v>
      </c>
      <c r="W45" s="192">
        <v>0.8</v>
      </c>
      <c r="X45" s="192">
        <v>0.8</v>
      </c>
      <c r="Y45" s="192">
        <v>0.8</v>
      </c>
      <c r="Z45" s="192">
        <v>0.8</v>
      </c>
      <c r="AA45" s="192">
        <v>0.8</v>
      </c>
      <c r="AB45" s="192">
        <v>0.8</v>
      </c>
      <c r="AC45" s="192">
        <v>0.8</v>
      </c>
      <c r="AD45" s="192">
        <v>0.8</v>
      </c>
      <c r="AE45" s="192">
        <v>0.8</v>
      </c>
      <c r="AF45" s="192">
        <v>0.8</v>
      </c>
      <c r="AG45" s="192">
        <v>0.8</v>
      </c>
    </row>
    <row r="46" spans="1:33" ht="14" customHeight="1" x14ac:dyDescent="0.2">
      <c r="A46" s="134">
        <v>45</v>
      </c>
      <c r="B46" s="184" t="s">
        <v>221</v>
      </c>
      <c r="C46" s="192">
        <v>0.8</v>
      </c>
      <c r="D46" s="192">
        <v>0.8</v>
      </c>
      <c r="E46" s="192">
        <v>0.8</v>
      </c>
      <c r="F46" s="192">
        <v>0.8</v>
      </c>
      <c r="G46" s="192">
        <v>0.8</v>
      </c>
      <c r="H46" s="192">
        <v>0.8</v>
      </c>
      <c r="I46" s="192">
        <v>0.8</v>
      </c>
      <c r="J46" s="192">
        <v>0.8</v>
      </c>
      <c r="K46" s="192">
        <v>0.8</v>
      </c>
      <c r="L46" s="192">
        <v>0.8</v>
      </c>
      <c r="M46" s="192">
        <v>0.8</v>
      </c>
      <c r="N46" s="192">
        <v>0.8</v>
      </c>
      <c r="O46" s="192">
        <v>0.8</v>
      </c>
      <c r="P46" s="192">
        <v>0.8</v>
      </c>
      <c r="Q46" s="192">
        <v>0.8</v>
      </c>
      <c r="R46" s="192">
        <v>0.8</v>
      </c>
      <c r="S46" s="192">
        <v>0.8</v>
      </c>
      <c r="T46" s="192">
        <v>0.8</v>
      </c>
      <c r="U46" s="192">
        <v>0.8</v>
      </c>
      <c r="V46" s="192">
        <v>0.8</v>
      </c>
      <c r="W46" s="192">
        <v>0.8</v>
      </c>
      <c r="X46" s="192">
        <v>0.8</v>
      </c>
      <c r="Y46" s="192">
        <v>0.8</v>
      </c>
      <c r="Z46" s="192">
        <v>0.8</v>
      </c>
      <c r="AA46" s="192">
        <v>0.8</v>
      </c>
      <c r="AB46" s="192">
        <v>0.8</v>
      </c>
      <c r="AC46" s="192">
        <v>0.8</v>
      </c>
      <c r="AD46" s="192">
        <v>0.8</v>
      </c>
      <c r="AE46" s="192">
        <v>0.8</v>
      </c>
      <c r="AF46" s="192">
        <v>0.8</v>
      </c>
      <c r="AG46" s="192">
        <v>0.8</v>
      </c>
    </row>
    <row r="47" spans="1:33" ht="14" customHeight="1" x14ac:dyDescent="0.2">
      <c r="A47" s="134">
        <v>46</v>
      </c>
      <c r="B47" s="184" t="s">
        <v>222</v>
      </c>
      <c r="C47" s="192">
        <v>0.8</v>
      </c>
      <c r="D47" s="192">
        <v>0.8</v>
      </c>
      <c r="E47" s="192">
        <v>0.8</v>
      </c>
      <c r="F47" s="192">
        <v>0.8</v>
      </c>
      <c r="G47" s="192">
        <v>0.8</v>
      </c>
      <c r="H47" s="192">
        <v>0.8</v>
      </c>
      <c r="I47" s="192">
        <v>0.8</v>
      </c>
      <c r="J47" s="192">
        <v>0.8</v>
      </c>
      <c r="K47" s="192">
        <v>0.8</v>
      </c>
      <c r="L47" s="192">
        <v>0.8</v>
      </c>
      <c r="M47" s="192">
        <v>0.8</v>
      </c>
      <c r="N47" s="192">
        <v>0.8</v>
      </c>
      <c r="O47" s="192">
        <v>0.8</v>
      </c>
      <c r="P47" s="192">
        <v>0.8</v>
      </c>
      <c r="Q47" s="192">
        <v>0.8</v>
      </c>
      <c r="R47" s="192">
        <v>0.8</v>
      </c>
      <c r="S47" s="192">
        <v>0.8</v>
      </c>
      <c r="T47" s="192">
        <v>0.8</v>
      </c>
      <c r="U47" s="192">
        <v>0.8</v>
      </c>
      <c r="V47" s="192">
        <v>0.8</v>
      </c>
      <c r="W47" s="192">
        <v>0.8</v>
      </c>
      <c r="X47" s="192">
        <v>0.8</v>
      </c>
      <c r="Y47" s="192">
        <v>0.8</v>
      </c>
      <c r="Z47" s="192">
        <v>0.8</v>
      </c>
      <c r="AA47" s="192">
        <v>0.8</v>
      </c>
      <c r="AB47" s="192">
        <v>0.8</v>
      </c>
      <c r="AC47" s="192">
        <v>0.8</v>
      </c>
      <c r="AD47" s="192">
        <v>0.8</v>
      </c>
      <c r="AE47" s="192">
        <v>0.8</v>
      </c>
      <c r="AF47" s="192">
        <v>0.8</v>
      </c>
      <c r="AG47" s="192">
        <v>0.8</v>
      </c>
    </row>
    <row r="48" spans="1:33" ht="14" customHeight="1" x14ac:dyDescent="0.2">
      <c r="A48" s="134">
        <v>47</v>
      </c>
      <c r="B48" s="184" t="s">
        <v>223</v>
      </c>
      <c r="C48" s="192">
        <v>0.8</v>
      </c>
      <c r="D48" s="192">
        <v>0.8</v>
      </c>
      <c r="E48" s="192">
        <v>0.8</v>
      </c>
      <c r="F48" s="192">
        <v>0.8</v>
      </c>
      <c r="G48" s="192">
        <v>0.8</v>
      </c>
      <c r="H48" s="192">
        <v>0.8</v>
      </c>
      <c r="I48" s="192">
        <v>0.8</v>
      </c>
      <c r="J48" s="192">
        <v>0.8</v>
      </c>
      <c r="K48" s="192">
        <v>0.8</v>
      </c>
      <c r="L48" s="192">
        <v>0.8</v>
      </c>
      <c r="M48" s="192">
        <v>0.8</v>
      </c>
      <c r="N48" s="192">
        <v>0.8</v>
      </c>
      <c r="O48" s="192">
        <v>0.8</v>
      </c>
      <c r="P48" s="192">
        <v>0.8</v>
      </c>
      <c r="Q48" s="192">
        <v>0.8</v>
      </c>
      <c r="R48" s="192">
        <v>0.8</v>
      </c>
      <c r="S48" s="192">
        <v>0.8</v>
      </c>
      <c r="T48" s="192">
        <v>0.8</v>
      </c>
      <c r="U48" s="192">
        <v>0.8</v>
      </c>
      <c r="V48" s="192">
        <v>0.8</v>
      </c>
      <c r="W48" s="192">
        <v>0.8</v>
      </c>
      <c r="X48" s="192">
        <v>0.8</v>
      </c>
      <c r="Y48" s="192">
        <v>0.8</v>
      </c>
      <c r="Z48" s="192">
        <v>0.8</v>
      </c>
      <c r="AA48" s="192">
        <v>0.8</v>
      </c>
      <c r="AB48" s="192">
        <v>0.8</v>
      </c>
      <c r="AC48" s="192">
        <v>0.8</v>
      </c>
      <c r="AD48" s="192">
        <v>0.8</v>
      </c>
      <c r="AE48" s="192">
        <v>0.8</v>
      </c>
      <c r="AF48" s="192">
        <v>0.8</v>
      </c>
      <c r="AG48" s="192">
        <v>0.8</v>
      </c>
    </row>
    <row r="49" spans="1:33" ht="14" customHeight="1" x14ac:dyDescent="0.2">
      <c r="A49" s="134">
        <v>48</v>
      </c>
      <c r="B49" s="184" t="s">
        <v>224</v>
      </c>
      <c r="C49" s="192">
        <v>0.8</v>
      </c>
      <c r="D49" s="192">
        <v>0.8</v>
      </c>
      <c r="E49" s="192">
        <v>0.8</v>
      </c>
      <c r="F49" s="192">
        <v>0.8</v>
      </c>
      <c r="G49" s="192">
        <v>0.8</v>
      </c>
      <c r="H49" s="192">
        <v>0.8</v>
      </c>
      <c r="I49" s="192">
        <v>0.8</v>
      </c>
      <c r="J49" s="192">
        <v>0.8</v>
      </c>
      <c r="K49" s="192">
        <v>0.8</v>
      </c>
      <c r="L49" s="192">
        <v>0.8</v>
      </c>
      <c r="M49" s="192">
        <v>0.8</v>
      </c>
      <c r="N49" s="192">
        <v>0.8</v>
      </c>
      <c r="O49" s="192">
        <v>0.8</v>
      </c>
      <c r="P49" s="192">
        <v>0.8</v>
      </c>
      <c r="Q49" s="192">
        <v>0.8</v>
      </c>
      <c r="R49" s="192">
        <v>0.8</v>
      </c>
      <c r="S49" s="192">
        <v>0.8</v>
      </c>
      <c r="T49" s="192">
        <v>0.8</v>
      </c>
      <c r="U49" s="192">
        <v>0.8</v>
      </c>
      <c r="V49" s="192">
        <v>0.8</v>
      </c>
      <c r="W49" s="192">
        <v>0.8</v>
      </c>
      <c r="X49" s="192">
        <v>0.8</v>
      </c>
      <c r="Y49" s="192">
        <v>0.8</v>
      </c>
      <c r="Z49" s="192">
        <v>0.8</v>
      </c>
      <c r="AA49" s="192">
        <v>0.8</v>
      </c>
      <c r="AB49" s="192">
        <v>0.8</v>
      </c>
      <c r="AC49" s="192">
        <v>0.8</v>
      </c>
      <c r="AD49" s="192">
        <v>0.8</v>
      </c>
      <c r="AE49" s="192">
        <v>0.8</v>
      </c>
      <c r="AF49" s="192">
        <v>0.8</v>
      </c>
      <c r="AG49" s="192">
        <v>0.8</v>
      </c>
    </row>
    <row r="50" spans="1:33" ht="14" customHeight="1" x14ac:dyDescent="0.2">
      <c r="A50" s="134">
        <v>49</v>
      </c>
      <c r="B50" s="184" t="s">
        <v>225</v>
      </c>
      <c r="C50" s="192">
        <v>0.8</v>
      </c>
      <c r="D50" s="192">
        <v>0.8</v>
      </c>
      <c r="E50" s="192">
        <v>0.8</v>
      </c>
      <c r="F50" s="192">
        <v>0.8</v>
      </c>
      <c r="G50" s="192">
        <v>0.8</v>
      </c>
      <c r="H50" s="192">
        <v>0.8</v>
      </c>
      <c r="I50" s="192">
        <v>0.8</v>
      </c>
      <c r="J50" s="192">
        <v>0.8</v>
      </c>
      <c r="K50" s="192">
        <v>0.8</v>
      </c>
      <c r="L50" s="192">
        <v>0.8</v>
      </c>
      <c r="M50" s="192">
        <v>0.8</v>
      </c>
      <c r="N50" s="192">
        <v>0.8</v>
      </c>
      <c r="O50" s="192">
        <v>0.8</v>
      </c>
      <c r="P50" s="192">
        <v>0.8</v>
      </c>
      <c r="Q50" s="192">
        <v>0.8</v>
      </c>
      <c r="R50" s="192">
        <v>0.8</v>
      </c>
      <c r="S50" s="192">
        <v>0.8</v>
      </c>
      <c r="T50" s="192">
        <v>0.8</v>
      </c>
      <c r="U50" s="192">
        <v>0.8</v>
      </c>
      <c r="V50" s="192">
        <v>0.8</v>
      </c>
      <c r="W50" s="192">
        <v>0.8</v>
      </c>
      <c r="X50" s="192">
        <v>0.8</v>
      </c>
      <c r="Y50" s="192">
        <v>0.8</v>
      </c>
      <c r="Z50" s="192">
        <v>0.8</v>
      </c>
      <c r="AA50" s="192">
        <v>0.8</v>
      </c>
      <c r="AB50" s="192">
        <v>0.8</v>
      </c>
      <c r="AC50" s="192">
        <v>0.8</v>
      </c>
      <c r="AD50" s="192">
        <v>0.8</v>
      </c>
      <c r="AE50" s="192">
        <v>0.8</v>
      </c>
      <c r="AF50" s="192">
        <v>0.8</v>
      </c>
      <c r="AG50" s="192">
        <v>0.8</v>
      </c>
    </row>
    <row r="51" spans="1:33" ht="14" customHeight="1" x14ac:dyDescent="0.2">
      <c r="A51" s="134">
        <v>50</v>
      </c>
      <c r="B51" s="184" t="s">
        <v>124</v>
      </c>
      <c r="C51" s="192">
        <v>0.8</v>
      </c>
      <c r="D51" s="192">
        <v>0.8</v>
      </c>
      <c r="E51" s="192">
        <v>0.8</v>
      </c>
      <c r="F51" s="192">
        <v>0.8</v>
      </c>
      <c r="G51" s="192">
        <v>0.8</v>
      </c>
      <c r="H51" s="192">
        <v>0.8</v>
      </c>
      <c r="I51" s="192">
        <v>0.8</v>
      </c>
      <c r="J51" s="192">
        <v>0.8</v>
      </c>
      <c r="K51" s="192">
        <v>0.8</v>
      </c>
      <c r="L51" s="192">
        <v>0.8</v>
      </c>
      <c r="M51" s="192">
        <v>0.8</v>
      </c>
      <c r="N51" s="192">
        <v>0.8</v>
      </c>
      <c r="O51" s="192">
        <v>0.8</v>
      </c>
      <c r="P51" s="192">
        <v>0.8</v>
      </c>
      <c r="Q51" s="192">
        <v>0.8</v>
      </c>
      <c r="R51" s="192">
        <v>0.8</v>
      </c>
      <c r="S51" s="192">
        <v>0.8</v>
      </c>
      <c r="T51" s="192">
        <v>0.8</v>
      </c>
      <c r="U51" s="192">
        <v>0.8</v>
      </c>
      <c r="V51" s="192">
        <v>0.8</v>
      </c>
      <c r="W51" s="192">
        <v>0.8</v>
      </c>
      <c r="X51" s="192">
        <v>0.8</v>
      </c>
      <c r="Y51" s="192">
        <v>0.8</v>
      </c>
      <c r="Z51" s="192">
        <v>0.8</v>
      </c>
      <c r="AA51" s="192">
        <v>0.8</v>
      </c>
      <c r="AB51" s="192">
        <v>0.8</v>
      </c>
      <c r="AC51" s="192">
        <v>0.8</v>
      </c>
      <c r="AD51" s="192">
        <v>0.8</v>
      </c>
      <c r="AE51" s="192">
        <v>0.8</v>
      </c>
      <c r="AF51" s="192">
        <v>0.8</v>
      </c>
      <c r="AG51" s="192">
        <v>0.8</v>
      </c>
    </row>
    <row r="52" spans="1:33" ht="14" customHeight="1" x14ac:dyDescent="0.2">
      <c r="A52" s="110">
        <v>51</v>
      </c>
      <c r="B52" s="184" t="s">
        <v>125</v>
      </c>
      <c r="C52" s="192">
        <v>0.8</v>
      </c>
      <c r="D52" s="192">
        <v>0.8</v>
      </c>
      <c r="E52" s="192">
        <v>0.8</v>
      </c>
      <c r="F52" s="192">
        <v>0.8</v>
      </c>
      <c r="G52" s="192">
        <v>0.8</v>
      </c>
      <c r="H52" s="192">
        <v>0.8</v>
      </c>
      <c r="I52" s="192">
        <v>0.8</v>
      </c>
      <c r="J52" s="192">
        <v>0.8</v>
      </c>
      <c r="K52" s="192">
        <v>0.8</v>
      </c>
      <c r="L52" s="192">
        <v>0.8</v>
      </c>
      <c r="M52" s="192">
        <v>0.8</v>
      </c>
      <c r="N52" s="192">
        <v>0.8</v>
      </c>
      <c r="O52" s="192">
        <v>0.8</v>
      </c>
      <c r="P52" s="192">
        <v>0.8</v>
      </c>
      <c r="Q52" s="192">
        <v>0.8</v>
      </c>
      <c r="R52" s="192">
        <v>0.8</v>
      </c>
      <c r="S52" s="192">
        <v>0.8</v>
      </c>
      <c r="T52" s="192">
        <v>0.8</v>
      </c>
      <c r="U52" s="192">
        <v>0.8</v>
      </c>
      <c r="V52" s="192">
        <v>0.8</v>
      </c>
      <c r="W52" s="192">
        <v>0.8</v>
      </c>
      <c r="X52" s="192">
        <v>0.8</v>
      </c>
      <c r="Y52" s="192">
        <v>0.8</v>
      </c>
      <c r="Z52" s="192">
        <v>0.8</v>
      </c>
      <c r="AA52" s="192">
        <v>0.8</v>
      </c>
      <c r="AB52" s="192">
        <v>0.8</v>
      </c>
      <c r="AC52" s="192">
        <v>0.8</v>
      </c>
      <c r="AD52" s="192">
        <v>0.8</v>
      </c>
      <c r="AE52" s="192">
        <v>0.8</v>
      </c>
      <c r="AF52" s="192">
        <v>0.8</v>
      </c>
      <c r="AG52" s="192">
        <v>0.8</v>
      </c>
    </row>
    <row r="54" spans="1:33" ht="14" customHeight="1" x14ac:dyDescent="0.2"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indexed="51"/>
  </sheetPr>
  <dimension ref="A1:AG52"/>
  <sheetViews>
    <sheetView workbookViewId="0">
      <selection activeCell="B55" sqref="B55"/>
    </sheetView>
  </sheetViews>
  <sheetFormatPr baseColWidth="10" defaultRowHeight="14" customHeight="1" x14ac:dyDescent="0.2"/>
  <cols>
    <col min="1" max="1" width="12.6640625" style="110" customWidth="1"/>
    <col min="2" max="2" width="46.5" style="110" bestFit="1" customWidth="1"/>
    <col min="3" max="7" width="27.6640625" style="110" customWidth="1"/>
    <col min="8" max="16384" width="10.83203125" style="110"/>
  </cols>
  <sheetData>
    <row r="1" spans="1:33" ht="51" x14ac:dyDescent="0.2">
      <c r="A1" s="155" t="s">
        <v>84</v>
      </c>
      <c r="B1" s="159" t="s">
        <v>0</v>
      </c>
      <c r="C1" s="177" t="s">
        <v>226</v>
      </c>
      <c r="D1" s="177" t="s">
        <v>227</v>
      </c>
      <c r="E1" s="177" t="s">
        <v>228</v>
      </c>
      <c r="F1" s="157" t="s">
        <v>229</v>
      </c>
      <c r="G1" s="157" t="s">
        <v>230</v>
      </c>
      <c r="H1" s="157" t="s">
        <v>231</v>
      </c>
      <c r="I1" s="157" t="s">
        <v>232</v>
      </c>
      <c r="J1" s="156" t="s">
        <v>233</v>
      </c>
      <c r="K1" s="156" t="s">
        <v>234</v>
      </c>
      <c r="L1" s="156" t="s">
        <v>235</v>
      </c>
      <c r="M1" s="156" t="s">
        <v>236</v>
      </c>
      <c r="N1" s="156" t="s">
        <v>237</v>
      </c>
      <c r="O1" s="156" t="s">
        <v>238</v>
      </c>
      <c r="P1" s="156" t="s">
        <v>239</v>
      </c>
      <c r="Q1" s="156" t="s">
        <v>240</v>
      </c>
      <c r="R1" s="157" t="s">
        <v>241</v>
      </c>
      <c r="S1" s="157" t="s">
        <v>242</v>
      </c>
      <c r="T1" s="157" t="s">
        <v>244</v>
      </c>
      <c r="U1" s="157" t="s">
        <v>245</v>
      </c>
      <c r="V1" s="157" t="s">
        <v>246</v>
      </c>
      <c r="W1" s="157" t="s">
        <v>247</v>
      </c>
      <c r="X1" s="157" t="s">
        <v>248</v>
      </c>
      <c r="Y1" s="157" t="s">
        <v>249</v>
      </c>
      <c r="Z1" s="157" t="s">
        <v>250</v>
      </c>
      <c r="AA1" s="157" t="s">
        <v>251</v>
      </c>
      <c r="AB1" s="157" t="s">
        <v>252</v>
      </c>
      <c r="AC1" s="157" t="s">
        <v>253</v>
      </c>
      <c r="AD1" s="157" t="s">
        <v>254</v>
      </c>
      <c r="AE1" s="157" t="s">
        <v>255</v>
      </c>
      <c r="AF1" s="157" t="s">
        <v>256</v>
      </c>
      <c r="AG1" s="157" t="s">
        <v>243</v>
      </c>
    </row>
    <row r="2" spans="1:33" ht="14" customHeight="1" x14ac:dyDescent="0.2">
      <c r="A2" s="134">
        <v>1</v>
      </c>
      <c r="B2" s="184" t="s">
        <v>181</v>
      </c>
      <c r="C2" s="192">
        <v>0.8</v>
      </c>
      <c r="D2" s="192">
        <v>0.8</v>
      </c>
      <c r="E2" s="192">
        <v>0.8</v>
      </c>
      <c r="F2" s="192">
        <v>0.8</v>
      </c>
      <c r="G2" s="192">
        <v>0.8</v>
      </c>
      <c r="H2" s="192">
        <v>0.8</v>
      </c>
      <c r="I2" s="192">
        <v>0.8</v>
      </c>
      <c r="J2" s="192">
        <v>0.8</v>
      </c>
      <c r="K2" s="192">
        <v>0.8</v>
      </c>
      <c r="L2" s="192">
        <v>0.8</v>
      </c>
      <c r="M2" s="192">
        <v>0.8</v>
      </c>
      <c r="N2" s="192">
        <v>0.8</v>
      </c>
      <c r="O2" s="192">
        <v>0.8</v>
      </c>
      <c r="P2" s="192">
        <v>0.8</v>
      </c>
      <c r="Q2" s="192">
        <v>0.8</v>
      </c>
      <c r="R2" s="192">
        <v>0.8</v>
      </c>
      <c r="S2" s="192">
        <v>0.8</v>
      </c>
      <c r="T2" s="192">
        <v>0.8</v>
      </c>
      <c r="U2" s="192">
        <v>0.8</v>
      </c>
      <c r="V2" s="192">
        <v>0.8</v>
      </c>
      <c r="W2" s="192">
        <v>0.8</v>
      </c>
      <c r="X2" s="192">
        <v>0.8</v>
      </c>
      <c r="Y2" s="192">
        <v>0.8</v>
      </c>
      <c r="Z2" s="192">
        <v>0.8</v>
      </c>
      <c r="AA2" s="192">
        <v>0.8</v>
      </c>
      <c r="AB2" s="192">
        <v>0.8</v>
      </c>
      <c r="AC2" s="192">
        <v>0.8</v>
      </c>
      <c r="AD2" s="192">
        <v>0.8</v>
      </c>
      <c r="AE2" s="192">
        <v>0.8</v>
      </c>
      <c r="AF2" s="192">
        <v>0.8</v>
      </c>
      <c r="AG2" s="192">
        <v>0.8</v>
      </c>
    </row>
    <row r="3" spans="1:33" ht="14" customHeight="1" x14ac:dyDescent="0.2">
      <c r="A3" s="134">
        <v>2</v>
      </c>
      <c r="B3" s="184" t="s">
        <v>182</v>
      </c>
      <c r="C3" s="192">
        <v>0.8</v>
      </c>
      <c r="D3" s="192">
        <v>0.8</v>
      </c>
      <c r="E3" s="192">
        <v>0.8</v>
      </c>
      <c r="F3" s="192">
        <v>0.8</v>
      </c>
      <c r="G3" s="192">
        <v>0.8</v>
      </c>
      <c r="H3" s="192">
        <v>0.8</v>
      </c>
      <c r="I3" s="192">
        <v>0.8</v>
      </c>
      <c r="J3" s="192">
        <v>0.8</v>
      </c>
      <c r="K3" s="192">
        <v>0.8</v>
      </c>
      <c r="L3" s="192">
        <v>0.8</v>
      </c>
      <c r="M3" s="192">
        <v>0.8</v>
      </c>
      <c r="N3" s="192">
        <v>0.8</v>
      </c>
      <c r="O3" s="192">
        <v>0.8</v>
      </c>
      <c r="P3" s="192">
        <v>0.8</v>
      </c>
      <c r="Q3" s="192">
        <v>0.8</v>
      </c>
      <c r="R3" s="192">
        <v>0.8</v>
      </c>
      <c r="S3" s="192">
        <v>0.8</v>
      </c>
      <c r="T3" s="192">
        <v>0.8</v>
      </c>
      <c r="U3" s="192">
        <v>0.8</v>
      </c>
      <c r="V3" s="192">
        <v>0.8</v>
      </c>
      <c r="W3" s="192">
        <v>0.8</v>
      </c>
      <c r="X3" s="192">
        <v>0.8</v>
      </c>
      <c r="Y3" s="192">
        <v>0.8</v>
      </c>
      <c r="Z3" s="192">
        <v>0.8</v>
      </c>
      <c r="AA3" s="192">
        <v>0.8</v>
      </c>
      <c r="AB3" s="192">
        <v>0.8</v>
      </c>
      <c r="AC3" s="192">
        <v>0.8</v>
      </c>
      <c r="AD3" s="192">
        <v>0.8</v>
      </c>
      <c r="AE3" s="192">
        <v>0.8</v>
      </c>
      <c r="AF3" s="192">
        <v>0.8</v>
      </c>
      <c r="AG3" s="192">
        <v>0.8</v>
      </c>
    </row>
    <row r="4" spans="1:33" ht="14" customHeight="1" x14ac:dyDescent="0.2">
      <c r="A4" s="134">
        <v>3</v>
      </c>
      <c r="B4" s="184" t="s">
        <v>176</v>
      </c>
      <c r="C4" s="192">
        <v>0.8</v>
      </c>
      <c r="D4" s="192">
        <v>0.8</v>
      </c>
      <c r="E4" s="192">
        <v>0.8</v>
      </c>
      <c r="F4" s="192">
        <v>0.8</v>
      </c>
      <c r="G4" s="192">
        <v>0.8</v>
      </c>
      <c r="H4" s="192">
        <v>0.8</v>
      </c>
      <c r="I4" s="192">
        <v>0.8</v>
      </c>
      <c r="J4" s="192">
        <v>0.8</v>
      </c>
      <c r="K4" s="192">
        <v>0.8</v>
      </c>
      <c r="L4" s="192">
        <v>0.8</v>
      </c>
      <c r="M4" s="192">
        <v>0.8</v>
      </c>
      <c r="N4" s="192">
        <v>0.8</v>
      </c>
      <c r="O4" s="192">
        <v>0.8</v>
      </c>
      <c r="P4" s="192">
        <v>0.8</v>
      </c>
      <c r="Q4" s="192">
        <v>0.8</v>
      </c>
      <c r="R4" s="192">
        <v>0.8</v>
      </c>
      <c r="S4" s="192">
        <v>0.8</v>
      </c>
      <c r="T4" s="192">
        <v>0.8</v>
      </c>
      <c r="U4" s="192">
        <v>0.8</v>
      </c>
      <c r="V4" s="192">
        <v>0.8</v>
      </c>
      <c r="W4" s="192">
        <v>0.8</v>
      </c>
      <c r="X4" s="192">
        <v>0.8</v>
      </c>
      <c r="Y4" s="192">
        <v>0.8</v>
      </c>
      <c r="Z4" s="192">
        <v>0.8</v>
      </c>
      <c r="AA4" s="192">
        <v>0.8</v>
      </c>
      <c r="AB4" s="192">
        <v>0.8</v>
      </c>
      <c r="AC4" s="192">
        <v>0.8</v>
      </c>
      <c r="AD4" s="192">
        <v>0.8</v>
      </c>
      <c r="AE4" s="192">
        <v>0.8</v>
      </c>
      <c r="AF4" s="192">
        <v>0.8</v>
      </c>
      <c r="AG4" s="192">
        <v>0.8</v>
      </c>
    </row>
    <row r="5" spans="1:33" ht="14" customHeight="1" x14ac:dyDescent="0.2">
      <c r="A5" s="134">
        <v>4</v>
      </c>
      <c r="B5" s="184" t="s">
        <v>183</v>
      </c>
      <c r="C5" s="192">
        <v>0.8</v>
      </c>
      <c r="D5" s="192">
        <v>0.8</v>
      </c>
      <c r="E5" s="192">
        <v>0.8</v>
      </c>
      <c r="F5" s="192">
        <v>0.8</v>
      </c>
      <c r="G5" s="192">
        <v>0.8</v>
      </c>
      <c r="H5" s="192">
        <v>0.8</v>
      </c>
      <c r="I5" s="192">
        <v>0.8</v>
      </c>
      <c r="J5" s="192">
        <v>0.8</v>
      </c>
      <c r="K5" s="192">
        <v>0.8</v>
      </c>
      <c r="L5" s="192">
        <v>0.8</v>
      </c>
      <c r="M5" s="192">
        <v>0.8</v>
      </c>
      <c r="N5" s="192">
        <v>0.8</v>
      </c>
      <c r="O5" s="192">
        <v>0.8</v>
      </c>
      <c r="P5" s="192">
        <v>0.8</v>
      </c>
      <c r="Q5" s="192">
        <v>0.8</v>
      </c>
      <c r="R5" s="192">
        <v>0.8</v>
      </c>
      <c r="S5" s="192">
        <v>0.8</v>
      </c>
      <c r="T5" s="192">
        <v>0.8</v>
      </c>
      <c r="U5" s="192">
        <v>0.8</v>
      </c>
      <c r="V5" s="192">
        <v>0.8</v>
      </c>
      <c r="W5" s="192">
        <v>0.8</v>
      </c>
      <c r="X5" s="192">
        <v>0.8</v>
      </c>
      <c r="Y5" s="192">
        <v>0.8</v>
      </c>
      <c r="Z5" s="192">
        <v>0.8</v>
      </c>
      <c r="AA5" s="192">
        <v>0.8</v>
      </c>
      <c r="AB5" s="192">
        <v>0.8</v>
      </c>
      <c r="AC5" s="192">
        <v>0.8</v>
      </c>
      <c r="AD5" s="192">
        <v>0.8</v>
      </c>
      <c r="AE5" s="192">
        <v>0.8</v>
      </c>
      <c r="AF5" s="192">
        <v>0.8</v>
      </c>
      <c r="AG5" s="192">
        <v>0.8</v>
      </c>
    </row>
    <row r="6" spans="1:33" ht="14" customHeight="1" x14ac:dyDescent="0.2">
      <c r="A6" s="134">
        <v>5</v>
      </c>
      <c r="B6" s="184" t="s">
        <v>184</v>
      </c>
      <c r="C6" s="192">
        <v>0.8</v>
      </c>
      <c r="D6" s="192">
        <v>0.8</v>
      </c>
      <c r="E6" s="192">
        <v>0.8</v>
      </c>
      <c r="F6" s="192">
        <v>0.8</v>
      </c>
      <c r="G6" s="192">
        <v>0.8</v>
      </c>
      <c r="H6" s="192">
        <v>0.8</v>
      </c>
      <c r="I6" s="192">
        <v>0.8</v>
      </c>
      <c r="J6" s="192">
        <v>0.8</v>
      </c>
      <c r="K6" s="192">
        <v>0.8</v>
      </c>
      <c r="L6" s="192">
        <v>0.8</v>
      </c>
      <c r="M6" s="192">
        <v>0.8</v>
      </c>
      <c r="N6" s="192">
        <v>0.8</v>
      </c>
      <c r="O6" s="192">
        <v>0.8</v>
      </c>
      <c r="P6" s="192">
        <v>0.8</v>
      </c>
      <c r="Q6" s="192">
        <v>0.8</v>
      </c>
      <c r="R6" s="192">
        <v>0.8</v>
      </c>
      <c r="S6" s="192">
        <v>0.8</v>
      </c>
      <c r="T6" s="192">
        <v>0.8</v>
      </c>
      <c r="U6" s="192">
        <v>0.8</v>
      </c>
      <c r="V6" s="192">
        <v>0.8</v>
      </c>
      <c r="W6" s="192">
        <v>0.8</v>
      </c>
      <c r="X6" s="192">
        <v>0.8</v>
      </c>
      <c r="Y6" s="192">
        <v>0.8</v>
      </c>
      <c r="Z6" s="192">
        <v>0.8</v>
      </c>
      <c r="AA6" s="192">
        <v>0.8</v>
      </c>
      <c r="AB6" s="192">
        <v>0.8</v>
      </c>
      <c r="AC6" s="192">
        <v>0.8</v>
      </c>
      <c r="AD6" s="192">
        <v>0.8</v>
      </c>
      <c r="AE6" s="192">
        <v>0.8</v>
      </c>
      <c r="AF6" s="192">
        <v>0.8</v>
      </c>
      <c r="AG6" s="192">
        <v>0.8</v>
      </c>
    </row>
    <row r="7" spans="1:33" ht="14" customHeight="1" x14ac:dyDescent="0.2">
      <c r="A7" s="134">
        <v>6</v>
      </c>
      <c r="B7" s="184" t="s">
        <v>185</v>
      </c>
      <c r="C7" s="192">
        <v>0.8</v>
      </c>
      <c r="D7" s="192">
        <v>0.8</v>
      </c>
      <c r="E7" s="192">
        <v>0.8</v>
      </c>
      <c r="F7" s="192">
        <v>0.8</v>
      </c>
      <c r="G7" s="192">
        <v>0.8</v>
      </c>
      <c r="H7" s="192">
        <v>0.8</v>
      </c>
      <c r="I7" s="192">
        <v>0.8</v>
      </c>
      <c r="J7" s="192">
        <v>0.8</v>
      </c>
      <c r="K7" s="192">
        <v>0.8</v>
      </c>
      <c r="L7" s="192">
        <v>0.8</v>
      </c>
      <c r="M7" s="192">
        <v>0.8</v>
      </c>
      <c r="N7" s="192">
        <v>0.8</v>
      </c>
      <c r="O7" s="192">
        <v>0.8</v>
      </c>
      <c r="P7" s="192">
        <v>0.8</v>
      </c>
      <c r="Q7" s="192">
        <v>0.8</v>
      </c>
      <c r="R7" s="192">
        <v>0.8</v>
      </c>
      <c r="S7" s="192">
        <v>0.8</v>
      </c>
      <c r="T7" s="192">
        <v>0.8</v>
      </c>
      <c r="U7" s="192">
        <v>0.8</v>
      </c>
      <c r="V7" s="192">
        <v>0.8</v>
      </c>
      <c r="W7" s="192">
        <v>0.8</v>
      </c>
      <c r="X7" s="192">
        <v>0.8</v>
      </c>
      <c r="Y7" s="192">
        <v>0.8</v>
      </c>
      <c r="Z7" s="192">
        <v>0.8</v>
      </c>
      <c r="AA7" s="192">
        <v>0.8</v>
      </c>
      <c r="AB7" s="192">
        <v>0.8</v>
      </c>
      <c r="AC7" s="192">
        <v>0.8</v>
      </c>
      <c r="AD7" s="192">
        <v>0.8</v>
      </c>
      <c r="AE7" s="192">
        <v>0.8</v>
      </c>
      <c r="AF7" s="192">
        <v>0.8</v>
      </c>
      <c r="AG7" s="192">
        <v>0.8</v>
      </c>
    </row>
    <row r="8" spans="1:33" ht="14" customHeight="1" x14ac:dyDescent="0.2">
      <c r="A8" s="134">
        <v>7</v>
      </c>
      <c r="B8" s="184" t="s">
        <v>186</v>
      </c>
      <c r="C8" s="192">
        <v>0.8</v>
      </c>
      <c r="D8" s="192">
        <v>0.8</v>
      </c>
      <c r="E8" s="192">
        <v>0.8</v>
      </c>
      <c r="F8" s="192">
        <v>0.8</v>
      </c>
      <c r="G8" s="192">
        <v>0.8</v>
      </c>
      <c r="H8" s="192">
        <v>0.8</v>
      </c>
      <c r="I8" s="192">
        <v>0.8</v>
      </c>
      <c r="J8" s="192">
        <v>0.8</v>
      </c>
      <c r="K8" s="192">
        <v>0.8</v>
      </c>
      <c r="L8" s="192">
        <v>0.8</v>
      </c>
      <c r="M8" s="192">
        <v>0.8</v>
      </c>
      <c r="N8" s="192">
        <v>0.8</v>
      </c>
      <c r="O8" s="192">
        <v>0.8</v>
      </c>
      <c r="P8" s="192">
        <v>0.8</v>
      </c>
      <c r="Q8" s="192">
        <v>0.8</v>
      </c>
      <c r="R8" s="192">
        <v>0.8</v>
      </c>
      <c r="S8" s="192">
        <v>0.8</v>
      </c>
      <c r="T8" s="192">
        <v>0.8</v>
      </c>
      <c r="U8" s="192">
        <v>0.8</v>
      </c>
      <c r="V8" s="192">
        <v>0.8</v>
      </c>
      <c r="W8" s="192">
        <v>0.8</v>
      </c>
      <c r="X8" s="192">
        <v>0.8</v>
      </c>
      <c r="Y8" s="192">
        <v>0.8</v>
      </c>
      <c r="Z8" s="192">
        <v>0.8</v>
      </c>
      <c r="AA8" s="192">
        <v>0.8</v>
      </c>
      <c r="AB8" s="192">
        <v>0.8</v>
      </c>
      <c r="AC8" s="192">
        <v>0.8</v>
      </c>
      <c r="AD8" s="192">
        <v>0.8</v>
      </c>
      <c r="AE8" s="192">
        <v>0.8</v>
      </c>
      <c r="AF8" s="192">
        <v>0.8</v>
      </c>
      <c r="AG8" s="192">
        <v>0.8</v>
      </c>
    </row>
    <row r="9" spans="1:33" ht="14" customHeight="1" x14ac:dyDescent="0.2">
      <c r="A9" s="134">
        <v>8</v>
      </c>
      <c r="B9" s="184" t="s">
        <v>187</v>
      </c>
      <c r="C9" s="192">
        <v>0.8</v>
      </c>
      <c r="D9" s="192">
        <v>0.8</v>
      </c>
      <c r="E9" s="192">
        <v>0.8</v>
      </c>
      <c r="F9" s="192">
        <v>0.8</v>
      </c>
      <c r="G9" s="192">
        <v>0.8</v>
      </c>
      <c r="H9" s="192">
        <v>0.8</v>
      </c>
      <c r="I9" s="192">
        <v>0.8</v>
      </c>
      <c r="J9" s="192">
        <v>0.8</v>
      </c>
      <c r="K9" s="192">
        <v>0.8</v>
      </c>
      <c r="L9" s="192">
        <v>0.8</v>
      </c>
      <c r="M9" s="192">
        <v>0.8</v>
      </c>
      <c r="N9" s="192">
        <v>0.8</v>
      </c>
      <c r="O9" s="192">
        <v>0.8</v>
      </c>
      <c r="P9" s="192">
        <v>0.8</v>
      </c>
      <c r="Q9" s="192">
        <v>0.8</v>
      </c>
      <c r="R9" s="192">
        <v>0.8</v>
      </c>
      <c r="S9" s="192">
        <v>0.8</v>
      </c>
      <c r="T9" s="192">
        <v>0.8</v>
      </c>
      <c r="U9" s="192">
        <v>0.8</v>
      </c>
      <c r="V9" s="192">
        <v>0.8</v>
      </c>
      <c r="W9" s="192">
        <v>0.8</v>
      </c>
      <c r="X9" s="192">
        <v>0.8</v>
      </c>
      <c r="Y9" s="192">
        <v>0.8</v>
      </c>
      <c r="Z9" s="192">
        <v>0.8</v>
      </c>
      <c r="AA9" s="192">
        <v>0.8</v>
      </c>
      <c r="AB9" s="192">
        <v>0.8</v>
      </c>
      <c r="AC9" s="192">
        <v>0.8</v>
      </c>
      <c r="AD9" s="192">
        <v>0.8</v>
      </c>
      <c r="AE9" s="192">
        <v>0.8</v>
      </c>
      <c r="AF9" s="192">
        <v>0.8</v>
      </c>
      <c r="AG9" s="192">
        <v>0.8</v>
      </c>
    </row>
    <row r="10" spans="1:33" ht="14" customHeight="1" x14ac:dyDescent="0.2">
      <c r="A10" s="134">
        <v>9</v>
      </c>
      <c r="B10" s="184" t="s">
        <v>189</v>
      </c>
      <c r="C10" s="192">
        <v>0.8</v>
      </c>
      <c r="D10" s="192">
        <v>0.8</v>
      </c>
      <c r="E10" s="192">
        <v>0.8</v>
      </c>
      <c r="F10" s="192">
        <v>0.8</v>
      </c>
      <c r="G10" s="192">
        <v>0.8</v>
      </c>
      <c r="H10" s="192">
        <v>0.8</v>
      </c>
      <c r="I10" s="192">
        <v>0.8</v>
      </c>
      <c r="J10" s="192">
        <v>0.8</v>
      </c>
      <c r="K10" s="192">
        <v>0.8</v>
      </c>
      <c r="L10" s="192">
        <v>0.8</v>
      </c>
      <c r="M10" s="192">
        <v>0.8</v>
      </c>
      <c r="N10" s="192">
        <v>0.8</v>
      </c>
      <c r="O10" s="192">
        <v>0.8</v>
      </c>
      <c r="P10" s="192">
        <v>0.8</v>
      </c>
      <c r="Q10" s="192">
        <v>0.8</v>
      </c>
      <c r="R10" s="192">
        <v>0.8</v>
      </c>
      <c r="S10" s="192">
        <v>0.8</v>
      </c>
      <c r="T10" s="192">
        <v>0.8</v>
      </c>
      <c r="U10" s="192">
        <v>0.8</v>
      </c>
      <c r="V10" s="192">
        <v>0.8</v>
      </c>
      <c r="W10" s="192">
        <v>0.8</v>
      </c>
      <c r="X10" s="192">
        <v>0.8</v>
      </c>
      <c r="Y10" s="192">
        <v>0.8</v>
      </c>
      <c r="Z10" s="192">
        <v>0.8</v>
      </c>
      <c r="AA10" s="192">
        <v>0.8</v>
      </c>
      <c r="AB10" s="192">
        <v>0.8</v>
      </c>
      <c r="AC10" s="192">
        <v>0.8</v>
      </c>
      <c r="AD10" s="192">
        <v>0.8</v>
      </c>
      <c r="AE10" s="192">
        <v>0.8</v>
      </c>
      <c r="AF10" s="192">
        <v>0.8</v>
      </c>
      <c r="AG10" s="192">
        <v>0.8</v>
      </c>
    </row>
    <row r="11" spans="1:33" ht="14" customHeight="1" x14ac:dyDescent="0.2">
      <c r="A11" s="134">
        <v>10</v>
      </c>
      <c r="B11" s="184" t="s">
        <v>190</v>
      </c>
      <c r="C11" s="192">
        <v>0.8</v>
      </c>
      <c r="D11" s="192">
        <v>0.8</v>
      </c>
      <c r="E11" s="192">
        <v>0.8</v>
      </c>
      <c r="F11" s="192">
        <v>0.8</v>
      </c>
      <c r="G11" s="192">
        <v>0.8</v>
      </c>
      <c r="H11" s="192">
        <v>0.8</v>
      </c>
      <c r="I11" s="192">
        <v>0.8</v>
      </c>
      <c r="J11" s="192">
        <v>0.8</v>
      </c>
      <c r="K11" s="192">
        <v>0.8</v>
      </c>
      <c r="L11" s="192">
        <v>0.8</v>
      </c>
      <c r="M11" s="192">
        <v>0.8</v>
      </c>
      <c r="N11" s="192">
        <v>0.8</v>
      </c>
      <c r="O11" s="192">
        <v>0.8</v>
      </c>
      <c r="P11" s="192">
        <v>0.8</v>
      </c>
      <c r="Q11" s="192">
        <v>0.8</v>
      </c>
      <c r="R11" s="192">
        <v>0.8</v>
      </c>
      <c r="S11" s="192">
        <v>0.8</v>
      </c>
      <c r="T11" s="192">
        <v>0.8</v>
      </c>
      <c r="U11" s="192">
        <v>0.8</v>
      </c>
      <c r="V11" s="192">
        <v>0.8</v>
      </c>
      <c r="W11" s="192">
        <v>0.8</v>
      </c>
      <c r="X11" s="192">
        <v>0.8</v>
      </c>
      <c r="Y11" s="192">
        <v>0.8</v>
      </c>
      <c r="Z11" s="192">
        <v>0.8</v>
      </c>
      <c r="AA11" s="192">
        <v>0.8</v>
      </c>
      <c r="AB11" s="192">
        <v>0.8</v>
      </c>
      <c r="AC11" s="192">
        <v>0.8</v>
      </c>
      <c r="AD11" s="192">
        <v>0.8</v>
      </c>
      <c r="AE11" s="192">
        <v>0.8</v>
      </c>
      <c r="AF11" s="192">
        <v>0.8</v>
      </c>
      <c r="AG11" s="192">
        <v>0.8</v>
      </c>
    </row>
    <row r="12" spans="1:33" ht="14" customHeight="1" x14ac:dyDescent="0.2">
      <c r="A12" s="134">
        <v>11</v>
      </c>
      <c r="B12" s="184" t="s">
        <v>191</v>
      </c>
      <c r="C12" s="192">
        <v>0.8</v>
      </c>
      <c r="D12" s="192">
        <v>0.8</v>
      </c>
      <c r="E12" s="192">
        <v>0.8</v>
      </c>
      <c r="F12" s="192">
        <v>0.8</v>
      </c>
      <c r="G12" s="192">
        <v>0.8</v>
      </c>
      <c r="H12" s="192">
        <v>0.8</v>
      </c>
      <c r="I12" s="192">
        <v>0.8</v>
      </c>
      <c r="J12" s="192">
        <v>0.8</v>
      </c>
      <c r="K12" s="192">
        <v>0.8</v>
      </c>
      <c r="L12" s="192">
        <v>0.8</v>
      </c>
      <c r="M12" s="192">
        <v>0.8</v>
      </c>
      <c r="N12" s="192">
        <v>0.8</v>
      </c>
      <c r="O12" s="192">
        <v>0.8</v>
      </c>
      <c r="P12" s="192">
        <v>0.8</v>
      </c>
      <c r="Q12" s="192">
        <v>0.8</v>
      </c>
      <c r="R12" s="192">
        <v>0.8</v>
      </c>
      <c r="S12" s="192">
        <v>0.8</v>
      </c>
      <c r="T12" s="192">
        <v>0.8</v>
      </c>
      <c r="U12" s="192">
        <v>0.8</v>
      </c>
      <c r="V12" s="192">
        <v>0.8</v>
      </c>
      <c r="W12" s="192">
        <v>0.8</v>
      </c>
      <c r="X12" s="192">
        <v>0.8</v>
      </c>
      <c r="Y12" s="192">
        <v>0.8</v>
      </c>
      <c r="Z12" s="192">
        <v>0.8</v>
      </c>
      <c r="AA12" s="192">
        <v>0.8</v>
      </c>
      <c r="AB12" s="192">
        <v>0.8</v>
      </c>
      <c r="AC12" s="192">
        <v>0.8</v>
      </c>
      <c r="AD12" s="192">
        <v>0.8</v>
      </c>
      <c r="AE12" s="192">
        <v>0.8</v>
      </c>
      <c r="AF12" s="192">
        <v>0.8</v>
      </c>
      <c r="AG12" s="192">
        <v>0.8</v>
      </c>
    </row>
    <row r="13" spans="1:33" ht="14" customHeight="1" x14ac:dyDescent="0.2">
      <c r="A13" s="134">
        <v>12</v>
      </c>
      <c r="B13" s="184" t="s">
        <v>192</v>
      </c>
      <c r="C13" s="192">
        <v>0.8</v>
      </c>
      <c r="D13" s="192">
        <v>0.8</v>
      </c>
      <c r="E13" s="192">
        <v>0.8</v>
      </c>
      <c r="F13" s="192">
        <v>0.8</v>
      </c>
      <c r="G13" s="192">
        <v>0.8</v>
      </c>
      <c r="H13" s="192">
        <v>0.8</v>
      </c>
      <c r="I13" s="192">
        <v>0.8</v>
      </c>
      <c r="J13" s="192">
        <v>0.8</v>
      </c>
      <c r="K13" s="192">
        <v>0.8</v>
      </c>
      <c r="L13" s="192">
        <v>0.8</v>
      </c>
      <c r="M13" s="192">
        <v>0.8</v>
      </c>
      <c r="N13" s="192">
        <v>0.8</v>
      </c>
      <c r="O13" s="192">
        <v>0.8</v>
      </c>
      <c r="P13" s="192">
        <v>0.8</v>
      </c>
      <c r="Q13" s="192">
        <v>0.8</v>
      </c>
      <c r="R13" s="192">
        <v>0.8</v>
      </c>
      <c r="S13" s="192">
        <v>0.8</v>
      </c>
      <c r="T13" s="192">
        <v>0.8</v>
      </c>
      <c r="U13" s="192">
        <v>0.8</v>
      </c>
      <c r="V13" s="192">
        <v>0.8</v>
      </c>
      <c r="W13" s="192">
        <v>0.8</v>
      </c>
      <c r="X13" s="192">
        <v>0.8</v>
      </c>
      <c r="Y13" s="192">
        <v>0.8</v>
      </c>
      <c r="Z13" s="192">
        <v>0.8</v>
      </c>
      <c r="AA13" s="192">
        <v>0.8</v>
      </c>
      <c r="AB13" s="192">
        <v>0.8</v>
      </c>
      <c r="AC13" s="192">
        <v>0.8</v>
      </c>
      <c r="AD13" s="192">
        <v>0.8</v>
      </c>
      <c r="AE13" s="192">
        <v>0.8</v>
      </c>
      <c r="AF13" s="192">
        <v>0.8</v>
      </c>
      <c r="AG13" s="192">
        <v>0.8</v>
      </c>
    </row>
    <row r="14" spans="1:33" ht="14" customHeight="1" x14ac:dyDescent="0.2">
      <c r="A14" s="134">
        <v>13</v>
      </c>
      <c r="B14" s="184" t="s">
        <v>193</v>
      </c>
      <c r="C14" s="192">
        <v>0.8</v>
      </c>
      <c r="D14" s="192">
        <v>0.8</v>
      </c>
      <c r="E14" s="192">
        <v>0.8</v>
      </c>
      <c r="F14" s="192">
        <v>0.8</v>
      </c>
      <c r="G14" s="192">
        <v>0.8</v>
      </c>
      <c r="H14" s="192">
        <v>0.8</v>
      </c>
      <c r="I14" s="192">
        <v>0.8</v>
      </c>
      <c r="J14" s="192">
        <v>0.8</v>
      </c>
      <c r="K14" s="192">
        <v>0.8</v>
      </c>
      <c r="L14" s="192">
        <v>0.8</v>
      </c>
      <c r="M14" s="192">
        <v>0.8</v>
      </c>
      <c r="N14" s="192">
        <v>0.8</v>
      </c>
      <c r="O14" s="192">
        <v>0.8</v>
      </c>
      <c r="P14" s="192">
        <v>0.8</v>
      </c>
      <c r="Q14" s="192">
        <v>0.8</v>
      </c>
      <c r="R14" s="192">
        <v>0.8</v>
      </c>
      <c r="S14" s="192">
        <v>0.8</v>
      </c>
      <c r="T14" s="192">
        <v>0.8</v>
      </c>
      <c r="U14" s="192">
        <v>0.8</v>
      </c>
      <c r="V14" s="192">
        <v>0.8</v>
      </c>
      <c r="W14" s="192">
        <v>0.8</v>
      </c>
      <c r="X14" s="192">
        <v>0.8</v>
      </c>
      <c r="Y14" s="192">
        <v>0.8</v>
      </c>
      <c r="Z14" s="192">
        <v>0.8</v>
      </c>
      <c r="AA14" s="192">
        <v>0.8</v>
      </c>
      <c r="AB14" s="192">
        <v>0.8</v>
      </c>
      <c r="AC14" s="192">
        <v>0.8</v>
      </c>
      <c r="AD14" s="192">
        <v>0.8</v>
      </c>
      <c r="AE14" s="192">
        <v>0.8</v>
      </c>
      <c r="AF14" s="192">
        <v>0.8</v>
      </c>
      <c r="AG14" s="192">
        <v>0.8</v>
      </c>
    </row>
    <row r="15" spans="1:33" ht="14" customHeight="1" x14ac:dyDescent="0.2">
      <c r="A15" s="134">
        <v>14</v>
      </c>
      <c r="B15" s="184" t="s">
        <v>194</v>
      </c>
      <c r="C15" s="192">
        <v>0.8</v>
      </c>
      <c r="D15" s="192">
        <v>0.8</v>
      </c>
      <c r="E15" s="192">
        <v>0.8</v>
      </c>
      <c r="F15" s="192">
        <v>0.8</v>
      </c>
      <c r="G15" s="192">
        <v>0.8</v>
      </c>
      <c r="H15" s="192">
        <v>0.8</v>
      </c>
      <c r="I15" s="192">
        <v>0.8</v>
      </c>
      <c r="J15" s="192">
        <v>0.8</v>
      </c>
      <c r="K15" s="192">
        <v>0.8</v>
      </c>
      <c r="L15" s="192">
        <v>0.8</v>
      </c>
      <c r="M15" s="192">
        <v>0.8</v>
      </c>
      <c r="N15" s="192">
        <v>0.8</v>
      </c>
      <c r="O15" s="192">
        <v>0.8</v>
      </c>
      <c r="P15" s="192">
        <v>0.8</v>
      </c>
      <c r="Q15" s="192">
        <v>0.8</v>
      </c>
      <c r="R15" s="192">
        <v>0.8</v>
      </c>
      <c r="S15" s="192">
        <v>0.8</v>
      </c>
      <c r="T15" s="192">
        <v>0.8</v>
      </c>
      <c r="U15" s="192">
        <v>0.8</v>
      </c>
      <c r="V15" s="192">
        <v>0.8</v>
      </c>
      <c r="W15" s="192">
        <v>0.8</v>
      </c>
      <c r="X15" s="192">
        <v>0.8</v>
      </c>
      <c r="Y15" s="192">
        <v>0.8</v>
      </c>
      <c r="Z15" s="192">
        <v>0.8</v>
      </c>
      <c r="AA15" s="192">
        <v>0.8</v>
      </c>
      <c r="AB15" s="192">
        <v>0.8</v>
      </c>
      <c r="AC15" s="192">
        <v>0.8</v>
      </c>
      <c r="AD15" s="192">
        <v>0.8</v>
      </c>
      <c r="AE15" s="192">
        <v>0.8</v>
      </c>
      <c r="AF15" s="192">
        <v>0.8</v>
      </c>
      <c r="AG15" s="192">
        <v>0.8</v>
      </c>
    </row>
    <row r="16" spans="1:33" ht="14" customHeight="1" x14ac:dyDescent="0.2">
      <c r="A16" s="134">
        <v>15</v>
      </c>
      <c r="B16" s="184" t="s">
        <v>195</v>
      </c>
      <c r="C16" s="192">
        <v>0.8</v>
      </c>
      <c r="D16" s="192">
        <v>0.8</v>
      </c>
      <c r="E16" s="192">
        <v>0.8</v>
      </c>
      <c r="F16" s="192">
        <v>0.8</v>
      </c>
      <c r="G16" s="192">
        <v>0.8</v>
      </c>
      <c r="H16" s="192">
        <v>0.8</v>
      </c>
      <c r="I16" s="192">
        <v>0.8</v>
      </c>
      <c r="J16" s="192">
        <v>0.8</v>
      </c>
      <c r="K16" s="192">
        <v>0.8</v>
      </c>
      <c r="L16" s="192">
        <v>0.8</v>
      </c>
      <c r="M16" s="192">
        <v>0.8</v>
      </c>
      <c r="N16" s="192">
        <v>0.8</v>
      </c>
      <c r="O16" s="192">
        <v>0.8</v>
      </c>
      <c r="P16" s="192">
        <v>0.8</v>
      </c>
      <c r="Q16" s="192">
        <v>0.8</v>
      </c>
      <c r="R16" s="192">
        <v>0.8</v>
      </c>
      <c r="S16" s="192">
        <v>0.8</v>
      </c>
      <c r="T16" s="192">
        <v>0.8</v>
      </c>
      <c r="U16" s="192">
        <v>0.8</v>
      </c>
      <c r="V16" s="192">
        <v>0.8</v>
      </c>
      <c r="W16" s="192">
        <v>0.8</v>
      </c>
      <c r="X16" s="192">
        <v>0.8</v>
      </c>
      <c r="Y16" s="192">
        <v>0.8</v>
      </c>
      <c r="Z16" s="192">
        <v>0.8</v>
      </c>
      <c r="AA16" s="192">
        <v>0.8</v>
      </c>
      <c r="AB16" s="192">
        <v>0.8</v>
      </c>
      <c r="AC16" s="192">
        <v>0.8</v>
      </c>
      <c r="AD16" s="192">
        <v>0.8</v>
      </c>
      <c r="AE16" s="192">
        <v>0.8</v>
      </c>
      <c r="AF16" s="192">
        <v>0.8</v>
      </c>
      <c r="AG16" s="192">
        <v>0.8</v>
      </c>
    </row>
    <row r="17" spans="1:33" ht="14" customHeight="1" x14ac:dyDescent="0.2">
      <c r="A17" s="134">
        <v>16</v>
      </c>
      <c r="B17" s="184" t="s">
        <v>196</v>
      </c>
      <c r="C17" s="192">
        <v>0.8</v>
      </c>
      <c r="D17" s="192">
        <v>0.8</v>
      </c>
      <c r="E17" s="192">
        <v>0.8</v>
      </c>
      <c r="F17" s="192">
        <v>0.8</v>
      </c>
      <c r="G17" s="192">
        <v>0.8</v>
      </c>
      <c r="H17" s="192">
        <v>0.8</v>
      </c>
      <c r="I17" s="192">
        <v>0.8</v>
      </c>
      <c r="J17" s="192">
        <v>0.8</v>
      </c>
      <c r="K17" s="192">
        <v>0.8</v>
      </c>
      <c r="L17" s="192">
        <v>0.8</v>
      </c>
      <c r="M17" s="192">
        <v>0.8</v>
      </c>
      <c r="N17" s="192">
        <v>0.8</v>
      </c>
      <c r="O17" s="192">
        <v>0.8</v>
      </c>
      <c r="P17" s="192">
        <v>0.8</v>
      </c>
      <c r="Q17" s="192">
        <v>0.8</v>
      </c>
      <c r="R17" s="192">
        <v>0.8</v>
      </c>
      <c r="S17" s="192">
        <v>0.8</v>
      </c>
      <c r="T17" s="192">
        <v>0.8</v>
      </c>
      <c r="U17" s="192">
        <v>0.8</v>
      </c>
      <c r="V17" s="192">
        <v>0.8</v>
      </c>
      <c r="W17" s="192">
        <v>0.8</v>
      </c>
      <c r="X17" s="192">
        <v>0.8</v>
      </c>
      <c r="Y17" s="192">
        <v>0.8</v>
      </c>
      <c r="Z17" s="192">
        <v>0.8</v>
      </c>
      <c r="AA17" s="192">
        <v>0.8</v>
      </c>
      <c r="AB17" s="192">
        <v>0.8</v>
      </c>
      <c r="AC17" s="192">
        <v>0.8</v>
      </c>
      <c r="AD17" s="192">
        <v>0.8</v>
      </c>
      <c r="AE17" s="192">
        <v>0.8</v>
      </c>
      <c r="AF17" s="192">
        <v>0.8</v>
      </c>
      <c r="AG17" s="192">
        <v>0.8</v>
      </c>
    </row>
    <row r="18" spans="1:33" ht="14" customHeight="1" x14ac:dyDescent="0.2">
      <c r="A18" s="134">
        <v>17</v>
      </c>
      <c r="B18" s="184" t="s">
        <v>197</v>
      </c>
      <c r="C18" s="192">
        <v>0.8</v>
      </c>
      <c r="D18" s="192">
        <v>0.8</v>
      </c>
      <c r="E18" s="192">
        <v>0.8</v>
      </c>
      <c r="F18" s="192">
        <v>0.8</v>
      </c>
      <c r="G18" s="192">
        <v>0.8</v>
      </c>
      <c r="H18" s="192">
        <v>0.8</v>
      </c>
      <c r="I18" s="192">
        <v>0.8</v>
      </c>
      <c r="J18" s="192">
        <v>0.8</v>
      </c>
      <c r="K18" s="192">
        <v>0.8</v>
      </c>
      <c r="L18" s="192">
        <v>0.8</v>
      </c>
      <c r="M18" s="192">
        <v>0.8</v>
      </c>
      <c r="N18" s="192">
        <v>0.8</v>
      </c>
      <c r="O18" s="192">
        <v>0.8</v>
      </c>
      <c r="P18" s="192">
        <v>0.8</v>
      </c>
      <c r="Q18" s="192">
        <v>0.8</v>
      </c>
      <c r="R18" s="192">
        <v>0.8</v>
      </c>
      <c r="S18" s="192">
        <v>0.8</v>
      </c>
      <c r="T18" s="192">
        <v>0.8</v>
      </c>
      <c r="U18" s="192">
        <v>0.8</v>
      </c>
      <c r="V18" s="192">
        <v>0.8</v>
      </c>
      <c r="W18" s="192">
        <v>0.8</v>
      </c>
      <c r="X18" s="192">
        <v>0.8</v>
      </c>
      <c r="Y18" s="192">
        <v>0.8</v>
      </c>
      <c r="Z18" s="192">
        <v>0.8</v>
      </c>
      <c r="AA18" s="192">
        <v>0.8</v>
      </c>
      <c r="AB18" s="192">
        <v>0.8</v>
      </c>
      <c r="AC18" s="192">
        <v>0.8</v>
      </c>
      <c r="AD18" s="192">
        <v>0.8</v>
      </c>
      <c r="AE18" s="192">
        <v>0.8</v>
      </c>
      <c r="AF18" s="192">
        <v>0.8</v>
      </c>
      <c r="AG18" s="192">
        <v>0.8</v>
      </c>
    </row>
    <row r="19" spans="1:33" ht="14" customHeight="1" x14ac:dyDescent="0.2">
      <c r="A19" s="134">
        <v>18</v>
      </c>
      <c r="B19" s="184" t="s">
        <v>198</v>
      </c>
      <c r="C19" s="192">
        <v>0.8</v>
      </c>
      <c r="D19" s="192">
        <v>0.8</v>
      </c>
      <c r="E19" s="192">
        <v>0.8</v>
      </c>
      <c r="F19" s="192">
        <v>0.8</v>
      </c>
      <c r="G19" s="192">
        <v>0.8</v>
      </c>
      <c r="H19" s="192">
        <v>0.8</v>
      </c>
      <c r="I19" s="192">
        <v>0.8</v>
      </c>
      <c r="J19" s="192">
        <v>0.8</v>
      </c>
      <c r="K19" s="192">
        <v>0.8</v>
      </c>
      <c r="L19" s="192">
        <v>0.8</v>
      </c>
      <c r="M19" s="192">
        <v>0.8</v>
      </c>
      <c r="N19" s="192">
        <v>0.8</v>
      </c>
      <c r="O19" s="192">
        <v>0.8</v>
      </c>
      <c r="P19" s="192">
        <v>0.8</v>
      </c>
      <c r="Q19" s="192">
        <v>0.8</v>
      </c>
      <c r="R19" s="192">
        <v>0.8</v>
      </c>
      <c r="S19" s="192">
        <v>0.8</v>
      </c>
      <c r="T19" s="192">
        <v>0.8</v>
      </c>
      <c r="U19" s="192">
        <v>0.8</v>
      </c>
      <c r="V19" s="192">
        <v>0.8</v>
      </c>
      <c r="W19" s="192">
        <v>0.8</v>
      </c>
      <c r="X19" s="192">
        <v>0.8</v>
      </c>
      <c r="Y19" s="192">
        <v>0.8</v>
      </c>
      <c r="Z19" s="192">
        <v>0.8</v>
      </c>
      <c r="AA19" s="192">
        <v>0.8</v>
      </c>
      <c r="AB19" s="192">
        <v>0.8</v>
      </c>
      <c r="AC19" s="192">
        <v>0.8</v>
      </c>
      <c r="AD19" s="192">
        <v>0.8</v>
      </c>
      <c r="AE19" s="192">
        <v>0.8</v>
      </c>
      <c r="AF19" s="192">
        <v>0.8</v>
      </c>
      <c r="AG19" s="192">
        <v>0.8</v>
      </c>
    </row>
    <row r="20" spans="1:33" ht="14" customHeight="1" x14ac:dyDescent="0.2">
      <c r="A20" s="134">
        <v>19</v>
      </c>
      <c r="B20" s="184" t="s">
        <v>199</v>
      </c>
      <c r="C20" s="192">
        <v>0.8</v>
      </c>
      <c r="D20" s="192">
        <v>0.8</v>
      </c>
      <c r="E20" s="192">
        <v>0.8</v>
      </c>
      <c r="F20" s="192">
        <v>0.8</v>
      </c>
      <c r="G20" s="192">
        <v>0.8</v>
      </c>
      <c r="H20" s="192">
        <v>0.8</v>
      </c>
      <c r="I20" s="192">
        <v>0.8</v>
      </c>
      <c r="J20" s="192">
        <v>0.8</v>
      </c>
      <c r="K20" s="192">
        <v>0.8</v>
      </c>
      <c r="L20" s="192">
        <v>0.8</v>
      </c>
      <c r="M20" s="192">
        <v>0.8</v>
      </c>
      <c r="N20" s="192">
        <v>0.8</v>
      </c>
      <c r="O20" s="192">
        <v>0.8</v>
      </c>
      <c r="P20" s="192">
        <v>0.8</v>
      </c>
      <c r="Q20" s="192">
        <v>0.8</v>
      </c>
      <c r="R20" s="192">
        <v>0.8</v>
      </c>
      <c r="S20" s="192">
        <v>0.8</v>
      </c>
      <c r="T20" s="192">
        <v>0.8</v>
      </c>
      <c r="U20" s="192">
        <v>0.8</v>
      </c>
      <c r="V20" s="192">
        <v>0.8</v>
      </c>
      <c r="W20" s="192">
        <v>0.8</v>
      </c>
      <c r="X20" s="192">
        <v>0.8</v>
      </c>
      <c r="Y20" s="192">
        <v>0.8</v>
      </c>
      <c r="Z20" s="192">
        <v>0.8</v>
      </c>
      <c r="AA20" s="192">
        <v>0.8</v>
      </c>
      <c r="AB20" s="192">
        <v>0.8</v>
      </c>
      <c r="AC20" s="192">
        <v>0.8</v>
      </c>
      <c r="AD20" s="192">
        <v>0.8</v>
      </c>
      <c r="AE20" s="192">
        <v>0.8</v>
      </c>
      <c r="AF20" s="192">
        <v>0.8</v>
      </c>
      <c r="AG20" s="192">
        <v>0.8</v>
      </c>
    </row>
    <row r="21" spans="1:33" ht="14" customHeight="1" x14ac:dyDescent="0.2">
      <c r="A21" s="134">
        <v>20</v>
      </c>
      <c r="B21" s="184" t="s">
        <v>200</v>
      </c>
      <c r="C21" s="192">
        <v>0.8</v>
      </c>
      <c r="D21" s="192">
        <v>0.8</v>
      </c>
      <c r="E21" s="192">
        <v>0.8</v>
      </c>
      <c r="F21" s="192">
        <v>0.8</v>
      </c>
      <c r="G21" s="192">
        <v>0.8</v>
      </c>
      <c r="H21" s="192">
        <v>0.8</v>
      </c>
      <c r="I21" s="192">
        <v>0.8</v>
      </c>
      <c r="J21" s="192">
        <v>0.8</v>
      </c>
      <c r="K21" s="192">
        <v>0.8</v>
      </c>
      <c r="L21" s="192">
        <v>0.8</v>
      </c>
      <c r="M21" s="192">
        <v>0.8</v>
      </c>
      <c r="N21" s="192">
        <v>0.8</v>
      </c>
      <c r="O21" s="192">
        <v>0.8</v>
      </c>
      <c r="P21" s="192">
        <v>0.8</v>
      </c>
      <c r="Q21" s="192">
        <v>0.8</v>
      </c>
      <c r="R21" s="192">
        <v>0.8</v>
      </c>
      <c r="S21" s="192">
        <v>0.8</v>
      </c>
      <c r="T21" s="192">
        <v>0.8</v>
      </c>
      <c r="U21" s="192">
        <v>0.8</v>
      </c>
      <c r="V21" s="192">
        <v>0.8</v>
      </c>
      <c r="W21" s="192">
        <v>0.8</v>
      </c>
      <c r="X21" s="192">
        <v>0.8</v>
      </c>
      <c r="Y21" s="192">
        <v>0.8</v>
      </c>
      <c r="Z21" s="192">
        <v>0.8</v>
      </c>
      <c r="AA21" s="192">
        <v>0.8</v>
      </c>
      <c r="AB21" s="192">
        <v>0.8</v>
      </c>
      <c r="AC21" s="192">
        <v>0.8</v>
      </c>
      <c r="AD21" s="192">
        <v>0.8</v>
      </c>
      <c r="AE21" s="192">
        <v>0.8</v>
      </c>
      <c r="AF21" s="192">
        <v>0.8</v>
      </c>
      <c r="AG21" s="192">
        <v>0.8</v>
      </c>
    </row>
    <row r="22" spans="1:33" ht="14" customHeight="1" x14ac:dyDescent="0.2">
      <c r="A22" s="134">
        <v>21</v>
      </c>
      <c r="B22" s="184" t="s">
        <v>201</v>
      </c>
      <c r="C22" s="192">
        <v>0.8</v>
      </c>
      <c r="D22" s="192">
        <v>0.8</v>
      </c>
      <c r="E22" s="192">
        <v>0.8</v>
      </c>
      <c r="F22" s="192">
        <v>0.8</v>
      </c>
      <c r="G22" s="192">
        <v>0.8</v>
      </c>
      <c r="H22" s="192">
        <v>0.8</v>
      </c>
      <c r="I22" s="192">
        <v>0.8</v>
      </c>
      <c r="J22" s="192">
        <v>0.8</v>
      </c>
      <c r="K22" s="192">
        <v>0.8</v>
      </c>
      <c r="L22" s="192">
        <v>0.8</v>
      </c>
      <c r="M22" s="192">
        <v>0.8</v>
      </c>
      <c r="N22" s="192">
        <v>0.8</v>
      </c>
      <c r="O22" s="192">
        <v>0.8</v>
      </c>
      <c r="P22" s="192">
        <v>0.8</v>
      </c>
      <c r="Q22" s="192">
        <v>0.8</v>
      </c>
      <c r="R22" s="192">
        <v>0.8</v>
      </c>
      <c r="S22" s="192">
        <v>0.8</v>
      </c>
      <c r="T22" s="192">
        <v>0.8</v>
      </c>
      <c r="U22" s="192">
        <v>0.8</v>
      </c>
      <c r="V22" s="192">
        <v>0.8</v>
      </c>
      <c r="W22" s="192">
        <v>0.8</v>
      </c>
      <c r="X22" s="192">
        <v>0.8</v>
      </c>
      <c r="Y22" s="192">
        <v>0.8</v>
      </c>
      <c r="Z22" s="192">
        <v>0.8</v>
      </c>
      <c r="AA22" s="192">
        <v>0.8</v>
      </c>
      <c r="AB22" s="192">
        <v>0.8</v>
      </c>
      <c r="AC22" s="192">
        <v>0.8</v>
      </c>
      <c r="AD22" s="192">
        <v>0.8</v>
      </c>
      <c r="AE22" s="192">
        <v>0.8</v>
      </c>
      <c r="AF22" s="192">
        <v>0.8</v>
      </c>
      <c r="AG22" s="192">
        <v>0.8</v>
      </c>
    </row>
    <row r="23" spans="1:33" ht="14" customHeight="1" x14ac:dyDescent="0.2">
      <c r="A23" s="134">
        <v>22</v>
      </c>
      <c r="B23" s="184" t="s">
        <v>202</v>
      </c>
      <c r="C23" s="192">
        <v>0.8</v>
      </c>
      <c r="D23" s="192">
        <v>0.8</v>
      </c>
      <c r="E23" s="192">
        <v>0.8</v>
      </c>
      <c r="F23" s="192">
        <v>0.8</v>
      </c>
      <c r="G23" s="192">
        <v>0.8</v>
      </c>
      <c r="H23" s="192">
        <v>0.8</v>
      </c>
      <c r="I23" s="192">
        <v>0.8</v>
      </c>
      <c r="J23" s="192">
        <v>0.8</v>
      </c>
      <c r="K23" s="192">
        <v>0.8</v>
      </c>
      <c r="L23" s="192">
        <v>0.8</v>
      </c>
      <c r="M23" s="192">
        <v>0.8</v>
      </c>
      <c r="N23" s="192">
        <v>0.8</v>
      </c>
      <c r="O23" s="192">
        <v>0.8</v>
      </c>
      <c r="P23" s="192">
        <v>0.8</v>
      </c>
      <c r="Q23" s="192">
        <v>0.8</v>
      </c>
      <c r="R23" s="192">
        <v>0.8</v>
      </c>
      <c r="S23" s="192">
        <v>0.8</v>
      </c>
      <c r="T23" s="192">
        <v>0.8</v>
      </c>
      <c r="U23" s="192">
        <v>0.8</v>
      </c>
      <c r="V23" s="192">
        <v>0.8</v>
      </c>
      <c r="W23" s="192">
        <v>0.8</v>
      </c>
      <c r="X23" s="192">
        <v>0.8</v>
      </c>
      <c r="Y23" s="192">
        <v>0.8</v>
      </c>
      <c r="Z23" s="192">
        <v>0.8</v>
      </c>
      <c r="AA23" s="192">
        <v>0.8</v>
      </c>
      <c r="AB23" s="192">
        <v>0.8</v>
      </c>
      <c r="AC23" s="192">
        <v>0.8</v>
      </c>
      <c r="AD23" s="192">
        <v>0.8</v>
      </c>
      <c r="AE23" s="192">
        <v>0.8</v>
      </c>
      <c r="AF23" s="192">
        <v>0.8</v>
      </c>
      <c r="AG23" s="192">
        <v>0.8</v>
      </c>
    </row>
    <row r="24" spans="1:33" ht="14" customHeight="1" x14ac:dyDescent="0.2">
      <c r="A24" s="134">
        <v>23</v>
      </c>
      <c r="B24" s="184" t="s">
        <v>203</v>
      </c>
      <c r="C24" s="192">
        <v>0.8</v>
      </c>
      <c r="D24" s="192">
        <v>0.8</v>
      </c>
      <c r="E24" s="192">
        <v>0.8</v>
      </c>
      <c r="F24" s="192">
        <v>0.8</v>
      </c>
      <c r="G24" s="192">
        <v>0.8</v>
      </c>
      <c r="H24" s="192">
        <v>0.8</v>
      </c>
      <c r="I24" s="192">
        <v>0.8</v>
      </c>
      <c r="J24" s="192">
        <v>0.8</v>
      </c>
      <c r="K24" s="192">
        <v>0.8</v>
      </c>
      <c r="L24" s="192">
        <v>0.8</v>
      </c>
      <c r="M24" s="192">
        <v>0.8</v>
      </c>
      <c r="N24" s="192">
        <v>0.8</v>
      </c>
      <c r="O24" s="192">
        <v>0.8</v>
      </c>
      <c r="P24" s="192">
        <v>0.8</v>
      </c>
      <c r="Q24" s="192">
        <v>0.8</v>
      </c>
      <c r="R24" s="192">
        <v>0.8</v>
      </c>
      <c r="S24" s="192">
        <v>0.8</v>
      </c>
      <c r="T24" s="192">
        <v>0.8</v>
      </c>
      <c r="U24" s="192">
        <v>0.8</v>
      </c>
      <c r="V24" s="192">
        <v>0.8</v>
      </c>
      <c r="W24" s="192">
        <v>0.8</v>
      </c>
      <c r="X24" s="192">
        <v>0.8</v>
      </c>
      <c r="Y24" s="192">
        <v>0.8</v>
      </c>
      <c r="Z24" s="192">
        <v>0.8</v>
      </c>
      <c r="AA24" s="192">
        <v>0.8</v>
      </c>
      <c r="AB24" s="192">
        <v>0.8</v>
      </c>
      <c r="AC24" s="192">
        <v>0.8</v>
      </c>
      <c r="AD24" s="192">
        <v>0.8</v>
      </c>
      <c r="AE24" s="192">
        <v>0.8</v>
      </c>
      <c r="AF24" s="192">
        <v>0.8</v>
      </c>
      <c r="AG24" s="192">
        <v>0.8</v>
      </c>
    </row>
    <row r="25" spans="1:33" ht="14" customHeight="1" x14ac:dyDescent="0.2">
      <c r="A25" s="134">
        <v>24</v>
      </c>
      <c r="B25" s="184" t="s">
        <v>204</v>
      </c>
      <c r="C25" s="192">
        <v>0.8</v>
      </c>
      <c r="D25" s="192">
        <v>0.8</v>
      </c>
      <c r="E25" s="192">
        <v>0.8</v>
      </c>
      <c r="F25" s="192">
        <v>0.8</v>
      </c>
      <c r="G25" s="192">
        <v>0.8</v>
      </c>
      <c r="H25" s="192">
        <v>0.8</v>
      </c>
      <c r="I25" s="192">
        <v>0.8</v>
      </c>
      <c r="J25" s="192">
        <v>0.8</v>
      </c>
      <c r="K25" s="192">
        <v>0.8</v>
      </c>
      <c r="L25" s="192">
        <v>0.8</v>
      </c>
      <c r="M25" s="192">
        <v>0.8</v>
      </c>
      <c r="N25" s="192">
        <v>0.8</v>
      </c>
      <c r="O25" s="192">
        <v>0.8</v>
      </c>
      <c r="P25" s="192">
        <v>0.8</v>
      </c>
      <c r="Q25" s="192">
        <v>0.8</v>
      </c>
      <c r="R25" s="192">
        <v>0.8</v>
      </c>
      <c r="S25" s="192">
        <v>0.8</v>
      </c>
      <c r="T25" s="192">
        <v>0.8</v>
      </c>
      <c r="U25" s="192">
        <v>0.8</v>
      </c>
      <c r="V25" s="192">
        <v>0.8</v>
      </c>
      <c r="W25" s="192">
        <v>0.8</v>
      </c>
      <c r="X25" s="192">
        <v>0.8</v>
      </c>
      <c r="Y25" s="192">
        <v>0.8</v>
      </c>
      <c r="Z25" s="192">
        <v>0.8</v>
      </c>
      <c r="AA25" s="192">
        <v>0.8</v>
      </c>
      <c r="AB25" s="192">
        <v>0.8</v>
      </c>
      <c r="AC25" s="192">
        <v>0.8</v>
      </c>
      <c r="AD25" s="192">
        <v>0.8</v>
      </c>
      <c r="AE25" s="192">
        <v>0.8</v>
      </c>
      <c r="AF25" s="192">
        <v>0.8</v>
      </c>
      <c r="AG25" s="192">
        <v>0.8</v>
      </c>
    </row>
    <row r="26" spans="1:33" ht="14" customHeight="1" x14ac:dyDescent="0.2">
      <c r="A26" s="134">
        <v>25</v>
      </c>
      <c r="B26" s="184" t="s">
        <v>205</v>
      </c>
      <c r="C26" s="192">
        <v>0.8</v>
      </c>
      <c r="D26" s="192">
        <v>0.8</v>
      </c>
      <c r="E26" s="192">
        <v>0.8</v>
      </c>
      <c r="F26" s="192">
        <v>0.8</v>
      </c>
      <c r="G26" s="192">
        <v>0.8</v>
      </c>
      <c r="H26" s="192">
        <v>0.8</v>
      </c>
      <c r="I26" s="192">
        <v>0.8</v>
      </c>
      <c r="J26" s="192">
        <v>0.8</v>
      </c>
      <c r="K26" s="192">
        <v>0.8</v>
      </c>
      <c r="L26" s="192">
        <v>0.8</v>
      </c>
      <c r="M26" s="192">
        <v>0.8</v>
      </c>
      <c r="N26" s="192">
        <v>0.8</v>
      </c>
      <c r="O26" s="192">
        <v>0.8</v>
      </c>
      <c r="P26" s="192">
        <v>0.8</v>
      </c>
      <c r="Q26" s="192">
        <v>0.8</v>
      </c>
      <c r="R26" s="192">
        <v>0.8</v>
      </c>
      <c r="S26" s="192">
        <v>0.8</v>
      </c>
      <c r="T26" s="192">
        <v>0.8</v>
      </c>
      <c r="U26" s="192">
        <v>0.8</v>
      </c>
      <c r="V26" s="192">
        <v>0.8</v>
      </c>
      <c r="W26" s="192">
        <v>0.8</v>
      </c>
      <c r="X26" s="192">
        <v>0.8</v>
      </c>
      <c r="Y26" s="192">
        <v>0.8</v>
      </c>
      <c r="Z26" s="192">
        <v>0.8</v>
      </c>
      <c r="AA26" s="192">
        <v>0.8</v>
      </c>
      <c r="AB26" s="192">
        <v>0.8</v>
      </c>
      <c r="AC26" s="192">
        <v>0.8</v>
      </c>
      <c r="AD26" s="192">
        <v>0.8</v>
      </c>
      <c r="AE26" s="192">
        <v>0.8</v>
      </c>
      <c r="AF26" s="192">
        <v>0.8</v>
      </c>
      <c r="AG26" s="192">
        <v>0.8</v>
      </c>
    </row>
    <row r="27" spans="1:33" ht="14" customHeight="1" x14ac:dyDescent="0.2">
      <c r="A27" s="134">
        <v>26</v>
      </c>
      <c r="B27" s="184" t="s">
        <v>206</v>
      </c>
      <c r="C27" s="192">
        <v>0.8</v>
      </c>
      <c r="D27" s="192">
        <v>0.8</v>
      </c>
      <c r="E27" s="192">
        <v>0.8</v>
      </c>
      <c r="F27" s="192">
        <v>0.8</v>
      </c>
      <c r="G27" s="192">
        <v>0.8</v>
      </c>
      <c r="H27" s="192">
        <v>0.8</v>
      </c>
      <c r="I27" s="192">
        <v>0.8</v>
      </c>
      <c r="J27" s="192">
        <v>0.8</v>
      </c>
      <c r="K27" s="192">
        <v>0.8</v>
      </c>
      <c r="L27" s="192">
        <v>0.8</v>
      </c>
      <c r="M27" s="192">
        <v>0.8</v>
      </c>
      <c r="N27" s="192">
        <v>0.8</v>
      </c>
      <c r="O27" s="192">
        <v>0.8</v>
      </c>
      <c r="P27" s="192">
        <v>0.8</v>
      </c>
      <c r="Q27" s="192">
        <v>0.8</v>
      </c>
      <c r="R27" s="192">
        <v>0.8</v>
      </c>
      <c r="S27" s="192">
        <v>0.8</v>
      </c>
      <c r="T27" s="192">
        <v>0.8</v>
      </c>
      <c r="U27" s="192">
        <v>0.8</v>
      </c>
      <c r="V27" s="192">
        <v>0.8</v>
      </c>
      <c r="W27" s="192">
        <v>0.8</v>
      </c>
      <c r="X27" s="192">
        <v>0.8</v>
      </c>
      <c r="Y27" s="192">
        <v>0.8</v>
      </c>
      <c r="Z27" s="192">
        <v>0.8</v>
      </c>
      <c r="AA27" s="192">
        <v>0.8</v>
      </c>
      <c r="AB27" s="192">
        <v>0.8</v>
      </c>
      <c r="AC27" s="192">
        <v>0.8</v>
      </c>
      <c r="AD27" s="192">
        <v>0.8</v>
      </c>
      <c r="AE27" s="192">
        <v>0.8</v>
      </c>
      <c r="AF27" s="192">
        <v>0.8</v>
      </c>
      <c r="AG27" s="192">
        <v>0.8</v>
      </c>
    </row>
    <row r="28" spans="1:33" ht="14" customHeight="1" x14ac:dyDescent="0.2">
      <c r="A28" s="134">
        <v>27</v>
      </c>
      <c r="B28" s="184" t="s">
        <v>207</v>
      </c>
      <c r="C28" s="192">
        <v>0.8</v>
      </c>
      <c r="D28" s="192">
        <v>0.8</v>
      </c>
      <c r="E28" s="192">
        <v>0.8</v>
      </c>
      <c r="F28" s="192">
        <v>0.8</v>
      </c>
      <c r="G28" s="192">
        <v>0.8</v>
      </c>
      <c r="H28" s="192">
        <v>0.8</v>
      </c>
      <c r="I28" s="192">
        <v>0.8</v>
      </c>
      <c r="J28" s="192">
        <v>0.8</v>
      </c>
      <c r="K28" s="192">
        <v>0.8</v>
      </c>
      <c r="L28" s="192">
        <v>0.8</v>
      </c>
      <c r="M28" s="192">
        <v>0.8</v>
      </c>
      <c r="N28" s="192">
        <v>0.8</v>
      </c>
      <c r="O28" s="192">
        <v>0.8</v>
      </c>
      <c r="P28" s="192">
        <v>0.8</v>
      </c>
      <c r="Q28" s="192">
        <v>0.8</v>
      </c>
      <c r="R28" s="192">
        <v>0.8</v>
      </c>
      <c r="S28" s="192">
        <v>0.8</v>
      </c>
      <c r="T28" s="192">
        <v>0.8</v>
      </c>
      <c r="U28" s="192">
        <v>0.8</v>
      </c>
      <c r="V28" s="192">
        <v>0.8</v>
      </c>
      <c r="W28" s="192">
        <v>0.8</v>
      </c>
      <c r="X28" s="192">
        <v>0.8</v>
      </c>
      <c r="Y28" s="192">
        <v>0.8</v>
      </c>
      <c r="Z28" s="192">
        <v>0.8</v>
      </c>
      <c r="AA28" s="192">
        <v>0.8</v>
      </c>
      <c r="AB28" s="192">
        <v>0.8</v>
      </c>
      <c r="AC28" s="192">
        <v>0.8</v>
      </c>
      <c r="AD28" s="192">
        <v>0.8</v>
      </c>
      <c r="AE28" s="192">
        <v>0.8</v>
      </c>
      <c r="AF28" s="192">
        <v>0.8</v>
      </c>
      <c r="AG28" s="192">
        <v>0.8</v>
      </c>
    </row>
    <row r="29" spans="1:33" ht="14" customHeight="1" x14ac:dyDescent="0.2">
      <c r="A29" s="134">
        <v>28</v>
      </c>
      <c r="B29" s="184" t="s">
        <v>257</v>
      </c>
      <c r="C29" s="192">
        <v>0.8</v>
      </c>
      <c r="D29" s="192">
        <v>0.8</v>
      </c>
      <c r="E29" s="192">
        <v>0.8</v>
      </c>
      <c r="F29" s="192">
        <v>0.8</v>
      </c>
      <c r="G29" s="192">
        <v>0.8</v>
      </c>
      <c r="H29" s="192">
        <v>0.8</v>
      </c>
      <c r="I29" s="192">
        <v>0.8</v>
      </c>
      <c r="J29" s="192">
        <v>0.8</v>
      </c>
      <c r="K29" s="192">
        <v>0.8</v>
      </c>
      <c r="L29" s="192">
        <v>0.8</v>
      </c>
      <c r="M29" s="192">
        <v>0.8</v>
      </c>
      <c r="N29" s="192">
        <v>0.8</v>
      </c>
      <c r="O29" s="192">
        <v>0.8</v>
      </c>
      <c r="P29" s="192">
        <v>0.8</v>
      </c>
      <c r="Q29" s="192">
        <v>0.8</v>
      </c>
      <c r="R29" s="192">
        <v>0.8</v>
      </c>
      <c r="S29" s="192">
        <v>0.8</v>
      </c>
      <c r="T29" s="192">
        <v>0.8</v>
      </c>
      <c r="U29" s="192">
        <v>0.8</v>
      </c>
      <c r="V29" s="192">
        <v>0.8</v>
      </c>
      <c r="W29" s="192">
        <v>0.8</v>
      </c>
      <c r="X29" s="192">
        <v>0.8</v>
      </c>
      <c r="Y29" s="192">
        <v>0.8</v>
      </c>
      <c r="Z29" s="192">
        <v>0.8</v>
      </c>
      <c r="AA29" s="192">
        <v>0.8</v>
      </c>
      <c r="AB29" s="192">
        <v>0.8</v>
      </c>
      <c r="AC29" s="192">
        <v>0.8</v>
      </c>
      <c r="AD29" s="192">
        <v>0.8</v>
      </c>
      <c r="AE29" s="192">
        <v>0.8</v>
      </c>
      <c r="AF29" s="192">
        <v>0.8</v>
      </c>
      <c r="AG29" s="192">
        <v>0.8</v>
      </c>
    </row>
    <row r="30" spans="1:33" ht="14" customHeight="1" x14ac:dyDescent="0.2">
      <c r="A30" s="134">
        <v>29</v>
      </c>
      <c r="B30" s="184" t="s">
        <v>258</v>
      </c>
      <c r="C30" s="192">
        <v>0.8</v>
      </c>
      <c r="D30" s="192">
        <v>0.8</v>
      </c>
      <c r="E30" s="192">
        <v>0.8</v>
      </c>
      <c r="F30" s="192">
        <v>0.8</v>
      </c>
      <c r="G30" s="192">
        <v>0.8</v>
      </c>
      <c r="H30" s="192">
        <v>0.8</v>
      </c>
      <c r="I30" s="192">
        <v>0.8</v>
      </c>
      <c r="J30" s="192">
        <v>0.8</v>
      </c>
      <c r="K30" s="192">
        <v>0.8</v>
      </c>
      <c r="L30" s="192">
        <v>0.8</v>
      </c>
      <c r="M30" s="192">
        <v>0.8</v>
      </c>
      <c r="N30" s="192">
        <v>0.8</v>
      </c>
      <c r="O30" s="192">
        <v>0.8</v>
      </c>
      <c r="P30" s="192">
        <v>0.8</v>
      </c>
      <c r="Q30" s="192">
        <v>0.8</v>
      </c>
      <c r="R30" s="192">
        <v>0.8</v>
      </c>
      <c r="S30" s="192">
        <v>0.8</v>
      </c>
      <c r="T30" s="192">
        <v>0.8</v>
      </c>
      <c r="U30" s="192">
        <v>0.8</v>
      </c>
      <c r="V30" s="192">
        <v>0.8</v>
      </c>
      <c r="W30" s="192">
        <v>0.8</v>
      </c>
      <c r="X30" s="192">
        <v>0.8</v>
      </c>
      <c r="Y30" s="192">
        <v>0.8</v>
      </c>
      <c r="Z30" s="192">
        <v>0.8</v>
      </c>
      <c r="AA30" s="192">
        <v>0.8</v>
      </c>
      <c r="AB30" s="192">
        <v>0.8</v>
      </c>
      <c r="AC30" s="192">
        <v>0.8</v>
      </c>
      <c r="AD30" s="192">
        <v>0.8</v>
      </c>
      <c r="AE30" s="192">
        <v>0.8</v>
      </c>
      <c r="AF30" s="192">
        <v>0.8</v>
      </c>
      <c r="AG30" s="192">
        <v>0.8</v>
      </c>
    </row>
    <row r="31" spans="1:33" ht="14" customHeight="1" x14ac:dyDescent="0.2">
      <c r="A31" s="134">
        <v>30</v>
      </c>
      <c r="B31" s="184" t="s">
        <v>259</v>
      </c>
      <c r="C31" s="192">
        <v>0.8</v>
      </c>
      <c r="D31" s="192">
        <v>0.8</v>
      </c>
      <c r="E31" s="192">
        <v>0.8</v>
      </c>
      <c r="F31" s="192">
        <v>0.8</v>
      </c>
      <c r="G31" s="192">
        <v>0.8</v>
      </c>
      <c r="H31" s="192">
        <v>0.8</v>
      </c>
      <c r="I31" s="192">
        <v>0.8</v>
      </c>
      <c r="J31" s="192">
        <v>0.8</v>
      </c>
      <c r="K31" s="192">
        <v>0.8</v>
      </c>
      <c r="L31" s="192">
        <v>0.8</v>
      </c>
      <c r="M31" s="192">
        <v>0.8</v>
      </c>
      <c r="N31" s="192">
        <v>0.8</v>
      </c>
      <c r="O31" s="192">
        <v>0.8</v>
      </c>
      <c r="P31" s="192">
        <v>0.8</v>
      </c>
      <c r="Q31" s="192">
        <v>0.8</v>
      </c>
      <c r="R31" s="192">
        <v>0.8</v>
      </c>
      <c r="S31" s="192">
        <v>0.8</v>
      </c>
      <c r="T31" s="192">
        <v>0.8</v>
      </c>
      <c r="U31" s="192">
        <v>0.8</v>
      </c>
      <c r="V31" s="192">
        <v>0.8</v>
      </c>
      <c r="W31" s="192">
        <v>0.8</v>
      </c>
      <c r="X31" s="192">
        <v>0.8</v>
      </c>
      <c r="Y31" s="192">
        <v>0.8</v>
      </c>
      <c r="Z31" s="192">
        <v>0.8</v>
      </c>
      <c r="AA31" s="192">
        <v>0.8</v>
      </c>
      <c r="AB31" s="192">
        <v>0.8</v>
      </c>
      <c r="AC31" s="192">
        <v>0.8</v>
      </c>
      <c r="AD31" s="192">
        <v>0.8</v>
      </c>
      <c r="AE31" s="192">
        <v>0.8</v>
      </c>
      <c r="AF31" s="192">
        <v>0.8</v>
      </c>
      <c r="AG31" s="192">
        <v>0.8</v>
      </c>
    </row>
    <row r="32" spans="1:33" ht="14" customHeight="1" x14ac:dyDescent="0.2">
      <c r="A32" s="134">
        <v>31</v>
      </c>
      <c r="B32" s="184" t="s">
        <v>260</v>
      </c>
      <c r="C32" s="192">
        <v>0.8</v>
      </c>
      <c r="D32" s="192">
        <v>0.8</v>
      </c>
      <c r="E32" s="192">
        <v>0.8</v>
      </c>
      <c r="F32" s="192">
        <v>0.8</v>
      </c>
      <c r="G32" s="192">
        <v>0.8</v>
      </c>
      <c r="H32" s="192">
        <v>0.8</v>
      </c>
      <c r="I32" s="192">
        <v>0.8</v>
      </c>
      <c r="J32" s="192">
        <v>0.8</v>
      </c>
      <c r="K32" s="192">
        <v>0.8</v>
      </c>
      <c r="L32" s="192">
        <v>0.8</v>
      </c>
      <c r="M32" s="192">
        <v>0.8</v>
      </c>
      <c r="N32" s="192">
        <v>0.8</v>
      </c>
      <c r="O32" s="192">
        <v>0.8</v>
      </c>
      <c r="P32" s="192">
        <v>0.8</v>
      </c>
      <c r="Q32" s="192">
        <v>0.8</v>
      </c>
      <c r="R32" s="192">
        <v>0.8</v>
      </c>
      <c r="S32" s="192">
        <v>0.8</v>
      </c>
      <c r="T32" s="192">
        <v>0.8</v>
      </c>
      <c r="U32" s="192">
        <v>0.8</v>
      </c>
      <c r="V32" s="192">
        <v>0.8</v>
      </c>
      <c r="W32" s="192">
        <v>0.8</v>
      </c>
      <c r="X32" s="192">
        <v>0.8</v>
      </c>
      <c r="Y32" s="192">
        <v>0.8</v>
      </c>
      <c r="Z32" s="192">
        <v>0.8</v>
      </c>
      <c r="AA32" s="192">
        <v>0.8</v>
      </c>
      <c r="AB32" s="192">
        <v>0.8</v>
      </c>
      <c r="AC32" s="192">
        <v>0.8</v>
      </c>
      <c r="AD32" s="192">
        <v>0.8</v>
      </c>
      <c r="AE32" s="192">
        <v>0.8</v>
      </c>
      <c r="AF32" s="192">
        <v>0.8</v>
      </c>
      <c r="AG32" s="192">
        <v>0.8</v>
      </c>
    </row>
    <row r="33" spans="1:33" ht="14" customHeight="1" x14ac:dyDescent="0.2">
      <c r="A33" s="134">
        <v>32</v>
      </c>
      <c r="B33" s="184" t="s">
        <v>208</v>
      </c>
      <c r="C33" s="192">
        <v>0.8</v>
      </c>
      <c r="D33" s="192">
        <v>0.8</v>
      </c>
      <c r="E33" s="192">
        <v>0.8</v>
      </c>
      <c r="F33" s="192">
        <v>0.8</v>
      </c>
      <c r="G33" s="192">
        <v>0.8</v>
      </c>
      <c r="H33" s="192">
        <v>0.8</v>
      </c>
      <c r="I33" s="192">
        <v>0.8</v>
      </c>
      <c r="J33" s="192">
        <v>0.8</v>
      </c>
      <c r="K33" s="192">
        <v>0.8</v>
      </c>
      <c r="L33" s="192">
        <v>0.8</v>
      </c>
      <c r="M33" s="192">
        <v>0.8</v>
      </c>
      <c r="N33" s="192">
        <v>0.8</v>
      </c>
      <c r="O33" s="192">
        <v>0.8</v>
      </c>
      <c r="P33" s="192">
        <v>0.8</v>
      </c>
      <c r="Q33" s="192">
        <v>0.8</v>
      </c>
      <c r="R33" s="192">
        <v>0.8</v>
      </c>
      <c r="S33" s="192">
        <v>0.8</v>
      </c>
      <c r="T33" s="192">
        <v>0.8</v>
      </c>
      <c r="U33" s="192">
        <v>0.8</v>
      </c>
      <c r="V33" s="192">
        <v>0.8</v>
      </c>
      <c r="W33" s="192">
        <v>0.8</v>
      </c>
      <c r="X33" s="192">
        <v>0.8</v>
      </c>
      <c r="Y33" s="192">
        <v>0.8</v>
      </c>
      <c r="Z33" s="192">
        <v>0.8</v>
      </c>
      <c r="AA33" s="192">
        <v>0.8</v>
      </c>
      <c r="AB33" s="192">
        <v>0.8</v>
      </c>
      <c r="AC33" s="192">
        <v>0.8</v>
      </c>
      <c r="AD33" s="192">
        <v>0.8</v>
      </c>
      <c r="AE33" s="192">
        <v>0.8</v>
      </c>
      <c r="AF33" s="192">
        <v>0.8</v>
      </c>
      <c r="AG33" s="192">
        <v>0.8</v>
      </c>
    </row>
    <row r="34" spans="1:33" ht="14" customHeight="1" x14ac:dyDescent="0.2">
      <c r="A34" s="134">
        <v>33</v>
      </c>
      <c r="B34" s="184" t="s">
        <v>209</v>
      </c>
      <c r="C34" s="192">
        <v>0.8</v>
      </c>
      <c r="D34" s="192">
        <v>0.8</v>
      </c>
      <c r="E34" s="192">
        <v>0.8</v>
      </c>
      <c r="F34" s="192">
        <v>0.8</v>
      </c>
      <c r="G34" s="192">
        <v>0.8</v>
      </c>
      <c r="H34" s="192">
        <v>0.8</v>
      </c>
      <c r="I34" s="192">
        <v>0.8</v>
      </c>
      <c r="J34" s="192">
        <v>0.8</v>
      </c>
      <c r="K34" s="192">
        <v>0.8</v>
      </c>
      <c r="L34" s="192">
        <v>0.8</v>
      </c>
      <c r="M34" s="192">
        <v>0.8</v>
      </c>
      <c r="N34" s="192">
        <v>0.8</v>
      </c>
      <c r="O34" s="192">
        <v>0.8</v>
      </c>
      <c r="P34" s="192">
        <v>0.8</v>
      </c>
      <c r="Q34" s="192">
        <v>0.8</v>
      </c>
      <c r="R34" s="192">
        <v>0.8</v>
      </c>
      <c r="S34" s="192">
        <v>0.8</v>
      </c>
      <c r="T34" s="192">
        <v>0.8</v>
      </c>
      <c r="U34" s="192">
        <v>0.8</v>
      </c>
      <c r="V34" s="192">
        <v>0.8</v>
      </c>
      <c r="W34" s="192">
        <v>0.8</v>
      </c>
      <c r="X34" s="192">
        <v>0.8</v>
      </c>
      <c r="Y34" s="192">
        <v>0.8</v>
      </c>
      <c r="Z34" s="192">
        <v>0.8</v>
      </c>
      <c r="AA34" s="192">
        <v>0.8</v>
      </c>
      <c r="AB34" s="192">
        <v>0.8</v>
      </c>
      <c r="AC34" s="192">
        <v>0.8</v>
      </c>
      <c r="AD34" s="192">
        <v>0.8</v>
      </c>
      <c r="AE34" s="192">
        <v>0.8</v>
      </c>
      <c r="AF34" s="192">
        <v>0.8</v>
      </c>
      <c r="AG34" s="192">
        <v>0.8</v>
      </c>
    </row>
    <row r="35" spans="1:33" ht="14" customHeight="1" x14ac:dyDescent="0.2">
      <c r="A35" s="134">
        <v>34</v>
      </c>
      <c r="B35" s="184" t="s">
        <v>210</v>
      </c>
      <c r="C35" s="192">
        <v>0.8</v>
      </c>
      <c r="D35" s="192">
        <v>0.8</v>
      </c>
      <c r="E35" s="192">
        <v>0.8</v>
      </c>
      <c r="F35" s="192">
        <v>0.8</v>
      </c>
      <c r="G35" s="192">
        <v>0.8</v>
      </c>
      <c r="H35" s="192">
        <v>0.8</v>
      </c>
      <c r="I35" s="192">
        <v>0.8</v>
      </c>
      <c r="J35" s="192">
        <v>0.8</v>
      </c>
      <c r="K35" s="192">
        <v>0.8</v>
      </c>
      <c r="L35" s="192">
        <v>0.8</v>
      </c>
      <c r="M35" s="192">
        <v>0.8</v>
      </c>
      <c r="N35" s="192">
        <v>0.8</v>
      </c>
      <c r="O35" s="192">
        <v>0.8</v>
      </c>
      <c r="P35" s="192">
        <v>0.8</v>
      </c>
      <c r="Q35" s="192">
        <v>0.8</v>
      </c>
      <c r="R35" s="192">
        <v>0.8</v>
      </c>
      <c r="S35" s="192">
        <v>0.8</v>
      </c>
      <c r="T35" s="192">
        <v>0.8</v>
      </c>
      <c r="U35" s="192">
        <v>0.8</v>
      </c>
      <c r="V35" s="192">
        <v>0.8</v>
      </c>
      <c r="W35" s="192">
        <v>0.8</v>
      </c>
      <c r="X35" s="192">
        <v>0.8</v>
      </c>
      <c r="Y35" s="192">
        <v>0.8</v>
      </c>
      <c r="Z35" s="192">
        <v>0.8</v>
      </c>
      <c r="AA35" s="192">
        <v>0.8</v>
      </c>
      <c r="AB35" s="192">
        <v>0.8</v>
      </c>
      <c r="AC35" s="192">
        <v>0.8</v>
      </c>
      <c r="AD35" s="192">
        <v>0.8</v>
      </c>
      <c r="AE35" s="192">
        <v>0.8</v>
      </c>
      <c r="AF35" s="192">
        <v>0.8</v>
      </c>
      <c r="AG35" s="192">
        <v>0.8</v>
      </c>
    </row>
    <row r="36" spans="1:33" ht="14" customHeight="1" x14ac:dyDescent="0.2">
      <c r="A36" s="134">
        <v>35</v>
      </c>
      <c r="B36" s="184" t="s">
        <v>211</v>
      </c>
      <c r="C36" s="192">
        <v>0.8</v>
      </c>
      <c r="D36" s="192">
        <v>0.8</v>
      </c>
      <c r="E36" s="192">
        <v>0.8</v>
      </c>
      <c r="F36" s="192">
        <v>0.8</v>
      </c>
      <c r="G36" s="192">
        <v>0.8</v>
      </c>
      <c r="H36" s="192">
        <v>0.8</v>
      </c>
      <c r="I36" s="192">
        <v>0.8</v>
      </c>
      <c r="J36" s="192">
        <v>0.8</v>
      </c>
      <c r="K36" s="192">
        <v>0.8</v>
      </c>
      <c r="L36" s="192">
        <v>0.8</v>
      </c>
      <c r="M36" s="192">
        <v>0.8</v>
      </c>
      <c r="N36" s="192">
        <v>0.8</v>
      </c>
      <c r="O36" s="192">
        <v>0.8</v>
      </c>
      <c r="P36" s="192">
        <v>0.8</v>
      </c>
      <c r="Q36" s="192">
        <v>0.8</v>
      </c>
      <c r="R36" s="192">
        <v>0.8</v>
      </c>
      <c r="S36" s="192">
        <v>0.8</v>
      </c>
      <c r="T36" s="192">
        <v>0.8</v>
      </c>
      <c r="U36" s="192">
        <v>0.8</v>
      </c>
      <c r="V36" s="192">
        <v>0.8</v>
      </c>
      <c r="W36" s="192">
        <v>0.8</v>
      </c>
      <c r="X36" s="192">
        <v>0.8</v>
      </c>
      <c r="Y36" s="192">
        <v>0.8</v>
      </c>
      <c r="Z36" s="192">
        <v>0.8</v>
      </c>
      <c r="AA36" s="192">
        <v>0.8</v>
      </c>
      <c r="AB36" s="192">
        <v>0.8</v>
      </c>
      <c r="AC36" s="192">
        <v>0.8</v>
      </c>
      <c r="AD36" s="192">
        <v>0.8</v>
      </c>
      <c r="AE36" s="192">
        <v>0.8</v>
      </c>
      <c r="AF36" s="192">
        <v>0.8</v>
      </c>
      <c r="AG36" s="192">
        <v>0.8</v>
      </c>
    </row>
    <row r="37" spans="1:33" ht="14" customHeight="1" x14ac:dyDescent="0.2">
      <c r="A37" s="134">
        <v>36</v>
      </c>
      <c r="B37" s="184" t="s">
        <v>212</v>
      </c>
      <c r="C37" s="192">
        <v>0.8</v>
      </c>
      <c r="D37" s="192">
        <v>0.8</v>
      </c>
      <c r="E37" s="192">
        <v>0.8</v>
      </c>
      <c r="F37" s="192">
        <v>0.8</v>
      </c>
      <c r="G37" s="192">
        <v>0.8</v>
      </c>
      <c r="H37" s="192">
        <v>0.8</v>
      </c>
      <c r="I37" s="192">
        <v>0.8</v>
      </c>
      <c r="J37" s="192">
        <v>0.8</v>
      </c>
      <c r="K37" s="192">
        <v>0.8</v>
      </c>
      <c r="L37" s="192">
        <v>0.8</v>
      </c>
      <c r="M37" s="192">
        <v>0.8</v>
      </c>
      <c r="N37" s="192">
        <v>0.8</v>
      </c>
      <c r="O37" s="192">
        <v>0.8</v>
      </c>
      <c r="P37" s="192">
        <v>0.8</v>
      </c>
      <c r="Q37" s="192">
        <v>0.8</v>
      </c>
      <c r="R37" s="192">
        <v>0.8</v>
      </c>
      <c r="S37" s="192">
        <v>0.8</v>
      </c>
      <c r="T37" s="192">
        <v>0.8</v>
      </c>
      <c r="U37" s="192">
        <v>0.8</v>
      </c>
      <c r="V37" s="192">
        <v>0.8</v>
      </c>
      <c r="W37" s="192">
        <v>0.8</v>
      </c>
      <c r="X37" s="192">
        <v>0.8</v>
      </c>
      <c r="Y37" s="192">
        <v>0.8</v>
      </c>
      <c r="Z37" s="192">
        <v>0.8</v>
      </c>
      <c r="AA37" s="192">
        <v>0.8</v>
      </c>
      <c r="AB37" s="192">
        <v>0.8</v>
      </c>
      <c r="AC37" s="192">
        <v>0.8</v>
      </c>
      <c r="AD37" s="192">
        <v>0.8</v>
      </c>
      <c r="AE37" s="192">
        <v>0.8</v>
      </c>
      <c r="AF37" s="192">
        <v>0.8</v>
      </c>
      <c r="AG37" s="192">
        <v>0.8</v>
      </c>
    </row>
    <row r="38" spans="1:33" ht="14" customHeight="1" x14ac:dyDescent="0.2">
      <c r="A38" s="134">
        <v>37</v>
      </c>
      <c r="B38" s="184" t="s">
        <v>213</v>
      </c>
      <c r="C38" s="192">
        <v>0.8</v>
      </c>
      <c r="D38" s="192">
        <v>0.8</v>
      </c>
      <c r="E38" s="192">
        <v>0.8</v>
      </c>
      <c r="F38" s="192">
        <v>0.8</v>
      </c>
      <c r="G38" s="192">
        <v>0.8</v>
      </c>
      <c r="H38" s="192">
        <v>0.8</v>
      </c>
      <c r="I38" s="192">
        <v>0.8</v>
      </c>
      <c r="J38" s="192">
        <v>0.8</v>
      </c>
      <c r="K38" s="192">
        <v>0.8</v>
      </c>
      <c r="L38" s="192">
        <v>0.8</v>
      </c>
      <c r="M38" s="192">
        <v>0.8</v>
      </c>
      <c r="N38" s="192">
        <v>0.8</v>
      </c>
      <c r="O38" s="192">
        <v>0.8</v>
      </c>
      <c r="P38" s="192">
        <v>0.8</v>
      </c>
      <c r="Q38" s="192">
        <v>0.8</v>
      </c>
      <c r="R38" s="192">
        <v>0.8</v>
      </c>
      <c r="S38" s="192">
        <v>0.8</v>
      </c>
      <c r="T38" s="192">
        <v>0.8</v>
      </c>
      <c r="U38" s="192">
        <v>0.8</v>
      </c>
      <c r="V38" s="192">
        <v>0.8</v>
      </c>
      <c r="W38" s="192">
        <v>0.8</v>
      </c>
      <c r="X38" s="192">
        <v>0.8</v>
      </c>
      <c r="Y38" s="192">
        <v>0.8</v>
      </c>
      <c r="Z38" s="192">
        <v>0.8</v>
      </c>
      <c r="AA38" s="192">
        <v>0.8</v>
      </c>
      <c r="AB38" s="192">
        <v>0.8</v>
      </c>
      <c r="AC38" s="192">
        <v>0.8</v>
      </c>
      <c r="AD38" s="192">
        <v>0.8</v>
      </c>
      <c r="AE38" s="192">
        <v>0.8</v>
      </c>
      <c r="AF38" s="192">
        <v>0.8</v>
      </c>
      <c r="AG38" s="192">
        <v>0.8</v>
      </c>
    </row>
    <row r="39" spans="1:33" ht="14" customHeight="1" x14ac:dyDescent="0.2">
      <c r="A39" s="134">
        <v>38</v>
      </c>
      <c r="B39" s="184" t="s">
        <v>214</v>
      </c>
      <c r="C39" s="192">
        <v>0.8</v>
      </c>
      <c r="D39" s="192">
        <v>0.8</v>
      </c>
      <c r="E39" s="192">
        <v>0.8</v>
      </c>
      <c r="F39" s="192">
        <v>0.8</v>
      </c>
      <c r="G39" s="192">
        <v>0.8</v>
      </c>
      <c r="H39" s="192">
        <v>0.8</v>
      </c>
      <c r="I39" s="192">
        <v>0.8</v>
      </c>
      <c r="J39" s="192">
        <v>0.8</v>
      </c>
      <c r="K39" s="192">
        <v>0.8</v>
      </c>
      <c r="L39" s="192">
        <v>0.8</v>
      </c>
      <c r="M39" s="192">
        <v>0.8</v>
      </c>
      <c r="N39" s="192">
        <v>0.8</v>
      </c>
      <c r="O39" s="192">
        <v>0.8</v>
      </c>
      <c r="P39" s="192">
        <v>0.8</v>
      </c>
      <c r="Q39" s="192">
        <v>0.8</v>
      </c>
      <c r="R39" s="192">
        <v>0.8</v>
      </c>
      <c r="S39" s="192">
        <v>0.8</v>
      </c>
      <c r="T39" s="192">
        <v>0.8</v>
      </c>
      <c r="U39" s="192">
        <v>0.8</v>
      </c>
      <c r="V39" s="192">
        <v>0.8</v>
      </c>
      <c r="W39" s="192">
        <v>0.8</v>
      </c>
      <c r="X39" s="192">
        <v>0.8</v>
      </c>
      <c r="Y39" s="192">
        <v>0.8</v>
      </c>
      <c r="Z39" s="192">
        <v>0.8</v>
      </c>
      <c r="AA39" s="192">
        <v>0.8</v>
      </c>
      <c r="AB39" s="192">
        <v>0.8</v>
      </c>
      <c r="AC39" s="192">
        <v>0.8</v>
      </c>
      <c r="AD39" s="192">
        <v>0.8</v>
      </c>
      <c r="AE39" s="192">
        <v>0.8</v>
      </c>
      <c r="AF39" s="192">
        <v>0.8</v>
      </c>
      <c r="AG39" s="192">
        <v>0.8</v>
      </c>
    </row>
    <row r="40" spans="1:33" ht="14" customHeight="1" x14ac:dyDescent="0.2">
      <c r="A40" s="134">
        <v>39</v>
      </c>
      <c r="B40" s="184" t="s">
        <v>215</v>
      </c>
      <c r="C40" s="192">
        <v>0.8</v>
      </c>
      <c r="D40" s="192">
        <v>0.8</v>
      </c>
      <c r="E40" s="192">
        <v>0.8</v>
      </c>
      <c r="F40" s="192">
        <v>0.8</v>
      </c>
      <c r="G40" s="192">
        <v>0.8</v>
      </c>
      <c r="H40" s="192">
        <v>0.8</v>
      </c>
      <c r="I40" s="192">
        <v>0.8</v>
      </c>
      <c r="J40" s="192">
        <v>0.8</v>
      </c>
      <c r="K40" s="192">
        <v>0.8</v>
      </c>
      <c r="L40" s="192">
        <v>0.8</v>
      </c>
      <c r="M40" s="192">
        <v>0.8</v>
      </c>
      <c r="N40" s="192">
        <v>0.8</v>
      </c>
      <c r="O40" s="192">
        <v>0.8</v>
      </c>
      <c r="P40" s="192">
        <v>0.8</v>
      </c>
      <c r="Q40" s="192">
        <v>0.8</v>
      </c>
      <c r="R40" s="192">
        <v>0.8</v>
      </c>
      <c r="S40" s="192">
        <v>0.8</v>
      </c>
      <c r="T40" s="192">
        <v>0.8</v>
      </c>
      <c r="U40" s="192">
        <v>0.8</v>
      </c>
      <c r="V40" s="192">
        <v>0.8</v>
      </c>
      <c r="W40" s="192">
        <v>0.8</v>
      </c>
      <c r="X40" s="192">
        <v>0.8</v>
      </c>
      <c r="Y40" s="192">
        <v>0.8</v>
      </c>
      <c r="Z40" s="192">
        <v>0.8</v>
      </c>
      <c r="AA40" s="192">
        <v>0.8</v>
      </c>
      <c r="AB40" s="192">
        <v>0.8</v>
      </c>
      <c r="AC40" s="192">
        <v>0.8</v>
      </c>
      <c r="AD40" s="192">
        <v>0.8</v>
      </c>
      <c r="AE40" s="192">
        <v>0.8</v>
      </c>
      <c r="AF40" s="192">
        <v>0.8</v>
      </c>
      <c r="AG40" s="192">
        <v>0.8</v>
      </c>
    </row>
    <row r="41" spans="1:33" ht="14" customHeight="1" x14ac:dyDescent="0.2">
      <c r="A41" s="134">
        <v>40</v>
      </c>
      <c r="B41" s="184" t="s">
        <v>216</v>
      </c>
      <c r="C41" s="192">
        <v>0.8</v>
      </c>
      <c r="D41" s="192">
        <v>0.8</v>
      </c>
      <c r="E41" s="192">
        <v>0.8</v>
      </c>
      <c r="F41" s="192">
        <v>0.8</v>
      </c>
      <c r="G41" s="192">
        <v>0.8</v>
      </c>
      <c r="H41" s="192">
        <v>0.8</v>
      </c>
      <c r="I41" s="192">
        <v>0.8</v>
      </c>
      <c r="J41" s="192">
        <v>0.8</v>
      </c>
      <c r="K41" s="192">
        <v>0.8</v>
      </c>
      <c r="L41" s="192">
        <v>0.8</v>
      </c>
      <c r="M41" s="192">
        <v>0.8</v>
      </c>
      <c r="N41" s="192">
        <v>0.8</v>
      </c>
      <c r="O41" s="192">
        <v>0.8</v>
      </c>
      <c r="P41" s="192">
        <v>0.8</v>
      </c>
      <c r="Q41" s="192">
        <v>0.8</v>
      </c>
      <c r="R41" s="192">
        <v>0.8</v>
      </c>
      <c r="S41" s="192">
        <v>0.8</v>
      </c>
      <c r="T41" s="192">
        <v>0.8</v>
      </c>
      <c r="U41" s="192">
        <v>0.8</v>
      </c>
      <c r="V41" s="192">
        <v>0.8</v>
      </c>
      <c r="W41" s="192">
        <v>0.8</v>
      </c>
      <c r="X41" s="192">
        <v>0.8</v>
      </c>
      <c r="Y41" s="192">
        <v>0.8</v>
      </c>
      <c r="Z41" s="192">
        <v>0.8</v>
      </c>
      <c r="AA41" s="192">
        <v>0.8</v>
      </c>
      <c r="AB41" s="192">
        <v>0.8</v>
      </c>
      <c r="AC41" s="192">
        <v>0.8</v>
      </c>
      <c r="AD41" s="192">
        <v>0.8</v>
      </c>
      <c r="AE41" s="192">
        <v>0.8</v>
      </c>
      <c r="AF41" s="192">
        <v>0.8</v>
      </c>
      <c r="AG41" s="192">
        <v>0.8</v>
      </c>
    </row>
    <row r="42" spans="1:33" ht="14" customHeight="1" x14ac:dyDescent="0.2">
      <c r="A42" s="134">
        <v>41</v>
      </c>
      <c r="B42" s="184" t="s">
        <v>217</v>
      </c>
      <c r="C42" s="192">
        <v>0.8</v>
      </c>
      <c r="D42" s="192">
        <v>0.8</v>
      </c>
      <c r="E42" s="192">
        <v>0.8</v>
      </c>
      <c r="F42" s="192">
        <v>0.8</v>
      </c>
      <c r="G42" s="192">
        <v>0.8</v>
      </c>
      <c r="H42" s="192">
        <v>0.8</v>
      </c>
      <c r="I42" s="192">
        <v>0.8</v>
      </c>
      <c r="J42" s="192">
        <v>0.8</v>
      </c>
      <c r="K42" s="192">
        <v>0.8</v>
      </c>
      <c r="L42" s="192">
        <v>0.8</v>
      </c>
      <c r="M42" s="192">
        <v>0.8</v>
      </c>
      <c r="N42" s="192">
        <v>0.8</v>
      </c>
      <c r="O42" s="192">
        <v>0.8</v>
      </c>
      <c r="P42" s="192">
        <v>0.8</v>
      </c>
      <c r="Q42" s="192">
        <v>0.8</v>
      </c>
      <c r="R42" s="192">
        <v>0.8</v>
      </c>
      <c r="S42" s="192">
        <v>0.8</v>
      </c>
      <c r="T42" s="192">
        <v>0.8</v>
      </c>
      <c r="U42" s="192">
        <v>0.8</v>
      </c>
      <c r="V42" s="192">
        <v>0.8</v>
      </c>
      <c r="W42" s="192">
        <v>0.8</v>
      </c>
      <c r="X42" s="192">
        <v>0.8</v>
      </c>
      <c r="Y42" s="192">
        <v>0.8</v>
      </c>
      <c r="Z42" s="192">
        <v>0.8</v>
      </c>
      <c r="AA42" s="192">
        <v>0.8</v>
      </c>
      <c r="AB42" s="192">
        <v>0.8</v>
      </c>
      <c r="AC42" s="192">
        <v>0.8</v>
      </c>
      <c r="AD42" s="192">
        <v>0.8</v>
      </c>
      <c r="AE42" s="192">
        <v>0.8</v>
      </c>
      <c r="AF42" s="192">
        <v>0.8</v>
      </c>
      <c r="AG42" s="192">
        <v>0.8</v>
      </c>
    </row>
    <row r="43" spans="1:33" ht="14" customHeight="1" x14ac:dyDescent="0.2">
      <c r="A43" s="134">
        <v>42</v>
      </c>
      <c r="B43" s="184" t="s">
        <v>218</v>
      </c>
      <c r="C43" s="192">
        <v>0.8</v>
      </c>
      <c r="D43" s="192">
        <v>0.8</v>
      </c>
      <c r="E43" s="192">
        <v>0.8</v>
      </c>
      <c r="F43" s="192">
        <v>0.8</v>
      </c>
      <c r="G43" s="192">
        <v>0.8</v>
      </c>
      <c r="H43" s="192">
        <v>0.8</v>
      </c>
      <c r="I43" s="192">
        <v>0.8</v>
      </c>
      <c r="J43" s="192">
        <v>0.8</v>
      </c>
      <c r="K43" s="192">
        <v>0.8</v>
      </c>
      <c r="L43" s="192">
        <v>0.8</v>
      </c>
      <c r="M43" s="192">
        <v>0.8</v>
      </c>
      <c r="N43" s="192">
        <v>0.8</v>
      </c>
      <c r="O43" s="192">
        <v>0.8</v>
      </c>
      <c r="P43" s="192">
        <v>0.8</v>
      </c>
      <c r="Q43" s="192">
        <v>0.8</v>
      </c>
      <c r="R43" s="192">
        <v>0.8</v>
      </c>
      <c r="S43" s="192">
        <v>0.8</v>
      </c>
      <c r="T43" s="192">
        <v>0.8</v>
      </c>
      <c r="U43" s="192">
        <v>0.8</v>
      </c>
      <c r="V43" s="192">
        <v>0.8</v>
      </c>
      <c r="W43" s="192">
        <v>0.8</v>
      </c>
      <c r="X43" s="192">
        <v>0.8</v>
      </c>
      <c r="Y43" s="192">
        <v>0.8</v>
      </c>
      <c r="Z43" s="192">
        <v>0.8</v>
      </c>
      <c r="AA43" s="192">
        <v>0.8</v>
      </c>
      <c r="AB43" s="192">
        <v>0.8</v>
      </c>
      <c r="AC43" s="192">
        <v>0.8</v>
      </c>
      <c r="AD43" s="192">
        <v>0.8</v>
      </c>
      <c r="AE43" s="192">
        <v>0.8</v>
      </c>
      <c r="AF43" s="192">
        <v>0.8</v>
      </c>
      <c r="AG43" s="192">
        <v>0.8</v>
      </c>
    </row>
    <row r="44" spans="1:33" ht="14" customHeight="1" x14ac:dyDescent="0.2">
      <c r="A44" s="134">
        <v>43</v>
      </c>
      <c r="B44" s="184" t="s">
        <v>219</v>
      </c>
      <c r="C44" s="192">
        <v>0.8</v>
      </c>
      <c r="D44" s="192">
        <v>0.8</v>
      </c>
      <c r="E44" s="192">
        <v>0.8</v>
      </c>
      <c r="F44" s="192">
        <v>0.8</v>
      </c>
      <c r="G44" s="192">
        <v>0.8</v>
      </c>
      <c r="H44" s="192">
        <v>0.8</v>
      </c>
      <c r="I44" s="192">
        <v>0.8</v>
      </c>
      <c r="J44" s="192">
        <v>0.8</v>
      </c>
      <c r="K44" s="192">
        <v>0.8</v>
      </c>
      <c r="L44" s="192">
        <v>0.8</v>
      </c>
      <c r="M44" s="192">
        <v>0.8</v>
      </c>
      <c r="N44" s="192">
        <v>0.8</v>
      </c>
      <c r="O44" s="192">
        <v>0.8</v>
      </c>
      <c r="P44" s="192">
        <v>0.8</v>
      </c>
      <c r="Q44" s="192">
        <v>0.8</v>
      </c>
      <c r="R44" s="192">
        <v>0.8</v>
      </c>
      <c r="S44" s="192">
        <v>0.8</v>
      </c>
      <c r="T44" s="192">
        <v>0.8</v>
      </c>
      <c r="U44" s="192">
        <v>0.8</v>
      </c>
      <c r="V44" s="192">
        <v>0.8</v>
      </c>
      <c r="W44" s="192">
        <v>0.8</v>
      </c>
      <c r="X44" s="192">
        <v>0.8</v>
      </c>
      <c r="Y44" s="192">
        <v>0.8</v>
      </c>
      <c r="Z44" s="192">
        <v>0.8</v>
      </c>
      <c r="AA44" s="192">
        <v>0.8</v>
      </c>
      <c r="AB44" s="192">
        <v>0.8</v>
      </c>
      <c r="AC44" s="192">
        <v>0.8</v>
      </c>
      <c r="AD44" s="192">
        <v>0.8</v>
      </c>
      <c r="AE44" s="192">
        <v>0.8</v>
      </c>
      <c r="AF44" s="192">
        <v>0.8</v>
      </c>
      <c r="AG44" s="192">
        <v>0.8</v>
      </c>
    </row>
    <row r="45" spans="1:33" ht="14" customHeight="1" x14ac:dyDescent="0.2">
      <c r="A45" s="134">
        <v>44</v>
      </c>
      <c r="B45" s="184" t="s">
        <v>220</v>
      </c>
      <c r="C45" s="192">
        <v>0.8</v>
      </c>
      <c r="D45" s="192">
        <v>0.8</v>
      </c>
      <c r="E45" s="192">
        <v>0.8</v>
      </c>
      <c r="F45" s="192">
        <v>0.8</v>
      </c>
      <c r="G45" s="192">
        <v>0.8</v>
      </c>
      <c r="H45" s="192">
        <v>0.8</v>
      </c>
      <c r="I45" s="192">
        <v>0.8</v>
      </c>
      <c r="J45" s="192">
        <v>0.8</v>
      </c>
      <c r="K45" s="192">
        <v>0.8</v>
      </c>
      <c r="L45" s="192">
        <v>0.8</v>
      </c>
      <c r="M45" s="192">
        <v>0.8</v>
      </c>
      <c r="N45" s="192">
        <v>0.8</v>
      </c>
      <c r="O45" s="192">
        <v>0.8</v>
      </c>
      <c r="P45" s="192">
        <v>0.8</v>
      </c>
      <c r="Q45" s="192">
        <v>0.8</v>
      </c>
      <c r="R45" s="192">
        <v>0.8</v>
      </c>
      <c r="S45" s="192">
        <v>0.8</v>
      </c>
      <c r="T45" s="192">
        <v>0.8</v>
      </c>
      <c r="U45" s="192">
        <v>0.8</v>
      </c>
      <c r="V45" s="192">
        <v>0.8</v>
      </c>
      <c r="W45" s="192">
        <v>0.8</v>
      </c>
      <c r="X45" s="192">
        <v>0.8</v>
      </c>
      <c r="Y45" s="192">
        <v>0.8</v>
      </c>
      <c r="Z45" s="192">
        <v>0.8</v>
      </c>
      <c r="AA45" s="192">
        <v>0.8</v>
      </c>
      <c r="AB45" s="192">
        <v>0.8</v>
      </c>
      <c r="AC45" s="192">
        <v>0.8</v>
      </c>
      <c r="AD45" s="192">
        <v>0.8</v>
      </c>
      <c r="AE45" s="192">
        <v>0.8</v>
      </c>
      <c r="AF45" s="192">
        <v>0.8</v>
      </c>
      <c r="AG45" s="192">
        <v>0.8</v>
      </c>
    </row>
    <row r="46" spans="1:33" ht="14" customHeight="1" x14ac:dyDescent="0.2">
      <c r="A46" s="134">
        <v>45</v>
      </c>
      <c r="B46" s="184" t="s">
        <v>221</v>
      </c>
      <c r="C46" s="192">
        <v>0.8</v>
      </c>
      <c r="D46" s="192">
        <v>0.8</v>
      </c>
      <c r="E46" s="192">
        <v>0.8</v>
      </c>
      <c r="F46" s="192">
        <v>0.8</v>
      </c>
      <c r="G46" s="192">
        <v>0.8</v>
      </c>
      <c r="H46" s="192">
        <v>0.8</v>
      </c>
      <c r="I46" s="192">
        <v>0.8</v>
      </c>
      <c r="J46" s="192">
        <v>0.8</v>
      </c>
      <c r="K46" s="192">
        <v>0.8</v>
      </c>
      <c r="L46" s="192">
        <v>0.8</v>
      </c>
      <c r="M46" s="192">
        <v>0.8</v>
      </c>
      <c r="N46" s="192">
        <v>0.8</v>
      </c>
      <c r="O46" s="192">
        <v>0.8</v>
      </c>
      <c r="P46" s="192">
        <v>0.8</v>
      </c>
      <c r="Q46" s="192">
        <v>0.8</v>
      </c>
      <c r="R46" s="192">
        <v>0.8</v>
      </c>
      <c r="S46" s="192">
        <v>0.8</v>
      </c>
      <c r="T46" s="192">
        <v>0.8</v>
      </c>
      <c r="U46" s="192">
        <v>0.8</v>
      </c>
      <c r="V46" s="192">
        <v>0.8</v>
      </c>
      <c r="W46" s="192">
        <v>0.8</v>
      </c>
      <c r="X46" s="192">
        <v>0.8</v>
      </c>
      <c r="Y46" s="192">
        <v>0.8</v>
      </c>
      <c r="Z46" s="192">
        <v>0.8</v>
      </c>
      <c r="AA46" s="192">
        <v>0.8</v>
      </c>
      <c r="AB46" s="192">
        <v>0.8</v>
      </c>
      <c r="AC46" s="192">
        <v>0.8</v>
      </c>
      <c r="AD46" s="192">
        <v>0.8</v>
      </c>
      <c r="AE46" s="192">
        <v>0.8</v>
      </c>
      <c r="AF46" s="192">
        <v>0.8</v>
      </c>
      <c r="AG46" s="192">
        <v>0.8</v>
      </c>
    </row>
    <row r="47" spans="1:33" ht="14" customHeight="1" x14ac:dyDescent="0.2">
      <c r="A47" s="134">
        <v>46</v>
      </c>
      <c r="B47" s="184" t="s">
        <v>222</v>
      </c>
      <c r="C47" s="192">
        <v>0.8</v>
      </c>
      <c r="D47" s="192">
        <v>0.8</v>
      </c>
      <c r="E47" s="192">
        <v>0.8</v>
      </c>
      <c r="F47" s="192">
        <v>0.8</v>
      </c>
      <c r="G47" s="192">
        <v>0.8</v>
      </c>
      <c r="H47" s="192">
        <v>0.8</v>
      </c>
      <c r="I47" s="192">
        <v>0.8</v>
      </c>
      <c r="J47" s="192">
        <v>0.8</v>
      </c>
      <c r="K47" s="192">
        <v>0.8</v>
      </c>
      <c r="L47" s="192">
        <v>0.8</v>
      </c>
      <c r="M47" s="192">
        <v>0.8</v>
      </c>
      <c r="N47" s="192">
        <v>0.8</v>
      </c>
      <c r="O47" s="192">
        <v>0.8</v>
      </c>
      <c r="P47" s="192">
        <v>0.8</v>
      </c>
      <c r="Q47" s="192">
        <v>0.8</v>
      </c>
      <c r="R47" s="192">
        <v>0.8</v>
      </c>
      <c r="S47" s="192">
        <v>0.8</v>
      </c>
      <c r="T47" s="192">
        <v>0.8</v>
      </c>
      <c r="U47" s="192">
        <v>0.8</v>
      </c>
      <c r="V47" s="192">
        <v>0.8</v>
      </c>
      <c r="W47" s="192">
        <v>0.8</v>
      </c>
      <c r="X47" s="192">
        <v>0.8</v>
      </c>
      <c r="Y47" s="192">
        <v>0.8</v>
      </c>
      <c r="Z47" s="192">
        <v>0.8</v>
      </c>
      <c r="AA47" s="192">
        <v>0.8</v>
      </c>
      <c r="AB47" s="192">
        <v>0.8</v>
      </c>
      <c r="AC47" s="192">
        <v>0.8</v>
      </c>
      <c r="AD47" s="192">
        <v>0.8</v>
      </c>
      <c r="AE47" s="192">
        <v>0.8</v>
      </c>
      <c r="AF47" s="192">
        <v>0.8</v>
      </c>
      <c r="AG47" s="192">
        <v>0.8</v>
      </c>
    </row>
    <row r="48" spans="1:33" ht="14" customHeight="1" x14ac:dyDescent="0.2">
      <c r="A48" s="134">
        <v>47</v>
      </c>
      <c r="B48" s="184" t="s">
        <v>223</v>
      </c>
      <c r="C48" s="192">
        <v>0.8</v>
      </c>
      <c r="D48" s="192">
        <v>0.8</v>
      </c>
      <c r="E48" s="192">
        <v>0.8</v>
      </c>
      <c r="F48" s="192">
        <v>0.8</v>
      </c>
      <c r="G48" s="192">
        <v>0.8</v>
      </c>
      <c r="H48" s="192">
        <v>0.8</v>
      </c>
      <c r="I48" s="192">
        <v>0.8</v>
      </c>
      <c r="J48" s="192">
        <v>0.8</v>
      </c>
      <c r="K48" s="192">
        <v>0.8</v>
      </c>
      <c r="L48" s="192">
        <v>0.8</v>
      </c>
      <c r="M48" s="192">
        <v>0.8</v>
      </c>
      <c r="N48" s="192">
        <v>0.8</v>
      </c>
      <c r="O48" s="192">
        <v>0.8</v>
      </c>
      <c r="P48" s="192">
        <v>0.8</v>
      </c>
      <c r="Q48" s="192">
        <v>0.8</v>
      </c>
      <c r="R48" s="192">
        <v>0.8</v>
      </c>
      <c r="S48" s="192">
        <v>0.8</v>
      </c>
      <c r="T48" s="192">
        <v>0.8</v>
      </c>
      <c r="U48" s="192">
        <v>0.8</v>
      </c>
      <c r="V48" s="192">
        <v>0.8</v>
      </c>
      <c r="W48" s="192">
        <v>0.8</v>
      </c>
      <c r="X48" s="192">
        <v>0.8</v>
      </c>
      <c r="Y48" s="192">
        <v>0.8</v>
      </c>
      <c r="Z48" s="192">
        <v>0.8</v>
      </c>
      <c r="AA48" s="192">
        <v>0.8</v>
      </c>
      <c r="AB48" s="192">
        <v>0.8</v>
      </c>
      <c r="AC48" s="192">
        <v>0.8</v>
      </c>
      <c r="AD48" s="192">
        <v>0.8</v>
      </c>
      <c r="AE48" s="192">
        <v>0.8</v>
      </c>
      <c r="AF48" s="192">
        <v>0.8</v>
      </c>
      <c r="AG48" s="192">
        <v>0.8</v>
      </c>
    </row>
    <row r="49" spans="1:33" ht="14" customHeight="1" x14ac:dyDescent="0.2">
      <c r="A49" s="134">
        <v>48</v>
      </c>
      <c r="B49" s="184" t="s">
        <v>224</v>
      </c>
      <c r="C49" s="192">
        <v>0.8</v>
      </c>
      <c r="D49" s="192">
        <v>0.8</v>
      </c>
      <c r="E49" s="192">
        <v>0.8</v>
      </c>
      <c r="F49" s="192">
        <v>0.8</v>
      </c>
      <c r="G49" s="192">
        <v>0.8</v>
      </c>
      <c r="H49" s="192">
        <v>0.8</v>
      </c>
      <c r="I49" s="192">
        <v>0.8</v>
      </c>
      <c r="J49" s="192">
        <v>0.8</v>
      </c>
      <c r="K49" s="192">
        <v>0.8</v>
      </c>
      <c r="L49" s="192">
        <v>0.8</v>
      </c>
      <c r="M49" s="192">
        <v>0.8</v>
      </c>
      <c r="N49" s="192">
        <v>0.8</v>
      </c>
      <c r="O49" s="192">
        <v>0.8</v>
      </c>
      <c r="P49" s="192">
        <v>0.8</v>
      </c>
      <c r="Q49" s="192">
        <v>0.8</v>
      </c>
      <c r="R49" s="192">
        <v>0.8</v>
      </c>
      <c r="S49" s="192">
        <v>0.8</v>
      </c>
      <c r="T49" s="192">
        <v>0.8</v>
      </c>
      <c r="U49" s="192">
        <v>0.8</v>
      </c>
      <c r="V49" s="192">
        <v>0.8</v>
      </c>
      <c r="W49" s="192">
        <v>0.8</v>
      </c>
      <c r="X49" s="192">
        <v>0.8</v>
      </c>
      <c r="Y49" s="192">
        <v>0.8</v>
      </c>
      <c r="Z49" s="192">
        <v>0.8</v>
      </c>
      <c r="AA49" s="192">
        <v>0.8</v>
      </c>
      <c r="AB49" s="192">
        <v>0.8</v>
      </c>
      <c r="AC49" s="192">
        <v>0.8</v>
      </c>
      <c r="AD49" s="192">
        <v>0.8</v>
      </c>
      <c r="AE49" s="192">
        <v>0.8</v>
      </c>
      <c r="AF49" s="192">
        <v>0.8</v>
      </c>
      <c r="AG49" s="192">
        <v>0.8</v>
      </c>
    </row>
    <row r="50" spans="1:33" ht="14" customHeight="1" x14ac:dyDescent="0.2">
      <c r="A50" s="134">
        <v>49</v>
      </c>
      <c r="B50" s="184" t="s">
        <v>225</v>
      </c>
      <c r="C50" s="192">
        <v>0.8</v>
      </c>
      <c r="D50" s="192">
        <v>0.8</v>
      </c>
      <c r="E50" s="192">
        <v>0.8</v>
      </c>
      <c r="F50" s="192">
        <v>0.8</v>
      </c>
      <c r="G50" s="192">
        <v>0.8</v>
      </c>
      <c r="H50" s="192">
        <v>0.8</v>
      </c>
      <c r="I50" s="192">
        <v>0.8</v>
      </c>
      <c r="J50" s="192">
        <v>0.8</v>
      </c>
      <c r="K50" s="192">
        <v>0.8</v>
      </c>
      <c r="L50" s="192">
        <v>0.8</v>
      </c>
      <c r="M50" s="192">
        <v>0.8</v>
      </c>
      <c r="N50" s="192">
        <v>0.8</v>
      </c>
      <c r="O50" s="192">
        <v>0.8</v>
      </c>
      <c r="P50" s="192">
        <v>0.8</v>
      </c>
      <c r="Q50" s="192">
        <v>0.8</v>
      </c>
      <c r="R50" s="192">
        <v>0.8</v>
      </c>
      <c r="S50" s="192">
        <v>0.8</v>
      </c>
      <c r="T50" s="192">
        <v>0.8</v>
      </c>
      <c r="U50" s="192">
        <v>0.8</v>
      </c>
      <c r="V50" s="192">
        <v>0.8</v>
      </c>
      <c r="W50" s="192">
        <v>0.8</v>
      </c>
      <c r="X50" s="192">
        <v>0.8</v>
      </c>
      <c r="Y50" s="192">
        <v>0.8</v>
      </c>
      <c r="Z50" s="192">
        <v>0.8</v>
      </c>
      <c r="AA50" s="192">
        <v>0.8</v>
      </c>
      <c r="AB50" s="192">
        <v>0.8</v>
      </c>
      <c r="AC50" s="192">
        <v>0.8</v>
      </c>
      <c r="AD50" s="192">
        <v>0.8</v>
      </c>
      <c r="AE50" s="192">
        <v>0.8</v>
      </c>
      <c r="AF50" s="192">
        <v>0.8</v>
      </c>
      <c r="AG50" s="192">
        <v>0.8</v>
      </c>
    </row>
    <row r="51" spans="1:33" ht="14" customHeight="1" x14ac:dyDescent="0.2">
      <c r="A51" s="134">
        <v>50</v>
      </c>
      <c r="B51" s="184" t="s">
        <v>124</v>
      </c>
      <c r="C51" s="192">
        <v>0.8</v>
      </c>
      <c r="D51" s="192">
        <v>0.8</v>
      </c>
      <c r="E51" s="192">
        <v>0.8</v>
      </c>
      <c r="F51" s="192">
        <v>0.8</v>
      </c>
      <c r="G51" s="192">
        <v>0.8</v>
      </c>
      <c r="H51" s="192">
        <v>0.8</v>
      </c>
      <c r="I51" s="192">
        <v>0.8</v>
      </c>
      <c r="J51" s="192">
        <v>0.8</v>
      </c>
      <c r="K51" s="192">
        <v>0.8</v>
      </c>
      <c r="L51" s="192">
        <v>0.8</v>
      </c>
      <c r="M51" s="192">
        <v>0.8</v>
      </c>
      <c r="N51" s="192">
        <v>0.8</v>
      </c>
      <c r="O51" s="192">
        <v>0.8</v>
      </c>
      <c r="P51" s="192">
        <v>0.8</v>
      </c>
      <c r="Q51" s="192">
        <v>0.8</v>
      </c>
      <c r="R51" s="192">
        <v>0.8</v>
      </c>
      <c r="S51" s="192">
        <v>0.8</v>
      </c>
      <c r="T51" s="192">
        <v>0.8</v>
      </c>
      <c r="U51" s="192">
        <v>0.8</v>
      </c>
      <c r="V51" s="192">
        <v>0.8</v>
      </c>
      <c r="W51" s="192">
        <v>0.8</v>
      </c>
      <c r="X51" s="192">
        <v>0.8</v>
      </c>
      <c r="Y51" s="192">
        <v>0.8</v>
      </c>
      <c r="Z51" s="192">
        <v>0.8</v>
      </c>
      <c r="AA51" s="192">
        <v>0.8</v>
      </c>
      <c r="AB51" s="192">
        <v>0.8</v>
      </c>
      <c r="AC51" s="192">
        <v>0.8</v>
      </c>
      <c r="AD51" s="192">
        <v>0.8</v>
      </c>
      <c r="AE51" s="192">
        <v>0.8</v>
      </c>
      <c r="AF51" s="192">
        <v>0.8</v>
      </c>
      <c r="AG51" s="192">
        <v>0.8</v>
      </c>
    </row>
    <row r="52" spans="1:33" ht="14" customHeight="1" x14ac:dyDescent="0.2">
      <c r="A52" s="110">
        <v>51</v>
      </c>
      <c r="B52" s="184" t="s">
        <v>125</v>
      </c>
      <c r="C52" s="192">
        <v>0.8</v>
      </c>
      <c r="D52" s="192">
        <v>0.8</v>
      </c>
      <c r="E52" s="192">
        <v>0.8</v>
      </c>
      <c r="F52" s="192">
        <v>0.8</v>
      </c>
      <c r="G52" s="192">
        <v>0.8</v>
      </c>
      <c r="H52" s="192">
        <v>0.8</v>
      </c>
      <c r="I52" s="192">
        <v>0.8</v>
      </c>
      <c r="J52" s="192">
        <v>0.8</v>
      </c>
      <c r="K52" s="192">
        <v>0.8</v>
      </c>
      <c r="L52" s="192">
        <v>0.8</v>
      </c>
      <c r="M52" s="192">
        <v>0.8</v>
      </c>
      <c r="N52" s="192">
        <v>0.8</v>
      </c>
      <c r="O52" s="192">
        <v>0.8</v>
      </c>
      <c r="P52" s="192">
        <v>0.8</v>
      </c>
      <c r="Q52" s="192">
        <v>0.8</v>
      </c>
      <c r="R52" s="192">
        <v>0.8</v>
      </c>
      <c r="S52" s="192">
        <v>0.8</v>
      </c>
      <c r="T52" s="192">
        <v>0.8</v>
      </c>
      <c r="U52" s="192">
        <v>0.8</v>
      </c>
      <c r="V52" s="192">
        <v>0.8</v>
      </c>
      <c r="W52" s="192">
        <v>0.8</v>
      </c>
      <c r="X52" s="192">
        <v>0.8</v>
      </c>
      <c r="Y52" s="192">
        <v>0.8</v>
      </c>
      <c r="Z52" s="192">
        <v>0.8</v>
      </c>
      <c r="AA52" s="192">
        <v>0.8</v>
      </c>
      <c r="AB52" s="192">
        <v>0.8</v>
      </c>
      <c r="AC52" s="192">
        <v>0.8</v>
      </c>
      <c r="AD52" s="192">
        <v>0.8</v>
      </c>
      <c r="AE52" s="192">
        <v>0.8</v>
      </c>
      <c r="AF52" s="192">
        <v>0.8</v>
      </c>
      <c r="AG52" s="192">
        <v>0.8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indexed="15"/>
  </sheetPr>
  <dimension ref="A1:N500"/>
  <sheetViews>
    <sheetView workbookViewId="0">
      <pane xSplit="2" ySplit="1" topLeftCell="C21" activePane="bottomRight" state="frozen"/>
      <selection pane="topRight" activeCell="C1" sqref="C1"/>
      <selection pane="bottomLeft" activeCell="A3" sqref="A3"/>
      <selection pane="bottomRight" activeCell="L46" sqref="L46"/>
    </sheetView>
  </sheetViews>
  <sheetFormatPr baseColWidth="10" defaultColWidth="8.83203125" defaultRowHeight="15" customHeight="1" x14ac:dyDescent="0.15"/>
  <cols>
    <col min="1" max="1" width="8.83203125" style="68"/>
    <col min="2" max="2" width="41.83203125" style="68" bestFit="1" customWidth="1"/>
    <col min="3" max="3" width="9.33203125" style="68" bestFit="1" customWidth="1"/>
    <col min="4" max="4" width="13" style="68" bestFit="1" customWidth="1"/>
    <col min="5" max="6" width="9.33203125" style="68" bestFit="1" customWidth="1"/>
    <col min="7" max="7" width="9.33203125" style="69" bestFit="1" customWidth="1"/>
    <col min="8" max="8" width="9.33203125" style="68" bestFit="1" customWidth="1"/>
    <col min="9" max="9" width="11" style="68" customWidth="1"/>
    <col min="10" max="10" width="8.83203125" style="68"/>
    <col min="15" max="16384" width="8.83203125" style="68"/>
  </cols>
  <sheetData>
    <row r="1" spans="1:10" ht="15" customHeight="1" x14ac:dyDescent="0.15">
      <c r="A1" s="2" t="s">
        <v>26</v>
      </c>
      <c r="B1" s="1" t="s">
        <v>0</v>
      </c>
      <c r="C1" s="1" t="s">
        <v>13</v>
      </c>
      <c r="D1" s="1" t="s">
        <v>14</v>
      </c>
      <c r="E1" s="1" t="s">
        <v>1</v>
      </c>
      <c r="F1" s="1" t="s">
        <v>2</v>
      </c>
      <c r="G1" s="32" t="s">
        <v>15</v>
      </c>
      <c r="H1" s="1" t="s">
        <v>27</v>
      </c>
      <c r="I1" s="1" t="s">
        <v>25</v>
      </c>
    </row>
    <row r="2" spans="1:10" ht="15" customHeight="1" x14ac:dyDescent="0.15">
      <c r="A2" s="250">
        <v>1</v>
      </c>
      <c r="B2" s="250" t="s">
        <v>181</v>
      </c>
      <c r="C2" s="5">
        <v>1</v>
      </c>
      <c r="D2" s="6">
        <v>35</v>
      </c>
      <c r="E2" s="6">
        <v>200</v>
      </c>
      <c r="F2" s="7"/>
      <c r="G2" s="4">
        <v>0.32807806134223938</v>
      </c>
      <c r="H2" s="7"/>
      <c r="I2">
        <v>0</v>
      </c>
      <c r="J2"/>
    </row>
    <row r="3" spans="1:10" ht="15" customHeight="1" x14ac:dyDescent="0.15">
      <c r="A3" s="251">
        <v>2</v>
      </c>
      <c r="B3" s="251" t="s">
        <v>182</v>
      </c>
      <c r="C3" s="5">
        <v>1</v>
      </c>
      <c r="D3" s="6">
        <v>40</v>
      </c>
      <c r="E3" s="6">
        <v>154.39999389648438</v>
      </c>
      <c r="F3" s="7"/>
      <c r="G3" s="4">
        <v>2.7796009555459023E-2</v>
      </c>
      <c r="H3" s="7"/>
      <c r="I3">
        <v>0</v>
      </c>
      <c r="J3"/>
    </row>
    <row r="4" spans="1:10" ht="15" customHeight="1" x14ac:dyDescent="0.15">
      <c r="A4" s="252">
        <v>3</v>
      </c>
      <c r="B4" s="252" t="s">
        <v>176</v>
      </c>
      <c r="C4" s="5">
        <v>2.0526316165924072</v>
      </c>
      <c r="D4" s="6">
        <v>2.1779999732971191</v>
      </c>
      <c r="E4" s="6">
        <v>482</v>
      </c>
      <c r="F4" s="6">
        <v>1928</v>
      </c>
      <c r="G4" s="4">
        <v>0.950153648853302</v>
      </c>
      <c r="H4" s="6">
        <v>0.25</v>
      </c>
      <c r="I4">
        <v>0</v>
      </c>
      <c r="J4"/>
    </row>
    <row r="5" spans="1:10" ht="15" customHeight="1" x14ac:dyDescent="0.15">
      <c r="A5" s="253">
        <v>4</v>
      </c>
      <c r="B5" s="253" t="s">
        <v>183</v>
      </c>
      <c r="C5" s="5">
        <v>2.5263156890869141</v>
      </c>
      <c r="D5" s="6">
        <v>8.875</v>
      </c>
      <c r="E5" s="6">
        <v>40</v>
      </c>
      <c r="F5" s="6">
        <v>133.33299255371094</v>
      </c>
      <c r="G5" s="4">
        <v>0.95002985000610352</v>
      </c>
      <c r="H5" s="6">
        <v>0.30000075697898865</v>
      </c>
      <c r="I5">
        <v>0</v>
      </c>
      <c r="J5"/>
    </row>
    <row r="6" spans="1:10" ht="15" customHeight="1" x14ac:dyDescent="0.15">
      <c r="A6" s="254">
        <v>5</v>
      </c>
      <c r="B6" s="254" t="s">
        <v>184</v>
      </c>
      <c r="C6" s="5">
        <v>2.8663158416748047</v>
      </c>
      <c r="D6" s="6">
        <v>13.737000465393066</v>
      </c>
      <c r="E6" s="6">
        <v>13</v>
      </c>
      <c r="F6" s="6">
        <v>31.707000732421875</v>
      </c>
      <c r="G6" s="4">
        <v>0.94994425773620605</v>
      </c>
      <c r="H6" s="6">
        <v>0.41000407934188843</v>
      </c>
      <c r="I6">
        <v>0</v>
      </c>
      <c r="J6"/>
    </row>
    <row r="7" spans="1:10" ht="15" customHeight="1" x14ac:dyDescent="0.15">
      <c r="A7" s="255">
        <v>6</v>
      </c>
      <c r="B7" s="255" t="s">
        <v>185</v>
      </c>
      <c r="C7" s="5">
        <v>3.2925000190734863</v>
      </c>
      <c r="D7" s="6">
        <v>4.5450000762939453</v>
      </c>
      <c r="E7" s="6">
        <v>0.58399999141693115</v>
      </c>
      <c r="F7" s="6">
        <v>1.6690000295639038</v>
      </c>
      <c r="G7" s="4">
        <v>0.32085120677947998</v>
      </c>
      <c r="H7" s="6">
        <v>0.34991011023521423</v>
      </c>
      <c r="I7">
        <v>0</v>
      </c>
      <c r="J7"/>
    </row>
    <row r="8" spans="1:10" ht="15" customHeight="1" x14ac:dyDescent="0.15">
      <c r="A8" s="256">
        <v>7</v>
      </c>
      <c r="B8" s="256" t="s">
        <v>186</v>
      </c>
      <c r="C8" s="5">
        <v>2.5263156890869141</v>
      </c>
      <c r="D8" s="6">
        <v>4.5349998474121094</v>
      </c>
      <c r="E8" s="6">
        <v>1.2000000476837158</v>
      </c>
      <c r="F8" s="6">
        <v>19.041999816894531</v>
      </c>
      <c r="G8" s="4">
        <v>0.97851669788360596</v>
      </c>
      <c r="H8" s="6">
        <v>6.3018590211868286E-2</v>
      </c>
      <c r="I8">
        <v>0.71399998664855957</v>
      </c>
      <c r="J8"/>
    </row>
    <row r="9" spans="1:10" ht="15" customHeight="1" x14ac:dyDescent="0.15">
      <c r="A9" s="257">
        <v>8</v>
      </c>
      <c r="B9" s="257" t="s">
        <v>187</v>
      </c>
      <c r="C9" s="5">
        <v>3.5466527938842773</v>
      </c>
      <c r="D9" s="6">
        <v>7.0630002021789551</v>
      </c>
      <c r="E9" s="6">
        <v>1.2000000476837158</v>
      </c>
      <c r="F9" s="6">
        <v>14.399999618530273</v>
      </c>
      <c r="G9" s="4">
        <v>0.32285204529762268</v>
      </c>
      <c r="H9" s="6">
        <v>8.3333335816860199E-2</v>
      </c>
      <c r="I9">
        <v>0.23800000548362732</v>
      </c>
      <c r="J9"/>
    </row>
    <row r="10" spans="1:10" ht="15" customHeight="1" x14ac:dyDescent="0.15">
      <c r="A10" s="258">
        <v>9</v>
      </c>
      <c r="B10" s="258" t="s">
        <v>189</v>
      </c>
      <c r="C10" s="5">
        <v>2.5263156890869141</v>
      </c>
      <c r="D10" s="6">
        <v>0.22800000011920929</v>
      </c>
      <c r="E10" s="6">
        <v>1.3999999761581421</v>
      </c>
      <c r="F10" s="6">
        <v>21.819000244140625</v>
      </c>
      <c r="G10" s="4">
        <v>0.98529183864593506</v>
      </c>
      <c r="H10" s="6">
        <v>6.4164258539676666E-2</v>
      </c>
      <c r="I10">
        <v>4.1000001132488251E-2</v>
      </c>
      <c r="J10"/>
    </row>
    <row r="11" spans="1:10" ht="15" customHeight="1" x14ac:dyDescent="0.15">
      <c r="A11" s="259">
        <v>10</v>
      </c>
      <c r="B11" s="259" t="s">
        <v>190</v>
      </c>
      <c r="C11" s="5">
        <v>2.9101159572601318</v>
      </c>
      <c r="D11" s="6">
        <v>0.60000002384185791</v>
      </c>
      <c r="E11" s="6">
        <v>1.2000000476837158</v>
      </c>
      <c r="F11" s="6">
        <v>12.371000289916992</v>
      </c>
      <c r="G11" s="4">
        <v>0.96860891580581665</v>
      </c>
      <c r="H11" s="6">
        <v>9.7001053392887115E-2</v>
      </c>
      <c r="I11">
        <v>0.40000000596046448</v>
      </c>
      <c r="J11"/>
    </row>
    <row r="12" spans="1:10" ht="15" customHeight="1" x14ac:dyDescent="0.15">
      <c r="A12" s="260">
        <v>11</v>
      </c>
      <c r="B12" s="260" t="s">
        <v>191</v>
      </c>
      <c r="C12" s="5">
        <v>3.662315845489502</v>
      </c>
      <c r="D12" s="6">
        <v>5.554999828338623</v>
      </c>
      <c r="E12" s="6">
        <v>1.2999999523162842</v>
      </c>
      <c r="F12" s="6">
        <v>13</v>
      </c>
      <c r="G12" s="4">
        <v>0.786895751953125</v>
      </c>
      <c r="H12" s="6">
        <v>9.9999994039535522E-2</v>
      </c>
      <c r="I12">
        <v>0.30500000715255737</v>
      </c>
      <c r="J12"/>
    </row>
    <row r="13" spans="1:10" ht="15" customHeight="1" x14ac:dyDescent="0.15">
      <c r="A13" s="261">
        <v>12</v>
      </c>
      <c r="B13" s="261" t="s">
        <v>192</v>
      </c>
      <c r="C13" s="5">
        <v>3.603701114654541</v>
      </c>
      <c r="D13" s="6">
        <v>0.49300000071525574</v>
      </c>
      <c r="E13" s="6">
        <v>1</v>
      </c>
      <c r="F13" s="6">
        <v>10</v>
      </c>
      <c r="G13" s="4">
        <v>0.97373652458190918</v>
      </c>
      <c r="H13" s="6">
        <v>0.10000000149011612</v>
      </c>
      <c r="I13">
        <v>1.0000000474974513E-3</v>
      </c>
      <c r="J13"/>
    </row>
    <row r="14" spans="1:10" ht="15" customHeight="1" x14ac:dyDescent="0.15">
      <c r="A14" s="262">
        <v>13</v>
      </c>
      <c r="B14" s="262" t="s">
        <v>193</v>
      </c>
      <c r="C14" s="5">
        <v>3.6113157272338867</v>
      </c>
      <c r="D14" s="6">
        <v>0.93699997663497925</v>
      </c>
      <c r="E14" s="6">
        <v>1.2000000476837158</v>
      </c>
      <c r="F14" s="6">
        <v>19.076000213623047</v>
      </c>
      <c r="G14" s="4">
        <v>0.24632975459098816</v>
      </c>
      <c r="H14" s="6">
        <v>6.2906272709369659E-2</v>
      </c>
      <c r="I14">
        <v>1.6000000759959221E-2</v>
      </c>
      <c r="J14"/>
    </row>
    <row r="15" spans="1:10" ht="15" customHeight="1" x14ac:dyDescent="0.15">
      <c r="A15" s="263">
        <v>14</v>
      </c>
      <c r="B15" s="263" t="s">
        <v>194</v>
      </c>
      <c r="C15" s="5">
        <v>3.7726356983184814</v>
      </c>
      <c r="D15" s="6">
        <v>1.6180000305175781</v>
      </c>
      <c r="E15" s="6">
        <v>1</v>
      </c>
      <c r="F15" s="6">
        <v>10</v>
      </c>
      <c r="G15" s="4">
        <v>0.88937193155288696</v>
      </c>
      <c r="H15" s="6">
        <v>0.10000000149011612</v>
      </c>
      <c r="I15">
        <v>0.25400999188423157</v>
      </c>
      <c r="J15"/>
    </row>
    <row r="16" spans="1:10" ht="15" customHeight="1" x14ac:dyDescent="0.15">
      <c r="A16" s="264">
        <v>15</v>
      </c>
      <c r="B16" s="264" t="s">
        <v>195</v>
      </c>
      <c r="C16" s="5">
        <v>3.9838500022888184</v>
      </c>
      <c r="D16" s="6">
        <v>0.28400000929832458</v>
      </c>
      <c r="E16" s="6">
        <v>0.80000001192092896</v>
      </c>
      <c r="F16" s="6">
        <v>8</v>
      </c>
      <c r="G16" s="4">
        <v>0.83444350957870483</v>
      </c>
      <c r="H16" s="6">
        <v>0.10000000149011612</v>
      </c>
      <c r="I16">
        <v>3.9200000464916229E-2</v>
      </c>
      <c r="J16"/>
    </row>
    <row r="17" spans="1:10" ht="15" customHeight="1" x14ac:dyDescent="0.15">
      <c r="A17" s="265">
        <v>16</v>
      </c>
      <c r="B17" s="265" t="s">
        <v>196</v>
      </c>
      <c r="C17" s="5">
        <v>3.7303156852722168</v>
      </c>
      <c r="D17" s="6">
        <v>4.4330000877380371</v>
      </c>
      <c r="E17" s="6">
        <v>1.2000000476837158</v>
      </c>
      <c r="F17" s="6">
        <v>12</v>
      </c>
      <c r="G17" s="4">
        <v>0.98960131406784058</v>
      </c>
      <c r="H17" s="6">
        <v>0.10000000149011612</v>
      </c>
      <c r="I17">
        <v>4.999999888241291E-3</v>
      </c>
      <c r="J17"/>
    </row>
    <row r="18" spans="1:10" ht="15" customHeight="1" x14ac:dyDescent="0.15">
      <c r="A18" s="266">
        <v>17</v>
      </c>
      <c r="B18" s="266" t="s">
        <v>197</v>
      </c>
      <c r="C18" s="5">
        <v>3.6385157108306885</v>
      </c>
      <c r="D18" s="6">
        <v>4.3920001983642578</v>
      </c>
      <c r="E18" s="6">
        <v>1.2000000476837158</v>
      </c>
      <c r="F18" s="6">
        <v>12</v>
      </c>
      <c r="G18" s="4">
        <v>0.98964720964431763</v>
      </c>
      <c r="H18" s="6">
        <v>0.10000000149011612</v>
      </c>
      <c r="I18">
        <v>0</v>
      </c>
      <c r="J18"/>
    </row>
    <row r="19" spans="1:10" ht="15" customHeight="1" x14ac:dyDescent="0.15">
      <c r="A19" s="267">
        <v>18</v>
      </c>
      <c r="B19" s="267" t="s">
        <v>198</v>
      </c>
      <c r="C19" s="5">
        <v>4.3722515106201172</v>
      </c>
      <c r="D19" s="6">
        <v>0.19799999892711639</v>
      </c>
      <c r="E19" s="6">
        <v>0.5</v>
      </c>
      <c r="F19" s="6">
        <v>5</v>
      </c>
      <c r="G19" s="4">
        <v>0.89856231212615967</v>
      </c>
      <c r="H19" s="6">
        <v>0.10000000149011612</v>
      </c>
      <c r="I19">
        <v>6.8610005080699921E-2</v>
      </c>
      <c r="J19"/>
    </row>
    <row r="20" spans="1:10" ht="15" customHeight="1" x14ac:dyDescent="0.15">
      <c r="A20" s="268">
        <v>19</v>
      </c>
      <c r="B20" s="268" t="s">
        <v>199</v>
      </c>
      <c r="C20" s="5">
        <v>4.5621500015258789</v>
      </c>
      <c r="D20" s="6">
        <v>2.8999999165534973E-2</v>
      </c>
      <c r="E20" s="6">
        <v>0.4699999988079071</v>
      </c>
      <c r="F20" s="6">
        <v>9.3999996185302734</v>
      </c>
      <c r="G20" s="4">
        <v>0.89875274896621704</v>
      </c>
      <c r="H20" s="6">
        <v>5.000000074505806E-2</v>
      </c>
      <c r="I20">
        <v>9.9999997764825821E-3</v>
      </c>
      <c r="J20"/>
    </row>
    <row r="21" spans="1:10" ht="15" customHeight="1" x14ac:dyDescent="0.15">
      <c r="A21" s="269">
        <v>20</v>
      </c>
      <c r="B21" s="269" t="s">
        <v>200</v>
      </c>
      <c r="C21" s="5">
        <v>3.9129295349121094</v>
      </c>
      <c r="D21" s="6">
        <v>1.2000000104308128E-2</v>
      </c>
      <c r="E21" s="6">
        <v>0.5</v>
      </c>
      <c r="F21" s="6">
        <v>5</v>
      </c>
      <c r="G21" s="4">
        <v>0.86586505174636841</v>
      </c>
      <c r="H21" s="6">
        <v>0.10000000149011612</v>
      </c>
      <c r="I21">
        <v>3.0000001424923539E-4</v>
      </c>
      <c r="J21"/>
    </row>
    <row r="22" spans="1:10" ht="15" customHeight="1" x14ac:dyDescent="0.15">
      <c r="A22" s="270">
        <v>21</v>
      </c>
      <c r="B22" s="270" t="s">
        <v>201</v>
      </c>
      <c r="C22" s="5">
        <v>3.7948815822601318</v>
      </c>
      <c r="D22" s="6">
        <v>2.7000000700354576E-2</v>
      </c>
      <c r="E22" s="6">
        <v>0.5</v>
      </c>
      <c r="F22" s="6">
        <v>5</v>
      </c>
      <c r="G22" s="4">
        <v>0.8996436595916748</v>
      </c>
      <c r="H22" s="6">
        <v>0.10000000149011612</v>
      </c>
      <c r="I22">
        <v>7.2499997913837433E-3</v>
      </c>
      <c r="J22"/>
    </row>
    <row r="23" spans="1:10" ht="15" customHeight="1" x14ac:dyDescent="0.15">
      <c r="A23" s="271">
        <v>22</v>
      </c>
      <c r="B23" s="271" t="s">
        <v>202</v>
      </c>
      <c r="C23" s="5">
        <v>4.2731113433837891</v>
      </c>
      <c r="D23" s="6">
        <v>2.0999999716877937E-2</v>
      </c>
      <c r="E23" s="6">
        <v>0.5</v>
      </c>
      <c r="F23" s="6">
        <v>5</v>
      </c>
      <c r="G23" s="4">
        <v>0.89478003978729248</v>
      </c>
      <c r="H23" s="6">
        <v>0.10000000149011612</v>
      </c>
      <c r="I23">
        <v>4.4999998062849045E-3</v>
      </c>
      <c r="J23"/>
    </row>
    <row r="24" spans="1:10" ht="15" customHeight="1" x14ac:dyDescent="0.15">
      <c r="A24" s="272">
        <v>23</v>
      </c>
      <c r="B24" s="272" t="s">
        <v>203</v>
      </c>
      <c r="C24" s="5">
        <v>4.2321839332580566</v>
      </c>
      <c r="D24" s="6">
        <v>3.2999999821186066E-2</v>
      </c>
      <c r="E24" s="6">
        <v>0.5</v>
      </c>
      <c r="F24" s="6">
        <v>5</v>
      </c>
      <c r="G24" s="4">
        <v>0.89393937587738037</v>
      </c>
      <c r="H24" s="6">
        <v>0.10000000149011612</v>
      </c>
      <c r="I24">
        <v>2.0000000949949026E-3</v>
      </c>
      <c r="J24"/>
    </row>
    <row r="25" spans="1:10" ht="15" customHeight="1" x14ac:dyDescent="0.15">
      <c r="A25" s="273">
        <v>24</v>
      </c>
      <c r="B25" s="273" t="s">
        <v>204</v>
      </c>
      <c r="C25" s="5">
        <v>3.0290322303771973</v>
      </c>
      <c r="D25" s="6">
        <v>1.8999999389052391E-2</v>
      </c>
      <c r="E25" s="6">
        <v>0.5</v>
      </c>
      <c r="F25" s="6">
        <v>5</v>
      </c>
      <c r="G25" s="4">
        <v>0.88556724786758423</v>
      </c>
      <c r="H25" s="6">
        <v>0.10000000149011612</v>
      </c>
      <c r="I25">
        <v>9.5000001601874828E-4</v>
      </c>
      <c r="J25"/>
    </row>
    <row r="26" spans="1:10" ht="15" customHeight="1" x14ac:dyDescent="0.15">
      <c r="A26" s="274">
        <v>25</v>
      </c>
      <c r="B26" s="274" t="s">
        <v>205</v>
      </c>
      <c r="C26" s="5">
        <v>2.3933157920837402</v>
      </c>
      <c r="D26" s="6">
        <v>6.3000001013278961E-2</v>
      </c>
      <c r="E26" s="6">
        <v>0.5</v>
      </c>
      <c r="F26" s="6">
        <v>5</v>
      </c>
      <c r="G26" s="4">
        <v>0.90371227264404297</v>
      </c>
      <c r="H26" s="6">
        <v>0.10000000149011612</v>
      </c>
      <c r="I26">
        <v>7.0000002160668373E-3</v>
      </c>
      <c r="J26"/>
    </row>
    <row r="27" spans="1:10" ht="15" customHeight="1" x14ac:dyDescent="0.15">
      <c r="A27" s="275">
        <v>26</v>
      </c>
      <c r="B27" s="275" t="s">
        <v>206</v>
      </c>
      <c r="C27" s="5">
        <v>3.8066785335540771</v>
      </c>
      <c r="D27" s="6">
        <v>0.45500001311302185</v>
      </c>
      <c r="E27" s="6">
        <v>3.5</v>
      </c>
      <c r="F27" s="6">
        <v>10</v>
      </c>
      <c r="G27" s="4">
        <v>0.98872178792953491</v>
      </c>
      <c r="H27" s="6">
        <v>0.34999999403953552</v>
      </c>
      <c r="I27">
        <v>2.3010000586509705E-2</v>
      </c>
      <c r="J27"/>
    </row>
    <row r="28" spans="1:10" ht="15" customHeight="1" x14ac:dyDescent="0.15">
      <c r="A28" s="276">
        <v>27</v>
      </c>
      <c r="B28" s="276" t="s">
        <v>207</v>
      </c>
      <c r="C28" s="5">
        <v>3.8254871368408203</v>
      </c>
      <c r="D28" s="6">
        <v>0.89999997615814209</v>
      </c>
      <c r="E28" s="6">
        <v>3.5</v>
      </c>
      <c r="F28" s="6">
        <v>10</v>
      </c>
      <c r="G28" s="4">
        <v>0.96810483932495117</v>
      </c>
      <c r="H28" s="6">
        <v>0.34999999403953552</v>
      </c>
      <c r="I28">
        <v>9.9999997473787516E-5</v>
      </c>
      <c r="J28"/>
    </row>
    <row r="29" spans="1:10" ht="15" customHeight="1" x14ac:dyDescent="0.15">
      <c r="A29" s="277">
        <v>28</v>
      </c>
      <c r="B29" s="277" t="s">
        <v>261</v>
      </c>
      <c r="C29" s="5">
        <v>4.0041117668151855</v>
      </c>
      <c r="D29" s="6">
        <v>1.0759999752044678</v>
      </c>
      <c r="E29" s="6">
        <v>2</v>
      </c>
      <c r="F29" s="6">
        <v>15.008000373840332</v>
      </c>
      <c r="G29" s="4">
        <v>0.93522763252258301</v>
      </c>
      <c r="H29" s="6">
        <v>0.1332622617483139</v>
      </c>
      <c r="I29">
        <v>1.0000000474974513E-3</v>
      </c>
      <c r="J29"/>
    </row>
    <row r="30" spans="1:10" ht="15" customHeight="1" x14ac:dyDescent="0.15">
      <c r="A30" s="278">
        <v>29</v>
      </c>
      <c r="B30" s="278" t="s">
        <v>262</v>
      </c>
      <c r="C30" s="5">
        <v>4.6139316558837891</v>
      </c>
      <c r="D30" s="6">
        <v>0.82300001382827759</v>
      </c>
      <c r="E30" s="6">
        <v>0.80000001192092896</v>
      </c>
      <c r="F30" s="6">
        <v>4.4000000953674316</v>
      </c>
      <c r="G30" s="4">
        <v>0.84459906816482544</v>
      </c>
      <c r="H30" s="6">
        <v>0.18181818723678589</v>
      </c>
      <c r="I30">
        <v>0.12202000617980957</v>
      </c>
      <c r="J30"/>
    </row>
    <row r="31" spans="1:10" ht="15" customHeight="1" x14ac:dyDescent="0.15">
      <c r="A31" s="279">
        <v>30</v>
      </c>
      <c r="B31" s="279" t="s">
        <v>263</v>
      </c>
      <c r="C31" s="5">
        <v>3.9569845199584961</v>
      </c>
      <c r="D31" s="6">
        <v>1.2929999828338623</v>
      </c>
      <c r="E31" s="6">
        <v>2</v>
      </c>
      <c r="F31" s="6">
        <v>16.030000686645508</v>
      </c>
      <c r="G31" s="4">
        <v>0.95827072858810425</v>
      </c>
      <c r="H31" s="6">
        <v>0.12476605921983719</v>
      </c>
      <c r="I31">
        <v>0.10199999809265137</v>
      </c>
      <c r="J31"/>
    </row>
    <row r="32" spans="1:10" ht="15" customHeight="1" x14ac:dyDescent="0.15">
      <c r="A32" s="280">
        <v>31</v>
      </c>
      <c r="B32" s="280" t="s">
        <v>264</v>
      </c>
      <c r="C32" s="5">
        <v>4.525083065032959</v>
      </c>
      <c r="D32" s="6">
        <v>0.98900002241134644</v>
      </c>
      <c r="E32" s="6">
        <v>0.80000001192092896</v>
      </c>
      <c r="F32" s="6">
        <v>4.6999998092651367</v>
      </c>
      <c r="G32" s="4">
        <v>0.92790752649307251</v>
      </c>
      <c r="H32" s="6">
        <v>0.17021277546882629</v>
      </c>
      <c r="I32">
        <v>0.41001001000404358</v>
      </c>
      <c r="J32"/>
    </row>
    <row r="33" spans="1:10" ht="15" customHeight="1" x14ac:dyDescent="0.15">
      <c r="A33" s="281">
        <v>32</v>
      </c>
      <c r="B33" s="281" t="s">
        <v>208</v>
      </c>
      <c r="C33" s="5">
        <v>4.1592044830322266</v>
      </c>
      <c r="D33" s="6">
        <v>1.9119999408721924</v>
      </c>
      <c r="E33" s="6">
        <v>0.69999998807907104</v>
      </c>
      <c r="F33" s="6">
        <v>3.5</v>
      </c>
      <c r="G33" s="4">
        <v>0.89969068765640259</v>
      </c>
      <c r="H33" s="6">
        <v>0.20000000298023224</v>
      </c>
      <c r="I33">
        <v>2.2099999710917473E-2</v>
      </c>
      <c r="J33"/>
    </row>
    <row r="34" spans="1:10" ht="15" customHeight="1" x14ac:dyDescent="0.15">
      <c r="A34" s="282">
        <v>33</v>
      </c>
      <c r="B34" s="282" t="s">
        <v>209</v>
      </c>
      <c r="C34" s="5">
        <v>3.4495985507965088</v>
      </c>
      <c r="D34" s="6">
        <v>4.4640002250671387</v>
      </c>
      <c r="E34" s="6">
        <v>0.69999998807907104</v>
      </c>
      <c r="F34" s="6">
        <v>3.5</v>
      </c>
      <c r="G34" s="4">
        <v>0.90011864900588989</v>
      </c>
      <c r="H34" s="6">
        <v>0.20000000298023224</v>
      </c>
      <c r="I34">
        <v>9.3199998140335083E-2</v>
      </c>
      <c r="J34"/>
    </row>
    <row r="35" spans="1:10" ht="15" customHeight="1" x14ac:dyDescent="0.15">
      <c r="A35" s="283">
        <v>34</v>
      </c>
      <c r="B35" s="283" t="s">
        <v>210</v>
      </c>
      <c r="C35" s="5">
        <v>3.2417342662811279</v>
      </c>
      <c r="D35" s="6">
        <v>6.0000000521540642E-3</v>
      </c>
      <c r="E35" s="6">
        <v>0.69999998807907104</v>
      </c>
      <c r="F35" s="6">
        <v>3.5</v>
      </c>
      <c r="G35" s="4">
        <v>0.99404758214950562</v>
      </c>
      <c r="H35" s="6">
        <v>0.20000000298023224</v>
      </c>
      <c r="I35">
        <v>3.9499998092651367E-3</v>
      </c>
      <c r="J35"/>
    </row>
    <row r="36" spans="1:10" ht="15" customHeight="1" x14ac:dyDescent="0.15">
      <c r="A36" s="284">
        <v>35</v>
      </c>
      <c r="B36" s="284" t="s">
        <v>211</v>
      </c>
      <c r="C36" s="5">
        <v>4.8211750984191895</v>
      </c>
      <c r="D36" s="6">
        <v>0.5820000171661377</v>
      </c>
      <c r="E36" s="6">
        <v>0.5</v>
      </c>
      <c r="F36" s="6">
        <v>4.5450000762939453</v>
      </c>
      <c r="G36" s="4">
        <v>0.2659924328327179</v>
      </c>
      <c r="H36" s="6">
        <v>0.11001099646091461</v>
      </c>
      <c r="I36">
        <v>1.999999862164259E-3</v>
      </c>
      <c r="J36"/>
    </row>
    <row r="37" spans="1:10" ht="15" customHeight="1" x14ac:dyDescent="0.15">
      <c r="A37" s="285">
        <v>36</v>
      </c>
      <c r="B37" s="285" t="s">
        <v>212</v>
      </c>
      <c r="C37" s="5">
        <v>3.5895397663116455</v>
      </c>
      <c r="D37" s="6">
        <v>0.87300002574920654</v>
      </c>
      <c r="E37" s="6">
        <v>1</v>
      </c>
      <c r="F37" s="6">
        <v>10</v>
      </c>
      <c r="G37" s="4">
        <v>0.8203275203704834</v>
      </c>
      <c r="H37" s="6">
        <v>0.10000000149011612</v>
      </c>
      <c r="I37">
        <v>1.0999999940395355E-2</v>
      </c>
      <c r="J37"/>
    </row>
    <row r="38" spans="1:10" ht="15" customHeight="1" x14ac:dyDescent="0.15">
      <c r="A38" s="286">
        <v>37</v>
      </c>
      <c r="B38" s="286" t="s">
        <v>213</v>
      </c>
      <c r="C38" s="5">
        <v>4.8981738090515137</v>
      </c>
      <c r="D38" s="6">
        <v>4.5000001788139343E-2</v>
      </c>
      <c r="E38" s="6">
        <v>0.5</v>
      </c>
      <c r="F38" s="6">
        <v>5</v>
      </c>
      <c r="G38" s="4">
        <v>0</v>
      </c>
      <c r="H38" s="6">
        <v>0.10000000149011612</v>
      </c>
      <c r="I38">
        <v>0</v>
      </c>
      <c r="J38"/>
    </row>
    <row r="39" spans="1:10" ht="15" customHeight="1" x14ac:dyDescent="0.15">
      <c r="A39" s="287">
        <v>38</v>
      </c>
      <c r="B39" s="287" t="s">
        <v>214</v>
      </c>
      <c r="C39" s="5">
        <v>4.6257510185241699</v>
      </c>
      <c r="D39" s="6">
        <v>0.13300000131130219</v>
      </c>
      <c r="E39" s="6">
        <v>0.25</v>
      </c>
      <c r="F39" s="6">
        <v>19.305999755859375</v>
      </c>
      <c r="G39" s="4">
        <v>0.96005260944366455</v>
      </c>
      <c r="H39" s="6">
        <v>1.2949341908097267E-2</v>
      </c>
      <c r="I39">
        <v>4.999999888241291E-3</v>
      </c>
      <c r="J39"/>
    </row>
    <row r="40" spans="1:10" ht="15" customHeight="1" x14ac:dyDescent="0.15">
      <c r="A40" s="288">
        <v>39</v>
      </c>
      <c r="B40" s="288" t="s">
        <v>215</v>
      </c>
      <c r="C40" s="5">
        <v>4.435387134552002</v>
      </c>
      <c r="D40" s="6">
        <v>8.2999996840953827E-2</v>
      </c>
      <c r="E40" s="6">
        <v>0.15000000596046448</v>
      </c>
      <c r="F40" s="6">
        <v>10</v>
      </c>
      <c r="G40" s="4">
        <v>0.90361440181732178</v>
      </c>
      <c r="H40" s="6">
        <v>1.5000000596046448E-2</v>
      </c>
      <c r="I40">
        <v>0</v>
      </c>
      <c r="J40"/>
    </row>
    <row r="41" spans="1:10" ht="15" customHeight="1" x14ac:dyDescent="0.15">
      <c r="A41" s="289">
        <v>40</v>
      </c>
      <c r="B41" s="289" t="s">
        <v>216</v>
      </c>
      <c r="C41" s="5">
        <v>4.0638875961303711</v>
      </c>
      <c r="D41" s="6">
        <v>2.0000000949949026E-3</v>
      </c>
      <c r="E41" s="6">
        <v>0.20100000500679016</v>
      </c>
      <c r="F41" s="6">
        <v>96.980003356933594</v>
      </c>
      <c r="G41" s="4">
        <v>0.55970150232315063</v>
      </c>
      <c r="H41" s="6">
        <v>2.0725922659039497E-3</v>
      </c>
      <c r="I41">
        <v>0</v>
      </c>
      <c r="J41"/>
    </row>
    <row r="42" spans="1:10" ht="15" customHeight="1" x14ac:dyDescent="0.15">
      <c r="A42" s="290">
        <v>41</v>
      </c>
      <c r="B42" s="290" t="s">
        <v>217</v>
      </c>
      <c r="C42" s="5">
        <v>4.3942623138427734</v>
      </c>
      <c r="D42" s="6">
        <v>2.0000000949949026E-3</v>
      </c>
      <c r="E42" s="6">
        <v>0.19900000095367432</v>
      </c>
      <c r="F42" s="6">
        <v>99.916999816894531</v>
      </c>
      <c r="G42" s="4">
        <v>0.56532669067382812</v>
      </c>
      <c r="H42" s="6">
        <v>1.9916531164199114E-3</v>
      </c>
      <c r="I42">
        <v>0</v>
      </c>
      <c r="J42"/>
    </row>
    <row r="43" spans="1:10" ht="15" customHeight="1" x14ac:dyDescent="0.15">
      <c r="A43" s="291">
        <v>42</v>
      </c>
      <c r="B43" s="291" t="s">
        <v>218</v>
      </c>
      <c r="C43" s="5">
        <v>3.7710988521575928</v>
      </c>
      <c r="D43" s="6">
        <v>3.0000000260770321E-3</v>
      </c>
      <c r="E43" s="6">
        <v>0.19900000095367432</v>
      </c>
      <c r="F43" s="6">
        <v>125.27400207519531</v>
      </c>
      <c r="G43" s="4">
        <v>0</v>
      </c>
      <c r="H43" s="6">
        <v>1.5885179163888097E-3</v>
      </c>
      <c r="I43">
        <v>0</v>
      </c>
      <c r="J43"/>
    </row>
    <row r="44" spans="1:10" ht="15" customHeight="1" x14ac:dyDescent="0.15">
      <c r="A44" s="292">
        <v>43</v>
      </c>
      <c r="B44" s="292" t="s">
        <v>219</v>
      </c>
      <c r="C44" s="5">
        <v>4.5354294776916504</v>
      </c>
      <c r="D44" s="6">
        <v>5.299999937415123E-2</v>
      </c>
      <c r="E44" s="6">
        <v>0.19900000095367432</v>
      </c>
      <c r="F44" s="6">
        <v>125.88200378417969</v>
      </c>
      <c r="G44" s="4">
        <v>0.63257288932800293</v>
      </c>
      <c r="H44" s="6">
        <v>1.5808455646038055E-3</v>
      </c>
      <c r="I44">
        <v>0</v>
      </c>
      <c r="J44"/>
    </row>
    <row r="45" spans="1:10" ht="15" customHeight="1" x14ac:dyDescent="0.15">
      <c r="A45" s="293">
        <v>44</v>
      </c>
      <c r="B45" s="293" t="s">
        <v>220</v>
      </c>
      <c r="C45" s="5">
        <v>1</v>
      </c>
      <c r="D45" s="6">
        <v>6.2179999351501465</v>
      </c>
      <c r="E45" s="6">
        <v>15</v>
      </c>
      <c r="F45" s="7"/>
      <c r="G45" s="4">
        <v>0.49997752904891968</v>
      </c>
      <c r="H45" s="7"/>
      <c r="I45">
        <v>0</v>
      </c>
      <c r="J45"/>
    </row>
    <row r="46" spans="1:10" ht="15" customHeight="1" x14ac:dyDescent="0.15">
      <c r="A46" s="294">
        <v>45</v>
      </c>
      <c r="B46" s="294" t="s">
        <v>221</v>
      </c>
      <c r="C46" s="5">
        <v>2</v>
      </c>
      <c r="D46" s="6">
        <v>11.663000106811523</v>
      </c>
      <c r="E46" s="6">
        <v>4</v>
      </c>
      <c r="F46" s="6">
        <v>33</v>
      </c>
      <c r="G46" s="4">
        <v>0.95000213384628296</v>
      </c>
      <c r="H46" s="6">
        <v>0.12121212482452393</v>
      </c>
      <c r="I46">
        <v>0</v>
      </c>
      <c r="J46"/>
    </row>
    <row r="47" spans="1:10" ht="15" customHeight="1" x14ac:dyDescent="0.15">
      <c r="A47" s="295">
        <v>46</v>
      </c>
      <c r="B47" s="295" t="s">
        <v>222</v>
      </c>
      <c r="C47" s="5">
        <v>2.1612904071807861</v>
      </c>
      <c r="D47" s="6">
        <v>54.176998138427734</v>
      </c>
      <c r="E47" s="6">
        <v>1.2000000476837158</v>
      </c>
      <c r="F47" s="6">
        <v>10</v>
      </c>
      <c r="G47" s="4">
        <v>0.95004010200500488</v>
      </c>
      <c r="H47" s="6">
        <v>0.12000000476837158</v>
      </c>
      <c r="I47">
        <v>0</v>
      </c>
      <c r="J47"/>
    </row>
    <row r="48" spans="1:10" ht="15" customHeight="1" x14ac:dyDescent="0.15">
      <c r="A48" s="296">
        <v>47</v>
      </c>
      <c r="B48" s="296" t="s">
        <v>223</v>
      </c>
      <c r="C48" s="5">
        <v>2.4983868598937988</v>
      </c>
      <c r="D48" s="6">
        <v>0.5</v>
      </c>
      <c r="E48" s="6">
        <v>0.41999998688697815</v>
      </c>
      <c r="F48" s="6">
        <v>1.8999999761581421</v>
      </c>
      <c r="G48" s="4">
        <v>0.98806524276733398</v>
      </c>
      <c r="H48" s="6">
        <v>0.2210526317358017</v>
      </c>
      <c r="I48">
        <v>2.9999999329447746E-2</v>
      </c>
      <c r="J48"/>
    </row>
    <row r="49" spans="1:10" ht="15" customHeight="1" x14ac:dyDescent="0.15">
      <c r="A49" s="297">
        <v>48</v>
      </c>
      <c r="B49" s="297" t="s">
        <v>224</v>
      </c>
      <c r="C49" s="5">
        <v>2.4983868598937988</v>
      </c>
      <c r="D49" s="6">
        <v>0.98100000619888306</v>
      </c>
      <c r="E49" s="6">
        <v>1.2000000476837158</v>
      </c>
      <c r="F49" s="6">
        <v>4</v>
      </c>
      <c r="G49" s="4">
        <v>0.99027353525161743</v>
      </c>
      <c r="H49" s="6">
        <v>0.30000001192092896</v>
      </c>
      <c r="I49">
        <v>7.0000002160668373E-3</v>
      </c>
      <c r="J49"/>
    </row>
    <row r="50" spans="1:10" ht="15" customHeight="1" x14ac:dyDescent="0.15">
      <c r="A50" s="298">
        <v>49</v>
      </c>
      <c r="B50" s="298" t="s">
        <v>225</v>
      </c>
      <c r="C50" s="5">
        <v>1</v>
      </c>
      <c r="D50" s="6">
        <v>50</v>
      </c>
      <c r="E50" s="7"/>
      <c r="F50" s="7"/>
      <c r="G50" s="4">
        <v>0.25291380286216736</v>
      </c>
      <c r="H50" s="7"/>
      <c r="I50">
        <v>0</v>
      </c>
      <c r="J50"/>
    </row>
    <row r="51" spans="1:10" ht="15" customHeight="1" x14ac:dyDescent="0.15">
      <c r="A51" s="299">
        <v>50</v>
      </c>
      <c r="B51" s="299" t="s">
        <v>124</v>
      </c>
      <c r="C51" s="5">
        <v>1</v>
      </c>
      <c r="D51" s="6">
        <v>10</v>
      </c>
      <c r="E51" s="7"/>
      <c r="F51" s="7"/>
      <c r="G51" s="4">
        <v>0</v>
      </c>
      <c r="H51" s="7"/>
      <c r="I51">
        <v>0</v>
      </c>
      <c r="J51"/>
    </row>
    <row r="52" spans="1:10" ht="15" customHeight="1" x14ac:dyDescent="0.15">
      <c r="A52" s="300">
        <v>51</v>
      </c>
      <c r="B52" s="300" t="s">
        <v>125</v>
      </c>
      <c r="C52" s="5">
        <v>1</v>
      </c>
      <c r="D52" s="6">
        <v>10</v>
      </c>
      <c r="E52" s="7"/>
      <c r="F52" s="7"/>
      <c r="G52" s="4">
        <v>65535</v>
      </c>
      <c r="H52" s="7"/>
      <c r="I52">
        <v>0</v>
      </c>
      <c r="J52"/>
    </row>
    <row r="53" spans="1:10" ht="15" customHeight="1" x14ac:dyDescent="0.15">
      <c r="A53" s="301">
        <v>52</v>
      </c>
      <c r="B53" s="301" t="s">
        <v>226</v>
      </c>
      <c r="C53" s="5">
        <v>3.978846549987793</v>
      </c>
      <c r="D53" s="7"/>
      <c r="E53" s="7"/>
      <c r="F53" s="7"/>
      <c r="G53" s="7"/>
      <c r="H53" s="7"/>
      <c r="I53">
        <v>1.7310000658035278</v>
      </c>
      <c r="J53"/>
    </row>
    <row r="54" spans="1:10" ht="15" customHeight="1" x14ac:dyDescent="0.15">
      <c r="A54" s="302">
        <v>53</v>
      </c>
      <c r="B54" s="302" t="s">
        <v>227</v>
      </c>
      <c r="C54" s="5">
        <v>4.8007168769836426</v>
      </c>
      <c r="D54" s="7"/>
      <c r="E54" s="7"/>
      <c r="F54" s="7"/>
      <c r="G54" s="7"/>
      <c r="H54" s="7"/>
      <c r="I54">
        <v>0.35509997606277466</v>
      </c>
      <c r="J54"/>
    </row>
    <row r="55" spans="1:10" ht="15" customHeight="1" x14ac:dyDescent="0.15">
      <c r="A55" s="303">
        <v>54</v>
      </c>
      <c r="B55" s="303" t="s">
        <v>228</v>
      </c>
      <c r="C55" s="5">
        <v>5.4091434478759766</v>
      </c>
      <c r="D55" s="7"/>
      <c r="E55" s="7"/>
      <c r="F55" s="7"/>
      <c r="G55" s="7"/>
      <c r="H55" s="7"/>
      <c r="I55">
        <v>0.48999997973442078</v>
      </c>
      <c r="J55"/>
    </row>
    <row r="56" spans="1:10" ht="15" customHeight="1" x14ac:dyDescent="0.15">
      <c r="A56" s="304">
        <v>55</v>
      </c>
      <c r="B56" s="304" t="s">
        <v>229</v>
      </c>
      <c r="C56" s="5">
        <v>5.4734377861022949</v>
      </c>
      <c r="D56" s="7"/>
      <c r="E56" s="7"/>
      <c r="F56" s="7"/>
      <c r="G56" s="7"/>
      <c r="H56" s="7"/>
      <c r="I56">
        <v>2.199999988079071E-2</v>
      </c>
      <c r="J56"/>
    </row>
    <row r="57" spans="1:10" ht="15" customHeight="1" x14ac:dyDescent="0.15">
      <c r="A57" s="305">
        <v>56</v>
      </c>
      <c r="B57" s="305" t="s">
        <v>230</v>
      </c>
      <c r="C57" s="5">
        <v>5.6139316558837891</v>
      </c>
      <c r="D57" s="7"/>
      <c r="E57" s="7"/>
      <c r="F57" s="7"/>
      <c r="G57" s="7"/>
      <c r="H57" s="7"/>
      <c r="I57">
        <v>9.0000003576278687E-2</v>
      </c>
      <c r="J57"/>
    </row>
    <row r="58" spans="1:10" ht="15" customHeight="1" x14ac:dyDescent="0.15">
      <c r="A58" s="306">
        <v>57</v>
      </c>
      <c r="B58" s="306" t="s">
        <v>231</v>
      </c>
      <c r="C58" s="5">
        <v>5.6139316558837891</v>
      </c>
      <c r="D58" s="7"/>
      <c r="E58" s="7"/>
      <c r="F58" s="7"/>
      <c r="G58" s="7"/>
      <c r="H58" s="7"/>
      <c r="I58">
        <v>1.2000000104308128E-2</v>
      </c>
      <c r="J58"/>
    </row>
    <row r="59" spans="1:10" ht="15" customHeight="1" x14ac:dyDescent="0.15">
      <c r="A59" s="307">
        <v>58</v>
      </c>
      <c r="B59" s="307" t="s">
        <v>232</v>
      </c>
      <c r="C59" s="5">
        <v>5.584892749786377</v>
      </c>
      <c r="D59" s="7"/>
      <c r="E59" s="7"/>
      <c r="F59" s="7"/>
      <c r="G59" s="7"/>
      <c r="H59" s="7"/>
      <c r="I59">
        <v>2.0999999716877937E-2</v>
      </c>
      <c r="J59"/>
    </row>
    <row r="60" spans="1:10" ht="15" customHeight="1" x14ac:dyDescent="0.15">
      <c r="A60" s="308">
        <v>59</v>
      </c>
      <c r="B60" s="308" t="s">
        <v>233</v>
      </c>
      <c r="C60" s="5">
        <v>4.4611773490905762</v>
      </c>
      <c r="D60" s="7"/>
      <c r="E60" s="7"/>
      <c r="F60" s="7"/>
      <c r="G60" s="7"/>
      <c r="H60" s="7"/>
      <c r="I60">
        <v>1.4020000584423542E-2</v>
      </c>
      <c r="J60"/>
    </row>
    <row r="61" spans="1:10" ht="15" customHeight="1" x14ac:dyDescent="0.15">
      <c r="A61" s="309">
        <v>60</v>
      </c>
      <c r="B61" s="309" t="s">
        <v>234</v>
      </c>
      <c r="C61" s="5">
        <v>5.6139316558837891</v>
      </c>
      <c r="D61" s="7"/>
      <c r="E61" s="7"/>
      <c r="F61" s="7"/>
      <c r="G61" s="7"/>
      <c r="H61" s="7"/>
      <c r="I61">
        <v>9.9999997473787516E-6</v>
      </c>
      <c r="J61"/>
    </row>
    <row r="62" spans="1:10" ht="15" customHeight="1" x14ac:dyDescent="0.15">
      <c r="A62" s="310">
        <v>61</v>
      </c>
      <c r="B62" s="310" t="s">
        <v>235</v>
      </c>
      <c r="C62" s="5">
        <v>4.2417340278625488</v>
      </c>
      <c r="D62" s="7"/>
      <c r="E62" s="7"/>
      <c r="F62" s="7"/>
      <c r="G62" s="7"/>
      <c r="H62" s="7"/>
      <c r="I62">
        <v>3.9499998092651367E-3</v>
      </c>
      <c r="J62"/>
    </row>
    <row r="63" spans="1:10" ht="15" customHeight="1" x14ac:dyDescent="0.15">
      <c r="A63" s="311">
        <v>62</v>
      </c>
      <c r="B63" s="311" t="s">
        <v>236</v>
      </c>
      <c r="C63" s="5">
        <v>4.2412137985229492</v>
      </c>
      <c r="D63" s="7"/>
      <c r="E63" s="7"/>
      <c r="F63" s="7"/>
      <c r="G63" s="7"/>
      <c r="H63" s="7"/>
      <c r="I63">
        <v>8.9999998454004526E-4</v>
      </c>
      <c r="J63"/>
    </row>
    <row r="64" spans="1:10" ht="15" customHeight="1" x14ac:dyDescent="0.15">
      <c r="A64" s="312">
        <v>63</v>
      </c>
      <c r="B64" s="312" t="s">
        <v>237</v>
      </c>
      <c r="C64" s="5">
        <v>4.8066787719726562</v>
      </c>
      <c r="D64" s="7"/>
      <c r="E64" s="7"/>
      <c r="F64" s="7"/>
      <c r="G64" s="7"/>
      <c r="H64" s="7"/>
      <c r="I64">
        <v>9.9999997473787516E-6</v>
      </c>
      <c r="J64"/>
    </row>
    <row r="65" spans="1:10" ht="15" customHeight="1" x14ac:dyDescent="0.15">
      <c r="A65" s="313">
        <v>64</v>
      </c>
      <c r="B65" s="313" t="s">
        <v>238</v>
      </c>
      <c r="C65" s="5">
        <v>4.7102785110473633</v>
      </c>
      <c r="D65" s="7"/>
      <c r="E65" s="7"/>
      <c r="F65" s="7"/>
      <c r="G65" s="7"/>
      <c r="H65" s="7"/>
      <c r="I65">
        <v>3.1999999191612005E-4</v>
      </c>
      <c r="J65"/>
    </row>
    <row r="66" spans="1:10" ht="15" customHeight="1" x14ac:dyDescent="0.15">
      <c r="A66" s="314">
        <v>65</v>
      </c>
      <c r="B66" s="314" t="s">
        <v>239</v>
      </c>
      <c r="C66" s="5">
        <v>3.4983868598937988</v>
      </c>
      <c r="D66" s="7"/>
      <c r="E66" s="7"/>
      <c r="F66" s="7"/>
      <c r="G66" s="7"/>
      <c r="H66" s="7"/>
      <c r="I66">
        <v>2.9999999329447746E-2</v>
      </c>
      <c r="J66"/>
    </row>
    <row r="67" spans="1:10" ht="15" customHeight="1" x14ac:dyDescent="0.15">
      <c r="A67" s="315">
        <v>66</v>
      </c>
      <c r="B67" s="315" t="s">
        <v>240</v>
      </c>
      <c r="C67" s="5">
        <v>3.4983868598937988</v>
      </c>
      <c r="D67" s="7"/>
      <c r="E67" s="7"/>
      <c r="F67" s="7"/>
      <c r="G67" s="7"/>
      <c r="H67" s="7"/>
      <c r="I67">
        <v>7.0000002160668373E-3</v>
      </c>
      <c r="J67"/>
    </row>
    <row r="68" spans="1:10" ht="15" customHeight="1" x14ac:dyDescent="0.15">
      <c r="A68" s="316">
        <v>67</v>
      </c>
      <c r="B68" s="316" t="s">
        <v>241</v>
      </c>
      <c r="C68" s="5">
        <v>1</v>
      </c>
      <c r="D68" s="7"/>
      <c r="E68" s="7"/>
      <c r="F68" s="7"/>
      <c r="G68" s="7"/>
      <c r="H68" s="7"/>
      <c r="I68">
        <v>0</v>
      </c>
      <c r="J68"/>
    </row>
    <row r="69" spans="1:10" ht="15" customHeight="1" x14ac:dyDescent="0.15">
      <c r="A69" s="317">
        <v>68</v>
      </c>
      <c r="B69" s="317" t="s">
        <v>242</v>
      </c>
      <c r="C69" s="5">
        <v>1</v>
      </c>
      <c r="D69" s="7"/>
      <c r="E69" s="7"/>
      <c r="F69" s="7"/>
      <c r="G69" s="7"/>
      <c r="H69" s="7"/>
      <c r="I69">
        <v>0</v>
      </c>
      <c r="J69"/>
    </row>
    <row r="70" spans="1:10" ht="15" customHeight="1" x14ac:dyDescent="0.15">
      <c r="A70" s="318">
        <v>69</v>
      </c>
      <c r="B70" s="318" t="s">
        <v>244</v>
      </c>
      <c r="C70" s="5">
        <v>1</v>
      </c>
      <c r="D70" s="7"/>
      <c r="E70" s="7"/>
      <c r="F70" s="7"/>
      <c r="G70" s="7"/>
      <c r="H70" s="7"/>
      <c r="I70">
        <v>0</v>
      </c>
      <c r="J70"/>
    </row>
    <row r="71" spans="1:10" ht="15" customHeight="1" x14ac:dyDescent="0.15">
      <c r="A71" s="319">
        <v>70</v>
      </c>
      <c r="B71" s="319" t="s">
        <v>245</v>
      </c>
      <c r="C71" s="5">
        <v>3.5428435802459717</v>
      </c>
      <c r="D71" s="7"/>
      <c r="E71" s="7"/>
      <c r="F71" s="7"/>
      <c r="G71" s="7"/>
      <c r="H71" s="7"/>
      <c r="I71">
        <v>8.0000003799796104E-3</v>
      </c>
      <c r="J71"/>
    </row>
    <row r="72" spans="1:10" ht="15" customHeight="1" x14ac:dyDescent="0.15">
      <c r="A72" s="320">
        <v>71</v>
      </c>
      <c r="B72" s="320" t="s">
        <v>246</v>
      </c>
      <c r="C72" s="5">
        <v>4.9129295349121094</v>
      </c>
      <c r="D72" s="7"/>
      <c r="E72" s="7"/>
      <c r="F72" s="7"/>
      <c r="G72" s="7"/>
      <c r="H72" s="7"/>
      <c r="I72">
        <v>5.4000000091036782E-5</v>
      </c>
      <c r="J72"/>
    </row>
    <row r="73" spans="1:10" ht="15" customHeight="1" x14ac:dyDescent="0.15">
      <c r="A73" s="321">
        <v>72</v>
      </c>
      <c r="B73" s="321" t="s">
        <v>247</v>
      </c>
      <c r="C73" s="5">
        <v>4.7948813438415527</v>
      </c>
      <c r="D73" s="7"/>
      <c r="E73" s="7"/>
      <c r="F73" s="7"/>
      <c r="G73" s="7"/>
      <c r="H73" s="7"/>
      <c r="I73">
        <v>4.2699999175965786E-3</v>
      </c>
      <c r="J73"/>
    </row>
    <row r="74" spans="1:10" ht="15" customHeight="1" x14ac:dyDescent="0.15">
      <c r="A74" s="322">
        <v>73</v>
      </c>
      <c r="B74" s="322" t="s">
        <v>248</v>
      </c>
      <c r="C74" s="5">
        <v>5.2731113433837891</v>
      </c>
      <c r="D74" s="7"/>
      <c r="E74" s="7"/>
      <c r="F74" s="7"/>
      <c r="G74" s="7"/>
      <c r="H74" s="7"/>
      <c r="I74">
        <v>1.7600000137463212E-3</v>
      </c>
      <c r="J74"/>
    </row>
    <row r="75" spans="1:10" ht="15" customHeight="1" x14ac:dyDescent="0.15">
      <c r="A75" s="323">
        <v>74</v>
      </c>
      <c r="B75" s="323" t="s">
        <v>249</v>
      </c>
      <c r="C75" s="5">
        <v>5.8211755752563477</v>
      </c>
      <c r="D75" s="7"/>
      <c r="E75" s="7"/>
      <c r="F75" s="7"/>
      <c r="G75" s="7"/>
      <c r="H75" s="7"/>
      <c r="I75">
        <v>1.39999995008111E-3</v>
      </c>
      <c r="J75"/>
    </row>
    <row r="76" spans="1:10" ht="15" customHeight="1" x14ac:dyDescent="0.15">
      <c r="A76" s="324">
        <v>75</v>
      </c>
      <c r="B76" s="324" t="s">
        <v>250</v>
      </c>
      <c r="C76" s="5">
        <v>5.3722515106201172</v>
      </c>
      <c r="D76" s="7"/>
      <c r="E76" s="7"/>
      <c r="F76" s="7"/>
      <c r="G76" s="7"/>
      <c r="H76" s="7"/>
      <c r="I76">
        <v>3.0999999493360519E-2</v>
      </c>
      <c r="J76"/>
    </row>
    <row r="77" spans="1:10" ht="15" customHeight="1" x14ac:dyDescent="0.15">
      <c r="A77" s="325">
        <v>76</v>
      </c>
      <c r="B77" s="325" t="s">
        <v>251</v>
      </c>
      <c r="C77" s="5">
        <v>5.5621500015258789</v>
      </c>
      <c r="D77" s="7"/>
      <c r="E77" s="7"/>
      <c r="F77" s="7"/>
      <c r="G77" s="7"/>
      <c r="H77" s="7"/>
      <c r="I77">
        <v>9.9999997764825821E-3</v>
      </c>
      <c r="J77"/>
    </row>
    <row r="78" spans="1:10" ht="15" customHeight="1" x14ac:dyDescent="0.15">
      <c r="A78" s="326">
        <v>77</v>
      </c>
      <c r="B78" s="326" t="s">
        <v>252</v>
      </c>
      <c r="C78" s="5">
        <v>5.2321839332580566</v>
      </c>
      <c r="D78" s="7"/>
      <c r="E78" s="7"/>
      <c r="F78" s="7"/>
      <c r="G78" s="7"/>
      <c r="H78" s="7"/>
      <c r="I78">
        <v>2.0000000949949026E-3</v>
      </c>
      <c r="J78"/>
    </row>
    <row r="79" spans="1:10" ht="15" customHeight="1" x14ac:dyDescent="0.15">
      <c r="A79" s="327">
        <v>78</v>
      </c>
      <c r="B79" s="327" t="s">
        <v>253</v>
      </c>
      <c r="C79" s="5">
        <v>4.9129295349121094</v>
      </c>
      <c r="D79" s="7"/>
      <c r="E79" s="7"/>
      <c r="F79" s="7"/>
      <c r="G79" s="7"/>
      <c r="H79" s="7"/>
      <c r="I79">
        <v>2.460000105202198E-4</v>
      </c>
      <c r="J79"/>
    </row>
    <row r="80" spans="1:10" ht="15" customHeight="1" x14ac:dyDescent="0.15">
      <c r="A80" s="328">
        <v>79</v>
      </c>
      <c r="B80" s="328" t="s">
        <v>254</v>
      </c>
      <c r="C80" s="5">
        <v>4.7948813438415527</v>
      </c>
      <c r="D80" s="7"/>
      <c r="E80" s="7"/>
      <c r="F80" s="7"/>
      <c r="G80" s="7"/>
      <c r="H80" s="7"/>
      <c r="I80">
        <v>2.7300000656396151E-3</v>
      </c>
      <c r="J80"/>
    </row>
    <row r="81" spans="1:10" ht="15" customHeight="1" x14ac:dyDescent="0.15">
      <c r="A81" s="329">
        <v>80</v>
      </c>
      <c r="B81" s="329" t="s">
        <v>255</v>
      </c>
      <c r="C81" s="5">
        <v>5.2731113433837891</v>
      </c>
      <c r="D81" s="7"/>
      <c r="E81" s="7"/>
      <c r="F81" s="7"/>
      <c r="G81" s="7"/>
      <c r="H81" s="7"/>
      <c r="I81">
        <v>2.2400000598281622E-3</v>
      </c>
      <c r="J81"/>
    </row>
    <row r="82" spans="1:10" ht="15" customHeight="1" x14ac:dyDescent="0.15">
      <c r="A82" s="330">
        <v>81</v>
      </c>
      <c r="B82" s="330" t="s">
        <v>256</v>
      </c>
      <c r="C82" s="5">
        <v>5.8211755752563477</v>
      </c>
      <c r="D82" s="7"/>
      <c r="E82" s="7"/>
      <c r="F82" s="7"/>
      <c r="G82" s="7"/>
      <c r="H82" s="7"/>
      <c r="I82">
        <v>6.0000002849847078E-4</v>
      </c>
      <c r="J82"/>
    </row>
    <row r="83" spans="1:10" ht="15" customHeight="1" x14ac:dyDescent="0.15">
      <c r="A83" s="331">
        <v>82</v>
      </c>
      <c r="B83" s="331" t="s">
        <v>243</v>
      </c>
      <c r="C83" s="5">
        <v>4.8168549537658691</v>
      </c>
      <c r="D83" s="7"/>
      <c r="E83" s="7"/>
      <c r="F83" s="7"/>
      <c r="G83" s="7"/>
      <c r="H83" s="7"/>
      <c r="I83">
        <v>0.10460000485181808</v>
      </c>
      <c r="J83"/>
    </row>
    <row r="84" spans="1:10" ht="15" customHeight="1" x14ac:dyDescent="0.15">
      <c r="A84"/>
      <c r="B84"/>
      <c r="C84"/>
      <c r="D84"/>
      <c r="E84"/>
      <c r="F84"/>
      <c r="G84"/>
      <c r="H84"/>
      <c r="I84"/>
      <c r="J84"/>
    </row>
    <row r="85" spans="1:10" ht="15" customHeight="1" x14ac:dyDescent="0.15">
      <c r="A85"/>
      <c r="B85"/>
      <c r="C85"/>
      <c r="D85"/>
      <c r="E85"/>
      <c r="F85"/>
      <c r="G85"/>
      <c r="H85"/>
      <c r="I85"/>
      <c r="J85"/>
    </row>
    <row r="86" spans="1:10" ht="15" customHeight="1" x14ac:dyDescent="0.15">
      <c r="A86"/>
      <c r="B86"/>
      <c r="C86"/>
      <c r="D86"/>
      <c r="E86"/>
      <c r="F86"/>
      <c r="G86"/>
      <c r="H86"/>
      <c r="I86"/>
      <c r="J86"/>
    </row>
    <row r="87" spans="1:10" ht="15" customHeight="1" x14ac:dyDescent="0.15">
      <c r="A87"/>
      <c r="B87"/>
      <c r="C87"/>
      <c r="D87"/>
      <c r="E87"/>
      <c r="F87"/>
      <c r="G87"/>
      <c r="H87"/>
      <c r="I87"/>
      <c r="J87"/>
    </row>
    <row r="88" spans="1:10" ht="15" customHeight="1" x14ac:dyDescent="0.15">
      <c r="A88"/>
      <c r="B88"/>
      <c r="C88"/>
      <c r="D88"/>
      <c r="E88"/>
      <c r="F88"/>
      <c r="G88"/>
      <c r="H88"/>
      <c r="I88"/>
      <c r="J88"/>
    </row>
    <row r="89" spans="1:10" ht="15" customHeight="1" x14ac:dyDescent="0.15">
      <c r="A89"/>
      <c r="B89"/>
      <c r="C89"/>
      <c r="D89"/>
      <c r="E89"/>
      <c r="F89"/>
      <c r="G89"/>
      <c r="H89"/>
      <c r="I89"/>
      <c r="J89"/>
    </row>
    <row r="90" spans="1:10" ht="15" customHeight="1" x14ac:dyDescent="0.15">
      <c r="A90"/>
      <c r="B90"/>
      <c r="C90"/>
      <c r="D90"/>
      <c r="E90"/>
      <c r="F90"/>
      <c r="G90"/>
      <c r="H90"/>
      <c r="I90"/>
      <c r="J90"/>
    </row>
    <row r="91" spans="1:10" ht="15" customHeight="1" x14ac:dyDescent="0.15">
      <c r="A91"/>
      <c r="B91"/>
      <c r="C91"/>
      <c r="D91"/>
      <c r="E91"/>
      <c r="F91"/>
      <c r="G91"/>
      <c r="H91"/>
      <c r="I91"/>
      <c r="J91"/>
    </row>
    <row r="92" spans="1:10" ht="15" customHeight="1" x14ac:dyDescent="0.15">
      <c r="A92"/>
      <c r="B92"/>
      <c r="C92"/>
      <c r="D92"/>
      <c r="E92"/>
      <c r="F92"/>
      <c r="G92"/>
      <c r="H92"/>
      <c r="I92"/>
      <c r="J92"/>
    </row>
    <row r="93" spans="1:10" ht="15" customHeight="1" x14ac:dyDescent="0.15">
      <c r="A93"/>
      <c r="B93"/>
      <c r="C93"/>
      <c r="D93"/>
      <c r="E93"/>
      <c r="F93"/>
      <c r="G93"/>
      <c r="H93"/>
      <c r="I93"/>
      <c r="J93"/>
    </row>
    <row r="94" spans="1:10" ht="15" customHeight="1" x14ac:dyDescent="0.15">
      <c r="A94"/>
      <c r="B94"/>
      <c r="C94"/>
      <c r="D94"/>
      <c r="E94"/>
      <c r="F94"/>
      <c r="G94"/>
      <c r="H94"/>
      <c r="I94"/>
      <c r="J94"/>
    </row>
    <row r="95" spans="1:10" ht="15" customHeight="1" x14ac:dyDescent="0.15">
      <c r="A95"/>
      <c r="B95"/>
      <c r="C95"/>
      <c r="D95"/>
      <c r="E95"/>
      <c r="F95"/>
      <c r="G95"/>
      <c r="H95"/>
      <c r="I95"/>
      <c r="J95"/>
    </row>
    <row r="96" spans="1:10" ht="15" customHeight="1" x14ac:dyDescent="0.15">
      <c r="A96"/>
      <c r="B96"/>
      <c r="C96"/>
      <c r="D96"/>
      <c r="E96"/>
      <c r="F96"/>
      <c r="G96"/>
      <c r="H96"/>
      <c r="I96"/>
      <c r="J96"/>
    </row>
    <row r="97" spans="1:10" ht="15" customHeight="1" x14ac:dyDescent="0.15">
      <c r="A97"/>
      <c r="B97"/>
      <c r="C97"/>
      <c r="D97"/>
      <c r="E97"/>
      <c r="F97"/>
      <c r="G97"/>
      <c r="H97"/>
      <c r="I97"/>
      <c r="J97"/>
    </row>
    <row r="98" spans="1:10" ht="15" customHeight="1" x14ac:dyDescent="0.15">
      <c r="A98"/>
      <c r="B98"/>
      <c r="C98"/>
      <c r="D98"/>
      <c r="E98"/>
      <c r="F98"/>
      <c r="G98"/>
      <c r="H98"/>
      <c r="I98"/>
      <c r="J98"/>
    </row>
    <row r="99" spans="1:10" ht="15" customHeight="1" x14ac:dyDescent="0.15">
      <c r="A99"/>
      <c r="B99"/>
      <c r="C99"/>
      <c r="D99"/>
      <c r="E99"/>
      <c r="F99"/>
      <c r="G99"/>
      <c r="H99"/>
      <c r="I99"/>
      <c r="J99"/>
    </row>
    <row r="100" spans="1:10" ht="15" customHeight="1" x14ac:dyDescent="0.15">
      <c r="A100"/>
      <c r="B100"/>
      <c r="C100"/>
      <c r="D100"/>
      <c r="E100"/>
      <c r="F100"/>
      <c r="G100"/>
      <c r="H100"/>
      <c r="I100"/>
      <c r="J100"/>
    </row>
    <row r="101" spans="1:10" ht="15" customHeight="1" x14ac:dyDescent="0.15">
      <c r="A101"/>
      <c r="B101"/>
      <c r="C101"/>
      <c r="D101"/>
      <c r="E101"/>
      <c r="F101"/>
      <c r="G101"/>
      <c r="H101"/>
      <c r="I101"/>
      <c r="J101"/>
    </row>
    <row r="102" spans="1:10" ht="15" customHeight="1" x14ac:dyDescent="0.15">
      <c r="A102"/>
      <c r="B102"/>
      <c r="C102"/>
      <c r="D102"/>
      <c r="E102"/>
      <c r="F102"/>
      <c r="G102"/>
      <c r="H102"/>
      <c r="I102"/>
      <c r="J102"/>
    </row>
    <row r="103" spans="1:10" ht="15" customHeight="1" x14ac:dyDescent="0.15">
      <c r="A103"/>
      <c r="B103"/>
      <c r="C103"/>
      <c r="D103"/>
      <c r="E103"/>
      <c r="F103"/>
      <c r="G103"/>
      <c r="H103"/>
      <c r="I103"/>
      <c r="J103"/>
    </row>
    <row r="104" spans="1:10" ht="15" customHeight="1" x14ac:dyDescent="0.15">
      <c r="A104"/>
      <c r="B104"/>
      <c r="C104"/>
      <c r="D104"/>
      <c r="E104"/>
      <c r="F104"/>
      <c r="G104"/>
      <c r="H104"/>
      <c r="I104"/>
      <c r="J104"/>
    </row>
    <row r="105" spans="1:10" ht="15" customHeight="1" x14ac:dyDescent="0.15">
      <c r="A105"/>
      <c r="B105"/>
      <c r="C105"/>
      <c r="D105"/>
      <c r="E105"/>
      <c r="F105"/>
      <c r="G105"/>
      <c r="H105"/>
      <c r="I105"/>
      <c r="J105"/>
    </row>
    <row r="106" spans="1:10" ht="15" customHeight="1" x14ac:dyDescent="0.15">
      <c r="A106"/>
      <c r="B106"/>
      <c r="C106"/>
      <c r="D106"/>
      <c r="E106"/>
      <c r="F106"/>
      <c r="G106"/>
      <c r="H106"/>
      <c r="I106"/>
      <c r="J106"/>
    </row>
    <row r="107" spans="1:10" ht="15" customHeight="1" x14ac:dyDescent="0.15">
      <c r="A107"/>
      <c r="B107"/>
      <c r="C107"/>
      <c r="D107"/>
      <c r="E107"/>
      <c r="F107"/>
      <c r="G107"/>
      <c r="H107"/>
      <c r="I107"/>
      <c r="J107"/>
    </row>
    <row r="108" spans="1:10" ht="15" customHeight="1" x14ac:dyDescent="0.15">
      <c r="A108"/>
      <c r="B108"/>
      <c r="C108"/>
      <c r="D108"/>
      <c r="E108"/>
      <c r="F108"/>
      <c r="G108"/>
      <c r="H108"/>
      <c r="I108"/>
      <c r="J108"/>
    </row>
    <row r="109" spans="1:10" ht="15" customHeight="1" x14ac:dyDescent="0.15">
      <c r="A109"/>
      <c r="B109"/>
      <c r="C109"/>
      <c r="D109"/>
      <c r="E109"/>
      <c r="F109"/>
      <c r="G109"/>
      <c r="H109"/>
      <c r="I109"/>
      <c r="J109"/>
    </row>
    <row r="110" spans="1:10" ht="15" customHeight="1" x14ac:dyDescent="0.15">
      <c r="A110"/>
      <c r="B110"/>
      <c r="C110"/>
      <c r="D110"/>
      <c r="E110"/>
      <c r="F110"/>
      <c r="G110"/>
      <c r="H110"/>
      <c r="I110"/>
      <c r="J110"/>
    </row>
    <row r="111" spans="1:10" ht="15" customHeight="1" x14ac:dyDescent="0.15">
      <c r="A111"/>
      <c r="B111"/>
      <c r="C111"/>
      <c r="D111"/>
      <c r="E111"/>
      <c r="F111"/>
      <c r="G111"/>
      <c r="H111"/>
      <c r="I111"/>
      <c r="J111"/>
    </row>
    <row r="112" spans="1:10" ht="15" customHeight="1" x14ac:dyDescent="0.15">
      <c r="A112"/>
      <c r="B112"/>
      <c r="C112"/>
      <c r="D112"/>
      <c r="E112"/>
      <c r="F112"/>
      <c r="G112"/>
      <c r="H112"/>
      <c r="I112"/>
      <c r="J112"/>
    </row>
    <row r="113" spans="1:10" ht="15" customHeight="1" x14ac:dyDescent="0.15">
      <c r="A113"/>
      <c r="B113"/>
      <c r="C113"/>
      <c r="D113"/>
      <c r="E113"/>
      <c r="F113"/>
      <c r="G113"/>
      <c r="H113"/>
      <c r="I113"/>
      <c r="J113"/>
    </row>
    <row r="114" spans="1:10" ht="15" customHeight="1" x14ac:dyDescent="0.15">
      <c r="A114"/>
      <c r="B114"/>
      <c r="C114"/>
      <c r="D114"/>
      <c r="E114"/>
      <c r="F114"/>
      <c r="G114"/>
      <c r="H114"/>
      <c r="I114"/>
      <c r="J114"/>
    </row>
    <row r="115" spans="1:10" ht="15" customHeight="1" x14ac:dyDescent="0.15">
      <c r="A115"/>
      <c r="B115"/>
      <c r="C115"/>
      <c r="D115"/>
      <c r="E115"/>
      <c r="F115"/>
      <c r="G115"/>
      <c r="H115"/>
      <c r="I115"/>
      <c r="J115"/>
    </row>
    <row r="116" spans="1:10" ht="15" customHeight="1" x14ac:dyDescent="0.15">
      <c r="A116"/>
      <c r="B116"/>
      <c r="C116"/>
      <c r="D116"/>
      <c r="E116"/>
      <c r="F116"/>
      <c r="G116"/>
      <c r="H116"/>
      <c r="I116"/>
      <c r="J116"/>
    </row>
    <row r="117" spans="1:10" ht="15" customHeight="1" x14ac:dyDescent="0.15">
      <c r="A117"/>
      <c r="B117"/>
      <c r="C117"/>
      <c r="D117"/>
      <c r="E117"/>
      <c r="F117"/>
      <c r="G117"/>
      <c r="H117"/>
      <c r="I117"/>
      <c r="J117"/>
    </row>
    <row r="118" spans="1:10" ht="15" customHeight="1" x14ac:dyDescent="0.15">
      <c r="A118"/>
      <c r="B118"/>
      <c r="C118"/>
      <c r="D118"/>
      <c r="E118"/>
      <c r="F118"/>
      <c r="G118"/>
      <c r="H118"/>
      <c r="I118"/>
      <c r="J118"/>
    </row>
    <row r="119" spans="1:10" ht="15" customHeight="1" x14ac:dyDescent="0.15">
      <c r="A119"/>
      <c r="B119"/>
      <c r="C119"/>
      <c r="D119"/>
      <c r="E119"/>
      <c r="F119"/>
      <c r="G119"/>
      <c r="H119"/>
      <c r="I119"/>
      <c r="J119"/>
    </row>
    <row r="120" spans="1:10" ht="15" customHeight="1" x14ac:dyDescent="0.15">
      <c r="A120"/>
      <c r="B120"/>
      <c r="C120"/>
      <c r="D120"/>
      <c r="E120"/>
      <c r="F120"/>
      <c r="G120"/>
      <c r="H120"/>
      <c r="I120"/>
      <c r="J120"/>
    </row>
    <row r="121" spans="1:10" ht="15" customHeight="1" x14ac:dyDescent="0.15">
      <c r="A121"/>
      <c r="B121"/>
      <c r="C121"/>
      <c r="D121"/>
      <c r="E121"/>
      <c r="F121"/>
      <c r="G121"/>
      <c r="H121"/>
      <c r="I121"/>
      <c r="J121"/>
    </row>
    <row r="122" spans="1:10" ht="15" customHeight="1" x14ac:dyDescent="0.15">
      <c r="A122"/>
      <c r="B122"/>
      <c r="C122"/>
      <c r="D122"/>
      <c r="E122"/>
      <c r="F122"/>
      <c r="G122"/>
      <c r="H122"/>
      <c r="I122"/>
      <c r="J122"/>
    </row>
    <row r="123" spans="1:10" ht="15" customHeight="1" x14ac:dyDescent="0.15">
      <c r="A123"/>
      <c r="B123"/>
      <c r="C123"/>
      <c r="D123"/>
      <c r="E123"/>
      <c r="F123"/>
      <c r="G123"/>
      <c r="H123"/>
      <c r="I123"/>
      <c r="J123"/>
    </row>
    <row r="124" spans="1:10" ht="15" customHeight="1" x14ac:dyDescent="0.15">
      <c r="A124"/>
      <c r="B124"/>
      <c r="C124"/>
      <c r="D124"/>
      <c r="E124"/>
      <c r="F124"/>
      <c r="G124"/>
      <c r="H124"/>
      <c r="I124"/>
      <c r="J124"/>
    </row>
    <row r="125" spans="1:10" ht="15" customHeight="1" x14ac:dyDescent="0.15">
      <c r="A125"/>
      <c r="B125"/>
      <c r="C125"/>
      <c r="D125"/>
      <c r="E125"/>
      <c r="F125"/>
      <c r="G125"/>
      <c r="H125"/>
      <c r="I125"/>
      <c r="J125"/>
    </row>
    <row r="126" spans="1:10" ht="15" customHeight="1" x14ac:dyDescent="0.15">
      <c r="A126"/>
      <c r="B126"/>
      <c r="C126"/>
      <c r="D126"/>
      <c r="E126"/>
      <c r="F126"/>
      <c r="G126"/>
      <c r="H126"/>
      <c r="I126"/>
      <c r="J126"/>
    </row>
    <row r="127" spans="1:10" ht="15" customHeight="1" x14ac:dyDescent="0.15">
      <c r="A127"/>
      <c r="B127"/>
      <c r="C127"/>
      <c r="D127"/>
      <c r="E127"/>
      <c r="F127"/>
      <c r="G127"/>
      <c r="H127"/>
      <c r="I127"/>
      <c r="J127"/>
    </row>
    <row r="128" spans="1:10" ht="15" customHeight="1" x14ac:dyDescent="0.15">
      <c r="A128"/>
      <c r="B128"/>
      <c r="C128"/>
      <c r="D128"/>
      <c r="E128"/>
      <c r="F128"/>
      <c r="G128"/>
      <c r="H128"/>
      <c r="I128"/>
      <c r="J128"/>
    </row>
    <row r="129" spans="1:10" ht="15" customHeight="1" x14ac:dyDescent="0.15">
      <c r="A129"/>
      <c r="B129"/>
      <c r="C129"/>
      <c r="D129"/>
      <c r="E129"/>
      <c r="F129"/>
      <c r="G129"/>
      <c r="H129"/>
      <c r="I129"/>
      <c r="J129"/>
    </row>
    <row r="130" spans="1:10" ht="15" customHeight="1" x14ac:dyDescent="0.15">
      <c r="A130"/>
      <c r="B130"/>
      <c r="C130"/>
      <c r="D130"/>
      <c r="E130"/>
      <c r="F130"/>
      <c r="G130"/>
      <c r="H130"/>
      <c r="I130"/>
      <c r="J130"/>
    </row>
    <row r="131" spans="1:10" ht="15" customHeight="1" x14ac:dyDescent="0.15">
      <c r="A131"/>
      <c r="B131"/>
      <c r="C131"/>
      <c r="D131"/>
      <c r="E131"/>
      <c r="F131"/>
      <c r="G131"/>
      <c r="H131"/>
      <c r="I131"/>
      <c r="J131"/>
    </row>
    <row r="132" spans="1:10" ht="15" customHeight="1" x14ac:dyDescent="0.15">
      <c r="A132"/>
      <c r="B132"/>
      <c r="C132"/>
      <c r="D132"/>
      <c r="E132"/>
      <c r="F132"/>
      <c r="G132"/>
      <c r="H132"/>
      <c r="I132"/>
      <c r="J132"/>
    </row>
    <row r="133" spans="1:10" ht="15" customHeight="1" x14ac:dyDescent="0.15">
      <c r="A133"/>
      <c r="B133"/>
      <c r="C133"/>
      <c r="D133"/>
      <c r="E133"/>
      <c r="F133"/>
      <c r="G133"/>
      <c r="H133"/>
      <c r="I133"/>
      <c r="J133"/>
    </row>
    <row r="134" spans="1:10" ht="15" customHeight="1" x14ac:dyDescent="0.15">
      <c r="A134"/>
      <c r="B134"/>
      <c r="C134"/>
      <c r="D134"/>
      <c r="E134"/>
      <c r="F134"/>
      <c r="G134"/>
      <c r="H134"/>
      <c r="I134"/>
      <c r="J134"/>
    </row>
    <row r="135" spans="1:10" ht="15" customHeight="1" x14ac:dyDescent="0.15">
      <c r="A135"/>
      <c r="B135"/>
      <c r="C135"/>
      <c r="D135"/>
      <c r="E135"/>
      <c r="F135"/>
      <c r="G135"/>
      <c r="H135"/>
      <c r="I135"/>
      <c r="J135"/>
    </row>
    <row r="136" spans="1:10" ht="15" customHeight="1" x14ac:dyDescent="0.15">
      <c r="A136"/>
      <c r="B136"/>
      <c r="C136"/>
      <c r="D136"/>
      <c r="E136"/>
      <c r="F136"/>
      <c r="G136"/>
      <c r="H136"/>
      <c r="I136"/>
      <c r="J136"/>
    </row>
    <row r="137" spans="1:10" ht="15" customHeight="1" x14ac:dyDescent="0.15">
      <c r="A137"/>
      <c r="B137"/>
      <c r="C137"/>
      <c r="D137"/>
      <c r="E137"/>
      <c r="F137"/>
      <c r="G137"/>
      <c r="H137"/>
      <c r="I137"/>
      <c r="J137"/>
    </row>
    <row r="138" spans="1:10" ht="15" customHeight="1" x14ac:dyDescent="0.15">
      <c r="A138"/>
      <c r="B138"/>
      <c r="C138"/>
      <c r="D138"/>
      <c r="E138"/>
      <c r="F138"/>
      <c r="G138"/>
      <c r="H138"/>
      <c r="I138"/>
      <c r="J138"/>
    </row>
    <row r="139" spans="1:10" ht="15" customHeight="1" x14ac:dyDescent="0.15">
      <c r="A139"/>
      <c r="B139"/>
      <c r="C139"/>
      <c r="D139"/>
      <c r="E139"/>
      <c r="F139"/>
      <c r="G139"/>
      <c r="H139"/>
      <c r="I139"/>
      <c r="J139"/>
    </row>
    <row r="140" spans="1:10" ht="15" customHeight="1" x14ac:dyDescent="0.15">
      <c r="A140"/>
      <c r="B140"/>
      <c r="C140"/>
      <c r="D140"/>
      <c r="E140"/>
      <c r="F140"/>
      <c r="G140"/>
      <c r="H140"/>
      <c r="I140"/>
      <c r="J140"/>
    </row>
    <row r="141" spans="1:10" ht="15" customHeight="1" x14ac:dyDescent="0.15">
      <c r="A141"/>
      <c r="B141"/>
      <c r="C141"/>
      <c r="D141"/>
      <c r="E141"/>
      <c r="F141"/>
      <c r="G141"/>
      <c r="H141"/>
      <c r="I141"/>
      <c r="J141"/>
    </row>
    <row r="142" spans="1:10" ht="15" customHeight="1" x14ac:dyDescent="0.15">
      <c r="A142"/>
      <c r="B142"/>
      <c r="C142"/>
      <c r="D142"/>
      <c r="E142"/>
      <c r="F142"/>
      <c r="G142"/>
      <c r="H142"/>
      <c r="I142"/>
      <c r="J142"/>
    </row>
    <row r="143" spans="1:10" ht="15" customHeight="1" x14ac:dyDescent="0.15">
      <c r="A143"/>
      <c r="B143"/>
      <c r="C143"/>
      <c r="D143"/>
      <c r="E143"/>
      <c r="F143"/>
      <c r="G143"/>
      <c r="H143"/>
      <c r="I143"/>
      <c r="J143"/>
    </row>
    <row r="144" spans="1:10" ht="15" customHeight="1" x14ac:dyDescent="0.15">
      <c r="A144"/>
      <c r="B144"/>
      <c r="C144"/>
      <c r="D144"/>
      <c r="E144"/>
      <c r="F144"/>
      <c r="G144"/>
      <c r="H144"/>
      <c r="I144"/>
      <c r="J144"/>
    </row>
    <row r="145" spans="1:10" ht="15" customHeight="1" x14ac:dyDescent="0.15">
      <c r="A145"/>
      <c r="B145"/>
      <c r="C145"/>
      <c r="D145"/>
      <c r="E145"/>
      <c r="F145"/>
      <c r="G145"/>
      <c r="H145"/>
      <c r="I145"/>
      <c r="J145"/>
    </row>
    <row r="146" spans="1:10" ht="15" customHeight="1" x14ac:dyDescent="0.15">
      <c r="A146"/>
      <c r="B146"/>
      <c r="C146"/>
      <c r="D146"/>
      <c r="E146"/>
      <c r="F146"/>
      <c r="G146"/>
      <c r="H146"/>
      <c r="I146"/>
      <c r="J146"/>
    </row>
    <row r="147" spans="1:10" ht="15" customHeight="1" x14ac:dyDescent="0.15">
      <c r="A147"/>
      <c r="B147"/>
      <c r="C147"/>
      <c r="D147"/>
      <c r="E147"/>
      <c r="F147"/>
      <c r="G147"/>
      <c r="H147"/>
      <c r="I147"/>
      <c r="J147"/>
    </row>
    <row r="148" spans="1:10" ht="15" customHeight="1" x14ac:dyDescent="0.15">
      <c r="A148"/>
      <c r="B148"/>
      <c r="C148"/>
      <c r="D148"/>
      <c r="E148"/>
      <c r="F148"/>
      <c r="G148"/>
      <c r="H148"/>
      <c r="I148"/>
      <c r="J148"/>
    </row>
    <row r="149" spans="1:10" ht="15" customHeight="1" x14ac:dyDescent="0.15">
      <c r="A149"/>
      <c r="B149"/>
      <c r="C149"/>
      <c r="D149"/>
      <c r="E149"/>
      <c r="F149"/>
      <c r="G149"/>
      <c r="H149"/>
      <c r="I149"/>
      <c r="J149"/>
    </row>
    <row r="150" spans="1:10" ht="15" customHeight="1" x14ac:dyDescent="0.15">
      <c r="A150"/>
      <c r="B150"/>
      <c r="C150"/>
      <c r="D150"/>
      <c r="E150"/>
      <c r="F150"/>
      <c r="G150"/>
      <c r="H150"/>
      <c r="I150"/>
      <c r="J150"/>
    </row>
    <row r="151" spans="1:10" ht="15" customHeight="1" x14ac:dyDescent="0.15">
      <c r="A151"/>
      <c r="B151"/>
      <c r="C151"/>
      <c r="D151"/>
      <c r="E151"/>
      <c r="F151"/>
      <c r="G151"/>
      <c r="H151"/>
      <c r="I151"/>
      <c r="J151"/>
    </row>
    <row r="152" spans="1:10" ht="15" customHeight="1" x14ac:dyDescent="0.15">
      <c r="A152"/>
      <c r="B152"/>
      <c r="C152"/>
      <c r="D152"/>
      <c r="E152"/>
      <c r="F152"/>
      <c r="G152"/>
      <c r="H152"/>
      <c r="I152"/>
      <c r="J152"/>
    </row>
    <row r="153" spans="1:10" ht="15" customHeight="1" x14ac:dyDescent="0.15">
      <c r="A153"/>
      <c r="B153"/>
      <c r="C153"/>
      <c r="D153"/>
      <c r="E153"/>
      <c r="F153"/>
      <c r="G153"/>
      <c r="H153"/>
      <c r="I153"/>
      <c r="J153"/>
    </row>
    <row r="154" spans="1:10" ht="15" customHeight="1" x14ac:dyDescent="0.15">
      <c r="A154"/>
      <c r="B154"/>
      <c r="C154"/>
      <c r="D154"/>
      <c r="E154"/>
      <c r="F154"/>
      <c r="G154"/>
      <c r="H154"/>
      <c r="I154"/>
      <c r="J154"/>
    </row>
    <row r="155" spans="1:10" ht="15" customHeight="1" x14ac:dyDescent="0.15">
      <c r="A155"/>
      <c r="B155"/>
      <c r="C155"/>
      <c r="D155"/>
      <c r="E155"/>
      <c r="F155"/>
      <c r="G155"/>
      <c r="H155"/>
      <c r="I155"/>
      <c r="J155"/>
    </row>
    <row r="156" spans="1:10" ht="15" customHeight="1" x14ac:dyDescent="0.15">
      <c r="A156"/>
      <c r="B156"/>
      <c r="C156"/>
      <c r="D156"/>
      <c r="E156"/>
      <c r="F156"/>
      <c r="G156"/>
      <c r="H156"/>
      <c r="I156"/>
      <c r="J156"/>
    </row>
    <row r="157" spans="1:10" ht="15" customHeight="1" x14ac:dyDescent="0.15">
      <c r="A157"/>
      <c r="B157"/>
      <c r="C157"/>
      <c r="D157"/>
      <c r="E157"/>
      <c r="F157"/>
      <c r="G157"/>
      <c r="H157"/>
      <c r="I157"/>
      <c r="J157"/>
    </row>
    <row r="158" spans="1:10" ht="15" customHeight="1" x14ac:dyDescent="0.15">
      <c r="A158"/>
      <c r="B158"/>
      <c r="C158"/>
      <c r="D158"/>
      <c r="E158"/>
      <c r="F158"/>
      <c r="G158"/>
      <c r="H158"/>
      <c r="I158"/>
      <c r="J158"/>
    </row>
    <row r="159" spans="1:10" ht="15" customHeight="1" x14ac:dyDescent="0.15">
      <c r="A159"/>
      <c r="B159"/>
      <c r="C159"/>
      <c r="D159"/>
      <c r="E159"/>
      <c r="F159"/>
      <c r="G159"/>
      <c r="H159"/>
      <c r="I159"/>
      <c r="J159"/>
    </row>
    <row r="160" spans="1:10" ht="15" customHeight="1" x14ac:dyDescent="0.15">
      <c r="A160"/>
      <c r="B160"/>
      <c r="C160"/>
      <c r="D160"/>
      <c r="E160"/>
      <c r="F160"/>
      <c r="G160"/>
      <c r="H160"/>
      <c r="I160"/>
      <c r="J160"/>
    </row>
    <row r="161" spans="1:10" ht="15" customHeight="1" x14ac:dyDescent="0.15">
      <c r="A161"/>
      <c r="B161"/>
      <c r="C161"/>
      <c r="D161"/>
      <c r="E161"/>
      <c r="F161"/>
      <c r="G161"/>
      <c r="H161"/>
      <c r="I161"/>
      <c r="J161"/>
    </row>
    <row r="162" spans="1:10" ht="15" customHeight="1" x14ac:dyDescent="0.15">
      <c r="A162"/>
      <c r="B162"/>
      <c r="C162"/>
      <c r="D162"/>
      <c r="E162"/>
      <c r="F162"/>
      <c r="G162"/>
      <c r="H162"/>
      <c r="I162"/>
      <c r="J162"/>
    </row>
    <row r="163" spans="1:10" ht="15" customHeight="1" x14ac:dyDescent="0.15">
      <c r="A163"/>
      <c r="B163"/>
      <c r="C163"/>
      <c r="D163"/>
      <c r="E163"/>
      <c r="F163"/>
      <c r="G163"/>
      <c r="H163"/>
      <c r="I163"/>
      <c r="J163"/>
    </row>
    <row r="164" spans="1:10" ht="15" customHeight="1" x14ac:dyDescent="0.15">
      <c r="A164"/>
      <c r="B164"/>
      <c r="C164"/>
      <c r="D164"/>
      <c r="E164"/>
      <c r="F164"/>
      <c r="G164"/>
      <c r="H164"/>
      <c r="I164"/>
      <c r="J164"/>
    </row>
    <row r="165" spans="1:10" ht="15" customHeight="1" x14ac:dyDescent="0.15">
      <c r="A165"/>
      <c r="B165"/>
      <c r="C165"/>
      <c r="D165"/>
      <c r="E165"/>
      <c r="F165"/>
      <c r="G165"/>
      <c r="H165"/>
      <c r="I165"/>
      <c r="J165"/>
    </row>
    <row r="166" spans="1:10" ht="15" customHeight="1" x14ac:dyDescent="0.15">
      <c r="A166"/>
      <c r="B166"/>
      <c r="C166"/>
      <c r="D166"/>
      <c r="E166"/>
      <c r="F166"/>
      <c r="G166"/>
      <c r="H166"/>
      <c r="I166"/>
      <c r="J166"/>
    </row>
    <row r="167" spans="1:10" ht="15" customHeight="1" x14ac:dyDescent="0.15">
      <c r="A167"/>
      <c r="B167"/>
      <c r="C167"/>
      <c r="D167"/>
      <c r="E167"/>
      <c r="F167"/>
      <c r="G167"/>
      <c r="H167"/>
      <c r="I167"/>
      <c r="J167"/>
    </row>
    <row r="168" spans="1:10" ht="15" customHeight="1" x14ac:dyDescent="0.15">
      <c r="A168"/>
      <c r="B168"/>
      <c r="C168"/>
      <c r="D168"/>
      <c r="E168"/>
      <c r="F168"/>
      <c r="G168"/>
      <c r="H168"/>
      <c r="I168"/>
      <c r="J168"/>
    </row>
    <row r="169" spans="1:10" ht="15" customHeight="1" x14ac:dyDescent="0.15">
      <c r="A169"/>
      <c r="B169"/>
      <c r="C169"/>
      <c r="D169"/>
      <c r="E169"/>
      <c r="F169"/>
      <c r="G169"/>
      <c r="H169"/>
      <c r="I169"/>
      <c r="J169"/>
    </row>
    <row r="170" spans="1:10" ht="15" customHeight="1" x14ac:dyDescent="0.15">
      <c r="A170"/>
      <c r="B170"/>
      <c r="C170"/>
      <c r="D170"/>
      <c r="E170"/>
      <c r="F170"/>
      <c r="G170"/>
      <c r="H170"/>
      <c r="I170"/>
      <c r="J170"/>
    </row>
    <row r="171" spans="1:10" ht="15" customHeight="1" x14ac:dyDescent="0.15">
      <c r="A171"/>
      <c r="B171"/>
      <c r="C171"/>
      <c r="D171"/>
      <c r="E171"/>
      <c r="F171"/>
      <c r="G171"/>
      <c r="H171"/>
      <c r="I171"/>
      <c r="J171"/>
    </row>
    <row r="172" spans="1:10" ht="15" customHeight="1" x14ac:dyDescent="0.15">
      <c r="A172"/>
      <c r="B172"/>
      <c r="C172"/>
      <c r="D172"/>
      <c r="E172"/>
      <c r="F172"/>
      <c r="G172"/>
      <c r="H172"/>
      <c r="I172"/>
      <c r="J172"/>
    </row>
    <row r="173" spans="1:10" ht="15" customHeight="1" x14ac:dyDescent="0.15">
      <c r="A173"/>
      <c r="B173"/>
      <c r="C173"/>
      <c r="D173"/>
      <c r="E173"/>
      <c r="F173"/>
      <c r="G173"/>
      <c r="H173"/>
      <c r="I173"/>
      <c r="J173"/>
    </row>
    <row r="174" spans="1:10" ht="15" customHeight="1" x14ac:dyDescent="0.15">
      <c r="A174"/>
      <c r="B174"/>
      <c r="C174"/>
      <c r="D174"/>
      <c r="E174"/>
      <c r="F174"/>
      <c r="G174"/>
      <c r="H174"/>
      <c r="I174"/>
      <c r="J174"/>
    </row>
    <row r="175" spans="1:10" ht="15" customHeight="1" x14ac:dyDescent="0.15">
      <c r="A175"/>
      <c r="B175"/>
      <c r="C175"/>
      <c r="D175"/>
      <c r="E175"/>
      <c r="F175"/>
      <c r="G175"/>
      <c r="H175"/>
      <c r="I175"/>
      <c r="J175"/>
    </row>
    <row r="176" spans="1:10" ht="15" customHeight="1" x14ac:dyDescent="0.15">
      <c r="A176"/>
      <c r="B176"/>
      <c r="C176"/>
      <c r="D176"/>
      <c r="E176"/>
      <c r="F176"/>
      <c r="G176"/>
      <c r="H176"/>
      <c r="I176"/>
      <c r="J176"/>
    </row>
    <row r="177" spans="1:10" ht="15" customHeight="1" x14ac:dyDescent="0.15">
      <c r="A177"/>
      <c r="B177"/>
      <c r="C177"/>
      <c r="D177"/>
      <c r="E177"/>
      <c r="F177"/>
      <c r="G177"/>
      <c r="H177"/>
      <c r="I177"/>
      <c r="J177"/>
    </row>
    <row r="178" spans="1:10" ht="15" customHeight="1" x14ac:dyDescent="0.15">
      <c r="A178"/>
      <c r="B178"/>
      <c r="C178"/>
      <c r="D178"/>
      <c r="E178"/>
      <c r="F178"/>
      <c r="G178"/>
      <c r="H178"/>
      <c r="I178"/>
      <c r="J178"/>
    </row>
    <row r="179" spans="1:10" ht="15" customHeight="1" x14ac:dyDescent="0.15">
      <c r="A179"/>
      <c r="B179"/>
      <c r="C179"/>
      <c r="D179"/>
      <c r="E179"/>
      <c r="F179"/>
      <c r="G179"/>
      <c r="H179"/>
      <c r="I179"/>
      <c r="J179"/>
    </row>
    <row r="180" spans="1:10" ht="15" customHeight="1" x14ac:dyDescent="0.15">
      <c r="A180"/>
      <c r="B180"/>
      <c r="C180"/>
      <c r="D180"/>
      <c r="E180"/>
      <c r="F180"/>
      <c r="G180"/>
      <c r="H180"/>
      <c r="I180"/>
      <c r="J180"/>
    </row>
    <row r="181" spans="1:10" ht="15" customHeight="1" x14ac:dyDescent="0.15">
      <c r="A181"/>
      <c r="B181"/>
      <c r="C181"/>
      <c r="D181"/>
      <c r="E181"/>
      <c r="F181"/>
      <c r="G181"/>
      <c r="H181"/>
      <c r="I181"/>
      <c r="J181"/>
    </row>
    <row r="182" spans="1:10" ht="15" customHeight="1" x14ac:dyDescent="0.15">
      <c r="A182"/>
      <c r="B182"/>
      <c r="C182"/>
      <c r="D182"/>
      <c r="E182"/>
      <c r="F182"/>
      <c r="G182"/>
      <c r="H182"/>
      <c r="I182"/>
      <c r="J182"/>
    </row>
    <row r="183" spans="1:10" ht="15" customHeight="1" x14ac:dyDescent="0.15">
      <c r="A183"/>
      <c r="B183"/>
      <c r="C183"/>
      <c r="D183"/>
      <c r="E183"/>
      <c r="F183"/>
      <c r="G183"/>
      <c r="H183"/>
      <c r="I183"/>
      <c r="J183"/>
    </row>
    <row r="184" spans="1:10" ht="15" customHeight="1" x14ac:dyDescent="0.15">
      <c r="A184"/>
      <c r="B184"/>
      <c r="C184"/>
      <c r="D184"/>
      <c r="E184"/>
      <c r="F184"/>
      <c r="G184"/>
      <c r="H184"/>
      <c r="I184"/>
      <c r="J184"/>
    </row>
    <row r="185" spans="1:10" ht="15" customHeight="1" x14ac:dyDescent="0.15">
      <c r="A185"/>
      <c r="B185"/>
      <c r="C185"/>
      <c r="D185"/>
      <c r="E185"/>
      <c r="F185"/>
      <c r="G185"/>
      <c r="H185"/>
      <c r="I185"/>
      <c r="J185"/>
    </row>
    <row r="186" spans="1:10" ht="15" customHeight="1" x14ac:dyDescent="0.15">
      <c r="A186"/>
      <c r="B186"/>
      <c r="C186"/>
      <c r="D186"/>
      <c r="E186"/>
      <c r="F186"/>
      <c r="G186"/>
      <c r="H186"/>
      <c r="I186"/>
      <c r="J186"/>
    </row>
    <row r="187" spans="1:10" ht="15" customHeight="1" x14ac:dyDescent="0.15">
      <c r="A187"/>
      <c r="B187"/>
      <c r="C187"/>
      <c r="D187"/>
      <c r="E187"/>
      <c r="F187"/>
      <c r="G187"/>
      <c r="H187"/>
      <c r="I187"/>
      <c r="J187"/>
    </row>
    <row r="188" spans="1:10" ht="15" customHeight="1" x14ac:dyDescent="0.15">
      <c r="A188"/>
      <c r="B188"/>
      <c r="C188"/>
      <c r="D188"/>
      <c r="E188"/>
      <c r="F188"/>
      <c r="G188"/>
      <c r="H188"/>
      <c r="I188"/>
      <c r="J188"/>
    </row>
    <row r="189" spans="1:10" ht="15" customHeight="1" x14ac:dyDescent="0.15">
      <c r="A189"/>
      <c r="B189"/>
      <c r="C189"/>
      <c r="D189"/>
      <c r="E189"/>
      <c r="F189"/>
      <c r="G189"/>
      <c r="H189"/>
      <c r="I189"/>
      <c r="J189"/>
    </row>
    <row r="190" spans="1:10" ht="15" customHeight="1" x14ac:dyDescent="0.15">
      <c r="A190"/>
      <c r="B190"/>
      <c r="C190"/>
      <c r="D190"/>
      <c r="E190"/>
      <c r="F190"/>
      <c r="G190"/>
      <c r="H190"/>
      <c r="I190"/>
      <c r="J190"/>
    </row>
    <row r="191" spans="1:10" ht="15" customHeight="1" x14ac:dyDescent="0.15">
      <c r="A191"/>
      <c r="B191"/>
      <c r="C191"/>
      <c r="D191"/>
      <c r="E191"/>
      <c r="F191"/>
      <c r="G191"/>
      <c r="H191"/>
      <c r="I191"/>
      <c r="J191"/>
    </row>
    <row r="192" spans="1:10" ht="15" customHeight="1" x14ac:dyDescent="0.15">
      <c r="A192"/>
      <c r="B192"/>
      <c r="C192"/>
      <c r="D192"/>
      <c r="E192"/>
      <c r="F192"/>
      <c r="G192"/>
      <c r="H192"/>
      <c r="I192"/>
      <c r="J192"/>
    </row>
    <row r="193" spans="1:10" ht="15" customHeight="1" x14ac:dyDescent="0.15">
      <c r="A193"/>
      <c r="B193"/>
      <c r="C193"/>
      <c r="D193"/>
      <c r="E193"/>
      <c r="F193"/>
      <c r="G193"/>
      <c r="H193"/>
      <c r="I193"/>
      <c r="J193"/>
    </row>
    <row r="194" spans="1:10" ht="15" customHeight="1" x14ac:dyDescent="0.15">
      <c r="A194"/>
      <c r="B194"/>
      <c r="C194"/>
      <c r="D194"/>
      <c r="E194"/>
      <c r="F194"/>
      <c r="G194"/>
      <c r="H194"/>
      <c r="I194"/>
      <c r="J194"/>
    </row>
    <row r="195" spans="1:10" ht="15" customHeight="1" x14ac:dyDescent="0.15">
      <c r="A195"/>
      <c r="B195"/>
      <c r="C195"/>
      <c r="D195"/>
      <c r="E195"/>
      <c r="F195"/>
      <c r="G195"/>
      <c r="H195"/>
      <c r="I195"/>
      <c r="J195"/>
    </row>
    <row r="196" spans="1:10" ht="15" customHeight="1" x14ac:dyDescent="0.15">
      <c r="A196"/>
      <c r="B196"/>
      <c r="C196"/>
      <c r="D196"/>
      <c r="E196"/>
      <c r="F196"/>
      <c r="G196"/>
      <c r="H196"/>
      <c r="I196"/>
      <c r="J196"/>
    </row>
    <row r="197" spans="1:10" ht="15" customHeight="1" x14ac:dyDescent="0.15">
      <c r="A197"/>
      <c r="B197"/>
      <c r="C197"/>
      <c r="D197"/>
      <c r="E197"/>
      <c r="F197"/>
      <c r="G197"/>
      <c r="H197"/>
      <c r="I197"/>
      <c r="J197"/>
    </row>
    <row r="198" spans="1:10" ht="15" customHeight="1" x14ac:dyDescent="0.15">
      <c r="A198"/>
      <c r="B198"/>
      <c r="C198"/>
      <c r="D198"/>
      <c r="E198"/>
      <c r="F198"/>
      <c r="G198"/>
      <c r="H198"/>
      <c r="I198"/>
      <c r="J198"/>
    </row>
    <row r="199" spans="1:10" ht="15" customHeight="1" x14ac:dyDescent="0.15">
      <c r="A199"/>
      <c r="B199"/>
      <c r="C199"/>
      <c r="D199"/>
      <c r="E199"/>
      <c r="F199"/>
      <c r="G199"/>
      <c r="H199"/>
      <c r="I199"/>
      <c r="J199"/>
    </row>
    <row r="200" spans="1:10" ht="15" customHeight="1" x14ac:dyDescent="0.15">
      <c r="A200"/>
      <c r="B200"/>
      <c r="C200"/>
      <c r="D200"/>
      <c r="E200"/>
      <c r="F200"/>
      <c r="G200"/>
      <c r="H200"/>
      <c r="I200"/>
      <c r="J200"/>
    </row>
    <row r="201" spans="1:10" ht="15" customHeight="1" x14ac:dyDescent="0.15">
      <c r="A201"/>
      <c r="B201"/>
      <c r="C201"/>
      <c r="D201"/>
      <c r="E201"/>
      <c r="F201"/>
      <c r="G201"/>
      <c r="H201"/>
      <c r="I201"/>
      <c r="J201"/>
    </row>
    <row r="202" spans="1:10" ht="15" customHeight="1" x14ac:dyDescent="0.15">
      <c r="A202"/>
      <c r="B202"/>
      <c r="C202"/>
      <c r="D202"/>
      <c r="E202"/>
      <c r="F202"/>
      <c r="G202"/>
      <c r="H202"/>
      <c r="I202"/>
      <c r="J202"/>
    </row>
    <row r="203" spans="1:10" ht="15" customHeight="1" x14ac:dyDescent="0.15">
      <c r="A203"/>
      <c r="B203"/>
      <c r="C203"/>
      <c r="D203"/>
      <c r="E203"/>
      <c r="F203"/>
      <c r="G203"/>
      <c r="H203"/>
      <c r="I203"/>
      <c r="J203"/>
    </row>
    <row r="204" spans="1:10" ht="15" customHeight="1" x14ac:dyDescent="0.15">
      <c r="A204"/>
      <c r="B204"/>
      <c r="C204"/>
      <c r="D204"/>
      <c r="E204"/>
      <c r="F204"/>
      <c r="G204"/>
      <c r="H204"/>
      <c r="I204"/>
      <c r="J204"/>
    </row>
    <row r="205" spans="1:10" ht="15" customHeight="1" x14ac:dyDescent="0.15">
      <c r="A205"/>
      <c r="B205"/>
      <c r="C205"/>
      <c r="D205"/>
      <c r="E205"/>
      <c r="F205"/>
      <c r="G205"/>
      <c r="H205"/>
      <c r="I205"/>
      <c r="J205"/>
    </row>
    <row r="206" spans="1:10" ht="15" customHeight="1" x14ac:dyDescent="0.15">
      <c r="A206"/>
      <c r="B206"/>
      <c r="C206"/>
      <c r="D206"/>
      <c r="E206"/>
      <c r="F206"/>
      <c r="G206"/>
      <c r="H206"/>
      <c r="I206"/>
      <c r="J206"/>
    </row>
    <row r="207" spans="1:10" ht="15" customHeight="1" x14ac:dyDescent="0.15">
      <c r="A207"/>
      <c r="B207"/>
      <c r="C207"/>
      <c r="D207"/>
      <c r="E207"/>
      <c r="F207"/>
      <c r="G207"/>
      <c r="H207"/>
      <c r="I207"/>
      <c r="J207"/>
    </row>
    <row r="208" spans="1:10" ht="15" customHeight="1" x14ac:dyDescent="0.15">
      <c r="A208"/>
      <c r="B208"/>
      <c r="C208"/>
      <c r="D208"/>
      <c r="E208"/>
      <c r="F208"/>
      <c r="G208"/>
      <c r="H208"/>
      <c r="I208"/>
      <c r="J208"/>
    </row>
    <row r="209" spans="1:10" ht="15" customHeight="1" x14ac:dyDescent="0.15">
      <c r="A209"/>
      <c r="B209"/>
      <c r="C209"/>
      <c r="D209"/>
      <c r="E209"/>
      <c r="F209"/>
      <c r="G209"/>
      <c r="H209"/>
      <c r="I209"/>
      <c r="J209"/>
    </row>
    <row r="210" spans="1:10" ht="15" customHeight="1" x14ac:dyDescent="0.15">
      <c r="A210"/>
      <c r="B210"/>
      <c r="C210"/>
      <c r="D210"/>
      <c r="E210"/>
      <c r="F210"/>
      <c r="G210"/>
      <c r="H210"/>
      <c r="I210"/>
      <c r="J210"/>
    </row>
    <row r="211" spans="1:10" ht="15" customHeight="1" x14ac:dyDescent="0.15">
      <c r="A211"/>
      <c r="B211"/>
      <c r="C211"/>
      <c r="D211"/>
      <c r="E211"/>
      <c r="F211"/>
      <c r="G211"/>
      <c r="H211"/>
      <c r="I211"/>
      <c r="J211"/>
    </row>
    <row r="212" spans="1:10" ht="15" customHeight="1" x14ac:dyDescent="0.15">
      <c r="A212"/>
      <c r="B212"/>
      <c r="C212"/>
      <c r="D212"/>
      <c r="E212"/>
      <c r="F212"/>
      <c r="G212"/>
      <c r="H212"/>
      <c r="I212"/>
      <c r="J212"/>
    </row>
    <row r="213" spans="1:10" ht="15" customHeight="1" x14ac:dyDescent="0.15">
      <c r="A213"/>
      <c r="B213"/>
      <c r="C213"/>
      <c r="D213"/>
      <c r="E213"/>
      <c r="F213"/>
      <c r="G213"/>
      <c r="H213"/>
      <c r="I213"/>
      <c r="J213"/>
    </row>
    <row r="214" spans="1:10" ht="15" customHeight="1" x14ac:dyDescent="0.15">
      <c r="A214"/>
      <c r="B214"/>
      <c r="C214"/>
      <c r="D214"/>
      <c r="E214"/>
      <c r="F214"/>
      <c r="G214"/>
      <c r="H214"/>
      <c r="I214"/>
      <c r="J214"/>
    </row>
    <row r="215" spans="1:10" ht="15" customHeight="1" x14ac:dyDescent="0.15">
      <c r="A215"/>
      <c r="B215"/>
      <c r="C215"/>
      <c r="D215"/>
      <c r="E215"/>
      <c r="F215"/>
      <c r="G215"/>
      <c r="H215"/>
      <c r="I215"/>
      <c r="J215"/>
    </row>
    <row r="216" spans="1:10" ht="15" customHeight="1" x14ac:dyDescent="0.15">
      <c r="A216"/>
      <c r="B216"/>
      <c r="C216"/>
      <c r="D216"/>
      <c r="E216"/>
      <c r="F216"/>
      <c r="G216"/>
      <c r="H216"/>
      <c r="I216"/>
      <c r="J216"/>
    </row>
    <row r="217" spans="1:10" ht="15" customHeight="1" x14ac:dyDescent="0.15">
      <c r="A217"/>
      <c r="B217"/>
      <c r="C217"/>
      <c r="D217"/>
      <c r="E217"/>
      <c r="F217"/>
      <c r="G217"/>
      <c r="H217"/>
      <c r="I217"/>
      <c r="J217"/>
    </row>
    <row r="218" spans="1:10" ht="15" customHeight="1" x14ac:dyDescent="0.15">
      <c r="A218"/>
      <c r="B218"/>
      <c r="C218"/>
      <c r="D218"/>
      <c r="E218"/>
      <c r="F218"/>
      <c r="G218"/>
      <c r="H218"/>
      <c r="I218"/>
      <c r="J218"/>
    </row>
    <row r="219" spans="1:10" ht="15" customHeight="1" x14ac:dyDescent="0.15">
      <c r="A219"/>
      <c r="B219"/>
      <c r="C219"/>
      <c r="D219"/>
      <c r="E219"/>
      <c r="F219"/>
      <c r="G219"/>
      <c r="H219"/>
      <c r="I219"/>
      <c r="J219"/>
    </row>
    <row r="220" spans="1:10" ht="15" customHeight="1" x14ac:dyDescent="0.15">
      <c r="A220"/>
      <c r="B220"/>
      <c r="C220"/>
      <c r="D220"/>
      <c r="E220"/>
      <c r="F220"/>
      <c r="G220"/>
      <c r="H220"/>
      <c r="I220"/>
      <c r="J220"/>
    </row>
    <row r="221" spans="1:10" ht="15" customHeight="1" x14ac:dyDescent="0.15">
      <c r="A221"/>
      <c r="B221"/>
      <c r="C221"/>
      <c r="D221"/>
      <c r="E221"/>
      <c r="F221"/>
      <c r="G221"/>
      <c r="H221"/>
      <c r="I221"/>
      <c r="J221"/>
    </row>
    <row r="222" spans="1:10" ht="15" customHeight="1" x14ac:dyDescent="0.15">
      <c r="A222"/>
      <c r="B222"/>
      <c r="C222"/>
      <c r="D222"/>
      <c r="E222"/>
      <c r="F222"/>
      <c r="G222"/>
      <c r="H222"/>
      <c r="I222"/>
      <c r="J222"/>
    </row>
    <row r="223" spans="1:10" ht="15" customHeight="1" x14ac:dyDescent="0.15">
      <c r="A223"/>
      <c r="B223"/>
      <c r="C223"/>
      <c r="D223"/>
      <c r="E223"/>
      <c r="F223"/>
      <c r="G223"/>
      <c r="H223"/>
      <c r="I223"/>
      <c r="J223"/>
    </row>
    <row r="224" spans="1:10" ht="15" customHeight="1" x14ac:dyDescent="0.15">
      <c r="A224"/>
      <c r="B224"/>
      <c r="C224"/>
      <c r="D224"/>
      <c r="E224"/>
      <c r="F224"/>
      <c r="G224"/>
      <c r="H224"/>
      <c r="I224"/>
      <c r="J224"/>
    </row>
    <row r="225" spans="1:10" ht="15" customHeight="1" x14ac:dyDescent="0.15">
      <c r="A225"/>
      <c r="B225"/>
      <c r="C225"/>
      <c r="D225"/>
      <c r="E225"/>
      <c r="F225"/>
      <c r="G225"/>
      <c r="H225"/>
      <c r="I225"/>
      <c r="J225"/>
    </row>
    <row r="226" spans="1:10" ht="15" customHeight="1" x14ac:dyDescent="0.15">
      <c r="A226"/>
      <c r="B226"/>
      <c r="C226"/>
      <c r="D226"/>
      <c r="E226"/>
      <c r="F226"/>
      <c r="G226"/>
      <c r="H226"/>
      <c r="I226"/>
      <c r="J226"/>
    </row>
    <row r="227" spans="1:10" ht="15" customHeight="1" x14ac:dyDescent="0.15">
      <c r="A227"/>
      <c r="B227"/>
      <c r="C227"/>
      <c r="D227"/>
      <c r="E227"/>
      <c r="F227"/>
      <c r="G227"/>
      <c r="H227"/>
      <c r="I227"/>
      <c r="J227"/>
    </row>
    <row r="228" spans="1:10" ht="15" customHeight="1" x14ac:dyDescent="0.15">
      <c r="A228"/>
      <c r="B228"/>
      <c r="C228"/>
      <c r="D228"/>
      <c r="E228"/>
      <c r="F228"/>
      <c r="G228"/>
      <c r="H228"/>
      <c r="I228"/>
      <c r="J228"/>
    </row>
    <row r="229" spans="1:10" ht="15" customHeight="1" x14ac:dyDescent="0.15">
      <c r="A229"/>
      <c r="B229"/>
      <c r="C229"/>
      <c r="D229"/>
      <c r="E229"/>
      <c r="F229"/>
      <c r="G229"/>
      <c r="H229"/>
      <c r="I229"/>
      <c r="J229"/>
    </row>
    <row r="230" spans="1:10" ht="15" customHeight="1" x14ac:dyDescent="0.15">
      <c r="A230"/>
      <c r="B230"/>
      <c r="C230"/>
      <c r="D230"/>
      <c r="E230"/>
      <c r="F230"/>
      <c r="G230"/>
      <c r="H230"/>
      <c r="I230"/>
      <c r="J230"/>
    </row>
    <row r="231" spans="1:10" ht="15" customHeight="1" x14ac:dyDescent="0.15">
      <c r="A231"/>
      <c r="B231"/>
      <c r="C231"/>
      <c r="D231"/>
      <c r="E231"/>
      <c r="F231"/>
      <c r="G231"/>
      <c r="H231"/>
      <c r="I231"/>
      <c r="J231"/>
    </row>
    <row r="232" spans="1:10" ht="15" customHeight="1" x14ac:dyDescent="0.15">
      <c r="A232"/>
      <c r="B232"/>
      <c r="C232"/>
      <c r="D232"/>
      <c r="E232"/>
      <c r="F232"/>
      <c r="G232"/>
      <c r="H232"/>
      <c r="I232"/>
      <c r="J232"/>
    </row>
    <row r="233" spans="1:10" ht="15" customHeight="1" x14ac:dyDescent="0.15">
      <c r="A233"/>
      <c r="B233"/>
      <c r="C233"/>
      <c r="D233"/>
      <c r="E233"/>
      <c r="F233"/>
      <c r="G233"/>
      <c r="H233"/>
      <c r="I233"/>
      <c r="J233"/>
    </row>
    <row r="234" spans="1:10" ht="15" customHeight="1" x14ac:dyDescent="0.15">
      <c r="A234"/>
      <c r="B234"/>
      <c r="C234"/>
      <c r="D234"/>
      <c r="E234"/>
      <c r="F234"/>
      <c r="G234"/>
      <c r="H234"/>
      <c r="I234"/>
      <c r="J234"/>
    </row>
    <row r="235" spans="1:10" ht="15" customHeight="1" x14ac:dyDescent="0.15">
      <c r="A235"/>
      <c r="B235"/>
      <c r="C235"/>
      <c r="D235"/>
      <c r="E235"/>
      <c r="F235"/>
      <c r="G235"/>
      <c r="H235"/>
      <c r="I235"/>
      <c r="J235"/>
    </row>
    <row r="236" spans="1:10" ht="15" customHeight="1" x14ac:dyDescent="0.15">
      <c r="A236"/>
      <c r="B236"/>
      <c r="C236"/>
      <c r="D236"/>
      <c r="E236"/>
      <c r="F236"/>
      <c r="G236"/>
      <c r="H236"/>
      <c r="I236"/>
      <c r="J236"/>
    </row>
    <row r="237" spans="1:10" ht="15" customHeight="1" x14ac:dyDescent="0.15">
      <c r="A237"/>
      <c r="B237"/>
      <c r="C237"/>
      <c r="D237"/>
      <c r="E237"/>
      <c r="F237"/>
      <c r="G237"/>
      <c r="H237"/>
      <c r="I237"/>
      <c r="J237"/>
    </row>
    <row r="238" spans="1:10" ht="15" customHeight="1" x14ac:dyDescent="0.15">
      <c r="A238"/>
      <c r="B238"/>
      <c r="C238"/>
      <c r="D238"/>
      <c r="E238"/>
      <c r="F238"/>
      <c r="G238"/>
      <c r="H238"/>
      <c r="I238"/>
      <c r="J238"/>
    </row>
    <row r="239" spans="1:10" ht="15" customHeight="1" x14ac:dyDescent="0.15">
      <c r="A239"/>
      <c r="B239"/>
      <c r="C239"/>
      <c r="D239"/>
      <c r="E239"/>
      <c r="F239"/>
      <c r="G239"/>
      <c r="H239"/>
      <c r="I239"/>
      <c r="J239"/>
    </row>
    <row r="240" spans="1:10" ht="15" customHeight="1" x14ac:dyDescent="0.15">
      <c r="A240"/>
      <c r="B240"/>
      <c r="C240"/>
      <c r="D240"/>
      <c r="E240"/>
      <c r="F240"/>
      <c r="G240"/>
      <c r="H240"/>
      <c r="I240"/>
      <c r="J240"/>
    </row>
    <row r="241" spans="1:10" ht="15" customHeight="1" x14ac:dyDescent="0.15">
      <c r="A241"/>
      <c r="B241"/>
      <c r="C241"/>
      <c r="D241"/>
      <c r="E241"/>
      <c r="F241"/>
      <c r="G241"/>
      <c r="H241"/>
      <c r="I241"/>
      <c r="J241"/>
    </row>
    <row r="242" spans="1:10" ht="15" customHeight="1" x14ac:dyDescent="0.15">
      <c r="A242"/>
      <c r="B242"/>
      <c r="C242"/>
      <c r="D242"/>
      <c r="E242"/>
      <c r="F242"/>
      <c r="G242"/>
      <c r="H242"/>
      <c r="I242"/>
      <c r="J242"/>
    </row>
    <row r="243" spans="1:10" ht="15" customHeight="1" x14ac:dyDescent="0.15">
      <c r="A243"/>
      <c r="B243"/>
      <c r="C243"/>
      <c r="D243"/>
      <c r="E243"/>
      <c r="F243"/>
      <c r="G243"/>
      <c r="H243"/>
      <c r="I243"/>
      <c r="J243"/>
    </row>
    <row r="244" spans="1:10" ht="15" customHeight="1" x14ac:dyDescent="0.15">
      <c r="A244"/>
      <c r="B244"/>
      <c r="C244"/>
      <c r="D244"/>
      <c r="E244"/>
      <c r="F244"/>
      <c r="G244"/>
      <c r="H244"/>
      <c r="I244"/>
      <c r="J244"/>
    </row>
    <row r="245" spans="1:10" ht="15" customHeight="1" x14ac:dyDescent="0.15">
      <c r="A245"/>
      <c r="B245"/>
      <c r="C245"/>
      <c r="D245"/>
      <c r="E245"/>
      <c r="F245"/>
      <c r="G245"/>
      <c r="H245"/>
      <c r="I245"/>
      <c r="J245"/>
    </row>
    <row r="246" spans="1:10" ht="15" customHeight="1" x14ac:dyDescent="0.15">
      <c r="A246"/>
      <c r="B246"/>
      <c r="C246"/>
      <c r="D246"/>
      <c r="E246"/>
      <c r="F246"/>
      <c r="G246"/>
      <c r="H246"/>
      <c r="I246"/>
      <c r="J246"/>
    </row>
    <row r="247" spans="1:10" ht="15" customHeight="1" x14ac:dyDescent="0.15">
      <c r="A247"/>
      <c r="B247"/>
      <c r="C247"/>
      <c r="D247"/>
      <c r="E247"/>
      <c r="F247"/>
      <c r="G247"/>
      <c r="H247"/>
      <c r="I247"/>
      <c r="J247"/>
    </row>
    <row r="248" spans="1:10" ht="15" customHeight="1" x14ac:dyDescent="0.15">
      <c r="A248"/>
      <c r="B248"/>
      <c r="C248"/>
      <c r="D248"/>
      <c r="E248"/>
      <c r="F248"/>
      <c r="G248"/>
      <c r="H248"/>
      <c r="I248"/>
      <c r="J248"/>
    </row>
    <row r="249" spans="1:10" ht="15" customHeight="1" x14ac:dyDescent="0.15">
      <c r="A249"/>
      <c r="B249"/>
      <c r="C249"/>
      <c r="D249"/>
      <c r="E249"/>
      <c r="F249"/>
      <c r="G249"/>
      <c r="H249"/>
      <c r="I249"/>
      <c r="J249"/>
    </row>
    <row r="250" spans="1:10" ht="15" customHeight="1" x14ac:dyDescent="0.15">
      <c r="A250"/>
      <c r="B250"/>
      <c r="C250"/>
      <c r="D250"/>
      <c r="E250"/>
      <c r="F250"/>
      <c r="G250"/>
      <c r="H250"/>
      <c r="I250"/>
      <c r="J250"/>
    </row>
    <row r="251" spans="1:10" ht="15" customHeight="1" x14ac:dyDescent="0.15">
      <c r="A251"/>
      <c r="B251"/>
      <c r="C251"/>
      <c r="D251"/>
      <c r="E251"/>
      <c r="F251"/>
      <c r="G251"/>
      <c r="H251"/>
      <c r="I251"/>
      <c r="J251"/>
    </row>
    <row r="252" spans="1:10" ht="15" customHeight="1" x14ac:dyDescent="0.15">
      <c r="A252"/>
      <c r="B252"/>
      <c r="C252"/>
      <c r="D252"/>
      <c r="E252"/>
      <c r="F252"/>
      <c r="G252"/>
      <c r="H252"/>
      <c r="I252"/>
      <c r="J252"/>
    </row>
    <row r="253" spans="1:10" ht="15" customHeight="1" x14ac:dyDescent="0.15">
      <c r="A253"/>
      <c r="B253"/>
      <c r="C253"/>
      <c r="D253"/>
      <c r="E253"/>
      <c r="F253"/>
      <c r="G253"/>
      <c r="H253"/>
      <c r="I253"/>
      <c r="J253"/>
    </row>
    <row r="254" spans="1:10" ht="15" customHeight="1" x14ac:dyDescent="0.15">
      <c r="A254"/>
      <c r="B254"/>
      <c r="C254"/>
      <c r="D254"/>
      <c r="E254"/>
      <c r="F254"/>
      <c r="G254"/>
      <c r="H254"/>
      <c r="I254"/>
      <c r="J254"/>
    </row>
    <row r="255" spans="1:10" ht="15" customHeight="1" x14ac:dyDescent="0.15">
      <c r="A255"/>
      <c r="B255"/>
      <c r="C255"/>
      <c r="D255"/>
      <c r="E255"/>
      <c r="F255"/>
      <c r="G255"/>
      <c r="H255"/>
      <c r="I255"/>
      <c r="J255"/>
    </row>
    <row r="256" spans="1:10" ht="15" customHeight="1" x14ac:dyDescent="0.15">
      <c r="A256"/>
      <c r="B256"/>
      <c r="C256"/>
      <c r="D256"/>
      <c r="E256"/>
      <c r="F256"/>
      <c r="G256"/>
      <c r="H256"/>
      <c r="I256"/>
      <c r="J256"/>
    </row>
    <row r="257" spans="1:10" ht="15" customHeight="1" x14ac:dyDescent="0.15">
      <c r="A257"/>
      <c r="B257"/>
      <c r="C257"/>
      <c r="D257"/>
      <c r="E257"/>
      <c r="F257"/>
      <c r="G257"/>
      <c r="H257"/>
      <c r="I257"/>
      <c r="J257"/>
    </row>
    <row r="258" spans="1:10" ht="15" customHeight="1" x14ac:dyDescent="0.15">
      <c r="A258"/>
      <c r="B258"/>
      <c r="C258"/>
      <c r="D258"/>
      <c r="E258"/>
      <c r="F258"/>
      <c r="G258"/>
      <c r="H258"/>
      <c r="I258"/>
      <c r="J258"/>
    </row>
    <row r="259" spans="1:10" ht="15" customHeight="1" x14ac:dyDescent="0.15">
      <c r="A259"/>
      <c r="B259"/>
      <c r="C259"/>
      <c r="D259"/>
      <c r="E259"/>
      <c r="F259"/>
      <c r="G259"/>
      <c r="H259"/>
      <c r="I259"/>
      <c r="J259"/>
    </row>
    <row r="260" spans="1:10" ht="15" customHeight="1" x14ac:dyDescent="0.15">
      <c r="A260"/>
      <c r="B260"/>
      <c r="C260"/>
      <c r="D260"/>
      <c r="E260"/>
      <c r="F260"/>
      <c r="G260"/>
      <c r="H260"/>
      <c r="I260"/>
      <c r="J260"/>
    </row>
    <row r="261" spans="1:10" ht="15" customHeight="1" x14ac:dyDescent="0.15">
      <c r="A261"/>
      <c r="B261"/>
      <c r="C261"/>
      <c r="D261"/>
      <c r="E261"/>
      <c r="F261"/>
      <c r="G261"/>
      <c r="H261"/>
      <c r="I261"/>
      <c r="J261"/>
    </row>
    <row r="262" spans="1:10" ht="15" customHeight="1" x14ac:dyDescent="0.15">
      <c r="A262"/>
      <c r="B262"/>
      <c r="C262"/>
      <c r="D262"/>
      <c r="E262"/>
      <c r="F262"/>
      <c r="G262"/>
      <c r="H262"/>
      <c r="I262"/>
      <c r="J262"/>
    </row>
    <row r="263" spans="1:10" ht="15" customHeight="1" x14ac:dyDescent="0.15">
      <c r="A263"/>
      <c r="B263"/>
      <c r="C263"/>
      <c r="D263"/>
      <c r="E263"/>
      <c r="F263"/>
      <c r="G263"/>
      <c r="H263"/>
      <c r="I263"/>
      <c r="J263"/>
    </row>
    <row r="264" spans="1:10" ht="15" customHeight="1" x14ac:dyDescent="0.15">
      <c r="A264"/>
      <c r="B264"/>
      <c r="C264"/>
      <c r="D264"/>
      <c r="E264"/>
      <c r="F264"/>
      <c r="G264"/>
      <c r="H264"/>
      <c r="I264"/>
      <c r="J264"/>
    </row>
    <row r="265" spans="1:10" ht="15" customHeight="1" x14ac:dyDescent="0.15">
      <c r="A265"/>
      <c r="B265"/>
      <c r="C265"/>
      <c r="D265"/>
      <c r="E265"/>
      <c r="F265"/>
      <c r="G265"/>
      <c r="H265"/>
      <c r="I265"/>
      <c r="J265"/>
    </row>
    <row r="266" spans="1:10" ht="15" customHeight="1" x14ac:dyDescent="0.15">
      <c r="A266"/>
      <c r="B266"/>
      <c r="C266"/>
      <c r="D266"/>
      <c r="E266"/>
      <c r="F266"/>
      <c r="G266"/>
      <c r="H266"/>
      <c r="I266"/>
      <c r="J266"/>
    </row>
    <row r="267" spans="1:10" ht="15" customHeight="1" x14ac:dyDescent="0.15">
      <c r="A267"/>
      <c r="B267"/>
      <c r="C267"/>
      <c r="D267"/>
      <c r="E267"/>
      <c r="F267"/>
      <c r="G267"/>
      <c r="H267"/>
      <c r="I267"/>
      <c r="J267"/>
    </row>
    <row r="268" spans="1:10" ht="15" customHeight="1" x14ac:dyDescent="0.15">
      <c r="A268"/>
      <c r="B268"/>
      <c r="C268"/>
      <c r="D268"/>
      <c r="E268"/>
      <c r="F268"/>
      <c r="G268"/>
      <c r="H268"/>
      <c r="I268"/>
      <c r="J268"/>
    </row>
    <row r="269" spans="1:10" ht="15" customHeight="1" x14ac:dyDescent="0.15">
      <c r="A269"/>
      <c r="B269"/>
      <c r="C269"/>
      <c r="D269"/>
      <c r="E269"/>
      <c r="F269"/>
      <c r="G269"/>
      <c r="H269"/>
      <c r="I269"/>
      <c r="J269"/>
    </row>
    <row r="270" spans="1:10" ht="15" customHeight="1" x14ac:dyDescent="0.15">
      <c r="A270"/>
      <c r="B270"/>
      <c r="C270"/>
      <c r="D270"/>
      <c r="E270"/>
      <c r="F270"/>
      <c r="G270"/>
      <c r="H270"/>
      <c r="I270"/>
      <c r="J270"/>
    </row>
    <row r="271" spans="1:10" ht="15" customHeight="1" x14ac:dyDescent="0.15">
      <c r="A271"/>
      <c r="B271"/>
      <c r="C271"/>
      <c r="D271"/>
      <c r="E271"/>
      <c r="F271"/>
      <c r="G271"/>
      <c r="H271"/>
      <c r="I271"/>
      <c r="J271"/>
    </row>
    <row r="272" spans="1:10" ht="15" customHeight="1" x14ac:dyDescent="0.15">
      <c r="A272"/>
      <c r="B272"/>
      <c r="C272"/>
      <c r="D272"/>
      <c r="E272"/>
      <c r="F272"/>
      <c r="G272"/>
      <c r="H272"/>
      <c r="I272"/>
      <c r="J272"/>
    </row>
    <row r="273" spans="1:10" ht="15" customHeight="1" x14ac:dyDescent="0.15">
      <c r="A273"/>
      <c r="B273"/>
      <c r="C273"/>
      <c r="D273"/>
      <c r="E273"/>
      <c r="F273"/>
      <c r="G273"/>
      <c r="H273"/>
      <c r="I273"/>
      <c r="J273"/>
    </row>
    <row r="274" spans="1:10" ht="15" customHeight="1" x14ac:dyDescent="0.15">
      <c r="A274"/>
      <c r="B274"/>
      <c r="C274"/>
      <c r="D274"/>
      <c r="E274"/>
      <c r="F274"/>
      <c r="G274"/>
      <c r="H274"/>
      <c r="I274"/>
      <c r="J274"/>
    </row>
    <row r="275" spans="1:10" ht="15" customHeight="1" x14ac:dyDescent="0.15">
      <c r="A275"/>
      <c r="B275"/>
      <c r="C275"/>
      <c r="D275"/>
      <c r="E275"/>
      <c r="F275"/>
      <c r="G275"/>
      <c r="H275"/>
      <c r="I275"/>
      <c r="J275"/>
    </row>
    <row r="276" spans="1:10" ht="15" customHeight="1" x14ac:dyDescent="0.15">
      <c r="A276"/>
      <c r="B276"/>
      <c r="C276"/>
      <c r="D276"/>
      <c r="E276"/>
      <c r="F276"/>
      <c r="G276"/>
      <c r="H276"/>
      <c r="I276"/>
      <c r="J276"/>
    </row>
    <row r="277" spans="1:10" ht="15" customHeight="1" x14ac:dyDescent="0.15">
      <c r="A277"/>
      <c r="B277"/>
      <c r="C277"/>
      <c r="D277"/>
      <c r="E277"/>
      <c r="F277"/>
      <c r="G277"/>
      <c r="H277"/>
      <c r="I277"/>
      <c r="J277"/>
    </row>
    <row r="278" spans="1:10" ht="15" customHeight="1" x14ac:dyDescent="0.15">
      <c r="A278"/>
      <c r="B278"/>
      <c r="C278"/>
      <c r="D278"/>
      <c r="E278"/>
      <c r="F278"/>
      <c r="G278"/>
      <c r="H278"/>
      <c r="I278"/>
      <c r="J278"/>
    </row>
    <row r="279" spans="1:10" ht="15" customHeight="1" x14ac:dyDescent="0.15">
      <c r="A279"/>
      <c r="B279"/>
      <c r="C279"/>
      <c r="D279"/>
      <c r="E279"/>
      <c r="F279"/>
      <c r="G279"/>
      <c r="H279"/>
      <c r="I279"/>
      <c r="J279"/>
    </row>
    <row r="280" spans="1:10" ht="15" customHeight="1" x14ac:dyDescent="0.15">
      <c r="A280"/>
      <c r="B280"/>
      <c r="C280"/>
      <c r="D280"/>
      <c r="E280"/>
      <c r="F280"/>
      <c r="G280"/>
      <c r="H280"/>
      <c r="I280"/>
      <c r="J280"/>
    </row>
    <row r="281" spans="1:10" ht="15" customHeight="1" x14ac:dyDescent="0.15">
      <c r="A281"/>
      <c r="B281"/>
      <c r="C281"/>
      <c r="D281"/>
      <c r="E281"/>
      <c r="F281"/>
      <c r="G281"/>
      <c r="H281"/>
      <c r="I281"/>
      <c r="J281"/>
    </row>
    <row r="282" spans="1:10" ht="15" customHeight="1" x14ac:dyDescent="0.15">
      <c r="A282"/>
      <c r="B282"/>
      <c r="C282"/>
      <c r="D282"/>
      <c r="E282"/>
      <c r="F282"/>
      <c r="G282"/>
      <c r="H282"/>
      <c r="I282"/>
      <c r="J282"/>
    </row>
    <row r="283" spans="1:10" ht="15" customHeight="1" x14ac:dyDescent="0.15">
      <c r="A283"/>
      <c r="B283"/>
      <c r="C283"/>
      <c r="D283"/>
      <c r="E283"/>
      <c r="F283"/>
      <c r="G283"/>
      <c r="H283"/>
      <c r="I283"/>
      <c r="J283"/>
    </row>
    <row r="284" spans="1:10" ht="15" customHeight="1" x14ac:dyDescent="0.15">
      <c r="A284"/>
      <c r="B284"/>
      <c r="C284"/>
      <c r="D284"/>
      <c r="E284"/>
      <c r="F284"/>
      <c r="G284"/>
      <c r="H284"/>
      <c r="I284"/>
      <c r="J284"/>
    </row>
    <row r="285" spans="1:10" ht="15" customHeight="1" x14ac:dyDescent="0.15">
      <c r="A285"/>
      <c r="B285"/>
      <c r="C285"/>
      <c r="D285"/>
      <c r="E285"/>
      <c r="F285"/>
      <c r="G285"/>
      <c r="H285"/>
      <c r="I285"/>
      <c r="J285"/>
    </row>
    <row r="286" spans="1:10" ht="15" customHeight="1" x14ac:dyDescent="0.15">
      <c r="A286"/>
      <c r="B286"/>
      <c r="C286"/>
      <c r="D286"/>
      <c r="E286"/>
      <c r="F286"/>
      <c r="G286"/>
      <c r="H286"/>
      <c r="I286"/>
      <c r="J286"/>
    </row>
    <row r="287" spans="1:10" ht="15" customHeight="1" x14ac:dyDescent="0.15">
      <c r="A287"/>
      <c r="B287"/>
      <c r="C287"/>
      <c r="D287"/>
      <c r="E287"/>
      <c r="F287"/>
      <c r="G287"/>
      <c r="H287"/>
      <c r="I287"/>
      <c r="J287"/>
    </row>
    <row r="288" spans="1:10" ht="15" customHeight="1" x14ac:dyDescent="0.15">
      <c r="A288"/>
      <c r="B288"/>
      <c r="C288"/>
      <c r="D288"/>
      <c r="E288"/>
      <c r="F288"/>
      <c r="G288"/>
      <c r="H288"/>
      <c r="I288"/>
      <c r="J288"/>
    </row>
    <row r="289" spans="1:10" ht="15" customHeight="1" x14ac:dyDescent="0.15">
      <c r="A289"/>
      <c r="B289"/>
      <c r="C289"/>
      <c r="D289"/>
      <c r="E289"/>
      <c r="F289"/>
      <c r="G289"/>
      <c r="H289"/>
      <c r="I289"/>
      <c r="J289"/>
    </row>
    <row r="290" spans="1:10" ht="15" customHeight="1" x14ac:dyDescent="0.15">
      <c r="A290"/>
      <c r="B290"/>
      <c r="C290"/>
      <c r="D290"/>
      <c r="E290"/>
      <c r="F290"/>
      <c r="G290"/>
      <c r="H290"/>
      <c r="I290"/>
      <c r="J290"/>
    </row>
    <row r="291" spans="1:10" ht="15" customHeight="1" x14ac:dyDescent="0.15">
      <c r="A291"/>
      <c r="B291"/>
      <c r="C291"/>
      <c r="D291"/>
      <c r="E291"/>
      <c r="F291"/>
      <c r="G291"/>
      <c r="H291"/>
      <c r="I291"/>
      <c r="J291"/>
    </row>
    <row r="292" spans="1:10" ht="15" customHeight="1" x14ac:dyDescent="0.15">
      <c r="A292"/>
      <c r="B292"/>
      <c r="C292"/>
      <c r="D292"/>
      <c r="E292"/>
      <c r="F292"/>
      <c r="G292"/>
      <c r="H292"/>
      <c r="I292"/>
      <c r="J292"/>
    </row>
    <row r="293" spans="1:10" ht="15" customHeight="1" x14ac:dyDescent="0.15">
      <c r="A293"/>
      <c r="B293"/>
      <c r="C293"/>
      <c r="D293"/>
      <c r="E293"/>
      <c r="F293"/>
      <c r="G293"/>
      <c r="H293"/>
      <c r="I293"/>
      <c r="J293"/>
    </row>
    <row r="294" spans="1:10" ht="15" customHeight="1" x14ac:dyDescent="0.15">
      <c r="A294"/>
      <c r="B294"/>
      <c r="C294"/>
      <c r="D294"/>
      <c r="E294"/>
      <c r="F294"/>
      <c r="G294"/>
      <c r="H294"/>
      <c r="I294"/>
      <c r="J294"/>
    </row>
    <row r="295" spans="1:10" ht="15" customHeight="1" x14ac:dyDescent="0.15">
      <c r="A295"/>
      <c r="B295"/>
      <c r="C295"/>
      <c r="D295"/>
      <c r="E295"/>
      <c r="F295"/>
      <c r="G295"/>
      <c r="H295"/>
      <c r="I295"/>
      <c r="J295"/>
    </row>
    <row r="296" spans="1:10" ht="15" customHeight="1" x14ac:dyDescent="0.15">
      <c r="A296"/>
      <c r="B296"/>
      <c r="C296"/>
      <c r="D296"/>
      <c r="E296"/>
      <c r="F296"/>
      <c r="G296"/>
      <c r="H296"/>
      <c r="I296"/>
      <c r="J296"/>
    </row>
    <row r="297" spans="1:10" ht="15" customHeight="1" x14ac:dyDescent="0.15">
      <c r="A297"/>
      <c r="B297"/>
      <c r="C297"/>
      <c r="D297"/>
      <c r="E297"/>
      <c r="F297"/>
      <c r="G297"/>
      <c r="H297"/>
      <c r="I297"/>
      <c r="J297"/>
    </row>
    <row r="298" spans="1:10" ht="15" customHeight="1" x14ac:dyDescent="0.15">
      <c r="A298"/>
      <c r="B298"/>
      <c r="C298"/>
      <c r="D298"/>
      <c r="E298"/>
      <c r="F298"/>
      <c r="G298"/>
      <c r="H298"/>
      <c r="I298"/>
      <c r="J298"/>
    </row>
    <row r="299" spans="1:10" ht="15" customHeight="1" x14ac:dyDescent="0.15">
      <c r="A299"/>
      <c r="B299"/>
      <c r="C299"/>
      <c r="D299"/>
      <c r="E299"/>
      <c r="F299"/>
      <c r="G299"/>
      <c r="H299"/>
      <c r="I299"/>
      <c r="J299"/>
    </row>
    <row r="300" spans="1:10" ht="15" customHeight="1" x14ac:dyDescent="0.15">
      <c r="A300"/>
      <c r="B300"/>
      <c r="C300"/>
      <c r="D300"/>
      <c r="E300"/>
      <c r="F300"/>
      <c r="G300"/>
      <c r="H300"/>
      <c r="I300"/>
      <c r="J300"/>
    </row>
    <row r="301" spans="1:10" ht="15" customHeight="1" x14ac:dyDescent="0.15">
      <c r="A301"/>
      <c r="B301"/>
      <c r="C301"/>
      <c r="D301"/>
      <c r="E301"/>
      <c r="F301"/>
      <c r="G301"/>
      <c r="H301"/>
      <c r="I301"/>
      <c r="J301"/>
    </row>
    <row r="302" spans="1:10" ht="15" customHeight="1" x14ac:dyDescent="0.15">
      <c r="A302"/>
      <c r="B302"/>
      <c r="C302"/>
      <c r="D302"/>
      <c r="E302"/>
      <c r="F302"/>
      <c r="G302"/>
      <c r="H302"/>
      <c r="I302"/>
      <c r="J302"/>
    </row>
    <row r="303" spans="1:10" ht="15" customHeight="1" x14ac:dyDescent="0.15">
      <c r="A303"/>
      <c r="B303"/>
      <c r="C303"/>
      <c r="D303"/>
      <c r="E303"/>
      <c r="F303"/>
      <c r="G303"/>
      <c r="H303"/>
      <c r="I303"/>
      <c r="J303"/>
    </row>
    <row r="304" spans="1:10" ht="15" customHeight="1" x14ac:dyDescent="0.15">
      <c r="A304"/>
      <c r="B304"/>
      <c r="C304"/>
      <c r="D304"/>
      <c r="E304"/>
      <c r="F304"/>
      <c r="G304"/>
      <c r="H304"/>
      <c r="I304"/>
      <c r="J304"/>
    </row>
    <row r="305" spans="1:10" ht="15" customHeight="1" x14ac:dyDescent="0.15">
      <c r="A305"/>
      <c r="B305"/>
      <c r="C305"/>
      <c r="D305"/>
      <c r="E305"/>
      <c r="F305"/>
      <c r="G305"/>
      <c r="H305"/>
      <c r="I305"/>
      <c r="J305"/>
    </row>
    <row r="306" spans="1:10" ht="15" customHeight="1" x14ac:dyDescent="0.15">
      <c r="A306"/>
      <c r="B306"/>
      <c r="C306"/>
      <c r="D306"/>
      <c r="E306"/>
      <c r="F306"/>
      <c r="G306"/>
      <c r="H306"/>
      <c r="I306"/>
      <c r="J306"/>
    </row>
    <row r="307" spans="1:10" ht="15" customHeight="1" x14ac:dyDescent="0.15">
      <c r="A307"/>
      <c r="B307"/>
      <c r="C307"/>
      <c r="D307"/>
      <c r="E307"/>
      <c r="F307"/>
      <c r="G307"/>
      <c r="H307"/>
      <c r="I307"/>
      <c r="J307"/>
    </row>
    <row r="308" spans="1:10" ht="15" customHeight="1" x14ac:dyDescent="0.15">
      <c r="A308"/>
      <c r="B308"/>
      <c r="C308"/>
      <c r="D308"/>
      <c r="E308"/>
      <c r="F308"/>
      <c r="G308"/>
      <c r="H308"/>
      <c r="I308"/>
      <c r="J308"/>
    </row>
    <row r="309" spans="1:10" ht="15" customHeight="1" x14ac:dyDescent="0.15">
      <c r="A309"/>
      <c r="B309"/>
      <c r="C309"/>
      <c r="D309"/>
      <c r="E309"/>
      <c r="F309"/>
      <c r="G309"/>
      <c r="H309"/>
      <c r="I309"/>
      <c r="J309"/>
    </row>
    <row r="310" spans="1:10" ht="15" customHeight="1" x14ac:dyDescent="0.15">
      <c r="A310"/>
      <c r="B310"/>
      <c r="C310"/>
      <c r="D310"/>
      <c r="E310"/>
      <c r="F310"/>
      <c r="G310"/>
      <c r="H310"/>
      <c r="I310"/>
      <c r="J310"/>
    </row>
    <row r="311" spans="1:10" ht="15" customHeight="1" x14ac:dyDescent="0.15">
      <c r="A311"/>
      <c r="B311"/>
      <c r="C311"/>
      <c r="D311"/>
      <c r="E311"/>
      <c r="F311"/>
      <c r="G311"/>
      <c r="H311"/>
      <c r="I311"/>
      <c r="J311"/>
    </row>
    <row r="312" spans="1:10" ht="15" customHeight="1" x14ac:dyDescent="0.15">
      <c r="A312"/>
      <c r="B312"/>
      <c r="C312"/>
      <c r="D312"/>
      <c r="E312"/>
      <c r="F312"/>
      <c r="G312"/>
      <c r="H312"/>
      <c r="I312"/>
      <c r="J312"/>
    </row>
    <row r="313" spans="1:10" ht="15" customHeight="1" x14ac:dyDescent="0.15">
      <c r="A313"/>
      <c r="B313"/>
      <c r="C313"/>
      <c r="D313"/>
      <c r="E313"/>
      <c r="F313"/>
      <c r="G313"/>
      <c r="H313"/>
      <c r="I313"/>
      <c r="J313"/>
    </row>
    <row r="314" spans="1:10" ht="15" customHeight="1" x14ac:dyDescent="0.15">
      <c r="A314"/>
      <c r="B314"/>
      <c r="C314"/>
      <c r="D314"/>
      <c r="E314"/>
      <c r="F314"/>
      <c r="G314"/>
      <c r="H314"/>
      <c r="I314"/>
      <c r="J314"/>
    </row>
    <row r="315" spans="1:10" ht="15" customHeight="1" x14ac:dyDescent="0.15">
      <c r="A315"/>
      <c r="B315"/>
      <c r="C315"/>
      <c r="D315"/>
      <c r="E315"/>
      <c r="F315"/>
      <c r="G315"/>
      <c r="H315"/>
      <c r="I315"/>
      <c r="J315"/>
    </row>
    <row r="316" spans="1:10" ht="15" customHeight="1" x14ac:dyDescent="0.15">
      <c r="A316"/>
      <c r="B316"/>
      <c r="C316"/>
      <c r="D316"/>
      <c r="E316"/>
      <c r="F316"/>
      <c r="G316"/>
      <c r="H316"/>
      <c r="I316"/>
      <c r="J316"/>
    </row>
    <row r="317" spans="1:10" ht="15" customHeight="1" x14ac:dyDescent="0.15">
      <c r="A317"/>
      <c r="B317"/>
      <c r="C317"/>
      <c r="D317"/>
      <c r="E317"/>
      <c r="F317"/>
      <c r="G317"/>
      <c r="H317"/>
      <c r="I317"/>
      <c r="J317"/>
    </row>
    <row r="318" spans="1:10" ht="15" customHeight="1" x14ac:dyDescent="0.15">
      <c r="A318"/>
      <c r="B318"/>
      <c r="C318"/>
      <c r="D318"/>
      <c r="E318"/>
      <c r="F318"/>
      <c r="G318"/>
      <c r="H318"/>
      <c r="I318"/>
      <c r="J318"/>
    </row>
    <row r="319" spans="1:10" ht="15" customHeight="1" x14ac:dyDescent="0.15">
      <c r="A319"/>
      <c r="B319"/>
      <c r="C319"/>
      <c r="D319"/>
      <c r="E319"/>
      <c r="F319"/>
      <c r="G319"/>
      <c r="H319"/>
      <c r="I319"/>
      <c r="J319"/>
    </row>
    <row r="320" spans="1:10" ht="15" customHeight="1" x14ac:dyDescent="0.15">
      <c r="A320"/>
      <c r="B320"/>
      <c r="C320"/>
      <c r="D320"/>
      <c r="E320"/>
      <c r="F320"/>
      <c r="G320"/>
      <c r="H320"/>
      <c r="I320"/>
      <c r="J320"/>
    </row>
    <row r="321" spans="1:10" ht="15" customHeight="1" x14ac:dyDescent="0.15">
      <c r="A321"/>
      <c r="B321"/>
      <c r="C321"/>
      <c r="D321"/>
      <c r="E321"/>
      <c r="F321"/>
      <c r="G321"/>
      <c r="H321"/>
      <c r="I321"/>
      <c r="J321"/>
    </row>
    <row r="322" spans="1:10" ht="15" customHeight="1" x14ac:dyDescent="0.15">
      <c r="A322"/>
      <c r="B322"/>
      <c r="C322"/>
      <c r="D322"/>
      <c r="E322"/>
      <c r="F322"/>
      <c r="G322"/>
      <c r="H322"/>
      <c r="I322"/>
      <c r="J322"/>
    </row>
    <row r="323" spans="1:10" ht="15" customHeight="1" x14ac:dyDescent="0.15">
      <c r="A323"/>
      <c r="B323"/>
      <c r="C323"/>
      <c r="D323"/>
      <c r="E323"/>
      <c r="F323"/>
      <c r="G323"/>
      <c r="H323"/>
      <c r="I323"/>
      <c r="J323"/>
    </row>
    <row r="324" spans="1:10" ht="15" customHeight="1" x14ac:dyDescent="0.15">
      <c r="A324"/>
      <c r="B324"/>
      <c r="C324"/>
      <c r="D324"/>
      <c r="E324"/>
      <c r="F324"/>
      <c r="G324"/>
      <c r="H324"/>
      <c r="I324"/>
      <c r="J324"/>
    </row>
    <row r="325" spans="1:10" ht="15" customHeight="1" x14ac:dyDescent="0.15">
      <c r="A325"/>
      <c r="B325"/>
      <c r="C325"/>
      <c r="D325"/>
      <c r="E325"/>
      <c r="F325"/>
      <c r="G325"/>
      <c r="H325"/>
      <c r="I325"/>
      <c r="J325"/>
    </row>
    <row r="326" spans="1:10" ht="15" customHeight="1" x14ac:dyDescent="0.15">
      <c r="A326"/>
      <c r="B326"/>
      <c r="C326"/>
      <c r="D326"/>
      <c r="E326"/>
      <c r="F326"/>
      <c r="G326"/>
      <c r="H326"/>
      <c r="I326"/>
      <c r="J326"/>
    </row>
    <row r="327" spans="1:10" ht="15" customHeight="1" x14ac:dyDescent="0.15">
      <c r="A327"/>
      <c r="B327"/>
      <c r="C327"/>
      <c r="D327"/>
      <c r="E327"/>
      <c r="F327"/>
      <c r="G327"/>
      <c r="H327"/>
      <c r="I327"/>
      <c r="J327"/>
    </row>
    <row r="328" spans="1:10" ht="15" customHeight="1" x14ac:dyDescent="0.15">
      <c r="A328"/>
      <c r="B328"/>
      <c r="C328"/>
      <c r="D328"/>
      <c r="E328"/>
      <c r="F328"/>
      <c r="G328"/>
      <c r="H328"/>
      <c r="I328"/>
      <c r="J328"/>
    </row>
    <row r="329" spans="1:10" ht="15" customHeight="1" x14ac:dyDescent="0.15">
      <c r="A329"/>
      <c r="B329"/>
      <c r="C329"/>
      <c r="D329"/>
      <c r="E329"/>
      <c r="F329"/>
      <c r="G329"/>
      <c r="H329"/>
      <c r="I329"/>
      <c r="J329"/>
    </row>
    <row r="330" spans="1:10" ht="15" customHeight="1" x14ac:dyDescent="0.15">
      <c r="A330"/>
      <c r="B330"/>
      <c r="C330"/>
      <c r="D330"/>
      <c r="E330"/>
      <c r="F330"/>
      <c r="G330"/>
      <c r="H330"/>
      <c r="I330"/>
      <c r="J330"/>
    </row>
    <row r="331" spans="1:10" ht="15" customHeight="1" x14ac:dyDescent="0.15">
      <c r="A331"/>
      <c r="B331"/>
      <c r="C331"/>
      <c r="D331"/>
      <c r="E331"/>
      <c r="F331"/>
      <c r="G331"/>
      <c r="H331"/>
      <c r="I331"/>
      <c r="J331"/>
    </row>
    <row r="332" spans="1:10" ht="15" customHeight="1" x14ac:dyDescent="0.15">
      <c r="A332"/>
      <c r="B332"/>
      <c r="C332"/>
      <c r="D332"/>
      <c r="E332"/>
      <c r="F332"/>
      <c r="G332"/>
      <c r="H332"/>
      <c r="I332"/>
      <c r="J332"/>
    </row>
    <row r="333" spans="1:10" ht="15" customHeight="1" x14ac:dyDescent="0.15">
      <c r="A333"/>
      <c r="B333"/>
      <c r="C333"/>
      <c r="D333"/>
      <c r="E333"/>
      <c r="F333"/>
      <c r="G333"/>
      <c r="H333"/>
      <c r="I333"/>
      <c r="J333"/>
    </row>
    <row r="334" spans="1:10" ht="15" customHeight="1" x14ac:dyDescent="0.15">
      <c r="A334"/>
      <c r="B334"/>
      <c r="C334"/>
      <c r="D334"/>
      <c r="E334"/>
      <c r="F334"/>
      <c r="G334"/>
      <c r="H334"/>
      <c r="I334"/>
      <c r="J334"/>
    </row>
    <row r="335" spans="1:10" ht="15" customHeight="1" x14ac:dyDescent="0.15">
      <c r="A335"/>
      <c r="B335"/>
      <c r="C335"/>
      <c r="D335"/>
      <c r="E335"/>
      <c r="F335"/>
      <c r="G335"/>
      <c r="H335"/>
      <c r="I335"/>
      <c r="J335"/>
    </row>
    <row r="336" spans="1:10" ht="15" customHeight="1" x14ac:dyDescent="0.15">
      <c r="A336"/>
      <c r="B336"/>
      <c r="C336"/>
      <c r="D336"/>
      <c r="E336"/>
      <c r="F336"/>
      <c r="G336"/>
      <c r="H336"/>
      <c r="I336"/>
      <c r="J336"/>
    </row>
    <row r="337" spans="1:10" ht="15" customHeight="1" x14ac:dyDescent="0.15">
      <c r="A337"/>
      <c r="B337"/>
      <c r="C337"/>
      <c r="D337"/>
      <c r="E337"/>
      <c r="F337"/>
      <c r="G337"/>
      <c r="H337"/>
      <c r="I337"/>
      <c r="J337"/>
    </row>
    <row r="338" spans="1:10" ht="15" customHeight="1" x14ac:dyDescent="0.15">
      <c r="A338"/>
      <c r="B338"/>
      <c r="C338"/>
      <c r="D338"/>
      <c r="E338"/>
      <c r="F338"/>
      <c r="G338"/>
      <c r="H338"/>
      <c r="I338"/>
      <c r="J338"/>
    </row>
    <row r="339" spans="1:10" ht="15" customHeight="1" x14ac:dyDescent="0.15">
      <c r="A339"/>
      <c r="B339"/>
      <c r="C339"/>
      <c r="D339"/>
      <c r="E339"/>
      <c r="F339"/>
      <c r="G339"/>
      <c r="H339"/>
      <c r="I339"/>
      <c r="J339"/>
    </row>
    <row r="340" spans="1:10" ht="15" customHeight="1" x14ac:dyDescent="0.15">
      <c r="A340"/>
      <c r="B340"/>
      <c r="C340"/>
      <c r="D340"/>
      <c r="E340"/>
      <c r="F340"/>
      <c r="G340"/>
      <c r="H340"/>
      <c r="I340"/>
      <c r="J340"/>
    </row>
    <row r="341" spans="1:10" ht="15" customHeight="1" x14ac:dyDescent="0.15">
      <c r="A341"/>
      <c r="B341"/>
      <c r="C341"/>
      <c r="D341"/>
      <c r="E341"/>
      <c r="F341"/>
      <c r="G341"/>
      <c r="H341"/>
      <c r="I341"/>
      <c r="J341"/>
    </row>
    <row r="342" spans="1:10" ht="15" customHeight="1" x14ac:dyDescent="0.15">
      <c r="A342"/>
      <c r="B342"/>
      <c r="C342"/>
      <c r="D342"/>
      <c r="E342"/>
      <c r="F342"/>
      <c r="G342"/>
      <c r="H342"/>
      <c r="I342"/>
      <c r="J342"/>
    </row>
    <row r="343" spans="1:10" ht="15" customHeight="1" x14ac:dyDescent="0.15">
      <c r="A343"/>
      <c r="B343"/>
      <c r="C343"/>
      <c r="D343"/>
      <c r="E343"/>
      <c r="F343"/>
      <c r="G343"/>
      <c r="H343"/>
      <c r="I343"/>
      <c r="J343"/>
    </row>
    <row r="344" spans="1:10" ht="15" customHeight="1" x14ac:dyDescent="0.15">
      <c r="A344"/>
      <c r="B344"/>
      <c r="C344"/>
      <c r="D344"/>
      <c r="E344"/>
      <c r="F344"/>
      <c r="G344"/>
      <c r="H344"/>
      <c r="I344"/>
      <c r="J344"/>
    </row>
    <row r="345" spans="1:10" ht="15" customHeight="1" x14ac:dyDescent="0.15">
      <c r="A345"/>
      <c r="B345"/>
      <c r="C345"/>
      <c r="D345"/>
      <c r="E345"/>
      <c r="F345"/>
      <c r="G345"/>
      <c r="H345"/>
      <c r="I345"/>
      <c r="J345"/>
    </row>
    <row r="346" spans="1:10" ht="15" customHeight="1" x14ac:dyDescent="0.15">
      <c r="A346"/>
      <c r="B346"/>
      <c r="C346"/>
      <c r="D346"/>
      <c r="E346"/>
      <c r="F346"/>
      <c r="G346"/>
      <c r="H346"/>
      <c r="I346"/>
      <c r="J346"/>
    </row>
    <row r="347" spans="1:10" ht="15" customHeight="1" x14ac:dyDescent="0.15">
      <c r="A347"/>
      <c r="B347"/>
      <c r="C347"/>
      <c r="D347"/>
      <c r="E347"/>
      <c r="F347"/>
      <c r="G347"/>
      <c r="H347"/>
      <c r="I347"/>
      <c r="J347"/>
    </row>
    <row r="348" spans="1:10" ht="15" customHeight="1" x14ac:dyDescent="0.15">
      <c r="A348"/>
      <c r="B348"/>
      <c r="C348"/>
      <c r="D348"/>
      <c r="E348"/>
      <c r="F348"/>
      <c r="G348"/>
      <c r="H348"/>
      <c r="I348"/>
      <c r="J348"/>
    </row>
    <row r="349" spans="1:10" ht="15" customHeight="1" x14ac:dyDescent="0.15">
      <c r="A349"/>
      <c r="B349"/>
      <c r="C349"/>
      <c r="D349"/>
      <c r="E349"/>
      <c r="F349"/>
      <c r="G349"/>
      <c r="H349"/>
      <c r="I349"/>
      <c r="J349"/>
    </row>
    <row r="350" spans="1:10" ht="15" customHeight="1" x14ac:dyDescent="0.15">
      <c r="A350"/>
      <c r="B350"/>
      <c r="C350"/>
      <c r="D350"/>
      <c r="E350"/>
      <c r="F350"/>
      <c r="G350"/>
      <c r="H350"/>
      <c r="I350"/>
      <c r="J350"/>
    </row>
    <row r="351" spans="1:10" ht="15" customHeight="1" x14ac:dyDescent="0.15">
      <c r="A351"/>
      <c r="B351"/>
      <c r="C351"/>
      <c r="D351"/>
      <c r="E351"/>
      <c r="F351"/>
      <c r="G351"/>
      <c r="H351"/>
      <c r="I351"/>
      <c r="J351"/>
    </row>
    <row r="352" spans="1:10" ht="15" customHeight="1" x14ac:dyDescent="0.15">
      <c r="A352"/>
      <c r="B352"/>
      <c r="C352"/>
      <c r="D352"/>
      <c r="E352"/>
      <c r="F352"/>
      <c r="G352"/>
      <c r="H352"/>
      <c r="I352"/>
      <c r="J352"/>
    </row>
    <row r="353" spans="1:10" ht="15" customHeight="1" x14ac:dyDescent="0.15">
      <c r="A353"/>
      <c r="B353"/>
      <c r="C353"/>
      <c r="D353"/>
      <c r="E353"/>
      <c r="F353"/>
      <c r="G353"/>
      <c r="H353"/>
      <c r="I353"/>
      <c r="J353"/>
    </row>
    <row r="354" spans="1:10" ht="15" customHeight="1" x14ac:dyDescent="0.15">
      <c r="A354"/>
      <c r="B354"/>
      <c r="C354"/>
      <c r="D354"/>
      <c r="E354"/>
      <c r="F354"/>
      <c r="G354"/>
      <c r="H354"/>
      <c r="I354"/>
      <c r="J354"/>
    </row>
    <row r="355" spans="1:10" ht="15" customHeight="1" x14ac:dyDescent="0.15">
      <c r="A355"/>
      <c r="B355"/>
      <c r="C355"/>
      <c r="D355"/>
      <c r="E355"/>
      <c r="F355"/>
      <c r="G355"/>
      <c r="H355"/>
      <c r="I355"/>
      <c r="J355"/>
    </row>
    <row r="356" spans="1:10" ht="15" customHeight="1" x14ac:dyDescent="0.15">
      <c r="A356"/>
      <c r="B356"/>
      <c r="C356"/>
      <c r="D356"/>
      <c r="E356"/>
      <c r="F356"/>
      <c r="G356"/>
      <c r="H356"/>
      <c r="I356"/>
      <c r="J356"/>
    </row>
    <row r="357" spans="1:10" ht="15" customHeight="1" x14ac:dyDescent="0.15">
      <c r="A357"/>
      <c r="B357"/>
      <c r="C357"/>
      <c r="D357"/>
      <c r="E357"/>
      <c r="F357"/>
      <c r="G357"/>
      <c r="H357"/>
      <c r="I357"/>
      <c r="J357"/>
    </row>
    <row r="358" spans="1:10" ht="15" customHeight="1" x14ac:dyDescent="0.15">
      <c r="A358"/>
      <c r="B358"/>
      <c r="C358"/>
      <c r="D358"/>
      <c r="E358"/>
      <c r="F358"/>
      <c r="G358"/>
      <c r="H358"/>
      <c r="I358"/>
      <c r="J358"/>
    </row>
    <row r="359" spans="1:10" ht="15" customHeight="1" x14ac:dyDescent="0.15">
      <c r="A359"/>
      <c r="B359"/>
      <c r="C359"/>
      <c r="D359"/>
      <c r="E359"/>
      <c r="F359"/>
      <c r="G359"/>
      <c r="H359"/>
      <c r="I359"/>
      <c r="J359"/>
    </row>
    <row r="360" spans="1:10" ht="15" customHeight="1" x14ac:dyDescent="0.15">
      <c r="A360"/>
      <c r="B360"/>
      <c r="C360"/>
      <c r="D360"/>
      <c r="E360"/>
      <c r="F360"/>
      <c r="G360"/>
      <c r="H360"/>
      <c r="I360"/>
      <c r="J360"/>
    </row>
    <row r="361" spans="1:10" ht="15" customHeight="1" x14ac:dyDescent="0.15">
      <c r="A361"/>
      <c r="B361"/>
      <c r="C361"/>
      <c r="D361"/>
      <c r="E361"/>
      <c r="F361"/>
      <c r="G361"/>
      <c r="H361"/>
      <c r="I361"/>
      <c r="J361"/>
    </row>
    <row r="362" spans="1:10" ht="15" customHeight="1" x14ac:dyDescent="0.15">
      <c r="A362"/>
      <c r="B362"/>
      <c r="C362"/>
      <c r="D362"/>
      <c r="E362"/>
      <c r="F362"/>
      <c r="G362"/>
      <c r="H362"/>
      <c r="I362"/>
      <c r="J362"/>
    </row>
    <row r="363" spans="1:10" ht="15" customHeight="1" x14ac:dyDescent="0.15">
      <c r="A363"/>
      <c r="B363"/>
      <c r="C363"/>
      <c r="D363"/>
      <c r="E363"/>
      <c r="F363"/>
      <c r="G363"/>
      <c r="H363"/>
      <c r="I363"/>
      <c r="J363"/>
    </row>
    <row r="364" spans="1:10" ht="15" customHeight="1" x14ac:dyDescent="0.15">
      <c r="A364"/>
      <c r="B364"/>
      <c r="C364"/>
      <c r="D364"/>
      <c r="E364"/>
      <c r="F364"/>
      <c r="G364"/>
      <c r="H364"/>
      <c r="I364"/>
      <c r="J364"/>
    </row>
    <row r="365" spans="1:10" ht="15" customHeight="1" x14ac:dyDescent="0.15">
      <c r="A365"/>
      <c r="B365"/>
      <c r="C365"/>
      <c r="D365"/>
      <c r="E365"/>
      <c r="F365"/>
      <c r="G365"/>
      <c r="H365"/>
      <c r="I365"/>
      <c r="J365"/>
    </row>
    <row r="366" spans="1:10" ht="15" customHeight="1" x14ac:dyDescent="0.15">
      <c r="A366"/>
      <c r="B366"/>
      <c r="C366"/>
      <c r="D366"/>
      <c r="E366"/>
      <c r="F366"/>
      <c r="G366"/>
      <c r="H366"/>
      <c r="I366"/>
      <c r="J366"/>
    </row>
    <row r="367" spans="1:10" ht="15" customHeight="1" x14ac:dyDescent="0.15">
      <c r="A367"/>
      <c r="B367"/>
      <c r="C367"/>
      <c r="D367"/>
      <c r="E367"/>
      <c r="F367"/>
      <c r="G367"/>
      <c r="H367"/>
      <c r="I367"/>
      <c r="J367"/>
    </row>
    <row r="368" spans="1:10" ht="15" customHeight="1" x14ac:dyDescent="0.15">
      <c r="A368"/>
      <c r="B368"/>
      <c r="C368"/>
      <c r="D368"/>
      <c r="E368"/>
      <c r="F368"/>
      <c r="G368"/>
      <c r="H368"/>
      <c r="I368"/>
      <c r="J368"/>
    </row>
    <row r="369" spans="1:10" ht="15" customHeight="1" x14ac:dyDescent="0.15">
      <c r="A369"/>
      <c r="B369"/>
      <c r="C369"/>
      <c r="D369"/>
      <c r="E369"/>
      <c r="F369"/>
      <c r="G369"/>
      <c r="H369"/>
      <c r="I369"/>
      <c r="J369"/>
    </row>
    <row r="370" spans="1:10" ht="15" customHeight="1" x14ac:dyDescent="0.15">
      <c r="A370"/>
      <c r="B370"/>
      <c r="C370"/>
      <c r="D370"/>
      <c r="E370"/>
      <c r="F370"/>
      <c r="G370"/>
      <c r="H370"/>
      <c r="I370"/>
      <c r="J370"/>
    </row>
    <row r="371" spans="1:10" ht="15" customHeight="1" x14ac:dyDescent="0.15">
      <c r="A371"/>
      <c r="B371"/>
      <c r="C371"/>
      <c r="D371"/>
      <c r="E371"/>
      <c r="F371"/>
      <c r="G371"/>
      <c r="H371"/>
      <c r="I371"/>
      <c r="J371"/>
    </row>
    <row r="372" spans="1:10" ht="15" customHeight="1" x14ac:dyDescent="0.15">
      <c r="A372"/>
      <c r="B372"/>
      <c r="C372"/>
      <c r="D372"/>
      <c r="E372"/>
      <c r="F372"/>
      <c r="G372"/>
      <c r="H372"/>
      <c r="I372"/>
      <c r="J372"/>
    </row>
    <row r="373" spans="1:10" ht="15" customHeight="1" x14ac:dyDescent="0.15">
      <c r="A373"/>
      <c r="B373"/>
      <c r="C373"/>
      <c r="D373"/>
      <c r="E373"/>
      <c r="F373"/>
      <c r="G373"/>
      <c r="H373"/>
      <c r="I373"/>
      <c r="J373"/>
    </row>
    <row r="374" spans="1:10" ht="15" customHeight="1" x14ac:dyDescent="0.15">
      <c r="A374"/>
      <c r="B374"/>
      <c r="C374"/>
      <c r="D374"/>
      <c r="E374"/>
      <c r="F374"/>
      <c r="G374"/>
      <c r="H374"/>
      <c r="I374"/>
      <c r="J374"/>
    </row>
    <row r="375" spans="1:10" ht="15" customHeight="1" x14ac:dyDescent="0.15">
      <c r="A375"/>
      <c r="B375"/>
      <c r="C375"/>
      <c r="D375"/>
      <c r="E375"/>
      <c r="F375"/>
      <c r="G375"/>
      <c r="H375"/>
      <c r="I375"/>
      <c r="J375"/>
    </row>
    <row r="376" spans="1:10" ht="15" customHeight="1" x14ac:dyDescent="0.15">
      <c r="A376"/>
      <c r="B376"/>
      <c r="C376"/>
      <c r="D376"/>
      <c r="E376"/>
      <c r="F376"/>
      <c r="G376"/>
      <c r="H376"/>
      <c r="I376"/>
      <c r="J376"/>
    </row>
    <row r="377" spans="1:10" ht="15" customHeight="1" x14ac:dyDescent="0.15">
      <c r="A377"/>
      <c r="B377"/>
      <c r="C377"/>
      <c r="D377"/>
      <c r="E377"/>
      <c r="F377"/>
      <c r="G377"/>
      <c r="H377"/>
      <c r="I377"/>
      <c r="J377"/>
    </row>
    <row r="378" spans="1:10" ht="15" customHeight="1" x14ac:dyDescent="0.15">
      <c r="A378"/>
      <c r="B378"/>
      <c r="C378"/>
      <c r="D378"/>
      <c r="E378"/>
      <c r="F378"/>
      <c r="G378"/>
      <c r="H378"/>
      <c r="I378"/>
      <c r="J378"/>
    </row>
    <row r="379" spans="1:10" ht="15" customHeight="1" x14ac:dyDescent="0.15">
      <c r="A379"/>
      <c r="B379"/>
      <c r="C379"/>
      <c r="D379"/>
      <c r="E379"/>
      <c r="F379"/>
      <c r="G379"/>
      <c r="H379"/>
      <c r="I379"/>
      <c r="J379"/>
    </row>
    <row r="380" spans="1:10" ht="15" customHeight="1" x14ac:dyDescent="0.15">
      <c r="A380"/>
      <c r="B380"/>
      <c r="C380"/>
      <c r="D380"/>
      <c r="E380"/>
      <c r="F380"/>
      <c r="G380"/>
      <c r="H380"/>
      <c r="I380"/>
      <c r="J380"/>
    </row>
    <row r="381" spans="1:10" ht="15" customHeight="1" x14ac:dyDescent="0.15">
      <c r="A381"/>
      <c r="B381"/>
      <c r="C381"/>
      <c r="D381"/>
      <c r="E381"/>
      <c r="F381"/>
      <c r="G381"/>
      <c r="H381"/>
      <c r="I381"/>
      <c r="J381"/>
    </row>
    <row r="382" spans="1:10" ht="15" customHeight="1" x14ac:dyDescent="0.15">
      <c r="A382"/>
      <c r="B382"/>
      <c r="C382"/>
      <c r="D382"/>
      <c r="E382"/>
      <c r="F382"/>
      <c r="G382"/>
      <c r="H382"/>
      <c r="I382"/>
      <c r="J382"/>
    </row>
    <row r="383" spans="1:10" ht="15" customHeight="1" x14ac:dyDescent="0.15">
      <c r="A383"/>
      <c r="B383"/>
      <c r="C383"/>
      <c r="D383"/>
      <c r="E383"/>
      <c r="F383"/>
      <c r="G383"/>
      <c r="H383"/>
      <c r="I383"/>
      <c r="J383"/>
    </row>
    <row r="384" spans="1:10" ht="15" customHeight="1" x14ac:dyDescent="0.15">
      <c r="A384"/>
      <c r="B384"/>
      <c r="C384"/>
      <c r="D384"/>
      <c r="E384"/>
      <c r="F384"/>
      <c r="G384"/>
      <c r="H384"/>
      <c r="I384"/>
      <c r="J384"/>
    </row>
    <row r="385" spans="1:10" ht="15" customHeight="1" x14ac:dyDescent="0.15">
      <c r="A385"/>
      <c r="B385"/>
      <c r="C385"/>
      <c r="D385"/>
      <c r="E385"/>
      <c r="F385"/>
      <c r="G385"/>
      <c r="H385"/>
      <c r="I385"/>
      <c r="J385"/>
    </row>
    <row r="386" spans="1:10" ht="15" customHeight="1" x14ac:dyDescent="0.15">
      <c r="A386"/>
      <c r="B386"/>
      <c r="C386"/>
      <c r="D386"/>
      <c r="E386"/>
      <c r="F386"/>
      <c r="G386"/>
      <c r="H386"/>
      <c r="I386"/>
      <c r="J386"/>
    </row>
    <row r="387" spans="1:10" ht="15" customHeight="1" x14ac:dyDescent="0.15">
      <c r="A387"/>
      <c r="B387"/>
      <c r="C387"/>
      <c r="D387"/>
      <c r="E387"/>
      <c r="F387"/>
      <c r="G387"/>
      <c r="H387"/>
      <c r="I387"/>
      <c r="J387"/>
    </row>
    <row r="388" spans="1:10" ht="15" customHeight="1" x14ac:dyDescent="0.15">
      <c r="A388"/>
      <c r="B388"/>
      <c r="C388"/>
      <c r="D388"/>
      <c r="E388"/>
      <c r="F388"/>
      <c r="G388"/>
      <c r="H388"/>
      <c r="I388"/>
      <c r="J388"/>
    </row>
    <row r="389" spans="1:10" ht="15" customHeight="1" x14ac:dyDescent="0.15">
      <c r="A389"/>
      <c r="B389"/>
      <c r="C389"/>
      <c r="D389"/>
      <c r="E389"/>
      <c r="F389"/>
      <c r="G389"/>
      <c r="H389"/>
      <c r="I389"/>
      <c r="J389"/>
    </row>
    <row r="390" spans="1:10" ht="15" customHeight="1" x14ac:dyDescent="0.15">
      <c r="A390"/>
      <c r="B390"/>
      <c r="C390"/>
      <c r="D390"/>
      <c r="E390"/>
      <c r="F390"/>
      <c r="G390"/>
      <c r="H390"/>
      <c r="I390"/>
      <c r="J390"/>
    </row>
    <row r="391" spans="1:10" ht="15" customHeight="1" x14ac:dyDescent="0.15">
      <c r="A391"/>
      <c r="B391"/>
      <c r="C391"/>
      <c r="D391"/>
      <c r="E391"/>
      <c r="F391"/>
      <c r="G391"/>
      <c r="H391"/>
      <c r="I391"/>
      <c r="J391"/>
    </row>
    <row r="392" spans="1:10" ht="15" customHeight="1" x14ac:dyDescent="0.15">
      <c r="A392"/>
      <c r="B392"/>
      <c r="C392"/>
      <c r="D392"/>
      <c r="E392"/>
      <c r="F392"/>
      <c r="G392"/>
      <c r="H392"/>
      <c r="I392"/>
      <c r="J392"/>
    </row>
    <row r="393" spans="1:10" ht="15" customHeight="1" x14ac:dyDescent="0.15">
      <c r="A393"/>
      <c r="B393"/>
      <c r="C393"/>
      <c r="D393"/>
      <c r="E393"/>
      <c r="F393"/>
      <c r="G393"/>
      <c r="H393"/>
      <c r="I393"/>
      <c r="J393"/>
    </row>
    <row r="394" spans="1:10" ht="15" customHeight="1" x14ac:dyDescent="0.15">
      <c r="A394"/>
      <c r="B394"/>
      <c r="C394"/>
      <c r="D394"/>
      <c r="E394"/>
      <c r="F394"/>
      <c r="G394"/>
      <c r="H394"/>
      <c r="I394"/>
      <c r="J394"/>
    </row>
    <row r="395" spans="1:10" ht="15" customHeight="1" x14ac:dyDescent="0.15">
      <c r="A395"/>
      <c r="B395"/>
      <c r="C395"/>
      <c r="D395"/>
      <c r="E395"/>
      <c r="F395"/>
      <c r="G395"/>
      <c r="H395"/>
      <c r="I395"/>
      <c r="J395"/>
    </row>
    <row r="396" spans="1:10" ht="15" customHeight="1" x14ac:dyDescent="0.15">
      <c r="A396"/>
      <c r="B396"/>
      <c r="C396"/>
      <c r="D396"/>
      <c r="E396"/>
      <c r="F396"/>
      <c r="G396"/>
      <c r="H396"/>
      <c r="I396"/>
      <c r="J396"/>
    </row>
    <row r="397" spans="1:10" ht="15" customHeight="1" x14ac:dyDescent="0.15">
      <c r="A397"/>
      <c r="B397"/>
      <c r="C397"/>
      <c r="D397"/>
      <c r="E397"/>
      <c r="F397"/>
      <c r="G397"/>
      <c r="H397"/>
      <c r="I397"/>
      <c r="J397"/>
    </row>
    <row r="398" spans="1:10" ht="15" customHeight="1" x14ac:dyDescent="0.15">
      <c r="A398"/>
      <c r="B398"/>
      <c r="C398"/>
      <c r="D398"/>
      <c r="E398"/>
      <c r="F398"/>
      <c r="G398"/>
      <c r="H398"/>
      <c r="I398"/>
      <c r="J398"/>
    </row>
    <row r="399" spans="1:10" ht="15" customHeight="1" x14ac:dyDescent="0.15">
      <c r="A399"/>
      <c r="B399"/>
      <c r="C399"/>
      <c r="D399"/>
      <c r="E399"/>
      <c r="F399"/>
      <c r="G399"/>
      <c r="H399"/>
      <c r="I399"/>
      <c r="J399"/>
    </row>
    <row r="400" spans="1:10" ht="15" customHeight="1" x14ac:dyDescent="0.15">
      <c r="A400"/>
      <c r="B400"/>
      <c r="C400"/>
      <c r="D400"/>
      <c r="E400"/>
      <c r="F400"/>
      <c r="G400"/>
      <c r="H400"/>
      <c r="I400"/>
      <c r="J400"/>
    </row>
    <row r="401" spans="1:10" ht="15" customHeight="1" x14ac:dyDescent="0.15">
      <c r="A401"/>
      <c r="B401"/>
      <c r="C401"/>
      <c r="D401"/>
      <c r="E401"/>
      <c r="F401"/>
      <c r="G401"/>
      <c r="H401"/>
      <c r="I401"/>
      <c r="J401"/>
    </row>
    <row r="402" spans="1:10" ht="15" customHeight="1" x14ac:dyDescent="0.15">
      <c r="A402"/>
      <c r="B402"/>
      <c r="C402"/>
      <c r="D402"/>
      <c r="E402"/>
      <c r="F402"/>
      <c r="G402"/>
      <c r="H402"/>
      <c r="I402"/>
      <c r="J402"/>
    </row>
    <row r="403" spans="1:10" ht="15" customHeight="1" x14ac:dyDescent="0.15">
      <c r="A403"/>
      <c r="B403"/>
      <c r="C403"/>
      <c r="D403"/>
      <c r="E403"/>
      <c r="F403"/>
      <c r="G403"/>
      <c r="H403"/>
      <c r="I403"/>
      <c r="J403"/>
    </row>
    <row r="404" spans="1:10" ht="15" customHeight="1" x14ac:dyDescent="0.15">
      <c r="A404"/>
      <c r="B404"/>
      <c r="C404"/>
      <c r="D404"/>
      <c r="E404"/>
      <c r="F404"/>
      <c r="G404"/>
      <c r="H404"/>
      <c r="I404"/>
      <c r="J404"/>
    </row>
    <row r="405" spans="1:10" ht="15" customHeight="1" x14ac:dyDescent="0.15">
      <c r="A405"/>
      <c r="B405"/>
      <c r="C405"/>
      <c r="D405"/>
      <c r="E405"/>
      <c r="F405"/>
      <c r="G405"/>
      <c r="H405"/>
      <c r="I405"/>
      <c r="J405"/>
    </row>
    <row r="406" spans="1:10" ht="15" customHeight="1" x14ac:dyDescent="0.15">
      <c r="A406"/>
      <c r="B406"/>
      <c r="C406"/>
      <c r="D406"/>
      <c r="E406"/>
      <c r="F406"/>
      <c r="G406"/>
      <c r="H406"/>
      <c r="I406"/>
      <c r="J406"/>
    </row>
    <row r="407" spans="1:10" ht="15" customHeight="1" x14ac:dyDescent="0.15">
      <c r="A407"/>
      <c r="B407"/>
      <c r="C407"/>
      <c r="D407"/>
      <c r="E407"/>
      <c r="F407"/>
      <c r="G407"/>
      <c r="H407"/>
      <c r="I407"/>
      <c r="J407"/>
    </row>
    <row r="408" spans="1:10" ht="15" customHeight="1" x14ac:dyDescent="0.15">
      <c r="A408"/>
      <c r="B408"/>
      <c r="C408"/>
      <c r="D408"/>
      <c r="E408"/>
      <c r="F408"/>
      <c r="G408"/>
      <c r="H408"/>
      <c r="I408"/>
      <c r="J408"/>
    </row>
    <row r="409" spans="1:10" ht="15" customHeight="1" x14ac:dyDescent="0.15">
      <c r="A409"/>
      <c r="B409"/>
      <c r="C409"/>
      <c r="D409"/>
      <c r="E409"/>
      <c r="F409"/>
      <c r="G409"/>
      <c r="H409"/>
      <c r="I409"/>
      <c r="J409"/>
    </row>
    <row r="410" spans="1:10" ht="15" customHeight="1" x14ac:dyDescent="0.15">
      <c r="A410"/>
      <c r="B410"/>
      <c r="C410"/>
      <c r="D410"/>
      <c r="E410"/>
      <c r="F410"/>
      <c r="G410"/>
      <c r="H410"/>
      <c r="I410"/>
      <c r="J410"/>
    </row>
    <row r="411" spans="1:10" ht="15" customHeight="1" x14ac:dyDescent="0.15">
      <c r="A411"/>
      <c r="B411"/>
      <c r="C411"/>
      <c r="D411"/>
      <c r="E411"/>
      <c r="F411"/>
      <c r="G411"/>
      <c r="H411"/>
      <c r="I411"/>
      <c r="J411"/>
    </row>
    <row r="412" spans="1:10" ht="15" customHeight="1" x14ac:dyDescent="0.15">
      <c r="A412"/>
      <c r="B412"/>
      <c r="C412"/>
      <c r="D412"/>
      <c r="E412"/>
      <c r="F412"/>
      <c r="G412"/>
      <c r="H412"/>
      <c r="I412"/>
      <c r="J412"/>
    </row>
    <row r="413" spans="1:10" ht="15" customHeight="1" x14ac:dyDescent="0.15">
      <c r="A413"/>
      <c r="B413"/>
      <c r="C413"/>
      <c r="D413"/>
      <c r="E413"/>
      <c r="F413"/>
      <c r="G413"/>
      <c r="H413"/>
      <c r="I413"/>
      <c r="J413"/>
    </row>
    <row r="414" spans="1:10" ht="15" customHeight="1" x14ac:dyDescent="0.15">
      <c r="A414"/>
      <c r="B414"/>
      <c r="C414"/>
      <c r="D414"/>
      <c r="E414"/>
      <c r="F414"/>
      <c r="G414"/>
      <c r="H414"/>
      <c r="I414"/>
      <c r="J414"/>
    </row>
    <row r="415" spans="1:10" ht="15" customHeight="1" x14ac:dyDescent="0.15">
      <c r="A415"/>
      <c r="B415"/>
      <c r="C415"/>
      <c r="D415"/>
      <c r="E415"/>
      <c r="F415"/>
      <c r="G415"/>
      <c r="H415"/>
      <c r="I415"/>
      <c r="J415"/>
    </row>
    <row r="416" spans="1:10" ht="15" customHeight="1" x14ac:dyDescent="0.15">
      <c r="A416"/>
      <c r="B416"/>
      <c r="C416"/>
      <c r="D416"/>
      <c r="E416"/>
      <c r="F416"/>
      <c r="G416"/>
      <c r="H416"/>
      <c r="I416"/>
      <c r="J416"/>
    </row>
    <row r="417" spans="1:10" ht="15" customHeight="1" x14ac:dyDescent="0.15">
      <c r="A417"/>
      <c r="B417"/>
      <c r="C417"/>
      <c r="D417"/>
      <c r="E417"/>
      <c r="F417"/>
      <c r="G417"/>
      <c r="H417"/>
      <c r="I417"/>
      <c r="J417"/>
    </row>
    <row r="418" spans="1:10" ht="15" customHeight="1" x14ac:dyDescent="0.15">
      <c r="A418"/>
      <c r="B418"/>
      <c r="C418"/>
      <c r="D418"/>
      <c r="E418"/>
      <c r="F418"/>
      <c r="G418"/>
      <c r="H418"/>
      <c r="I418"/>
      <c r="J418"/>
    </row>
    <row r="419" spans="1:10" ht="15" customHeight="1" x14ac:dyDescent="0.15">
      <c r="A419"/>
      <c r="B419"/>
      <c r="C419"/>
      <c r="D419"/>
      <c r="E419"/>
      <c r="F419"/>
      <c r="G419"/>
      <c r="H419"/>
      <c r="I419"/>
      <c r="J419"/>
    </row>
    <row r="420" spans="1:10" ht="15" customHeight="1" x14ac:dyDescent="0.15">
      <c r="A420"/>
      <c r="B420"/>
      <c r="C420"/>
      <c r="D420"/>
      <c r="E420"/>
      <c r="F420"/>
      <c r="G420"/>
      <c r="H420"/>
      <c r="I420"/>
      <c r="J420"/>
    </row>
    <row r="421" spans="1:10" ht="15" customHeight="1" x14ac:dyDescent="0.15">
      <c r="A421"/>
      <c r="B421"/>
      <c r="C421"/>
      <c r="D421"/>
      <c r="E421"/>
      <c r="F421"/>
      <c r="G421"/>
      <c r="H421"/>
      <c r="I421"/>
      <c r="J421"/>
    </row>
    <row r="422" spans="1:10" ht="15" customHeight="1" x14ac:dyDescent="0.15">
      <c r="A422"/>
      <c r="B422"/>
      <c r="C422"/>
      <c r="D422"/>
      <c r="E422"/>
      <c r="F422"/>
      <c r="G422"/>
      <c r="H422"/>
      <c r="I422"/>
      <c r="J422"/>
    </row>
    <row r="423" spans="1:10" ht="15" customHeight="1" x14ac:dyDescent="0.15">
      <c r="A423"/>
      <c r="B423"/>
      <c r="C423"/>
      <c r="D423"/>
      <c r="E423"/>
      <c r="F423"/>
      <c r="G423"/>
      <c r="H423"/>
      <c r="I423"/>
      <c r="J423"/>
    </row>
    <row r="424" spans="1:10" ht="15" customHeight="1" x14ac:dyDescent="0.15">
      <c r="A424"/>
      <c r="B424"/>
      <c r="C424"/>
      <c r="D424"/>
      <c r="E424"/>
      <c r="F424"/>
      <c r="G424"/>
      <c r="H424"/>
      <c r="I424"/>
      <c r="J424"/>
    </row>
    <row r="425" spans="1:10" ht="15" customHeight="1" x14ac:dyDescent="0.15">
      <c r="A425"/>
      <c r="B425"/>
      <c r="C425"/>
      <c r="D425"/>
      <c r="E425"/>
      <c r="F425"/>
      <c r="G425"/>
      <c r="H425"/>
      <c r="I425"/>
      <c r="J425"/>
    </row>
    <row r="426" spans="1:10" ht="15" customHeight="1" x14ac:dyDescent="0.15">
      <c r="A426"/>
      <c r="B426"/>
      <c r="C426"/>
      <c r="D426"/>
      <c r="E426"/>
      <c r="F426"/>
      <c r="G426"/>
      <c r="H426"/>
      <c r="I426"/>
      <c r="J426"/>
    </row>
    <row r="427" spans="1:10" ht="15" customHeight="1" x14ac:dyDescent="0.15">
      <c r="A427"/>
      <c r="B427"/>
      <c r="C427"/>
      <c r="D427"/>
      <c r="E427"/>
      <c r="F427"/>
      <c r="G427"/>
      <c r="H427"/>
      <c r="I427"/>
      <c r="J427"/>
    </row>
    <row r="428" spans="1:10" ht="15" customHeight="1" x14ac:dyDescent="0.15">
      <c r="A428"/>
      <c r="B428"/>
      <c r="C428"/>
      <c r="D428"/>
      <c r="E428"/>
      <c r="F428"/>
      <c r="G428"/>
      <c r="H428"/>
      <c r="I428"/>
      <c r="J428"/>
    </row>
    <row r="429" spans="1:10" ht="15" customHeight="1" x14ac:dyDescent="0.15">
      <c r="A429"/>
      <c r="B429"/>
      <c r="C429"/>
      <c r="D429"/>
      <c r="E429"/>
      <c r="F429"/>
      <c r="G429"/>
      <c r="H429"/>
      <c r="I429"/>
      <c r="J429"/>
    </row>
    <row r="430" spans="1:10" ht="15" customHeight="1" x14ac:dyDescent="0.15">
      <c r="A430"/>
      <c r="B430"/>
      <c r="C430"/>
      <c r="D430"/>
      <c r="E430"/>
      <c r="F430"/>
      <c r="G430"/>
      <c r="H430"/>
      <c r="I430"/>
      <c r="J430"/>
    </row>
    <row r="431" spans="1:10" ht="15" customHeight="1" x14ac:dyDescent="0.15">
      <c r="A431"/>
      <c r="B431"/>
      <c r="C431"/>
      <c r="D431"/>
      <c r="E431"/>
      <c r="F431"/>
      <c r="G431"/>
      <c r="H431"/>
      <c r="I431"/>
      <c r="J431"/>
    </row>
    <row r="432" spans="1:10" ht="15" customHeight="1" x14ac:dyDescent="0.15">
      <c r="A432"/>
      <c r="B432"/>
      <c r="C432"/>
      <c r="D432"/>
      <c r="E432"/>
      <c r="F432"/>
      <c r="G432"/>
      <c r="H432"/>
      <c r="I432"/>
      <c r="J432"/>
    </row>
    <row r="433" spans="1:10" ht="15" customHeight="1" x14ac:dyDescent="0.15">
      <c r="A433"/>
      <c r="B433"/>
      <c r="C433"/>
      <c r="D433"/>
      <c r="E433"/>
      <c r="F433"/>
      <c r="G433"/>
      <c r="H433"/>
      <c r="I433"/>
      <c r="J433"/>
    </row>
    <row r="434" spans="1:10" ht="15" customHeight="1" x14ac:dyDescent="0.15">
      <c r="A434"/>
      <c r="B434"/>
      <c r="C434"/>
      <c r="D434"/>
      <c r="E434"/>
      <c r="F434"/>
      <c r="G434"/>
      <c r="H434"/>
      <c r="I434"/>
      <c r="J434"/>
    </row>
    <row r="435" spans="1:10" ht="15" customHeight="1" x14ac:dyDescent="0.15">
      <c r="A435"/>
      <c r="B435"/>
      <c r="C435"/>
      <c r="D435"/>
      <c r="E435"/>
      <c r="F435"/>
      <c r="G435"/>
      <c r="H435"/>
      <c r="I435"/>
      <c r="J435"/>
    </row>
    <row r="436" spans="1:10" ht="15" customHeight="1" x14ac:dyDescent="0.15">
      <c r="A436"/>
      <c r="B436"/>
      <c r="C436"/>
      <c r="D436"/>
      <c r="E436"/>
      <c r="F436"/>
      <c r="G436"/>
      <c r="H436"/>
      <c r="I436"/>
      <c r="J436"/>
    </row>
    <row r="437" spans="1:10" ht="15" customHeight="1" x14ac:dyDescent="0.15">
      <c r="A437"/>
      <c r="B437"/>
      <c r="C437"/>
      <c r="D437"/>
      <c r="E437"/>
      <c r="F437"/>
      <c r="G437"/>
      <c r="H437"/>
      <c r="I437"/>
      <c r="J437"/>
    </row>
    <row r="438" spans="1:10" ht="15" customHeight="1" x14ac:dyDescent="0.15">
      <c r="A438"/>
      <c r="B438"/>
      <c r="C438"/>
      <c r="D438"/>
      <c r="E438"/>
      <c r="F438"/>
      <c r="G438"/>
      <c r="H438"/>
      <c r="I438"/>
      <c r="J438"/>
    </row>
    <row r="439" spans="1:10" ht="15" customHeight="1" x14ac:dyDescent="0.15">
      <c r="A439"/>
      <c r="B439"/>
      <c r="C439"/>
      <c r="D439"/>
      <c r="E439"/>
      <c r="F439"/>
      <c r="G439"/>
      <c r="H439"/>
      <c r="I439"/>
      <c r="J439"/>
    </row>
    <row r="440" spans="1:10" ht="15" customHeight="1" x14ac:dyDescent="0.15">
      <c r="A440"/>
      <c r="B440"/>
      <c r="C440"/>
      <c r="D440"/>
      <c r="E440"/>
      <c r="F440"/>
      <c r="G440"/>
      <c r="H440"/>
      <c r="I440"/>
      <c r="J440"/>
    </row>
    <row r="441" spans="1:10" ht="15" customHeight="1" x14ac:dyDescent="0.15">
      <c r="A441"/>
      <c r="B441"/>
      <c r="C441"/>
      <c r="D441"/>
      <c r="E441"/>
      <c r="F441"/>
      <c r="G441"/>
      <c r="H441"/>
      <c r="I441"/>
      <c r="J441"/>
    </row>
    <row r="442" spans="1:10" ht="15" customHeight="1" x14ac:dyDescent="0.15">
      <c r="A442"/>
      <c r="B442"/>
      <c r="C442"/>
      <c r="D442"/>
      <c r="E442"/>
      <c r="F442"/>
      <c r="G442"/>
      <c r="H442"/>
      <c r="I442"/>
      <c r="J442"/>
    </row>
    <row r="443" spans="1:10" ht="15" customHeight="1" x14ac:dyDescent="0.15">
      <c r="A443"/>
      <c r="B443"/>
      <c r="C443"/>
      <c r="D443"/>
      <c r="E443"/>
      <c r="F443"/>
      <c r="G443"/>
      <c r="H443"/>
      <c r="I443"/>
      <c r="J443"/>
    </row>
    <row r="444" spans="1:10" ht="15" customHeight="1" x14ac:dyDescent="0.15">
      <c r="A444"/>
      <c r="B444"/>
      <c r="C444"/>
      <c r="D444"/>
      <c r="E444"/>
      <c r="F444"/>
      <c r="G444"/>
      <c r="H444"/>
      <c r="I444"/>
      <c r="J444"/>
    </row>
    <row r="445" spans="1:10" ht="15" customHeight="1" x14ac:dyDescent="0.15">
      <c r="A445"/>
      <c r="B445"/>
      <c r="C445"/>
      <c r="D445"/>
      <c r="E445"/>
      <c r="F445"/>
      <c r="G445"/>
      <c r="H445"/>
      <c r="I445"/>
      <c r="J445"/>
    </row>
    <row r="446" spans="1:10" ht="15" customHeight="1" x14ac:dyDescent="0.15">
      <c r="A446"/>
      <c r="B446"/>
      <c r="C446"/>
      <c r="D446"/>
      <c r="E446"/>
      <c r="F446"/>
      <c r="G446"/>
      <c r="H446"/>
      <c r="I446"/>
      <c r="J446"/>
    </row>
    <row r="447" spans="1:10" ht="15" customHeight="1" x14ac:dyDescent="0.15">
      <c r="A447"/>
      <c r="B447"/>
      <c r="C447"/>
      <c r="D447"/>
      <c r="E447"/>
      <c r="F447"/>
      <c r="G447"/>
      <c r="H447"/>
      <c r="I447"/>
      <c r="J447"/>
    </row>
    <row r="448" spans="1:10" ht="15" customHeight="1" x14ac:dyDescent="0.15">
      <c r="A448"/>
      <c r="B448"/>
      <c r="C448"/>
      <c r="D448"/>
      <c r="E448"/>
      <c r="F448"/>
      <c r="G448"/>
      <c r="H448"/>
      <c r="I448"/>
      <c r="J448"/>
    </row>
    <row r="449" spans="1:10" ht="15" customHeight="1" x14ac:dyDescent="0.15">
      <c r="A449"/>
      <c r="B449"/>
      <c r="C449"/>
      <c r="D449"/>
      <c r="E449"/>
      <c r="F449"/>
      <c r="G449"/>
      <c r="H449"/>
      <c r="I449"/>
      <c r="J449"/>
    </row>
    <row r="450" spans="1:10" ht="15" customHeight="1" x14ac:dyDescent="0.15">
      <c r="A450"/>
      <c r="B450"/>
      <c r="C450"/>
      <c r="D450"/>
      <c r="E450"/>
      <c r="F450"/>
      <c r="G450"/>
      <c r="H450"/>
      <c r="I450"/>
      <c r="J450"/>
    </row>
    <row r="451" spans="1:10" ht="15" customHeight="1" x14ac:dyDescent="0.15">
      <c r="A451"/>
      <c r="B451"/>
      <c r="C451"/>
      <c r="D451"/>
      <c r="E451"/>
      <c r="F451"/>
      <c r="G451"/>
      <c r="H451"/>
      <c r="I451"/>
      <c r="J451"/>
    </row>
    <row r="452" spans="1:10" ht="15" customHeight="1" x14ac:dyDescent="0.15">
      <c r="A452"/>
      <c r="B452"/>
      <c r="C452"/>
      <c r="D452"/>
      <c r="E452"/>
      <c r="F452"/>
      <c r="G452"/>
      <c r="H452"/>
      <c r="I452"/>
      <c r="J452"/>
    </row>
    <row r="453" spans="1:10" ht="15" customHeight="1" x14ac:dyDescent="0.15">
      <c r="A453"/>
      <c r="B453"/>
      <c r="C453"/>
      <c r="D453"/>
      <c r="E453"/>
      <c r="F453"/>
      <c r="G453"/>
      <c r="H453"/>
      <c r="I453"/>
      <c r="J453"/>
    </row>
    <row r="454" spans="1:10" ht="15" customHeight="1" x14ac:dyDescent="0.15">
      <c r="A454"/>
      <c r="B454"/>
      <c r="C454"/>
      <c r="D454"/>
      <c r="E454"/>
      <c r="F454"/>
      <c r="G454"/>
      <c r="H454"/>
      <c r="I454"/>
      <c r="J454"/>
    </row>
    <row r="455" spans="1:10" ht="15" customHeight="1" x14ac:dyDescent="0.15">
      <c r="A455"/>
      <c r="B455"/>
      <c r="C455"/>
      <c r="D455"/>
      <c r="E455"/>
      <c r="F455"/>
      <c r="G455"/>
      <c r="H455"/>
      <c r="I455"/>
      <c r="J455"/>
    </row>
    <row r="456" spans="1:10" ht="15" customHeight="1" x14ac:dyDescent="0.15">
      <c r="A456"/>
      <c r="B456"/>
      <c r="C456"/>
      <c r="D456"/>
      <c r="E456"/>
      <c r="F456"/>
      <c r="G456"/>
      <c r="H456"/>
      <c r="I456"/>
      <c r="J456"/>
    </row>
    <row r="457" spans="1:10" ht="15" customHeight="1" x14ac:dyDescent="0.15">
      <c r="A457"/>
      <c r="B457"/>
      <c r="C457"/>
      <c r="D457"/>
      <c r="E457"/>
      <c r="F457"/>
      <c r="G457"/>
      <c r="H457"/>
      <c r="I457"/>
      <c r="J457"/>
    </row>
    <row r="458" spans="1:10" ht="15" customHeight="1" x14ac:dyDescent="0.15">
      <c r="A458"/>
      <c r="B458"/>
      <c r="C458"/>
      <c r="D458"/>
      <c r="E458"/>
      <c r="F458"/>
      <c r="G458"/>
      <c r="H458"/>
      <c r="I458"/>
      <c r="J458"/>
    </row>
    <row r="459" spans="1:10" ht="15" customHeight="1" x14ac:dyDescent="0.15">
      <c r="A459"/>
      <c r="B459"/>
      <c r="C459"/>
      <c r="D459"/>
      <c r="E459"/>
      <c r="F459"/>
      <c r="G459"/>
      <c r="H459"/>
      <c r="I459"/>
      <c r="J459"/>
    </row>
    <row r="460" spans="1:10" ht="15" customHeight="1" x14ac:dyDescent="0.15">
      <c r="A460"/>
      <c r="B460"/>
      <c r="C460"/>
      <c r="D460"/>
      <c r="E460"/>
      <c r="F460"/>
      <c r="G460"/>
      <c r="H460"/>
      <c r="I460"/>
      <c r="J460"/>
    </row>
    <row r="461" spans="1:10" ht="15" customHeight="1" x14ac:dyDescent="0.15">
      <c r="A461"/>
      <c r="B461"/>
      <c r="C461"/>
      <c r="D461"/>
      <c r="E461"/>
      <c r="F461"/>
      <c r="G461"/>
      <c r="H461"/>
      <c r="I461"/>
      <c r="J461"/>
    </row>
    <row r="462" spans="1:10" ht="15" customHeight="1" x14ac:dyDescent="0.15">
      <c r="A462"/>
      <c r="B462"/>
      <c r="C462"/>
      <c r="D462"/>
      <c r="E462"/>
      <c r="F462"/>
      <c r="G462"/>
      <c r="H462"/>
      <c r="I462"/>
      <c r="J462"/>
    </row>
    <row r="463" spans="1:10" ht="15" customHeight="1" x14ac:dyDescent="0.15">
      <c r="A463"/>
      <c r="B463"/>
      <c r="C463"/>
      <c r="D463"/>
      <c r="E463"/>
      <c r="F463"/>
      <c r="G463"/>
      <c r="H463"/>
      <c r="I463"/>
      <c r="J463"/>
    </row>
    <row r="464" spans="1:10" ht="15" customHeight="1" x14ac:dyDescent="0.15">
      <c r="A464"/>
      <c r="B464"/>
      <c r="C464"/>
      <c r="D464"/>
      <c r="E464"/>
      <c r="F464"/>
      <c r="G464"/>
      <c r="H464"/>
      <c r="I464"/>
      <c r="J464"/>
    </row>
    <row r="465" spans="1:10" ht="15" customHeight="1" x14ac:dyDescent="0.15">
      <c r="A465"/>
      <c r="B465"/>
      <c r="C465"/>
      <c r="D465"/>
      <c r="E465"/>
      <c r="F465"/>
      <c r="G465"/>
      <c r="H465"/>
      <c r="I465"/>
      <c r="J465"/>
    </row>
    <row r="466" spans="1:10" ht="15" customHeight="1" x14ac:dyDescent="0.15">
      <c r="A466"/>
      <c r="B466"/>
      <c r="C466"/>
      <c r="D466"/>
      <c r="E466"/>
      <c r="F466"/>
      <c r="G466"/>
      <c r="H466"/>
      <c r="I466"/>
      <c r="J466"/>
    </row>
    <row r="467" spans="1:10" ht="15" customHeight="1" x14ac:dyDescent="0.15">
      <c r="A467"/>
      <c r="B467"/>
      <c r="C467"/>
      <c r="D467"/>
      <c r="E467"/>
      <c r="F467"/>
      <c r="G467"/>
      <c r="H467"/>
      <c r="I467"/>
      <c r="J467"/>
    </row>
    <row r="468" spans="1:10" ht="15" customHeight="1" x14ac:dyDescent="0.15">
      <c r="A468"/>
      <c r="B468"/>
      <c r="C468"/>
      <c r="D468"/>
      <c r="E468"/>
      <c r="F468"/>
      <c r="G468"/>
      <c r="H468"/>
      <c r="I468"/>
      <c r="J468"/>
    </row>
    <row r="469" spans="1:10" ht="15" customHeight="1" x14ac:dyDescent="0.15">
      <c r="A469"/>
      <c r="B469"/>
      <c r="C469"/>
      <c r="D469"/>
      <c r="E469"/>
      <c r="F469"/>
      <c r="G469"/>
      <c r="H469"/>
      <c r="I469"/>
      <c r="J469"/>
    </row>
    <row r="470" spans="1:10" ht="15" customHeight="1" x14ac:dyDescent="0.15">
      <c r="A470"/>
      <c r="B470"/>
      <c r="C470"/>
      <c r="D470"/>
      <c r="E470"/>
      <c r="F470"/>
      <c r="G470"/>
      <c r="H470"/>
      <c r="I470"/>
      <c r="J470"/>
    </row>
    <row r="471" spans="1:10" ht="15" customHeight="1" x14ac:dyDescent="0.15">
      <c r="A471"/>
      <c r="B471"/>
      <c r="C471"/>
      <c r="D471"/>
      <c r="E471"/>
      <c r="F471"/>
      <c r="G471"/>
      <c r="H471"/>
      <c r="I471"/>
      <c r="J471"/>
    </row>
    <row r="472" spans="1:10" ht="15" customHeight="1" x14ac:dyDescent="0.15">
      <c r="A472"/>
      <c r="B472"/>
      <c r="C472"/>
      <c r="D472"/>
      <c r="E472"/>
      <c r="F472"/>
      <c r="G472"/>
      <c r="H472"/>
      <c r="I472"/>
      <c r="J472"/>
    </row>
    <row r="473" spans="1:10" ht="15" customHeight="1" x14ac:dyDescent="0.15">
      <c r="A473"/>
      <c r="B473"/>
      <c r="C473"/>
      <c r="D473"/>
      <c r="E473"/>
      <c r="F473"/>
      <c r="G473"/>
      <c r="H473"/>
      <c r="I473"/>
      <c r="J473"/>
    </row>
    <row r="474" spans="1:10" ht="15" customHeight="1" x14ac:dyDescent="0.15">
      <c r="A474"/>
      <c r="B474"/>
      <c r="C474"/>
      <c r="D474"/>
      <c r="E474"/>
      <c r="F474"/>
      <c r="G474"/>
      <c r="H474"/>
      <c r="I474"/>
      <c r="J474"/>
    </row>
    <row r="475" spans="1:10" ht="15" customHeight="1" x14ac:dyDescent="0.15">
      <c r="A475"/>
      <c r="B475"/>
      <c r="C475"/>
      <c r="D475"/>
      <c r="E475"/>
      <c r="F475"/>
      <c r="G475"/>
      <c r="H475"/>
      <c r="I475"/>
      <c r="J475"/>
    </row>
    <row r="476" spans="1:10" ht="15" customHeight="1" x14ac:dyDescent="0.15">
      <c r="A476"/>
      <c r="B476"/>
      <c r="C476"/>
      <c r="D476"/>
      <c r="E476"/>
      <c r="F476"/>
      <c r="G476"/>
      <c r="H476"/>
      <c r="I476"/>
      <c r="J476"/>
    </row>
    <row r="477" spans="1:10" ht="15" customHeight="1" x14ac:dyDescent="0.15">
      <c r="A477"/>
      <c r="B477"/>
      <c r="C477"/>
      <c r="D477"/>
      <c r="E477"/>
      <c r="F477"/>
      <c r="G477"/>
      <c r="H477"/>
      <c r="I477"/>
      <c r="J477"/>
    </row>
    <row r="478" spans="1:10" ht="15" customHeight="1" x14ac:dyDescent="0.15">
      <c r="A478"/>
      <c r="B478"/>
      <c r="C478"/>
      <c r="D478"/>
      <c r="E478"/>
      <c r="F478"/>
      <c r="G478"/>
      <c r="H478"/>
      <c r="I478"/>
      <c r="J478"/>
    </row>
    <row r="479" spans="1:10" ht="15" customHeight="1" x14ac:dyDescent="0.15">
      <c r="A479"/>
      <c r="B479"/>
      <c r="C479"/>
      <c r="D479"/>
      <c r="E479"/>
      <c r="F479"/>
      <c r="G479"/>
      <c r="H479"/>
      <c r="I479"/>
      <c r="J479"/>
    </row>
    <row r="480" spans="1:10" ht="15" customHeight="1" x14ac:dyDescent="0.15">
      <c r="A480"/>
      <c r="B480"/>
      <c r="C480"/>
      <c r="D480"/>
      <c r="E480"/>
      <c r="F480"/>
      <c r="G480"/>
      <c r="H480"/>
      <c r="I480"/>
      <c r="J480"/>
    </row>
    <row r="481" spans="1:10" ht="15" customHeight="1" x14ac:dyDescent="0.15">
      <c r="A481"/>
      <c r="B481"/>
      <c r="C481"/>
      <c r="D481"/>
      <c r="E481"/>
      <c r="F481"/>
      <c r="G481"/>
      <c r="H481"/>
      <c r="I481"/>
      <c r="J481"/>
    </row>
    <row r="482" spans="1:10" ht="15" customHeight="1" x14ac:dyDescent="0.15">
      <c r="A482"/>
      <c r="B482"/>
      <c r="C482"/>
      <c r="D482"/>
      <c r="E482"/>
      <c r="F482"/>
      <c r="G482"/>
      <c r="H482"/>
      <c r="I482"/>
      <c r="J482"/>
    </row>
    <row r="483" spans="1:10" ht="15" customHeight="1" x14ac:dyDescent="0.15">
      <c r="A483"/>
      <c r="B483"/>
      <c r="C483"/>
      <c r="D483"/>
      <c r="E483"/>
      <c r="F483"/>
      <c r="G483"/>
      <c r="H483"/>
      <c r="I483"/>
      <c r="J483"/>
    </row>
    <row r="484" spans="1:10" ht="15" customHeight="1" x14ac:dyDescent="0.15">
      <c r="A484"/>
      <c r="B484"/>
      <c r="C484"/>
      <c r="D484"/>
      <c r="E484"/>
      <c r="F484"/>
      <c r="G484"/>
      <c r="H484"/>
      <c r="I484"/>
      <c r="J484"/>
    </row>
    <row r="485" spans="1:10" ht="15" customHeight="1" x14ac:dyDescent="0.15">
      <c r="A485"/>
      <c r="B485"/>
      <c r="C485"/>
      <c r="D485"/>
      <c r="E485"/>
      <c r="F485"/>
      <c r="G485"/>
      <c r="H485"/>
      <c r="I485"/>
      <c r="J485"/>
    </row>
    <row r="486" spans="1:10" ht="15" customHeight="1" x14ac:dyDescent="0.15">
      <c r="A486"/>
      <c r="B486"/>
      <c r="C486"/>
      <c r="D486"/>
      <c r="E486"/>
      <c r="F486"/>
      <c r="G486"/>
      <c r="H486"/>
      <c r="I486"/>
      <c r="J486"/>
    </row>
    <row r="487" spans="1:10" ht="15" customHeight="1" x14ac:dyDescent="0.15">
      <c r="A487"/>
      <c r="B487"/>
      <c r="C487"/>
      <c r="D487"/>
      <c r="E487"/>
      <c r="F487"/>
      <c r="G487"/>
      <c r="H487"/>
      <c r="I487"/>
      <c r="J487"/>
    </row>
    <row r="488" spans="1:10" ht="15" customHeight="1" x14ac:dyDescent="0.15">
      <c r="A488"/>
      <c r="B488"/>
      <c r="C488"/>
      <c r="D488"/>
      <c r="E488"/>
      <c r="F488"/>
      <c r="G488"/>
      <c r="H488"/>
      <c r="I488"/>
      <c r="J488"/>
    </row>
    <row r="489" spans="1:10" ht="15" customHeight="1" x14ac:dyDescent="0.15">
      <c r="A489"/>
      <c r="B489"/>
      <c r="C489"/>
      <c r="D489"/>
      <c r="E489"/>
      <c r="F489"/>
      <c r="G489"/>
      <c r="H489"/>
      <c r="I489"/>
      <c r="J489"/>
    </row>
    <row r="490" spans="1:10" ht="15" customHeight="1" x14ac:dyDescent="0.15">
      <c r="A490"/>
      <c r="B490"/>
      <c r="C490"/>
      <c r="D490"/>
      <c r="E490"/>
      <c r="F490"/>
      <c r="G490"/>
      <c r="H490"/>
      <c r="I490"/>
      <c r="J490"/>
    </row>
    <row r="491" spans="1:10" ht="15" customHeight="1" x14ac:dyDescent="0.15">
      <c r="A491"/>
      <c r="B491"/>
      <c r="C491"/>
      <c r="D491"/>
      <c r="E491"/>
      <c r="F491"/>
      <c r="G491"/>
      <c r="H491"/>
      <c r="I491"/>
      <c r="J491"/>
    </row>
    <row r="492" spans="1:10" ht="15" customHeight="1" x14ac:dyDescent="0.15">
      <c r="A492"/>
      <c r="B492"/>
      <c r="C492"/>
      <c r="D492"/>
      <c r="E492"/>
      <c r="F492"/>
      <c r="G492"/>
      <c r="H492"/>
      <c r="I492"/>
      <c r="J492"/>
    </row>
    <row r="493" spans="1:10" ht="15" customHeight="1" x14ac:dyDescent="0.15">
      <c r="A493"/>
      <c r="B493"/>
      <c r="C493"/>
      <c r="D493"/>
      <c r="E493"/>
      <c r="F493"/>
      <c r="G493"/>
      <c r="H493"/>
      <c r="I493"/>
      <c r="J493"/>
    </row>
    <row r="494" spans="1:10" ht="15" customHeight="1" x14ac:dyDescent="0.15">
      <c r="A494"/>
      <c r="B494"/>
      <c r="C494"/>
      <c r="D494"/>
      <c r="E494"/>
      <c r="F494"/>
      <c r="G494"/>
      <c r="H494"/>
      <c r="I494"/>
      <c r="J494"/>
    </row>
    <row r="495" spans="1:10" ht="15" customHeight="1" x14ac:dyDescent="0.15">
      <c r="A495"/>
      <c r="B495"/>
      <c r="C495"/>
      <c r="D495"/>
      <c r="E495"/>
      <c r="F495"/>
      <c r="G495"/>
      <c r="H495"/>
      <c r="I495"/>
      <c r="J495"/>
    </row>
    <row r="496" spans="1:10" ht="15" customHeight="1" x14ac:dyDescent="0.15">
      <c r="A496"/>
      <c r="B496"/>
      <c r="C496"/>
      <c r="D496"/>
      <c r="E496"/>
      <c r="F496"/>
      <c r="G496"/>
      <c r="H496"/>
      <c r="I496"/>
      <c r="J496"/>
    </row>
    <row r="497" spans="1:10" ht="15" customHeight="1" x14ac:dyDescent="0.15">
      <c r="A497"/>
      <c r="B497"/>
      <c r="C497"/>
      <c r="D497"/>
      <c r="E497"/>
      <c r="F497"/>
      <c r="G497"/>
      <c r="H497"/>
      <c r="I497"/>
      <c r="J497"/>
    </row>
    <row r="498" spans="1:10" ht="15" customHeight="1" x14ac:dyDescent="0.15">
      <c r="A498"/>
      <c r="B498"/>
      <c r="C498"/>
      <c r="D498"/>
      <c r="E498"/>
      <c r="F498"/>
      <c r="G498"/>
      <c r="H498"/>
      <c r="I498"/>
      <c r="J498"/>
    </row>
    <row r="499" spans="1:10" ht="15" customHeight="1" x14ac:dyDescent="0.15">
      <c r="A499"/>
      <c r="B499"/>
      <c r="C499"/>
      <c r="D499"/>
      <c r="E499"/>
      <c r="F499"/>
      <c r="G499"/>
      <c r="H499"/>
      <c r="I499"/>
      <c r="J499"/>
    </row>
    <row r="500" spans="1:10" ht="15" customHeight="1" x14ac:dyDescent="0.15">
      <c r="A500"/>
      <c r="B500"/>
      <c r="C500"/>
      <c r="D500"/>
      <c r="E500"/>
      <c r="F500"/>
      <c r="G500"/>
      <c r="H500"/>
      <c r="I500"/>
      <c r="J500"/>
    </row>
  </sheetData>
  <dataConsolidate/>
  <phoneticPr fontId="3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indexed="15"/>
  </sheetPr>
  <dimension ref="A1:HA500"/>
  <sheetViews>
    <sheetView zoomScale="125" zoomScaleNormal="125" zoomScalePageLayoutView="125" workbookViewId="0">
      <pane xSplit="3" ySplit="1" topLeftCell="D12" activePane="bottomRight" state="frozen"/>
      <selection pane="topRight" activeCell="D1" sqref="D1"/>
      <selection pane="bottomLeft" activeCell="A2" sqref="A2"/>
      <selection pane="bottomRight" activeCell="A35" sqref="A35:XFD35"/>
    </sheetView>
  </sheetViews>
  <sheetFormatPr baseColWidth="10" defaultColWidth="8.83203125" defaultRowHeight="15" customHeight="1" x14ac:dyDescent="0.15"/>
  <cols>
    <col min="1" max="1" width="40.33203125" style="68" bestFit="1" customWidth="1"/>
    <col min="2" max="4" width="9.5" style="68" bestFit="1" customWidth="1"/>
    <col min="5" max="7" width="9" style="68" bestFit="1" customWidth="1"/>
    <col min="8" max="16" width="12.6640625" style="68" bestFit="1" customWidth="1"/>
    <col min="17" max="17" width="12.33203125" style="68" bestFit="1" customWidth="1"/>
    <col min="18" max="18" width="8.83203125" style="68"/>
    <col min="19" max="21" width="9.33203125" style="68" bestFit="1" customWidth="1"/>
    <col min="22" max="23" width="8.83203125" style="68"/>
    <col min="24" max="24" width="9.33203125" style="68" bestFit="1" customWidth="1"/>
    <col min="25" max="27" width="8.83203125" style="68"/>
    <col min="28" max="58" width="9" style="68" bestFit="1" customWidth="1"/>
    <col min="59" max="59" width="12.33203125" style="68" bestFit="1" customWidth="1"/>
    <col min="60" max="60" width="9" style="68" bestFit="1" customWidth="1"/>
    <col min="61" max="61" width="11.33203125" style="68" bestFit="1" customWidth="1"/>
    <col min="62" max="77" width="9" style="68" bestFit="1" customWidth="1"/>
    <col min="78" max="78" width="12.33203125" style="68" bestFit="1" customWidth="1"/>
    <col min="79" max="79" width="9" style="68" bestFit="1" customWidth="1"/>
    <col min="80" max="80" width="12.33203125" style="68" bestFit="1" customWidth="1"/>
    <col min="81" max="107" width="9" style="68" bestFit="1" customWidth="1"/>
    <col min="108" max="108" width="11.33203125" style="68" bestFit="1" customWidth="1"/>
    <col min="109" max="124" width="9" style="68" bestFit="1" customWidth="1"/>
    <col min="125" max="125" width="10.33203125" style="68" bestFit="1" customWidth="1"/>
    <col min="126" max="129" width="9.33203125" style="68" bestFit="1" customWidth="1"/>
    <col min="130" max="130" width="9" style="68" bestFit="1" customWidth="1"/>
    <col min="131" max="134" width="9.33203125" style="68" bestFit="1" customWidth="1"/>
    <col min="135" max="165" width="9" style="68" bestFit="1" customWidth="1"/>
    <col min="166" max="166" width="12.33203125" style="68" bestFit="1" customWidth="1"/>
    <col min="167" max="170" width="9" style="68" bestFit="1" customWidth="1"/>
    <col min="171" max="176" width="8.83203125" style="68"/>
    <col min="177" max="177" width="13.83203125" style="68" bestFit="1" customWidth="1"/>
    <col min="178" max="16384" width="8.83203125" style="68"/>
  </cols>
  <sheetData>
    <row r="1" spans="1:209" ht="15" customHeight="1" x14ac:dyDescent="0.15">
      <c r="A1" t="s">
        <v>16</v>
      </c>
      <c r="B1" t="s">
        <v>1</v>
      </c>
      <c r="C1" t="s">
        <v>17</v>
      </c>
      <c r="D1" t="s">
        <v>265</v>
      </c>
      <c r="E1" t="s">
        <v>266</v>
      </c>
      <c r="F1" t="s">
        <v>267</v>
      </c>
      <c r="G1" t="s">
        <v>268</v>
      </c>
      <c r="H1" t="s">
        <v>269</v>
      </c>
      <c r="I1" t="s">
        <v>270</v>
      </c>
      <c r="J1" t="s">
        <v>271</v>
      </c>
      <c r="K1" t="s">
        <v>272</v>
      </c>
      <c r="L1" t="s">
        <v>273</v>
      </c>
      <c r="M1" t="s">
        <v>274</v>
      </c>
      <c r="N1" t="s">
        <v>275</v>
      </c>
      <c r="O1" t="s">
        <v>276</v>
      </c>
      <c r="P1" t="s">
        <v>277</v>
      </c>
      <c r="Q1" t="s">
        <v>278</v>
      </c>
      <c r="R1" t="s">
        <v>279</v>
      </c>
      <c r="S1" t="s">
        <v>280</v>
      </c>
      <c r="T1" t="s">
        <v>281</v>
      </c>
      <c r="U1" t="s">
        <v>282</v>
      </c>
      <c r="V1" t="s">
        <v>283</v>
      </c>
      <c r="W1" t="s">
        <v>284</v>
      </c>
      <c r="X1" t="s">
        <v>285</v>
      </c>
      <c r="Y1" t="s">
        <v>286</v>
      </c>
      <c r="Z1" t="s">
        <v>287</v>
      </c>
      <c r="AA1" t="s">
        <v>288</v>
      </c>
      <c r="AB1" t="s">
        <v>289</v>
      </c>
      <c r="AC1" t="s">
        <v>290</v>
      </c>
      <c r="AD1" t="s">
        <v>291</v>
      </c>
      <c r="AE1" t="s">
        <v>292</v>
      </c>
      <c r="AF1" t="s">
        <v>293</v>
      </c>
      <c r="AG1" t="s">
        <v>294</v>
      </c>
      <c r="AH1" t="s">
        <v>295</v>
      </c>
      <c r="AI1" t="s">
        <v>181</v>
      </c>
      <c r="AJ1" t="s">
        <v>182</v>
      </c>
      <c r="AK1" t="s">
        <v>176</v>
      </c>
      <c r="AL1" t="s">
        <v>183</v>
      </c>
      <c r="AM1" t="s">
        <v>184</v>
      </c>
      <c r="AN1" t="s">
        <v>185</v>
      </c>
      <c r="AO1" t="s">
        <v>186</v>
      </c>
      <c r="AP1" t="s">
        <v>187</v>
      </c>
      <c r="AQ1" t="s">
        <v>189</v>
      </c>
      <c r="AR1" t="s">
        <v>190</v>
      </c>
      <c r="AS1" t="s">
        <v>191</v>
      </c>
      <c r="AT1" t="s">
        <v>192</v>
      </c>
      <c r="AU1" t="s">
        <v>193</v>
      </c>
      <c r="AV1" t="s">
        <v>194</v>
      </c>
      <c r="AW1" t="s">
        <v>195</v>
      </c>
      <c r="AX1" t="s">
        <v>196</v>
      </c>
      <c r="AY1" t="s">
        <v>197</v>
      </c>
      <c r="AZ1" t="s">
        <v>198</v>
      </c>
      <c r="BA1" t="s">
        <v>199</v>
      </c>
      <c r="BB1" t="s">
        <v>200</v>
      </c>
      <c r="BC1" t="s">
        <v>201</v>
      </c>
      <c r="BD1" t="s">
        <v>202</v>
      </c>
      <c r="BE1" t="s">
        <v>203</v>
      </c>
      <c r="BF1" t="s">
        <v>204</v>
      </c>
      <c r="BG1" t="s">
        <v>205</v>
      </c>
      <c r="BH1" t="s">
        <v>206</v>
      </c>
      <c r="BI1" t="s">
        <v>207</v>
      </c>
      <c r="BJ1" t="s">
        <v>261</v>
      </c>
      <c r="BK1" t="s">
        <v>262</v>
      </c>
      <c r="BL1" t="s">
        <v>263</v>
      </c>
      <c r="BM1" t="s">
        <v>264</v>
      </c>
      <c r="BN1" t="s">
        <v>208</v>
      </c>
      <c r="BO1" t="s">
        <v>209</v>
      </c>
      <c r="BP1" t="s">
        <v>210</v>
      </c>
      <c r="BQ1" t="s">
        <v>211</v>
      </c>
      <c r="BR1" t="s">
        <v>212</v>
      </c>
      <c r="BS1" t="s">
        <v>213</v>
      </c>
      <c r="BT1" t="s">
        <v>214</v>
      </c>
      <c r="BU1" t="s">
        <v>215</v>
      </c>
      <c r="BV1" t="s">
        <v>216</v>
      </c>
      <c r="BW1" t="s">
        <v>217</v>
      </c>
      <c r="BX1" t="s">
        <v>218</v>
      </c>
      <c r="BY1" t="s">
        <v>219</v>
      </c>
      <c r="BZ1" t="s">
        <v>220</v>
      </c>
      <c r="CA1" t="s">
        <v>221</v>
      </c>
      <c r="CB1" t="s">
        <v>222</v>
      </c>
      <c r="CC1" t="s">
        <v>223</v>
      </c>
      <c r="CD1" t="s">
        <v>224</v>
      </c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</row>
    <row r="2" spans="1:209" ht="15" customHeight="1" x14ac:dyDescent="0.15">
      <c r="A2" t="s">
        <v>181</v>
      </c>
      <c r="B2">
        <v>200</v>
      </c>
      <c r="C2">
        <v>134.38438415527344</v>
      </c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 s="85">
        <v>47.990673065185547</v>
      </c>
      <c r="AL2" s="217">
        <v>16.904718399047852</v>
      </c>
      <c r="AM2"/>
      <c r="AN2"/>
      <c r="AO2" s="9">
        <v>0.61682480573654175</v>
      </c>
      <c r="AP2"/>
      <c r="AQ2" s="8">
        <v>3.5533800721168518E-2</v>
      </c>
      <c r="AR2" s="8">
        <v>6.7863769829273224E-2</v>
      </c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</row>
    <row r="3" spans="1:209" ht="15" customHeight="1" x14ac:dyDescent="0.15">
      <c r="A3" t="s">
        <v>182</v>
      </c>
      <c r="B3">
        <v>154.39999389648438</v>
      </c>
      <c r="C3">
        <v>150.10829162597656</v>
      </c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 s="76">
        <v>3.5933623313903809</v>
      </c>
      <c r="AN3"/>
      <c r="AO3" s="9">
        <v>0.53972166776657104</v>
      </c>
      <c r="AP3" s="8">
        <v>0.12713399529457092</v>
      </c>
      <c r="AQ3" s="8">
        <v>3.1092073768377304E-2</v>
      </c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 s="8">
        <v>3.9375000051222742E-4</v>
      </c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</row>
    <row r="4" spans="1:209" ht="15" customHeight="1" x14ac:dyDescent="0.15">
      <c r="A4" t="s">
        <v>176</v>
      </c>
      <c r="B4">
        <v>482</v>
      </c>
      <c r="C4">
        <v>24.025941848754883</v>
      </c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 s="82">
        <v>96.400001525878906</v>
      </c>
      <c r="AL4" s="247">
        <v>271.6552734375</v>
      </c>
      <c r="AM4" s="87">
        <v>65.993797302246094</v>
      </c>
      <c r="AN4"/>
      <c r="AO4" s="59">
        <v>19.824487686157227</v>
      </c>
      <c r="AP4" s="9">
        <v>1.8679007291793823</v>
      </c>
      <c r="AQ4" s="11">
        <v>1.1420413255691528</v>
      </c>
      <c r="AR4" s="11">
        <v>1.0905565023422241</v>
      </c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</row>
    <row r="5" spans="1:209" ht="15" customHeight="1" x14ac:dyDescent="0.15">
      <c r="A5" t="s">
        <v>183</v>
      </c>
      <c r="B5">
        <v>40</v>
      </c>
      <c r="C5">
        <v>1.9988059997558594</v>
      </c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 s="246">
        <v>16.686206817626953</v>
      </c>
      <c r="AN5" s="14">
        <v>0.54701828956604004</v>
      </c>
      <c r="AO5"/>
      <c r="AP5" s="80">
        <v>6.5321807861328125</v>
      </c>
      <c r="AQ5"/>
      <c r="AR5" s="20">
        <v>0.24254129827022552</v>
      </c>
      <c r="AS5" s="79">
        <v>4.8821406364440918</v>
      </c>
      <c r="AT5" s="15">
        <v>0.44994929432868958</v>
      </c>
      <c r="AU5" s="10">
        <v>1.5104967355728149</v>
      </c>
      <c r="AV5" s="16">
        <v>0.71100848913192749</v>
      </c>
      <c r="AW5" s="8">
        <v>2.5600001681596041E-3</v>
      </c>
      <c r="AX5" s="209">
        <v>2.3975663185119629</v>
      </c>
      <c r="AY5" s="232">
        <v>3.9787812232971191</v>
      </c>
      <c r="AZ5"/>
      <c r="BA5"/>
      <c r="BB5"/>
      <c r="BC5"/>
      <c r="BD5"/>
      <c r="BE5"/>
      <c r="BF5"/>
      <c r="BG5"/>
      <c r="BH5" s="8">
        <v>1.0253520682454109E-2</v>
      </c>
      <c r="BI5" s="8">
        <v>2.028169110417366E-2</v>
      </c>
      <c r="BJ5"/>
      <c r="BK5"/>
      <c r="BL5"/>
      <c r="BM5"/>
      <c r="BN5" s="8">
        <v>7.5402823276817799E-3</v>
      </c>
      <c r="BO5" s="8">
        <v>1.7604507505893707E-2</v>
      </c>
      <c r="BP5"/>
      <c r="BQ5"/>
      <c r="BR5"/>
      <c r="BS5"/>
      <c r="BT5"/>
      <c r="BU5" s="8">
        <v>2.8056337032467127E-3</v>
      </c>
      <c r="BV5"/>
      <c r="BW5"/>
      <c r="BX5"/>
      <c r="BY5" s="8">
        <v>2.255238126963377E-3</v>
      </c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</row>
    <row r="6" spans="1:209" ht="15" customHeight="1" x14ac:dyDescent="0.15">
      <c r="A6" t="s">
        <v>184</v>
      </c>
      <c r="B6">
        <v>13</v>
      </c>
      <c r="C6">
        <v>0.65072464942932129</v>
      </c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 s="20">
        <v>6.626429408788681E-2</v>
      </c>
      <c r="AO6"/>
      <c r="AP6" s="229">
        <v>2.5173215866088867</v>
      </c>
      <c r="AQ6"/>
      <c r="AR6" s="11">
        <v>3.7823542952537537E-2</v>
      </c>
      <c r="AS6" s="112">
        <v>2.102787971496582</v>
      </c>
      <c r="AT6" s="9">
        <v>5.742156133055687E-2</v>
      </c>
      <c r="AU6" s="23">
        <v>0.32529321312904358</v>
      </c>
      <c r="AV6" s="26">
        <v>0.61718869209289551</v>
      </c>
      <c r="AW6" s="12">
        <v>0.13231420516967773</v>
      </c>
      <c r="AX6" s="243">
        <v>2.3234767913818359</v>
      </c>
      <c r="AY6" s="115">
        <v>1.2660930156707764</v>
      </c>
      <c r="AZ6" s="8">
        <v>1.2251583859324455E-2</v>
      </c>
      <c r="BA6" s="8">
        <v>2.9766322113573551E-3</v>
      </c>
      <c r="BB6"/>
      <c r="BC6"/>
      <c r="BD6" s="8">
        <v>1.5287180431187153E-3</v>
      </c>
      <c r="BE6" s="8">
        <v>2.402271144092083E-3</v>
      </c>
      <c r="BF6"/>
      <c r="BG6" s="8">
        <v>1.1465385323390365E-3</v>
      </c>
      <c r="BH6" s="19">
        <v>8.9430011808872223E-2</v>
      </c>
      <c r="BI6" s="14">
        <v>0.18999782204627991</v>
      </c>
      <c r="BJ6" s="95">
        <v>0.93104004859924316</v>
      </c>
      <c r="BK6" s="8">
        <v>1.2126026675105095E-2</v>
      </c>
      <c r="BL6" s="83">
        <v>1.1602898836135864</v>
      </c>
      <c r="BM6" s="20">
        <v>8.628641813993454E-2</v>
      </c>
      <c r="BN6" s="76">
        <v>0.31567418575286865</v>
      </c>
      <c r="BO6" s="9">
        <v>5.6868314743041992E-2</v>
      </c>
      <c r="BP6"/>
      <c r="BQ6"/>
      <c r="BR6"/>
      <c r="BS6"/>
      <c r="BT6"/>
      <c r="BU6" s="8">
        <v>2.4168302770704031E-3</v>
      </c>
      <c r="BV6"/>
      <c r="BW6"/>
      <c r="BX6"/>
      <c r="BY6" s="9">
        <v>3.8854166865348816E-2</v>
      </c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</row>
    <row r="7" spans="1:209" ht="15" customHeight="1" x14ac:dyDescent="0.15">
      <c r="A7" t="s">
        <v>185</v>
      </c>
      <c r="B7">
        <v>0.58399999141693115</v>
      </c>
      <c r="C7">
        <v>0.39662289619445801</v>
      </c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 s="117">
        <v>6.6760003566741943E-2</v>
      </c>
      <c r="AO7"/>
      <c r="AP7"/>
      <c r="AQ7"/>
      <c r="AR7"/>
      <c r="AS7"/>
      <c r="AT7" s="57">
        <v>3.2541252672672272E-2</v>
      </c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 s="210">
        <v>8.8075853884220123E-2</v>
      </c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</row>
    <row r="8" spans="1:209" ht="15" customHeight="1" x14ac:dyDescent="0.15">
      <c r="A8" t="s">
        <v>186</v>
      </c>
      <c r="B8">
        <v>1.2000000476837158</v>
      </c>
      <c r="C8">
        <v>2.5779964402318001E-2</v>
      </c>
      <c r="D8" s="200">
        <v>0.1574421226978302</v>
      </c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 s="92">
        <v>8.9195162057876587E-2</v>
      </c>
      <c r="AW8" s="19">
        <v>1.0019846260547638E-2</v>
      </c>
      <c r="AX8"/>
      <c r="AY8"/>
      <c r="AZ8" s="21">
        <v>3.2745320349931717E-2</v>
      </c>
      <c r="BA8" s="9">
        <v>3.6066151224076748E-3</v>
      </c>
      <c r="BB8"/>
      <c r="BC8"/>
      <c r="BD8" s="8">
        <v>1.1576625984162092E-3</v>
      </c>
      <c r="BE8" s="9">
        <v>3.6383683327585459E-3</v>
      </c>
      <c r="BF8"/>
      <c r="BG8"/>
      <c r="BH8" s="23">
        <v>3.0099229887127876E-2</v>
      </c>
      <c r="BI8" s="91">
        <v>5.953693762421608E-2</v>
      </c>
      <c r="BJ8" s="63">
        <v>0.10682651400566101</v>
      </c>
      <c r="BK8" s="72">
        <v>7.9051569104194641E-2</v>
      </c>
      <c r="BL8" s="226">
        <v>0.38391408324241638</v>
      </c>
      <c r="BM8" s="8">
        <v>5.1249185344204307E-4</v>
      </c>
      <c r="BN8" s="11">
        <v>1.4756341697648168E-3</v>
      </c>
      <c r="BO8" s="19">
        <v>1.0335612110793591E-2</v>
      </c>
      <c r="BP8"/>
      <c r="BQ8"/>
      <c r="BR8"/>
      <c r="BS8"/>
      <c r="BT8" s="26">
        <v>5.6619584560394287E-2</v>
      </c>
      <c r="BU8" s="76">
        <v>2.7453143149614334E-2</v>
      </c>
      <c r="BV8" s="14">
        <v>1.7107833176851273E-2</v>
      </c>
      <c r="BW8" s="11">
        <v>2.8201492968946695E-3</v>
      </c>
      <c r="BX8" s="91">
        <v>5.79984150826931E-2</v>
      </c>
      <c r="BY8" s="25">
        <v>4.266386479139328E-2</v>
      </c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</row>
    <row r="9" spans="1:209" ht="15" customHeight="1" x14ac:dyDescent="0.15">
      <c r="A9" t="s">
        <v>187</v>
      </c>
      <c r="B9">
        <v>1.2000000476837158</v>
      </c>
      <c r="C9">
        <v>0.81257760524749756</v>
      </c>
      <c r="D9" s="21">
        <v>3.3696729689836502E-2</v>
      </c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 s="90">
        <v>3.8826283067464828E-2</v>
      </c>
      <c r="BA9" s="20">
        <v>7.7190985903143883E-3</v>
      </c>
      <c r="BB9"/>
      <c r="BC9"/>
      <c r="BD9" s="8">
        <v>7.4331020005047321E-4</v>
      </c>
      <c r="BE9" s="8">
        <v>1.16805883590132E-3</v>
      </c>
      <c r="BF9"/>
      <c r="BG9"/>
      <c r="BH9"/>
      <c r="BI9"/>
      <c r="BJ9"/>
      <c r="BK9" s="180">
        <v>0.10254000127315521</v>
      </c>
      <c r="BL9"/>
      <c r="BM9" s="8">
        <v>9.8717969376593828E-4</v>
      </c>
      <c r="BN9" s="8">
        <v>9.4747281400486827E-4</v>
      </c>
      <c r="BO9" s="9">
        <v>4.4241826981306076E-3</v>
      </c>
      <c r="BP9"/>
      <c r="BQ9" s="20">
        <v>7.4902730993926525E-3</v>
      </c>
      <c r="BR9"/>
      <c r="BS9"/>
      <c r="BT9" s="78">
        <v>5.4531320929527283E-2</v>
      </c>
      <c r="BU9" s="14">
        <v>1.7627069726586342E-2</v>
      </c>
      <c r="BV9" s="9">
        <v>5.2176704630255699E-3</v>
      </c>
      <c r="BW9" s="9">
        <v>5.658615380525589E-3</v>
      </c>
      <c r="BX9" s="12">
        <v>1.1384656652808189E-2</v>
      </c>
      <c r="BY9" s="66">
        <v>9.4460517168045044E-2</v>
      </c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</row>
    <row r="10" spans="1:209" ht="15" customHeight="1" x14ac:dyDescent="0.15">
      <c r="A10" t="s">
        <v>189</v>
      </c>
      <c r="B10">
        <v>1.3999999761581421</v>
      </c>
      <c r="C10">
        <v>2.0591424778103828E-2</v>
      </c>
      <c r="D10" s="201">
        <v>0.17982456088066101</v>
      </c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 s="62">
        <v>7.0964924991130829E-2</v>
      </c>
      <c r="AW10" s="64">
        <v>9.9649131298065186E-2</v>
      </c>
      <c r="AX10"/>
      <c r="AY10"/>
      <c r="AZ10" s="224">
        <v>0.13026317954063416</v>
      </c>
      <c r="BA10" s="19">
        <v>1.1956139467656612E-2</v>
      </c>
      <c r="BB10"/>
      <c r="BC10"/>
      <c r="BD10" s="90">
        <v>4.6052630990743637E-2</v>
      </c>
      <c r="BE10" s="66">
        <v>0.10855264216661453</v>
      </c>
      <c r="BF10"/>
      <c r="BG10"/>
      <c r="BH10" s="14">
        <v>1.9956141710281372E-2</v>
      </c>
      <c r="BI10" s="21">
        <v>3.9473690092563629E-2</v>
      </c>
      <c r="BJ10" s="228">
        <v>0.42496338486671448</v>
      </c>
      <c r="BK10" s="15">
        <v>1.5882460400462151E-2</v>
      </c>
      <c r="BL10" s="67">
        <v>9.0906985104084015E-2</v>
      </c>
      <c r="BM10"/>
      <c r="BN10"/>
      <c r="BO10"/>
      <c r="BP10"/>
      <c r="BQ10"/>
      <c r="BR10"/>
      <c r="BS10"/>
      <c r="BT10" s="19">
        <v>1.12618338316679E-2</v>
      </c>
      <c r="BU10"/>
      <c r="BV10" s="11">
        <v>3.4028084482997656E-3</v>
      </c>
      <c r="BW10" s="15">
        <v>1.752929762005806E-2</v>
      </c>
      <c r="BX10" s="66">
        <v>0.10876882821321487</v>
      </c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</row>
    <row r="11" spans="1:209" ht="15" customHeight="1" x14ac:dyDescent="0.15">
      <c r="A11" t="s">
        <v>190</v>
      </c>
      <c r="B11">
        <v>1.2000000476837158</v>
      </c>
      <c r="C11">
        <v>3.766930103302002E-2</v>
      </c>
      <c r="D11" s="202">
        <v>0.66666662693023682</v>
      </c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 s="9">
        <v>4.5433328486979008E-3</v>
      </c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 s="10">
        <v>4.4086501002311707E-2</v>
      </c>
      <c r="BR11"/>
      <c r="BS11"/>
      <c r="BT11" s="23">
        <v>2.9956476762890816E-2</v>
      </c>
      <c r="BU11" s="100">
        <v>9.6833325922489166E-2</v>
      </c>
      <c r="BV11" s="81">
        <v>6.4653344452381134E-2</v>
      </c>
      <c r="BW11" s="94">
        <v>9.9917009472846985E-2</v>
      </c>
      <c r="BX11"/>
      <c r="BY11" s="201">
        <v>0.15567407011985779</v>
      </c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</row>
    <row r="12" spans="1:209" ht="15" customHeight="1" x14ac:dyDescent="0.15">
      <c r="A12" t="s">
        <v>191</v>
      </c>
      <c r="B12">
        <v>1.2999999523162842</v>
      </c>
      <c r="C12">
        <v>0.27703550457954407</v>
      </c>
      <c r="D12" s="17">
        <v>5.4905492812395096E-2</v>
      </c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 s="102">
        <v>0.17476148903369904</v>
      </c>
      <c r="AW12" s="9">
        <v>4.0900092571973801E-3</v>
      </c>
      <c r="AX12"/>
      <c r="AY12"/>
      <c r="AZ12" s="13">
        <v>1.9603962078690529E-2</v>
      </c>
      <c r="BA12" s="8">
        <v>4.9072905676439404E-4</v>
      </c>
      <c r="BB12"/>
      <c r="BC12"/>
      <c r="BD12"/>
      <c r="BE12" s="11">
        <v>2.970297122374177E-3</v>
      </c>
      <c r="BF12"/>
      <c r="BG12"/>
      <c r="BH12" s="22">
        <v>4.0954098105430603E-2</v>
      </c>
      <c r="BI12" s="61">
        <v>8.1008106470108032E-2</v>
      </c>
      <c r="BJ12" s="93">
        <v>9.0118244290351868E-2</v>
      </c>
      <c r="BK12" s="17">
        <v>5.6713677942752838E-2</v>
      </c>
      <c r="BL12" s="104">
        <v>0.2014845609664917</v>
      </c>
      <c r="BM12" s="16">
        <v>2.3429775610566139E-2</v>
      </c>
      <c r="BN12" s="73">
        <v>0.13251486420631409</v>
      </c>
      <c r="BO12" s="57">
        <v>7.0315040647983551E-2</v>
      </c>
      <c r="BP12"/>
      <c r="BQ12" s="16">
        <v>2.3332908749580383E-2</v>
      </c>
      <c r="BR12"/>
      <c r="BS12"/>
      <c r="BT12" s="12">
        <v>1.1555797420442104E-2</v>
      </c>
      <c r="BU12" s="9">
        <v>4.4824481010437012E-3</v>
      </c>
      <c r="BV12" s="11">
        <v>1.7458151560276747E-3</v>
      </c>
      <c r="BW12" s="8">
        <v>8.6336926324293017E-4</v>
      </c>
      <c r="BX12"/>
      <c r="BY12" s="58">
        <v>2.7623793110251427E-2</v>
      </c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</row>
    <row r="13" spans="1:209" ht="15" customHeight="1" x14ac:dyDescent="0.15">
      <c r="A13" t="s">
        <v>192</v>
      </c>
      <c r="B13">
        <v>1</v>
      </c>
      <c r="C13">
        <v>2.626347541809082E-2</v>
      </c>
      <c r="D13" s="11">
        <v>2.0283977501094341E-3</v>
      </c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 s="11">
        <v>2.0081140100955963E-3</v>
      </c>
      <c r="BA13" s="8">
        <v>5.5294111371040344E-4</v>
      </c>
      <c r="BB13"/>
      <c r="BC13"/>
      <c r="BD13" s="58">
        <v>2.1298173815011978E-2</v>
      </c>
      <c r="BE13" s="90">
        <v>3.3468559384346008E-2</v>
      </c>
      <c r="BF13"/>
      <c r="BG13"/>
      <c r="BH13"/>
      <c r="BI13"/>
      <c r="BJ13"/>
      <c r="BK13" s="95">
        <v>7.345234602689743E-2</v>
      </c>
      <c r="BL13" s="59">
        <v>4.204217717051506E-2</v>
      </c>
      <c r="BM13" s="18">
        <v>1.8857203423976898E-2</v>
      </c>
      <c r="BN13"/>
      <c r="BO13"/>
      <c r="BP13"/>
      <c r="BQ13" s="97">
        <v>0.10730994492769241</v>
      </c>
      <c r="BR13"/>
      <c r="BS13"/>
      <c r="BT13" s="13">
        <v>1.5624937601387501E-2</v>
      </c>
      <c r="BU13" s="90">
        <v>3.3671397715806961E-2</v>
      </c>
      <c r="BV13" s="8">
        <v>7.868562825024128E-4</v>
      </c>
      <c r="BW13" s="65">
        <v>9.4850219786167145E-2</v>
      </c>
      <c r="BX13"/>
      <c r="BY13" s="233">
        <v>0.52778524160385132</v>
      </c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</row>
    <row r="14" spans="1:209" ht="15" customHeight="1" x14ac:dyDescent="0.15">
      <c r="A14" t="s">
        <v>193</v>
      </c>
      <c r="B14">
        <v>1.2000000476837158</v>
      </c>
      <c r="C14">
        <v>0.90440434217453003</v>
      </c>
      <c r="D14" s="14">
        <v>1.7075775191187859E-2</v>
      </c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 s="19">
        <v>1.0565635748207569E-2</v>
      </c>
      <c r="BA14" s="8">
        <v>2.9092849581502378E-4</v>
      </c>
      <c r="BB14"/>
      <c r="BC14"/>
      <c r="BD14" s="18">
        <v>2.2411953657865524E-2</v>
      </c>
      <c r="BE14" s="14">
        <v>1.7609391361474991E-2</v>
      </c>
      <c r="BF14"/>
      <c r="BG14"/>
      <c r="BH14"/>
      <c r="BI14"/>
      <c r="BJ14"/>
      <c r="BK14" s="181">
        <v>0.11594025045633316</v>
      </c>
      <c r="BL14"/>
      <c r="BM14"/>
      <c r="BN14"/>
      <c r="BO14"/>
      <c r="BP14"/>
      <c r="BQ14"/>
      <c r="BR14"/>
      <c r="BS14"/>
      <c r="BT14" s="76">
        <v>2.7403393760323524E-2</v>
      </c>
      <c r="BU14"/>
      <c r="BV14" s="8">
        <v>1.0350055526942015E-3</v>
      </c>
      <c r="BW14" s="11">
        <v>2.1327000577002764E-3</v>
      </c>
      <c r="BX14" s="11">
        <v>2.8070739936083555E-3</v>
      </c>
      <c r="BY14" s="67">
        <v>7.8323595225811005E-2</v>
      </c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</row>
    <row r="15" spans="1:209" ht="15" customHeight="1" x14ac:dyDescent="0.15">
      <c r="A15" t="s">
        <v>194</v>
      </c>
      <c r="B15">
        <v>1</v>
      </c>
      <c r="C15">
        <v>0.11062806844711304</v>
      </c>
      <c r="D15"/>
      <c r="E15" s="181">
        <v>9.5797277987003326E-2</v>
      </c>
      <c r="F15"/>
      <c r="G15"/>
      <c r="H15"/>
      <c r="I15"/>
      <c r="J15"/>
      <c r="K15"/>
      <c r="L15"/>
      <c r="M15"/>
      <c r="N15"/>
      <c r="O15"/>
      <c r="P15" s="8">
        <v>6.1804694269085303E-6</v>
      </c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 s="209">
        <v>6.1186648905277252E-2</v>
      </c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 s="8">
        <v>6.1186659149825573E-4</v>
      </c>
      <c r="BA15" s="8">
        <v>1.6847958613652736E-4</v>
      </c>
      <c r="BB15"/>
      <c r="BC15"/>
      <c r="BD15"/>
      <c r="BE15"/>
      <c r="BF15"/>
      <c r="BG15"/>
      <c r="BH15"/>
      <c r="BI15"/>
      <c r="BJ15"/>
      <c r="BK15" s="114">
        <v>0.353615403175354</v>
      </c>
      <c r="BL15"/>
      <c r="BM15"/>
      <c r="BN15"/>
      <c r="BO15"/>
      <c r="BP15"/>
      <c r="BQ15" s="179">
        <v>0.14713665843009949</v>
      </c>
      <c r="BR15" s="57">
        <v>5.3955502808094025E-2</v>
      </c>
      <c r="BS15" s="9">
        <v>3.4765140153467655E-3</v>
      </c>
      <c r="BT15" s="25">
        <v>3.4913074225187302E-2</v>
      </c>
      <c r="BU15" s="113">
        <v>0.13850432634353638</v>
      </c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</row>
    <row r="16" spans="1:209" ht="15" customHeight="1" x14ac:dyDescent="0.15">
      <c r="A16" t="s">
        <v>195</v>
      </c>
      <c r="B16">
        <v>0.80000001192092896</v>
      </c>
      <c r="C16">
        <v>0.13244520127773285</v>
      </c>
      <c r="D16" s="91">
        <v>3.8732394576072693E-2</v>
      </c>
      <c r="E16" s="203">
        <v>9.8591551184654236E-2</v>
      </c>
      <c r="F16"/>
      <c r="G16"/>
      <c r="H16"/>
      <c r="I16"/>
      <c r="J16"/>
      <c r="K16"/>
      <c r="L16"/>
      <c r="M16"/>
      <c r="N16" s="8">
        <v>7.0422532735392451E-4</v>
      </c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 s="9">
        <v>3.4859161823987961E-3</v>
      </c>
      <c r="BA16" s="11">
        <v>9.5985905500128865E-4</v>
      </c>
      <c r="BB16"/>
      <c r="BC16"/>
      <c r="BD16" s="26">
        <v>3.6971829831600189E-2</v>
      </c>
      <c r="BE16"/>
      <c r="BF16"/>
      <c r="BG16"/>
      <c r="BH16"/>
      <c r="BI16"/>
      <c r="BJ16"/>
      <c r="BK16" s="226">
        <v>0.25501412153244019</v>
      </c>
      <c r="BL16"/>
      <c r="BM16"/>
      <c r="BN16"/>
      <c r="BO16"/>
      <c r="BP16"/>
      <c r="BQ16" s="98">
        <v>9.3140490353107452E-2</v>
      </c>
      <c r="BR16"/>
      <c r="BS16" s="11">
        <v>7.9225358786061406E-4</v>
      </c>
      <c r="BT16" s="179">
        <v>0.11753547936677933</v>
      </c>
      <c r="BU16"/>
      <c r="BV16" s="19">
        <v>6.1466209590435028E-3</v>
      </c>
      <c r="BW16" s="18">
        <v>1.5480099245905876E-2</v>
      </c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</row>
    <row r="17" spans="1:209" ht="15" customHeight="1" x14ac:dyDescent="0.15">
      <c r="A17" t="s">
        <v>196</v>
      </c>
      <c r="B17">
        <v>1.2000000476837158</v>
      </c>
      <c r="C17">
        <v>1.2478423304855824E-2</v>
      </c>
      <c r="D17" s="8">
        <v>1.1279042810201645E-3</v>
      </c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 s="90">
        <v>4.1001580655574799E-2</v>
      </c>
      <c r="AX17"/>
      <c r="AY17"/>
      <c r="AZ17" s="9">
        <v>5.5831270292401314E-3</v>
      </c>
      <c r="BA17" s="11">
        <v>1.5373334754258394E-3</v>
      </c>
      <c r="BB17"/>
      <c r="BC17"/>
      <c r="BD17"/>
      <c r="BE17"/>
      <c r="BF17"/>
      <c r="BG17"/>
      <c r="BH17" s="17">
        <v>5.1319647580385208E-2</v>
      </c>
      <c r="BI17" s="217">
        <v>0.1015113964676857</v>
      </c>
      <c r="BJ17" s="101">
        <v>0.16028395295143127</v>
      </c>
      <c r="BK17" s="16">
        <v>2.0421838387846947E-2</v>
      </c>
      <c r="BL17" s="107">
        <v>0.19169826805591583</v>
      </c>
      <c r="BM17" s="107">
        <v>0.19083930552005768</v>
      </c>
      <c r="BN17" s="65">
        <v>0.11321905255317688</v>
      </c>
      <c r="BO17" s="95">
        <v>8.8111892342567444E-2</v>
      </c>
      <c r="BP17"/>
      <c r="BQ17" s="61">
        <v>7.458803802728653E-2</v>
      </c>
      <c r="BR17" s="19">
        <v>9.8466053605079651E-3</v>
      </c>
      <c r="BS17"/>
      <c r="BT17" s="11">
        <v>2.8961175121366978E-3</v>
      </c>
      <c r="BU17" s="9">
        <v>3.7446422502398491E-3</v>
      </c>
      <c r="BV17" s="8">
        <v>4.3753683712566271E-5</v>
      </c>
      <c r="BW17" s="8">
        <v>3.1555112218484282E-4</v>
      </c>
      <c r="BX17"/>
      <c r="BY17" s="97">
        <v>0.12943157553672791</v>
      </c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</row>
    <row r="18" spans="1:209" ht="15" customHeight="1" x14ac:dyDescent="0.15">
      <c r="A18" t="s">
        <v>197</v>
      </c>
      <c r="B18">
        <v>1.2000000476837158</v>
      </c>
      <c r="C18">
        <v>1.2423348613083363E-2</v>
      </c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 s="88">
        <v>3.6211296916007996E-2</v>
      </c>
      <c r="AX18"/>
      <c r="AY18"/>
      <c r="AZ18" s="9">
        <v>5.6352466344833374E-3</v>
      </c>
      <c r="BA18" s="11">
        <v>1.5516846906393766E-3</v>
      </c>
      <c r="BB18"/>
      <c r="BC18"/>
      <c r="BD18"/>
      <c r="BE18"/>
      <c r="BF18"/>
      <c r="BG18"/>
      <c r="BH18" s="17">
        <v>5.1798723638057709E-2</v>
      </c>
      <c r="BI18" s="180">
        <v>0.10245901346206665</v>
      </c>
      <c r="BJ18" s="102">
        <v>0.1617802232503891</v>
      </c>
      <c r="BK18" s="16">
        <v>2.0612478256225586E-2</v>
      </c>
      <c r="BL18" s="71">
        <v>0.18876856565475464</v>
      </c>
      <c r="BM18" s="112">
        <v>0.19262081384658813</v>
      </c>
      <c r="BN18" s="181">
        <v>0.1142759695649147</v>
      </c>
      <c r="BO18" s="92">
        <v>8.8934428989887238E-2</v>
      </c>
      <c r="BP18"/>
      <c r="BQ18" s="61">
        <v>7.5284324586391449E-2</v>
      </c>
      <c r="BR18" s="19">
        <v>9.938524104654789E-3</v>
      </c>
      <c r="BS18"/>
      <c r="BT18" s="11">
        <v>2.9231531079858541E-3</v>
      </c>
      <c r="BU18" s="9">
        <v>3.7795989774167538E-3</v>
      </c>
      <c r="BV18" s="8">
        <v>4.4162126869196072E-5</v>
      </c>
      <c r="BW18" s="8">
        <v>3.1849683728069067E-4</v>
      </c>
      <c r="BX18"/>
      <c r="BY18" s="227">
        <v>0.13063983619213104</v>
      </c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</row>
    <row r="19" spans="1:209" ht="15" customHeight="1" x14ac:dyDescent="0.15">
      <c r="A19" t="s">
        <v>198</v>
      </c>
      <c r="B19">
        <v>0.5</v>
      </c>
      <c r="C19">
        <v>5.0718843936920166E-2</v>
      </c>
      <c r="D19"/>
      <c r="E19" s="74">
        <v>0.18686869740486145</v>
      </c>
      <c r="F19"/>
      <c r="G19"/>
      <c r="H19"/>
      <c r="I19"/>
      <c r="J19"/>
      <c r="K19"/>
      <c r="L19"/>
      <c r="M19"/>
      <c r="N19"/>
      <c r="O19"/>
      <c r="P19" s="8">
        <v>5.0505048420745879E-5</v>
      </c>
      <c r="Q19"/>
      <c r="R19"/>
      <c r="S19"/>
      <c r="T19"/>
      <c r="U19"/>
      <c r="V19"/>
      <c r="W19"/>
      <c r="X19"/>
      <c r="Y19"/>
      <c r="Z19"/>
      <c r="AA19" s="207">
        <v>0.15656565129756927</v>
      </c>
      <c r="AB19"/>
      <c r="AC19"/>
      <c r="AD19"/>
      <c r="AE19"/>
      <c r="AF19"/>
      <c r="AG19"/>
      <c r="AH19" s="20">
        <v>3.0303031671792269E-3</v>
      </c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 s="95">
        <v>3.657778725028038E-2</v>
      </c>
      <c r="BL19"/>
      <c r="BM19" s="26">
        <v>2.3476267233490944E-2</v>
      </c>
      <c r="BN19"/>
      <c r="BO19"/>
      <c r="BP19"/>
      <c r="BQ19" s="21">
        <v>1.3359547592699528E-2</v>
      </c>
      <c r="BR19"/>
      <c r="BS19" s="76">
        <v>1.1363636702299118E-2</v>
      </c>
      <c r="BT19"/>
      <c r="BU19"/>
      <c r="BV19" s="15">
        <v>5.8775772340595722E-3</v>
      </c>
      <c r="BW19" s="76">
        <v>1.2111151590943336E-2</v>
      </c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</row>
    <row r="20" spans="1:209" ht="15" customHeight="1" x14ac:dyDescent="0.15">
      <c r="A20" t="s">
        <v>199</v>
      </c>
      <c r="B20">
        <v>0.4699999988079071</v>
      </c>
      <c r="C20">
        <v>4.7586206346750259E-2</v>
      </c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 s="208">
        <v>0.34482759237289429</v>
      </c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 s="214">
        <v>7.7586211264133453E-2</v>
      </c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</row>
    <row r="21" spans="1:209" ht="15" customHeight="1" x14ac:dyDescent="0.15">
      <c r="A21" t="s">
        <v>200</v>
      </c>
      <c r="B21">
        <v>0.5</v>
      </c>
      <c r="C21">
        <v>6.7067474126815796E-2</v>
      </c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 s="12">
        <v>4.4999998062849045E-3</v>
      </c>
      <c r="X21"/>
      <c r="Y21"/>
      <c r="Z21"/>
      <c r="AA21"/>
      <c r="AB21"/>
      <c r="AC21"/>
      <c r="AD21" s="59">
        <v>2.0500000566244125E-2</v>
      </c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 s="216">
        <v>0.22043251991271973</v>
      </c>
      <c r="BR21"/>
      <c r="BS21" s="74">
        <v>0.18750001490116119</v>
      </c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</row>
    <row r="22" spans="1:209" ht="15" customHeight="1" x14ac:dyDescent="0.15">
      <c r="A22" t="s">
        <v>201</v>
      </c>
      <c r="B22">
        <v>0.5</v>
      </c>
      <c r="C22">
        <v>5.0178170204162598E-2</v>
      </c>
      <c r="D22"/>
      <c r="E22" s="16">
        <v>9.2592593282461166E-3</v>
      </c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 s="205">
        <v>0.1581481397151947</v>
      </c>
      <c r="Y22"/>
      <c r="Z22"/>
      <c r="AA22"/>
      <c r="AB22"/>
      <c r="AC22"/>
      <c r="AD22"/>
      <c r="AE22" s="103">
        <v>0.10111111402511597</v>
      </c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 s="119">
        <v>9.7970008850097656E-2</v>
      </c>
      <c r="BR22"/>
      <c r="BS22" s="206">
        <v>8.3333335816860199E-2</v>
      </c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</row>
    <row r="23" spans="1:209" ht="15" customHeight="1" x14ac:dyDescent="0.15">
      <c r="A23" t="s">
        <v>202</v>
      </c>
      <c r="B23">
        <v>0.5</v>
      </c>
      <c r="C23">
        <v>5.260998010635376E-2</v>
      </c>
      <c r="D23"/>
      <c r="E23" s="26">
        <v>2.3809526115655899E-2</v>
      </c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 s="206">
        <v>8.3809524774551392E-2</v>
      </c>
      <c r="Z23"/>
      <c r="AA23"/>
      <c r="AB23"/>
      <c r="AC23"/>
      <c r="AD23"/>
      <c r="AE23"/>
      <c r="AF23" s="106">
        <v>0.10666666924953461</v>
      </c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 s="105">
        <v>0.12596145272254944</v>
      </c>
      <c r="BR23"/>
      <c r="BS23" s="106">
        <v>0.1071428656578064</v>
      </c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</row>
    <row r="24" spans="1:209" ht="15" customHeight="1" x14ac:dyDescent="0.15">
      <c r="A24" t="s">
        <v>203</v>
      </c>
      <c r="B24">
        <v>0.5</v>
      </c>
      <c r="C24">
        <v>5.3030312061309814E-2</v>
      </c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 s="79">
        <v>6.0606062412261963E-2</v>
      </c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 s="221">
        <v>0.31818181276321411</v>
      </c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 s="87">
        <v>6.8181820213794708E-2</v>
      </c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</row>
    <row r="25" spans="1:209" ht="15" customHeight="1" x14ac:dyDescent="0.15">
      <c r="A25" t="s">
        <v>204</v>
      </c>
      <c r="B25">
        <v>0.5</v>
      </c>
      <c r="C25">
        <v>5.7216376066207886E-2</v>
      </c>
      <c r="D25"/>
      <c r="E25" s="23">
        <v>1.3157895766198635E-2</v>
      </c>
      <c r="F25"/>
      <c r="G25"/>
      <c r="H25"/>
      <c r="I25"/>
      <c r="J25"/>
      <c r="K25"/>
      <c r="L25"/>
      <c r="M25"/>
      <c r="N25" s="92">
        <v>3.684210404753685E-2</v>
      </c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 s="218">
        <v>0.13922055065631866</v>
      </c>
      <c r="BR25"/>
      <c r="BS25" s="213">
        <v>0.11842106282711029</v>
      </c>
      <c r="BT25" s="215">
        <v>0.1351419985294342</v>
      </c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</row>
    <row r="26" spans="1:209" ht="15" customHeight="1" x14ac:dyDescent="0.15">
      <c r="A26" t="s">
        <v>205</v>
      </c>
      <c r="B26">
        <v>0.5</v>
      </c>
      <c r="C26">
        <v>4.8143863677978516E-2</v>
      </c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 s="116">
        <v>0.1111111119389534</v>
      </c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 s="12">
        <v>4.7619044780731201E-3</v>
      </c>
      <c r="BC26" s="17">
        <v>2.142857201397419E-2</v>
      </c>
      <c r="BD26" s="178">
        <v>0.1666666567325592</v>
      </c>
      <c r="BE26"/>
      <c r="BF26"/>
      <c r="BG26"/>
      <c r="BH26"/>
      <c r="BI26"/>
      <c r="BJ26"/>
      <c r="BK26"/>
      <c r="BL26"/>
      <c r="BM26"/>
      <c r="BN26"/>
      <c r="BO26"/>
      <c r="BP26"/>
      <c r="BQ26" s="217">
        <v>4.1987147182226181E-2</v>
      </c>
      <c r="BR26"/>
      <c r="BS26"/>
      <c r="BT26"/>
      <c r="BU26"/>
      <c r="BV26"/>
      <c r="BW26"/>
      <c r="BX26"/>
      <c r="BY26" s="220">
        <v>0.10590073466300964</v>
      </c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</row>
    <row r="27" spans="1:209" ht="15" customHeight="1" x14ac:dyDescent="0.15">
      <c r="A27" t="s">
        <v>206</v>
      </c>
      <c r="B27">
        <v>3.5</v>
      </c>
      <c r="C27">
        <v>3.9473742246627808E-2</v>
      </c>
      <c r="D27"/>
      <c r="E27" s="14">
        <v>5.0549447536468506E-2</v>
      </c>
      <c r="F27"/>
      <c r="G27"/>
      <c r="H27"/>
      <c r="I27"/>
      <c r="J27"/>
      <c r="K27"/>
      <c r="L27"/>
      <c r="M27"/>
      <c r="N27"/>
      <c r="O27" s="8">
        <v>2.197802132286597E-5</v>
      </c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 s="16">
        <v>5.9912081807851791E-2</v>
      </c>
      <c r="BB27"/>
      <c r="BC27"/>
      <c r="BD27"/>
      <c r="BE27" s="13">
        <v>5.4395604878664017E-2</v>
      </c>
      <c r="BF27"/>
      <c r="BG27"/>
      <c r="BH27"/>
      <c r="BI27" s="77">
        <v>0.19780220091342926</v>
      </c>
      <c r="BJ27" s="73">
        <v>0.35491442680358887</v>
      </c>
      <c r="BK27" s="76">
        <v>7.9586826264858246E-2</v>
      </c>
      <c r="BL27" s="89">
        <v>0.13666015863418579</v>
      </c>
      <c r="BM27" s="96">
        <v>0.4086417555809021</v>
      </c>
      <c r="BN27" s="88">
        <v>0.10295384377241135</v>
      </c>
      <c r="BO27" s="93">
        <v>0.24036924540996552</v>
      </c>
      <c r="BP27"/>
      <c r="BQ27" s="206">
        <v>0.58136045932769775</v>
      </c>
      <c r="BR27" s="57">
        <v>0.1918681263923645</v>
      </c>
      <c r="BS27" s="11">
        <v>4.945055115967989E-3</v>
      </c>
      <c r="BT27" s="112">
        <v>0.56432920694351196</v>
      </c>
      <c r="BU27" s="23">
        <v>9.1208785772323608E-2</v>
      </c>
      <c r="BV27" s="14">
        <v>4.7744009643793106E-2</v>
      </c>
      <c r="BW27"/>
      <c r="BX27"/>
      <c r="BY27" s="217">
        <v>0.29326355457305908</v>
      </c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</row>
    <row r="28" spans="1:209" ht="15" customHeight="1" x14ac:dyDescent="0.15">
      <c r="A28" t="s">
        <v>207</v>
      </c>
      <c r="B28">
        <v>3.5</v>
      </c>
      <c r="C28">
        <v>0.1116330623626709</v>
      </c>
      <c r="D28"/>
      <c r="E28" s="8">
        <v>1.1111111234640703E-4</v>
      </c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 s="9">
        <v>1.100000087171793E-2</v>
      </c>
      <c r="BA28" s="16">
        <v>6.0577776283025742E-2</v>
      </c>
      <c r="BB28" s="20">
        <v>2.0000001415610313E-2</v>
      </c>
      <c r="BC28"/>
      <c r="BD28"/>
      <c r="BE28" s="11">
        <v>9.1666672378778458E-3</v>
      </c>
      <c r="BF28"/>
      <c r="BG28"/>
      <c r="BH28" s="88">
        <v>0.10111111402511597</v>
      </c>
      <c r="BI28" s="88">
        <v>0.10000000894069672</v>
      </c>
      <c r="BJ28" s="73">
        <v>0.35885795950889587</v>
      </c>
      <c r="BK28" s="76">
        <v>8.0471135675907135E-2</v>
      </c>
      <c r="BL28" s="78">
        <v>0.161208376288414</v>
      </c>
      <c r="BM28" s="65">
        <v>0.33054584264755249</v>
      </c>
      <c r="BN28" s="21">
        <v>9.6662230789661407E-2</v>
      </c>
      <c r="BO28" s="67">
        <v>0.22568002343177795</v>
      </c>
      <c r="BP28"/>
      <c r="BQ28" s="210">
        <v>0.52903807163238525</v>
      </c>
      <c r="BR28" s="57">
        <v>0.1940000057220459</v>
      </c>
      <c r="BS28" s="19">
        <v>2.500000037252903E-2</v>
      </c>
      <c r="BT28" s="70">
        <v>0.3737427294254303</v>
      </c>
      <c r="BU28" s="21">
        <v>9.5911107957363129E-2</v>
      </c>
      <c r="BV28"/>
      <c r="BW28"/>
      <c r="BX28"/>
      <c r="BY28" s="118">
        <v>0.61528325080871582</v>
      </c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</row>
    <row r="29" spans="1:209" ht="15" customHeight="1" x14ac:dyDescent="0.15">
      <c r="A29" t="s">
        <v>261</v>
      </c>
      <c r="B29">
        <v>2</v>
      </c>
      <c r="C29">
        <v>0.12954473495483398</v>
      </c>
      <c r="D29"/>
      <c r="E29"/>
      <c r="F29"/>
      <c r="G29"/>
      <c r="H29"/>
      <c r="I29"/>
      <c r="J29" s="8">
        <v>9.2936807777732611E-4</v>
      </c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 s="12">
        <v>1.8401488661766052E-2</v>
      </c>
      <c r="BA29" s="20">
        <v>1.2667285278439522E-2</v>
      </c>
      <c r="BB29"/>
      <c r="BC29"/>
      <c r="BD29"/>
      <c r="BE29"/>
      <c r="BF29"/>
      <c r="BG29"/>
      <c r="BH29" s="26">
        <v>9.3029744923114777E-2</v>
      </c>
      <c r="BI29" s="239">
        <v>0.58550190925598145</v>
      </c>
      <c r="BJ29"/>
      <c r="BK29" s="112">
        <v>0.31971567869186401</v>
      </c>
      <c r="BL29"/>
      <c r="BM29"/>
      <c r="BN29" s="15">
        <v>2.4877326563000679E-2</v>
      </c>
      <c r="BO29" s="19">
        <v>1.4520447701215744E-2</v>
      </c>
      <c r="BP29"/>
      <c r="BQ29"/>
      <c r="BR29"/>
      <c r="BS29" s="8">
        <v>1.045539160259068E-3</v>
      </c>
      <c r="BT29" s="180">
        <v>0.17181622982025146</v>
      </c>
      <c r="BU29" s="9">
        <v>7.7137546613812447E-3</v>
      </c>
      <c r="BV29"/>
      <c r="BW29" s="8">
        <v>1.857193565228954E-4</v>
      </c>
      <c r="BX29"/>
      <c r="BY29" s="240">
        <v>0.62005078792572021</v>
      </c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</row>
    <row r="30" spans="1:209" ht="15" customHeight="1" x14ac:dyDescent="0.15">
      <c r="A30" t="s">
        <v>262</v>
      </c>
      <c r="B30">
        <v>0.80000001192092896</v>
      </c>
      <c r="C30">
        <v>0.12432074546813965</v>
      </c>
      <c r="D30"/>
      <c r="E30"/>
      <c r="F30"/>
      <c r="G30"/>
      <c r="H30" s="87">
        <v>0.10935601592063904</v>
      </c>
      <c r="I30" s="16">
        <v>1.45808020606637E-2</v>
      </c>
      <c r="J30" s="88">
        <v>2.4301335215568542E-2</v>
      </c>
      <c r="K30" s="8">
        <v>1.2150668226240668E-5</v>
      </c>
      <c r="L30" s="8">
        <v>1.2150668226240668E-5</v>
      </c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 s="227">
        <v>8.8000021874904633E-2</v>
      </c>
      <c r="BL30"/>
      <c r="BM30"/>
      <c r="BN30"/>
      <c r="BO30" s="26">
        <v>3.7968412041664124E-2</v>
      </c>
      <c r="BP30"/>
      <c r="BQ30" s="112">
        <v>0.1285632997751236</v>
      </c>
      <c r="BR30" s="101">
        <v>0.10607533901929855</v>
      </c>
      <c r="BS30"/>
      <c r="BT30" s="229">
        <v>0.15599623322486877</v>
      </c>
      <c r="BU30" s="15">
        <v>1.008505467325449E-2</v>
      </c>
      <c r="BV30"/>
      <c r="BW30" s="8">
        <v>7.2843499947339296E-4</v>
      </c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</row>
    <row r="31" spans="1:209" ht="15" customHeight="1" x14ac:dyDescent="0.15">
      <c r="A31" t="s">
        <v>263</v>
      </c>
      <c r="B31">
        <v>2</v>
      </c>
      <c r="C31">
        <v>8.3458542823791504E-2</v>
      </c>
      <c r="D31"/>
      <c r="E31"/>
      <c r="F31" s="89">
        <v>7.7339522540569305E-2</v>
      </c>
      <c r="G31" s="8">
        <v>1.5467904740944505E-3</v>
      </c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 s="76">
        <v>4.5939680188894272E-2</v>
      </c>
      <c r="BA31" s="20">
        <v>1.0541375726461411E-2</v>
      </c>
      <c r="BB31"/>
      <c r="BC31"/>
      <c r="BD31"/>
      <c r="BE31"/>
      <c r="BF31"/>
      <c r="BG31"/>
      <c r="BH31" s="87">
        <v>0.27447798848152161</v>
      </c>
      <c r="BI31" s="25">
        <v>6.9605574011802673E-2</v>
      </c>
      <c r="BJ31" s="200">
        <v>0.26227438449859619</v>
      </c>
      <c r="BK31" s="238">
        <v>0.42009291052818298</v>
      </c>
      <c r="BL31"/>
      <c r="BM31" s="236">
        <v>0.35949733853340149</v>
      </c>
      <c r="BN31" s="59">
        <v>8.2808978855609894E-2</v>
      </c>
      <c r="BO31" s="91">
        <v>9.6668221056461334E-2</v>
      </c>
      <c r="BP31"/>
      <c r="BQ31"/>
      <c r="BR31"/>
      <c r="BS31" s="8">
        <v>8.7006966350600123E-4</v>
      </c>
      <c r="BT31" s="232">
        <v>0.19858454167842865</v>
      </c>
      <c r="BU31" s="20">
        <v>1.0912606492638588E-2</v>
      </c>
      <c r="BV31"/>
      <c r="BW31" s="8">
        <v>1.545506645925343E-3</v>
      </c>
      <c r="BX31" s="11">
        <v>3.8359307218343019E-3</v>
      </c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</row>
    <row r="32" spans="1:209" ht="15" customHeight="1" x14ac:dyDescent="0.15">
      <c r="A32" t="s">
        <v>264</v>
      </c>
      <c r="B32">
        <v>0.80000001192092896</v>
      </c>
      <c r="C32">
        <v>5.7673979550600052E-2</v>
      </c>
      <c r="D32"/>
      <c r="E32"/>
      <c r="F32" s="204">
        <v>0.39433768391609192</v>
      </c>
      <c r="G32" s="23">
        <v>2.0222445949912071E-2</v>
      </c>
      <c r="H32"/>
      <c r="I32"/>
      <c r="J32"/>
      <c r="K32" s="8">
        <v>1.0111222763953265E-5</v>
      </c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 s="96">
        <v>9.4000004231929779E-2</v>
      </c>
      <c r="BN32"/>
      <c r="BO32" s="89">
        <v>3.1595554202795029E-2</v>
      </c>
      <c r="BP32"/>
      <c r="BQ32" s="206">
        <v>0.13373053073883057</v>
      </c>
      <c r="BR32"/>
      <c r="BS32"/>
      <c r="BT32" s="60">
        <v>4.6732619404792786E-2</v>
      </c>
      <c r="BU32" s="12">
        <v>7.5530833564698696E-3</v>
      </c>
      <c r="BV32"/>
      <c r="BW32" s="16">
        <v>1.4143963344395161E-2</v>
      </c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</row>
    <row r="33" spans="1:209" ht="15" customHeight="1" x14ac:dyDescent="0.15">
      <c r="A33" t="s">
        <v>208</v>
      </c>
      <c r="B33">
        <v>0.69999998807907104</v>
      </c>
      <c r="C33">
        <v>7.021651417016983E-2</v>
      </c>
      <c r="D33"/>
      <c r="E33" s="13">
        <v>1.1506276205182076E-2</v>
      </c>
      <c r="F33"/>
      <c r="G33"/>
      <c r="H33"/>
      <c r="I33"/>
      <c r="J33"/>
      <c r="K33"/>
      <c r="L33"/>
      <c r="M33"/>
      <c r="N33"/>
      <c r="O33"/>
      <c r="P33" s="8">
        <v>5.2301256801001728E-5</v>
      </c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 s="100">
        <v>5.6956075131893158E-2</v>
      </c>
      <c r="BA33" s="18">
        <v>1.4257321134209633E-2</v>
      </c>
      <c r="BB33"/>
      <c r="BC33"/>
      <c r="BD33"/>
      <c r="BE33"/>
      <c r="BF33"/>
      <c r="BG33"/>
      <c r="BH33"/>
      <c r="BI33"/>
      <c r="BJ33" s="15">
        <v>8.4459250792860985E-3</v>
      </c>
      <c r="BK33" s="11">
        <v>1.8939335132017732E-3</v>
      </c>
      <c r="BL33"/>
      <c r="BM33" s="99">
        <v>7.2933577001094818E-2</v>
      </c>
      <c r="BN33" s="210">
        <v>0.10500000417232513</v>
      </c>
      <c r="BO33" s="234">
        <v>0.16343097388744354</v>
      </c>
      <c r="BP33"/>
      <c r="BQ33" s="115">
        <v>6.9173380732536316E-2</v>
      </c>
      <c r="BR33" s="90">
        <v>2.2829499095678329E-2</v>
      </c>
      <c r="BS33" s="19">
        <v>5.8838911354541779E-3</v>
      </c>
      <c r="BT33" s="65">
        <v>6.5803974866867065E-2</v>
      </c>
      <c r="BU33"/>
      <c r="BV33" s="11">
        <v>2.0288708619773388E-3</v>
      </c>
      <c r="BW33" s="11">
        <v>1.6722512664273381E-3</v>
      </c>
      <c r="BX33"/>
      <c r="BY33" s="89">
        <v>2.7915257960557938E-2</v>
      </c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</row>
    <row r="34" spans="1:209" ht="15" customHeight="1" x14ac:dyDescent="0.15">
      <c r="A34" t="s">
        <v>209</v>
      </c>
      <c r="B34">
        <v>0.69999998807907104</v>
      </c>
      <c r="C34">
        <v>6.9916941225528717E-2</v>
      </c>
      <c r="D34"/>
      <c r="E34" s="23">
        <v>1.7921146005392075E-2</v>
      </c>
      <c r="F34"/>
      <c r="G34"/>
      <c r="H34"/>
      <c r="I34"/>
      <c r="J34"/>
      <c r="K34" s="9">
        <v>2.9121863190084696E-3</v>
      </c>
      <c r="L34"/>
      <c r="M34"/>
      <c r="N34"/>
      <c r="O34"/>
      <c r="P34" s="8">
        <v>4.4802862248616293E-5</v>
      </c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 s="9">
        <v>2.6209675706923008E-3</v>
      </c>
      <c r="BC34" s="58">
        <v>1.481854822486639E-2</v>
      </c>
      <c r="BD34"/>
      <c r="BE34"/>
      <c r="BF34"/>
      <c r="BG34"/>
      <c r="BH34"/>
      <c r="BI34"/>
      <c r="BJ34" s="20">
        <v>3.6175195127725601E-3</v>
      </c>
      <c r="BK34" s="11">
        <v>8.1120087997987866E-4</v>
      </c>
      <c r="BL34"/>
      <c r="BM34" s="113">
        <v>9.788087010383606E-2</v>
      </c>
      <c r="BN34" s="58">
        <v>1.4991039410233498E-2</v>
      </c>
      <c r="BO34" s="232">
        <v>7.0000000298023224E-2</v>
      </c>
      <c r="BP34" s="8">
        <v>4.7043012455105782E-4</v>
      </c>
      <c r="BQ34" s="217">
        <v>5.9256047010421753E-2</v>
      </c>
      <c r="BR34" s="241">
        <v>0.29334679245948792</v>
      </c>
      <c r="BS34" s="9">
        <v>3.0745964031666517E-3</v>
      </c>
      <c r="BT34" s="93">
        <v>4.8316895961761475E-2</v>
      </c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</row>
    <row r="35" spans="1:209" ht="15" customHeight="1" x14ac:dyDescent="0.15">
      <c r="A35" t="s">
        <v>210</v>
      </c>
      <c r="B35">
        <v>0.69999998807907104</v>
      </c>
      <c r="C35">
        <v>4.1666924953460693E-3</v>
      </c>
      <c r="D35"/>
      <c r="E35"/>
      <c r="F35"/>
      <c r="G35"/>
      <c r="H35"/>
      <c r="I35"/>
      <c r="J35"/>
      <c r="K35"/>
      <c r="L35"/>
      <c r="M35" s="332">
        <v>0.65833330154418945</v>
      </c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 s="81">
        <v>3.7500005215406418E-2</v>
      </c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</row>
    <row r="36" spans="1:209" ht="15" customHeight="1" x14ac:dyDescent="0.15">
      <c r="A36" t="s">
        <v>211</v>
      </c>
      <c r="B36">
        <v>0.5</v>
      </c>
      <c r="C36">
        <v>0.36700379848480225</v>
      </c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 s="9">
        <v>2.4054981768131256E-3</v>
      </c>
      <c r="AA36"/>
      <c r="AB36"/>
      <c r="AC36"/>
      <c r="AD36"/>
      <c r="AE36"/>
      <c r="AF36"/>
      <c r="AG36" s="11">
        <v>1.0309278732165694E-3</v>
      </c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 s="225">
        <v>9.08999964594841E-2</v>
      </c>
      <c r="BR36"/>
      <c r="BS36" s="24">
        <v>3.8659792393445969E-2</v>
      </c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</row>
    <row r="37" spans="1:209" ht="15" customHeight="1" x14ac:dyDescent="0.15">
      <c r="A37" t="s">
        <v>212</v>
      </c>
      <c r="B37">
        <v>1</v>
      </c>
      <c r="C37">
        <v>0.1796724796295166</v>
      </c>
      <c r="D37"/>
      <c r="E37" s="12">
        <v>1.0309278033673763E-2</v>
      </c>
      <c r="F37"/>
      <c r="G37"/>
      <c r="H37"/>
      <c r="I37"/>
      <c r="J37"/>
      <c r="K37" s="11">
        <v>1.1454754276201129E-3</v>
      </c>
      <c r="L37"/>
      <c r="M37"/>
      <c r="N37"/>
      <c r="O37"/>
      <c r="P37"/>
      <c r="Q37"/>
      <c r="R37"/>
      <c r="S37"/>
      <c r="T37"/>
      <c r="U37"/>
      <c r="V37" s="11">
        <v>1.1454754276201129E-3</v>
      </c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 s="83">
        <v>8.9484535157680511E-2</v>
      </c>
      <c r="BP37"/>
      <c r="BQ37" s="13">
        <v>1.5150000341236591E-2</v>
      </c>
      <c r="BR37" s="237">
        <v>0.60000002384185791</v>
      </c>
      <c r="BS37" s="99">
        <v>0.10309277474880219</v>
      </c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</row>
    <row r="38" spans="1:209" ht="15" customHeight="1" x14ac:dyDescent="0.15">
      <c r="A38" t="s">
        <v>213</v>
      </c>
      <c r="B38">
        <v>0.5</v>
      </c>
      <c r="C38">
        <v>0.5</v>
      </c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</row>
    <row r="39" spans="1:209" ht="15" customHeight="1" x14ac:dyDescent="0.15">
      <c r="A39" t="s">
        <v>214</v>
      </c>
      <c r="B39">
        <v>0.25</v>
      </c>
      <c r="C39">
        <v>9.9868476390838623E-3</v>
      </c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 s="210">
        <v>3.7593983113765717E-2</v>
      </c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 s="223">
        <v>0.15225565433502197</v>
      </c>
      <c r="BT39"/>
      <c r="BU39"/>
      <c r="BV39"/>
      <c r="BW39"/>
      <c r="BX39"/>
      <c r="BY39" s="82">
        <v>5.0163503736257553E-2</v>
      </c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</row>
    <row r="40" spans="1:209" ht="15" customHeight="1" x14ac:dyDescent="0.15">
      <c r="A40" t="s">
        <v>215</v>
      </c>
      <c r="B40">
        <v>0.15000000596046448</v>
      </c>
      <c r="C40">
        <v>1.4457840472459793E-2</v>
      </c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 s="222">
        <v>0.13554216921329498</v>
      </c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</row>
    <row r="41" spans="1:209" ht="15" customHeight="1" x14ac:dyDescent="0.15">
      <c r="A41" t="s">
        <v>216</v>
      </c>
      <c r="B41">
        <v>0.20100000500679016</v>
      </c>
      <c r="C41">
        <v>8.8500000536441803E-2</v>
      </c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 s="211">
        <v>0.11250000447034836</v>
      </c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</row>
    <row r="42" spans="1:209" ht="15" customHeight="1" x14ac:dyDescent="0.15">
      <c r="A42" t="s">
        <v>217</v>
      </c>
      <c r="B42">
        <v>0.19900000095367432</v>
      </c>
      <c r="C42">
        <v>8.6499989032745361E-2</v>
      </c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 s="212">
        <v>0.11250000447034836</v>
      </c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</row>
    <row r="43" spans="1:209" ht="15" customHeight="1" x14ac:dyDescent="0.15">
      <c r="A43" t="s">
        <v>218</v>
      </c>
      <c r="B43">
        <v>0.19900000095367432</v>
      </c>
      <c r="C43">
        <v>0.19900000095367432</v>
      </c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</row>
    <row r="44" spans="1:209" ht="15" customHeight="1" x14ac:dyDescent="0.15">
      <c r="A44" t="s">
        <v>219</v>
      </c>
      <c r="B44">
        <v>0.19900000095367432</v>
      </c>
      <c r="C44">
        <v>7.3117993772029877E-2</v>
      </c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 s="219">
        <v>0.12588199973106384</v>
      </c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</row>
    <row r="45" spans="1:209" ht="15" customHeight="1" x14ac:dyDescent="0.15">
      <c r="A45" t="s">
        <v>220</v>
      </c>
      <c r="B45">
        <v>15</v>
      </c>
      <c r="C45">
        <v>7.5003371238708496</v>
      </c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 s="8">
        <v>1.5278224600479007E-3</v>
      </c>
      <c r="BG45" s="8">
        <v>7.5989067554473877E-3</v>
      </c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 s="86">
        <v>3.0948777198791504</v>
      </c>
      <c r="CB45" s="242">
        <v>4.3564648628234863</v>
      </c>
      <c r="CC45" s="8">
        <v>7.6391124166548252E-3</v>
      </c>
      <c r="CD45" s="11">
        <v>3.1553555279970169E-2</v>
      </c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</row>
    <row r="46" spans="1:209" ht="15" customHeight="1" x14ac:dyDescent="0.15">
      <c r="A46" t="s">
        <v>221</v>
      </c>
      <c r="B46">
        <v>4</v>
      </c>
      <c r="C46">
        <v>0.19999146461486816</v>
      </c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 s="8">
        <v>8.1454165047034621E-4</v>
      </c>
      <c r="BG46" s="11">
        <v>8.1025464460253716E-3</v>
      </c>
      <c r="BH46" s="11">
        <v>1.1703678406774998E-2</v>
      </c>
      <c r="BI46"/>
      <c r="BJ46"/>
      <c r="BK46"/>
      <c r="BL46"/>
      <c r="BM46"/>
      <c r="BN46"/>
      <c r="BO46"/>
      <c r="BP46" s="8">
        <v>5.4016982903704047E-4</v>
      </c>
      <c r="BQ46"/>
      <c r="BR46"/>
      <c r="BS46"/>
      <c r="BT46"/>
      <c r="BU46"/>
      <c r="BV46"/>
      <c r="BW46"/>
      <c r="BX46"/>
      <c r="BY46"/>
      <c r="BZ46"/>
      <c r="CA46"/>
      <c r="CB46" s="245">
        <v>3.7161619663238525</v>
      </c>
      <c r="CC46" s="9">
        <v>1.221812516450882E-2</v>
      </c>
      <c r="CD46" s="15">
        <v>5.0467293709516525E-2</v>
      </c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</row>
    <row r="47" spans="1:209" ht="15" customHeight="1" x14ac:dyDescent="0.15">
      <c r="A47" t="s">
        <v>222</v>
      </c>
      <c r="B47">
        <v>1.2000000476837158</v>
      </c>
      <c r="C47">
        <v>5.995187908411026E-2</v>
      </c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 s="8">
        <v>5.53740537725389E-4</v>
      </c>
      <c r="BC47" s="11">
        <v>1.2459162389859557E-3</v>
      </c>
      <c r="BD47"/>
      <c r="BE47"/>
      <c r="BF47" s="11">
        <v>1.4028092846274376E-3</v>
      </c>
      <c r="BG47"/>
      <c r="BH47" s="21">
        <v>3.182993084192276E-2</v>
      </c>
      <c r="BI47" s="17">
        <v>5.1331751048564911E-2</v>
      </c>
      <c r="BJ47"/>
      <c r="BK47"/>
      <c r="BL47"/>
      <c r="BM47"/>
      <c r="BN47"/>
      <c r="BO47" s="84">
        <v>0.22551949322223663</v>
      </c>
      <c r="BP47" s="8">
        <v>2.3257103748619556E-4</v>
      </c>
      <c r="BQ47"/>
      <c r="BR47" s="217">
        <v>0.10071156173944473</v>
      </c>
      <c r="BS47" s="8">
        <v>4.1530543967382982E-5</v>
      </c>
      <c r="BT47" s="8">
        <v>1.8957846623379737E-4</v>
      </c>
      <c r="BU47"/>
      <c r="BV47"/>
      <c r="BW47"/>
      <c r="BX47"/>
      <c r="BY47"/>
      <c r="BZ47"/>
      <c r="CA47"/>
      <c r="CB47" s="244">
        <v>0.70000004768371582</v>
      </c>
      <c r="CC47" s="9">
        <v>5.2605350501835346E-3</v>
      </c>
      <c r="CD47" s="16">
        <v>2.1728780120611191E-2</v>
      </c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</row>
    <row r="48" spans="1:209" ht="15" customHeight="1" x14ac:dyDescent="0.15">
      <c r="A48" t="s">
        <v>223</v>
      </c>
      <c r="B48">
        <v>0.41999998688697815</v>
      </c>
      <c r="C48">
        <v>5.0125978887081146E-3</v>
      </c>
      <c r="D48"/>
      <c r="E48"/>
      <c r="F48"/>
      <c r="G48"/>
      <c r="H48"/>
      <c r="I48"/>
      <c r="J48"/>
      <c r="K48"/>
      <c r="L48"/>
      <c r="M48"/>
      <c r="N48"/>
      <c r="O48"/>
      <c r="P48"/>
      <c r="Q48" s="75">
        <v>5.9999998658895493E-2</v>
      </c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 s="231">
        <v>0.36000001430511475</v>
      </c>
      <c r="BJ48"/>
      <c r="BK48"/>
      <c r="BL48"/>
      <c r="BM48"/>
      <c r="BN48"/>
      <c r="BO48"/>
      <c r="BP48"/>
      <c r="BQ48"/>
      <c r="BR48" s="108">
        <v>0.87300002574920654</v>
      </c>
      <c r="BS48" s="12">
        <v>4.5000002719461918E-3</v>
      </c>
      <c r="BT48" s="230">
        <v>0.2567698061466217</v>
      </c>
      <c r="BU48"/>
      <c r="BV48"/>
      <c r="BW48"/>
      <c r="BX48"/>
      <c r="BY48" s="107">
        <v>6.6717460751533508E-2</v>
      </c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</row>
    <row r="49" spans="1:209" ht="15" customHeight="1" x14ac:dyDescent="0.15">
      <c r="A49" t="s">
        <v>224</v>
      </c>
      <c r="B49">
        <v>1.2000000476837158</v>
      </c>
      <c r="C49">
        <v>1.1671758256852627E-2</v>
      </c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 s="20">
        <v>7.1355761028826237E-3</v>
      </c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 s="230">
        <v>0.73394495248794556</v>
      </c>
      <c r="BJ49"/>
      <c r="BK49"/>
      <c r="BL49"/>
      <c r="BM49"/>
      <c r="BN49"/>
      <c r="BO49"/>
      <c r="BP49"/>
      <c r="BQ49"/>
      <c r="BR49" s="235">
        <v>0.44495412707328796</v>
      </c>
      <c r="BS49" s="11">
        <v>2.2935781162232161E-3</v>
      </c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</row>
    <row r="50" spans="1:209" ht="15" customHeight="1" x14ac:dyDescent="0.15">
      <c r="A50" t="s">
        <v>225</v>
      </c>
      <c r="B50"/>
      <c r="C50">
        <v>0.25291380286216736</v>
      </c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 s="6">
        <v>2309.55126953125</v>
      </c>
      <c r="AL50"/>
      <c r="AM50"/>
      <c r="AN50" s="6">
        <v>1.5171210765838623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 s="6">
        <v>0.14174999296665192</v>
      </c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 s="6">
        <v>365.63504028320312</v>
      </c>
      <c r="CB50" s="6">
        <v>433.41598510742188</v>
      </c>
      <c r="CC50" s="6">
        <v>0.47499999403953552</v>
      </c>
      <c r="CD50" s="6">
        <v>1.9620000123977661</v>
      </c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</row>
    <row r="51" spans="1:209" ht="15" customHeight="1" x14ac:dyDescent="0.15">
      <c r="A51" t="s">
        <v>124</v>
      </c>
      <c r="B51"/>
      <c r="C51">
        <v>0</v>
      </c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</row>
    <row r="52" spans="1:209" ht="15" customHeight="1" x14ac:dyDescent="0.15">
      <c r="A52" t="s">
        <v>125</v>
      </c>
      <c r="B52"/>
      <c r="C52">
        <v>65535</v>
      </c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</row>
    <row r="53" spans="1:209" ht="15" customHeight="1" x14ac:dyDescent="0.1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</row>
    <row r="54" spans="1:209" ht="15" customHeight="1" x14ac:dyDescent="0.1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</row>
    <row r="55" spans="1:209" ht="15" customHeight="1" x14ac:dyDescent="0.1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</row>
    <row r="56" spans="1:209" ht="15" customHeight="1" x14ac:dyDescent="0.1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</row>
    <row r="57" spans="1:209" ht="15" customHeight="1" x14ac:dyDescent="0.1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</row>
    <row r="58" spans="1:209" ht="15" customHeight="1" x14ac:dyDescent="0.1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</row>
    <row r="59" spans="1:209" ht="15" customHeight="1" x14ac:dyDescent="0.1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</row>
    <row r="60" spans="1:209" ht="15" customHeight="1" x14ac:dyDescent="0.1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</row>
    <row r="61" spans="1:209" ht="15" customHeight="1" x14ac:dyDescent="0.1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</row>
    <row r="62" spans="1:209" ht="15" customHeight="1" x14ac:dyDescent="0.1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</row>
    <row r="63" spans="1:209" ht="15" customHeight="1" x14ac:dyDescent="0.1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</row>
    <row r="64" spans="1:209" ht="15" customHeight="1" x14ac:dyDescent="0.1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</row>
    <row r="65" spans="1:209" ht="15" customHeight="1" x14ac:dyDescent="0.1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</row>
    <row r="66" spans="1:209" ht="15" customHeight="1" x14ac:dyDescent="0.1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</row>
    <row r="67" spans="1:209" ht="15" customHeight="1" x14ac:dyDescent="0.1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</row>
    <row r="68" spans="1:209" ht="15" customHeight="1" x14ac:dyDescent="0.1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</row>
    <row r="69" spans="1:209" ht="15" customHeight="1" x14ac:dyDescent="0.1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</row>
    <row r="70" spans="1:209" ht="15" customHeight="1" x14ac:dyDescent="0.1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</row>
    <row r="71" spans="1:209" ht="15" customHeight="1" x14ac:dyDescent="0.1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</row>
    <row r="72" spans="1:209" ht="15" customHeight="1" x14ac:dyDescent="0.1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</row>
    <row r="73" spans="1:209" ht="15" customHeight="1" x14ac:dyDescent="0.1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</row>
    <row r="74" spans="1:209" ht="15" customHeight="1" x14ac:dyDescent="0.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</row>
    <row r="75" spans="1:209" ht="15" customHeight="1" x14ac:dyDescent="0.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</row>
    <row r="76" spans="1:209" ht="15" customHeight="1" x14ac:dyDescent="0.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</row>
    <row r="77" spans="1:209" ht="15" customHeight="1" x14ac:dyDescent="0.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</row>
    <row r="78" spans="1:209" ht="15" customHeight="1" x14ac:dyDescent="0.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</row>
    <row r="79" spans="1:209" ht="15" customHeight="1" x14ac:dyDescent="0.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</row>
    <row r="80" spans="1:209" ht="15" customHeight="1" x14ac:dyDescent="0.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</row>
    <row r="81" spans="1:209" ht="15" customHeight="1" x14ac:dyDescent="0.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</row>
    <row r="82" spans="1:209" ht="15" customHeight="1" x14ac:dyDescent="0.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</row>
    <row r="83" spans="1:209" ht="15" customHeight="1" x14ac:dyDescent="0.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</row>
    <row r="84" spans="1:209" ht="15" customHeight="1" x14ac:dyDescent="0.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</row>
    <row r="85" spans="1:209" ht="15" customHeight="1" x14ac:dyDescent="0.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</row>
    <row r="86" spans="1:209" ht="15" customHeight="1" x14ac:dyDescent="0.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</row>
    <row r="87" spans="1:209" ht="15" customHeight="1" x14ac:dyDescent="0.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</row>
    <row r="88" spans="1:209" ht="15" customHeight="1" x14ac:dyDescent="0.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</row>
    <row r="89" spans="1:209" ht="15" customHeight="1" x14ac:dyDescent="0.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</row>
    <row r="90" spans="1:209" ht="15" customHeight="1" x14ac:dyDescent="0.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</row>
    <row r="91" spans="1:209" ht="15" customHeight="1" x14ac:dyDescent="0.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</row>
    <row r="92" spans="1:209" ht="15" customHeight="1" x14ac:dyDescent="0.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</row>
    <row r="93" spans="1:209" ht="15" customHeight="1" x14ac:dyDescent="0.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</row>
    <row r="94" spans="1:209" ht="15" customHeight="1" x14ac:dyDescent="0.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</row>
    <row r="95" spans="1:209" ht="15" customHeight="1" x14ac:dyDescent="0.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</row>
    <row r="96" spans="1:209" ht="15" customHeight="1" x14ac:dyDescent="0.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</row>
    <row r="97" spans="1:209" ht="15" customHeight="1" x14ac:dyDescent="0.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</row>
    <row r="98" spans="1:209" ht="15" customHeight="1" x14ac:dyDescent="0.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</row>
    <row r="99" spans="1:209" ht="15" customHeight="1" x14ac:dyDescent="0.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</row>
    <row r="100" spans="1:209" ht="15" customHeight="1" x14ac:dyDescent="0.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</row>
    <row r="101" spans="1:209" ht="15" customHeight="1" x14ac:dyDescent="0.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</row>
    <row r="102" spans="1:209" ht="15" customHeight="1" x14ac:dyDescent="0.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</row>
    <row r="103" spans="1:209" ht="15" customHeight="1" x14ac:dyDescent="0.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</row>
    <row r="104" spans="1:209" ht="15" customHeight="1" x14ac:dyDescent="0.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</row>
    <row r="105" spans="1:209" ht="15" customHeight="1" x14ac:dyDescent="0.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</row>
    <row r="106" spans="1:209" ht="15" customHeight="1" x14ac:dyDescent="0.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</row>
    <row r="107" spans="1:209" ht="15" customHeight="1" x14ac:dyDescent="0.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</row>
    <row r="108" spans="1:209" ht="15" customHeight="1" x14ac:dyDescent="0.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</row>
    <row r="109" spans="1:209" ht="15" customHeight="1" x14ac:dyDescent="0.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</row>
    <row r="110" spans="1:209" ht="15" customHeight="1" x14ac:dyDescent="0.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</row>
    <row r="111" spans="1:209" ht="15" customHeight="1" x14ac:dyDescent="0.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</row>
    <row r="112" spans="1:209" ht="15" customHeight="1" x14ac:dyDescent="0.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</row>
    <row r="113" spans="1:209" ht="15" customHeight="1" x14ac:dyDescent="0.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</row>
    <row r="114" spans="1:209" ht="15" customHeight="1" x14ac:dyDescent="0.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</row>
    <row r="115" spans="1:209" ht="15" customHeight="1" x14ac:dyDescent="0.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</row>
    <row r="116" spans="1:209" ht="15" customHeight="1" x14ac:dyDescent="0.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</row>
    <row r="117" spans="1:209" ht="15" customHeight="1" x14ac:dyDescent="0.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</row>
    <row r="118" spans="1:209" ht="15" customHeight="1" x14ac:dyDescent="0.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</row>
    <row r="119" spans="1:209" ht="15" customHeight="1" x14ac:dyDescent="0.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</row>
    <row r="120" spans="1:209" ht="15" customHeight="1" x14ac:dyDescent="0.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</row>
    <row r="121" spans="1:209" ht="15" customHeight="1" x14ac:dyDescent="0.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</row>
    <row r="122" spans="1:209" ht="15" customHeight="1" x14ac:dyDescent="0.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</row>
    <row r="123" spans="1:209" ht="15" customHeight="1" x14ac:dyDescent="0.1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</row>
    <row r="124" spans="1:209" ht="15" customHeight="1" x14ac:dyDescent="0.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</row>
    <row r="125" spans="1:209" ht="15" customHeight="1" x14ac:dyDescent="0.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</row>
    <row r="126" spans="1:209" ht="15" customHeight="1" x14ac:dyDescent="0.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</row>
    <row r="127" spans="1:209" ht="15" customHeight="1" x14ac:dyDescent="0.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</row>
    <row r="128" spans="1:209" ht="15" customHeight="1" x14ac:dyDescent="0.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</row>
    <row r="129" spans="1:209" ht="15" customHeight="1" x14ac:dyDescent="0.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</row>
    <row r="130" spans="1:209" ht="15" customHeight="1" x14ac:dyDescent="0.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</row>
    <row r="131" spans="1:209" ht="15" customHeight="1" x14ac:dyDescent="0.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</row>
    <row r="132" spans="1:209" ht="15" customHeight="1" x14ac:dyDescent="0.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</row>
    <row r="133" spans="1:209" ht="15" customHeight="1" x14ac:dyDescent="0.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</row>
    <row r="134" spans="1:209" ht="15" customHeight="1" x14ac:dyDescent="0.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</row>
    <row r="135" spans="1:209" ht="15" customHeight="1" x14ac:dyDescent="0.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</row>
    <row r="136" spans="1:209" ht="15" customHeight="1" x14ac:dyDescent="0.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</row>
    <row r="137" spans="1:209" ht="15" customHeight="1" x14ac:dyDescent="0.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</row>
    <row r="138" spans="1:209" ht="15" customHeight="1" x14ac:dyDescent="0.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</row>
    <row r="139" spans="1:209" ht="15" customHeight="1" x14ac:dyDescent="0.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</row>
    <row r="140" spans="1:209" ht="15" customHeight="1" x14ac:dyDescent="0.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</row>
    <row r="141" spans="1:209" ht="15" customHeight="1" x14ac:dyDescent="0.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</row>
    <row r="142" spans="1:209" ht="15" customHeight="1" x14ac:dyDescent="0.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</row>
    <row r="143" spans="1:209" ht="15" customHeight="1" x14ac:dyDescent="0.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</row>
    <row r="144" spans="1:209" ht="15" customHeight="1" x14ac:dyDescent="0.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</row>
    <row r="145" spans="1:209" ht="15" customHeight="1" x14ac:dyDescent="0.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</row>
    <row r="146" spans="1:209" ht="15" customHeight="1" x14ac:dyDescent="0.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</row>
    <row r="147" spans="1:209" ht="15" customHeight="1" x14ac:dyDescent="0.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</row>
    <row r="148" spans="1:209" ht="15" customHeight="1" x14ac:dyDescent="0.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</row>
    <row r="149" spans="1:209" ht="15" customHeight="1" x14ac:dyDescent="0.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</row>
    <row r="150" spans="1:209" ht="15" customHeight="1" x14ac:dyDescent="0.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</row>
    <row r="151" spans="1:209" ht="15" customHeight="1" x14ac:dyDescent="0.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</row>
    <row r="152" spans="1:209" ht="15" customHeight="1" x14ac:dyDescent="0.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</row>
    <row r="153" spans="1:209" ht="15" customHeight="1" x14ac:dyDescent="0.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</row>
    <row r="154" spans="1:209" ht="15" customHeight="1" x14ac:dyDescent="0.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</row>
    <row r="155" spans="1:209" ht="15" customHeight="1" x14ac:dyDescent="0.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</row>
    <row r="156" spans="1:209" ht="15" customHeight="1" x14ac:dyDescent="0.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</row>
    <row r="157" spans="1:209" ht="15" customHeight="1" x14ac:dyDescent="0.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</row>
    <row r="158" spans="1:209" ht="15" customHeight="1" x14ac:dyDescent="0.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</row>
    <row r="159" spans="1:209" ht="15" customHeight="1" x14ac:dyDescent="0.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</row>
    <row r="160" spans="1:209" ht="15" customHeight="1" x14ac:dyDescent="0.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</row>
    <row r="161" spans="1:209" ht="15" customHeight="1" x14ac:dyDescent="0.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</row>
    <row r="162" spans="1:209" ht="15" customHeight="1" x14ac:dyDescent="0.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</row>
    <row r="163" spans="1:209" ht="15" customHeight="1" x14ac:dyDescent="0.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</row>
    <row r="164" spans="1:209" ht="15" customHeight="1" x14ac:dyDescent="0.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</row>
    <row r="165" spans="1:209" ht="15" customHeight="1" x14ac:dyDescent="0.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</row>
    <row r="166" spans="1:209" ht="15" customHeight="1" x14ac:dyDescent="0.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</row>
    <row r="167" spans="1:209" ht="15" customHeight="1" x14ac:dyDescent="0.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</row>
    <row r="168" spans="1:209" ht="15" customHeight="1" x14ac:dyDescent="0.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</row>
    <row r="169" spans="1:209" ht="15" customHeight="1" x14ac:dyDescent="0.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</row>
    <row r="170" spans="1:209" ht="15" customHeight="1" x14ac:dyDescent="0.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</row>
    <row r="171" spans="1:209" ht="15" customHeight="1" x14ac:dyDescent="0.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</row>
    <row r="172" spans="1:209" ht="15" customHeight="1" x14ac:dyDescent="0.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</row>
    <row r="173" spans="1:209" ht="15" customHeight="1" x14ac:dyDescent="0.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</row>
    <row r="174" spans="1:209" ht="15" customHeight="1" x14ac:dyDescent="0.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</row>
    <row r="175" spans="1:209" ht="15" customHeight="1" x14ac:dyDescent="0.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</row>
    <row r="176" spans="1:209" ht="15" customHeight="1" x14ac:dyDescent="0.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</row>
    <row r="177" spans="1:209" ht="15" customHeight="1" x14ac:dyDescent="0.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</row>
    <row r="178" spans="1:209" ht="15" customHeight="1" x14ac:dyDescent="0.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</row>
    <row r="179" spans="1:209" ht="15" customHeight="1" x14ac:dyDescent="0.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</row>
    <row r="180" spans="1:209" ht="15" customHeight="1" x14ac:dyDescent="0.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</row>
    <row r="181" spans="1:209" ht="15" customHeight="1" x14ac:dyDescent="0.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</row>
    <row r="182" spans="1:209" ht="15" customHeight="1" x14ac:dyDescent="0.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</row>
    <row r="183" spans="1:209" ht="15" customHeight="1" x14ac:dyDescent="0.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</row>
    <row r="184" spans="1:209" ht="15" customHeight="1" x14ac:dyDescent="0.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</row>
    <row r="185" spans="1:209" ht="15" customHeight="1" x14ac:dyDescent="0.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</row>
    <row r="186" spans="1:209" ht="15" customHeight="1" x14ac:dyDescent="0.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</row>
    <row r="187" spans="1:209" ht="15" customHeight="1" x14ac:dyDescent="0.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</row>
    <row r="188" spans="1:209" ht="15" customHeight="1" x14ac:dyDescent="0.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</row>
    <row r="189" spans="1:209" ht="15" customHeight="1" x14ac:dyDescent="0.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</row>
    <row r="190" spans="1:209" ht="15" customHeight="1" x14ac:dyDescent="0.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</row>
    <row r="191" spans="1:209" ht="15" customHeight="1" x14ac:dyDescent="0.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</row>
    <row r="192" spans="1:209" ht="15" customHeight="1" x14ac:dyDescent="0.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</row>
    <row r="193" spans="1:209" ht="15" customHeight="1" x14ac:dyDescent="0.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</row>
    <row r="194" spans="1:209" ht="15" customHeight="1" x14ac:dyDescent="0.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</row>
    <row r="195" spans="1:209" ht="15" customHeight="1" x14ac:dyDescent="0.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</row>
    <row r="196" spans="1:209" ht="15" customHeight="1" x14ac:dyDescent="0.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</row>
    <row r="197" spans="1:209" ht="15" customHeight="1" x14ac:dyDescent="0.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</row>
    <row r="198" spans="1:209" ht="15" customHeight="1" x14ac:dyDescent="0.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</row>
    <row r="199" spans="1:209" ht="15" customHeight="1" x14ac:dyDescent="0.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</row>
    <row r="200" spans="1:209" ht="15" customHeight="1" x14ac:dyDescent="0.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</row>
    <row r="201" spans="1:209" ht="15" customHeight="1" x14ac:dyDescent="0.1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</row>
    <row r="202" spans="1:209" ht="15" customHeight="1" x14ac:dyDescent="0.1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</row>
    <row r="203" spans="1:209" ht="15" customHeight="1" x14ac:dyDescent="0.1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</row>
    <row r="204" spans="1:209" ht="15" customHeight="1" x14ac:dyDescent="0.1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</row>
    <row r="205" spans="1:209" ht="15" customHeight="1" x14ac:dyDescent="0.1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</row>
    <row r="206" spans="1:209" ht="15" customHeight="1" x14ac:dyDescent="0.1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</row>
    <row r="207" spans="1:209" ht="15" customHeight="1" x14ac:dyDescent="0.1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</row>
    <row r="208" spans="1:209" ht="15" customHeight="1" x14ac:dyDescent="0.1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</row>
    <row r="209" spans="1:209" ht="15" customHeight="1" x14ac:dyDescent="0.1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</row>
    <row r="210" spans="1:209" ht="15" customHeight="1" x14ac:dyDescent="0.1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</row>
    <row r="211" spans="1:209" ht="15" customHeight="1" x14ac:dyDescent="0.1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</row>
    <row r="212" spans="1:209" ht="15" customHeight="1" x14ac:dyDescent="0.1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</row>
    <row r="213" spans="1:209" ht="15" customHeight="1" x14ac:dyDescent="0.1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</row>
    <row r="214" spans="1:209" ht="15" customHeight="1" x14ac:dyDescent="0.1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</row>
    <row r="215" spans="1:209" ht="15" customHeight="1" x14ac:dyDescent="0.1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</row>
    <row r="216" spans="1:209" ht="15" customHeight="1" x14ac:dyDescent="0.1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</row>
    <row r="217" spans="1:209" ht="15" customHeight="1" x14ac:dyDescent="0.1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</row>
    <row r="218" spans="1:209" ht="15" customHeight="1" x14ac:dyDescent="0.1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</row>
    <row r="219" spans="1:209" ht="15" customHeight="1" x14ac:dyDescent="0.1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</row>
    <row r="220" spans="1:209" ht="15" customHeight="1" x14ac:dyDescent="0.1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</row>
    <row r="221" spans="1:209" ht="15" customHeight="1" x14ac:dyDescent="0.1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</row>
    <row r="222" spans="1:209" ht="15" customHeight="1" x14ac:dyDescent="0.1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</row>
    <row r="223" spans="1:209" ht="15" customHeight="1" x14ac:dyDescent="0.1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</row>
    <row r="224" spans="1:209" ht="15" customHeight="1" x14ac:dyDescent="0.1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</row>
    <row r="225" spans="1:209" ht="15" customHeight="1" x14ac:dyDescent="0.1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</row>
    <row r="226" spans="1:209" ht="15" customHeight="1" x14ac:dyDescent="0.1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</row>
    <row r="227" spans="1:209" ht="15" customHeight="1" x14ac:dyDescent="0.1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</row>
    <row r="228" spans="1:209" ht="15" customHeight="1" x14ac:dyDescent="0.1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</row>
    <row r="229" spans="1:209" ht="15" customHeight="1" x14ac:dyDescent="0.1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</row>
    <row r="230" spans="1:209" ht="15" customHeight="1" x14ac:dyDescent="0.1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</row>
    <row r="231" spans="1:209" ht="15" customHeight="1" x14ac:dyDescent="0.1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</row>
    <row r="232" spans="1:209" ht="15" customHeight="1" x14ac:dyDescent="0.1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</row>
    <row r="233" spans="1:209" ht="15" customHeight="1" x14ac:dyDescent="0.1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</row>
    <row r="234" spans="1:209" ht="15" customHeight="1" x14ac:dyDescent="0.1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</row>
    <row r="235" spans="1:209" ht="15" customHeight="1" x14ac:dyDescent="0.1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</row>
    <row r="236" spans="1:209" ht="15" customHeight="1" x14ac:dyDescent="0.1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</row>
    <row r="237" spans="1:209" ht="15" customHeight="1" x14ac:dyDescent="0.1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</row>
    <row r="238" spans="1:209" ht="15" customHeight="1" x14ac:dyDescent="0.1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</row>
    <row r="239" spans="1:209" ht="15" customHeight="1" x14ac:dyDescent="0.1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</row>
    <row r="240" spans="1:209" ht="15" customHeight="1" x14ac:dyDescent="0.1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</row>
    <row r="241" spans="1:209" ht="15" customHeight="1" x14ac:dyDescent="0.1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</row>
    <row r="242" spans="1:209" ht="15" customHeight="1" x14ac:dyDescent="0.1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</row>
    <row r="243" spans="1:209" ht="15" customHeight="1" x14ac:dyDescent="0.1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</row>
    <row r="244" spans="1:209" ht="15" customHeight="1" x14ac:dyDescent="0.1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</row>
    <row r="245" spans="1:209" ht="15" customHeight="1" x14ac:dyDescent="0.1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</row>
    <row r="246" spans="1:209" ht="15" customHeight="1" x14ac:dyDescent="0.1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</row>
    <row r="247" spans="1:209" ht="15" customHeight="1" x14ac:dyDescent="0.1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</row>
    <row r="248" spans="1:209" ht="15" customHeight="1" x14ac:dyDescent="0.1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</row>
    <row r="249" spans="1:209" ht="15" customHeight="1" x14ac:dyDescent="0.1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</row>
    <row r="250" spans="1:209" ht="15" customHeight="1" x14ac:dyDescent="0.1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</row>
    <row r="251" spans="1:209" ht="15" customHeight="1" x14ac:dyDescent="0.1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</row>
    <row r="252" spans="1:209" ht="15" customHeight="1" x14ac:dyDescent="0.1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</row>
    <row r="253" spans="1:209" ht="15" customHeight="1" x14ac:dyDescent="0.1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</row>
    <row r="254" spans="1:209" ht="15" customHeight="1" x14ac:dyDescent="0.1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</row>
    <row r="255" spans="1:209" ht="15" customHeight="1" x14ac:dyDescent="0.1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</row>
    <row r="256" spans="1:209" ht="15" customHeight="1" x14ac:dyDescent="0.1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</row>
    <row r="257" spans="1:209" ht="15" customHeight="1" x14ac:dyDescent="0.1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</row>
    <row r="258" spans="1:209" ht="15" customHeight="1" x14ac:dyDescent="0.1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</row>
    <row r="259" spans="1:209" ht="15" customHeight="1" x14ac:dyDescent="0.1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</row>
    <row r="260" spans="1:209" ht="15" customHeight="1" x14ac:dyDescent="0.1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</row>
    <row r="261" spans="1:209" ht="15" customHeight="1" x14ac:dyDescent="0.1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</row>
    <row r="262" spans="1:209" ht="15" customHeight="1" x14ac:dyDescent="0.1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</row>
    <row r="263" spans="1:209" ht="15" customHeight="1" x14ac:dyDescent="0.1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</row>
    <row r="264" spans="1:209" ht="15" customHeight="1" x14ac:dyDescent="0.1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</row>
    <row r="265" spans="1:209" ht="15" customHeight="1" x14ac:dyDescent="0.1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</row>
    <row r="266" spans="1:209" ht="15" customHeight="1" x14ac:dyDescent="0.1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</row>
    <row r="267" spans="1:209" ht="15" customHeight="1" x14ac:dyDescent="0.1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</row>
    <row r="268" spans="1:209" ht="15" customHeight="1" x14ac:dyDescent="0.1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</row>
    <row r="269" spans="1:209" ht="15" customHeight="1" x14ac:dyDescent="0.1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</row>
    <row r="270" spans="1:209" ht="15" customHeight="1" x14ac:dyDescent="0.1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</row>
    <row r="271" spans="1:209" ht="15" customHeight="1" x14ac:dyDescent="0.1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</row>
    <row r="272" spans="1:209" ht="15" customHeight="1" x14ac:dyDescent="0.1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</row>
    <row r="273" spans="1:209" ht="15" customHeight="1" x14ac:dyDescent="0.1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</row>
    <row r="274" spans="1:209" ht="15" customHeight="1" x14ac:dyDescent="0.1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</row>
    <row r="275" spans="1:209" ht="15" customHeight="1" x14ac:dyDescent="0.1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</row>
    <row r="276" spans="1:209" ht="15" customHeight="1" x14ac:dyDescent="0.1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</row>
    <row r="277" spans="1:209" ht="15" customHeight="1" x14ac:dyDescent="0.1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</row>
    <row r="278" spans="1:209" ht="15" customHeight="1" x14ac:dyDescent="0.1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</row>
    <row r="279" spans="1:209" ht="15" customHeight="1" x14ac:dyDescent="0.1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</row>
    <row r="280" spans="1:209" ht="15" customHeight="1" x14ac:dyDescent="0.1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</row>
    <row r="281" spans="1:209" ht="15" customHeight="1" x14ac:dyDescent="0.1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</row>
    <row r="282" spans="1:209" ht="15" customHeight="1" x14ac:dyDescent="0.1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</row>
    <row r="283" spans="1:209" ht="15" customHeight="1" x14ac:dyDescent="0.1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</row>
    <row r="284" spans="1:209" ht="15" customHeight="1" x14ac:dyDescent="0.1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</row>
    <row r="285" spans="1:209" ht="15" customHeight="1" x14ac:dyDescent="0.1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</row>
    <row r="286" spans="1:209" ht="15" customHeight="1" x14ac:dyDescent="0.1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</row>
    <row r="287" spans="1:209" ht="15" customHeight="1" x14ac:dyDescent="0.1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</row>
    <row r="288" spans="1:209" ht="15" customHeight="1" x14ac:dyDescent="0.1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</row>
    <row r="289" spans="1:209" ht="15" customHeight="1" x14ac:dyDescent="0.1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</row>
    <row r="290" spans="1:209" ht="15" customHeight="1" x14ac:dyDescent="0.1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</row>
    <row r="291" spans="1:209" ht="15" customHeight="1" x14ac:dyDescent="0.1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</row>
    <row r="292" spans="1:209" ht="15" customHeight="1" x14ac:dyDescent="0.1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</row>
    <row r="293" spans="1:209" ht="15" customHeight="1" x14ac:dyDescent="0.1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</row>
    <row r="294" spans="1:209" ht="15" customHeight="1" x14ac:dyDescent="0.1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</row>
    <row r="295" spans="1:209" ht="15" customHeight="1" x14ac:dyDescent="0.1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</row>
    <row r="296" spans="1:209" ht="15" customHeight="1" x14ac:dyDescent="0.1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</row>
    <row r="297" spans="1:209" ht="15" customHeight="1" x14ac:dyDescent="0.1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</row>
    <row r="298" spans="1:209" ht="15" customHeight="1" x14ac:dyDescent="0.1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</row>
    <row r="299" spans="1:209" ht="15" customHeight="1" x14ac:dyDescent="0.1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</row>
    <row r="300" spans="1:209" ht="15" customHeight="1" x14ac:dyDescent="0.1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</row>
    <row r="301" spans="1:209" ht="15" customHeight="1" x14ac:dyDescent="0.1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</row>
    <row r="302" spans="1:209" ht="15" customHeight="1" x14ac:dyDescent="0.1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</row>
    <row r="303" spans="1:209" ht="15" customHeight="1" x14ac:dyDescent="0.1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</row>
    <row r="304" spans="1:209" ht="15" customHeight="1" x14ac:dyDescent="0.1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</row>
    <row r="305" spans="1:209" ht="15" customHeight="1" x14ac:dyDescent="0.1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</row>
    <row r="306" spans="1:209" ht="15" customHeight="1" x14ac:dyDescent="0.1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</row>
    <row r="307" spans="1:209" ht="15" customHeight="1" x14ac:dyDescent="0.1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</row>
    <row r="308" spans="1:209" ht="15" customHeight="1" x14ac:dyDescent="0.1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</row>
    <row r="309" spans="1:209" ht="15" customHeight="1" x14ac:dyDescent="0.1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</row>
    <row r="310" spans="1:209" ht="15" customHeight="1" x14ac:dyDescent="0.1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</row>
    <row r="311" spans="1:209" ht="15" customHeight="1" x14ac:dyDescent="0.1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</row>
    <row r="312" spans="1:209" ht="15" customHeight="1" x14ac:dyDescent="0.1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</row>
    <row r="313" spans="1:209" ht="15" customHeight="1" x14ac:dyDescent="0.1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</row>
    <row r="314" spans="1:209" ht="15" customHeight="1" x14ac:dyDescent="0.1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</row>
    <row r="315" spans="1:209" ht="15" customHeight="1" x14ac:dyDescent="0.1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</row>
    <row r="316" spans="1:209" ht="15" customHeight="1" x14ac:dyDescent="0.1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</row>
    <row r="317" spans="1:209" ht="15" customHeight="1" x14ac:dyDescent="0.1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</row>
    <row r="318" spans="1:209" ht="15" customHeight="1" x14ac:dyDescent="0.1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</row>
    <row r="319" spans="1:209" ht="15" customHeight="1" x14ac:dyDescent="0.1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</row>
    <row r="320" spans="1:209" ht="15" customHeight="1" x14ac:dyDescent="0.1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</row>
    <row r="321" spans="1:209" ht="15" customHeight="1" x14ac:dyDescent="0.1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</row>
    <row r="322" spans="1:209" ht="15" customHeight="1" x14ac:dyDescent="0.1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</row>
    <row r="323" spans="1:209" ht="15" customHeight="1" x14ac:dyDescent="0.1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</row>
    <row r="324" spans="1:209" ht="15" customHeight="1" x14ac:dyDescent="0.1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</row>
    <row r="325" spans="1:209" ht="15" customHeight="1" x14ac:dyDescent="0.1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</row>
    <row r="326" spans="1:209" ht="15" customHeight="1" x14ac:dyDescent="0.1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</row>
    <row r="327" spans="1:209" ht="15" customHeight="1" x14ac:dyDescent="0.1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</row>
    <row r="328" spans="1:209" ht="15" customHeight="1" x14ac:dyDescent="0.1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</row>
    <row r="329" spans="1:209" ht="15" customHeight="1" x14ac:dyDescent="0.1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</row>
    <row r="330" spans="1:209" ht="15" customHeight="1" x14ac:dyDescent="0.1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</row>
    <row r="331" spans="1:209" ht="15" customHeight="1" x14ac:dyDescent="0.1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</row>
    <row r="332" spans="1:209" ht="15" customHeight="1" x14ac:dyDescent="0.1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</row>
    <row r="333" spans="1:209" ht="15" customHeight="1" x14ac:dyDescent="0.1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</row>
    <row r="334" spans="1:209" ht="15" customHeight="1" x14ac:dyDescent="0.1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</row>
    <row r="335" spans="1:209" ht="15" customHeight="1" x14ac:dyDescent="0.1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</row>
    <row r="336" spans="1:209" ht="15" customHeight="1" x14ac:dyDescent="0.1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</row>
    <row r="337" spans="1:209" ht="15" customHeight="1" x14ac:dyDescent="0.1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</row>
    <row r="338" spans="1:209" ht="15" customHeight="1" x14ac:dyDescent="0.1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</row>
    <row r="339" spans="1:209" ht="15" customHeight="1" x14ac:dyDescent="0.1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</row>
    <row r="340" spans="1:209" ht="15" customHeight="1" x14ac:dyDescent="0.1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</row>
    <row r="341" spans="1:209" ht="15" customHeight="1" x14ac:dyDescent="0.1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</row>
    <row r="342" spans="1:209" ht="15" customHeight="1" x14ac:dyDescent="0.1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</row>
    <row r="343" spans="1:209" ht="15" customHeight="1" x14ac:dyDescent="0.1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</row>
    <row r="344" spans="1:209" ht="15" customHeight="1" x14ac:dyDescent="0.1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</row>
    <row r="345" spans="1:209" ht="15" customHeight="1" x14ac:dyDescent="0.1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</row>
    <row r="346" spans="1:209" ht="15" customHeight="1" x14ac:dyDescent="0.1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</row>
    <row r="347" spans="1:209" ht="15" customHeight="1" x14ac:dyDescent="0.1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</row>
    <row r="348" spans="1:209" ht="15" customHeight="1" x14ac:dyDescent="0.1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</row>
    <row r="349" spans="1:209" ht="15" customHeight="1" x14ac:dyDescent="0.1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</row>
    <row r="350" spans="1:209" ht="15" customHeight="1" x14ac:dyDescent="0.1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</row>
    <row r="351" spans="1:209" ht="15" customHeight="1" x14ac:dyDescent="0.1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</row>
    <row r="352" spans="1:209" ht="15" customHeight="1" x14ac:dyDescent="0.1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</row>
    <row r="353" spans="1:209" ht="15" customHeight="1" x14ac:dyDescent="0.1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</row>
    <row r="354" spans="1:209" ht="15" customHeight="1" x14ac:dyDescent="0.1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</row>
    <row r="355" spans="1:209" ht="15" customHeight="1" x14ac:dyDescent="0.1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</row>
    <row r="356" spans="1:209" ht="15" customHeight="1" x14ac:dyDescent="0.1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</row>
    <row r="357" spans="1:209" ht="15" customHeight="1" x14ac:dyDescent="0.1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</row>
    <row r="358" spans="1:209" ht="15" customHeight="1" x14ac:dyDescent="0.1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</row>
    <row r="359" spans="1:209" ht="15" customHeight="1" x14ac:dyDescent="0.1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</row>
    <row r="360" spans="1:209" ht="15" customHeight="1" x14ac:dyDescent="0.1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</row>
    <row r="361" spans="1:209" ht="15" customHeight="1" x14ac:dyDescent="0.1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</row>
    <row r="362" spans="1:209" ht="15" customHeight="1" x14ac:dyDescent="0.1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</row>
    <row r="363" spans="1:209" ht="15" customHeight="1" x14ac:dyDescent="0.1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</row>
    <row r="364" spans="1:209" ht="15" customHeight="1" x14ac:dyDescent="0.1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</row>
    <row r="365" spans="1:209" ht="15" customHeight="1" x14ac:dyDescent="0.1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</row>
    <row r="366" spans="1:209" ht="15" customHeight="1" x14ac:dyDescent="0.1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</row>
    <row r="367" spans="1:209" ht="15" customHeight="1" x14ac:dyDescent="0.1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</row>
    <row r="368" spans="1:209" ht="15" customHeight="1" x14ac:dyDescent="0.1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</row>
    <row r="369" spans="1:209" ht="15" customHeight="1" x14ac:dyDescent="0.1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</row>
    <row r="370" spans="1:209" ht="15" customHeight="1" x14ac:dyDescent="0.1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</row>
    <row r="371" spans="1:209" ht="15" customHeight="1" x14ac:dyDescent="0.1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</row>
    <row r="372" spans="1:209" ht="15" customHeight="1" x14ac:dyDescent="0.1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</row>
    <row r="373" spans="1:209" ht="15" customHeight="1" x14ac:dyDescent="0.1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</row>
    <row r="374" spans="1:209" ht="15" customHeight="1" x14ac:dyDescent="0.1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</row>
    <row r="375" spans="1:209" ht="15" customHeight="1" x14ac:dyDescent="0.1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</row>
    <row r="376" spans="1:209" ht="15" customHeight="1" x14ac:dyDescent="0.1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</row>
    <row r="377" spans="1:209" ht="15" customHeight="1" x14ac:dyDescent="0.1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</row>
    <row r="378" spans="1:209" ht="15" customHeight="1" x14ac:dyDescent="0.1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</row>
    <row r="379" spans="1:209" ht="15" customHeight="1" x14ac:dyDescent="0.1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</row>
    <row r="380" spans="1:209" ht="15" customHeight="1" x14ac:dyDescent="0.1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</row>
    <row r="381" spans="1:209" ht="15" customHeight="1" x14ac:dyDescent="0.1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</row>
    <row r="382" spans="1:209" ht="15" customHeight="1" x14ac:dyDescent="0.1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</row>
    <row r="383" spans="1:209" ht="15" customHeight="1" x14ac:dyDescent="0.1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</row>
    <row r="384" spans="1:209" ht="15" customHeight="1" x14ac:dyDescent="0.1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</row>
    <row r="385" spans="1:209" ht="15" customHeight="1" x14ac:dyDescent="0.1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</row>
    <row r="386" spans="1:209" ht="15" customHeight="1" x14ac:dyDescent="0.1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</row>
    <row r="387" spans="1:209" ht="15" customHeight="1" x14ac:dyDescent="0.1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</row>
    <row r="388" spans="1:209" ht="15" customHeight="1" x14ac:dyDescent="0.1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</row>
    <row r="389" spans="1:209" ht="15" customHeight="1" x14ac:dyDescent="0.1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</row>
    <row r="390" spans="1:209" ht="15" customHeight="1" x14ac:dyDescent="0.1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</row>
    <row r="391" spans="1:209" ht="15" customHeight="1" x14ac:dyDescent="0.1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</row>
    <row r="392" spans="1:209" ht="15" customHeight="1" x14ac:dyDescent="0.1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</row>
    <row r="393" spans="1:209" ht="15" customHeight="1" x14ac:dyDescent="0.1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</row>
    <row r="394" spans="1:209" ht="15" customHeight="1" x14ac:dyDescent="0.1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</row>
    <row r="395" spans="1:209" ht="15" customHeight="1" x14ac:dyDescent="0.1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</row>
    <row r="396" spans="1:209" ht="15" customHeight="1" x14ac:dyDescent="0.1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</row>
    <row r="397" spans="1:209" ht="15" customHeight="1" x14ac:dyDescent="0.1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</row>
    <row r="398" spans="1:209" ht="15" customHeight="1" x14ac:dyDescent="0.1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</row>
    <row r="399" spans="1:209" ht="15" customHeight="1" x14ac:dyDescent="0.1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</row>
    <row r="400" spans="1:209" ht="15" customHeight="1" x14ac:dyDescent="0.1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</row>
    <row r="401" spans="1:209" ht="15" customHeight="1" x14ac:dyDescent="0.1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</row>
    <row r="402" spans="1:209" ht="15" customHeight="1" x14ac:dyDescent="0.1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</row>
    <row r="403" spans="1:209" ht="15" customHeight="1" x14ac:dyDescent="0.1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</row>
    <row r="404" spans="1:209" ht="15" customHeight="1" x14ac:dyDescent="0.1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</row>
    <row r="405" spans="1:209" ht="15" customHeight="1" x14ac:dyDescent="0.1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</row>
    <row r="406" spans="1:209" ht="15" customHeight="1" x14ac:dyDescent="0.1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</row>
    <row r="407" spans="1:209" ht="15" customHeight="1" x14ac:dyDescent="0.1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</row>
    <row r="408" spans="1:209" ht="15" customHeight="1" x14ac:dyDescent="0.1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</row>
    <row r="409" spans="1:209" ht="15" customHeight="1" x14ac:dyDescent="0.1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</row>
    <row r="410" spans="1:209" ht="15" customHeight="1" x14ac:dyDescent="0.1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</row>
    <row r="411" spans="1:209" ht="15" customHeight="1" x14ac:dyDescent="0.1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</row>
    <row r="412" spans="1:209" ht="15" customHeight="1" x14ac:dyDescent="0.1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</row>
    <row r="413" spans="1:209" ht="15" customHeight="1" x14ac:dyDescent="0.1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</row>
    <row r="414" spans="1:209" ht="15" customHeight="1" x14ac:dyDescent="0.1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</row>
    <row r="415" spans="1:209" ht="15" customHeight="1" x14ac:dyDescent="0.1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</row>
    <row r="416" spans="1:209" ht="15" customHeight="1" x14ac:dyDescent="0.1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</row>
    <row r="417" spans="1:209" ht="15" customHeight="1" x14ac:dyDescent="0.1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</row>
    <row r="418" spans="1:209" ht="15" customHeight="1" x14ac:dyDescent="0.1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</row>
    <row r="419" spans="1:209" ht="15" customHeight="1" x14ac:dyDescent="0.1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</row>
    <row r="420" spans="1:209" ht="15" customHeight="1" x14ac:dyDescent="0.1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</row>
    <row r="421" spans="1:209" ht="15" customHeight="1" x14ac:dyDescent="0.1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</row>
    <row r="422" spans="1:209" ht="15" customHeight="1" x14ac:dyDescent="0.1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</row>
    <row r="423" spans="1:209" ht="15" customHeight="1" x14ac:dyDescent="0.1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</row>
    <row r="424" spans="1:209" ht="15" customHeight="1" x14ac:dyDescent="0.1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</row>
    <row r="425" spans="1:209" ht="15" customHeight="1" x14ac:dyDescent="0.1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</row>
    <row r="426" spans="1:209" ht="15" customHeight="1" x14ac:dyDescent="0.1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</row>
    <row r="427" spans="1:209" ht="15" customHeight="1" x14ac:dyDescent="0.1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</row>
    <row r="428" spans="1:209" ht="15" customHeight="1" x14ac:dyDescent="0.1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</row>
    <row r="429" spans="1:209" ht="15" customHeight="1" x14ac:dyDescent="0.1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</row>
    <row r="430" spans="1:209" ht="15" customHeight="1" x14ac:dyDescent="0.1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</row>
    <row r="431" spans="1:209" ht="15" customHeight="1" x14ac:dyDescent="0.1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</row>
    <row r="432" spans="1:209" ht="15" customHeight="1" x14ac:dyDescent="0.1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</row>
    <row r="433" spans="1:209" ht="15" customHeight="1" x14ac:dyDescent="0.1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</row>
    <row r="434" spans="1:209" ht="15" customHeight="1" x14ac:dyDescent="0.1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</row>
    <row r="435" spans="1:209" ht="15" customHeight="1" x14ac:dyDescent="0.1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</row>
    <row r="436" spans="1:209" ht="15" customHeight="1" x14ac:dyDescent="0.1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</row>
    <row r="437" spans="1:209" ht="15" customHeight="1" x14ac:dyDescent="0.1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</row>
    <row r="438" spans="1:209" ht="15" customHeight="1" x14ac:dyDescent="0.1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</row>
    <row r="439" spans="1:209" ht="15" customHeight="1" x14ac:dyDescent="0.1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</row>
    <row r="440" spans="1:209" ht="15" customHeight="1" x14ac:dyDescent="0.1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</row>
    <row r="441" spans="1:209" ht="15" customHeight="1" x14ac:dyDescent="0.1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</row>
    <row r="442" spans="1:209" ht="15" customHeight="1" x14ac:dyDescent="0.1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</row>
    <row r="443" spans="1:209" ht="15" customHeight="1" x14ac:dyDescent="0.1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</row>
    <row r="444" spans="1:209" ht="15" customHeight="1" x14ac:dyDescent="0.1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</row>
    <row r="445" spans="1:209" ht="15" customHeight="1" x14ac:dyDescent="0.1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</row>
    <row r="446" spans="1:209" ht="15" customHeight="1" x14ac:dyDescent="0.1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</row>
    <row r="447" spans="1:209" ht="15" customHeight="1" x14ac:dyDescent="0.1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</row>
    <row r="448" spans="1:209" ht="15" customHeight="1" x14ac:dyDescent="0.1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</row>
    <row r="449" spans="1:209" ht="15" customHeight="1" x14ac:dyDescent="0.1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</row>
    <row r="450" spans="1:209" ht="15" customHeight="1" x14ac:dyDescent="0.1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</row>
    <row r="451" spans="1:209" ht="15" customHeight="1" x14ac:dyDescent="0.1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</row>
    <row r="452" spans="1:209" ht="15" customHeight="1" x14ac:dyDescent="0.1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</row>
    <row r="453" spans="1:209" ht="15" customHeight="1" x14ac:dyDescent="0.1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</row>
    <row r="454" spans="1:209" ht="15" customHeight="1" x14ac:dyDescent="0.1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</row>
    <row r="455" spans="1:209" ht="15" customHeight="1" x14ac:dyDescent="0.1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</row>
    <row r="456" spans="1:209" ht="15" customHeight="1" x14ac:dyDescent="0.1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</row>
    <row r="457" spans="1:209" ht="15" customHeight="1" x14ac:dyDescent="0.1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</row>
    <row r="458" spans="1:209" ht="15" customHeight="1" x14ac:dyDescent="0.1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</row>
    <row r="459" spans="1:209" ht="15" customHeight="1" x14ac:dyDescent="0.1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</row>
    <row r="460" spans="1:209" ht="15" customHeight="1" x14ac:dyDescent="0.1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</row>
    <row r="461" spans="1:209" ht="15" customHeight="1" x14ac:dyDescent="0.1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</row>
    <row r="462" spans="1:209" ht="15" customHeight="1" x14ac:dyDescent="0.1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</row>
    <row r="463" spans="1:209" ht="15" customHeight="1" x14ac:dyDescent="0.1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</row>
    <row r="464" spans="1:209" ht="15" customHeight="1" x14ac:dyDescent="0.1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</row>
    <row r="465" spans="1:209" ht="15" customHeight="1" x14ac:dyDescent="0.1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</row>
    <row r="466" spans="1:209" ht="15" customHeight="1" x14ac:dyDescent="0.1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</row>
    <row r="467" spans="1:209" ht="15" customHeight="1" x14ac:dyDescent="0.1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</row>
    <row r="468" spans="1:209" ht="15" customHeight="1" x14ac:dyDescent="0.1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</row>
    <row r="469" spans="1:209" ht="15" customHeight="1" x14ac:dyDescent="0.1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</row>
    <row r="470" spans="1:209" ht="15" customHeight="1" x14ac:dyDescent="0.1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</row>
    <row r="471" spans="1:209" ht="15" customHeight="1" x14ac:dyDescent="0.1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</row>
    <row r="472" spans="1:209" ht="15" customHeight="1" x14ac:dyDescent="0.1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</row>
    <row r="473" spans="1:209" ht="15" customHeight="1" x14ac:dyDescent="0.1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</row>
    <row r="474" spans="1:209" ht="15" customHeight="1" x14ac:dyDescent="0.1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</row>
    <row r="475" spans="1:209" ht="15" customHeight="1" x14ac:dyDescent="0.1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</row>
    <row r="476" spans="1:209" ht="15" customHeight="1" x14ac:dyDescent="0.1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</row>
    <row r="477" spans="1:209" ht="15" customHeight="1" x14ac:dyDescent="0.1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</row>
    <row r="478" spans="1:209" ht="15" customHeight="1" x14ac:dyDescent="0.1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</row>
    <row r="479" spans="1:209" ht="15" customHeight="1" x14ac:dyDescent="0.1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</row>
    <row r="480" spans="1:209" ht="15" customHeight="1" x14ac:dyDescent="0.1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</row>
    <row r="481" spans="1:209" ht="15" customHeight="1" x14ac:dyDescent="0.1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</row>
    <row r="482" spans="1:209" ht="15" customHeight="1" x14ac:dyDescent="0.1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</row>
    <row r="483" spans="1:209" ht="15" customHeight="1" x14ac:dyDescent="0.1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</row>
    <row r="484" spans="1:209" ht="15" customHeight="1" x14ac:dyDescent="0.1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</row>
    <row r="485" spans="1:209" ht="15" customHeight="1" x14ac:dyDescent="0.1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</row>
    <row r="486" spans="1:209" ht="15" customHeight="1" x14ac:dyDescent="0.1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</row>
    <row r="487" spans="1:209" ht="15" customHeight="1" x14ac:dyDescent="0.1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</row>
    <row r="488" spans="1:209" ht="15" customHeight="1" x14ac:dyDescent="0.1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</row>
    <row r="489" spans="1:209" ht="15" customHeight="1" x14ac:dyDescent="0.1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</row>
    <row r="490" spans="1:209" ht="15" customHeight="1" x14ac:dyDescent="0.1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</row>
    <row r="491" spans="1:209" ht="15" customHeight="1" x14ac:dyDescent="0.1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</row>
    <row r="492" spans="1:209" ht="15" customHeight="1" x14ac:dyDescent="0.1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</row>
    <row r="493" spans="1:209" ht="15" customHeight="1" x14ac:dyDescent="0.1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</row>
    <row r="494" spans="1:209" ht="15" customHeight="1" x14ac:dyDescent="0.1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</row>
    <row r="495" spans="1:209" ht="15" customHeight="1" x14ac:dyDescent="0.1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</row>
    <row r="496" spans="1:209" ht="15" customHeight="1" x14ac:dyDescent="0.1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</row>
    <row r="497" spans="1:209" ht="15" customHeight="1" x14ac:dyDescent="0.1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</row>
    <row r="498" spans="1:209" ht="15" customHeight="1" x14ac:dyDescent="0.1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</row>
    <row r="499" spans="1:209" ht="15" customHeight="1" x14ac:dyDescent="0.1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</row>
    <row r="500" spans="1:209" ht="15" customHeight="1" x14ac:dyDescent="0.1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</row>
  </sheetData>
  <phoneticPr fontId="3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L187"/>
  <sheetViews>
    <sheetView topLeftCell="A79" workbookViewId="0">
      <selection activeCell="D90" sqref="D90"/>
    </sheetView>
  </sheetViews>
  <sheetFormatPr baseColWidth="10" defaultRowHeight="16" x14ac:dyDescent="0.2"/>
  <cols>
    <col min="1" max="1" width="33.6640625" bestFit="1" customWidth="1"/>
    <col min="2" max="2" width="5.83203125" customWidth="1"/>
    <col min="3" max="3" width="9" style="3" customWidth="1"/>
    <col min="4" max="4" width="31" style="122" bestFit="1" customWidth="1"/>
    <col min="5" max="5" width="13.83203125" style="122" bestFit="1" customWidth="1"/>
    <col min="6" max="6" width="6.5" style="122" bestFit="1" customWidth="1"/>
    <col min="7" max="7" width="15.33203125" style="122" bestFit="1" customWidth="1"/>
    <col min="8" max="8" width="31" style="122" bestFit="1" customWidth="1"/>
    <col min="9" max="9" width="10.83203125" style="122"/>
    <col min="10" max="10" width="18" bestFit="1" customWidth="1"/>
    <col min="11" max="11" width="14" bestFit="1" customWidth="1"/>
    <col min="15" max="15" width="14.33203125" bestFit="1" customWidth="1"/>
    <col min="16" max="16" width="39.83203125" bestFit="1" customWidth="1"/>
  </cols>
  <sheetData>
    <row r="1" spans="1:12" s="1" customFormat="1" ht="17" thickBot="1" x14ac:dyDescent="0.25">
      <c r="C1" s="50"/>
      <c r="D1" s="121" t="s">
        <v>33</v>
      </c>
      <c r="E1" s="121" t="s">
        <v>34</v>
      </c>
      <c r="F1" s="121" t="s">
        <v>35</v>
      </c>
      <c r="G1" s="121" t="s">
        <v>36</v>
      </c>
      <c r="H1" s="121" t="s">
        <v>37</v>
      </c>
      <c r="I1" s="121"/>
      <c r="J1" s="1" t="s">
        <v>132</v>
      </c>
      <c r="K1" s="1" t="s">
        <v>133</v>
      </c>
      <c r="L1" s="56" t="s">
        <v>171</v>
      </c>
    </row>
    <row r="2" spans="1:12" x14ac:dyDescent="0.2">
      <c r="A2" s="1" t="s">
        <v>38</v>
      </c>
      <c r="B2" s="36">
        <v>3</v>
      </c>
      <c r="C2" s="34"/>
      <c r="D2" s="120" t="s">
        <v>39</v>
      </c>
      <c r="E2">
        <v>1</v>
      </c>
      <c r="F2" s="125">
        <v>1</v>
      </c>
      <c r="G2">
        <v>1</v>
      </c>
      <c r="H2" s="124" t="s">
        <v>39</v>
      </c>
      <c r="J2" s="51"/>
      <c r="K2" s="133"/>
      <c r="L2" s="56" t="s">
        <v>172</v>
      </c>
    </row>
    <row r="3" spans="1:12" ht="17" thickBot="1" x14ac:dyDescent="0.25">
      <c r="A3" s="1" t="s">
        <v>40</v>
      </c>
      <c r="B3" s="37">
        <v>0</v>
      </c>
      <c r="C3" s="34"/>
      <c r="D3" s="120" t="s">
        <v>41</v>
      </c>
      <c r="E3">
        <v>2</v>
      </c>
      <c r="F3" s="126">
        <v>1.1000000000000001</v>
      </c>
      <c r="G3">
        <v>2</v>
      </c>
      <c r="H3" s="124" t="s">
        <v>41</v>
      </c>
      <c r="J3" s="52"/>
      <c r="K3" s="53"/>
    </row>
    <row r="4" spans="1:12" x14ac:dyDescent="0.2">
      <c r="D4" s="120" t="s">
        <v>42</v>
      </c>
      <c r="E4">
        <v>3</v>
      </c>
      <c r="F4" s="127">
        <v>1.2</v>
      </c>
      <c r="G4">
        <v>3</v>
      </c>
      <c r="H4" s="124" t="s">
        <v>42</v>
      </c>
      <c r="J4" s="52"/>
      <c r="K4" s="53"/>
    </row>
    <row r="5" spans="1:12" x14ac:dyDescent="0.2">
      <c r="D5" s="184" t="s">
        <v>181</v>
      </c>
      <c r="E5">
        <v>4</v>
      </c>
      <c r="F5" s="128">
        <v>2.1</v>
      </c>
      <c r="G5">
        <v>4</v>
      </c>
      <c r="H5" s="336" t="s">
        <v>181</v>
      </c>
      <c r="J5" s="52"/>
      <c r="K5" s="53"/>
    </row>
    <row r="6" spans="1:12" ht="17" thickBot="1" x14ac:dyDescent="0.25">
      <c r="A6" s="38" t="s">
        <v>123</v>
      </c>
      <c r="D6" s="184" t="s">
        <v>182</v>
      </c>
      <c r="E6">
        <v>5</v>
      </c>
      <c r="F6" s="128">
        <v>2.1</v>
      </c>
      <c r="G6">
        <v>5</v>
      </c>
      <c r="H6" s="336" t="s">
        <v>182</v>
      </c>
      <c r="J6" s="52"/>
      <c r="K6" s="53"/>
    </row>
    <row r="7" spans="1:12" x14ac:dyDescent="0.2">
      <c r="A7" s="33" t="s">
        <v>128</v>
      </c>
      <c r="B7" s="40">
        <v>1</v>
      </c>
      <c r="C7" s="35"/>
      <c r="D7" s="184" t="s">
        <v>176</v>
      </c>
      <c r="E7">
        <v>6</v>
      </c>
      <c r="F7" s="128">
        <v>3.1110000000000002</v>
      </c>
      <c r="G7">
        <v>6</v>
      </c>
      <c r="H7" s="336" t="s">
        <v>176</v>
      </c>
      <c r="J7" s="52"/>
      <c r="K7" s="53"/>
    </row>
    <row r="8" spans="1:12" x14ac:dyDescent="0.2">
      <c r="A8" s="33" t="s">
        <v>39</v>
      </c>
      <c r="B8" s="41">
        <v>1</v>
      </c>
      <c r="C8" s="35"/>
      <c r="D8" s="184" t="s">
        <v>183</v>
      </c>
      <c r="E8">
        <v>7</v>
      </c>
      <c r="F8" s="128">
        <v>3.11</v>
      </c>
      <c r="G8">
        <v>7</v>
      </c>
      <c r="H8" s="336" t="s">
        <v>183</v>
      </c>
      <c r="J8" s="52"/>
      <c r="K8" s="53"/>
    </row>
    <row r="9" spans="1:12" x14ac:dyDescent="0.2">
      <c r="A9" s="33" t="s">
        <v>41</v>
      </c>
      <c r="B9" s="41">
        <v>1.1000000000000001</v>
      </c>
      <c r="C9" s="35"/>
      <c r="D9" s="184" t="s">
        <v>184</v>
      </c>
      <c r="E9">
        <v>8</v>
      </c>
      <c r="F9" s="128">
        <v>3.11</v>
      </c>
      <c r="G9">
        <v>8</v>
      </c>
      <c r="H9" s="336" t="s">
        <v>184</v>
      </c>
      <c r="J9" s="52"/>
      <c r="K9" s="53"/>
    </row>
    <row r="10" spans="1:12" x14ac:dyDescent="0.2">
      <c r="A10" s="33" t="s">
        <v>42</v>
      </c>
      <c r="B10" s="41">
        <v>1.2</v>
      </c>
      <c r="C10" s="35"/>
      <c r="D10" s="184" t="s">
        <v>185</v>
      </c>
      <c r="E10">
        <v>9</v>
      </c>
      <c r="F10" s="128">
        <v>3.11</v>
      </c>
      <c r="G10">
        <v>9</v>
      </c>
      <c r="H10" s="336" t="s">
        <v>185</v>
      </c>
      <c r="J10" s="52"/>
      <c r="K10" s="53"/>
    </row>
    <row r="11" spans="1:12" ht="16" customHeight="1" x14ac:dyDescent="0.2">
      <c r="A11" s="39" t="s">
        <v>129</v>
      </c>
      <c r="B11" s="41">
        <v>2</v>
      </c>
      <c r="C11" s="35"/>
      <c r="D11" s="184" t="s">
        <v>186</v>
      </c>
      <c r="E11">
        <v>10</v>
      </c>
      <c r="F11" s="128">
        <v>3.14</v>
      </c>
      <c r="G11">
        <v>10</v>
      </c>
      <c r="H11" s="336" t="s">
        <v>186</v>
      </c>
      <c r="J11" s="52"/>
      <c r="K11" s="53"/>
    </row>
    <row r="12" spans="1:12" x14ac:dyDescent="0.2">
      <c r="A12" s="33" t="s">
        <v>43</v>
      </c>
      <c r="B12" s="41">
        <v>2.12</v>
      </c>
      <c r="C12" s="35"/>
      <c r="D12" s="184" t="s">
        <v>187</v>
      </c>
      <c r="E12">
        <v>11</v>
      </c>
      <c r="F12" s="128">
        <v>3.14</v>
      </c>
      <c r="G12">
        <v>11</v>
      </c>
      <c r="H12" s="336" t="s">
        <v>187</v>
      </c>
      <c r="J12" s="52"/>
      <c r="K12" s="53"/>
    </row>
    <row r="13" spans="1:12" x14ac:dyDescent="0.2">
      <c r="A13" s="33" t="s">
        <v>44</v>
      </c>
      <c r="B13" s="41">
        <v>2.11</v>
      </c>
      <c r="C13" s="35"/>
      <c r="D13" s="184" t="s">
        <v>189</v>
      </c>
      <c r="E13">
        <v>12</v>
      </c>
      <c r="F13" s="128">
        <v>3.14</v>
      </c>
      <c r="G13">
        <v>12</v>
      </c>
      <c r="H13" s="336" t="s">
        <v>189</v>
      </c>
      <c r="J13" s="52"/>
      <c r="K13" s="53"/>
    </row>
    <row r="14" spans="1:12" x14ac:dyDescent="0.2">
      <c r="A14" s="33" t="s">
        <v>69</v>
      </c>
      <c r="B14" s="41">
        <v>2.2200000000000002</v>
      </c>
      <c r="C14" s="35"/>
      <c r="D14" s="184" t="s">
        <v>190</v>
      </c>
      <c r="E14">
        <v>13</v>
      </c>
      <c r="F14" s="128">
        <v>3.14</v>
      </c>
      <c r="G14">
        <v>13</v>
      </c>
      <c r="H14" s="336" t="s">
        <v>190</v>
      </c>
      <c r="J14" s="52"/>
      <c r="K14" s="53"/>
    </row>
    <row r="15" spans="1:12" x14ac:dyDescent="0.2">
      <c r="A15" s="39" t="s">
        <v>130</v>
      </c>
      <c r="B15" s="41">
        <v>3</v>
      </c>
      <c r="C15" s="35"/>
      <c r="D15" s="184" t="s">
        <v>191</v>
      </c>
      <c r="E15">
        <v>14</v>
      </c>
      <c r="F15" s="128">
        <v>3.04</v>
      </c>
      <c r="G15">
        <v>14</v>
      </c>
      <c r="H15" s="336" t="s">
        <v>191</v>
      </c>
      <c r="J15" s="52"/>
      <c r="K15" s="53"/>
    </row>
    <row r="16" spans="1:12" x14ac:dyDescent="0.2">
      <c r="A16" s="33" t="s">
        <v>64</v>
      </c>
      <c r="B16" s="41">
        <v>3.11</v>
      </c>
      <c r="C16" s="35"/>
      <c r="D16" s="184" t="s">
        <v>192</v>
      </c>
      <c r="E16">
        <v>15</v>
      </c>
      <c r="F16" s="128">
        <v>3.1</v>
      </c>
      <c r="G16">
        <v>15</v>
      </c>
      <c r="H16" s="336" t="s">
        <v>192</v>
      </c>
      <c r="J16" s="52"/>
      <c r="K16" s="53"/>
    </row>
    <row r="17" spans="1:12" x14ac:dyDescent="0.2">
      <c r="A17" s="33" t="s">
        <v>63</v>
      </c>
      <c r="B17" s="41">
        <v>3.14</v>
      </c>
      <c r="C17" s="35"/>
      <c r="D17" s="184" t="s">
        <v>193</v>
      </c>
      <c r="E17">
        <v>16</v>
      </c>
      <c r="F17" s="128">
        <v>3.14</v>
      </c>
      <c r="G17">
        <v>16</v>
      </c>
      <c r="H17" s="336" t="s">
        <v>193</v>
      </c>
      <c r="J17" s="52"/>
      <c r="K17" s="53"/>
    </row>
    <row r="18" spans="1:12" x14ac:dyDescent="0.2">
      <c r="A18" s="33" t="s">
        <v>70</v>
      </c>
      <c r="B18" s="41">
        <v>3.16</v>
      </c>
      <c r="C18" s="35"/>
      <c r="D18" s="184" t="s">
        <v>194</v>
      </c>
      <c r="E18">
        <v>17</v>
      </c>
      <c r="F18" s="128">
        <v>3.14</v>
      </c>
      <c r="G18">
        <v>17</v>
      </c>
      <c r="H18" s="336" t="s">
        <v>194</v>
      </c>
      <c r="J18" s="52"/>
      <c r="K18" s="53"/>
    </row>
    <row r="19" spans="1:12" x14ac:dyDescent="0.2">
      <c r="A19" s="33" t="s">
        <v>68</v>
      </c>
      <c r="B19" s="41">
        <v>3.21</v>
      </c>
      <c r="C19" s="35"/>
      <c r="D19" s="184" t="s">
        <v>195</v>
      </c>
      <c r="E19">
        <v>18</v>
      </c>
      <c r="F19" s="128">
        <v>3.14</v>
      </c>
      <c r="G19">
        <v>18</v>
      </c>
      <c r="H19" s="336" t="s">
        <v>195</v>
      </c>
      <c r="J19" s="52"/>
      <c r="K19" s="53"/>
    </row>
    <row r="20" spans="1:12" x14ac:dyDescent="0.2">
      <c r="A20" s="33" t="s">
        <v>65</v>
      </c>
      <c r="B20" s="41">
        <v>3.24</v>
      </c>
      <c r="C20" s="35"/>
      <c r="D20" s="184" t="s">
        <v>196</v>
      </c>
      <c r="E20">
        <v>19</v>
      </c>
      <c r="F20" s="128">
        <v>3.14</v>
      </c>
      <c r="G20">
        <v>19</v>
      </c>
      <c r="H20" s="336" t="s">
        <v>196</v>
      </c>
      <c r="J20" s="52"/>
      <c r="K20" s="53"/>
    </row>
    <row r="21" spans="1:12" ht="17" thickBot="1" x14ac:dyDescent="0.25">
      <c r="A21" s="33" t="s">
        <v>71</v>
      </c>
      <c r="B21" s="41">
        <v>3.26</v>
      </c>
      <c r="C21" s="35"/>
      <c r="D21" s="184" t="s">
        <v>197</v>
      </c>
      <c r="E21">
        <v>20</v>
      </c>
      <c r="F21" s="128">
        <v>3.14</v>
      </c>
      <c r="G21">
        <v>20</v>
      </c>
      <c r="H21" s="336" t="s">
        <v>197</v>
      </c>
      <c r="J21" s="54"/>
      <c r="K21" s="55"/>
      <c r="L21" s="56" t="s">
        <v>154</v>
      </c>
    </row>
    <row r="22" spans="1:12" x14ac:dyDescent="0.2">
      <c r="A22" s="33" t="s">
        <v>66</v>
      </c>
      <c r="B22" s="41">
        <v>8</v>
      </c>
      <c r="C22" s="35"/>
      <c r="D22" s="184" t="s">
        <v>198</v>
      </c>
      <c r="E22">
        <v>21</v>
      </c>
      <c r="F22" s="128">
        <v>3.14</v>
      </c>
      <c r="G22">
        <v>21</v>
      </c>
      <c r="H22" s="336" t="s">
        <v>198</v>
      </c>
    </row>
    <row r="23" spans="1:12" x14ac:dyDescent="0.2">
      <c r="A23" s="33" t="s">
        <v>131</v>
      </c>
      <c r="B23" s="41">
        <v>4</v>
      </c>
      <c r="C23" s="35"/>
      <c r="D23" s="184" t="s">
        <v>199</v>
      </c>
      <c r="E23">
        <v>22</v>
      </c>
      <c r="F23" s="128">
        <v>3.14</v>
      </c>
      <c r="G23">
        <v>22</v>
      </c>
      <c r="H23" s="336" t="s">
        <v>199</v>
      </c>
    </row>
    <row r="24" spans="1:12" x14ac:dyDescent="0.2">
      <c r="A24" s="33" t="s">
        <v>124</v>
      </c>
      <c r="B24" s="41">
        <v>4.0999999999999996</v>
      </c>
      <c r="C24" s="35"/>
      <c r="D24" s="184" t="s">
        <v>200</v>
      </c>
      <c r="E24">
        <v>23</v>
      </c>
      <c r="F24" s="128">
        <v>3.24</v>
      </c>
      <c r="G24">
        <v>23</v>
      </c>
      <c r="H24" s="336" t="s">
        <v>200</v>
      </c>
    </row>
    <row r="25" spans="1:12" x14ac:dyDescent="0.2">
      <c r="A25" s="33" t="s">
        <v>72</v>
      </c>
      <c r="B25" s="41">
        <v>4.2</v>
      </c>
      <c r="C25" s="35"/>
      <c r="D25" s="184" t="s">
        <v>201</v>
      </c>
      <c r="E25">
        <v>24</v>
      </c>
      <c r="F25" s="128">
        <v>3.24</v>
      </c>
      <c r="G25">
        <v>24</v>
      </c>
      <c r="H25" s="336" t="s">
        <v>201</v>
      </c>
    </row>
    <row r="26" spans="1:12" x14ac:dyDescent="0.2">
      <c r="A26" s="33" t="s">
        <v>125</v>
      </c>
      <c r="B26" s="41">
        <v>4.3</v>
      </c>
      <c r="C26" s="35"/>
      <c r="D26" s="184" t="s">
        <v>202</v>
      </c>
      <c r="E26">
        <v>25</v>
      </c>
      <c r="F26" s="128">
        <v>3.24</v>
      </c>
      <c r="G26">
        <v>25</v>
      </c>
      <c r="H26" s="336" t="s">
        <v>202</v>
      </c>
    </row>
    <row r="27" spans="1:12" x14ac:dyDescent="0.2">
      <c r="A27" s="33" t="s">
        <v>127</v>
      </c>
      <c r="B27" s="41">
        <v>6.1</v>
      </c>
      <c r="D27" s="184" t="s">
        <v>203</v>
      </c>
      <c r="E27">
        <v>26</v>
      </c>
      <c r="F27" s="128">
        <v>3.24</v>
      </c>
      <c r="G27">
        <v>26</v>
      </c>
      <c r="H27" s="336" t="s">
        <v>203</v>
      </c>
    </row>
    <row r="28" spans="1:12" x14ac:dyDescent="0.2">
      <c r="A28" s="33" t="s">
        <v>126</v>
      </c>
      <c r="B28" s="41">
        <v>6.2</v>
      </c>
      <c r="D28" s="184" t="s">
        <v>204</v>
      </c>
      <c r="E28">
        <v>27</v>
      </c>
      <c r="F28" s="128">
        <v>3.04</v>
      </c>
      <c r="G28">
        <v>27</v>
      </c>
      <c r="H28" s="336" t="s">
        <v>204</v>
      </c>
    </row>
    <row r="29" spans="1:12" x14ac:dyDescent="0.2">
      <c r="A29" s="33" t="s">
        <v>45</v>
      </c>
      <c r="B29" s="41">
        <v>5</v>
      </c>
      <c r="D29" s="184" t="s">
        <v>205</v>
      </c>
      <c r="E29">
        <v>28</v>
      </c>
      <c r="F29" s="128">
        <v>3.14</v>
      </c>
      <c r="G29">
        <v>28</v>
      </c>
      <c r="H29" s="336" t="s">
        <v>205</v>
      </c>
    </row>
    <row r="30" spans="1:12" x14ac:dyDescent="0.2">
      <c r="A30" s="33" t="s">
        <v>75</v>
      </c>
      <c r="B30" s="41">
        <v>7</v>
      </c>
      <c r="D30" s="184" t="s">
        <v>206</v>
      </c>
      <c r="E30">
        <v>29</v>
      </c>
      <c r="F30" s="128">
        <v>3.13</v>
      </c>
      <c r="G30">
        <v>29</v>
      </c>
      <c r="H30" s="336" t="s">
        <v>206</v>
      </c>
    </row>
    <row r="31" spans="1:12" ht="16" customHeight="1" x14ac:dyDescent="0.2">
      <c r="A31" s="33" t="s">
        <v>174</v>
      </c>
      <c r="B31" s="41">
        <v>3.1110000000000002</v>
      </c>
      <c r="D31" s="184" t="s">
        <v>207</v>
      </c>
      <c r="E31">
        <v>30</v>
      </c>
      <c r="F31" s="128">
        <v>3.13</v>
      </c>
      <c r="G31">
        <v>30</v>
      </c>
      <c r="H31" s="336" t="s">
        <v>207</v>
      </c>
    </row>
    <row r="32" spans="1:12" ht="16" customHeight="1" thickBot="1" x14ac:dyDescent="0.25">
      <c r="A32" s="39" t="s">
        <v>175</v>
      </c>
      <c r="B32" s="42">
        <v>9</v>
      </c>
      <c r="D32" s="184" t="s">
        <v>257</v>
      </c>
      <c r="E32">
        <v>31</v>
      </c>
      <c r="F32" s="128">
        <v>3.14</v>
      </c>
      <c r="G32">
        <v>31</v>
      </c>
      <c r="H32" s="336" t="s">
        <v>257</v>
      </c>
    </row>
    <row r="33" spans="4:9" customFormat="1" ht="16" customHeight="1" x14ac:dyDescent="0.2">
      <c r="D33" s="184" t="s">
        <v>258</v>
      </c>
      <c r="E33">
        <v>32</v>
      </c>
      <c r="F33" s="128">
        <v>3.14</v>
      </c>
      <c r="G33">
        <v>32</v>
      </c>
      <c r="H33" s="336" t="s">
        <v>258</v>
      </c>
      <c r="I33" s="122"/>
    </row>
    <row r="34" spans="4:9" customFormat="1" ht="16" customHeight="1" x14ac:dyDescent="0.2">
      <c r="D34" s="184" t="s">
        <v>259</v>
      </c>
      <c r="E34">
        <v>33</v>
      </c>
      <c r="F34" s="128">
        <v>3.14</v>
      </c>
      <c r="G34">
        <v>33</v>
      </c>
      <c r="H34" s="336" t="s">
        <v>259</v>
      </c>
      <c r="I34" s="122"/>
    </row>
    <row r="35" spans="4:9" customFormat="1" ht="16" customHeight="1" x14ac:dyDescent="0.2">
      <c r="D35" s="184" t="s">
        <v>260</v>
      </c>
      <c r="E35">
        <v>34</v>
      </c>
      <c r="F35" s="128">
        <v>3.14</v>
      </c>
      <c r="G35">
        <v>34</v>
      </c>
      <c r="H35" s="336" t="s">
        <v>260</v>
      </c>
      <c r="I35" s="122"/>
    </row>
    <row r="36" spans="4:9" customFormat="1" ht="16" customHeight="1" x14ac:dyDescent="0.2">
      <c r="D36" s="184" t="s">
        <v>208</v>
      </c>
      <c r="E36">
        <v>35</v>
      </c>
      <c r="F36" s="128">
        <v>3.24</v>
      </c>
      <c r="G36">
        <v>35</v>
      </c>
      <c r="H36" s="336" t="s">
        <v>208</v>
      </c>
      <c r="I36" s="122"/>
    </row>
    <row r="37" spans="4:9" customFormat="1" ht="16" customHeight="1" x14ac:dyDescent="0.2">
      <c r="D37" s="184" t="s">
        <v>209</v>
      </c>
      <c r="E37">
        <v>36</v>
      </c>
      <c r="F37" s="128">
        <v>3.24</v>
      </c>
      <c r="G37">
        <v>36</v>
      </c>
      <c r="H37" s="336" t="s">
        <v>209</v>
      </c>
      <c r="I37" s="122"/>
    </row>
    <row r="38" spans="4:9" customFormat="1" x14ac:dyDescent="0.2">
      <c r="D38" s="184" t="s">
        <v>210</v>
      </c>
      <c r="E38">
        <v>37</v>
      </c>
      <c r="F38" s="128">
        <v>3.24</v>
      </c>
      <c r="G38">
        <v>37</v>
      </c>
      <c r="H38" s="336" t="s">
        <v>210</v>
      </c>
      <c r="I38" s="122"/>
    </row>
    <row r="39" spans="4:9" customFormat="1" x14ac:dyDescent="0.2">
      <c r="D39" s="184" t="s">
        <v>211</v>
      </c>
      <c r="E39">
        <v>38</v>
      </c>
      <c r="F39" s="128">
        <v>3.14</v>
      </c>
      <c r="G39">
        <v>38</v>
      </c>
      <c r="H39" s="336" t="s">
        <v>211</v>
      </c>
      <c r="I39" s="122"/>
    </row>
    <row r="40" spans="4:9" customFormat="1" x14ac:dyDescent="0.2">
      <c r="D40" s="184" t="s">
        <v>212</v>
      </c>
      <c r="E40">
        <v>39</v>
      </c>
      <c r="F40" s="128">
        <v>3.04</v>
      </c>
      <c r="G40">
        <v>39</v>
      </c>
      <c r="H40" s="336" t="s">
        <v>212</v>
      </c>
      <c r="I40" s="122"/>
    </row>
    <row r="41" spans="4:9" customFormat="1" x14ac:dyDescent="0.2">
      <c r="D41" s="184" t="s">
        <v>213</v>
      </c>
      <c r="E41">
        <v>40</v>
      </c>
      <c r="F41" s="128">
        <v>3.14</v>
      </c>
      <c r="G41">
        <v>40</v>
      </c>
      <c r="H41" s="336" t="s">
        <v>213</v>
      </c>
      <c r="I41" s="122"/>
    </row>
    <row r="42" spans="4:9" customFormat="1" x14ac:dyDescent="0.2">
      <c r="D42" s="184" t="s">
        <v>214</v>
      </c>
      <c r="E42">
        <v>41</v>
      </c>
      <c r="F42" s="128">
        <v>3.16</v>
      </c>
      <c r="G42">
        <v>41</v>
      </c>
      <c r="H42" s="336" t="s">
        <v>214</v>
      </c>
      <c r="I42" s="122"/>
    </row>
    <row r="43" spans="4:9" customFormat="1" x14ac:dyDescent="0.2">
      <c r="D43" s="184" t="s">
        <v>215</v>
      </c>
      <c r="E43">
        <v>42</v>
      </c>
      <c r="F43" s="128">
        <v>3.16</v>
      </c>
      <c r="G43">
        <v>42</v>
      </c>
      <c r="H43" s="336" t="s">
        <v>215</v>
      </c>
      <c r="I43" s="122"/>
    </row>
    <row r="44" spans="4:9" customFormat="1" x14ac:dyDescent="0.2">
      <c r="D44" s="184" t="s">
        <v>216</v>
      </c>
      <c r="E44">
        <v>43</v>
      </c>
      <c r="F44" s="128">
        <v>3.16</v>
      </c>
      <c r="G44">
        <v>43</v>
      </c>
      <c r="H44" s="336" t="s">
        <v>216</v>
      </c>
      <c r="I44" s="122"/>
    </row>
    <row r="45" spans="4:9" customFormat="1" x14ac:dyDescent="0.2">
      <c r="D45" s="184" t="s">
        <v>217</v>
      </c>
      <c r="E45">
        <v>44</v>
      </c>
      <c r="F45" s="128">
        <v>3.16</v>
      </c>
      <c r="G45">
        <v>44</v>
      </c>
      <c r="H45" s="336" t="s">
        <v>217</v>
      </c>
      <c r="I45" s="122"/>
    </row>
    <row r="46" spans="4:9" customFormat="1" x14ac:dyDescent="0.2">
      <c r="D46" s="184" t="s">
        <v>218</v>
      </c>
      <c r="E46">
        <v>45</v>
      </c>
      <c r="F46" s="128">
        <v>3.16</v>
      </c>
      <c r="G46">
        <v>45</v>
      </c>
      <c r="H46" s="336" t="s">
        <v>218</v>
      </c>
      <c r="I46" s="122"/>
    </row>
    <row r="47" spans="4:9" customFormat="1" ht="16" customHeight="1" x14ac:dyDescent="0.2">
      <c r="D47" s="184" t="s">
        <v>219</v>
      </c>
      <c r="E47">
        <v>46</v>
      </c>
      <c r="F47" s="128">
        <v>3.16</v>
      </c>
      <c r="G47">
        <v>46</v>
      </c>
      <c r="H47" s="336" t="s">
        <v>219</v>
      </c>
      <c r="I47" s="122"/>
    </row>
    <row r="48" spans="4:9" customFormat="1" ht="16" customHeight="1" x14ac:dyDescent="0.2">
      <c r="D48" s="184" t="s">
        <v>220</v>
      </c>
      <c r="E48">
        <v>47</v>
      </c>
      <c r="F48" s="128">
        <v>2.2000000000000002</v>
      </c>
      <c r="G48">
        <v>47</v>
      </c>
      <c r="H48" s="336" t="s">
        <v>220</v>
      </c>
      <c r="I48" s="122"/>
    </row>
    <row r="49" spans="4:9" customFormat="1" ht="16" customHeight="1" x14ac:dyDescent="0.2">
      <c r="D49" s="184" t="s">
        <v>221</v>
      </c>
      <c r="E49">
        <v>48</v>
      </c>
      <c r="F49" s="128">
        <v>3.21</v>
      </c>
      <c r="G49">
        <v>48</v>
      </c>
      <c r="H49" s="336" t="s">
        <v>221</v>
      </c>
      <c r="I49" s="122"/>
    </row>
    <row r="50" spans="4:9" customFormat="1" ht="16" customHeight="1" x14ac:dyDescent="0.2">
      <c r="D50" s="184" t="s">
        <v>222</v>
      </c>
      <c r="E50">
        <v>49</v>
      </c>
      <c r="F50" s="128">
        <v>3.21</v>
      </c>
      <c r="G50">
        <v>49</v>
      </c>
      <c r="H50" s="336" t="s">
        <v>222</v>
      </c>
      <c r="I50" s="122"/>
    </row>
    <row r="51" spans="4:9" customFormat="1" ht="16" customHeight="1" x14ac:dyDescent="0.2">
      <c r="D51" s="184" t="s">
        <v>223</v>
      </c>
      <c r="E51">
        <v>50</v>
      </c>
      <c r="F51" s="128">
        <v>3.21</v>
      </c>
      <c r="G51">
        <v>50</v>
      </c>
      <c r="H51" s="336" t="s">
        <v>223</v>
      </c>
      <c r="I51" s="122"/>
    </row>
    <row r="52" spans="4:9" customFormat="1" ht="16" customHeight="1" x14ac:dyDescent="0.2">
      <c r="D52" s="184" t="s">
        <v>224</v>
      </c>
      <c r="E52">
        <v>51</v>
      </c>
      <c r="F52" s="128">
        <v>3.21</v>
      </c>
      <c r="G52">
        <v>51</v>
      </c>
      <c r="H52" s="336" t="s">
        <v>224</v>
      </c>
      <c r="I52" s="122"/>
    </row>
    <row r="53" spans="4:9" customFormat="1" ht="16" customHeight="1" x14ac:dyDescent="0.2">
      <c r="D53" s="184" t="s">
        <v>225</v>
      </c>
      <c r="E53" s="122">
        <v>52</v>
      </c>
      <c r="F53" s="129">
        <v>4</v>
      </c>
      <c r="G53" s="122">
        <v>52</v>
      </c>
      <c r="H53" s="336" t="s">
        <v>225</v>
      </c>
      <c r="I53" s="122"/>
    </row>
    <row r="54" spans="4:9" customFormat="1" ht="16" customHeight="1" x14ac:dyDescent="0.2">
      <c r="D54" s="184" t="s">
        <v>124</v>
      </c>
      <c r="E54" s="122">
        <v>53</v>
      </c>
      <c r="F54" s="130">
        <v>4.0999999999999996</v>
      </c>
      <c r="G54" s="122">
        <v>53</v>
      </c>
      <c r="H54" s="336" t="s">
        <v>124</v>
      </c>
      <c r="I54" s="122"/>
    </row>
    <row r="55" spans="4:9" customFormat="1" ht="16" customHeight="1" x14ac:dyDescent="0.2">
      <c r="D55" s="184" t="s">
        <v>125</v>
      </c>
      <c r="E55" s="122">
        <v>54</v>
      </c>
      <c r="F55" s="131">
        <v>4.3</v>
      </c>
      <c r="G55" s="122">
        <v>54</v>
      </c>
      <c r="H55" s="336" t="s">
        <v>125</v>
      </c>
      <c r="I55" s="122"/>
    </row>
    <row r="56" spans="4:9" customFormat="1" ht="16" customHeight="1" x14ac:dyDescent="0.2">
      <c r="D56" s="189" t="s">
        <v>226</v>
      </c>
      <c r="E56" s="122">
        <v>55</v>
      </c>
      <c r="F56" s="335">
        <v>5</v>
      </c>
      <c r="G56" s="122">
        <v>55</v>
      </c>
      <c r="H56" s="337" t="s">
        <v>226</v>
      </c>
      <c r="I56" s="122"/>
    </row>
    <row r="57" spans="4:9" customFormat="1" ht="16" customHeight="1" x14ac:dyDescent="0.2">
      <c r="D57" s="189" t="s">
        <v>227</v>
      </c>
      <c r="E57" s="122">
        <v>56</v>
      </c>
      <c r="F57" s="335">
        <v>5</v>
      </c>
      <c r="G57" s="122">
        <v>56</v>
      </c>
      <c r="H57" s="337" t="s">
        <v>227</v>
      </c>
      <c r="I57" s="122"/>
    </row>
    <row r="58" spans="4:9" customFormat="1" x14ac:dyDescent="0.2">
      <c r="D58" s="189" t="s">
        <v>228</v>
      </c>
      <c r="E58" s="122">
        <v>57</v>
      </c>
      <c r="F58" s="335">
        <v>5</v>
      </c>
      <c r="G58" s="122">
        <v>57</v>
      </c>
      <c r="H58" s="337" t="s">
        <v>228</v>
      </c>
      <c r="I58" s="122"/>
    </row>
    <row r="59" spans="4:9" customFormat="1" x14ac:dyDescent="0.2">
      <c r="D59" s="189" t="s">
        <v>229</v>
      </c>
      <c r="E59" s="122">
        <v>58</v>
      </c>
      <c r="F59" s="335">
        <v>5</v>
      </c>
      <c r="G59" s="122">
        <v>58</v>
      </c>
      <c r="H59" s="337" t="s">
        <v>229</v>
      </c>
      <c r="I59" s="122"/>
    </row>
    <row r="60" spans="4:9" customFormat="1" x14ac:dyDescent="0.2">
      <c r="D60" s="189" t="s">
        <v>230</v>
      </c>
      <c r="E60" s="122">
        <v>59</v>
      </c>
      <c r="F60" s="335">
        <v>5</v>
      </c>
      <c r="G60" s="122">
        <v>59</v>
      </c>
      <c r="H60" s="337" t="s">
        <v>230</v>
      </c>
      <c r="I60" s="122"/>
    </row>
    <row r="61" spans="4:9" customFormat="1" x14ac:dyDescent="0.2">
      <c r="D61" s="189" t="s">
        <v>231</v>
      </c>
      <c r="E61" s="122">
        <v>60</v>
      </c>
      <c r="F61" s="335">
        <v>5</v>
      </c>
      <c r="G61" s="122">
        <v>60</v>
      </c>
      <c r="H61" s="337" t="s">
        <v>231</v>
      </c>
      <c r="I61" s="122"/>
    </row>
    <row r="62" spans="4:9" customFormat="1" x14ac:dyDescent="0.2">
      <c r="D62" s="189" t="s">
        <v>232</v>
      </c>
      <c r="E62" s="122">
        <v>61</v>
      </c>
      <c r="F62" s="335">
        <v>5</v>
      </c>
      <c r="G62" s="122">
        <v>61</v>
      </c>
      <c r="H62" s="337" t="s">
        <v>232</v>
      </c>
      <c r="I62" s="122"/>
    </row>
    <row r="63" spans="4:9" customFormat="1" x14ac:dyDescent="0.2">
      <c r="D63" s="189" t="s">
        <v>233</v>
      </c>
      <c r="E63" s="122">
        <v>62</v>
      </c>
      <c r="F63" s="335">
        <v>5</v>
      </c>
      <c r="G63" s="122">
        <v>62</v>
      </c>
      <c r="H63" s="337" t="s">
        <v>233</v>
      </c>
      <c r="I63" s="122"/>
    </row>
    <row r="64" spans="4:9" customFormat="1" x14ac:dyDescent="0.2">
      <c r="D64" s="189" t="s">
        <v>234</v>
      </c>
      <c r="E64" s="122">
        <v>63</v>
      </c>
      <c r="F64" s="335">
        <v>5</v>
      </c>
      <c r="G64" s="122">
        <v>63</v>
      </c>
      <c r="H64" s="337" t="s">
        <v>234</v>
      </c>
      <c r="I64" s="122"/>
    </row>
    <row r="65" spans="4:9" customFormat="1" x14ac:dyDescent="0.2">
      <c r="D65" s="189" t="s">
        <v>235</v>
      </c>
      <c r="E65" s="122">
        <v>64</v>
      </c>
      <c r="F65" s="335">
        <v>5</v>
      </c>
      <c r="G65" s="122">
        <v>64</v>
      </c>
      <c r="H65" s="337" t="s">
        <v>235</v>
      </c>
      <c r="I65" s="122"/>
    </row>
    <row r="66" spans="4:9" customFormat="1" x14ac:dyDescent="0.2">
      <c r="D66" s="189" t="s">
        <v>236</v>
      </c>
      <c r="E66" s="122">
        <v>65</v>
      </c>
      <c r="F66" s="335">
        <v>5</v>
      </c>
      <c r="G66" s="122">
        <v>65</v>
      </c>
      <c r="H66" s="337" t="s">
        <v>236</v>
      </c>
      <c r="I66" s="122"/>
    </row>
    <row r="67" spans="4:9" customFormat="1" x14ac:dyDescent="0.2">
      <c r="D67" s="189" t="s">
        <v>237</v>
      </c>
      <c r="E67" s="122">
        <v>66</v>
      </c>
      <c r="F67" s="335">
        <v>5</v>
      </c>
      <c r="G67" s="122">
        <v>66</v>
      </c>
      <c r="H67" s="337" t="s">
        <v>237</v>
      </c>
      <c r="I67" s="122"/>
    </row>
    <row r="68" spans="4:9" customFormat="1" x14ac:dyDescent="0.2">
      <c r="D68" s="189" t="s">
        <v>238</v>
      </c>
      <c r="E68" s="122">
        <v>67</v>
      </c>
      <c r="F68" s="335">
        <v>5</v>
      </c>
      <c r="G68" s="122">
        <v>67</v>
      </c>
      <c r="H68" s="337" t="s">
        <v>238</v>
      </c>
      <c r="I68" s="122"/>
    </row>
    <row r="69" spans="4:9" customFormat="1" x14ac:dyDescent="0.2">
      <c r="D69" s="189" t="s">
        <v>239</v>
      </c>
      <c r="E69" s="122">
        <v>68</v>
      </c>
      <c r="F69" s="335">
        <v>5</v>
      </c>
      <c r="G69" s="122">
        <v>68</v>
      </c>
      <c r="H69" s="337" t="s">
        <v>239</v>
      </c>
      <c r="I69" s="122"/>
    </row>
    <row r="70" spans="4:9" customFormat="1" x14ac:dyDescent="0.2">
      <c r="D70" s="189" t="s">
        <v>240</v>
      </c>
      <c r="E70" s="122">
        <v>69</v>
      </c>
      <c r="F70" s="335">
        <v>5</v>
      </c>
      <c r="G70" s="122">
        <v>69</v>
      </c>
      <c r="H70" s="337" t="s">
        <v>240</v>
      </c>
      <c r="I70" s="122"/>
    </row>
    <row r="71" spans="4:9" customFormat="1" x14ac:dyDescent="0.2">
      <c r="D71" s="189" t="s">
        <v>241</v>
      </c>
      <c r="E71" s="122">
        <v>70</v>
      </c>
      <c r="F71" s="335">
        <v>5</v>
      </c>
      <c r="G71" s="122">
        <v>70</v>
      </c>
      <c r="H71" s="337" t="s">
        <v>241</v>
      </c>
      <c r="I71" s="122"/>
    </row>
    <row r="72" spans="4:9" customFormat="1" x14ac:dyDescent="0.2">
      <c r="D72" s="189" t="s">
        <v>242</v>
      </c>
      <c r="E72" s="122">
        <v>71</v>
      </c>
      <c r="F72" s="335">
        <v>5</v>
      </c>
      <c r="G72" s="122">
        <v>71</v>
      </c>
      <c r="H72" s="337" t="s">
        <v>242</v>
      </c>
      <c r="I72" s="122"/>
    </row>
    <row r="73" spans="4:9" customFormat="1" x14ac:dyDescent="0.2">
      <c r="D73" s="189" t="s">
        <v>244</v>
      </c>
      <c r="E73" s="122">
        <v>72</v>
      </c>
      <c r="F73" s="335">
        <v>5</v>
      </c>
      <c r="G73" s="122">
        <v>72</v>
      </c>
      <c r="H73" s="337" t="s">
        <v>244</v>
      </c>
      <c r="I73" s="122"/>
    </row>
    <row r="74" spans="4:9" customFormat="1" x14ac:dyDescent="0.2">
      <c r="D74" s="189" t="s">
        <v>245</v>
      </c>
      <c r="E74" s="122">
        <v>73</v>
      </c>
      <c r="F74" s="335">
        <v>5</v>
      </c>
      <c r="G74" s="122">
        <v>73</v>
      </c>
      <c r="H74" s="337" t="s">
        <v>245</v>
      </c>
      <c r="I74" s="122"/>
    </row>
    <row r="75" spans="4:9" customFormat="1" x14ac:dyDescent="0.2">
      <c r="D75" s="189" t="s">
        <v>246</v>
      </c>
      <c r="E75" s="122">
        <v>74</v>
      </c>
      <c r="F75" s="335">
        <v>5</v>
      </c>
      <c r="G75" s="122">
        <v>74</v>
      </c>
      <c r="H75" s="337" t="s">
        <v>246</v>
      </c>
      <c r="I75" s="122"/>
    </row>
    <row r="76" spans="4:9" customFormat="1" x14ac:dyDescent="0.2">
      <c r="D76" s="189" t="s">
        <v>247</v>
      </c>
      <c r="E76" s="122">
        <v>75</v>
      </c>
      <c r="F76" s="335">
        <v>5</v>
      </c>
      <c r="G76" s="122">
        <v>75</v>
      </c>
      <c r="H76" s="337" t="s">
        <v>247</v>
      </c>
      <c r="I76" s="122"/>
    </row>
    <row r="77" spans="4:9" customFormat="1" x14ac:dyDescent="0.2">
      <c r="D77" s="189" t="s">
        <v>248</v>
      </c>
      <c r="E77" s="122">
        <v>76</v>
      </c>
      <c r="F77" s="335">
        <v>5</v>
      </c>
      <c r="G77" s="122">
        <v>76</v>
      </c>
      <c r="H77" s="337" t="s">
        <v>248</v>
      </c>
      <c r="I77" s="122"/>
    </row>
    <row r="78" spans="4:9" customFormat="1" x14ac:dyDescent="0.2">
      <c r="D78" s="189" t="s">
        <v>249</v>
      </c>
      <c r="E78" s="122">
        <v>77</v>
      </c>
      <c r="F78" s="335">
        <v>5</v>
      </c>
      <c r="G78" s="122">
        <v>77</v>
      </c>
      <c r="H78" s="337" t="s">
        <v>249</v>
      </c>
      <c r="I78" s="122"/>
    </row>
    <row r="79" spans="4:9" customFormat="1" x14ac:dyDescent="0.2">
      <c r="D79" s="189" t="s">
        <v>250</v>
      </c>
      <c r="E79" s="122">
        <v>78</v>
      </c>
      <c r="F79" s="335">
        <v>5</v>
      </c>
      <c r="G79" s="122">
        <v>78</v>
      </c>
      <c r="H79" s="337" t="s">
        <v>250</v>
      </c>
      <c r="I79" s="122"/>
    </row>
    <row r="80" spans="4:9" customFormat="1" x14ac:dyDescent="0.2">
      <c r="D80" s="189" t="s">
        <v>251</v>
      </c>
      <c r="E80" s="122">
        <v>79</v>
      </c>
      <c r="F80" s="335">
        <v>5</v>
      </c>
      <c r="G80" s="122">
        <v>79</v>
      </c>
      <c r="H80" s="337" t="s">
        <v>251</v>
      </c>
      <c r="I80" s="122"/>
    </row>
    <row r="81" spans="4:9" customFormat="1" x14ac:dyDescent="0.2">
      <c r="D81" s="189" t="s">
        <v>252</v>
      </c>
      <c r="E81" s="122">
        <v>80</v>
      </c>
      <c r="F81" s="335">
        <v>5</v>
      </c>
      <c r="G81" s="122">
        <v>80</v>
      </c>
      <c r="H81" s="337" t="s">
        <v>252</v>
      </c>
      <c r="I81" s="122"/>
    </row>
    <row r="82" spans="4:9" customFormat="1" x14ac:dyDescent="0.2">
      <c r="D82" s="189" t="s">
        <v>253</v>
      </c>
      <c r="E82" s="122">
        <v>81</v>
      </c>
      <c r="F82" s="335">
        <v>5</v>
      </c>
      <c r="G82" s="122">
        <v>81</v>
      </c>
      <c r="H82" s="337" t="s">
        <v>253</v>
      </c>
      <c r="I82" s="122"/>
    </row>
    <row r="83" spans="4:9" customFormat="1" x14ac:dyDescent="0.2">
      <c r="D83" s="189" t="s">
        <v>254</v>
      </c>
      <c r="E83" s="122">
        <v>82</v>
      </c>
      <c r="F83" s="335">
        <v>5</v>
      </c>
      <c r="G83" s="122">
        <v>82</v>
      </c>
      <c r="H83" s="337" t="s">
        <v>254</v>
      </c>
      <c r="I83" s="122"/>
    </row>
    <row r="84" spans="4:9" customFormat="1" x14ac:dyDescent="0.2">
      <c r="D84" s="189" t="s">
        <v>255</v>
      </c>
      <c r="E84" s="122">
        <v>83</v>
      </c>
      <c r="F84" s="335">
        <v>5</v>
      </c>
      <c r="G84" s="122">
        <v>83</v>
      </c>
      <c r="H84" s="337" t="s">
        <v>255</v>
      </c>
      <c r="I84" s="122"/>
    </row>
    <row r="85" spans="4:9" customFormat="1" x14ac:dyDescent="0.2">
      <c r="D85" s="189" t="s">
        <v>256</v>
      </c>
      <c r="E85" s="122">
        <v>84</v>
      </c>
      <c r="F85" s="335">
        <v>5</v>
      </c>
      <c r="G85" s="122">
        <v>84</v>
      </c>
      <c r="H85" s="337" t="s">
        <v>256</v>
      </c>
      <c r="I85" s="122"/>
    </row>
    <row r="86" spans="4:9" customFormat="1" x14ac:dyDescent="0.2">
      <c r="D86" s="189" t="s">
        <v>243</v>
      </c>
      <c r="E86" s="122">
        <v>85</v>
      </c>
      <c r="F86" s="335">
        <v>5</v>
      </c>
      <c r="G86" s="122">
        <v>85</v>
      </c>
      <c r="H86" s="337" t="s">
        <v>243</v>
      </c>
      <c r="I86" s="122"/>
    </row>
    <row r="87" spans="4:9" customFormat="1" x14ac:dyDescent="0.2">
      <c r="D87" s="120" t="s">
        <v>140</v>
      </c>
      <c r="E87" s="122">
        <v>86</v>
      </c>
      <c r="F87" s="132">
        <v>6.1</v>
      </c>
      <c r="G87" s="122">
        <v>86</v>
      </c>
      <c r="H87" s="124" t="s">
        <v>140</v>
      </c>
      <c r="I87" s="122"/>
    </row>
    <row r="88" spans="4:9" customFormat="1" x14ac:dyDescent="0.2">
      <c r="D88" s="120" t="s">
        <v>46</v>
      </c>
      <c r="E88" s="122">
        <v>87</v>
      </c>
      <c r="F88" s="132">
        <v>6.2</v>
      </c>
      <c r="G88" s="122">
        <v>87</v>
      </c>
      <c r="H88" s="124" t="s">
        <v>46</v>
      </c>
      <c r="I88" s="122"/>
    </row>
    <row r="89" spans="4:9" customFormat="1" x14ac:dyDescent="0.2">
      <c r="D89" s="122"/>
      <c r="E89" s="122"/>
      <c r="F89" s="122"/>
      <c r="G89" s="122"/>
      <c r="H89" s="122"/>
      <c r="I89" s="122"/>
    </row>
    <row r="90" spans="4:9" customFormat="1" x14ac:dyDescent="0.2">
      <c r="D90" s="122"/>
      <c r="E90" s="122"/>
      <c r="F90" s="122"/>
      <c r="G90" s="122"/>
      <c r="H90" s="122"/>
      <c r="I90" s="122"/>
    </row>
    <row r="91" spans="4:9" customFormat="1" x14ac:dyDescent="0.2">
      <c r="D91" s="122"/>
      <c r="E91" s="122"/>
      <c r="F91" s="122"/>
      <c r="G91" s="122"/>
      <c r="H91" s="122"/>
      <c r="I91" s="122"/>
    </row>
    <row r="92" spans="4:9" customFormat="1" x14ac:dyDescent="0.2">
      <c r="D92" s="122"/>
      <c r="E92" s="122"/>
      <c r="F92" s="122"/>
      <c r="G92" s="122"/>
      <c r="H92" s="122"/>
      <c r="I92" s="122"/>
    </row>
    <row r="93" spans="4:9" customFormat="1" x14ac:dyDescent="0.2">
      <c r="D93" s="122"/>
      <c r="E93" s="122"/>
      <c r="F93" s="122"/>
      <c r="G93" s="122"/>
      <c r="H93" s="122"/>
      <c r="I93" s="122"/>
    </row>
    <row r="94" spans="4:9" customFormat="1" x14ac:dyDescent="0.2">
      <c r="D94" s="122"/>
      <c r="E94" s="122"/>
      <c r="F94" s="122"/>
      <c r="G94" s="122"/>
      <c r="H94" s="122"/>
      <c r="I94" s="122"/>
    </row>
    <row r="95" spans="4:9" customFormat="1" x14ac:dyDescent="0.2">
      <c r="D95" s="122"/>
      <c r="E95" s="122"/>
      <c r="F95" s="122"/>
      <c r="G95" s="122"/>
      <c r="H95" s="122"/>
      <c r="I95" s="122"/>
    </row>
    <row r="96" spans="4:9" customFormat="1" x14ac:dyDescent="0.2">
      <c r="D96" s="122"/>
      <c r="E96" s="122"/>
      <c r="F96" s="122"/>
      <c r="G96" s="122"/>
      <c r="H96" s="122"/>
      <c r="I96" s="122"/>
    </row>
    <row r="97" spans="4:9" customFormat="1" x14ac:dyDescent="0.2">
      <c r="D97" s="122"/>
      <c r="E97" s="122"/>
      <c r="F97" s="122"/>
      <c r="G97" s="122"/>
      <c r="H97" s="122"/>
      <c r="I97" s="122"/>
    </row>
    <row r="98" spans="4:9" customFormat="1" x14ac:dyDescent="0.2">
      <c r="D98" s="122"/>
      <c r="E98" s="122"/>
      <c r="F98" s="122"/>
      <c r="G98" s="122"/>
      <c r="H98" s="122"/>
      <c r="I98" s="122"/>
    </row>
    <row r="99" spans="4:9" customFormat="1" x14ac:dyDescent="0.2">
      <c r="D99" s="122"/>
      <c r="E99" s="122"/>
      <c r="F99" s="122"/>
      <c r="G99" s="122"/>
      <c r="H99" s="122"/>
      <c r="I99" s="122"/>
    </row>
    <row r="100" spans="4:9" customFormat="1" x14ac:dyDescent="0.2">
      <c r="D100" s="122"/>
      <c r="E100" s="122"/>
      <c r="F100" s="122"/>
      <c r="G100" s="122"/>
      <c r="H100" s="122"/>
      <c r="I100" s="122"/>
    </row>
    <row r="101" spans="4:9" customFormat="1" x14ac:dyDescent="0.2">
      <c r="D101" s="122"/>
      <c r="E101" s="122"/>
      <c r="F101" s="122"/>
      <c r="G101" s="122"/>
      <c r="H101" s="122"/>
      <c r="I101" s="122"/>
    </row>
    <row r="102" spans="4:9" customFormat="1" x14ac:dyDescent="0.2">
      <c r="D102" s="122"/>
      <c r="E102" s="122"/>
      <c r="F102" s="122"/>
      <c r="G102" s="122"/>
      <c r="H102" s="122"/>
      <c r="I102" s="122"/>
    </row>
    <row r="103" spans="4:9" customFormat="1" x14ac:dyDescent="0.2">
      <c r="D103" s="122"/>
      <c r="E103" s="122"/>
      <c r="F103" s="122"/>
      <c r="G103" s="122"/>
      <c r="H103" s="122"/>
      <c r="I103" s="122"/>
    </row>
    <row r="104" spans="4:9" customFormat="1" x14ac:dyDescent="0.2">
      <c r="D104" s="122"/>
      <c r="E104" s="122"/>
      <c r="F104" s="122"/>
      <c r="G104" s="122"/>
      <c r="H104" s="122"/>
      <c r="I104" s="122"/>
    </row>
    <row r="105" spans="4:9" customFormat="1" x14ac:dyDescent="0.2">
      <c r="D105" s="122"/>
      <c r="E105" s="122"/>
      <c r="F105" s="122"/>
      <c r="G105" s="122"/>
      <c r="H105" s="122"/>
      <c r="I105" s="122"/>
    </row>
    <row r="106" spans="4:9" customFormat="1" x14ac:dyDescent="0.2">
      <c r="D106" s="122"/>
      <c r="E106" s="122"/>
      <c r="F106" s="122"/>
      <c r="G106" s="122"/>
      <c r="H106" s="122"/>
      <c r="I106" s="122"/>
    </row>
    <row r="107" spans="4:9" customFormat="1" x14ac:dyDescent="0.2">
      <c r="D107" s="122"/>
      <c r="E107" s="122"/>
      <c r="F107" s="122"/>
      <c r="G107" s="122"/>
      <c r="H107" s="122"/>
      <c r="I107" s="122"/>
    </row>
    <row r="108" spans="4:9" customFormat="1" x14ac:dyDescent="0.2">
      <c r="D108" s="122"/>
      <c r="E108" s="122"/>
      <c r="F108" s="122"/>
      <c r="G108" s="122"/>
      <c r="H108" s="122"/>
      <c r="I108" s="122"/>
    </row>
    <row r="109" spans="4:9" customFormat="1" x14ac:dyDescent="0.2">
      <c r="D109" s="122"/>
      <c r="E109" s="122"/>
      <c r="F109" s="122"/>
      <c r="G109" s="122"/>
      <c r="H109" s="122"/>
      <c r="I109" s="122"/>
    </row>
    <row r="110" spans="4:9" customFormat="1" x14ac:dyDescent="0.2">
      <c r="D110" s="122"/>
      <c r="E110" s="122"/>
      <c r="F110" s="122"/>
      <c r="G110" s="122"/>
      <c r="H110" s="122"/>
      <c r="I110" s="122"/>
    </row>
    <row r="111" spans="4:9" customFormat="1" x14ac:dyDescent="0.2">
      <c r="D111" s="122"/>
      <c r="E111" s="122"/>
      <c r="F111" s="122"/>
      <c r="G111" s="122"/>
      <c r="H111" s="122"/>
      <c r="I111" s="122"/>
    </row>
    <row r="112" spans="4:9" customFormat="1" x14ac:dyDescent="0.2">
      <c r="D112" s="122"/>
      <c r="E112" s="122"/>
      <c r="F112" s="122"/>
      <c r="G112" s="122"/>
      <c r="H112" s="122"/>
      <c r="I112" s="122"/>
    </row>
    <row r="113" spans="4:9" customFormat="1" x14ac:dyDescent="0.2">
      <c r="D113" s="122"/>
      <c r="E113" s="122"/>
      <c r="F113" s="122"/>
      <c r="G113" s="122"/>
      <c r="H113" s="122"/>
      <c r="I113" s="122"/>
    </row>
    <row r="114" spans="4:9" customFormat="1" x14ac:dyDescent="0.2">
      <c r="D114" s="122"/>
      <c r="E114" s="122"/>
      <c r="F114" s="122"/>
      <c r="G114" s="122"/>
      <c r="H114" s="122"/>
      <c r="I114" s="122"/>
    </row>
    <row r="115" spans="4:9" customFormat="1" x14ac:dyDescent="0.2">
      <c r="D115" s="122"/>
      <c r="E115" s="122"/>
      <c r="F115" s="122"/>
      <c r="G115" s="122"/>
      <c r="H115" s="122"/>
      <c r="I115" s="122"/>
    </row>
    <row r="116" spans="4:9" customFormat="1" x14ac:dyDescent="0.2">
      <c r="D116" s="122"/>
      <c r="E116" s="122"/>
      <c r="F116" s="122"/>
      <c r="G116" s="122"/>
      <c r="H116" s="122"/>
      <c r="I116" s="122"/>
    </row>
    <row r="117" spans="4:9" customFormat="1" x14ac:dyDescent="0.2">
      <c r="D117" s="122"/>
      <c r="E117" s="122"/>
      <c r="F117" s="122"/>
      <c r="G117" s="122"/>
      <c r="H117" s="122"/>
      <c r="I117" s="122"/>
    </row>
    <row r="118" spans="4:9" customFormat="1" x14ac:dyDescent="0.2">
      <c r="D118" s="122"/>
      <c r="E118" s="122"/>
      <c r="F118" s="122"/>
      <c r="G118" s="122"/>
      <c r="H118" s="122"/>
      <c r="I118" s="122"/>
    </row>
    <row r="119" spans="4:9" customFormat="1" x14ac:dyDescent="0.2">
      <c r="D119" s="122"/>
      <c r="E119" s="122"/>
      <c r="F119" s="122"/>
      <c r="G119" s="122"/>
      <c r="H119" s="122"/>
      <c r="I119" s="122"/>
    </row>
    <row r="120" spans="4:9" customFormat="1" x14ac:dyDescent="0.2">
      <c r="D120" s="122"/>
      <c r="E120" s="122"/>
      <c r="F120" s="122"/>
      <c r="G120" s="122"/>
      <c r="H120" s="122"/>
      <c r="I120" s="122"/>
    </row>
    <row r="121" spans="4:9" customFormat="1" x14ac:dyDescent="0.2">
      <c r="D121" s="122"/>
      <c r="E121" s="122"/>
      <c r="F121" s="122"/>
      <c r="G121" s="122"/>
      <c r="H121" s="122"/>
      <c r="I121" s="122"/>
    </row>
    <row r="122" spans="4:9" customFormat="1" x14ac:dyDescent="0.2">
      <c r="D122" s="122"/>
      <c r="E122" s="122"/>
      <c r="F122" s="122"/>
      <c r="G122" s="122"/>
      <c r="H122" s="122"/>
      <c r="I122" s="122"/>
    </row>
    <row r="123" spans="4:9" customFormat="1" x14ac:dyDescent="0.2">
      <c r="D123" s="122"/>
      <c r="E123" s="122"/>
      <c r="F123" s="122"/>
      <c r="G123" s="122"/>
      <c r="H123" s="122"/>
      <c r="I123" s="122"/>
    </row>
    <row r="124" spans="4:9" customFormat="1" x14ac:dyDescent="0.2">
      <c r="D124" s="122"/>
      <c r="E124" s="122"/>
      <c r="F124" s="122"/>
      <c r="G124" s="122"/>
      <c r="H124" s="122"/>
      <c r="I124" s="122"/>
    </row>
    <row r="125" spans="4:9" customFormat="1" x14ac:dyDescent="0.2">
      <c r="D125" s="122"/>
      <c r="E125" s="122"/>
      <c r="F125" s="122"/>
      <c r="G125" s="122"/>
      <c r="H125" s="122"/>
      <c r="I125" s="122"/>
    </row>
    <row r="126" spans="4:9" customFormat="1" x14ac:dyDescent="0.2">
      <c r="D126" s="122"/>
      <c r="E126" s="122"/>
      <c r="F126" s="122"/>
      <c r="G126" s="122"/>
      <c r="H126" s="122"/>
      <c r="I126" s="122"/>
    </row>
    <row r="127" spans="4:9" customFormat="1" x14ac:dyDescent="0.2">
      <c r="D127" s="122"/>
      <c r="E127" s="122"/>
      <c r="F127" s="122"/>
      <c r="G127" s="122"/>
      <c r="H127" s="122"/>
      <c r="I127" s="122"/>
    </row>
    <row r="128" spans="4:9" customFormat="1" x14ac:dyDescent="0.2">
      <c r="D128" s="122"/>
      <c r="E128" s="122"/>
      <c r="F128" s="122"/>
      <c r="G128" s="122"/>
      <c r="H128" s="122"/>
      <c r="I128" s="122"/>
    </row>
    <row r="129" spans="4:9" customFormat="1" x14ac:dyDescent="0.2">
      <c r="D129" s="122"/>
      <c r="E129" s="122"/>
      <c r="F129" s="122"/>
      <c r="G129" s="122"/>
      <c r="H129" s="122"/>
      <c r="I129" s="122"/>
    </row>
    <row r="130" spans="4:9" customFormat="1" x14ac:dyDescent="0.2">
      <c r="D130" s="122"/>
      <c r="E130" s="122"/>
      <c r="F130" s="122"/>
      <c r="G130" s="122"/>
      <c r="H130" s="122"/>
      <c r="I130" s="122"/>
    </row>
    <row r="131" spans="4:9" customFormat="1" x14ac:dyDescent="0.2">
      <c r="D131" s="122"/>
      <c r="E131" s="122"/>
      <c r="F131" s="122"/>
      <c r="G131" s="122"/>
      <c r="H131" s="122"/>
      <c r="I131" s="122"/>
    </row>
    <row r="132" spans="4:9" customFormat="1" x14ac:dyDescent="0.2">
      <c r="D132" s="122"/>
      <c r="E132" s="122"/>
      <c r="F132" s="122"/>
      <c r="G132" s="122"/>
      <c r="H132" s="122"/>
      <c r="I132" s="122"/>
    </row>
    <row r="133" spans="4:9" customFormat="1" x14ac:dyDescent="0.2">
      <c r="D133" s="122"/>
      <c r="E133" s="122"/>
      <c r="F133" s="122"/>
      <c r="G133" s="122"/>
      <c r="H133" s="122"/>
      <c r="I133" s="122"/>
    </row>
    <row r="134" spans="4:9" customFormat="1" x14ac:dyDescent="0.2">
      <c r="D134" s="122"/>
      <c r="E134" s="122"/>
      <c r="F134" s="122"/>
      <c r="G134" s="122"/>
      <c r="H134" s="122"/>
      <c r="I134" s="122"/>
    </row>
    <row r="135" spans="4:9" customFormat="1" x14ac:dyDescent="0.2">
      <c r="D135" s="122"/>
      <c r="E135" s="122"/>
      <c r="F135" s="122"/>
      <c r="G135" s="122"/>
      <c r="H135" s="122"/>
      <c r="I135" s="122"/>
    </row>
    <row r="136" spans="4:9" customFormat="1" x14ac:dyDescent="0.2">
      <c r="D136" s="122"/>
      <c r="E136" s="122"/>
      <c r="F136" s="122"/>
      <c r="G136" s="122"/>
      <c r="H136" s="122"/>
      <c r="I136" s="122"/>
    </row>
    <row r="137" spans="4:9" customFormat="1" x14ac:dyDescent="0.2">
      <c r="D137" s="122"/>
      <c r="E137" s="122"/>
      <c r="F137" s="122"/>
      <c r="G137" s="122"/>
      <c r="H137" s="122"/>
      <c r="I137" s="122"/>
    </row>
    <row r="138" spans="4:9" customFormat="1" x14ac:dyDescent="0.2">
      <c r="D138" s="122"/>
      <c r="E138" s="122"/>
      <c r="F138" s="122"/>
      <c r="G138" s="122"/>
      <c r="H138" s="122"/>
      <c r="I138" s="122"/>
    </row>
    <row r="139" spans="4:9" customFormat="1" x14ac:dyDescent="0.2">
      <c r="D139" s="122"/>
      <c r="E139" s="122"/>
      <c r="F139" s="122"/>
      <c r="G139" s="122"/>
      <c r="H139" s="122"/>
      <c r="I139" s="122"/>
    </row>
    <row r="140" spans="4:9" customFormat="1" x14ac:dyDescent="0.2">
      <c r="D140" s="122"/>
      <c r="E140" s="122"/>
      <c r="F140" s="122"/>
      <c r="G140" s="122"/>
      <c r="H140" s="122"/>
      <c r="I140" s="122"/>
    </row>
    <row r="141" spans="4:9" customFormat="1" x14ac:dyDescent="0.2">
      <c r="D141" s="122"/>
      <c r="E141" s="122"/>
      <c r="F141" s="122"/>
      <c r="G141" s="122"/>
      <c r="H141" s="122"/>
      <c r="I141" s="122"/>
    </row>
    <row r="142" spans="4:9" customFormat="1" x14ac:dyDescent="0.2">
      <c r="D142" s="122"/>
      <c r="E142" s="122"/>
      <c r="F142" s="122"/>
      <c r="G142" s="122"/>
      <c r="H142" s="122"/>
      <c r="I142" s="122"/>
    </row>
    <row r="143" spans="4:9" customFormat="1" x14ac:dyDescent="0.2">
      <c r="D143" s="122"/>
      <c r="E143" s="122"/>
      <c r="F143" s="122"/>
      <c r="G143" s="122"/>
      <c r="H143" s="122"/>
      <c r="I143" s="122"/>
    </row>
    <row r="144" spans="4:9" customFormat="1" x14ac:dyDescent="0.2">
      <c r="D144" s="122"/>
      <c r="E144" s="122"/>
      <c r="F144" s="122"/>
      <c r="G144" s="122"/>
      <c r="H144" s="122"/>
      <c r="I144" s="122"/>
    </row>
    <row r="145" spans="4:9" customFormat="1" x14ac:dyDescent="0.2">
      <c r="D145" s="122"/>
      <c r="E145" s="122"/>
      <c r="F145" s="122"/>
      <c r="G145" s="122"/>
      <c r="H145" s="122"/>
      <c r="I145" s="122"/>
    </row>
    <row r="146" spans="4:9" customFormat="1" x14ac:dyDescent="0.2">
      <c r="D146" s="122"/>
      <c r="E146" s="122"/>
      <c r="F146" s="122"/>
      <c r="G146" s="122"/>
      <c r="H146" s="122"/>
      <c r="I146" s="122"/>
    </row>
    <row r="147" spans="4:9" customFormat="1" x14ac:dyDescent="0.2">
      <c r="D147" s="122"/>
      <c r="E147" s="122"/>
      <c r="F147" s="122"/>
      <c r="G147" s="122"/>
      <c r="H147" s="122"/>
      <c r="I147" s="122"/>
    </row>
    <row r="148" spans="4:9" customFormat="1" x14ac:dyDescent="0.2">
      <c r="D148" s="122"/>
      <c r="E148" s="122"/>
      <c r="F148" s="122"/>
      <c r="G148" s="122"/>
      <c r="H148" s="122"/>
      <c r="I148" s="122"/>
    </row>
    <row r="149" spans="4:9" customFormat="1" x14ac:dyDescent="0.2">
      <c r="D149" s="122"/>
      <c r="E149" s="122"/>
      <c r="F149" s="122"/>
      <c r="G149" s="122"/>
      <c r="H149" s="122"/>
      <c r="I149" s="122"/>
    </row>
    <row r="150" spans="4:9" customFormat="1" x14ac:dyDescent="0.2">
      <c r="D150" s="122"/>
      <c r="E150" s="122"/>
      <c r="F150" s="122"/>
      <c r="G150" s="122"/>
      <c r="H150" s="122"/>
      <c r="I150" s="122"/>
    </row>
    <row r="151" spans="4:9" customFormat="1" x14ac:dyDescent="0.2">
      <c r="D151" s="122"/>
      <c r="E151" s="122"/>
      <c r="F151" s="122"/>
      <c r="G151" s="122"/>
      <c r="H151" s="122"/>
      <c r="I151" s="122"/>
    </row>
    <row r="152" spans="4:9" customFormat="1" x14ac:dyDescent="0.2">
      <c r="D152" s="122"/>
      <c r="E152" s="122"/>
      <c r="F152" s="122"/>
      <c r="G152" s="122"/>
      <c r="H152" s="122"/>
      <c r="I152" s="122"/>
    </row>
    <row r="153" spans="4:9" customFormat="1" x14ac:dyDescent="0.2">
      <c r="D153" s="122"/>
      <c r="E153" s="122"/>
      <c r="F153" s="122"/>
      <c r="G153" s="122"/>
      <c r="H153" s="122"/>
      <c r="I153" s="122"/>
    </row>
    <row r="154" spans="4:9" customFormat="1" x14ac:dyDescent="0.2">
      <c r="D154" s="122"/>
      <c r="E154" s="122"/>
      <c r="F154" s="122"/>
      <c r="G154" s="122"/>
      <c r="H154" s="122"/>
      <c r="I154" s="122"/>
    </row>
    <row r="155" spans="4:9" customFormat="1" x14ac:dyDescent="0.2">
      <c r="D155" s="122"/>
      <c r="E155" s="122"/>
      <c r="F155" s="122"/>
      <c r="G155" s="122"/>
      <c r="H155" s="122"/>
      <c r="I155" s="122"/>
    </row>
    <row r="156" spans="4:9" customFormat="1" x14ac:dyDescent="0.2">
      <c r="D156" s="122"/>
      <c r="E156" s="122"/>
      <c r="F156" s="122"/>
      <c r="G156" s="122"/>
      <c r="H156" s="122"/>
      <c r="I156" s="122"/>
    </row>
    <row r="157" spans="4:9" customFormat="1" x14ac:dyDescent="0.2">
      <c r="D157" s="122"/>
      <c r="E157" s="122"/>
      <c r="F157" s="122"/>
      <c r="G157" s="122"/>
      <c r="H157" s="122"/>
      <c r="I157" s="122"/>
    </row>
    <row r="158" spans="4:9" customFormat="1" x14ac:dyDescent="0.2">
      <c r="D158" s="122"/>
      <c r="E158" s="122"/>
      <c r="F158" s="122"/>
      <c r="G158" s="122"/>
      <c r="H158" s="122"/>
      <c r="I158" s="122"/>
    </row>
    <row r="159" spans="4:9" customFormat="1" x14ac:dyDescent="0.2">
      <c r="D159" s="122"/>
      <c r="E159" s="122"/>
      <c r="F159" s="122"/>
      <c r="G159" s="122"/>
      <c r="H159" s="122"/>
      <c r="I159" s="122"/>
    </row>
    <row r="160" spans="4:9" customFormat="1" x14ac:dyDescent="0.2">
      <c r="D160" s="122"/>
      <c r="E160" s="122"/>
      <c r="F160" s="122"/>
      <c r="G160" s="122"/>
      <c r="H160" s="122"/>
      <c r="I160" s="122"/>
    </row>
    <row r="161" spans="4:9" customFormat="1" x14ac:dyDescent="0.2">
      <c r="D161" s="122"/>
      <c r="E161" s="122"/>
      <c r="F161" s="122"/>
      <c r="G161" s="122"/>
      <c r="H161" s="122"/>
      <c r="I161" s="122"/>
    </row>
    <row r="162" spans="4:9" customFormat="1" x14ac:dyDescent="0.2">
      <c r="D162" s="122"/>
      <c r="E162" s="122"/>
      <c r="F162" s="122"/>
      <c r="G162" s="122"/>
      <c r="H162" s="122"/>
      <c r="I162" s="122"/>
    </row>
    <row r="163" spans="4:9" customFormat="1" x14ac:dyDescent="0.2">
      <c r="D163" s="122"/>
      <c r="E163" s="122"/>
      <c r="F163" s="122"/>
      <c r="G163" s="122"/>
      <c r="H163" s="122"/>
      <c r="I163" s="122"/>
    </row>
    <row r="164" spans="4:9" customFormat="1" x14ac:dyDescent="0.2">
      <c r="D164" s="122"/>
      <c r="E164" s="122"/>
      <c r="F164" s="122"/>
      <c r="G164" s="122"/>
      <c r="H164" s="122"/>
      <c r="I164" s="122"/>
    </row>
    <row r="165" spans="4:9" customFormat="1" x14ac:dyDescent="0.2">
      <c r="D165" s="122"/>
      <c r="E165" s="122"/>
      <c r="F165" s="122"/>
      <c r="G165" s="122"/>
      <c r="H165" s="122"/>
      <c r="I165" s="122"/>
    </row>
    <row r="166" spans="4:9" customFormat="1" x14ac:dyDescent="0.2">
      <c r="D166" s="122"/>
      <c r="E166" s="122"/>
      <c r="F166" s="122"/>
      <c r="G166" s="122"/>
      <c r="H166" s="122"/>
      <c r="I166" s="122"/>
    </row>
    <row r="167" spans="4:9" customFormat="1" x14ac:dyDescent="0.2">
      <c r="D167" s="122"/>
      <c r="E167" s="122"/>
      <c r="F167" s="122"/>
      <c r="G167" s="122"/>
      <c r="H167" s="122"/>
      <c r="I167" s="122"/>
    </row>
    <row r="168" spans="4:9" customFormat="1" x14ac:dyDescent="0.2">
      <c r="D168" s="122"/>
      <c r="E168" s="122"/>
      <c r="F168" s="122"/>
      <c r="G168" s="122"/>
      <c r="H168" s="122"/>
      <c r="I168" s="122"/>
    </row>
    <row r="169" spans="4:9" customFormat="1" x14ac:dyDescent="0.2">
      <c r="D169" s="122"/>
      <c r="E169" s="122"/>
      <c r="F169" s="122"/>
      <c r="G169" s="122"/>
      <c r="H169" s="122"/>
      <c r="I169" s="122"/>
    </row>
    <row r="170" spans="4:9" customFormat="1" x14ac:dyDescent="0.2">
      <c r="D170" s="122"/>
      <c r="E170" s="122"/>
      <c r="F170" s="122"/>
      <c r="G170" s="122"/>
      <c r="H170" s="122"/>
      <c r="I170" s="122"/>
    </row>
    <row r="171" spans="4:9" customFormat="1" x14ac:dyDescent="0.2">
      <c r="D171" s="122"/>
      <c r="E171" s="122"/>
      <c r="F171" s="122"/>
      <c r="G171" s="122"/>
      <c r="H171" s="122"/>
      <c r="I171" s="122"/>
    </row>
    <row r="172" spans="4:9" customFormat="1" x14ac:dyDescent="0.2">
      <c r="D172" s="122"/>
      <c r="E172" s="122"/>
      <c r="F172" s="122"/>
      <c r="G172" s="122"/>
      <c r="H172" s="122"/>
      <c r="I172" s="122"/>
    </row>
    <row r="173" spans="4:9" customFormat="1" x14ac:dyDescent="0.2">
      <c r="D173" s="122"/>
      <c r="E173" s="122"/>
      <c r="F173" s="122"/>
      <c r="G173" s="122"/>
      <c r="H173" s="122"/>
      <c r="I173" s="122"/>
    </row>
    <row r="174" spans="4:9" customFormat="1" x14ac:dyDescent="0.2">
      <c r="D174" s="122"/>
      <c r="E174" s="122"/>
      <c r="F174" s="122"/>
      <c r="G174" s="122"/>
      <c r="H174" s="122"/>
      <c r="I174" s="122"/>
    </row>
    <row r="175" spans="4:9" customFormat="1" x14ac:dyDescent="0.2">
      <c r="D175" s="122"/>
      <c r="E175" s="122"/>
      <c r="F175" s="122"/>
      <c r="G175" s="122"/>
      <c r="H175" s="122"/>
      <c r="I175" s="122"/>
    </row>
    <row r="176" spans="4:9" customFormat="1" x14ac:dyDescent="0.2">
      <c r="D176" s="122"/>
      <c r="E176" s="122"/>
      <c r="F176" s="122"/>
      <c r="G176" s="122"/>
      <c r="H176" s="122"/>
      <c r="I176" s="122"/>
    </row>
    <row r="177" spans="4:9" customFormat="1" x14ac:dyDescent="0.2">
      <c r="D177" s="122"/>
      <c r="E177" s="122"/>
      <c r="F177" s="122"/>
      <c r="G177" s="122"/>
      <c r="H177" s="122"/>
      <c r="I177" s="122"/>
    </row>
    <row r="178" spans="4:9" customFormat="1" x14ac:dyDescent="0.2">
      <c r="D178" s="122"/>
      <c r="E178" s="122"/>
      <c r="F178" s="122"/>
      <c r="G178" s="122"/>
      <c r="H178" s="122"/>
      <c r="I178" s="122"/>
    </row>
    <row r="179" spans="4:9" customFormat="1" x14ac:dyDescent="0.2">
      <c r="D179" s="122"/>
      <c r="E179" s="122"/>
      <c r="F179" s="122"/>
      <c r="G179" s="122"/>
      <c r="H179" s="122"/>
      <c r="I179" s="122"/>
    </row>
    <row r="180" spans="4:9" customFormat="1" x14ac:dyDescent="0.2">
      <c r="D180" s="122"/>
      <c r="E180" s="122"/>
      <c r="F180" s="122"/>
      <c r="G180" s="122"/>
      <c r="H180" s="122"/>
      <c r="I180" s="122"/>
    </row>
    <row r="181" spans="4:9" customFormat="1" x14ac:dyDescent="0.2">
      <c r="D181" s="122"/>
      <c r="E181" s="122"/>
      <c r="F181" s="122"/>
      <c r="G181" s="122"/>
      <c r="H181" s="122"/>
      <c r="I181" s="122"/>
    </row>
    <row r="182" spans="4:9" customFormat="1" x14ac:dyDescent="0.2">
      <c r="D182" s="122"/>
      <c r="E182" s="122"/>
      <c r="F182" s="122"/>
      <c r="G182" s="122"/>
      <c r="H182" s="122"/>
      <c r="I182" s="122"/>
    </row>
    <row r="183" spans="4:9" customFormat="1" x14ac:dyDescent="0.2">
      <c r="D183" s="122"/>
      <c r="E183" s="122"/>
      <c r="F183" s="122"/>
      <c r="G183" s="122"/>
      <c r="H183" s="122"/>
      <c r="I183" s="122"/>
    </row>
    <row r="184" spans="4:9" customFormat="1" x14ac:dyDescent="0.2">
      <c r="D184" s="122"/>
      <c r="E184" s="122"/>
      <c r="F184" s="122"/>
      <c r="G184" s="122"/>
      <c r="H184" s="122"/>
      <c r="I184" s="122"/>
    </row>
    <row r="185" spans="4:9" customFormat="1" x14ac:dyDescent="0.2">
      <c r="D185" s="122"/>
      <c r="E185" s="122"/>
      <c r="F185" s="122"/>
      <c r="G185" s="122"/>
      <c r="H185" s="122"/>
      <c r="I185" s="122"/>
    </row>
    <row r="186" spans="4:9" customFormat="1" x14ac:dyDescent="0.2">
      <c r="D186" s="122"/>
      <c r="E186" s="122"/>
      <c r="F186" s="122"/>
      <c r="G186" s="122"/>
      <c r="H186" s="122"/>
      <c r="I186" s="122"/>
    </row>
    <row r="187" spans="4:9" customFormat="1" x14ac:dyDescent="0.2">
      <c r="D187" s="122"/>
      <c r="E187" s="122"/>
      <c r="F187" s="122"/>
      <c r="G187" s="122"/>
      <c r="H187" s="122"/>
      <c r="I187" s="122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T188"/>
  <sheetViews>
    <sheetView zoomScale="115" workbookViewId="0">
      <pane ySplit="2" topLeftCell="A72" activePane="bottomLeft" state="frozen"/>
      <selection pane="bottomLeft" activeCell="F94" sqref="F94"/>
    </sheetView>
  </sheetViews>
  <sheetFormatPr baseColWidth="10" defaultColWidth="11.5" defaultRowHeight="15" customHeight="1" x14ac:dyDescent="0.2"/>
  <cols>
    <col min="1" max="1" width="26.1640625" style="124" bestFit="1" customWidth="1"/>
    <col min="2" max="5" width="16.1640625" style="122" customWidth="1"/>
    <col min="6" max="6" width="45.6640625" style="122" bestFit="1" customWidth="1"/>
    <col min="7" max="9" width="11.5" style="122"/>
    <col min="10" max="10" width="12.1640625" style="122" bestFit="1" customWidth="1"/>
    <col min="11" max="11" width="11.5" style="379"/>
    <col min="12" max="12" width="11.5" style="380"/>
    <col min="13" max="13" width="11.5" style="379"/>
    <col min="14" max="14" width="11.5" style="380"/>
    <col min="15" max="15" width="11.5" style="379"/>
    <col min="16" max="16" width="11.5" style="381"/>
    <col min="17" max="17" width="14.83203125" style="122" customWidth="1"/>
    <col min="18" max="18" width="22.1640625" style="382" customWidth="1"/>
    <col min="19" max="16384" width="11.5" style="122"/>
  </cols>
  <sheetData>
    <row r="1" spans="1:20" ht="15" customHeight="1" thickBot="1" x14ac:dyDescent="0.25">
      <c r="F1" s="121"/>
      <c r="G1" s="338" t="s">
        <v>47</v>
      </c>
      <c r="H1" s="338" t="s">
        <v>48</v>
      </c>
      <c r="I1" s="338" t="s">
        <v>122</v>
      </c>
      <c r="J1" s="338" t="s">
        <v>134</v>
      </c>
      <c r="K1" s="339" t="s">
        <v>49</v>
      </c>
      <c r="L1" s="340"/>
      <c r="M1" s="339" t="s">
        <v>121</v>
      </c>
      <c r="N1" s="340"/>
      <c r="O1" s="339" t="s">
        <v>50</v>
      </c>
      <c r="P1" s="341"/>
      <c r="Q1" s="342" t="s">
        <v>51</v>
      </c>
      <c r="R1" s="338" t="s">
        <v>157</v>
      </c>
    </row>
    <row r="2" spans="1:20" ht="15" customHeight="1" x14ac:dyDescent="0.2">
      <c r="A2" s="342" t="s">
        <v>52</v>
      </c>
      <c r="B2" s="343">
        <v>0.5</v>
      </c>
      <c r="C2" s="124" t="s">
        <v>53</v>
      </c>
      <c r="D2" s="344"/>
      <c r="F2" s="121"/>
      <c r="G2" s="345"/>
      <c r="H2" s="345"/>
      <c r="I2" s="345" t="s">
        <v>135</v>
      </c>
      <c r="J2" s="345" t="s">
        <v>135</v>
      </c>
      <c r="K2" s="346" t="s">
        <v>53</v>
      </c>
      <c r="L2" s="347" t="s">
        <v>54</v>
      </c>
      <c r="M2" s="346" t="s">
        <v>53</v>
      </c>
      <c r="N2" s="347" t="s">
        <v>54</v>
      </c>
      <c r="O2" s="346" t="s">
        <v>53</v>
      </c>
      <c r="P2" s="348" t="s">
        <v>54</v>
      </c>
      <c r="Q2" s="345"/>
      <c r="R2" s="349" t="s">
        <v>158</v>
      </c>
    </row>
    <row r="3" spans="1:20" ht="15" customHeight="1" thickBot="1" x14ac:dyDescent="0.25">
      <c r="A3" s="342" t="s">
        <v>55</v>
      </c>
      <c r="B3" s="350">
        <v>0.5</v>
      </c>
      <c r="C3" s="124" t="s">
        <v>54</v>
      </c>
      <c r="D3" s="344"/>
      <c r="F3" s="120" t="s">
        <v>39</v>
      </c>
      <c r="G3" s="122">
        <v>0</v>
      </c>
      <c r="H3" s="122">
        <v>0</v>
      </c>
      <c r="I3" s="122">
        <v>0</v>
      </c>
      <c r="J3" s="122">
        <v>0</v>
      </c>
      <c r="K3" s="122">
        <v>0</v>
      </c>
      <c r="L3" s="122">
        <v>0</v>
      </c>
      <c r="M3" s="122">
        <v>0</v>
      </c>
      <c r="N3" s="122">
        <v>0</v>
      </c>
      <c r="O3" s="122">
        <v>0</v>
      </c>
      <c r="P3" s="122">
        <v>0</v>
      </c>
      <c r="Q3" s="122">
        <v>0</v>
      </c>
      <c r="R3" s="382">
        <v>0</v>
      </c>
    </row>
    <row r="4" spans="1:20" ht="15" customHeight="1" thickBot="1" x14ac:dyDescent="0.25">
      <c r="F4" s="120" t="s">
        <v>41</v>
      </c>
      <c r="G4" s="122">
        <v>0</v>
      </c>
      <c r="H4" s="122">
        <v>0</v>
      </c>
      <c r="I4" s="122">
        <v>0</v>
      </c>
      <c r="J4" s="122">
        <v>0</v>
      </c>
      <c r="K4" s="122">
        <v>0</v>
      </c>
      <c r="L4" s="122">
        <v>0</v>
      </c>
      <c r="M4" s="122">
        <v>0</v>
      </c>
      <c r="N4" s="122">
        <v>0</v>
      </c>
      <c r="O4" s="122">
        <v>0</v>
      </c>
      <c r="P4" s="122">
        <v>0</v>
      </c>
      <c r="Q4" s="122">
        <v>0</v>
      </c>
      <c r="R4" s="382">
        <v>0</v>
      </c>
    </row>
    <row r="5" spans="1:20" ht="15" customHeight="1" x14ac:dyDescent="0.2">
      <c r="A5" s="342" t="s">
        <v>56</v>
      </c>
      <c r="B5" s="351">
        <v>0.5</v>
      </c>
      <c r="C5" s="124" t="s">
        <v>53</v>
      </c>
      <c r="D5" s="344"/>
      <c r="F5" s="120" t="s">
        <v>42</v>
      </c>
      <c r="G5" s="122">
        <v>0</v>
      </c>
      <c r="H5" s="122">
        <v>0</v>
      </c>
      <c r="I5" s="122">
        <v>0</v>
      </c>
      <c r="J5" s="122">
        <v>0</v>
      </c>
      <c r="K5" s="122">
        <v>0</v>
      </c>
      <c r="L5" s="122">
        <v>0</v>
      </c>
      <c r="M5" s="122">
        <v>0</v>
      </c>
      <c r="N5" s="122">
        <v>0</v>
      </c>
      <c r="O5" s="122">
        <v>0</v>
      </c>
      <c r="P5" s="122">
        <v>0</v>
      </c>
      <c r="Q5" s="122">
        <v>0</v>
      </c>
      <c r="R5" s="382">
        <v>0</v>
      </c>
    </row>
    <row r="6" spans="1:20" ht="15" customHeight="1" thickBot="1" x14ac:dyDescent="0.25">
      <c r="A6" s="342"/>
      <c r="B6" s="352">
        <v>0.5</v>
      </c>
      <c r="C6" s="124" t="s">
        <v>54</v>
      </c>
      <c r="D6" s="344"/>
      <c r="F6" s="353" t="s">
        <v>181</v>
      </c>
      <c r="G6" s="122">
        <v>0</v>
      </c>
      <c r="H6" s="122">
        <v>0</v>
      </c>
      <c r="I6" s="122">
        <v>0</v>
      </c>
      <c r="J6" s="122">
        <v>0</v>
      </c>
      <c r="K6" s="122">
        <v>0</v>
      </c>
      <c r="L6" s="122">
        <v>0</v>
      </c>
      <c r="M6" s="122">
        <v>1</v>
      </c>
      <c r="N6" s="122">
        <v>0</v>
      </c>
      <c r="O6" s="122">
        <v>0</v>
      </c>
      <c r="P6" s="122">
        <v>0</v>
      </c>
      <c r="Q6" s="122">
        <v>0</v>
      </c>
      <c r="R6" s="382">
        <v>1</v>
      </c>
      <c r="T6" s="123" t="s">
        <v>165</v>
      </c>
    </row>
    <row r="7" spans="1:20" ht="15" customHeight="1" thickBot="1" x14ac:dyDescent="0.25">
      <c r="F7" s="353" t="s">
        <v>182</v>
      </c>
      <c r="G7" s="122">
        <v>0</v>
      </c>
      <c r="H7" s="122">
        <v>0</v>
      </c>
      <c r="I7" s="122">
        <v>0</v>
      </c>
      <c r="J7" s="122">
        <v>0</v>
      </c>
      <c r="K7" s="122">
        <v>0</v>
      </c>
      <c r="L7" s="122">
        <v>0</v>
      </c>
      <c r="M7" s="122">
        <v>1</v>
      </c>
      <c r="N7" s="122">
        <v>0</v>
      </c>
      <c r="O7" s="122">
        <v>0</v>
      </c>
      <c r="P7" s="122">
        <v>0</v>
      </c>
      <c r="Q7" s="122">
        <v>0</v>
      </c>
      <c r="R7" s="382">
        <v>1</v>
      </c>
      <c r="T7" s="123" t="s">
        <v>165</v>
      </c>
    </row>
    <row r="8" spans="1:20" ht="15" customHeight="1" x14ac:dyDescent="0.2">
      <c r="A8" s="342" t="s">
        <v>57</v>
      </c>
      <c r="B8" s="351">
        <f>E32</f>
        <v>0.52753468196108788</v>
      </c>
      <c r="C8" s="354" t="str">
        <f>A32</f>
        <v>Phytoplankton 1</v>
      </c>
      <c r="D8" s="344" t="s">
        <v>164</v>
      </c>
      <c r="F8" s="353" t="s">
        <v>176</v>
      </c>
      <c r="G8" s="122">
        <v>0</v>
      </c>
      <c r="H8" s="122">
        <v>0</v>
      </c>
      <c r="I8" s="122">
        <v>0</v>
      </c>
      <c r="J8" s="122">
        <v>0</v>
      </c>
      <c r="K8" s="355">
        <v>0</v>
      </c>
      <c r="L8" s="356">
        <v>0</v>
      </c>
      <c r="M8" s="357">
        <v>1</v>
      </c>
      <c r="N8" s="358">
        <v>0</v>
      </c>
      <c r="O8" s="355">
        <v>0</v>
      </c>
      <c r="P8" s="356">
        <v>0</v>
      </c>
      <c r="Q8" s="359">
        <v>0</v>
      </c>
      <c r="R8" s="360">
        <v>0</v>
      </c>
      <c r="T8" s="123" t="s">
        <v>165</v>
      </c>
    </row>
    <row r="9" spans="1:20" ht="15" customHeight="1" x14ac:dyDescent="0.2">
      <c r="A9" s="361" t="s">
        <v>173</v>
      </c>
      <c r="B9" s="362">
        <f>E33</f>
        <v>0.46543629528557601</v>
      </c>
      <c r="C9" s="354" t="str">
        <f>A33</f>
        <v>Phytoplankton 2</v>
      </c>
      <c r="D9" s="344" t="s">
        <v>164</v>
      </c>
      <c r="F9" s="353" t="s">
        <v>183</v>
      </c>
      <c r="G9" s="122">
        <v>0</v>
      </c>
      <c r="H9" s="122">
        <v>0</v>
      </c>
      <c r="I9" s="122">
        <v>0</v>
      </c>
      <c r="J9" s="122">
        <v>0</v>
      </c>
      <c r="K9" s="355">
        <v>0</v>
      </c>
      <c r="L9" s="356">
        <v>0</v>
      </c>
      <c r="M9" s="357">
        <v>1</v>
      </c>
      <c r="N9" s="358">
        <v>0</v>
      </c>
      <c r="O9" s="355">
        <v>0</v>
      </c>
      <c r="P9" s="356">
        <v>0</v>
      </c>
      <c r="Q9" s="359">
        <v>0</v>
      </c>
      <c r="R9" s="360">
        <v>0</v>
      </c>
      <c r="T9" s="123" t="s">
        <v>165</v>
      </c>
    </row>
    <row r="10" spans="1:20" ht="15" customHeight="1" x14ac:dyDescent="0.2">
      <c r="B10" s="362">
        <f>E34</f>
        <v>7.0290227533360665E-3</v>
      </c>
      <c r="C10" s="354" t="str">
        <f>A34</f>
        <v>Benthic Producers</v>
      </c>
      <c r="D10" s="344" t="s">
        <v>164</v>
      </c>
      <c r="F10" s="353" t="s">
        <v>184</v>
      </c>
      <c r="G10" s="122">
        <v>0</v>
      </c>
      <c r="H10" s="122">
        <v>0</v>
      </c>
      <c r="I10" s="122">
        <v>0</v>
      </c>
      <c r="J10" s="122">
        <v>0</v>
      </c>
      <c r="K10" s="122">
        <v>1</v>
      </c>
      <c r="L10" s="122">
        <v>0</v>
      </c>
      <c r="M10" s="122">
        <v>1</v>
      </c>
      <c r="N10" s="122">
        <v>0</v>
      </c>
      <c r="O10" s="122">
        <v>1</v>
      </c>
      <c r="P10" s="122">
        <v>0</v>
      </c>
      <c r="Q10" s="122">
        <v>0</v>
      </c>
      <c r="R10" s="382">
        <v>1</v>
      </c>
    </row>
    <row r="11" spans="1:20" ht="15" customHeight="1" x14ac:dyDescent="0.2">
      <c r="A11" s="342"/>
      <c r="B11" s="362"/>
      <c r="C11" s="354"/>
      <c r="D11" s="344" t="s">
        <v>164</v>
      </c>
      <c r="F11" s="353" t="s">
        <v>185</v>
      </c>
      <c r="G11" s="122">
        <v>0</v>
      </c>
      <c r="H11" s="122">
        <v>0</v>
      </c>
      <c r="I11" s="122">
        <v>0</v>
      </c>
      <c r="J11" s="122">
        <v>0</v>
      </c>
      <c r="K11" s="122">
        <v>1</v>
      </c>
      <c r="L11" s="122">
        <v>0</v>
      </c>
      <c r="M11" s="122">
        <v>1</v>
      </c>
      <c r="N11" s="122">
        <v>0</v>
      </c>
      <c r="O11" s="122">
        <v>1</v>
      </c>
      <c r="P11" s="122">
        <v>0</v>
      </c>
      <c r="Q11" s="122">
        <v>0</v>
      </c>
      <c r="R11" s="382">
        <v>1</v>
      </c>
    </row>
    <row r="12" spans="1:20" ht="15" customHeight="1" x14ac:dyDescent="0.2">
      <c r="B12" s="362"/>
      <c r="C12" s="363"/>
      <c r="D12" s="344" t="s">
        <v>164</v>
      </c>
      <c r="F12" s="353" t="s">
        <v>186</v>
      </c>
      <c r="G12" s="122">
        <v>0</v>
      </c>
      <c r="H12" s="122">
        <v>0</v>
      </c>
      <c r="I12" s="122">
        <v>0</v>
      </c>
      <c r="J12" s="122">
        <v>0</v>
      </c>
      <c r="K12" s="122">
        <v>1</v>
      </c>
      <c r="L12" s="122">
        <v>0</v>
      </c>
      <c r="M12" s="122">
        <v>1</v>
      </c>
      <c r="N12" s="122">
        <v>0</v>
      </c>
      <c r="O12" s="122">
        <v>1</v>
      </c>
      <c r="P12" s="122">
        <v>0</v>
      </c>
      <c r="Q12" s="122">
        <v>0</v>
      </c>
      <c r="R12" s="382">
        <v>1</v>
      </c>
    </row>
    <row r="13" spans="1:20" ht="15" customHeight="1" x14ac:dyDescent="0.2">
      <c r="B13" s="362"/>
      <c r="C13" s="363"/>
      <c r="D13" s="344" t="s">
        <v>164</v>
      </c>
      <c r="F13" s="353" t="s">
        <v>187</v>
      </c>
      <c r="G13" s="122">
        <v>0</v>
      </c>
      <c r="H13" s="122">
        <v>0</v>
      </c>
      <c r="I13" s="122">
        <v>0</v>
      </c>
      <c r="J13" s="122">
        <v>0</v>
      </c>
      <c r="K13" s="122">
        <v>1</v>
      </c>
      <c r="L13" s="122">
        <v>0</v>
      </c>
      <c r="M13" s="122">
        <v>1</v>
      </c>
      <c r="N13" s="122">
        <v>0</v>
      </c>
      <c r="O13" s="122">
        <v>1</v>
      </c>
      <c r="P13" s="122">
        <v>0</v>
      </c>
      <c r="Q13" s="122">
        <v>0</v>
      </c>
      <c r="R13" s="382">
        <v>1</v>
      </c>
    </row>
    <row r="14" spans="1:20" ht="15" customHeight="1" x14ac:dyDescent="0.2">
      <c r="B14" s="362"/>
      <c r="C14" s="364"/>
      <c r="D14" s="344" t="s">
        <v>164</v>
      </c>
      <c r="F14" s="353" t="s">
        <v>189</v>
      </c>
      <c r="G14" s="122">
        <v>0</v>
      </c>
      <c r="H14" s="122">
        <v>0</v>
      </c>
      <c r="I14" s="122">
        <v>0</v>
      </c>
      <c r="J14" s="122">
        <v>0</v>
      </c>
      <c r="K14" s="122">
        <v>1</v>
      </c>
      <c r="L14" s="122">
        <v>0</v>
      </c>
      <c r="M14" s="122">
        <v>1</v>
      </c>
      <c r="N14" s="122">
        <v>0</v>
      </c>
      <c r="O14" s="122">
        <v>1</v>
      </c>
      <c r="P14" s="122">
        <v>0</v>
      </c>
      <c r="Q14" s="122">
        <v>0</v>
      </c>
      <c r="R14" s="382">
        <v>1</v>
      </c>
    </row>
    <row r="15" spans="1:20" ht="15" customHeight="1" x14ac:dyDescent="0.2">
      <c r="B15" s="362"/>
      <c r="C15" s="364"/>
      <c r="D15" s="344" t="s">
        <v>164</v>
      </c>
      <c r="F15" s="353" t="s">
        <v>190</v>
      </c>
      <c r="G15" s="122">
        <v>0</v>
      </c>
      <c r="H15" s="122">
        <v>0</v>
      </c>
      <c r="I15" s="122">
        <v>0</v>
      </c>
      <c r="J15" s="122">
        <v>0</v>
      </c>
      <c r="K15" s="122">
        <v>1</v>
      </c>
      <c r="L15" s="122">
        <v>0</v>
      </c>
      <c r="M15" s="122">
        <v>1</v>
      </c>
      <c r="N15" s="122">
        <v>0</v>
      </c>
      <c r="O15" s="122">
        <v>1</v>
      </c>
      <c r="P15" s="122">
        <v>0</v>
      </c>
      <c r="Q15" s="122">
        <v>0</v>
      </c>
      <c r="R15" s="382">
        <v>1</v>
      </c>
    </row>
    <row r="16" spans="1:20" ht="15" customHeight="1" x14ac:dyDescent="0.2">
      <c r="B16" s="362"/>
      <c r="C16" s="364"/>
      <c r="D16" s="344" t="s">
        <v>164</v>
      </c>
      <c r="F16" s="353" t="s">
        <v>191</v>
      </c>
      <c r="G16" s="122">
        <v>0</v>
      </c>
      <c r="H16" s="122">
        <v>0</v>
      </c>
      <c r="I16" s="122">
        <v>0</v>
      </c>
      <c r="J16" s="122">
        <v>0</v>
      </c>
      <c r="K16" s="122">
        <v>1</v>
      </c>
      <c r="L16" s="122">
        <v>0</v>
      </c>
      <c r="M16" s="122">
        <v>1</v>
      </c>
      <c r="N16" s="122">
        <v>0</v>
      </c>
      <c r="O16" s="122">
        <v>1</v>
      </c>
      <c r="P16" s="122">
        <v>0</v>
      </c>
      <c r="Q16" s="122">
        <v>0</v>
      </c>
      <c r="R16" s="382">
        <v>1</v>
      </c>
    </row>
    <row r="17" spans="1:18" ht="15" customHeight="1" thickBot="1" x14ac:dyDescent="0.25">
      <c r="B17" s="352"/>
      <c r="C17" s="364"/>
      <c r="D17" s="344" t="s">
        <v>164</v>
      </c>
      <c r="F17" s="353" t="s">
        <v>192</v>
      </c>
      <c r="G17" s="122">
        <v>0</v>
      </c>
      <c r="H17" s="122">
        <v>0</v>
      </c>
      <c r="I17" s="122">
        <v>0</v>
      </c>
      <c r="J17" s="122">
        <v>0</v>
      </c>
      <c r="K17" s="122">
        <v>1</v>
      </c>
      <c r="L17" s="122">
        <v>0</v>
      </c>
      <c r="M17" s="122">
        <v>1</v>
      </c>
      <c r="N17" s="122">
        <v>0</v>
      </c>
      <c r="O17" s="122">
        <v>1</v>
      </c>
      <c r="P17" s="122">
        <v>0</v>
      </c>
      <c r="Q17" s="122">
        <v>0</v>
      </c>
      <c r="R17" s="382">
        <v>1</v>
      </c>
    </row>
    <row r="18" spans="1:18" ht="15" customHeight="1" thickBot="1" x14ac:dyDescent="0.25">
      <c r="B18" s="365"/>
      <c r="F18" s="353" t="s">
        <v>193</v>
      </c>
      <c r="G18" s="122">
        <v>0</v>
      </c>
      <c r="H18" s="122">
        <v>0</v>
      </c>
      <c r="I18" s="122">
        <v>0</v>
      </c>
      <c r="J18" s="122">
        <v>0</v>
      </c>
      <c r="K18" s="122">
        <v>1</v>
      </c>
      <c r="L18" s="122">
        <v>0</v>
      </c>
      <c r="M18" s="122">
        <v>1</v>
      </c>
      <c r="N18" s="122">
        <v>0</v>
      </c>
      <c r="O18" s="122">
        <v>1</v>
      </c>
      <c r="P18" s="122">
        <v>0</v>
      </c>
      <c r="Q18" s="122">
        <v>0</v>
      </c>
      <c r="R18" s="382">
        <v>1</v>
      </c>
    </row>
    <row r="19" spans="1:18" ht="15" customHeight="1" x14ac:dyDescent="0.2">
      <c r="A19" s="342" t="s">
        <v>58</v>
      </c>
      <c r="B19" s="351">
        <f>E32</f>
        <v>0.52753468196108788</v>
      </c>
      <c r="C19" s="354" t="str">
        <f>A32</f>
        <v>Phytoplankton 1</v>
      </c>
      <c r="D19" s="344" t="s">
        <v>164</v>
      </c>
      <c r="F19" s="353" t="s">
        <v>194</v>
      </c>
      <c r="G19" s="122">
        <v>0</v>
      </c>
      <c r="H19" s="122">
        <v>0</v>
      </c>
      <c r="I19" s="122">
        <v>0</v>
      </c>
      <c r="J19" s="122">
        <v>0</v>
      </c>
      <c r="K19" s="122">
        <v>1</v>
      </c>
      <c r="L19" s="122">
        <v>0</v>
      </c>
      <c r="M19" s="122">
        <v>1</v>
      </c>
      <c r="N19" s="122">
        <v>0</v>
      </c>
      <c r="O19" s="122">
        <v>1</v>
      </c>
      <c r="P19" s="122">
        <v>0</v>
      </c>
      <c r="Q19" s="122">
        <v>0</v>
      </c>
      <c r="R19" s="382">
        <v>1</v>
      </c>
    </row>
    <row r="20" spans="1:18" ht="15" customHeight="1" x14ac:dyDescent="0.2">
      <c r="A20" s="361" t="s">
        <v>173</v>
      </c>
      <c r="B20" s="362">
        <f>E33</f>
        <v>0.46543629528557601</v>
      </c>
      <c r="C20" s="354" t="str">
        <f>A33</f>
        <v>Phytoplankton 2</v>
      </c>
      <c r="D20" s="344" t="s">
        <v>164</v>
      </c>
      <c r="F20" s="353" t="s">
        <v>195</v>
      </c>
      <c r="G20" s="122">
        <v>0</v>
      </c>
      <c r="H20" s="122">
        <v>0</v>
      </c>
      <c r="I20" s="122">
        <v>0</v>
      </c>
      <c r="J20" s="122">
        <v>0</v>
      </c>
      <c r="K20" s="122">
        <v>1</v>
      </c>
      <c r="L20" s="122">
        <v>0</v>
      </c>
      <c r="M20" s="122">
        <v>1</v>
      </c>
      <c r="N20" s="122">
        <v>0</v>
      </c>
      <c r="O20" s="122">
        <v>1</v>
      </c>
      <c r="P20" s="122">
        <v>0</v>
      </c>
      <c r="Q20" s="122">
        <v>0</v>
      </c>
      <c r="R20" s="382">
        <v>1</v>
      </c>
    </row>
    <row r="21" spans="1:18" ht="15" customHeight="1" x14ac:dyDescent="0.2">
      <c r="B21" s="362">
        <f>E34</f>
        <v>7.0290227533360665E-3</v>
      </c>
      <c r="C21" s="354" t="str">
        <f>A34</f>
        <v>Benthic Producers</v>
      </c>
      <c r="D21" s="344" t="s">
        <v>164</v>
      </c>
      <c r="F21" s="353" t="s">
        <v>196</v>
      </c>
      <c r="G21" s="122">
        <v>0</v>
      </c>
      <c r="H21" s="122">
        <v>0</v>
      </c>
      <c r="I21" s="122">
        <v>0</v>
      </c>
      <c r="J21" s="122">
        <v>0</v>
      </c>
      <c r="K21" s="122">
        <v>1</v>
      </c>
      <c r="L21" s="122">
        <v>0</v>
      </c>
      <c r="M21" s="122">
        <v>1</v>
      </c>
      <c r="N21" s="122">
        <v>0</v>
      </c>
      <c r="O21" s="122">
        <v>1</v>
      </c>
      <c r="P21" s="122">
        <v>0</v>
      </c>
      <c r="Q21" s="122">
        <v>0</v>
      </c>
      <c r="R21" s="382">
        <v>1</v>
      </c>
    </row>
    <row r="22" spans="1:18" ht="15" customHeight="1" x14ac:dyDescent="0.2">
      <c r="A22" s="122"/>
      <c r="B22" s="362"/>
      <c r="C22" s="354"/>
      <c r="D22" s="344" t="s">
        <v>164</v>
      </c>
      <c r="F22" s="353" t="s">
        <v>197</v>
      </c>
      <c r="G22" s="122">
        <v>0</v>
      </c>
      <c r="H22" s="122">
        <v>0</v>
      </c>
      <c r="I22" s="122">
        <v>0</v>
      </c>
      <c r="J22" s="122">
        <v>0</v>
      </c>
      <c r="K22" s="122">
        <v>1</v>
      </c>
      <c r="L22" s="122">
        <v>0</v>
      </c>
      <c r="M22" s="122">
        <v>1</v>
      </c>
      <c r="N22" s="122">
        <v>0</v>
      </c>
      <c r="O22" s="122">
        <v>1</v>
      </c>
      <c r="P22" s="122">
        <v>0</v>
      </c>
      <c r="Q22" s="122">
        <v>0</v>
      </c>
      <c r="R22" s="382">
        <v>1</v>
      </c>
    </row>
    <row r="23" spans="1:18" ht="15" customHeight="1" x14ac:dyDescent="0.2">
      <c r="A23" s="122"/>
      <c r="B23" s="362"/>
      <c r="C23" s="363"/>
      <c r="D23" s="344" t="s">
        <v>164</v>
      </c>
      <c r="F23" s="353" t="s">
        <v>198</v>
      </c>
      <c r="G23" s="122">
        <v>0</v>
      </c>
      <c r="H23" s="122">
        <v>0</v>
      </c>
      <c r="I23" s="122">
        <v>0</v>
      </c>
      <c r="J23" s="122">
        <v>0</v>
      </c>
      <c r="K23" s="122">
        <v>1</v>
      </c>
      <c r="L23" s="122">
        <v>0</v>
      </c>
      <c r="M23" s="122">
        <v>1</v>
      </c>
      <c r="N23" s="122">
        <v>0</v>
      </c>
      <c r="O23" s="122">
        <v>1</v>
      </c>
      <c r="P23" s="122">
        <v>0</v>
      </c>
      <c r="Q23" s="122">
        <v>0</v>
      </c>
      <c r="R23" s="382">
        <v>1</v>
      </c>
    </row>
    <row r="24" spans="1:18" ht="15" customHeight="1" x14ac:dyDescent="0.2">
      <c r="A24" s="122"/>
      <c r="B24" s="362"/>
      <c r="C24" s="363"/>
      <c r="D24" s="344" t="s">
        <v>164</v>
      </c>
      <c r="F24" s="353" t="s">
        <v>199</v>
      </c>
      <c r="G24" s="122">
        <v>0</v>
      </c>
      <c r="H24" s="122">
        <v>0</v>
      </c>
      <c r="I24" s="122">
        <v>0</v>
      </c>
      <c r="J24" s="122">
        <v>0</v>
      </c>
      <c r="K24" s="122">
        <v>1</v>
      </c>
      <c r="L24" s="122">
        <v>0</v>
      </c>
      <c r="M24" s="122">
        <v>1</v>
      </c>
      <c r="N24" s="122">
        <v>0</v>
      </c>
      <c r="O24" s="122">
        <v>1</v>
      </c>
      <c r="P24" s="122">
        <v>0</v>
      </c>
      <c r="Q24" s="122">
        <v>0</v>
      </c>
      <c r="R24" s="382">
        <v>1</v>
      </c>
    </row>
    <row r="25" spans="1:18" ht="15" customHeight="1" x14ac:dyDescent="0.2">
      <c r="A25" s="122"/>
      <c r="B25" s="362"/>
      <c r="C25" s="364"/>
      <c r="D25" s="344" t="s">
        <v>164</v>
      </c>
      <c r="F25" s="353" t="s">
        <v>200</v>
      </c>
      <c r="G25" s="122">
        <v>0</v>
      </c>
      <c r="H25" s="122">
        <v>0</v>
      </c>
      <c r="I25" s="122">
        <v>0</v>
      </c>
      <c r="J25" s="122">
        <v>0</v>
      </c>
      <c r="K25" s="122">
        <v>1</v>
      </c>
      <c r="L25" s="122">
        <v>0</v>
      </c>
      <c r="M25" s="122">
        <v>1</v>
      </c>
      <c r="N25" s="122">
        <v>0</v>
      </c>
      <c r="O25" s="122">
        <v>1</v>
      </c>
      <c r="P25" s="122">
        <v>0</v>
      </c>
      <c r="Q25" s="122">
        <v>0</v>
      </c>
      <c r="R25" s="382">
        <v>1</v>
      </c>
    </row>
    <row r="26" spans="1:18" ht="15" customHeight="1" x14ac:dyDescent="0.2">
      <c r="B26" s="362"/>
      <c r="C26" s="364"/>
      <c r="D26" s="344" t="s">
        <v>164</v>
      </c>
      <c r="F26" s="353" t="s">
        <v>201</v>
      </c>
      <c r="G26" s="122">
        <v>0</v>
      </c>
      <c r="H26" s="122">
        <v>0</v>
      </c>
      <c r="I26" s="122">
        <v>0</v>
      </c>
      <c r="J26" s="122">
        <v>0</v>
      </c>
      <c r="K26" s="122">
        <v>1</v>
      </c>
      <c r="L26" s="122">
        <v>0</v>
      </c>
      <c r="M26" s="122">
        <v>1</v>
      </c>
      <c r="N26" s="122">
        <v>0</v>
      </c>
      <c r="O26" s="122">
        <v>1</v>
      </c>
      <c r="P26" s="122">
        <v>0</v>
      </c>
      <c r="Q26" s="122">
        <v>0</v>
      </c>
      <c r="R26" s="382">
        <v>1</v>
      </c>
    </row>
    <row r="27" spans="1:18" ht="15" customHeight="1" x14ac:dyDescent="0.2">
      <c r="B27" s="362"/>
      <c r="C27" s="364"/>
      <c r="D27" s="344" t="s">
        <v>164</v>
      </c>
      <c r="F27" s="353" t="s">
        <v>202</v>
      </c>
      <c r="G27" s="122">
        <v>0</v>
      </c>
      <c r="H27" s="122">
        <v>0</v>
      </c>
      <c r="I27" s="122">
        <v>0</v>
      </c>
      <c r="J27" s="122">
        <v>0</v>
      </c>
      <c r="K27" s="122">
        <v>1</v>
      </c>
      <c r="L27" s="122">
        <v>0</v>
      </c>
      <c r="M27" s="122">
        <v>1</v>
      </c>
      <c r="N27" s="122">
        <v>0</v>
      </c>
      <c r="O27" s="122">
        <v>1</v>
      </c>
      <c r="P27" s="122">
        <v>0</v>
      </c>
      <c r="Q27" s="122">
        <v>0</v>
      </c>
      <c r="R27" s="382">
        <v>1</v>
      </c>
    </row>
    <row r="28" spans="1:18" ht="15" customHeight="1" thickBot="1" x14ac:dyDescent="0.25">
      <c r="B28" s="352"/>
      <c r="C28" s="364"/>
      <c r="D28" s="344" t="s">
        <v>164</v>
      </c>
      <c r="F28" s="353" t="s">
        <v>203</v>
      </c>
      <c r="G28" s="122">
        <v>0</v>
      </c>
      <c r="H28" s="122">
        <v>0</v>
      </c>
      <c r="I28" s="122">
        <v>0</v>
      </c>
      <c r="J28" s="122">
        <v>0</v>
      </c>
      <c r="K28" s="122">
        <v>1</v>
      </c>
      <c r="L28" s="122">
        <v>0</v>
      </c>
      <c r="M28" s="122">
        <v>1</v>
      </c>
      <c r="N28" s="122">
        <v>0</v>
      </c>
      <c r="O28" s="122">
        <v>1</v>
      </c>
      <c r="P28" s="122">
        <v>0</v>
      </c>
      <c r="Q28" s="122">
        <v>0</v>
      </c>
      <c r="R28" s="382">
        <v>1</v>
      </c>
    </row>
    <row r="29" spans="1:18" ht="15" customHeight="1" x14ac:dyDescent="0.2">
      <c r="F29" s="353" t="s">
        <v>204</v>
      </c>
      <c r="G29" s="122">
        <v>0</v>
      </c>
      <c r="H29" s="122">
        <v>0</v>
      </c>
      <c r="I29" s="122">
        <v>0</v>
      </c>
      <c r="J29" s="122">
        <v>0</v>
      </c>
      <c r="K29" s="122">
        <v>1</v>
      </c>
      <c r="L29" s="122">
        <v>0</v>
      </c>
      <c r="M29" s="122">
        <v>1</v>
      </c>
      <c r="N29" s="122">
        <v>0</v>
      </c>
      <c r="O29" s="122">
        <v>1</v>
      </c>
      <c r="P29" s="122">
        <v>0</v>
      </c>
      <c r="Q29" s="122">
        <v>0</v>
      </c>
      <c r="R29" s="382">
        <v>1</v>
      </c>
    </row>
    <row r="30" spans="1:18" ht="15" customHeight="1" x14ac:dyDescent="0.2">
      <c r="F30" s="353" t="s">
        <v>205</v>
      </c>
      <c r="G30" s="122">
        <v>0</v>
      </c>
      <c r="H30" s="122">
        <v>0</v>
      </c>
      <c r="I30" s="122">
        <v>0</v>
      </c>
      <c r="J30" s="122">
        <v>0</v>
      </c>
      <c r="K30" s="122">
        <v>1</v>
      </c>
      <c r="L30" s="122">
        <v>0</v>
      </c>
      <c r="M30" s="122">
        <v>1</v>
      </c>
      <c r="N30" s="122">
        <v>0</v>
      </c>
      <c r="O30" s="122">
        <v>1</v>
      </c>
      <c r="P30" s="122">
        <v>0</v>
      </c>
      <c r="Q30" s="122">
        <v>0</v>
      </c>
      <c r="R30" s="382">
        <v>1</v>
      </c>
    </row>
    <row r="31" spans="1:18" ht="15" customHeight="1" x14ac:dyDescent="0.2">
      <c r="A31" s="366"/>
      <c r="B31" s="367" t="s">
        <v>18</v>
      </c>
      <c r="C31" s="367" t="s">
        <v>1</v>
      </c>
      <c r="D31" s="367" t="s">
        <v>166</v>
      </c>
      <c r="E31" s="368" t="s">
        <v>168</v>
      </c>
      <c r="F31" s="353" t="s">
        <v>206</v>
      </c>
      <c r="G31" s="122">
        <v>0</v>
      </c>
      <c r="H31" s="122">
        <v>0</v>
      </c>
      <c r="I31" s="122">
        <v>0</v>
      </c>
      <c r="J31" s="122">
        <v>0</v>
      </c>
      <c r="K31" s="122">
        <v>1</v>
      </c>
      <c r="L31" s="122">
        <v>0</v>
      </c>
      <c r="M31" s="122">
        <v>1</v>
      </c>
      <c r="N31" s="122">
        <v>0</v>
      </c>
      <c r="O31" s="122">
        <v>1</v>
      </c>
      <c r="P31" s="122">
        <v>0</v>
      </c>
      <c r="Q31" s="122">
        <v>0</v>
      </c>
      <c r="R31" s="382">
        <v>1</v>
      </c>
    </row>
    <row r="32" spans="1:18" ht="15" customHeight="1" x14ac:dyDescent="0.2">
      <c r="A32" s="369" t="str">
        <f>MainOutputs!B2</f>
        <v>Phytoplankton 1</v>
      </c>
      <c r="B32" s="365">
        <f>MainOutputs!D2</f>
        <v>35</v>
      </c>
      <c r="C32" s="365">
        <f>MainOutputs!E2</f>
        <v>200</v>
      </c>
      <c r="D32" s="365">
        <f>B32*C32</f>
        <v>7000</v>
      </c>
      <c r="E32" s="370">
        <f>D32/D$42</f>
        <v>0.52753468196108788</v>
      </c>
      <c r="F32" s="353" t="s">
        <v>207</v>
      </c>
      <c r="G32" s="122">
        <v>0</v>
      </c>
      <c r="H32" s="122">
        <v>0</v>
      </c>
      <c r="I32" s="122">
        <v>0</v>
      </c>
      <c r="J32" s="122">
        <v>0</v>
      </c>
      <c r="K32" s="122">
        <v>1</v>
      </c>
      <c r="L32" s="122">
        <v>0</v>
      </c>
      <c r="M32" s="122">
        <v>1</v>
      </c>
      <c r="N32" s="122">
        <v>0</v>
      </c>
      <c r="O32" s="122">
        <v>1</v>
      </c>
      <c r="P32" s="122">
        <v>0</v>
      </c>
      <c r="Q32" s="122">
        <v>0</v>
      </c>
      <c r="R32" s="382">
        <v>1</v>
      </c>
    </row>
    <row r="33" spans="1:18" ht="15" customHeight="1" x14ac:dyDescent="0.2">
      <c r="A33" s="369" t="str">
        <f>MainOutputs!B3</f>
        <v>Phytoplankton 2</v>
      </c>
      <c r="B33" s="365">
        <f>MainOutputs!D3</f>
        <v>40</v>
      </c>
      <c r="C33" s="365">
        <f>MainOutputs!E3</f>
        <v>154.39999389648438</v>
      </c>
      <c r="D33" s="365">
        <f>B33*C33</f>
        <v>6175.999755859375</v>
      </c>
      <c r="E33" s="370">
        <f t="shared" ref="E33" si="0">D33/D$42</f>
        <v>0.46543629528557601</v>
      </c>
      <c r="F33" s="353" t="s">
        <v>298</v>
      </c>
      <c r="G33" s="122">
        <v>0</v>
      </c>
      <c r="H33" s="122">
        <v>0</v>
      </c>
      <c r="I33" s="122">
        <v>0</v>
      </c>
      <c r="J33" s="122">
        <v>0</v>
      </c>
      <c r="K33" s="122">
        <v>1</v>
      </c>
      <c r="L33" s="122">
        <v>0</v>
      </c>
      <c r="M33" s="122">
        <v>1</v>
      </c>
      <c r="N33" s="122">
        <v>0</v>
      </c>
      <c r="O33" s="122">
        <v>1</v>
      </c>
      <c r="P33" s="122">
        <v>0</v>
      </c>
      <c r="Q33" s="122">
        <v>0</v>
      </c>
      <c r="R33" s="382">
        <v>1</v>
      </c>
    </row>
    <row r="34" spans="1:18" ht="15" customHeight="1" x14ac:dyDescent="0.2">
      <c r="A34" s="369" t="str">
        <f>MainOutputs!B45</f>
        <v>Benthic Producers</v>
      </c>
      <c r="B34" s="365">
        <f>MainOutputs!D45</f>
        <v>6.2179999351501465</v>
      </c>
      <c r="C34" s="365">
        <f>MainOutputs!E45</f>
        <v>15</v>
      </c>
      <c r="D34" s="365">
        <f>B34*C34</f>
        <v>93.269999027252197</v>
      </c>
      <c r="E34" s="370">
        <f t="shared" ref="E34" si="1">D34/D$42</f>
        <v>7.0290227533360665E-3</v>
      </c>
      <c r="F34" s="353" t="s">
        <v>299</v>
      </c>
      <c r="G34" s="122">
        <v>0</v>
      </c>
      <c r="H34" s="122">
        <v>0</v>
      </c>
      <c r="I34" s="122">
        <v>0</v>
      </c>
      <c r="J34" s="122">
        <v>0</v>
      </c>
      <c r="K34" s="122">
        <v>1</v>
      </c>
      <c r="L34" s="122">
        <v>0</v>
      </c>
      <c r="M34" s="122">
        <v>1</v>
      </c>
      <c r="N34" s="122">
        <v>0</v>
      </c>
      <c r="O34" s="122">
        <v>1</v>
      </c>
      <c r="P34" s="122">
        <v>0</v>
      </c>
      <c r="Q34" s="122">
        <v>0</v>
      </c>
      <c r="R34" s="382">
        <v>1</v>
      </c>
    </row>
    <row r="35" spans="1:18" ht="15" customHeight="1" x14ac:dyDescent="0.2">
      <c r="A35" s="369"/>
      <c r="B35" s="365"/>
      <c r="C35" s="365"/>
      <c r="D35" s="365"/>
      <c r="E35" s="370"/>
      <c r="F35" s="353"/>
      <c r="G35" s="122">
        <v>0</v>
      </c>
      <c r="H35" s="122">
        <v>0</v>
      </c>
      <c r="I35" s="122">
        <v>0</v>
      </c>
      <c r="J35" s="122">
        <v>0</v>
      </c>
      <c r="K35" s="122">
        <v>1</v>
      </c>
      <c r="L35" s="122">
        <v>0</v>
      </c>
      <c r="M35" s="122">
        <v>1</v>
      </c>
      <c r="N35" s="122">
        <v>0</v>
      </c>
      <c r="O35" s="122">
        <v>1</v>
      </c>
      <c r="P35" s="122">
        <v>0</v>
      </c>
      <c r="Q35" s="122">
        <v>0</v>
      </c>
      <c r="R35" s="382">
        <v>1</v>
      </c>
    </row>
    <row r="36" spans="1:18" ht="15" customHeight="1" x14ac:dyDescent="0.2">
      <c r="A36" s="371"/>
      <c r="B36" s="365"/>
      <c r="C36" s="365"/>
      <c r="D36" s="365"/>
      <c r="E36" s="370"/>
      <c r="F36" s="353" t="s">
        <v>301</v>
      </c>
      <c r="G36" s="122">
        <v>0</v>
      </c>
      <c r="H36" s="122">
        <v>0</v>
      </c>
      <c r="I36" s="122">
        <v>0</v>
      </c>
      <c r="J36" s="122">
        <v>0</v>
      </c>
      <c r="K36" s="122">
        <v>1</v>
      </c>
      <c r="L36" s="122">
        <v>0</v>
      </c>
      <c r="M36" s="122">
        <v>1</v>
      </c>
      <c r="N36" s="122">
        <v>0</v>
      </c>
      <c r="O36" s="122">
        <v>1</v>
      </c>
      <c r="P36" s="122">
        <v>0</v>
      </c>
      <c r="Q36" s="122">
        <v>0</v>
      </c>
      <c r="R36" s="382">
        <v>1</v>
      </c>
    </row>
    <row r="37" spans="1:18" ht="15" customHeight="1" x14ac:dyDescent="0.2">
      <c r="A37" s="371"/>
      <c r="B37" s="365"/>
      <c r="C37" s="365"/>
      <c r="D37" s="365"/>
      <c r="E37" s="370"/>
      <c r="F37" s="353" t="s">
        <v>208</v>
      </c>
      <c r="G37" s="122">
        <v>0</v>
      </c>
      <c r="H37" s="122">
        <v>0</v>
      </c>
      <c r="I37" s="122">
        <v>0</v>
      </c>
      <c r="J37" s="122">
        <v>0</v>
      </c>
      <c r="K37" s="122">
        <v>1</v>
      </c>
      <c r="L37" s="122">
        <v>0</v>
      </c>
      <c r="M37" s="122">
        <v>1</v>
      </c>
      <c r="N37" s="122">
        <v>0</v>
      </c>
      <c r="O37" s="122">
        <v>1</v>
      </c>
      <c r="P37" s="122">
        <v>0</v>
      </c>
      <c r="Q37" s="122">
        <v>0</v>
      </c>
      <c r="R37" s="382">
        <v>1</v>
      </c>
    </row>
    <row r="38" spans="1:18" ht="15" customHeight="1" x14ac:dyDescent="0.2">
      <c r="A38" s="372"/>
      <c r="B38" s="365"/>
      <c r="C38" s="365"/>
      <c r="D38" s="365"/>
      <c r="E38" s="370"/>
      <c r="F38" s="353" t="s">
        <v>209</v>
      </c>
      <c r="G38" s="122">
        <v>0</v>
      </c>
      <c r="H38" s="122">
        <v>0</v>
      </c>
      <c r="I38" s="122">
        <v>0</v>
      </c>
      <c r="J38" s="122">
        <v>0</v>
      </c>
      <c r="K38" s="122">
        <v>1</v>
      </c>
      <c r="L38" s="122">
        <v>0</v>
      </c>
      <c r="M38" s="122">
        <v>1</v>
      </c>
      <c r="N38" s="122">
        <v>0</v>
      </c>
      <c r="O38" s="122">
        <v>1</v>
      </c>
      <c r="P38" s="122">
        <v>0</v>
      </c>
      <c r="Q38" s="122">
        <v>0</v>
      </c>
      <c r="R38" s="382">
        <v>1</v>
      </c>
    </row>
    <row r="39" spans="1:18" ht="15" customHeight="1" x14ac:dyDescent="0.2">
      <c r="A39" s="372"/>
      <c r="B39" s="365"/>
      <c r="C39" s="365"/>
      <c r="D39" s="365"/>
      <c r="E39" s="370"/>
      <c r="F39" s="353" t="s">
        <v>210</v>
      </c>
      <c r="G39" s="122">
        <v>0</v>
      </c>
      <c r="H39" s="122">
        <v>0</v>
      </c>
      <c r="I39" s="122">
        <v>0</v>
      </c>
      <c r="J39" s="122">
        <v>0</v>
      </c>
      <c r="K39" s="122">
        <v>1</v>
      </c>
      <c r="L39" s="122">
        <v>0</v>
      </c>
      <c r="M39" s="122">
        <v>1</v>
      </c>
      <c r="N39" s="122">
        <v>0</v>
      </c>
      <c r="O39" s="122">
        <v>1</v>
      </c>
      <c r="P39" s="122">
        <v>0</v>
      </c>
      <c r="Q39" s="122">
        <v>0</v>
      </c>
      <c r="R39" s="382">
        <v>1</v>
      </c>
    </row>
    <row r="40" spans="1:18" ht="15" customHeight="1" x14ac:dyDescent="0.2">
      <c r="A40" s="372"/>
      <c r="B40" s="365"/>
      <c r="C40" s="365"/>
      <c r="D40" s="365"/>
      <c r="E40" s="370"/>
      <c r="F40" s="353" t="s">
        <v>211</v>
      </c>
      <c r="G40" s="122">
        <v>0</v>
      </c>
      <c r="H40" s="122">
        <v>0</v>
      </c>
      <c r="I40" s="122">
        <v>0</v>
      </c>
      <c r="J40" s="122">
        <v>0</v>
      </c>
      <c r="K40" s="122">
        <v>1</v>
      </c>
      <c r="L40" s="122">
        <v>0</v>
      </c>
      <c r="M40" s="122">
        <v>1</v>
      </c>
      <c r="N40" s="122">
        <v>0</v>
      </c>
      <c r="O40" s="122">
        <v>1</v>
      </c>
      <c r="P40" s="122">
        <v>0</v>
      </c>
      <c r="Q40" s="122">
        <v>0</v>
      </c>
      <c r="R40" s="382">
        <v>1</v>
      </c>
    </row>
    <row r="41" spans="1:18" ht="15" customHeight="1" thickBot="1" x14ac:dyDescent="0.25">
      <c r="A41" s="372"/>
      <c r="B41" s="365"/>
      <c r="C41" s="365"/>
      <c r="D41" s="373"/>
      <c r="E41" s="374"/>
      <c r="F41" s="353" t="s">
        <v>212</v>
      </c>
      <c r="G41" s="122">
        <v>0</v>
      </c>
      <c r="H41" s="122">
        <v>0</v>
      </c>
      <c r="I41" s="122">
        <v>0</v>
      </c>
      <c r="J41" s="122">
        <v>0</v>
      </c>
      <c r="K41" s="122">
        <v>1</v>
      </c>
      <c r="L41" s="122">
        <v>0</v>
      </c>
      <c r="M41" s="122">
        <v>1</v>
      </c>
      <c r="N41" s="122">
        <v>0</v>
      </c>
      <c r="O41" s="122">
        <v>1</v>
      </c>
      <c r="P41" s="122">
        <v>0</v>
      </c>
      <c r="Q41" s="122">
        <v>0</v>
      </c>
      <c r="R41" s="382">
        <v>1</v>
      </c>
    </row>
    <row r="42" spans="1:18" ht="15" customHeight="1" x14ac:dyDescent="0.2">
      <c r="A42" s="375"/>
      <c r="B42" s="376"/>
      <c r="C42" s="376" t="s">
        <v>167</v>
      </c>
      <c r="D42" s="376">
        <f>SUM(D32:D41)</f>
        <v>13269.269754886627</v>
      </c>
      <c r="E42" s="377">
        <f>SUM(E32:E41)</f>
        <v>1</v>
      </c>
      <c r="F42" s="353" t="s">
        <v>213</v>
      </c>
      <c r="G42" s="122">
        <v>0</v>
      </c>
      <c r="H42" s="122">
        <v>0</v>
      </c>
      <c r="I42" s="122">
        <v>0</v>
      </c>
      <c r="J42" s="122">
        <v>0</v>
      </c>
      <c r="K42" s="122">
        <v>1</v>
      </c>
      <c r="L42" s="122">
        <v>0</v>
      </c>
      <c r="M42" s="122">
        <v>1</v>
      </c>
      <c r="N42" s="122">
        <v>0</v>
      </c>
      <c r="O42" s="122">
        <v>1</v>
      </c>
      <c r="P42" s="122">
        <v>0</v>
      </c>
      <c r="Q42" s="122">
        <v>0</v>
      </c>
      <c r="R42" s="382">
        <v>1</v>
      </c>
    </row>
    <row r="43" spans="1:18" ht="15" customHeight="1" x14ac:dyDescent="0.2">
      <c r="A43" s="122"/>
      <c r="F43" s="353" t="s">
        <v>214</v>
      </c>
      <c r="G43" s="122">
        <v>0</v>
      </c>
      <c r="H43" s="122">
        <v>0</v>
      </c>
      <c r="I43" s="122">
        <v>0</v>
      </c>
      <c r="J43" s="122">
        <v>0</v>
      </c>
      <c r="K43" s="122">
        <v>1</v>
      </c>
      <c r="L43" s="122">
        <v>0</v>
      </c>
      <c r="M43" s="122">
        <v>1</v>
      </c>
      <c r="N43" s="122">
        <v>0</v>
      </c>
      <c r="O43" s="122">
        <v>1</v>
      </c>
      <c r="P43" s="122">
        <v>0</v>
      </c>
      <c r="Q43" s="122">
        <v>0</v>
      </c>
      <c r="R43" s="382">
        <v>1</v>
      </c>
    </row>
    <row r="44" spans="1:18" ht="15" customHeight="1" x14ac:dyDescent="0.2">
      <c r="A44" s="122"/>
      <c r="F44" s="353" t="s">
        <v>215</v>
      </c>
      <c r="G44" s="122">
        <v>0</v>
      </c>
      <c r="H44" s="122">
        <v>0</v>
      </c>
      <c r="I44" s="122">
        <v>0</v>
      </c>
      <c r="J44" s="122">
        <v>0</v>
      </c>
      <c r="K44" s="122">
        <v>1</v>
      </c>
      <c r="L44" s="122">
        <v>0</v>
      </c>
      <c r="M44" s="122">
        <v>1</v>
      </c>
      <c r="N44" s="122">
        <v>0</v>
      </c>
      <c r="O44" s="122">
        <v>1</v>
      </c>
      <c r="P44" s="122">
        <v>0</v>
      </c>
      <c r="Q44" s="122">
        <v>0</v>
      </c>
      <c r="R44" s="382">
        <v>1</v>
      </c>
    </row>
    <row r="45" spans="1:18" ht="15" customHeight="1" x14ac:dyDescent="0.2">
      <c r="A45" s="122"/>
      <c r="F45" s="353" t="s">
        <v>216</v>
      </c>
      <c r="G45" s="122">
        <v>0</v>
      </c>
      <c r="H45" s="122">
        <v>0</v>
      </c>
      <c r="I45" s="122">
        <v>0</v>
      </c>
      <c r="J45" s="122">
        <v>0</v>
      </c>
      <c r="K45" s="122">
        <v>1</v>
      </c>
      <c r="L45" s="122">
        <v>0</v>
      </c>
      <c r="M45" s="122">
        <v>1</v>
      </c>
      <c r="N45" s="122">
        <v>0</v>
      </c>
      <c r="O45" s="122">
        <v>1</v>
      </c>
      <c r="P45" s="122">
        <v>0</v>
      </c>
      <c r="Q45" s="122">
        <v>0</v>
      </c>
      <c r="R45" s="382">
        <v>1</v>
      </c>
    </row>
    <row r="46" spans="1:18" ht="15" customHeight="1" x14ac:dyDescent="0.2">
      <c r="A46" s="122"/>
      <c r="F46" s="353" t="s">
        <v>217</v>
      </c>
      <c r="G46" s="122">
        <v>0</v>
      </c>
      <c r="H46" s="122">
        <v>0</v>
      </c>
      <c r="I46" s="122">
        <v>0</v>
      </c>
      <c r="J46" s="122">
        <v>0</v>
      </c>
      <c r="K46" s="122">
        <v>1</v>
      </c>
      <c r="L46" s="122">
        <v>0</v>
      </c>
      <c r="M46" s="122">
        <v>1</v>
      </c>
      <c r="N46" s="122">
        <v>0</v>
      </c>
      <c r="O46" s="122">
        <v>1</v>
      </c>
      <c r="P46" s="122">
        <v>0</v>
      </c>
      <c r="Q46" s="122">
        <v>0</v>
      </c>
      <c r="R46" s="382">
        <v>1</v>
      </c>
    </row>
    <row r="47" spans="1:18" ht="15" customHeight="1" x14ac:dyDescent="0.2">
      <c r="A47" s="122"/>
      <c r="F47" s="353" t="s">
        <v>218</v>
      </c>
      <c r="G47" s="122">
        <v>0</v>
      </c>
      <c r="H47" s="122">
        <v>0</v>
      </c>
      <c r="I47" s="122">
        <v>0</v>
      </c>
      <c r="J47" s="122">
        <v>0</v>
      </c>
      <c r="K47" s="122">
        <v>1</v>
      </c>
      <c r="L47" s="122">
        <v>0</v>
      </c>
      <c r="M47" s="122">
        <v>1</v>
      </c>
      <c r="N47" s="122">
        <v>0</v>
      </c>
      <c r="O47" s="122">
        <v>1</v>
      </c>
      <c r="P47" s="122">
        <v>0</v>
      </c>
      <c r="Q47" s="122">
        <v>0</v>
      </c>
      <c r="R47" s="382">
        <v>1</v>
      </c>
    </row>
    <row r="48" spans="1:18" ht="15" customHeight="1" x14ac:dyDescent="0.2">
      <c r="A48" s="122"/>
      <c r="F48" s="353" t="s">
        <v>219</v>
      </c>
      <c r="G48" s="122">
        <v>0</v>
      </c>
      <c r="H48" s="122">
        <v>0</v>
      </c>
      <c r="I48" s="122">
        <v>0</v>
      </c>
      <c r="J48" s="122">
        <v>0</v>
      </c>
      <c r="K48" s="122">
        <v>1</v>
      </c>
      <c r="L48" s="122">
        <v>0</v>
      </c>
      <c r="M48" s="122">
        <v>1</v>
      </c>
      <c r="N48" s="122">
        <v>0</v>
      </c>
      <c r="O48" s="122">
        <v>1</v>
      </c>
      <c r="P48" s="122">
        <v>0</v>
      </c>
      <c r="Q48" s="122">
        <v>0</v>
      </c>
      <c r="R48" s="382">
        <v>1</v>
      </c>
    </row>
    <row r="49" spans="1:18" ht="15" customHeight="1" x14ac:dyDescent="0.2">
      <c r="A49" s="122"/>
      <c r="F49" s="353" t="s">
        <v>220</v>
      </c>
      <c r="G49" s="122">
        <v>0</v>
      </c>
      <c r="H49" s="122">
        <v>0</v>
      </c>
      <c r="I49" s="122">
        <v>0</v>
      </c>
      <c r="J49" s="122">
        <v>0</v>
      </c>
      <c r="K49" s="122">
        <v>0</v>
      </c>
      <c r="L49" s="122">
        <v>0</v>
      </c>
      <c r="M49" s="122">
        <v>0</v>
      </c>
      <c r="N49" s="122">
        <v>1</v>
      </c>
      <c r="O49" s="122">
        <v>0</v>
      </c>
      <c r="P49" s="122">
        <v>0</v>
      </c>
      <c r="Q49" s="122">
        <v>0</v>
      </c>
      <c r="R49" s="382">
        <v>1</v>
      </c>
    </row>
    <row r="50" spans="1:18" ht="15" customHeight="1" x14ac:dyDescent="0.2">
      <c r="A50" s="122"/>
      <c r="F50" s="353" t="s">
        <v>221</v>
      </c>
      <c r="G50" s="122">
        <v>0</v>
      </c>
      <c r="H50" s="122">
        <v>0</v>
      </c>
      <c r="I50" s="122">
        <v>0</v>
      </c>
      <c r="J50" s="122">
        <v>0</v>
      </c>
      <c r="K50" s="122">
        <v>1</v>
      </c>
      <c r="L50" s="122">
        <v>0</v>
      </c>
      <c r="M50" s="122">
        <v>1</v>
      </c>
      <c r="N50" s="122">
        <v>0</v>
      </c>
      <c r="O50" s="122">
        <v>1</v>
      </c>
      <c r="P50" s="122">
        <v>0</v>
      </c>
      <c r="Q50" s="122">
        <v>0</v>
      </c>
      <c r="R50" s="382">
        <v>1</v>
      </c>
    </row>
    <row r="51" spans="1:18" ht="15" customHeight="1" x14ac:dyDescent="0.2">
      <c r="F51" s="353" t="s">
        <v>222</v>
      </c>
      <c r="G51" s="122">
        <v>0</v>
      </c>
      <c r="H51" s="122">
        <v>0</v>
      </c>
      <c r="I51" s="122">
        <v>0</v>
      </c>
      <c r="J51" s="122">
        <v>0</v>
      </c>
      <c r="K51" s="122">
        <v>1</v>
      </c>
      <c r="L51" s="122">
        <v>0</v>
      </c>
      <c r="M51" s="122">
        <v>1</v>
      </c>
      <c r="N51" s="122">
        <v>0</v>
      </c>
      <c r="O51" s="122">
        <v>1</v>
      </c>
      <c r="P51" s="122">
        <v>0</v>
      </c>
      <c r="Q51" s="122">
        <v>0</v>
      </c>
      <c r="R51" s="382">
        <v>1</v>
      </c>
    </row>
    <row r="52" spans="1:18" ht="15" customHeight="1" x14ac:dyDescent="0.2">
      <c r="F52" s="353" t="s">
        <v>223</v>
      </c>
      <c r="G52" s="122">
        <v>0</v>
      </c>
      <c r="H52" s="122">
        <v>0</v>
      </c>
      <c r="I52" s="122">
        <v>0</v>
      </c>
      <c r="J52" s="122">
        <v>0</v>
      </c>
      <c r="K52" s="122">
        <v>1</v>
      </c>
      <c r="L52" s="122">
        <v>0</v>
      </c>
      <c r="M52" s="122">
        <v>1</v>
      </c>
      <c r="N52" s="122">
        <v>0</v>
      </c>
      <c r="O52" s="122">
        <v>1</v>
      </c>
      <c r="P52" s="122">
        <v>0</v>
      </c>
      <c r="Q52" s="122">
        <v>0</v>
      </c>
      <c r="R52" s="382">
        <v>1</v>
      </c>
    </row>
    <row r="53" spans="1:18" ht="15" customHeight="1" x14ac:dyDescent="0.2">
      <c r="A53" s="122"/>
      <c r="F53" s="353" t="s">
        <v>224</v>
      </c>
      <c r="G53" s="122">
        <v>0</v>
      </c>
      <c r="H53" s="122">
        <v>0</v>
      </c>
      <c r="I53" s="122">
        <v>0</v>
      </c>
      <c r="J53" s="122">
        <v>0</v>
      </c>
      <c r="K53" s="122">
        <v>1</v>
      </c>
      <c r="L53" s="122">
        <v>0</v>
      </c>
      <c r="M53" s="122">
        <v>1</v>
      </c>
      <c r="N53" s="122">
        <v>0</v>
      </c>
      <c r="O53" s="122">
        <v>1</v>
      </c>
      <c r="P53" s="122">
        <v>0</v>
      </c>
      <c r="Q53" s="122">
        <v>0</v>
      </c>
      <c r="R53" s="382">
        <v>1</v>
      </c>
    </row>
    <row r="54" spans="1:18" ht="15" customHeight="1" x14ac:dyDescent="0.2">
      <c r="A54" s="122"/>
      <c r="F54" s="353" t="s">
        <v>225</v>
      </c>
      <c r="G54" s="122">
        <v>0</v>
      </c>
      <c r="H54" s="122">
        <v>0</v>
      </c>
      <c r="I54" s="122">
        <v>0</v>
      </c>
      <c r="J54" s="122">
        <v>0</v>
      </c>
      <c r="K54" s="122">
        <v>0</v>
      </c>
      <c r="L54" s="122">
        <v>1</v>
      </c>
      <c r="M54" s="122">
        <v>0</v>
      </c>
      <c r="N54" s="122">
        <v>1</v>
      </c>
      <c r="O54" s="122">
        <v>0</v>
      </c>
      <c r="P54" s="122">
        <v>1</v>
      </c>
      <c r="Q54" s="122">
        <v>0</v>
      </c>
      <c r="R54" s="382">
        <v>1</v>
      </c>
    </row>
    <row r="55" spans="1:18" ht="15" customHeight="1" x14ac:dyDescent="0.2">
      <c r="A55" s="122"/>
      <c r="F55" s="353" t="s">
        <v>124</v>
      </c>
      <c r="G55" s="122">
        <v>0</v>
      </c>
      <c r="H55" s="122">
        <v>0</v>
      </c>
      <c r="I55" s="122">
        <v>0</v>
      </c>
      <c r="J55" s="122">
        <v>0</v>
      </c>
      <c r="K55" s="122">
        <v>0</v>
      </c>
      <c r="L55" s="122">
        <v>1</v>
      </c>
      <c r="M55" s="122">
        <v>0</v>
      </c>
      <c r="N55" s="122">
        <v>1</v>
      </c>
      <c r="O55" s="122">
        <v>0</v>
      </c>
      <c r="P55" s="122">
        <v>1</v>
      </c>
      <c r="Q55" s="122">
        <v>0</v>
      </c>
      <c r="R55" s="382">
        <v>1</v>
      </c>
    </row>
    <row r="56" spans="1:18" ht="15" customHeight="1" x14ac:dyDescent="0.2">
      <c r="A56" s="122"/>
      <c r="F56" s="353" t="s">
        <v>125</v>
      </c>
      <c r="G56" s="122">
        <v>0</v>
      </c>
      <c r="H56" s="122">
        <v>0</v>
      </c>
      <c r="I56" s="122">
        <v>0</v>
      </c>
      <c r="J56" s="122">
        <v>0</v>
      </c>
      <c r="K56" s="122">
        <v>0</v>
      </c>
      <c r="L56" s="122">
        <v>1</v>
      </c>
      <c r="M56" s="122">
        <v>0</v>
      </c>
      <c r="N56" s="122">
        <v>1</v>
      </c>
      <c r="O56" s="122">
        <v>0</v>
      </c>
      <c r="P56" s="122">
        <v>1</v>
      </c>
      <c r="Q56" s="122">
        <v>0</v>
      </c>
      <c r="R56" s="382">
        <v>1</v>
      </c>
    </row>
    <row r="57" spans="1:18" ht="15" customHeight="1" x14ac:dyDescent="0.2">
      <c r="A57" s="122"/>
      <c r="F57" s="378" t="s">
        <v>226</v>
      </c>
      <c r="G57" s="122">
        <v>0</v>
      </c>
      <c r="H57" s="122">
        <v>0</v>
      </c>
      <c r="I57" s="122">
        <v>0</v>
      </c>
      <c r="J57" s="122">
        <v>0</v>
      </c>
      <c r="K57" s="122">
        <v>0</v>
      </c>
      <c r="L57" s="122">
        <v>1</v>
      </c>
      <c r="M57" s="122">
        <v>0</v>
      </c>
      <c r="N57" s="122">
        <v>0</v>
      </c>
      <c r="O57" s="122">
        <v>0</v>
      </c>
      <c r="P57" s="122">
        <v>0</v>
      </c>
      <c r="Q57" s="122">
        <v>0</v>
      </c>
      <c r="R57" s="382">
        <v>1</v>
      </c>
    </row>
    <row r="58" spans="1:18" ht="15" customHeight="1" x14ac:dyDescent="0.2">
      <c r="A58" s="122"/>
      <c r="F58" s="378" t="s">
        <v>227</v>
      </c>
      <c r="G58" s="122">
        <v>0</v>
      </c>
      <c r="H58" s="122">
        <v>0</v>
      </c>
      <c r="I58" s="122">
        <v>0</v>
      </c>
      <c r="J58" s="122">
        <v>0</v>
      </c>
      <c r="K58" s="122">
        <v>0</v>
      </c>
      <c r="L58" s="122">
        <v>1</v>
      </c>
      <c r="M58" s="122">
        <v>0</v>
      </c>
      <c r="N58" s="122">
        <v>0</v>
      </c>
      <c r="O58" s="122">
        <v>0</v>
      </c>
      <c r="P58" s="122">
        <v>0</v>
      </c>
      <c r="Q58" s="122">
        <v>0</v>
      </c>
      <c r="R58" s="382">
        <v>1</v>
      </c>
    </row>
    <row r="59" spans="1:18" ht="15" customHeight="1" x14ac:dyDescent="0.2">
      <c r="A59" s="122"/>
      <c r="F59" s="378" t="s">
        <v>228</v>
      </c>
      <c r="G59" s="122">
        <v>0</v>
      </c>
      <c r="H59" s="122">
        <v>0</v>
      </c>
      <c r="I59" s="122">
        <v>0</v>
      </c>
      <c r="J59" s="122">
        <v>0</v>
      </c>
      <c r="K59" s="122">
        <v>0</v>
      </c>
      <c r="L59" s="122">
        <v>1</v>
      </c>
      <c r="M59" s="122">
        <v>0</v>
      </c>
      <c r="N59" s="122">
        <v>0</v>
      </c>
      <c r="O59" s="122">
        <v>0</v>
      </c>
      <c r="P59" s="122">
        <v>0</v>
      </c>
      <c r="Q59" s="122">
        <v>0</v>
      </c>
      <c r="R59" s="382">
        <v>1</v>
      </c>
    </row>
    <row r="60" spans="1:18" ht="15" customHeight="1" x14ac:dyDescent="0.2">
      <c r="A60" s="122"/>
      <c r="F60" s="378" t="s">
        <v>229</v>
      </c>
      <c r="G60" s="122">
        <v>0</v>
      </c>
      <c r="H60" s="122">
        <v>0</v>
      </c>
      <c r="I60" s="122">
        <v>0</v>
      </c>
      <c r="J60" s="122">
        <v>0</v>
      </c>
      <c r="K60" s="122">
        <v>0</v>
      </c>
      <c r="L60" s="122">
        <v>1</v>
      </c>
      <c r="M60" s="122">
        <v>0</v>
      </c>
      <c r="N60" s="122">
        <v>0</v>
      </c>
      <c r="O60" s="122">
        <v>0</v>
      </c>
      <c r="P60" s="122">
        <v>0</v>
      </c>
      <c r="Q60" s="122">
        <v>0</v>
      </c>
      <c r="R60" s="382">
        <v>1</v>
      </c>
    </row>
    <row r="61" spans="1:18" ht="15" customHeight="1" x14ac:dyDescent="0.2">
      <c r="A61" s="122"/>
      <c r="F61" s="378" t="s">
        <v>230</v>
      </c>
      <c r="G61" s="122">
        <v>0</v>
      </c>
      <c r="H61" s="122">
        <v>0</v>
      </c>
      <c r="I61" s="122">
        <v>0</v>
      </c>
      <c r="J61" s="122">
        <v>0</v>
      </c>
      <c r="K61" s="122">
        <v>0</v>
      </c>
      <c r="L61" s="122">
        <v>1</v>
      </c>
      <c r="M61" s="122">
        <v>0</v>
      </c>
      <c r="N61" s="122">
        <v>0</v>
      </c>
      <c r="O61" s="122">
        <v>0</v>
      </c>
      <c r="P61" s="122">
        <v>0</v>
      </c>
      <c r="Q61" s="122">
        <v>0</v>
      </c>
      <c r="R61" s="382">
        <v>1</v>
      </c>
    </row>
    <row r="62" spans="1:18" ht="15" customHeight="1" x14ac:dyDescent="0.2">
      <c r="A62" s="122"/>
      <c r="F62" s="378" t="s">
        <v>231</v>
      </c>
      <c r="G62" s="122">
        <v>0</v>
      </c>
      <c r="H62" s="122">
        <v>0</v>
      </c>
      <c r="I62" s="122">
        <v>0</v>
      </c>
      <c r="J62" s="122">
        <v>0</v>
      </c>
      <c r="K62" s="122">
        <v>0</v>
      </c>
      <c r="L62" s="122">
        <v>1</v>
      </c>
      <c r="M62" s="122">
        <v>0</v>
      </c>
      <c r="N62" s="122">
        <v>0</v>
      </c>
      <c r="O62" s="122">
        <v>0</v>
      </c>
      <c r="P62" s="122">
        <v>0</v>
      </c>
      <c r="Q62" s="122">
        <v>0</v>
      </c>
      <c r="R62" s="382">
        <v>1</v>
      </c>
    </row>
    <row r="63" spans="1:18" ht="15" customHeight="1" x14ac:dyDescent="0.2">
      <c r="A63" s="122"/>
      <c r="F63" s="378" t="s">
        <v>232</v>
      </c>
      <c r="G63" s="122">
        <v>0</v>
      </c>
      <c r="H63" s="122">
        <v>0</v>
      </c>
      <c r="I63" s="122">
        <v>0</v>
      </c>
      <c r="J63" s="122">
        <v>0</v>
      </c>
      <c r="K63" s="122">
        <v>0</v>
      </c>
      <c r="L63" s="122">
        <v>1</v>
      </c>
      <c r="M63" s="122">
        <v>0</v>
      </c>
      <c r="N63" s="122">
        <v>0</v>
      </c>
      <c r="O63" s="122">
        <v>0</v>
      </c>
      <c r="P63" s="122">
        <v>0</v>
      </c>
      <c r="Q63" s="122">
        <v>0</v>
      </c>
      <c r="R63" s="382">
        <v>1</v>
      </c>
    </row>
    <row r="64" spans="1:18" ht="15" customHeight="1" x14ac:dyDescent="0.2">
      <c r="A64" s="122"/>
      <c r="F64" s="378" t="s">
        <v>233</v>
      </c>
      <c r="G64" s="122">
        <v>0</v>
      </c>
      <c r="H64" s="122">
        <v>0</v>
      </c>
      <c r="I64" s="122">
        <v>0</v>
      </c>
      <c r="J64" s="122">
        <v>0</v>
      </c>
      <c r="K64" s="122">
        <v>0</v>
      </c>
      <c r="L64" s="122">
        <v>1</v>
      </c>
      <c r="M64" s="122">
        <v>0</v>
      </c>
      <c r="N64" s="122">
        <v>0</v>
      </c>
      <c r="O64" s="122">
        <v>0</v>
      </c>
      <c r="P64" s="122">
        <v>0</v>
      </c>
      <c r="Q64" s="122">
        <v>0</v>
      </c>
      <c r="R64" s="382">
        <v>1</v>
      </c>
    </row>
    <row r="65" spans="1:18" ht="15" customHeight="1" x14ac:dyDescent="0.2">
      <c r="F65" s="378" t="s">
        <v>234</v>
      </c>
      <c r="G65" s="122">
        <v>0</v>
      </c>
      <c r="H65" s="122">
        <v>0</v>
      </c>
      <c r="I65" s="122">
        <v>0</v>
      </c>
      <c r="J65" s="122">
        <v>0</v>
      </c>
      <c r="K65" s="122">
        <v>0</v>
      </c>
      <c r="L65" s="122">
        <v>1</v>
      </c>
      <c r="M65" s="122">
        <v>0</v>
      </c>
      <c r="N65" s="122">
        <v>0</v>
      </c>
      <c r="O65" s="122">
        <v>0</v>
      </c>
      <c r="P65" s="122">
        <v>0</v>
      </c>
      <c r="Q65" s="122">
        <v>0</v>
      </c>
      <c r="R65" s="382">
        <v>1</v>
      </c>
    </row>
    <row r="66" spans="1:18" ht="15" customHeight="1" x14ac:dyDescent="0.2">
      <c r="F66" s="378" t="s">
        <v>235</v>
      </c>
      <c r="G66" s="122">
        <v>0</v>
      </c>
      <c r="H66" s="122">
        <v>0</v>
      </c>
      <c r="I66" s="122">
        <v>0</v>
      </c>
      <c r="J66" s="122">
        <v>0</v>
      </c>
      <c r="K66" s="122">
        <v>0</v>
      </c>
      <c r="L66" s="122">
        <v>1</v>
      </c>
      <c r="M66" s="122">
        <v>0</v>
      </c>
      <c r="N66" s="122">
        <v>0</v>
      </c>
      <c r="O66" s="122">
        <v>0</v>
      </c>
      <c r="P66" s="122">
        <v>0</v>
      </c>
      <c r="Q66" s="122">
        <v>0</v>
      </c>
      <c r="R66" s="382">
        <v>1</v>
      </c>
    </row>
    <row r="67" spans="1:18" ht="15" customHeight="1" x14ac:dyDescent="0.2">
      <c r="F67" s="378" t="s">
        <v>236</v>
      </c>
      <c r="G67" s="122">
        <v>0</v>
      </c>
      <c r="H67" s="122">
        <v>0</v>
      </c>
      <c r="I67" s="122">
        <v>0</v>
      </c>
      <c r="J67" s="122">
        <v>0</v>
      </c>
      <c r="K67" s="122">
        <v>0</v>
      </c>
      <c r="L67" s="122">
        <v>1</v>
      </c>
      <c r="M67" s="122">
        <v>0</v>
      </c>
      <c r="N67" s="122">
        <v>0</v>
      </c>
      <c r="O67" s="122">
        <v>0</v>
      </c>
      <c r="P67" s="122">
        <v>0</v>
      </c>
      <c r="Q67" s="122">
        <v>0</v>
      </c>
      <c r="R67" s="382">
        <v>1</v>
      </c>
    </row>
    <row r="68" spans="1:18" ht="15" customHeight="1" x14ac:dyDescent="0.2">
      <c r="F68" s="378" t="s">
        <v>237</v>
      </c>
      <c r="G68" s="122">
        <v>0</v>
      </c>
      <c r="H68" s="122">
        <v>0</v>
      </c>
      <c r="I68" s="122">
        <v>0</v>
      </c>
      <c r="J68" s="122">
        <v>0</v>
      </c>
      <c r="K68" s="122">
        <v>0</v>
      </c>
      <c r="L68" s="122">
        <v>1</v>
      </c>
      <c r="M68" s="122">
        <v>0</v>
      </c>
      <c r="N68" s="122">
        <v>0</v>
      </c>
      <c r="O68" s="122">
        <v>0</v>
      </c>
      <c r="P68" s="122">
        <v>0</v>
      </c>
      <c r="Q68" s="122">
        <v>0</v>
      </c>
      <c r="R68" s="382">
        <v>1</v>
      </c>
    </row>
    <row r="69" spans="1:18" ht="15" customHeight="1" x14ac:dyDescent="0.2">
      <c r="F69" s="378" t="s">
        <v>238</v>
      </c>
      <c r="G69" s="122">
        <v>0</v>
      </c>
      <c r="H69" s="122">
        <v>0</v>
      </c>
      <c r="I69" s="122">
        <v>0</v>
      </c>
      <c r="J69" s="122">
        <v>0</v>
      </c>
      <c r="K69" s="122">
        <v>0</v>
      </c>
      <c r="L69" s="122">
        <v>1</v>
      </c>
      <c r="M69" s="122">
        <v>0</v>
      </c>
      <c r="N69" s="122">
        <v>0</v>
      </c>
      <c r="O69" s="122">
        <v>0</v>
      </c>
      <c r="P69" s="122">
        <v>0</v>
      </c>
      <c r="Q69" s="122">
        <v>0</v>
      </c>
      <c r="R69" s="382">
        <v>1</v>
      </c>
    </row>
    <row r="70" spans="1:18" ht="15" customHeight="1" x14ac:dyDescent="0.2">
      <c r="F70" s="378" t="s">
        <v>239</v>
      </c>
      <c r="G70" s="122">
        <v>0</v>
      </c>
      <c r="H70" s="122">
        <v>0</v>
      </c>
      <c r="I70" s="122">
        <v>0</v>
      </c>
      <c r="J70" s="122">
        <v>0</v>
      </c>
      <c r="K70" s="122">
        <v>0</v>
      </c>
      <c r="L70" s="122">
        <v>1</v>
      </c>
      <c r="M70" s="122">
        <v>0</v>
      </c>
      <c r="N70" s="122">
        <v>0</v>
      </c>
      <c r="O70" s="122">
        <v>0</v>
      </c>
      <c r="P70" s="122">
        <v>0</v>
      </c>
      <c r="Q70" s="122">
        <v>0</v>
      </c>
      <c r="R70" s="382">
        <v>1</v>
      </c>
    </row>
    <row r="71" spans="1:18" ht="15" customHeight="1" x14ac:dyDescent="0.2">
      <c r="F71" s="378" t="s">
        <v>240</v>
      </c>
      <c r="G71" s="122">
        <v>0</v>
      </c>
      <c r="H71" s="122">
        <v>0</v>
      </c>
      <c r="I71" s="122">
        <v>0</v>
      </c>
      <c r="J71" s="122">
        <v>0</v>
      </c>
      <c r="K71" s="122">
        <v>0</v>
      </c>
      <c r="L71" s="122">
        <v>1</v>
      </c>
      <c r="M71" s="122">
        <v>0</v>
      </c>
      <c r="N71" s="122">
        <v>0</v>
      </c>
      <c r="O71" s="122">
        <v>0</v>
      </c>
      <c r="P71" s="122">
        <v>0</v>
      </c>
      <c r="Q71" s="122">
        <v>0</v>
      </c>
      <c r="R71" s="382">
        <v>1</v>
      </c>
    </row>
    <row r="72" spans="1:18" ht="15" customHeight="1" x14ac:dyDescent="0.2">
      <c r="F72" s="378" t="s">
        <v>241</v>
      </c>
      <c r="G72" s="122">
        <v>0</v>
      </c>
      <c r="H72" s="122">
        <v>0</v>
      </c>
      <c r="I72" s="122">
        <v>0</v>
      </c>
      <c r="J72" s="122">
        <v>0</v>
      </c>
      <c r="K72" s="122">
        <v>0</v>
      </c>
      <c r="L72" s="122">
        <v>1</v>
      </c>
      <c r="M72" s="122">
        <v>0</v>
      </c>
      <c r="N72" s="122">
        <v>0</v>
      </c>
      <c r="O72" s="122">
        <v>0</v>
      </c>
      <c r="P72" s="122">
        <v>0</v>
      </c>
      <c r="Q72" s="122">
        <v>0</v>
      </c>
      <c r="R72" s="382">
        <v>1</v>
      </c>
    </row>
    <row r="73" spans="1:18" ht="15" customHeight="1" x14ac:dyDescent="0.2">
      <c r="F73" s="378" t="s">
        <v>242</v>
      </c>
      <c r="G73" s="122">
        <v>0</v>
      </c>
      <c r="H73" s="122">
        <v>0</v>
      </c>
      <c r="I73" s="122">
        <v>0</v>
      </c>
      <c r="J73" s="122">
        <v>0</v>
      </c>
      <c r="K73" s="122">
        <v>0</v>
      </c>
      <c r="L73" s="122">
        <v>1</v>
      </c>
      <c r="M73" s="122">
        <v>0</v>
      </c>
      <c r="N73" s="122">
        <v>0</v>
      </c>
      <c r="O73" s="122">
        <v>0</v>
      </c>
      <c r="P73" s="122">
        <v>0</v>
      </c>
      <c r="Q73" s="122">
        <v>0</v>
      </c>
      <c r="R73" s="382">
        <v>1</v>
      </c>
    </row>
    <row r="74" spans="1:18" ht="15" customHeight="1" x14ac:dyDescent="0.2">
      <c r="F74" s="378" t="s">
        <v>244</v>
      </c>
      <c r="G74" s="122">
        <v>0</v>
      </c>
      <c r="H74" s="122">
        <v>0</v>
      </c>
      <c r="I74" s="122">
        <v>0</v>
      </c>
      <c r="J74" s="122">
        <v>0</v>
      </c>
      <c r="K74" s="122">
        <v>0</v>
      </c>
      <c r="L74" s="122">
        <v>1</v>
      </c>
      <c r="M74" s="122">
        <v>0</v>
      </c>
      <c r="N74" s="122">
        <v>0</v>
      </c>
      <c r="O74" s="122">
        <v>0</v>
      </c>
      <c r="P74" s="122">
        <v>0</v>
      </c>
      <c r="Q74" s="122">
        <v>0</v>
      </c>
      <c r="R74" s="382">
        <v>1</v>
      </c>
    </row>
    <row r="75" spans="1:18" ht="15" customHeight="1" x14ac:dyDescent="0.2">
      <c r="F75" s="378" t="s">
        <v>245</v>
      </c>
      <c r="G75" s="122">
        <v>0</v>
      </c>
      <c r="H75" s="122">
        <v>0</v>
      </c>
      <c r="I75" s="122">
        <v>0</v>
      </c>
      <c r="J75" s="122">
        <v>0</v>
      </c>
      <c r="K75" s="122">
        <v>0</v>
      </c>
      <c r="L75" s="122">
        <v>1</v>
      </c>
      <c r="M75" s="122">
        <v>0</v>
      </c>
      <c r="N75" s="122">
        <v>0</v>
      </c>
      <c r="O75" s="122">
        <v>0</v>
      </c>
      <c r="P75" s="122">
        <v>0</v>
      </c>
      <c r="Q75" s="122">
        <v>0</v>
      </c>
      <c r="R75" s="382">
        <v>1</v>
      </c>
    </row>
    <row r="76" spans="1:18" ht="15" customHeight="1" x14ac:dyDescent="0.2">
      <c r="A76" s="122"/>
      <c r="F76" s="378" t="s">
        <v>246</v>
      </c>
      <c r="G76" s="122">
        <v>0</v>
      </c>
      <c r="H76" s="122">
        <v>0</v>
      </c>
      <c r="I76" s="122">
        <v>0</v>
      </c>
      <c r="J76" s="122">
        <v>0</v>
      </c>
      <c r="K76" s="122">
        <v>0</v>
      </c>
      <c r="L76" s="122">
        <v>1</v>
      </c>
      <c r="M76" s="122">
        <v>0</v>
      </c>
      <c r="N76" s="122">
        <v>0</v>
      </c>
      <c r="O76" s="122">
        <v>0</v>
      </c>
      <c r="P76" s="122">
        <v>0</v>
      </c>
      <c r="Q76" s="122">
        <v>0</v>
      </c>
      <c r="R76" s="382">
        <v>1</v>
      </c>
    </row>
    <row r="77" spans="1:18" ht="15" customHeight="1" x14ac:dyDescent="0.2">
      <c r="A77" s="122"/>
      <c r="F77" s="378" t="s">
        <v>247</v>
      </c>
      <c r="G77" s="122">
        <v>0</v>
      </c>
      <c r="H77" s="122">
        <v>0</v>
      </c>
      <c r="I77" s="122">
        <v>0</v>
      </c>
      <c r="J77" s="122">
        <v>0</v>
      </c>
      <c r="K77" s="122">
        <v>0</v>
      </c>
      <c r="L77" s="122">
        <v>1</v>
      </c>
      <c r="M77" s="122">
        <v>0</v>
      </c>
      <c r="N77" s="122">
        <v>0</v>
      </c>
      <c r="O77" s="122">
        <v>0</v>
      </c>
      <c r="P77" s="122">
        <v>0</v>
      </c>
      <c r="Q77" s="122">
        <v>0</v>
      </c>
      <c r="R77" s="382">
        <v>1</v>
      </c>
    </row>
    <row r="78" spans="1:18" ht="15" customHeight="1" x14ac:dyDescent="0.2">
      <c r="A78" s="122"/>
      <c r="F78" s="378" t="s">
        <v>248</v>
      </c>
      <c r="G78" s="122">
        <v>0</v>
      </c>
      <c r="H78" s="122">
        <v>0</v>
      </c>
      <c r="I78" s="122">
        <v>0</v>
      </c>
      <c r="J78" s="122">
        <v>0</v>
      </c>
      <c r="K78" s="122">
        <v>0</v>
      </c>
      <c r="L78" s="122">
        <v>1</v>
      </c>
      <c r="M78" s="122">
        <v>0</v>
      </c>
      <c r="N78" s="122">
        <v>0</v>
      </c>
      <c r="O78" s="122">
        <v>0</v>
      </c>
      <c r="P78" s="122">
        <v>0</v>
      </c>
      <c r="Q78" s="122">
        <v>0</v>
      </c>
      <c r="R78" s="382">
        <v>1</v>
      </c>
    </row>
    <row r="79" spans="1:18" ht="15" customHeight="1" x14ac:dyDescent="0.2">
      <c r="A79" s="122"/>
      <c r="F79" s="378" t="s">
        <v>249</v>
      </c>
      <c r="G79" s="122">
        <v>0</v>
      </c>
      <c r="H79" s="122">
        <v>0</v>
      </c>
      <c r="I79" s="122">
        <v>0</v>
      </c>
      <c r="J79" s="122">
        <v>0</v>
      </c>
      <c r="K79" s="122">
        <v>0</v>
      </c>
      <c r="L79" s="122">
        <v>1</v>
      </c>
      <c r="M79" s="122">
        <v>0</v>
      </c>
      <c r="N79" s="122">
        <v>0</v>
      </c>
      <c r="O79" s="122">
        <v>0</v>
      </c>
      <c r="P79" s="122">
        <v>0</v>
      </c>
      <c r="Q79" s="122">
        <v>0</v>
      </c>
      <c r="R79" s="382">
        <v>1</v>
      </c>
    </row>
    <row r="80" spans="1:18" ht="15" customHeight="1" x14ac:dyDescent="0.2">
      <c r="A80" s="122"/>
      <c r="F80" s="378" t="s">
        <v>250</v>
      </c>
      <c r="G80" s="122">
        <v>0</v>
      </c>
      <c r="H80" s="122">
        <v>0</v>
      </c>
      <c r="I80" s="122">
        <v>0</v>
      </c>
      <c r="J80" s="122">
        <v>0</v>
      </c>
      <c r="K80" s="122">
        <v>0</v>
      </c>
      <c r="L80" s="122">
        <v>1</v>
      </c>
      <c r="M80" s="122">
        <v>0</v>
      </c>
      <c r="N80" s="122">
        <v>0</v>
      </c>
      <c r="O80" s="122">
        <v>0</v>
      </c>
      <c r="P80" s="122">
        <v>0</v>
      </c>
      <c r="Q80" s="122">
        <v>0</v>
      </c>
      <c r="R80" s="382">
        <v>1</v>
      </c>
    </row>
    <row r="81" spans="1:18" ht="15" customHeight="1" x14ac:dyDescent="0.2">
      <c r="A81" s="122"/>
      <c r="F81" s="378" t="s">
        <v>251</v>
      </c>
      <c r="G81" s="122">
        <v>0</v>
      </c>
      <c r="H81" s="122">
        <v>0</v>
      </c>
      <c r="I81" s="122">
        <v>0</v>
      </c>
      <c r="J81" s="122">
        <v>0</v>
      </c>
      <c r="K81" s="122">
        <v>0</v>
      </c>
      <c r="L81" s="122">
        <v>1</v>
      </c>
      <c r="M81" s="122">
        <v>0</v>
      </c>
      <c r="N81" s="122">
        <v>0</v>
      </c>
      <c r="O81" s="122">
        <v>0</v>
      </c>
      <c r="P81" s="122">
        <v>0</v>
      </c>
      <c r="Q81" s="122">
        <v>0</v>
      </c>
      <c r="R81" s="382">
        <v>1</v>
      </c>
    </row>
    <row r="82" spans="1:18" ht="15" customHeight="1" x14ac:dyDescent="0.2">
      <c r="A82" s="122"/>
      <c r="F82" s="378" t="s">
        <v>252</v>
      </c>
      <c r="G82" s="122">
        <v>0</v>
      </c>
      <c r="H82" s="122">
        <v>0</v>
      </c>
      <c r="I82" s="122">
        <v>0</v>
      </c>
      <c r="J82" s="122">
        <v>0</v>
      </c>
      <c r="K82" s="122">
        <v>0</v>
      </c>
      <c r="L82" s="122">
        <v>1</v>
      </c>
      <c r="M82" s="122">
        <v>0</v>
      </c>
      <c r="N82" s="122">
        <v>0</v>
      </c>
      <c r="O82" s="122">
        <v>0</v>
      </c>
      <c r="P82" s="122">
        <v>0</v>
      </c>
      <c r="Q82" s="122">
        <v>0</v>
      </c>
      <c r="R82" s="382">
        <v>1</v>
      </c>
    </row>
    <row r="83" spans="1:18" ht="15" customHeight="1" x14ac:dyDescent="0.2">
      <c r="A83" s="122"/>
      <c r="F83" s="378" t="s">
        <v>253</v>
      </c>
      <c r="G83" s="122">
        <v>0</v>
      </c>
      <c r="H83" s="122">
        <v>0</v>
      </c>
      <c r="I83" s="122">
        <v>0</v>
      </c>
      <c r="J83" s="122">
        <v>0</v>
      </c>
      <c r="K83" s="122">
        <v>0</v>
      </c>
      <c r="L83" s="122">
        <v>1</v>
      </c>
      <c r="M83" s="122">
        <v>0</v>
      </c>
      <c r="N83" s="122">
        <v>0</v>
      </c>
      <c r="O83" s="122">
        <v>0</v>
      </c>
      <c r="P83" s="122">
        <v>0</v>
      </c>
      <c r="Q83" s="122">
        <v>0</v>
      </c>
      <c r="R83" s="382">
        <v>1</v>
      </c>
    </row>
    <row r="84" spans="1:18" ht="15" customHeight="1" x14ac:dyDescent="0.2">
      <c r="A84" s="122"/>
      <c r="F84" s="378" t="s">
        <v>254</v>
      </c>
      <c r="G84" s="122">
        <v>0</v>
      </c>
      <c r="H84" s="122">
        <v>0</v>
      </c>
      <c r="I84" s="122">
        <v>0</v>
      </c>
      <c r="J84" s="122">
        <v>0</v>
      </c>
      <c r="K84" s="122">
        <v>0</v>
      </c>
      <c r="L84" s="122">
        <v>1</v>
      </c>
      <c r="M84" s="122">
        <v>0</v>
      </c>
      <c r="N84" s="122">
        <v>0</v>
      </c>
      <c r="O84" s="122">
        <v>0</v>
      </c>
      <c r="P84" s="122">
        <v>0</v>
      </c>
      <c r="Q84" s="122">
        <v>0</v>
      </c>
      <c r="R84" s="382">
        <v>1</v>
      </c>
    </row>
    <row r="85" spans="1:18" ht="15" customHeight="1" x14ac:dyDescent="0.2">
      <c r="A85" s="122"/>
      <c r="F85" s="378" t="s">
        <v>255</v>
      </c>
      <c r="G85" s="122">
        <v>0</v>
      </c>
      <c r="H85" s="122">
        <v>0</v>
      </c>
      <c r="I85" s="122">
        <v>0</v>
      </c>
      <c r="J85" s="122">
        <v>0</v>
      </c>
      <c r="K85" s="122">
        <v>0</v>
      </c>
      <c r="L85" s="122">
        <v>1</v>
      </c>
      <c r="M85" s="122">
        <v>0</v>
      </c>
      <c r="N85" s="122">
        <v>0</v>
      </c>
      <c r="O85" s="122">
        <v>0</v>
      </c>
      <c r="P85" s="122">
        <v>0</v>
      </c>
      <c r="Q85" s="122">
        <v>0</v>
      </c>
      <c r="R85" s="382">
        <v>1</v>
      </c>
    </row>
    <row r="86" spans="1:18" ht="15" customHeight="1" x14ac:dyDescent="0.2">
      <c r="A86" s="122"/>
      <c r="F86" s="378" t="s">
        <v>256</v>
      </c>
      <c r="G86" s="122">
        <v>0</v>
      </c>
      <c r="H86" s="122">
        <v>0</v>
      </c>
      <c r="I86" s="122">
        <v>0</v>
      </c>
      <c r="J86" s="122">
        <v>0</v>
      </c>
      <c r="K86" s="122">
        <v>0</v>
      </c>
      <c r="L86" s="122">
        <v>1</v>
      </c>
      <c r="M86" s="122">
        <v>0</v>
      </c>
      <c r="N86" s="122">
        <v>0</v>
      </c>
      <c r="O86" s="122">
        <v>0</v>
      </c>
      <c r="P86" s="122">
        <v>0</v>
      </c>
      <c r="Q86" s="122">
        <v>0</v>
      </c>
      <c r="R86" s="382">
        <v>1</v>
      </c>
    </row>
    <row r="87" spans="1:18" ht="15" customHeight="1" x14ac:dyDescent="0.2">
      <c r="A87" s="122"/>
      <c r="F87" s="378" t="s">
        <v>243</v>
      </c>
      <c r="G87" s="122">
        <v>0</v>
      </c>
      <c r="H87" s="122">
        <v>0</v>
      </c>
      <c r="I87" s="122">
        <v>0</v>
      </c>
      <c r="J87" s="122">
        <v>0</v>
      </c>
      <c r="K87" s="122">
        <v>0</v>
      </c>
      <c r="L87" s="122">
        <v>1</v>
      </c>
      <c r="M87" s="122">
        <v>0</v>
      </c>
      <c r="N87" s="122">
        <v>0</v>
      </c>
      <c r="O87" s="122">
        <v>0</v>
      </c>
      <c r="P87" s="122">
        <v>0</v>
      </c>
      <c r="Q87" s="122">
        <v>0</v>
      </c>
      <c r="R87" s="382">
        <v>1</v>
      </c>
    </row>
    <row r="88" spans="1:18" ht="15" customHeight="1" x14ac:dyDescent="0.2">
      <c r="A88" s="122"/>
      <c r="P88" s="380"/>
      <c r="R88" s="122"/>
    </row>
    <row r="89" spans="1:18" ht="15" customHeight="1" x14ac:dyDescent="0.2">
      <c r="A89" s="122"/>
      <c r="P89" s="380"/>
      <c r="R89" s="122"/>
    </row>
    <row r="90" spans="1:18" ht="15" customHeight="1" x14ac:dyDescent="0.2">
      <c r="A90" s="122"/>
      <c r="P90" s="380"/>
      <c r="R90" s="122"/>
    </row>
    <row r="91" spans="1:18" ht="15" customHeight="1" x14ac:dyDescent="0.2">
      <c r="A91" s="122"/>
      <c r="P91" s="380"/>
      <c r="R91" s="122"/>
    </row>
    <row r="92" spans="1:18" ht="15" customHeight="1" x14ac:dyDescent="0.2">
      <c r="A92" s="122"/>
      <c r="P92" s="380"/>
      <c r="R92" s="122"/>
    </row>
    <row r="93" spans="1:18" ht="15" customHeight="1" x14ac:dyDescent="0.2">
      <c r="A93" s="122"/>
      <c r="P93" s="380"/>
      <c r="R93" s="122"/>
    </row>
    <row r="94" spans="1:18" ht="15" customHeight="1" x14ac:dyDescent="0.2">
      <c r="A94" s="122"/>
      <c r="P94" s="380"/>
      <c r="R94" s="122"/>
    </row>
    <row r="95" spans="1:18" ht="15" customHeight="1" x14ac:dyDescent="0.2">
      <c r="A95" s="122"/>
      <c r="P95" s="380"/>
      <c r="R95" s="122"/>
    </row>
    <row r="96" spans="1:18" ht="15" customHeight="1" x14ac:dyDescent="0.2">
      <c r="A96" s="122"/>
      <c r="P96" s="380"/>
      <c r="R96" s="122"/>
    </row>
    <row r="97" spans="1:18" ht="15" customHeight="1" x14ac:dyDescent="0.2">
      <c r="A97" s="122"/>
      <c r="P97" s="380"/>
      <c r="R97" s="122"/>
    </row>
    <row r="98" spans="1:18" ht="15" customHeight="1" x14ac:dyDescent="0.2">
      <c r="A98" s="122"/>
      <c r="P98" s="380"/>
      <c r="R98" s="122"/>
    </row>
    <row r="99" spans="1:18" ht="15" customHeight="1" x14ac:dyDescent="0.2">
      <c r="A99" s="122"/>
      <c r="P99" s="380"/>
      <c r="R99" s="122"/>
    </row>
    <row r="100" spans="1:18" ht="15" customHeight="1" x14ac:dyDescent="0.2">
      <c r="A100" s="122"/>
      <c r="P100" s="380"/>
      <c r="R100" s="122"/>
    </row>
    <row r="101" spans="1:18" ht="15" customHeight="1" x14ac:dyDescent="0.2">
      <c r="A101" s="122"/>
      <c r="P101" s="380"/>
      <c r="R101" s="122"/>
    </row>
    <row r="102" spans="1:18" ht="15" customHeight="1" x14ac:dyDescent="0.2">
      <c r="A102" s="122"/>
      <c r="P102" s="380"/>
      <c r="R102" s="122"/>
    </row>
    <row r="103" spans="1:18" ht="15" customHeight="1" x14ac:dyDescent="0.2">
      <c r="A103" s="122"/>
      <c r="P103" s="380"/>
      <c r="R103" s="122"/>
    </row>
    <row r="104" spans="1:18" ht="15" customHeight="1" x14ac:dyDescent="0.2">
      <c r="A104" s="122"/>
      <c r="P104" s="380"/>
      <c r="R104" s="122"/>
    </row>
    <row r="105" spans="1:18" ht="15" customHeight="1" x14ac:dyDescent="0.2">
      <c r="A105" s="122"/>
      <c r="P105" s="380"/>
      <c r="R105" s="122"/>
    </row>
    <row r="106" spans="1:18" ht="15" customHeight="1" x14ac:dyDescent="0.2">
      <c r="P106" s="380"/>
      <c r="R106" s="122"/>
    </row>
    <row r="107" spans="1:18" ht="15" customHeight="1" x14ac:dyDescent="0.2">
      <c r="P107" s="380"/>
      <c r="R107" s="122"/>
    </row>
    <row r="108" spans="1:18" ht="15" customHeight="1" x14ac:dyDescent="0.2">
      <c r="P108" s="380"/>
      <c r="R108" s="122"/>
    </row>
    <row r="109" spans="1:18" ht="15" customHeight="1" x14ac:dyDescent="0.2">
      <c r="P109" s="380"/>
      <c r="R109" s="122"/>
    </row>
    <row r="110" spans="1:18" ht="15" customHeight="1" x14ac:dyDescent="0.2">
      <c r="P110" s="380"/>
      <c r="R110" s="122"/>
    </row>
    <row r="111" spans="1:18" ht="15" customHeight="1" x14ac:dyDescent="0.2">
      <c r="P111" s="380"/>
      <c r="R111" s="122"/>
    </row>
    <row r="112" spans="1:18" ht="15" customHeight="1" x14ac:dyDescent="0.2">
      <c r="P112" s="380"/>
      <c r="R112" s="122"/>
    </row>
    <row r="113" spans="11:16" s="122" customFormat="1" ht="15" customHeight="1" x14ac:dyDescent="0.2">
      <c r="K113" s="379"/>
      <c r="L113" s="380"/>
      <c r="M113" s="379"/>
      <c r="N113" s="380"/>
      <c r="O113" s="379"/>
      <c r="P113" s="380"/>
    </row>
    <row r="114" spans="11:16" s="122" customFormat="1" ht="15" customHeight="1" x14ac:dyDescent="0.2">
      <c r="K114" s="379"/>
      <c r="L114" s="380"/>
      <c r="M114" s="379"/>
      <c r="N114" s="380"/>
      <c r="O114" s="379"/>
      <c r="P114" s="380"/>
    </row>
    <row r="115" spans="11:16" s="122" customFormat="1" ht="15" customHeight="1" x14ac:dyDescent="0.2">
      <c r="K115" s="379"/>
      <c r="L115" s="380"/>
      <c r="M115" s="379"/>
      <c r="N115" s="380"/>
      <c r="O115" s="379"/>
      <c r="P115" s="380"/>
    </row>
    <row r="116" spans="11:16" s="122" customFormat="1" ht="15" customHeight="1" x14ac:dyDescent="0.2">
      <c r="K116" s="379"/>
      <c r="L116" s="380"/>
      <c r="M116" s="379"/>
      <c r="N116" s="380"/>
      <c r="O116" s="379"/>
      <c r="P116" s="380"/>
    </row>
    <row r="117" spans="11:16" s="122" customFormat="1" ht="15" customHeight="1" x14ac:dyDescent="0.2">
      <c r="K117" s="379"/>
      <c r="L117" s="380"/>
      <c r="M117" s="379"/>
      <c r="N117" s="380"/>
      <c r="O117" s="379"/>
      <c r="P117" s="380"/>
    </row>
    <row r="118" spans="11:16" s="122" customFormat="1" ht="15" customHeight="1" x14ac:dyDescent="0.2">
      <c r="K118" s="379"/>
      <c r="L118" s="380"/>
      <c r="M118" s="379"/>
      <c r="N118" s="380"/>
      <c r="O118" s="379"/>
      <c r="P118" s="380"/>
    </row>
    <row r="119" spans="11:16" s="122" customFormat="1" ht="15" customHeight="1" x14ac:dyDescent="0.2">
      <c r="K119" s="379"/>
      <c r="L119" s="380"/>
      <c r="M119" s="379"/>
      <c r="N119" s="380"/>
      <c r="O119" s="379"/>
      <c r="P119" s="380"/>
    </row>
    <row r="120" spans="11:16" s="122" customFormat="1" ht="15" customHeight="1" x14ac:dyDescent="0.2">
      <c r="K120" s="379"/>
      <c r="L120" s="380"/>
      <c r="M120" s="379"/>
      <c r="N120" s="380"/>
      <c r="O120" s="379"/>
      <c r="P120" s="380"/>
    </row>
    <row r="121" spans="11:16" s="122" customFormat="1" ht="15" customHeight="1" x14ac:dyDescent="0.2">
      <c r="K121" s="379"/>
      <c r="L121" s="380"/>
      <c r="M121" s="379"/>
      <c r="N121" s="380"/>
      <c r="O121" s="379"/>
      <c r="P121" s="380"/>
    </row>
    <row r="122" spans="11:16" s="122" customFormat="1" ht="15" customHeight="1" x14ac:dyDescent="0.2">
      <c r="K122" s="379"/>
      <c r="L122" s="380"/>
      <c r="M122" s="379"/>
      <c r="N122" s="380"/>
      <c r="O122" s="379"/>
      <c r="P122" s="380"/>
    </row>
    <row r="123" spans="11:16" s="122" customFormat="1" ht="15" customHeight="1" x14ac:dyDescent="0.2">
      <c r="K123" s="379"/>
      <c r="L123" s="380"/>
      <c r="M123" s="379"/>
      <c r="N123" s="380"/>
      <c r="O123" s="379"/>
      <c r="P123" s="380"/>
    </row>
    <row r="124" spans="11:16" s="122" customFormat="1" ht="15" customHeight="1" x14ac:dyDescent="0.2">
      <c r="K124" s="379"/>
      <c r="L124" s="380"/>
      <c r="M124" s="379"/>
      <c r="N124" s="380"/>
      <c r="O124" s="379"/>
      <c r="P124" s="380"/>
    </row>
    <row r="125" spans="11:16" s="122" customFormat="1" ht="15" customHeight="1" x14ac:dyDescent="0.2">
      <c r="K125" s="379"/>
      <c r="L125" s="380"/>
      <c r="M125" s="379"/>
      <c r="N125" s="380"/>
      <c r="O125" s="379"/>
      <c r="P125" s="380"/>
    </row>
    <row r="126" spans="11:16" s="122" customFormat="1" ht="15" customHeight="1" x14ac:dyDescent="0.2">
      <c r="K126" s="379"/>
      <c r="L126" s="380"/>
      <c r="M126" s="379"/>
      <c r="N126" s="380"/>
      <c r="O126" s="379"/>
      <c r="P126" s="380"/>
    </row>
    <row r="127" spans="11:16" s="122" customFormat="1" ht="15" customHeight="1" x14ac:dyDescent="0.2">
      <c r="K127" s="379"/>
      <c r="L127" s="380"/>
      <c r="M127" s="379"/>
      <c r="N127" s="380"/>
      <c r="O127" s="379"/>
      <c r="P127" s="380"/>
    </row>
    <row r="128" spans="11:16" s="122" customFormat="1" ht="15" customHeight="1" x14ac:dyDescent="0.2">
      <c r="K128" s="379"/>
      <c r="L128" s="380"/>
      <c r="M128" s="379"/>
      <c r="N128" s="380"/>
      <c r="O128" s="379"/>
      <c r="P128" s="380"/>
    </row>
    <row r="129" spans="11:16" s="122" customFormat="1" ht="15" customHeight="1" x14ac:dyDescent="0.2">
      <c r="K129" s="379"/>
      <c r="L129" s="380"/>
      <c r="M129" s="379"/>
      <c r="N129" s="380"/>
      <c r="O129" s="379"/>
      <c r="P129" s="380"/>
    </row>
    <row r="130" spans="11:16" s="122" customFormat="1" ht="15" customHeight="1" x14ac:dyDescent="0.2">
      <c r="K130" s="379"/>
      <c r="L130" s="380"/>
      <c r="M130" s="379"/>
      <c r="N130" s="380"/>
      <c r="O130" s="379"/>
      <c r="P130" s="380"/>
    </row>
    <row r="131" spans="11:16" s="122" customFormat="1" ht="15" customHeight="1" x14ac:dyDescent="0.2">
      <c r="K131" s="379"/>
      <c r="L131" s="380"/>
      <c r="M131" s="379"/>
      <c r="N131" s="380"/>
      <c r="O131" s="379"/>
      <c r="P131" s="380"/>
    </row>
    <row r="132" spans="11:16" s="122" customFormat="1" ht="15" customHeight="1" x14ac:dyDescent="0.2">
      <c r="K132" s="379"/>
      <c r="L132" s="380"/>
      <c r="M132" s="379"/>
      <c r="N132" s="380"/>
      <c r="O132" s="379"/>
      <c r="P132" s="380"/>
    </row>
    <row r="133" spans="11:16" s="122" customFormat="1" ht="15" customHeight="1" x14ac:dyDescent="0.2">
      <c r="K133" s="379"/>
      <c r="L133" s="380"/>
      <c r="M133" s="379"/>
      <c r="N133" s="380"/>
      <c r="O133" s="379"/>
      <c r="P133" s="380"/>
    </row>
    <row r="134" spans="11:16" s="122" customFormat="1" ht="15" customHeight="1" x14ac:dyDescent="0.2">
      <c r="K134" s="379"/>
      <c r="L134" s="380"/>
      <c r="M134" s="379"/>
      <c r="N134" s="380"/>
      <c r="O134" s="379"/>
      <c r="P134" s="380"/>
    </row>
    <row r="135" spans="11:16" s="122" customFormat="1" ht="15" customHeight="1" x14ac:dyDescent="0.2">
      <c r="K135" s="379"/>
      <c r="L135" s="380"/>
      <c r="M135" s="379"/>
      <c r="N135" s="380"/>
      <c r="O135" s="379"/>
      <c r="P135" s="380"/>
    </row>
    <row r="136" spans="11:16" s="122" customFormat="1" ht="15" customHeight="1" x14ac:dyDescent="0.2">
      <c r="K136" s="379"/>
      <c r="L136" s="380"/>
      <c r="M136" s="379"/>
      <c r="N136" s="380"/>
      <c r="O136" s="379"/>
      <c r="P136" s="380"/>
    </row>
    <row r="137" spans="11:16" s="122" customFormat="1" ht="15" customHeight="1" x14ac:dyDescent="0.2">
      <c r="K137" s="379"/>
      <c r="L137" s="380"/>
      <c r="M137" s="379"/>
      <c r="N137" s="380"/>
      <c r="O137" s="379"/>
      <c r="P137" s="380"/>
    </row>
    <row r="138" spans="11:16" s="122" customFormat="1" ht="15" customHeight="1" x14ac:dyDescent="0.2">
      <c r="K138" s="379"/>
      <c r="L138" s="380"/>
      <c r="M138" s="379"/>
      <c r="N138" s="380"/>
      <c r="O138" s="379"/>
      <c r="P138" s="380"/>
    </row>
    <row r="139" spans="11:16" s="122" customFormat="1" ht="15" customHeight="1" x14ac:dyDescent="0.2">
      <c r="K139" s="379"/>
      <c r="L139" s="380"/>
      <c r="M139" s="379"/>
      <c r="N139" s="380"/>
      <c r="O139" s="379"/>
      <c r="P139" s="380"/>
    </row>
    <row r="140" spans="11:16" s="122" customFormat="1" ht="15" customHeight="1" x14ac:dyDescent="0.2">
      <c r="K140" s="379"/>
      <c r="L140" s="380"/>
      <c r="M140" s="379"/>
      <c r="N140" s="380"/>
      <c r="O140" s="379"/>
      <c r="P140" s="380"/>
    </row>
    <row r="141" spans="11:16" s="122" customFormat="1" ht="15" customHeight="1" x14ac:dyDescent="0.2">
      <c r="K141" s="379"/>
      <c r="L141" s="380"/>
      <c r="M141" s="379"/>
      <c r="N141" s="380"/>
      <c r="O141" s="379"/>
      <c r="P141" s="380"/>
    </row>
    <row r="142" spans="11:16" s="122" customFormat="1" ht="15" customHeight="1" x14ac:dyDescent="0.2">
      <c r="K142" s="379"/>
      <c r="L142" s="380"/>
      <c r="M142" s="379"/>
      <c r="N142" s="380"/>
      <c r="O142" s="379"/>
      <c r="P142" s="380"/>
    </row>
    <row r="143" spans="11:16" s="122" customFormat="1" ht="15" customHeight="1" x14ac:dyDescent="0.2">
      <c r="K143" s="379"/>
      <c r="L143" s="380"/>
      <c r="M143" s="379"/>
      <c r="N143" s="380"/>
      <c r="O143" s="379"/>
      <c r="P143" s="380"/>
    </row>
    <row r="144" spans="11:16" s="122" customFormat="1" ht="15" customHeight="1" x14ac:dyDescent="0.2">
      <c r="K144" s="379"/>
      <c r="L144" s="380"/>
      <c r="M144" s="379"/>
      <c r="N144" s="380"/>
      <c r="O144" s="379"/>
      <c r="P144" s="380"/>
    </row>
    <row r="145" spans="11:16" s="122" customFormat="1" ht="15" customHeight="1" x14ac:dyDescent="0.2">
      <c r="K145" s="379"/>
      <c r="L145" s="380"/>
      <c r="M145" s="379"/>
      <c r="N145" s="380"/>
      <c r="O145" s="379"/>
      <c r="P145" s="380"/>
    </row>
    <row r="146" spans="11:16" s="122" customFormat="1" ht="15" customHeight="1" x14ac:dyDescent="0.2">
      <c r="K146" s="379"/>
      <c r="L146" s="380"/>
      <c r="M146" s="379"/>
      <c r="N146" s="380"/>
      <c r="O146" s="379"/>
      <c r="P146" s="380"/>
    </row>
    <row r="147" spans="11:16" s="122" customFormat="1" ht="15" customHeight="1" x14ac:dyDescent="0.2">
      <c r="K147" s="379"/>
      <c r="L147" s="380"/>
      <c r="M147" s="379"/>
      <c r="N147" s="380"/>
      <c r="O147" s="379"/>
      <c r="P147" s="380"/>
    </row>
    <row r="148" spans="11:16" s="122" customFormat="1" ht="15" customHeight="1" x14ac:dyDescent="0.2">
      <c r="K148" s="379"/>
      <c r="L148" s="380"/>
      <c r="M148" s="379"/>
      <c r="N148" s="380"/>
      <c r="O148" s="379"/>
      <c r="P148" s="380"/>
    </row>
    <row r="149" spans="11:16" s="122" customFormat="1" ht="15" customHeight="1" x14ac:dyDescent="0.2">
      <c r="K149" s="379"/>
      <c r="L149" s="380"/>
      <c r="M149" s="379"/>
      <c r="N149" s="380"/>
      <c r="O149" s="379"/>
      <c r="P149" s="380"/>
    </row>
    <row r="150" spans="11:16" s="122" customFormat="1" ht="15" customHeight="1" x14ac:dyDescent="0.2">
      <c r="K150" s="379"/>
      <c r="L150" s="380"/>
      <c r="M150" s="379"/>
      <c r="N150" s="380"/>
      <c r="O150" s="379"/>
      <c r="P150" s="380"/>
    </row>
    <row r="151" spans="11:16" s="122" customFormat="1" ht="15" customHeight="1" x14ac:dyDescent="0.2">
      <c r="K151" s="379"/>
      <c r="L151" s="380"/>
      <c r="M151" s="379"/>
      <c r="N151" s="380"/>
      <c r="O151" s="379"/>
      <c r="P151" s="380"/>
    </row>
    <row r="152" spans="11:16" s="122" customFormat="1" ht="15" customHeight="1" x14ac:dyDescent="0.2">
      <c r="K152" s="379"/>
      <c r="L152" s="380"/>
      <c r="M152" s="379"/>
      <c r="N152" s="380"/>
      <c r="O152" s="379"/>
      <c r="P152" s="380"/>
    </row>
    <row r="153" spans="11:16" s="122" customFormat="1" ht="15" customHeight="1" x14ac:dyDescent="0.2">
      <c r="K153" s="379"/>
      <c r="L153" s="380"/>
      <c r="M153" s="379"/>
      <c r="N153" s="380"/>
      <c r="O153" s="379"/>
      <c r="P153" s="380"/>
    </row>
    <row r="154" spans="11:16" s="122" customFormat="1" ht="15" customHeight="1" x14ac:dyDescent="0.2">
      <c r="K154" s="379"/>
      <c r="L154" s="380"/>
      <c r="M154" s="379"/>
      <c r="N154" s="380"/>
      <c r="O154" s="379"/>
      <c r="P154" s="380"/>
    </row>
    <row r="155" spans="11:16" s="122" customFormat="1" ht="15" customHeight="1" x14ac:dyDescent="0.2">
      <c r="K155" s="379"/>
      <c r="L155" s="380"/>
      <c r="M155" s="379"/>
      <c r="N155" s="380"/>
      <c r="O155" s="379"/>
      <c r="P155" s="380"/>
    </row>
    <row r="156" spans="11:16" s="122" customFormat="1" ht="15" customHeight="1" x14ac:dyDescent="0.2">
      <c r="K156" s="379"/>
      <c r="L156" s="380"/>
      <c r="M156" s="379"/>
      <c r="N156" s="380"/>
      <c r="O156" s="379"/>
      <c r="P156" s="380"/>
    </row>
    <row r="157" spans="11:16" s="122" customFormat="1" ht="15" customHeight="1" x14ac:dyDescent="0.2">
      <c r="K157" s="379"/>
      <c r="L157" s="380"/>
      <c r="M157" s="379"/>
      <c r="N157" s="380"/>
      <c r="O157" s="379"/>
      <c r="P157" s="380"/>
    </row>
    <row r="158" spans="11:16" s="122" customFormat="1" ht="15" customHeight="1" x14ac:dyDescent="0.2">
      <c r="K158" s="379"/>
      <c r="L158" s="380"/>
      <c r="M158" s="379"/>
      <c r="N158" s="380"/>
      <c r="O158" s="379"/>
      <c r="P158" s="380"/>
    </row>
    <row r="159" spans="11:16" s="122" customFormat="1" ht="15" customHeight="1" x14ac:dyDescent="0.2">
      <c r="K159" s="379"/>
      <c r="L159" s="380"/>
      <c r="M159" s="379"/>
      <c r="N159" s="380"/>
      <c r="O159" s="379"/>
      <c r="P159" s="380"/>
    </row>
    <row r="160" spans="11:16" s="122" customFormat="1" ht="15" customHeight="1" x14ac:dyDescent="0.2">
      <c r="K160" s="379"/>
      <c r="L160" s="380"/>
      <c r="M160" s="379"/>
      <c r="N160" s="380"/>
      <c r="O160" s="379"/>
      <c r="P160" s="380"/>
    </row>
    <row r="161" spans="11:16" s="122" customFormat="1" ht="15" customHeight="1" x14ac:dyDescent="0.2">
      <c r="K161" s="379"/>
      <c r="L161" s="380"/>
      <c r="M161" s="379"/>
      <c r="N161" s="380"/>
      <c r="O161" s="379"/>
      <c r="P161" s="380"/>
    </row>
    <row r="162" spans="11:16" s="122" customFormat="1" ht="15" customHeight="1" x14ac:dyDescent="0.2">
      <c r="K162" s="379"/>
      <c r="L162" s="380"/>
      <c r="M162" s="379"/>
      <c r="N162" s="380"/>
      <c r="O162" s="379"/>
      <c r="P162" s="380"/>
    </row>
    <row r="163" spans="11:16" s="122" customFormat="1" ht="15" customHeight="1" x14ac:dyDescent="0.2">
      <c r="K163" s="379"/>
      <c r="L163" s="380"/>
      <c r="M163" s="379"/>
      <c r="N163" s="380"/>
      <c r="O163" s="379"/>
      <c r="P163" s="380"/>
    </row>
    <row r="164" spans="11:16" s="122" customFormat="1" ht="15" customHeight="1" x14ac:dyDescent="0.2">
      <c r="K164" s="379"/>
      <c r="L164" s="380"/>
      <c r="M164" s="379"/>
      <c r="N164" s="380"/>
      <c r="O164" s="379"/>
      <c r="P164" s="380"/>
    </row>
    <row r="165" spans="11:16" s="122" customFormat="1" ht="15" customHeight="1" x14ac:dyDescent="0.2">
      <c r="K165" s="379"/>
      <c r="L165" s="380"/>
      <c r="M165" s="379"/>
      <c r="N165" s="380"/>
      <c r="O165" s="379"/>
      <c r="P165" s="380"/>
    </row>
    <row r="166" spans="11:16" s="122" customFormat="1" ht="15" customHeight="1" x14ac:dyDescent="0.2">
      <c r="K166" s="379"/>
      <c r="L166" s="380"/>
      <c r="M166" s="379"/>
      <c r="N166" s="380"/>
      <c r="O166" s="379"/>
      <c r="P166" s="380"/>
    </row>
    <row r="167" spans="11:16" s="122" customFormat="1" ht="15" customHeight="1" x14ac:dyDescent="0.2">
      <c r="K167" s="379"/>
      <c r="L167" s="380"/>
      <c r="M167" s="379"/>
      <c r="N167" s="380"/>
      <c r="O167" s="379"/>
      <c r="P167" s="380"/>
    </row>
    <row r="168" spans="11:16" s="122" customFormat="1" ht="15" customHeight="1" x14ac:dyDescent="0.2">
      <c r="K168" s="379"/>
      <c r="L168" s="380"/>
      <c r="M168" s="379"/>
      <c r="N168" s="380"/>
      <c r="O168" s="379"/>
      <c r="P168" s="380"/>
    </row>
    <row r="169" spans="11:16" s="122" customFormat="1" ht="15" customHeight="1" x14ac:dyDescent="0.2">
      <c r="K169" s="379"/>
      <c r="L169" s="380"/>
      <c r="M169" s="379"/>
      <c r="N169" s="380"/>
      <c r="O169" s="379"/>
      <c r="P169" s="380"/>
    </row>
    <row r="170" spans="11:16" s="122" customFormat="1" ht="15" customHeight="1" x14ac:dyDescent="0.2">
      <c r="K170" s="379"/>
      <c r="L170" s="380"/>
      <c r="M170" s="379"/>
      <c r="N170" s="380"/>
      <c r="O170" s="379"/>
      <c r="P170" s="380"/>
    </row>
    <row r="171" spans="11:16" s="122" customFormat="1" ht="15" customHeight="1" x14ac:dyDescent="0.2">
      <c r="K171" s="379"/>
      <c r="L171" s="380"/>
      <c r="M171" s="379"/>
      <c r="N171" s="380"/>
      <c r="O171" s="379"/>
      <c r="P171" s="380"/>
    </row>
    <row r="172" spans="11:16" s="122" customFormat="1" ht="15" customHeight="1" x14ac:dyDescent="0.2">
      <c r="K172" s="379"/>
      <c r="L172" s="380"/>
      <c r="M172" s="379"/>
      <c r="N172" s="380"/>
      <c r="O172" s="379"/>
      <c r="P172" s="380"/>
    </row>
    <row r="173" spans="11:16" s="122" customFormat="1" ht="15" customHeight="1" x14ac:dyDescent="0.2">
      <c r="K173" s="379"/>
      <c r="L173" s="380"/>
      <c r="M173" s="379"/>
      <c r="N173" s="380"/>
      <c r="O173" s="379"/>
      <c r="P173" s="380"/>
    </row>
    <row r="174" spans="11:16" s="122" customFormat="1" ht="15" customHeight="1" x14ac:dyDescent="0.2">
      <c r="K174" s="379"/>
      <c r="L174" s="380"/>
      <c r="M174" s="379"/>
      <c r="N174" s="380"/>
      <c r="O174" s="379"/>
      <c r="P174" s="380"/>
    </row>
    <row r="175" spans="11:16" s="122" customFormat="1" ht="15" customHeight="1" x14ac:dyDescent="0.2">
      <c r="K175" s="379"/>
      <c r="L175" s="380"/>
      <c r="M175" s="379"/>
      <c r="N175" s="380"/>
      <c r="O175" s="379"/>
      <c r="P175" s="380"/>
    </row>
    <row r="176" spans="11:16" s="122" customFormat="1" ht="15" customHeight="1" x14ac:dyDescent="0.2">
      <c r="K176" s="379"/>
      <c r="L176" s="380"/>
      <c r="M176" s="379"/>
      <c r="N176" s="380"/>
      <c r="O176" s="379"/>
      <c r="P176" s="380"/>
    </row>
    <row r="177" spans="11:16" s="122" customFormat="1" ht="15" customHeight="1" x14ac:dyDescent="0.2">
      <c r="K177" s="379"/>
      <c r="L177" s="380"/>
      <c r="M177" s="379"/>
      <c r="N177" s="380"/>
      <c r="O177" s="379"/>
      <c r="P177" s="380"/>
    </row>
    <row r="178" spans="11:16" s="122" customFormat="1" ht="15" customHeight="1" x14ac:dyDescent="0.2">
      <c r="K178" s="379"/>
      <c r="L178" s="380"/>
      <c r="M178" s="379"/>
      <c r="N178" s="380"/>
      <c r="O178" s="379"/>
      <c r="P178" s="380"/>
    </row>
    <row r="179" spans="11:16" s="122" customFormat="1" ht="15" customHeight="1" x14ac:dyDescent="0.2">
      <c r="K179" s="379"/>
      <c r="L179" s="380"/>
      <c r="M179" s="379"/>
      <c r="N179" s="380"/>
      <c r="O179" s="379"/>
      <c r="P179" s="380"/>
    </row>
    <row r="180" spans="11:16" s="122" customFormat="1" ht="15" customHeight="1" x14ac:dyDescent="0.2">
      <c r="K180" s="379"/>
      <c r="L180" s="380"/>
      <c r="M180" s="379"/>
      <c r="N180" s="380"/>
      <c r="O180" s="379"/>
      <c r="P180" s="380"/>
    </row>
    <row r="181" spans="11:16" s="122" customFormat="1" ht="15" customHeight="1" x14ac:dyDescent="0.2">
      <c r="K181" s="379"/>
      <c r="L181" s="380"/>
      <c r="M181" s="379"/>
      <c r="N181" s="380"/>
      <c r="O181" s="379"/>
      <c r="P181" s="380"/>
    </row>
    <row r="182" spans="11:16" s="122" customFormat="1" ht="15" customHeight="1" x14ac:dyDescent="0.2">
      <c r="K182" s="379"/>
      <c r="L182" s="380"/>
      <c r="M182" s="379"/>
      <c r="N182" s="380"/>
      <c r="O182" s="379"/>
      <c r="P182" s="380"/>
    </row>
    <row r="183" spans="11:16" s="122" customFormat="1" ht="15" customHeight="1" x14ac:dyDescent="0.2">
      <c r="K183" s="379"/>
      <c r="L183" s="380"/>
      <c r="M183" s="379"/>
      <c r="N183" s="380"/>
      <c r="O183" s="379"/>
      <c r="P183" s="380"/>
    </row>
    <row r="184" spans="11:16" s="122" customFormat="1" ht="15" customHeight="1" x14ac:dyDescent="0.2">
      <c r="K184" s="379"/>
      <c r="L184" s="380"/>
      <c r="M184" s="379"/>
      <c r="N184" s="380"/>
      <c r="O184" s="379"/>
      <c r="P184" s="380"/>
    </row>
    <row r="185" spans="11:16" s="122" customFormat="1" ht="15" customHeight="1" x14ac:dyDescent="0.2">
      <c r="K185" s="379"/>
      <c r="L185" s="380"/>
      <c r="M185" s="379"/>
      <c r="N185" s="380"/>
      <c r="O185" s="379"/>
      <c r="P185" s="380"/>
    </row>
    <row r="186" spans="11:16" s="122" customFormat="1" ht="15" customHeight="1" x14ac:dyDescent="0.2">
      <c r="K186" s="379"/>
      <c r="L186" s="380"/>
      <c r="M186" s="379"/>
      <c r="N186" s="380"/>
      <c r="O186" s="379"/>
      <c r="P186" s="380"/>
    </row>
    <row r="187" spans="11:16" s="122" customFormat="1" ht="15" customHeight="1" x14ac:dyDescent="0.2">
      <c r="K187" s="379"/>
      <c r="L187" s="380"/>
      <c r="M187" s="379"/>
      <c r="N187" s="380"/>
      <c r="O187" s="379"/>
      <c r="P187" s="380"/>
    </row>
    <row r="188" spans="11:16" s="122" customFormat="1" ht="15" customHeight="1" x14ac:dyDescent="0.2">
      <c r="K188" s="379"/>
      <c r="L188" s="380"/>
      <c r="M188" s="379"/>
      <c r="N188" s="380"/>
      <c r="O188" s="379"/>
      <c r="P188" s="380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CL192"/>
  <sheetViews>
    <sheetView tabSelected="1" workbookViewId="0">
      <pane xSplit="1" ySplit="1" topLeftCell="B84" activePane="bottomRight" state="frozen"/>
      <selection pane="topRight" activeCell="B1" sqref="B1"/>
      <selection pane="bottomLeft" activeCell="A2" sqref="A2"/>
      <selection pane="bottomRight" activeCell="A89" sqref="A89"/>
    </sheetView>
  </sheetViews>
  <sheetFormatPr baseColWidth="10" defaultColWidth="8.83203125" defaultRowHeight="16" x14ac:dyDescent="0.2"/>
  <cols>
    <col min="1" max="1" width="40" style="110" bestFit="1" customWidth="1"/>
    <col min="2" max="5" width="7.83203125" style="177" customWidth="1"/>
    <col min="6" max="38" width="8.83203125" style="134"/>
    <col min="39" max="82" width="8.83203125" style="110"/>
    <col min="83" max="83" width="22.1640625" style="110" bestFit="1" customWidth="1"/>
    <col min="84" max="16384" width="8.83203125" style="110"/>
  </cols>
  <sheetData>
    <row r="1" spans="1:90" x14ac:dyDescent="0.2">
      <c r="A1" s="109" t="s">
        <v>159</v>
      </c>
      <c r="B1" s="163" t="s">
        <v>160</v>
      </c>
      <c r="C1" s="163" t="s">
        <v>18</v>
      </c>
      <c r="D1" s="163" t="s">
        <v>161</v>
      </c>
      <c r="E1" s="163" t="s">
        <v>162</v>
      </c>
      <c r="F1" s="120" t="s">
        <v>39</v>
      </c>
      <c r="G1" s="120" t="s">
        <v>41</v>
      </c>
      <c r="H1" s="120" t="s">
        <v>42</v>
      </c>
      <c r="I1" s="353" t="s">
        <v>181</v>
      </c>
      <c r="J1" s="353" t="s">
        <v>182</v>
      </c>
      <c r="K1" s="353" t="s">
        <v>176</v>
      </c>
      <c r="L1" s="353" t="s">
        <v>183</v>
      </c>
      <c r="M1" s="353" t="s">
        <v>184</v>
      </c>
      <c r="N1" s="353" t="s">
        <v>185</v>
      </c>
      <c r="O1" s="353" t="s">
        <v>186</v>
      </c>
      <c r="P1" s="353" t="s">
        <v>187</v>
      </c>
      <c r="Q1" s="353" t="s">
        <v>189</v>
      </c>
      <c r="R1" s="353" t="s">
        <v>190</v>
      </c>
      <c r="S1" s="353" t="s">
        <v>191</v>
      </c>
      <c r="T1" s="353" t="s">
        <v>192</v>
      </c>
      <c r="U1" s="353" t="s">
        <v>193</v>
      </c>
      <c r="V1" s="353" t="s">
        <v>194</v>
      </c>
      <c r="W1" s="353" t="s">
        <v>195</v>
      </c>
      <c r="X1" s="353" t="s">
        <v>196</v>
      </c>
      <c r="Y1" s="353" t="s">
        <v>197</v>
      </c>
      <c r="Z1" s="353" t="s">
        <v>198</v>
      </c>
      <c r="AA1" s="353" t="s">
        <v>199</v>
      </c>
      <c r="AB1" s="353" t="s">
        <v>200</v>
      </c>
      <c r="AC1" s="353" t="s">
        <v>201</v>
      </c>
      <c r="AD1" s="353" t="s">
        <v>202</v>
      </c>
      <c r="AE1" s="353" t="s">
        <v>203</v>
      </c>
      <c r="AF1" s="353" t="s">
        <v>204</v>
      </c>
      <c r="AG1" s="353" t="s">
        <v>205</v>
      </c>
      <c r="AH1" s="353" t="s">
        <v>206</v>
      </c>
      <c r="AI1" s="353" t="s">
        <v>207</v>
      </c>
      <c r="AJ1" s="353" t="s">
        <v>298</v>
      </c>
      <c r="AK1" s="353" t="s">
        <v>299</v>
      </c>
      <c r="AL1" s="353" t="s">
        <v>300</v>
      </c>
      <c r="AM1" s="353" t="s">
        <v>301</v>
      </c>
      <c r="AN1" s="353" t="s">
        <v>208</v>
      </c>
      <c r="AO1" s="353" t="s">
        <v>209</v>
      </c>
      <c r="AP1" s="353" t="s">
        <v>210</v>
      </c>
      <c r="AQ1" s="353" t="s">
        <v>211</v>
      </c>
      <c r="AR1" s="353" t="s">
        <v>212</v>
      </c>
      <c r="AS1" s="353" t="s">
        <v>213</v>
      </c>
      <c r="AT1" s="353" t="s">
        <v>214</v>
      </c>
      <c r="AU1" s="353" t="s">
        <v>215</v>
      </c>
      <c r="AV1" s="353" t="s">
        <v>216</v>
      </c>
      <c r="AW1" s="353" t="s">
        <v>217</v>
      </c>
      <c r="AX1" s="353" t="s">
        <v>218</v>
      </c>
      <c r="AY1" s="353" t="s">
        <v>219</v>
      </c>
      <c r="AZ1" s="353" t="s">
        <v>220</v>
      </c>
      <c r="BA1" s="353" t="s">
        <v>221</v>
      </c>
      <c r="BB1" s="353" t="s">
        <v>222</v>
      </c>
      <c r="BC1" s="353" t="s">
        <v>223</v>
      </c>
      <c r="BD1" s="353" t="s">
        <v>224</v>
      </c>
      <c r="BE1" s="353" t="s">
        <v>225</v>
      </c>
      <c r="BF1" s="353" t="s">
        <v>124</v>
      </c>
      <c r="BG1" s="353" t="s">
        <v>125</v>
      </c>
      <c r="BH1" s="378" t="s">
        <v>226</v>
      </c>
      <c r="BI1" s="378" t="s">
        <v>227</v>
      </c>
      <c r="BJ1" s="378" t="s">
        <v>228</v>
      </c>
      <c r="BK1" s="378" t="s">
        <v>229</v>
      </c>
      <c r="BL1" s="378" t="s">
        <v>230</v>
      </c>
      <c r="BM1" s="378" t="s">
        <v>231</v>
      </c>
      <c r="BN1" s="378" t="s">
        <v>232</v>
      </c>
      <c r="BO1" s="378" t="s">
        <v>233</v>
      </c>
      <c r="BP1" s="378" t="s">
        <v>234</v>
      </c>
      <c r="BQ1" s="378" t="s">
        <v>235</v>
      </c>
      <c r="BR1" s="378" t="s">
        <v>236</v>
      </c>
      <c r="BS1" s="378" t="s">
        <v>237</v>
      </c>
      <c r="BT1" s="378" t="s">
        <v>238</v>
      </c>
      <c r="BU1" s="378" t="s">
        <v>239</v>
      </c>
      <c r="BV1" s="378" t="s">
        <v>240</v>
      </c>
      <c r="BW1" s="378" t="s">
        <v>241</v>
      </c>
      <c r="BX1" s="378" t="s">
        <v>242</v>
      </c>
      <c r="BY1" s="378" t="s">
        <v>244</v>
      </c>
      <c r="BZ1" s="378" t="s">
        <v>245</v>
      </c>
      <c r="CA1" s="378" t="s">
        <v>246</v>
      </c>
      <c r="CB1" s="378" t="s">
        <v>247</v>
      </c>
      <c r="CC1" s="378" t="s">
        <v>248</v>
      </c>
      <c r="CD1" s="378" t="s">
        <v>249</v>
      </c>
      <c r="CE1" s="378" t="s">
        <v>250</v>
      </c>
      <c r="CF1" s="378" t="s">
        <v>251</v>
      </c>
      <c r="CG1" s="378" t="s">
        <v>252</v>
      </c>
      <c r="CH1" s="378" t="s">
        <v>253</v>
      </c>
      <c r="CI1" s="378" t="s">
        <v>254</v>
      </c>
      <c r="CJ1" s="378" t="s">
        <v>255</v>
      </c>
      <c r="CK1" s="378" t="s">
        <v>256</v>
      </c>
      <c r="CL1" s="378" t="s">
        <v>243</v>
      </c>
    </row>
    <row r="2" spans="1:90" x14ac:dyDescent="0.2">
      <c r="A2" s="120" t="s">
        <v>39</v>
      </c>
      <c r="B2" s="177">
        <v>0</v>
      </c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10"/>
      <c r="N2" s="110"/>
      <c r="O2" s="110"/>
      <c r="P2" s="110"/>
      <c r="Q2" s="110"/>
      <c r="R2" s="110"/>
      <c r="S2" s="110"/>
      <c r="T2" s="110"/>
      <c r="U2" s="110"/>
      <c r="V2" s="110"/>
      <c r="W2" s="110"/>
      <c r="X2" s="110"/>
      <c r="Y2" s="110"/>
      <c r="Z2" s="110"/>
      <c r="AA2" s="110"/>
      <c r="AB2" s="110"/>
      <c r="AC2" s="110"/>
      <c r="AD2" s="110"/>
      <c r="AE2" s="110"/>
      <c r="AF2" s="110"/>
      <c r="AG2" s="110"/>
      <c r="AH2" s="110"/>
      <c r="AI2" s="110"/>
      <c r="AJ2" s="110"/>
      <c r="AK2" s="110"/>
      <c r="AL2" s="110"/>
    </row>
    <row r="3" spans="1:90" x14ac:dyDescent="0.2">
      <c r="A3" s="120" t="s">
        <v>41</v>
      </c>
      <c r="B3" s="177">
        <v>0</v>
      </c>
      <c r="C3" s="110"/>
      <c r="D3" s="110"/>
      <c r="E3" s="110"/>
      <c r="F3" s="110"/>
      <c r="G3" s="110"/>
      <c r="H3" s="110"/>
      <c r="I3" s="110"/>
      <c r="J3" s="110"/>
      <c r="K3" s="110"/>
      <c r="L3" s="110"/>
      <c r="M3" s="110"/>
      <c r="N3" s="110"/>
      <c r="O3" s="110"/>
      <c r="P3" s="110"/>
      <c r="Q3" s="110"/>
      <c r="R3" s="110"/>
      <c r="S3" s="110"/>
      <c r="T3" s="110"/>
      <c r="U3" s="110"/>
      <c r="V3" s="110"/>
      <c r="W3" s="110"/>
      <c r="X3" s="110"/>
      <c r="Y3" s="110"/>
      <c r="Z3" s="110"/>
      <c r="AA3" s="110"/>
      <c r="AB3" s="110"/>
      <c r="AC3" s="110"/>
      <c r="AD3" s="110"/>
      <c r="AE3" s="110"/>
      <c r="AF3" s="110"/>
      <c r="AG3" s="110"/>
      <c r="AH3" s="110"/>
      <c r="AI3" s="110"/>
      <c r="AJ3" s="110"/>
      <c r="AK3" s="110"/>
      <c r="AL3" s="110"/>
    </row>
    <row r="4" spans="1:90" x14ac:dyDescent="0.2">
      <c r="A4" s="120" t="s">
        <v>42</v>
      </c>
      <c r="B4" s="177">
        <v>0</v>
      </c>
      <c r="C4" s="110"/>
      <c r="D4" s="110"/>
      <c r="E4" s="110"/>
      <c r="F4" s="110"/>
      <c r="G4" s="110"/>
      <c r="H4" s="110"/>
      <c r="I4" s="110"/>
      <c r="J4" s="110"/>
      <c r="K4" s="110"/>
      <c r="L4" s="110"/>
      <c r="M4" s="110"/>
      <c r="N4" s="110"/>
      <c r="O4" s="110"/>
      <c r="P4" s="110"/>
      <c r="Q4" s="110"/>
      <c r="R4" s="110"/>
      <c r="S4" s="110"/>
      <c r="T4" s="110"/>
      <c r="U4" s="110"/>
      <c r="V4" s="110"/>
      <c r="W4" s="110"/>
      <c r="X4" s="110"/>
      <c r="Y4" s="110"/>
      <c r="Z4" s="110"/>
      <c r="AA4" s="110"/>
      <c r="AB4" s="110"/>
      <c r="AC4" s="110"/>
      <c r="AD4" s="110"/>
      <c r="AE4" s="110"/>
      <c r="AF4" s="110"/>
      <c r="AG4" s="110"/>
      <c r="AH4" s="110"/>
      <c r="AI4" s="110"/>
      <c r="AJ4" s="110"/>
      <c r="AK4" s="110"/>
      <c r="AL4" s="110"/>
    </row>
    <row r="5" spans="1:90" x14ac:dyDescent="0.2">
      <c r="A5" s="353" t="s">
        <v>181</v>
      </c>
      <c r="B5" s="177">
        <v>0</v>
      </c>
      <c r="C5" s="110"/>
      <c r="D5" s="110"/>
      <c r="E5" s="110"/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0"/>
      <c r="Q5" s="110"/>
      <c r="R5" s="110"/>
      <c r="S5" s="110"/>
      <c r="T5" s="110"/>
      <c r="U5" s="110"/>
      <c r="V5" s="110"/>
      <c r="W5" s="110"/>
      <c r="X5" s="110"/>
      <c r="Y5" s="110"/>
      <c r="Z5" s="110"/>
      <c r="AA5" s="110"/>
      <c r="AB5" s="110"/>
      <c r="AC5" s="110"/>
      <c r="AD5" s="110"/>
      <c r="AE5" s="110"/>
      <c r="AF5" s="110"/>
      <c r="AG5" s="110"/>
      <c r="AH5" s="110"/>
      <c r="AI5" s="110"/>
      <c r="AJ5" s="110"/>
      <c r="AK5" s="110"/>
      <c r="AL5" s="110"/>
    </row>
    <row r="6" spans="1:90" x14ac:dyDescent="0.2">
      <c r="A6" s="353" t="s">
        <v>182</v>
      </c>
      <c r="B6" s="177">
        <v>0</v>
      </c>
      <c r="C6" s="110"/>
      <c r="D6" s="110"/>
      <c r="E6" s="110"/>
      <c r="F6" s="110"/>
      <c r="G6" s="110"/>
      <c r="H6" s="110"/>
      <c r="I6" s="110"/>
      <c r="J6" s="110"/>
      <c r="K6" s="110"/>
      <c r="L6" s="110"/>
      <c r="M6" s="110"/>
      <c r="N6" s="110"/>
      <c r="O6" s="110"/>
      <c r="P6" s="110"/>
      <c r="Q6" s="110"/>
      <c r="R6" s="110"/>
      <c r="S6" s="110"/>
      <c r="T6" s="110"/>
      <c r="U6" s="110"/>
      <c r="V6" s="110"/>
      <c r="W6" s="110"/>
      <c r="X6" s="110"/>
      <c r="Y6" s="110"/>
      <c r="Z6" s="110"/>
      <c r="AA6" s="110"/>
      <c r="AB6" s="110"/>
      <c r="AC6" s="110"/>
      <c r="AD6" s="110"/>
      <c r="AE6" s="110"/>
      <c r="AF6" s="110"/>
      <c r="AG6" s="110"/>
      <c r="AH6" s="110"/>
      <c r="AI6" s="110"/>
      <c r="AJ6" s="110"/>
      <c r="AK6" s="110"/>
      <c r="AL6" s="110"/>
    </row>
    <row r="7" spans="1:90" x14ac:dyDescent="0.2">
      <c r="A7" s="353" t="s">
        <v>176</v>
      </c>
      <c r="B7" s="177">
        <v>0</v>
      </c>
      <c r="C7" s="110"/>
      <c r="D7" s="110"/>
      <c r="E7" s="110"/>
      <c r="F7" s="110"/>
      <c r="G7" s="110"/>
      <c r="H7" s="110"/>
      <c r="I7" s="110"/>
      <c r="J7" s="110"/>
      <c r="K7" s="110"/>
      <c r="L7" s="110"/>
      <c r="M7" s="110"/>
      <c r="N7" s="110"/>
      <c r="O7" s="110"/>
      <c r="P7" s="110"/>
      <c r="Q7" s="110"/>
      <c r="R7" s="110"/>
      <c r="S7" s="110"/>
      <c r="T7" s="110"/>
      <c r="U7" s="110"/>
      <c r="V7" s="110"/>
      <c r="W7" s="110"/>
      <c r="X7" s="110"/>
      <c r="Y7" s="110"/>
      <c r="Z7" s="110"/>
      <c r="AA7" s="110"/>
      <c r="AB7" s="110"/>
      <c r="AC7" s="110"/>
      <c r="AD7" s="110"/>
      <c r="AE7" s="110"/>
      <c r="AF7" s="110"/>
      <c r="AG7" s="110"/>
      <c r="AH7" s="110"/>
      <c r="AI7" s="110"/>
      <c r="AJ7" s="110"/>
      <c r="AK7" s="110"/>
      <c r="AL7" s="110"/>
    </row>
    <row r="8" spans="1:90" x14ac:dyDescent="0.2">
      <c r="A8" s="353" t="s">
        <v>183</v>
      </c>
      <c r="B8" s="177">
        <v>0</v>
      </c>
      <c r="C8" s="110"/>
      <c r="D8" s="110"/>
      <c r="E8" s="110"/>
      <c r="F8" s="110"/>
      <c r="G8" s="110"/>
      <c r="H8" s="110"/>
      <c r="I8" s="110"/>
      <c r="J8" s="110"/>
      <c r="K8" s="110"/>
      <c r="L8" s="110"/>
      <c r="M8" s="110"/>
      <c r="N8" s="110"/>
      <c r="O8" s="110"/>
      <c r="P8" s="110"/>
      <c r="Q8" s="110"/>
      <c r="R8" s="110"/>
      <c r="S8" s="110"/>
      <c r="T8" s="110"/>
      <c r="U8" s="110"/>
      <c r="V8" s="110"/>
      <c r="W8" s="110"/>
      <c r="X8" s="110"/>
      <c r="Y8" s="110"/>
      <c r="Z8" s="110"/>
      <c r="AA8" s="110"/>
      <c r="AB8" s="110"/>
      <c r="AC8" s="110"/>
      <c r="AD8" s="110"/>
      <c r="AE8" s="110"/>
      <c r="AF8" s="110"/>
      <c r="AG8" s="110"/>
      <c r="AH8" s="110"/>
      <c r="AI8" s="110"/>
      <c r="AJ8" s="110"/>
      <c r="AK8" s="110"/>
      <c r="AL8" s="110"/>
    </row>
    <row r="9" spans="1:90" x14ac:dyDescent="0.2">
      <c r="A9" s="353" t="s">
        <v>184</v>
      </c>
      <c r="B9" s="177">
        <v>0</v>
      </c>
      <c r="C9" s="110"/>
      <c r="D9" s="110"/>
      <c r="E9" s="110"/>
      <c r="F9" s="110"/>
      <c r="G9" s="110"/>
      <c r="H9" s="110"/>
      <c r="I9" s="110"/>
      <c r="J9" s="110"/>
      <c r="K9" s="110"/>
      <c r="L9" s="110"/>
      <c r="M9" s="110"/>
      <c r="N9" s="110"/>
      <c r="O9" s="110"/>
      <c r="P9" s="110"/>
      <c r="Q9" s="110"/>
      <c r="R9" s="110"/>
      <c r="S9" s="110"/>
      <c r="T9" s="110"/>
      <c r="U9" s="110"/>
      <c r="V9" s="110"/>
      <c r="W9" s="110"/>
      <c r="X9" s="110"/>
      <c r="Y9" s="110"/>
      <c r="Z9" s="110"/>
      <c r="AA9" s="110"/>
      <c r="AB9" s="110"/>
      <c r="AC9" s="110"/>
      <c r="AD9" s="110"/>
      <c r="AE9" s="110"/>
      <c r="AF9" s="110"/>
      <c r="AG9" s="110"/>
      <c r="AH9" s="110"/>
      <c r="AI9" s="110"/>
      <c r="AJ9" s="110"/>
      <c r="AK9" s="110"/>
      <c r="AL9" s="110"/>
    </row>
    <row r="10" spans="1:90" x14ac:dyDescent="0.2">
      <c r="A10" s="353" t="s">
        <v>185</v>
      </c>
      <c r="B10" s="177">
        <v>0</v>
      </c>
      <c r="C10" s="110"/>
      <c r="D10" s="110"/>
      <c r="E10" s="110"/>
      <c r="F10" s="110"/>
      <c r="G10" s="110"/>
      <c r="H10" s="110"/>
      <c r="I10" s="110"/>
      <c r="J10" s="110"/>
      <c r="K10" s="110"/>
      <c r="L10" s="110"/>
      <c r="M10" s="110"/>
      <c r="N10" s="110"/>
      <c r="O10" s="110"/>
      <c r="P10" s="110"/>
      <c r="Q10" s="110"/>
      <c r="R10" s="110"/>
      <c r="S10" s="110"/>
      <c r="T10" s="110"/>
      <c r="U10" s="110"/>
      <c r="V10" s="110"/>
      <c r="W10" s="110"/>
      <c r="X10" s="110"/>
      <c r="Y10" s="110"/>
      <c r="Z10" s="110"/>
      <c r="AA10" s="110"/>
      <c r="AB10" s="110"/>
      <c r="AC10" s="110"/>
      <c r="AD10" s="110"/>
      <c r="AE10" s="110"/>
      <c r="AF10" s="110"/>
      <c r="AG10" s="110"/>
      <c r="AH10" s="110"/>
      <c r="AI10" s="110"/>
      <c r="AJ10" s="110"/>
      <c r="AK10" s="110"/>
      <c r="AL10" s="110"/>
    </row>
    <row r="11" spans="1:90" x14ac:dyDescent="0.2">
      <c r="A11" s="353" t="s">
        <v>186</v>
      </c>
      <c r="B11" s="177">
        <v>0</v>
      </c>
      <c r="C11" s="110"/>
      <c r="D11" s="110"/>
      <c r="E11" s="110"/>
      <c r="F11" s="110"/>
      <c r="G11" s="110"/>
      <c r="H11" s="110"/>
      <c r="I11" s="110"/>
      <c r="J11" s="110"/>
      <c r="K11" s="110"/>
      <c r="L11" s="110"/>
      <c r="M11" s="110"/>
      <c r="N11" s="110"/>
      <c r="O11" s="110"/>
      <c r="P11" s="110"/>
      <c r="Q11" s="110"/>
      <c r="R11" s="110"/>
      <c r="S11" s="110"/>
      <c r="T11" s="110"/>
      <c r="U11" s="110"/>
      <c r="V11" s="110"/>
      <c r="W11" s="110"/>
      <c r="X11" s="110"/>
      <c r="Y11" s="110"/>
      <c r="Z11" s="110"/>
      <c r="AA11" s="110"/>
      <c r="AB11" s="110"/>
      <c r="AC11" s="110"/>
      <c r="AD11" s="110"/>
      <c r="AE11" s="110"/>
      <c r="AF11" s="110"/>
      <c r="AG11" s="110"/>
      <c r="AH11" s="110"/>
      <c r="AI11" s="110"/>
      <c r="AJ11" s="110"/>
      <c r="AK11" s="110"/>
      <c r="AL11" s="110"/>
    </row>
    <row r="12" spans="1:90" x14ac:dyDescent="0.2">
      <c r="A12" s="353" t="s">
        <v>187</v>
      </c>
      <c r="B12" s="177">
        <v>0</v>
      </c>
      <c r="C12" s="110"/>
      <c r="D12" s="110"/>
      <c r="E12" s="110"/>
      <c r="F12" s="110"/>
      <c r="G12" s="110"/>
      <c r="H12" s="110"/>
      <c r="I12" s="110"/>
      <c r="J12" s="110"/>
      <c r="K12" s="110"/>
      <c r="L12" s="110"/>
      <c r="M12" s="110"/>
      <c r="N12" s="110"/>
      <c r="O12" s="110"/>
      <c r="P12" s="110"/>
      <c r="Q12" s="110"/>
      <c r="R12" s="110"/>
      <c r="S12" s="110"/>
      <c r="T12" s="110"/>
      <c r="U12" s="110"/>
      <c r="V12" s="110"/>
      <c r="W12" s="110"/>
      <c r="X12" s="110"/>
      <c r="Y12" s="110"/>
      <c r="Z12" s="110"/>
      <c r="AA12" s="110"/>
      <c r="AB12" s="110"/>
      <c r="AC12" s="110"/>
      <c r="AD12" s="110"/>
      <c r="AE12" s="110"/>
      <c r="AF12" s="110"/>
      <c r="AG12" s="110"/>
      <c r="AH12" s="110"/>
      <c r="AI12" s="110"/>
      <c r="AJ12" s="110"/>
      <c r="AK12" s="110"/>
      <c r="AL12" s="110"/>
    </row>
    <row r="13" spans="1:90" x14ac:dyDescent="0.2">
      <c r="A13" s="353" t="s">
        <v>189</v>
      </c>
      <c r="B13" s="177">
        <v>0</v>
      </c>
      <c r="C13" s="110"/>
      <c r="D13" s="110"/>
      <c r="E13" s="110"/>
      <c r="F13" s="110"/>
      <c r="G13" s="110"/>
      <c r="H13" s="110"/>
      <c r="I13" s="110"/>
      <c r="J13" s="110"/>
      <c r="K13" s="110"/>
      <c r="L13" s="110"/>
      <c r="M13" s="110"/>
      <c r="N13" s="110"/>
      <c r="O13" s="110"/>
      <c r="P13" s="110"/>
      <c r="Q13" s="110"/>
      <c r="R13" s="110"/>
      <c r="S13" s="110"/>
      <c r="T13" s="110"/>
      <c r="U13" s="110"/>
      <c r="V13" s="110"/>
      <c r="W13" s="110"/>
      <c r="X13" s="110"/>
      <c r="Y13" s="110"/>
      <c r="Z13" s="110"/>
      <c r="AA13" s="110"/>
      <c r="AB13" s="110"/>
      <c r="AC13" s="110"/>
      <c r="AD13" s="110"/>
      <c r="AE13" s="110"/>
      <c r="AF13" s="110"/>
      <c r="AG13" s="110"/>
      <c r="AH13" s="110"/>
      <c r="AI13" s="110"/>
      <c r="AJ13" s="110"/>
      <c r="AK13" s="110"/>
      <c r="AL13" s="110"/>
    </row>
    <row r="14" spans="1:90" x14ac:dyDescent="0.2">
      <c r="A14" s="353" t="s">
        <v>190</v>
      </c>
      <c r="B14" s="177">
        <v>0</v>
      </c>
      <c r="C14" s="110"/>
      <c r="D14" s="110"/>
      <c r="E14" s="110"/>
      <c r="F14" s="110"/>
      <c r="G14" s="110"/>
      <c r="H14" s="110"/>
      <c r="I14" s="110"/>
      <c r="J14" s="110"/>
      <c r="K14" s="110"/>
      <c r="L14" s="110"/>
      <c r="M14" s="110"/>
      <c r="N14" s="110"/>
      <c r="O14" s="110"/>
      <c r="P14" s="110"/>
      <c r="Q14" s="110"/>
      <c r="R14" s="110"/>
      <c r="S14" s="110"/>
      <c r="T14" s="110"/>
      <c r="U14" s="110"/>
      <c r="V14" s="110"/>
      <c r="W14" s="110"/>
      <c r="X14" s="110"/>
      <c r="Y14" s="110"/>
      <c r="Z14" s="110"/>
      <c r="AA14" s="110"/>
      <c r="AB14" s="110"/>
      <c r="AC14" s="110"/>
      <c r="AD14" s="110"/>
      <c r="AE14" s="110"/>
      <c r="AF14" s="110"/>
      <c r="AG14" s="110"/>
      <c r="AH14" s="110"/>
      <c r="AI14" s="110"/>
      <c r="AJ14" s="110"/>
      <c r="AK14" s="110"/>
      <c r="AL14" s="110"/>
    </row>
    <row r="15" spans="1:90" x14ac:dyDescent="0.2">
      <c r="A15" s="353" t="s">
        <v>191</v>
      </c>
      <c r="B15" s="177">
        <v>0</v>
      </c>
      <c r="C15" s="110"/>
      <c r="D15" s="110"/>
      <c r="E15" s="110"/>
      <c r="F15" s="110"/>
      <c r="G15" s="110"/>
      <c r="H15" s="110"/>
      <c r="I15" s="110"/>
      <c r="J15" s="110"/>
      <c r="K15" s="110"/>
      <c r="L15" s="110"/>
      <c r="M15" s="110"/>
      <c r="N15" s="110"/>
      <c r="O15" s="110"/>
      <c r="P15" s="110"/>
      <c r="Q15" s="110"/>
      <c r="R15" s="110"/>
      <c r="S15" s="110"/>
      <c r="T15" s="110"/>
      <c r="U15" s="110"/>
      <c r="V15" s="110"/>
      <c r="W15" s="110"/>
      <c r="X15" s="110"/>
      <c r="Y15" s="110"/>
      <c r="Z15" s="110"/>
      <c r="AA15" s="110"/>
      <c r="AB15" s="110"/>
      <c r="AC15" s="110"/>
      <c r="AD15" s="110"/>
      <c r="AE15" s="110"/>
      <c r="AF15" s="110"/>
      <c r="AG15" s="110"/>
      <c r="AH15" s="110"/>
      <c r="AI15" s="110"/>
      <c r="AJ15" s="110"/>
      <c r="AK15" s="110"/>
      <c r="AL15" s="110"/>
    </row>
    <row r="16" spans="1:90" x14ac:dyDescent="0.2">
      <c r="A16" s="353" t="s">
        <v>192</v>
      </c>
      <c r="B16" s="177">
        <v>0</v>
      </c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110"/>
      <c r="AB16" s="110"/>
      <c r="AC16" s="110"/>
      <c r="AD16" s="110"/>
      <c r="AE16" s="110"/>
      <c r="AF16" s="110"/>
      <c r="AG16" s="110"/>
      <c r="AH16" s="110"/>
      <c r="AI16" s="110"/>
      <c r="AJ16" s="110"/>
      <c r="AK16" s="110"/>
      <c r="AL16" s="110"/>
    </row>
    <row r="17" spans="1:38" ht="15" customHeight="1" x14ac:dyDescent="0.2">
      <c r="A17" s="353" t="s">
        <v>193</v>
      </c>
      <c r="B17" s="177">
        <v>0</v>
      </c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110"/>
      <c r="AB17" s="110"/>
      <c r="AC17" s="110"/>
      <c r="AD17" s="110"/>
      <c r="AE17" s="110"/>
      <c r="AF17" s="110"/>
      <c r="AG17" s="110"/>
      <c r="AH17" s="110"/>
      <c r="AI17" s="110"/>
      <c r="AJ17" s="110"/>
      <c r="AK17" s="110"/>
      <c r="AL17" s="110"/>
    </row>
    <row r="18" spans="1:38" ht="15" customHeight="1" x14ac:dyDescent="0.2">
      <c r="A18" s="353" t="s">
        <v>194</v>
      </c>
      <c r="B18" s="177">
        <v>0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110"/>
      <c r="AB18" s="110"/>
      <c r="AC18" s="110"/>
      <c r="AD18" s="110"/>
      <c r="AE18" s="110"/>
      <c r="AF18" s="110"/>
      <c r="AG18" s="110"/>
      <c r="AH18" s="110"/>
      <c r="AI18" s="110"/>
      <c r="AJ18" s="110"/>
      <c r="AK18" s="110"/>
      <c r="AL18" s="110"/>
    </row>
    <row r="19" spans="1:38" ht="15" customHeight="1" x14ac:dyDescent="0.2">
      <c r="A19" s="353" t="s">
        <v>195</v>
      </c>
      <c r="B19" s="177">
        <v>0</v>
      </c>
      <c r="C19" s="110"/>
      <c r="D19" s="110"/>
      <c r="E19" s="110"/>
      <c r="F19" s="110"/>
      <c r="G19" s="110"/>
      <c r="H19" s="110"/>
      <c r="I19" s="110"/>
      <c r="J19" s="110"/>
      <c r="K19" s="110"/>
      <c r="L19" s="110"/>
      <c r="M19" s="110"/>
      <c r="N19" s="110"/>
      <c r="O19" s="110"/>
      <c r="P19" s="110"/>
      <c r="Q19" s="110"/>
      <c r="R19" s="110"/>
      <c r="S19" s="110"/>
      <c r="T19" s="110"/>
      <c r="U19" s="110"/>
      <c r="V19" s="110"/>
      <c r="W19" s="110"/>
      <c r="X19" s="110"/>
      <c r="Y19" s="110"/>
      <c r="Z19" s="110"/>
      <c r="AA19" s="110"/>
      <c r="AB19" s="110"/>
      <c r="AC19" s="110"/>
      <c r="AD19" s="110"/>
      <c r="AE19" s="110"/>
      <c r="AF19" s="110"/>
      <c r="AG19" s="110"/>
      <c r="AH19" s="110"/>
      <c r="AI19" s="110"/>
      <c r="AJ19" s="110"/>
      <c r="AK19" s="110"/>
      <c r="AL19" s="110"/>
    </row>
    <row r="20" spans="1:38" ht="15" customHeight="1" x14ac:dyDescent="0.2">
      <c r="A20" s="353" t="s">
        <v>196</v>
      </c>
      <c r="B20" s="177">
        <v>0</v>
      </c>
      <c r="C20" s="110"/>
      <c r="D20" s="110"/>
      <c r="E20" s="110"/>
      <c r="F20" s="110"/>
      <c r="G20" s="110"/>
      <c r="H20" s="110"/>
      <c r="I20" s="110"/>
      <c r="J20" s="110"/>
      <c r="K20" s="110"/>
      <c r="L20" s="110"/>
      <c r="M20" s="110"/>
      <c r="N20" s="110"/>
      <c r="O20" s="110"/>
      <c r="P20" s="110"/>
      <c r="Q20" s="110"/>
      <c r="R20" s="110"/>
      <c r="S20" s="110"/>
      <c r="T20" s="110"/>
      <c r="U20" s="110"/>
      <c r="V20" s="110"/>
      <c r="W20" s="110"/>
      <c r="X20" s="110"/>
      <c r="Y20" s="110"/>
      <c r="Z20" s="110"/>
      <c r="AA20" s="110"/>
      <c r="AB20" s="110"/>
      <c r="AC20" s="110"/>
      <c r="AD20" s="110"/>
      <c r="AE20" s="110"/>
      <c r="AF20" s="110"/>
      <c r="AG20" s="110"/>
      <c r="AH20" s="110"/>
      <c r="AI20" s="110"/>
      <c r="AJ20" s="110"/>
      <c r="AK20" s="110"/>
      <c r="AL20" s="110"/>
    </row>
    <row r="21" spans="1:38" ht="15" customHeight="1" x14ac:dyDescent="0.2">
      <c r="A21" s="353" t="s">
        <v>197</v>
      </c>
      <c r="B21" s="177">
        <v>0</v>
      </c>
      <c r="C21" s="110"/>
      <c r="D21" s="110"/>
      <c r="E21" s="110"/>
      <c r="F21" s="110"/>
      <c r="G21" s="110"/>
      <c r="H21" s="110"/>
      <c r="I21" s="110"/>
      <c r="J21" s="110"/>
      <c r="K21" s="110"/>
      <c r="L21" s="110"/>
      <c r="M21" s="110"/>
      <c r="N21" s="110"/>
      <c r="O21" s="110"/>
      <c r="P21" s="110"/>
      <c r="Q21" s="110"/>
      <c r="R21" s="110"/>
      <c r="S21" s="110"/>
      <c r="T21" s="110"/>
      <c r="U21" s="110"/>
      <c r="V21" s="110"/>
      <c r="W21" s="110"/>
      <c r="X21" s="110"/>
      <c r="Y21" s="110"/>
      <c r="Z21" s="110"/>
      <c r="AA21" s="110"/>
      <c r="AB21" s="110"/>
      <c r="AC21" s="110"/>
      <c r="AD21" s="110"/>
      <c r="AE21" s="110"/>
      <c r="AF21" s="110"/>
      <c r="AG21" s="110"/>
      <c r="AH21" s="110"/>
      <c r="AI21" s="110"/>
      <c r="AJ21" s="110"/>
      <c r="AK21" s="110"/>
      <c r="AL21" s="110"/>
    </row>
    <row r="22" spans="1:38" ht="15" customHeight="1" x14ac:dyDescent="0.2">
      <c r="A22" s="353" t="s">
        <v>198</v>
      </c>
      <c r="B22" s="177">
        <v>0</v>
      </c>
      <c r="C22" s="110"/>
      <c r="D22" s="110"/>
      <c r="E22" s="110"/>
      <c r="F22" s="110"/>
      <c r="G22" s="110"/>
      <c r="H22" s="110"/>
      <c r="I22" s="110"/>
      <c r="J22" s="110"/>
      <c r="K22" s="110"/>
      <c r="L22" s="110"/>
      <c r="M22" s="110"/>
      <c r="N22" s="110"/>
      <c r="O22" s="110"/>
      <c r="P22" s="110"/>
      <c r="Q22" s="110"/>
      <c r="R22" s="110"/>
      <c r="S22" s="110"/>
      <c r="T22" s="110"/>
      <c r="U22" s="110"/>
      <c r="V22" s="110"/>
      <c r="W22" s="110"/>
      <c r="X22" s="110"/>
      <c r="Y22" s="110"/>
      <c r="Z22" s="110"/>
      <c r="AA22" s="110"/>
      <c r="AB22" s="110"/>
      <c r="AC22" s="110"/>
      <c r="AD22" s="110"/>
      <c r="AE22" s="110"/>
      <c r="AF22" s="110"/>
      <c r="AG22" s="110"/>
      <c r="AH22" s="110"/>
      <c r="AI22" s="110"/>
      <c r="AJ22" s="110"/>
      <c r="AK22" s="110"/>
      <c r="AL22" s="110"/>
    </row>
    <row r="23" spans="1:38" ht="15" customHeight="1" x14ac:dyDescent="0.2">
      <c r="A23" s="353" t="s">
        <v>199</v>
      </c>
      <c r="B23" s="177">
        <v>0</v>
      </c>
      <c r="C23" s="110"/>
      <c r="D23" s="110"/>
      <c r="E23" s="110"/>
      <c r="F23" s="110"/>
      <c r="G23" s="110"/>
      <c r="H23" s="110"/>
      <c r="I23" s="110"/>
      <c r="J23" s="110"/>
      <c r="K23" s="110"/>
      <c r="L23" s="110"/>
      <c r="M23" s="110"/>
      <c r="N23" s="110"/>
      <c r="O23" s="110"/>
      <c r="P23" s="110"/>
      <c r="Q23" s="110"/>
      <c r="R23" s="110"/>
      <c r="S23" s="110"/>
      <c r="T23" s="110"/>
      <c r="U23" s="110"/>
      <c r="V23" s="110"/>
      <c r="W23" s="110"/>
      <c r="X23" s="110"/>
      <c r="Y23" s="110"/>
      <c r="Z23" s="110"/>
      <c r="AA23" s="110"/>
      <c r="AB23" s="110"/>
      <c r="AC23" s="110"/>
      <c r="AD23" s="110"/>
      <c r="AE23" s="110"/>
      <c r="AF23" s="110"/>
      <c r="AG23" s="110"/>
      <c r="AH23" s="110"/>
      <c r="AI23" s="110"/>
      <c r="AJ23" s="110"/>
      <c r="AK23" s="110"/>
      <c r="AL23" s="110"/>
    </row>
    <row r="24" spans="1:38" ht="15" customHeight="1" x14ac:dyDescent="0.2">
      <c r="A24" s="353" t="s">
        <v>200</v>
      </c>
      <c r="B24" s="177">
        <v>0</v>
      </c>
      <c r="C24" s="110"/>
      <c r="D24" s="110"/>
      <c r="E24" s="110"/>
      <c r="F24" s="110"/>
      <c r="G24" s="110"/>
      <c r="H24" s="110"/>
      <c r="I24" s="110"/>
      <c r="J24" s="110"/>
      <c r="K24" s="110"/>
      <c r="L24" s="110"/>
      <c r="M24" s="110"/>
      <c r="N24" s="110"/>
      <c r="O24" s="110"/>
      <c r="P24" s="110"/>
      <c r="Q24" s="110"/>
      <c r="R24" s="110"/>
      <c r="S24" s="110"/>
      <c r="T24" s="110"/>
      <c r="U24" s="110"/>
      <c r="V24" s="110"/>
      <c r="W24" s="110"/>
      <c r="X24" s="110"/>
      <c r="Y24" s="110"/>
      <c r="Z24" s="110"/>
      <c r="AA24" s="110"/>
      <c r="AB24" s="110"/>
      <c r="AC24" s="110"/>
      <c r="AD24" s="110"/>
      <c r="AE24" s="110"/>
      <c r="AF24" s="110"/>
      <c r="AG24" s="110"/>
      <c r="AH24" s="110"/>
      <c r="AI24" s="110"/>
      <c r="AJ24" s="110"/>
      <c r="AK24" s="110"/>
      <c r="AL24" s="110"/>
    </row>
    <row r="25" spans="1:38" ht="15" customHeight="1" x14ac:dyDescent="0.2">
      <c r="A25" s="353" t="s">
        <v>201</v>
      </c>
      <c r="B25" s="177">
        <v>0</v>
      </c>
      <c r="C25" s="110"/>
      <c r="D25" s="110"/>
      <c r="E25" s="110"/>
      <c r="F25" s="110"/>
      <c r="G25" s="110"/>
      <c r="H25" s="110"/>
      <c r="I25" s="110"/>
      <c r="J25" s="110"/>
      <c r="K25" s="110"/>
      <c r="L25" s="110"/>
      <c r="M25" s="110"/>
      <c r="N25" s="110"/>
      <c r="O25" s="110"/>
      <c r="P25" s="110"/>
      <c r="Q25" s="110"/>
      <c r="R25" s="110"/>
      <c r="S25" s="110"/>
      <c r="T25" s="110"/>
      <c r="U25" s="110"/>
      <c r="V25" s="110"/>
      <c r="W25" s="110"/>
      <c r="X25" s="110"/>
      <c r="Y25" s="110"/>
      <c r="Z25" s="110"/>
      <c r="AA25" s="110"/>
      <c r="AB25" s="110"/>
      <c r="AC25" s="110"/>
      <c r="AD25" s="110"/>
      <c r="AE25" s="110"/>
      <c r="AF25" s="110"/>
      <c r="AG25" s="110"/>
      <c r="AH25" s="110"/>
      <c r="AI25" s="110"/>
      <c r="AJ25" s="110"/>
      <c r="AK25" s="110"/>
      <c r="AL25" s="110"/>
    </row>
    <row r="26" spans="1:38" ht="15" customHeight="1" x14ac:dyDescent="0.2">
      <c r="A26" s="353" t="s">
        <v>202</v>
      </c>
      <c r="B26" s="177">
        <v>0</v>
      </c>
      <c r="C26" s="110"/>
      <c r="D26" s="110"/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110"/>
      <c r="P26" s="110"/>
      <c r="Q26" s="110"/>
      <c r="R26" s="110"/>
      <c r="S26" s="110"/>
      <c r="T26" s="110"/>
      <c r="U26" s="110"/>
      <c r="V26" s="110"/>
      <c r="W26" s="110"/>
      <c r="X26" s="110"/>
      <c r="Y26" s="110"/>
      <c r="Z26" s="110"/>
      <c r="AA26" s="110"/>
      <c r="AB26" s="110"/>
      <c r="AC26" s="110"/>
      <c r="AD26" s="110"/>
      <c r="AE26" s="110"/>
      <c r="AF26" s="110"/>
      <c r="AG26" s="110"/>
      <c r="AH26" s="110"/>
      <c r="AI26" s="110"/>
      <c r="AJ26" s="110"/>
      <c r="AK26" s="110"/>
      <c r="AL26" s="110"/>
    </row>
    <row r="27" spans="1:38" ht="15" customHeight="1" x14ac:dyDescent="0.2">
      <c r="A27" s="353" t="s">
        <v>203</v>
      </c>
      <c r="B27" s="177">
        <v>0</v>
      </c>
      <c r="C27" s="110"/>
      <c r="D27" s="110"/>
      <c r="E27" s="110"/>
      <c r="F27" s="110"/>
      <c r="G27" s="110"/>
      <c r="H27" s="110"/>
      <c r="I27" s="110"/>
      <c r="J27" s="110"/>
      <c r="K27" s="110"/>
      <c r="L27" s="110"/>
      <c r="M27" s="110"/>
      <c r="N27" s="110"/>
      <c r="O27" s="110"/>
      <c r="P27" s="110"/>
      <c r="Q27" s="110"/>
      <c r="R27" s="110"/>
      <c r="S27" s="110"/>
      <c r="T27" s="110"/>
      <c r="U27" s="110"/>
      <c r="V27" s="110"/>
      <c r="W27" s="110"/>
      <c r="X27" s="110"/>
      <c r="Y27" s="110"/>
      <c r="Z27" s="110"/>
      <c r="AA27" s="110"/>
      <c r="AB27" s="110"/>
      <c r="AC27" s="110"/>
      <c r="AD27" s="110"/>
      <c r="AE27" s="110"/>
      <c r="AF27" s="110"/>
      <c r="AG27" s="110"/>
      <c r="AH27" s="110"/>
      <c r="AI27" s="110"/>
      <c r="AJ27" s="110"/>
      <c r="AK27" s="110"/>
      <c r="AL27" s="110"/>
    </row>
    <row r="28" spans="1:38" ht="15" customHeight="1" x14ac:dyDescent="0.2">
      <c r="A28" s="353" t="s">
        <v>204</v>
      </c>
      <c r="B28" s="177">
        <v>0</v>
      </c>
      <c r="C28" s="110"/>
      <c r="D28" s="110"/>
      <c r="E28" s="110"/>
      <c r="F28" s="110"/>
      <c r="G28" s="110"/>
      <c r="H28" s="110"/>
      <c r="I28" s="110"/>
      <c r="J28" s="110"/>
      <c r="K28" s="110"/>
      <c r="L28" s="110"/>
      <c r="M28" s="110"/>
      <c r="N28" s="110"/>
      <c r="O28" s="110"/>
      <c r="P28" s="110"/>
      <c r="Q28" s="110"/>
      <c r="R28" s="110"/>
      <c r="S28" s="110"/>
      <c r="T28" s="110"/>
      <c r="U28" s="110"/>
      <c r="V28" s="110"/>
      <c r="W28" s="110"/>
      <c r="X28" s="110"/>
      <c r="Y28" s="110"/>
      <c r="Z28" s="110"/>
      <c r="AA28" s="110"/>
      <c r="AB28" s="110"/>
      <c r="AC28" s="110"/>
      <c r="AD28" s="110"/>
      <c r="AE28" s="110"/>
      <c r="AF28" s="110"/>
      <c r="AG28" s="110"/>
      <c r="AH28" s="110"/>
      <c r="AI28" s="110"/>
      <c r="AJ28" s="110"/>
      <c r="AK28" s="110"/>
      <c r="AL28" s="110"/>
    </row>
    <row r="29" spans="1:38" ht="15" customHeight="1" x14ac:dyDescent="0.2">
      <c r="A29" s="353" t="s">
        <v>205</v>
      </c>
      <c r="B29" s="177">
        <v>0</v>
      </c>
      <c r="C29" s="110"/>
      <c r="D29" s="110"/>
      <c r="E29" s="110"/>
      <c r="F29" s="110"/>
      <c r="G29" s="110"/>
      <c r="H29" s="110"/>
      <c r="I29" s="110"/>
      <c r="J29" s="110"/>
      <c r="K29" s="110"/>
      <c r="L29" s="110"/>
      <c r="M29" s="110"/>
      <c r="N29" s="110"/>
      <c r="O29" s="110"/>
      <c r="P29" s="110"/>
      <c r="Q29" s="110"/>
      <c r="R29" s="110"/>
      <c r="S29" s="110"/>
      <c r="T29" s="110"/>
      <c r="U29" s="110"/>
      <c r="V29" s="110"/>
      <c r="W29" s="110"/>
      <c r="X29" s="110"/>
      <c r="Y29" s="110"/>
      <c r="Z29" s="110"/>
      <c r="AA29" s="110"/>
      <c r="AB29" s="110"/>
      <c r="AC29" s="110"/>
      <c r="AD29" s="110"/>
      <c r="AE29" s="110"/>
      <c r="AF29" s="110"/>
      <c r="AG29" s="110"/>
      <c r="AH29" s="110"/>
      <c r="AI29" s="110"/>
      <c r="AJ29" s="110"/>
      <c r="AK29" s="110"/>
      <c r="AL29" s="110"/>
    </row>
    <row r="30" spans="1:38" ht="15" customHeight="1" x14ac:dyDescent="0.2">
      <c r="A30" s="353" t="s">
        <v>206</v>
      </c>
      <c r="B30" s="177">
        <v>0</v>
      </c>
      <c r="C30" s="110"/>
      <c r="D30" s="110"/>
      <c r="E30" s="110"/>
      <c r="F30" s="110"/>
      <c r="G30" s="110"/>
      <c r="H30" s="110"/>
      <c r="I30" s="110"/>
      <c r="J30" s="110"/>
      <c r="K30" s="110"/>
      <c r="L30" s="110"/>
      <c r="M30" s="110"/>
      <c r="N30" s="110"/>
      <c r="O30" s="110"/>
      <c r="P30" s="110"/>
      <c r="Q30" s="110"/>
      <c r="R30" s="110"/>
      <c r="S30" s="110"/>
      <c r="T30" s="110"/>
      <c r="U30" s="110"/>
      <c r="V30" s="110"/>
      <c r="W30" s="110"/>
      <c r="X30" s="110"/>
      <c r="Y30" s="110"/>
      <c r="Z30" s="110"/>
      <c r="AA30" s="110"/>
      <c r="AB30" s="110"/>
      <c r="AC30" s="110"/>
      <c r="AD30" s="110"/>
      <c r="AE30" s="110"/>
      <c r="AF30" s="110"/>
      <c r="AG30" s="110"/>
      <c r="AH30" s="110"/>
      <c r="AI30" s="110"/>
      <c r="AJ30" s="110"/>
      <c r="AK30" s="110"/>
      <c r="AL30" s="110"/>
    </row>
    <row r="31" spans="1:38" ht="15" customHeight="1" x14ac:dyDescent="0.2">
      <c r="A31" s="353" t="s">
        <v>207</v>
      </c>
      <c r="B31" s="177">
        <v>0</v>
      </c>
      <c r="C31" s="110"/>
      <c r="D31" s="110"/>
      <c r="E31" s="110"/>
      <c r="F31" s="110"/>
      <c r="H31" s="110"/>
      <c r="I31" s="110"/>
      <c r="J31" s="110"/>
      <c r="K31" s="110"/>
      <c r="L31" s="110"/>
      <c r="M31" s="110"/>
      <c r="N31" s="110"/>
      <c r="O31" s="110"/>
      <c r="P31" s="110"/>
      <c r="Q31" s="110"/>
      <c r="R31" s="110"/>
      <c r="S31" s="110"/>
      <c r="T31" s="110"/>
      <c r="U31" s="110"/>
      <c r="V31" s="110"/>
      <c r="W31" s="110"/>
      <c r="X31" s="110"/>
      <c r="Y31" s="110"/>
      <c r="Z31" s="110"/>
      <c r="AA31" s="110"/>
      <c r="AB31" s="110"/>
      <c r="AC31" s="110"/>
      <c r="AD31" s="110"/>
      <c r="AE31" s="110"/>
      <c r="AF31" s="110"/>
      <c r="AG31" s="110"/>
      <c r="AH31" s="110"/>
      <c r="AI31" s="110"/>
      <c r="AJ31" s="110"/>
      <c r="AK31" s="110"/>
      <c r="AL31" s="110"/>
    </row>
    <row r="32" spans="1:38" ht="15" customHeight="1" x14ac:dyDescent="0.2">
      <c r="A32" s="353" t="s">
        <v>298</v>
      </c>
      <c r="B32" s="177">
        <v>0</v>
      </c>
      <c r="C32" s="110"/>
      <c r="D32" s="110"/>
      <c r="E32" s="110"/>
      <c r="F32" s="110"/>
      <c r="G32" s="110"/>
      <c r="H32" s="110"/>
      <c r="I32" s="110"/>
      <c r="J32" s="110"/>
      <c r="K32" s="110"/>
      <c r="L32" s="110"/>
      <c r="M32" s="110"/>
      <c r="N32" s="110"/>
      <c r="O32" s="110"/>
      <c r="P32" s="110"/>
      <c r="Q32" s="110"/>
      <c r="R32" s="110"/>
      <c r="S32" s="110"/>
      <c r="T32" s="110"/>
      <c r="U32" s="110"/>
      <c r="V32" s="110"/>
      <c r="W32" s="110"/>
      <c r="X32" s="110"/>
      <c r="Y32" s="110"/>
      <c r="Z32" s="110"/>
      <c r="AA32" s="110"/>
      <c r="AB32" s="110"/>
      <c r="AC32" s="110"/>
      <c r="AD32" s="110"/>
      <c r="AE32" s="110"/>
      <c r="AF32" s="110"/>
      <c r="AG32" s="110"/>
      <c r="AH32" s="110"/>
      <c r="AI32" s="110"/>
      <c r="AJ32" s="110"/>
      <c r="AK32" s="110"/>
      <c r="AL32" s="110"/>
    </row>
    <row r="33" spans="1:38" ht="15" customHeight="1" x14ac:dyDescent="0.2">
      <c r="A33" s="353" t="s">
        <v>299</v>
      </c>
      <c r="B33" s="177">
        <v>0</v>
      </c>
      <c r="C33" s="110"/>
      <c r="D33" s="110"/>
      <c r="E33" s="110"/>
      <c r="F33" s="110"/>
      <c r="G33" s="110"/>
      <c r="H33" s="110"/>
      <c r="I33" s="110"/>
      <c r="J33" s="110"/>
      <c r="K33" s="110"/>
      <c r="L33" s="110"/>
      <c r="M33" s="110"/>
      <c r="N33" s="110"/>
      <c r="O33" s="110"/>
      <c r="P33" s="110"/>
      <c r="Q33" s="110"/>
      <c r="R33" s="110"/>
      <c r="S33" s="110"/>
      <c r="T33" s="110"/>
      <c r="U33" s="110"/>
      <c r="V33" s="110"/>
      <c r="W33" s="110"/>
      <c r="X33" s="110"/>
      <c r="Y33" s="110"/>
      <c r="Z33" s="110"/>
      <c r="AA33" s="110"/>
      <c r="AB33" s="110"/>
      <c r="AC33" s="110"/>
      <c r="AD33" s="110"/>
      <c r="AE33" s="110"/>
      <c r="AF33" s="110"/>
      <c r="AG33" s="110"/>
      <c r="AH33" s="110"/>
      <c r="AI33" s="110"/>
      <c r="AJ33" s="110"/>
      <c r="AK33" s="110"/>
      <c r="AL33" s="110"/>
    </row>
    <row r="34" spans="1:38" ht="15" customHeight="1" x14ac:dyDescent="0.2">
      <c r="A34" s="353" t="s">
        <v>300</v>
      </c>
      <c r="B34" s="177">
        <v>0</v>
      </c>
      <c r="C34" s="110"/>
      <c r="D34" s="110"/>
      <c r="E34" s="110"/>
      <c r="F34" s="110"/>
      <c r="G34" s="110"/>
      <c r="H34" s="110"/>
      <c r="I34" s="110"/>
      <c r="J34" s="110"/>
      <c r="K34" s="110"/>
      <c r="L34" s="110"/>
      <c r="M34" s="110"/>
      <c r="N34" s="110"/>
      <c r="O34" s="110"/>
      <c r="P34" s="110"/>
      <c r="Q34" s="110"/>
      <c r="R34" s="110"/>
      <c r="S34" s="110"/>
      <c r="T34" s="110"/>
      <c r="U34" s="110"/>
      <c r="V34" s="110"/>
      <c r="W34" s="110"/>
      <c r="X34" s="110"/>
      <c r="Y34" s="110"/>
      <c r="Z34" s="110"/>
      <c r="AA34" s="110"/>
      <c r="AB34" s="110"/>
      <c r="AC34" s="110"/>
      <c r="AD34" s="110"/>
      <c r="AE34" s="110"/>
      <c r="AF34" s="110"/>
      <c r="AG34" s="110"/>
      <c r="AH34" s="110"/>
      <c r="AI34" s="110"/>
      <c r="AJ34" s="110"/>
      <c r="AK34" s="110"/>
      <c r="AL34" s="110"/>
    </row>
    <row r="35" spans="1:38" ht="15" customHeight="1" x14ac:dyDescent="0.2">
      <c r="A35" s="353" t="s">
        <v>301</v>
      </c>
      <c r="B35" s="177">
        <v>0</v>
      </c>
      <c r="C35" s="110"/>
      <c r="D35" s="110"/>
      <c r="E35" s="110"/>
      <c r="F35" s="110"/>
      <c r="G35" s="110"/>
      <c r="H35" s="110"/>
      <c r="I35" s="110"/>
      <c r="J35" s="110"/>
      <c r="K35" s="110"/>
      <c r="L35" s="110"/>
      <c r="M35" s="110"/>
      <c r="N35" s="110"/>
      <c r="O35" s="110"/>
      <c r="P35" s="110"/>
      <c r="Q35" s="110"/>
      <c r="R35" s="110"/>
      <c r="S35" s="110"/>
      <c r="T35" s="110"/>
      <c r="U35" s="110"/>
      <c r="V35" s="110"/>
      <c r="W35" s="110"/>
      <c r="X35" s="110"/>
      <c r="Y35" s="110"/>
      <c r="Z35" s="110"/>
      <c r="AA35" s="110"/>
      <c r="AB35" s="110"/>
      <c r="AC35" s="110"/>
      <c r="AD35" s="110"/>
      <c r="AE35" s="110"/>
      <c r="AF35" s="110"/>
      <c r="AG35" s="110"/>
      <c r="AH35" s="110"/>
      <c r="AI35" s="110"/>
      <c r="AJ35" s="110"/>
      <c r="AK35" s="110"/>
      <c r="AL35" s="110"/>
    </row>
    <row r="36" spans="1:38" ht="15" customHeight="1" x14ac:dyDescent="0.2">
      <c r="A36" s="353" t="s">
        <v>208</v>
      </c>
      <c r="B36" s="177">
        <v>0</v>
      </c>
    </row>
    <row r="37" spans="1:38" ht="15" customHeight="1" x14ac:dyDescent="0.2">
      <c r="A37" s="353" t="s">
        <v>209</v>
      </c>
      <c r="B37" s="177">
        <v>0</v>
      </c>
    </row>
    <row r="38" spans="1:38" ht="15" customHeight="1" x14ac:dyDescent="0.2">
      <c r="A38" s="353" t="s">
        <v>210</v>
      </c>
      <c r="B38" s="177">
        <v>0</v>
      </c>
      <c r="C38" s="110"/>
      <c r="D38" s="110"/>
      <c r="E38" s="110"/>
      <c r="F38" s="110"/>
      <c r="G38" s="110"/>
      <c r="H38" s="110"/>
      <c r="I38" s="110"/>
      <c r="J38" s="110"/>
      <c r="K38" s="110"/>
      <c r="L38" s="110"/>
      <c r="M38" s="110"/>
      <c r="N38" s="110"/>
      <c r="O38" s="110"/>
      <c r="P38" s="110"/>
      <c r="Q38" s="110"/>
      <c r="R38" s="110"/>
      <c r="S38" s="110"/>
      <c r="T38" s="110"/>
      <c r="U38" s="110"/>
      <c r="V38" s="110"/>
      <c r="W38" s="110"/>
      <c r="X38" s="110"/>
      <c r="Y38" s="110"/>
      <c r="Z38" s="110"/>
      <c r="AA38" s="110"/>
      <c r="AB38" s="110"/>
      <c r="AC38" s="110"/>
      <c r="AD38" s="110"/>
      <c r="AE38" s="110"/>
      <c r="AF38" s="110"/>
      <c r="AG38" s="110"/>
      <c r="AH38" s="110"/>
      <c r="AI38" s="110"/>
      <c r="AJ38" s="110"/>
      <c r="AK38" s="110"/>
      <c r="AL38" s="110"/>
    </row>
    <row r="39" spans="1:38" ht="15" customHeight="1" x14ac:dyDescent="0.2">
      <c r="A39" s="353" t="s">
        <v>211</v>
      </c>
      <c r="B39" s="177">
        <v>0</v>
      </c>
    </row>
    <row r="40" spans="1:38" ht="15" customHeight="1" x14ac:dyDescent="0.2">
      <c r="A40" s="353" t="s">
        <v>212</v>
      </c>
      <c r="B40" s="177">
        <v>0</v>
      </c>
    </row>
    <row r="41" spans="1:38" ht="15" customHeight="1" x14ac:dyDescent="0.2">
      <c r="A41" s="353" t="s">
        <v>213</v>
      </c>
      <c r="B41" s="177">
        <v>0</v>
      </c>
    </row>
    <row r="42" spans="1:38" ht="15" customHeight="1" x14ac:dyDescent="0.2">
      <c r="A42" s="353" t="s">
        <v>214</v>
      </c>
      <c r="B42" s="177">
        <v>0</v>
      </c>
    </row>
    <row r="43" spans="1:38" ht="15" customHeight="1" x14ac:dyDescent="0.2">
      <c r="A43" s="353" t="s">
        <v>215</v>
      </c>
      <c r="B43" s="177">
        <v>0</v>
      </c>
    </row>
    <row r="44" spans="1:38" ht="15" customHeight="1" x14ac:dyDescent="0.2">
      <c r="A44" s="353" t="s">
        <v>216</v>
      </c>
      <c r="B44" s="177">
        <v>0</v>
      </c>
    </row>
    <row r="45" spans="1:38" ht="15" customHeight="1" x14ac:dyDescent="0.2">
      <c r="A45" s="353" t="s">
        <v>217</v>
      </c>
      <c r="B45" s="177">
        <v>0</v>
      </c>
    </row>
    <row r="46" spans="1:38" ht="15" customHeight="1" x14ac:dyDescent="0.2">
      <c r="A46" s="353" t="s">
        <v>218</v>
      </c>
      <c r="B46" s="177">
        <v>0</v>
      </c>
    </row>
    <row r="47" spans="1:38" ht="15" customHeight="1" x14ac:dyDescent="0.2">
      <c r="A47" s="353" t="s">
        <v>219</v>
      </c>
      <c r="B47" s="177">
        <v>0</v>
      </c>
    </row>
    <row r="48" spans="1:38" ht="15" customHeight="1" x14ac:dyDescent="0.2">
      <c r="A48" s="353" t="s">
        <v>220</v>
      </c>
      <c r="B48" s="177">
        <v>0</v>
      </c>
    </row>
    <row r="49" spans="1:38" ht="15" customHeight="1" x14ac:dyDescent="0.2">
      <c r="A49" s="353" t="s">
        <v>221</v>
      </c>
      <c r="B49" s="177">
        <v>0</v>
      </c>
    </row>
    <row r="50" spans="1:38" ht="15" customHeight="1" x14ac:dyDescent="0.2">
      <c r="A50" s="353" t="s">
        <v>222</v>
      </c>
      <c r="B50" s="177">
        <v>0</v>
      </c>
    </row>
    <row r="51" spans="1:38" ht="15" customHeight="1" x14ac:dyDescent="0.2">
      <c r="A51" s="353" t="s">
        <v>223</v>
      </c>
      <c r="B51" s="177">
        <v>0</v>
      </c>
    </row>
    <row r="52" spans="1:38" ht="15" customHeight="1" x14ac:dyDescent="0.2">
      <c r="A52" s="353" t="s">
        <v>224</v>
      </c>
      <c r="B52" s="177">
        <v>0</v>
      </c>
      <c r="F52" s="110"/>
      <c r="G52" s="110"/>
      <c r="H52" s="110"/>
      <c r="I52" s="110"/>
      <c r="J52" s="110"/>
      <c r="K52" s="110"/>
      <c r="L52" s="110"/>
      <c r="M52" s="110"/>
      <c r="N52" s="110"/>
      <c r="O52" s="110"/>
      <c r="P52" s="110"/>
      <c r="Q52" s="110"/>
      <c r="R52" s="110"/>
      <c r="S52" s="110"/>
      <c r="T52" s="110"/>
      <c r="U52" s="110"/>
      <c r="V52" s="110"/>
      <c r="W52" s="110"/>
      <c r="X52" s="110"/>
      <c r="Y52" s="110"/>
      <c r="Z52" s="110"/>
      <c r="AA52" s="110"/>
      <c r="AB52" s="110"/>
      <c r="AC52" s="110"/>
      <c r="AD52" s="110"/>
      <c r="AE52" s="110"/>
      <c r="AF52" s="110"/>
      <c r="AG52" s="110"/>
      <c r="AH52" s="110"/>
      <c r="AI52" s="110"/>
      <c r="AJ52" s="110"/>
      <c r="AK52" s="110"/>
      <c r="AL52" s="110"/>
    </row>
    <row r="53" spans="1:38" ht="15" customHeight="1" x14ac:dyDescent="0.2">
      <c r="A53" s="353" t="s">
        <v>225</v>
      </c>
      <c r="B53" s="177">
        <v>0</v>
      </c>
      <c r="F53" s="110"/>
      <c r="G53" s="110"/>
      <c r="H53" s="110"/>
      <c r="I53" s="110"/>
      <c r="J53" s="110"/>
      <c r="K53" s="110"/>
      <c r="L53" s="110"/>
      <c r="M53" s="110"/>
      <c r="N53" s="110"/>
      <c r="O53" s="110"/>
      <c r="P53" s="110"/>
      <c r="Q53" s="110"/>
      <c r="R53" s="110"/>
      <c r="S53" s="110"/>
      <c r="T53" s="110"/>
      <c r="U53" s="110"/>
      <c r="V53" s="110"/>
      <c r="W53" s="110"/>
      <c r="X53" s="110"/>
      <c r="Y53" s="110"/>
      <c r="Z53" s="110"/>
      <c r="AA53" s="110"/>
      <c r="AB53" s="110"/>
      <c r="AC53" s="110"/>
      <c r="AD53" s="110"/>
      <c r="AE53" s="110"/>
      <c r="AF53" s="110"/>
      <c r="AG53" s="110"/>
      <c r="AH53" s="110"/>
      <c r="AI53" s="110"/>
      <c r="AJ53" s="110"/>
      <c r="AK53" s="110"/>
      <c r="AL53" s="110"/>
    </row>
    <row r="54" spans="1:38" ht="15" customHeight="1" x14ac:dyDescent="0.2">
      <c r="A54" s="353" t="s">
        <v>124</v>
      </c>
      <c r="B54" s="177">
        <v>0</v>
      </c>
      <c r="C54" s="110"/>
      <c r="D54" s="110"/>
      <c r="E54" s="110"/>
      <c r="F54" s="110"/>
      <c r="G54" s="110"/>
      <c r="H54" s="110"/>
      <c r="I54" s="110"/>
      <c r="J54" s="110"/>
      <c r="K54" s="110"/>
      <c r="L54" s="110"/>
      <c r="M54" s="110"/>
      <c r="N54" s="110"/>
      <c r="O54" s="110"/>
      <c r="P54" s="110"/>
      <c r="Q54" s="110"/>
      <c r="R54" s="110"/>
      <c r="S54" s="110"/>
      <c r="T54" s="110"/>
      <c r="U54" s="110"/>
      <c r="V54" s="110"/>
      <c r="W54" s="110"/>
      <c r="X54" s="110"/>
      <c r="Y54" s="110"/>
      <c r="Z54" s="110"/>
      <c r="AA54" s="110"/>
      <c r="AB54" s="110"/>
      <c r="AC54" s="110"/>
      <c r="AD54" s="110"/>
      <c r="AE54" s="110"/>
      <c r="AF54" s="110"/>
      <c r="AG54" s="110"/>
      <c r="AH54" s="110"/>
      <c r="AI54" s="110"/>
      <c r="AJ54" s="110"/>
      <c r="AK54" s="110"/>
      <c r="AL54" s="110"/>
    </row>
    <row r="55" spans="1:38" ht="15" customHeight="1" x14ac:dyDescent="0.2">
      <c r="A55" s="353" t="s">
        <v>125</v>
      </c>
      <c r="B55" s="177">
        <v>0</v>
      </c>
      <c r="C55" s="110"/>
      <c r="D55" s="110"/>
      <c r="E55" s="110"/>
      <c r="F55" s="110"/>
      <c r="G55" s="110"/>
      <c r="H55" s="110"/>
      <c r="I55" s="110"/>
      <c r="J55" s="110"/>
      <c r="K55" s="110"/>
      <c r="L55" s="110"/>
      <c r="M55" s="110"/>
      <c r="N55" s="110"/>
      <c r="O55" s="110"/>
      <c r="P55" s="110"/>
      <c r="Q55" s="110"/>
      <c r="R55" s="110"/>
      <c r="S55" s="110"/>
      <c r="T55" s="110"/>
      <c r="U55" s="110"/>
      <c r="V55" s="110"/>
      <c r="W55" s="110"/>
      <c r="X55" s="110"/>
      <c r="Y55" s="110"/>
      <c r="Z55" s="110"/>
      <c r="AA55" s="110"/>
      <c r="AB55" s="110"/>
      <c r="AC55" s="110"/>
      <c r="AD55" s="110"/>
      <c r="AE55" s="110"/>
      <c r="AF55" s="110"/>
      <c r="AG55" s="110"/>
      <c r="AH55" s="110"/>
      <c r="AI55" s="110"/>
      <c r="AJ55" s="110"/>
      <c r="AK55" s="110"/>
      <c r="AL55" s="110"/>
    </row>
    <row r="56" spans="1:38" ht="15" customHeight="1" x14ac:dyDescent="0.2">
      <c r="A56" s="378" t="s">
        <v>226</v>
      </c>
      <c r="B56" s="177">
        <v>0</v>
      </c>
      <c r="C56" s="110"/>
      <c r="D56" s="110"/>
      <c r="E56" s="110"/>
      <c r="F56" s="110"/>
      <c r="G56" s="110"/>
      <c r="H56" s="110"/>
      <c r="I56" s="110"/>
      <c r="J56" s="110"/>
      <c r="K56" s="110"/>
      <c r="L56" s="110"/>
      <c r="M56" s="110"/>
      <c r="N56" s="110"/>
      <c r="O56" s="110"/>
      <c r="P56" s="110"/>
      <c r="Q56" s="110"/>
      <c r="R56" s="110"/>
      <c r="S56" s="110"/>
      <c r="T56" s="110"/>
      <c r="U56" s="110"/>
      <c r="V56" s="110"/>
      <c r="W56" s="110"/>
      <c r="X56" s="110"/>
      <c r="Y56" s="110"/>
      <c r="Z56" s="110"/>
      <c r="AA56" s="110"/>
      <c r="AB56" s="110"/>
      <c r="AC56" s="110"/>
      <c r="AD56" s="110"/>
      <c r="AE56" s="110"/>
      <c r="AF56" s="110"/>
      <c r="AG56" s="110"/>
      <c r="AH56" s="110"/>
      <c r="AI56" s="110"/>
      <c r="AJ56" s="110"/>
      <c r="AK56" s="110"/>
      <c r="AL56" s="110"/>
    </row>
    <row r="57" spans="1:38" ht="15" customHeight="1" x14ac:dyDescent="0.2">
      <c r="A57" s="378" t="s">
        <v>227</v>
      </c>
      <c r="B57" s="177">
        <v>0</v>
      </c>
      <c r="C57" s="110"/>
      <c r="D57" s="110"/>
      <c r="E57" s="110"/>
      <c r="F57" s="110"/>
      <c r="G57" s="110"/>
      <c r="H57" s="110"/>
      <c r="I57" s="110"/>
      <c r="J57" s="110"/>
      <c r="K57" s="110"/>
      <c r="L57" s="110"/>
      <c r="M57" s="110"/>
      <c r="N57" s="110"/>
      <c r="O57" s="110"/>
      <c r="P57" s="110"/>
      <c r="Q57" s="110"/>
      <c r="R57" s="110"/>
      <c r="S57" s="110"/>
      <c r="T57" s="110"/>
      <c r="U57" s="110"/>
      <c r="V57" s="110"/>
      <c r="W57" s="110"/>
      <c r="X57" s="110"/>
      <c r="Y57" s="110"/>
      <c r="Z57" s="110"/>
      <c r="AA57" s="110"/>
      <c r="AB57" s="110"/>
      <c r="AC57" s="110"/>
      <c r="AD57" s="110"/>
      <c r="AE57" s="110"/>
      <c r="AF57" s="110"/>
      <c r="AG57" s="110"/>
      <c r="AH57" s="110"/>
      <c r="AI57" s="110"/>
      <c r="AJ57" s="110"/>
      <c r="AK57" s="110"/>
      <c r="AL57" s="110"/>
    </row>
    <row r="58" spans="1:38" ht="15" customHeight="1" x14ac:dyDescent="0.2">
      <c r="A58" s="378" t="s">
        <v>228</v>
      </c>
      <c r="B58" s="177">
        <v>0</v>
      </c>
      <c r="C58" s="110"/>
      <c r="D58" s="110"/>
      <c r="E58" s="110"/>
      <c r="F58" s="110"/>
      <c r="G58" s="110"/>
      <c r="H58" s="110"/>
      <c r="I58" s="110"/>
      <c r="J58" s="110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0"/>
      <c r="V58" s="110"/>
      <c r="W58" s="110"/>
      <c r="X58" s="110"/>
      <c r="Y58" s="110"/>
      <c r="Z58" s="110"/>
      <c r="AA58" s="110"/>
      <c r="AB58" s="110"/>
      <c r="AC58" s="110"/>
      <c r="AD58" s="110"/>
      <c r="AE58" s="110"/>
      <c r="AF58" s="110"/>
      <c r="AG58" s="110"/>
      <c r="AH58" s="110"/>
      <c r="AI58" s="110"/>
      <c r="AJ58" s="110"/>
      <c r="AK58" s="110"/>
      <c r="AL58" s="110"/>
    </row>
    <row r="59" spans="1:38" ht="15" customHeight="1" x14ac:dyDescent="0.2">
      <c r="A59" s="378" t="s">
        <v>229</v>
      </c>
      <c r="B59" s="177">
        <v>0</v>
      </c>
      <c r="C59" s="110"/>
      <c r="D59" s="110"/>
      <c r="E59" s="110"/>
      <c r="F59" s="110"/>
      <c r="G59" s="110"/>
      <c r="H59" s="110"/>
      <c r="I59" s="110"/>
      <c r="J59" s="110"/>
      <c r="K59" s="110"/>
      <c r="L59" s="110"/>
      <c r="M59" s="110"/>
      <c r="N59" s="110"/>
      <c r="O59" s="110"/>
      <c r="P59" s="110"/>
      <c r="Q59" s="110"/>
      <c r="R59" s="110"/>
      <c r="S59" s="110"/>
      <c r="T59" s="110"/>
      <c r="U59" s="110"/>
      <c r="V59" s="110"/>
      <c r="W59" s="110"/>
      <c r="X59" s="110"/>
      <c r="Y59" s="110"/>
      <c r="Z59" s="110"/>
      <c r="AA59" s="110"/>
      <c r="AB59" s="110"/>
      <c r="AC59" s="110"/>
      <c r="AD59" s="110"/>
      <c r="AE59" s="110"/>
      <c r="AF59" s="110"/>
      <c r="AG59" s="110"/>
      <c r="AH59" s="110"/>
      <c r="AI59" s="110"/>
      <c r="AJ59" s="110"/>
      <c r="AK59" s="110"/>
      <c r="AL59" s="110"/>
    </row>
    <row r="60" spans="1:38" ht="15" customHeight="1" x14ac:dyDescent="0.2">
      <c r="A60" s="378" t="s">
        <v>230</v>
      </c>
      <c r="B60" s="177">
        <v>0</v>
      </c>
      <c r="C60" s="110"/>
      <c r="D60" s="110"/>
      <c r="E60" s="110"/>
      <c r="F60" s="110"/>
      <c r="G60" s="110"/>
      <c r="H60" s="110"/>
      <c r="I60" s="110"/>
      <c r="J60" s="110"/>
      <c r="K60" s="110"/>
      <c r="L60" s="110"/>
      <c r="M60" s="110"/>
      <c r="N60" s="110"/>
      <c r="O60" s="110"/>
      <c r="P60" s="110"/>
      <c r="Q60" s="110"/>
      <c r="R60" s="110"/>
      <c r="S60" s="110"/>
      <c r="T60" s="110"/>
      <c r="U60" s="110"/>
      <c r="V60" s="110"/>
      <c r="W60" s="110"/>
      <c r="X60" s="110"/>
      <c r="Y60" s="110"/>
      <c r="Z60" s="110"/>
      <c r="AA60" s="110"/>
      <c r="AB60" s="110"/>
      <c r="AC60" s="110"/>
      <c r="AD60" s="110"/>
      <c r="AE60" s="110"/>
      <c r="AF60" s="110"/>
      <c r="AG60" s="110"/>
      <c r="AH60" s="110"/>
      <c r="AI60" s="110"/>
      <c r="AJ60" s="110"/>
      <c r="AK60" s="110"/>
      <c r="AL60" s="110"/>
    </row>
    <row r="61" spans="1:38" ht="15" customHeight="1" x14ac:dyDescent="0.2">
      <c r="A61" s="378" t="s">
        <v>231</v>
      </c>
      <c r="B61" s="177">
        <v>0</v>
      </c>
      <c r="C61" s="110"/>
      <c r="D61" s="110"/>
      <c r="E61" s="110"/>
      <c r="F61" s="110"/>
      <c r="G61" s="110"/>
      <c r="H61" s="110"/>
      <c r="I61" s="110"/>
      <c r="J61" s="110"/>
      <c r="K61" s="110"/>
      <c r="L61" s="110"/>
      <c r="M61" s="110"/>
      <c r="N61" s="110"/>
      <c r="O61" s="110"/>
      <c r="P61" s="110"/>
      <c r="Q61" s="110"/>
      <c r="R61" s="110"/>
      <c r="S61" s="110"/>
      <c r="T61" s="110"/>
      <c r="U61" s="110"/>
      <c r="V61" s="110"/>
      <c r="W61" s="110"/>
      <c r="X61" s="110"/>
      <c r="Y61" s="110"/>
      <c r="Z61" s="110"/>
      <c r="AA61" s="110"/>
      <c r="AB61" s="110"/>
      <c r="AC61" s="110"/>
      <c r="AD61" s="110"/>
      <c r="AE61" s="110"/>
      <c r="AF61" s="110"/>
      <c r="AG61" s="110"/>
      <c r="AH61" s="110"/>
      <c r="AI61" s="110"/>
      <c r="AJ61" s="110"/>
      <c r="AK61" s="110"/>
      <c r="AL61" s="110"/>
    </row>
    <row r="62" spans="1:38" ht="15" customHeight="1" x14ac:dyDescent="0.2">
      <c r="A62" s="378" t="s">
        <v>232</v>
      </c>
      <c r="B62" s="177">
        <v>0</v>
      </c>
      <c r="C62" s="110"/>
      <c r="D62" s="110"/>
      <c r="E62" s="110"/>
      <c r="F62" s="110"/>
      <c r="G62" s="110"/>
      <c r="H62" s="110"/>
      <c r="I62" s="110"/>
      <c r="J62" s="110"/>
      <c r="K62" s="110"/>
      <c r="L62" s="110"/>
      <c r="M62" s="110"/>
      <c r="N62" s="110"/>
      <c r="O62" s="110"/>
      <c r="P62" s="110"/>
      <c r="Q62" s="110"/>
      <c r="R62" s="110"/>
      <c r="S62" s="110"/>
      <c r="T62" s="110"/>
      <c r="U62" s="110"/>
      <c r="V62" s="110"/>
      <c r="W62" s="110"/>
      <c r="X62" s="110"/>
      <c r="Y62" s="110"/>
      <c r="Z62" s="110"/>
      <c r="AA62" s="110"/>
      <c r="AB62" s="110"/>
      <c r="AC62" s="110"/>
      <c r="AD62" s="110"/>
      <c r="AE62" s="110"/>
      <c r="AF62" s="110"/>
      <c r="AG62" s="110"/>
      <c r="AH62" s="110"/>
      <c r="AI62" s="110"/>
      <c r="AJ62" s="110"/>
      <c r="AK62" s="110"/>
      <c r="AL62" s="110"/>
    </row>
    <row r="63" spans="1:38" ht="15" customHeight="1" x14ac:dyDescent="0.2">
      <c r="A63" s="378" t="s">
        <v>233</v>
      </c>
      <c r="B63" s="177">
        <v>0</v>
      </c>
      <c r="C63" s="110"/>
      <c r="D63" s="110"/>
      <c r="E63" s="110"/>
      <c r="F63" s="110"/>
      <c r="G63" s="110"/>
      <c r="H63" s="110"/>
      <c r="I63" s="110"/>
      <c r="J63" s="110"/>
      <c r="K63" s="110"/>
      <c r="L63" s="110"/>
      <c r="M63" s="110"/>
      <c r="N63" s="110"/>
      <c r="O63" s="110"/>
      <c r="P63" s="110"/>
      <c r="Q63" s="110"/>
      <c r="R63" s="110"/>
      <c r="S63" s="110"/>
      <c r="T63" s="110"/>
      <c r="U63" s="110"/>
      <c r="V63" s="110"/>
      <c r="W63" s="110"/>
      <c r="X63" s="110"/>
      <c r="Y63" s="110"/>
      <c r="Z63" s="110"/>
      <c r="AA63" s="110"/>
      <c r="AB63" s="110"/>
      <c r="AC63" s="110"/>
      <c r="AD63" s="110"/>
      <c r="AE63" s="110"/>
      <c r="AF63" s="110"/>
      <c r="AG63" s="110"/>
      <c r="AH63" s="110"/>
      <c r="AI63" s="110"/>
      <c r="AJ63" s="110"/>
      <c r="AK63" s="110"/>
      <c r="AL63" s="110"/>
    </row>
    <row r="64" spans="1:38" ht="15" customHeight="1" x14ac:dyDescent="0.2">
      <c r="A64" s="378" t="s">
        <v>234</v>
      </c>
      <c r="B64" s="177">
        <v>0</v>
      </c>
      <c r="C64" s="110"/>
      <c r="D64" s="110"/>
      <c r="E64" s="110"/>
      <c r="F64" s="110"/>
      <c r="G64" s="110"/>
      <c r="H64" s="110"/>
      <c r="I64" s="110"/>
      <c r="J64" s="110"/>
      <c r="K64" s="110"/>
      <c r="L64" s="110"/>
      <c r="M64" s="110"/>
      <c r="N64" s="110"/>
      <c r="O64" s="110"/>
      <c r="P64" s="110"/>
      <c r="Q64" s="110"/>
      <c r="R64" s="110"/>
      <c r="S64" s="110"/>
      <c r="T64" s="110"/>
      <c r="U64" s="110"/>
      <c r="V64" s="110"/>
      <c r="W64" s="110"/>
      <c r="X64" s="110"/>
      <c r="Y64" s="110"/>
      <c r="Z64" s="110"/>
      <c r="AA64" s="110"/>
      <c r="AB64" s="110"/>
      <c r="AC64" s="110"/>
      <c r="AD64" s="110"/>
      <c r="AE64" s="110"/>
      <c r="AF64" s="110"/>
      <c r="AG64" s="110"/>
      <c r="AH64" s="110"/>
      <c r="AI64" s="110"/>
      <c r="AJ64" s="110"/>
      <c r="AK64" s="110"/>
      <c r="AL64" s="110"/>
    </row>
    <row r="65" spans="1:38" ht="15" customHeight="1" x14ac:dyDescent="0.2">
      <c r="A65" s="378" t="s">
        <v>235</v>
      </c>
      <c r="B65" s="177">
        <v>0</v>
      </c>
      <c r="C65" s="110"/>
      <c r="D65" s="110"/>
      <c r="E65" s="110"/>
      <c r="F65" s="110"/>
      <c r="G65" s="110"/>
      <c r="H65" s="110"/>
      <c r="I65" s="110"/>
      <c r="J65" s="110"/>
      <c r="K65" s="110"/>
      <c r="L65" s="110"/>
      <c r="M65" s="110"/>
      <c r="N65" s="110"/>
      <c r="O65" s="110"/>
      <c r="P65" s="110"/>
      <c r="Q65" s="110"/>
      <c r="R65" s="110"/>
      <c r="S65" s="110"/>
      <c r="T65" s="110"/>
      <c r="U65" s="110"/>
      <c r="V65" s="110"/>
      <c r="W65" s="110"/>
      <c r="X65" s="110"/>
      <c r="Y65" s="110"/>
      <c r="Z65" s="110"/>
      <c r="AA65" s="110"/>
      <c r="AB65" s="110"/>
      <c r="AC65" s="110"/>
      <c r="AD65" s="110"/>
      <c r="AE65" s="110"/>
      <c r="AF65" s="110"/>
      <c r="AG65" s="110"/>
      <c r="AH65" s="110"/>
      <c r="AI65" s="110"/>
      <c r="AJ65" s="110"/>
      <c r="AK65" s="110"/>
      <c r="AL65" s="110"/>
    </row>
    <row r="66" spans="1:38" ht="15" customHeight="1" x14ac:dyDescent="0.2">
      <c r="A66" s="378" t="s">
        <v>236</v>
      </c>
      <c r="B66" s="177">
        <v>0</v>
      </c>
      <c r="C66" s="110"/>
      <c r="D66" s="110"/>
      <c r="E66" s="110"/>
      <c r="F66" s="110"/>
      <c r="G66" s="110"/>
      <c r="H66" s="110"/>
      <c r="I66" s="110"/>
      <c r="J66" s="110"/>
      <c r="K66" s="110"/>
      <c r="L66" s="110"/>
      <c r="M66" s="110"/>
      <c r="N66" s="110"/>
      <c r="O66" s="110"/>
      <c r="P66" s="110"/>
      <c r="Q66" s="110"/>
      <c r="R66" s="110"/>
      <c r="S66" s="110"/>
      <c r="T66" s="110"/>
      <c r="U66" s="110"/>
      <c r="V66" s="110"/>
      <c r="W66" s="110"/>
      <c r="X66" s="110"/>
      <c r="Y66" s="110"/>
      <c r="Z66" s="110"/>
      <c r="AA66" s="110"/>
      <c r="AB66" s="110"/>
      <c r="AC66" s="110"/>
      <c r="AD66" s="110"/>
      <c r="AE66" s="110"/>
      <c r="AF66" s="110"/>
      <c r="AG66" s="110"/>
      <c r="AH66" s="110"/>
      <c r="AI66" s="110"/>
      <c r="AJ66" s="110"/>
      <c r="AK66" s="110"/>
      <c r="AL66" s="110"/>
    </row>
    <row r="67" spans="1:38" ht="15" customHeight="1" x14ac:dyDescent="0.2">
      <c r="A67" s="378" t="s">
        <v>237</v>
      </c>
      <c r="B67" s="177">
        <v>0</v>
      </c>
      <c r="C67" s="110"/>
      <c r="D67" s="110"/>
      <c r="E67" s="110"/>
      <c r="F67" s="110"/>
      <c r="G67" s="110"/>
      <c r="H67" s="110"/>
      <c r="I67" s="110"/>
      <c r="J67" s="110"/>
      <c r="K67" s="110"/>
      <c r="L67" s="110"/>
      <c r="M67" s="110"/>
      <c r="N67" s="110"/>
      <c r="O67" s="110"/>
      <c r="P67" s="110"/>
      <c r="Q67" s="110"/>
      <c r="R67" s="110"/>
      <c r="S67" s="110"/>
      <c r="T67" s="110"/>
      <c r="U67" s="110"/>
      <c r="V67" s="110"/>
      <c r="W67" s="110"/>
      <c r="X67" s="110"/>
      <c r="Y67" s="110"/>
      <c r="Z67" s="110"/>
      <c r="AA67" s="110"/>
      <c r="AB67" s="110"/>
      <c r="AC67" s="110"/>
      <c r="AD67" s="110"/>
      <c r="AE67" s="110"/>
      <c r="AF67" s="110"/>
      <c r="AG67" s="110"/>
      <c r="AH67" s="110"/>
      <c r="AI67" s="110"/>
      <c r="AJ67" s="110"/>
      <c r="AK67" s="110"/>
      <c r="AL67" s="110"/>
    </row>
    <row r="68" spans="1:38" ht="15" customHeight="1" x14ac:dyDescent="0.2">
      <c r="A68" s="378" t="s">
        <v>238</v>
      </c>
      <c r="B68" s="177">
        <v>0</v>
      </c>
      <c r="C68" s="110"/>
      <c r="D68" s="110"/>
      <c r="E68" s="110"/>
      <c r="F68" s="110"/>
      <c r="G68" s="110"/>
      <c r="H68" s="110"/>
      <c r="I68" s="110"/>
      <c r="J68" s="110"/>
      <c r="K68" s="110"/>
      <c r="L68" s="110"/>
      <c r="M68" s="110"/>
      <c r="N68" s="110"/>
      <c r="O68" s="110"/>
      <c r="P68" s="110"/>
      <c r="Q68" s="110"/>
      <c r="R68" s="110"/>
      <c r="S68" s="110"/>
      <c r="T68" s="110"/>
      <c r="U68" s="110"/>
      <c r="V68" s="110"/>
      <c r="W68" s="110"/>
      <c r="X68" s="110"/>
      <c r="Y68" s="110"/>
      <c r="Z68" s="110"/>
      <c r="AA68" s="110"/>
      <c r="AB68" s="110"/>
      <c r="AC68" s="110"/>
      <c r="AD68" s="110"/>
      <c r="AE68" s="110"/>
      <c r="AF68" s="110"/>
      <c r="AG68" s="110"/>
      <c r="AH68" s="110"/>
      <c r="AI68" s="110"/>
      <c r="AJ68" s="110"/>
      <c r="AK68" s="110"/>
      <c r="AL68" s="110"/>
    </row>
    <row r="69" spans="1:38" ht="15" customHeight="1" x14ac:dyDescent="0.2">
      <c r="A69" s="378" t="s">
        <v>239</v>
      </c>
      <c r="B69" s="177">
        <v>0</v>
      </c>
      <c r="C69" s="110"/>
      <c r="D69" s="110"/>
      <c r="E69" s="110"/>
      <c r="F69" s="110"/>
      <c r="G69" s="110"/>
      <c r="H69" s="110"/>
      <c r="I69" s="110"/>
      <c r="J69" s="110"/>
      <c r="K69" s="110"/>
      <c r="L69" s="110"/>
      <c r="M69" s="110"/>
      <c r="N69" s="110"/>
      <c r="O69" s="110"/>
      <c r="P69" s="110"/>
      <c r="Q69" s="110"/>
      <c r="R69" s="110"/>
      <c r="S69" s="110"/>
      <c r="T69" s="110"/>
      <c r="U69" s="110"/>
      <c r="V69" s="110"/>
      <c r="W69" s="110"/>
      <c r="X69" s="110"/>
      <c r="Y69" s="110"/>
      <c r="Z69" s="110"/>
      <c r="AA69" s="110"/>
      <c r="AB69" s="110"/>
      <c r="AC69" s="110"/>
      <c r="AD69" s="110"/>
      <c r="AE69" s="110"/>
      <c r="AF69" s="110"/>
      <c r="AG69" s="110"/>
      <c r="AH69" s="110"/>
      <c r="AI69" s="110"/>
      <c r="AJ69" s="110"/>
      <c r="AK69" s="110"/>
      <c r="AL69" s="110"/>
    </row>
    <row r="70" spans="1:38" ht="15" customHeight="1" x14ac:dyDescent="0.2">
      <c r="A70" s="378" t="s">
        <v>240</v>
      </c>
      <c r="B70" s="177">
        <v>0</v>
      </c>
      <c r="C70" s="110"/>
      <c r="D70" s="110"/>
      <c r="E70" s="110"/>
      <c r="F70" s="110"/>
      <c r="G70" s="110"/>
      <c r="H70" s="110"/>
      <c r="I70" s="110"/>
      <c r="J70" s="110"/>
      <c r="K70" s="110"/>
      <c r="L70" s="110"/>
      <c r="M70" s="110"/>
      <c r="N70" s="110"/>
      <c r="O70" s="110"/>
      <c r="P70" s="110"/>
      <c r="Q70" s="110"/>
      <c r="R70" s="110"/>
      <c r="S70" s="110"/>
      <c r="T70" s="110"/>
      <c r="U70" s="110"/>
      <c r="V70" s="110"/>
      <c r="W70" s="110"/>
      <c r="X70" s="110"/>
      <c r="Y70" s="110"/>
      <c r="Z70" s="110"/>
      <c r="AA70" s="110"/>
      <c r="AB70" s="110"/>
      <c r="AC70" s="110"/>
      <c r="AD70" s="110"/>
      <c r="AE70" s="110"/>
      <c r="AF70" s="110"/>
      <c r="AG70" s="110"/>
      <c r="AH70" s="110"/>
      <c r="AI70" s="110"/>
      <c r="AJ70" s="110"/>
      <c r="AK70" s="110"/>
      <c r="AL70" s="110"/>
    </row>
    <row r="71" spans="1:38" ht="15" customHeight="1" x14ac:dyDescent="0.2">
      <c r="A71" s="378" t="s">
        <v>241</v>
      </c>
      <c r="B71" s="177">
        <v>0</v>
      </c>
      <c r="C71" s="110"/>
      <c r="D71" s="110"/>
      <c r="E71" s="110"/>
      <c r="F71" s="110"/>
      <c r="G71" s="110"/>
      <c r="H71" s="110"/>
      <c r="I71" s="110"/>
      <c r="J71" s="110"/>
      <c r="K71" s="110"/>
      <c r="L71" s="110"/>
      <c r="M71" s="110"/>
      <c r="N71" s="110"/>
      <c r="O71" s="110"/>
      <c r="P71" s="110"/>
      <c r="Q71" s="110"/>
      <c r="R71" s="110"/>
      <c r="S71" s="110"/>
      <c r="T71" s="110"/>
      <c r="U71" s="110"/>
      <c r="V71" s="110"/>
      <c r="W71" s="110"/>
      <c r="X71" s="110"/>
      <c r="Y71" s="110"/>
      <c r="Z71" s="110"/>
      <c r="AA71" s="110"/>
      <c r="AB71" s="110"/>
      <c r="AC71" s="110"/>
      <c r="AD71" s="110"/>
      <c r="AE71" s="110"/>
      <c r="AF71" s="110"/>
      <c r="AG71" s="110"/>
      <c r="AH71" s="110"/>
      <c r="AI71" s="110"/>
      <c r="AJ71" s="110"/>
      <c r="AK71" s="110"/>
      <c r="AL71" s="110"/>
    </row>
    <row r="72" spans="1:38" ht="15" customHeight="1" x14ac:dyDescent="0.2">
      <c r="A72" s="378" t="s">
        <v>242</v>
      </c>
      <c r="B72" s="177">
        <v>0</v>
      </c>
      <c r="C72" s="110"/>
      <c r="D72" s="110"/>
      <c r="E72" s="110"/>
      <c r="F72" s="110"/>
      <c r="G72" s="110"/>
      <c r="H72" s="110"/>
      <c r="I72" s="110"/>
      <c r="J72" s="110"/>
      <c r="K72" s="110"/>
      <c r="L72" s="110"/>
      <c r="M72" s="110"/>
      <c r="N72" s="110"/>
      <c r="O72" s="110"/>
      <c r="P72" s="110"/>
      <c r="Q72" s="110"/>
      <c r="R72" s="110"/>
      <c r="S72" s="110"/>
      <c r="T72" s="110"/>
      <c r="U72" s="110"/>
      <c r="V72" s="110"/>
      <c r="W72" s="110"/>
      <c r="X72" s="110"/>
      <c r="Y72" s="110"/>
      <c r="Z72" s="110"/>
      <c r="AA72" s="110"/>
      <c r="AB72" s="110"/>
      <c r="AC72" s="110"/>
      <c r="AD72" s="110"/>
      <c r="AE72" s="110"/>
      <c r="AF72" s="110"/>
      <c r="AG72" s="110"/>
      <c r="AH72" s="110"/>
      <c r="AI72" s="110"/>
      <c r="AJ72" s="110"/>
      <c r="AK72" s="110"/>
      <c r="AL72" s="110"/>
    </row>
    <row r="73" spans="1:38" ht="15" customHeight="1" x14ac:dyDescent="0.2">
      <c r="A73" s="378" t="s">
        <v>244</v>
      </c>
      <c r="B73" s="177">
        <v>0</v>
      </c>
      <c r="C73" s="110"/>
      <c r="D73" s="110"/>
      <c r="E73" s="110"/>
      <c r="F73" s="110"/>
      <c r="G73" s="110"/>
      <c r="H73" s="110"/>
      <c r="I73" s="110"/>
      <c r="J73" s="110"/>
      <c r="K73" s="110"/>
      <c r="L73" s="110"/>
      <c r="M73" s="110"/>
      <c r="N73" s="110"/>
      <c r="O73" s="110"/>
      <c r="P73" s="110"/>
      <c r="Q73" s="110"/>
      <c r="R73" s="110"/>
      <c r="S73" s="110"/>
      <c r="T73" s="110"/>
      <c r="U73" s="110"/>
      <c r="V73" s="110"/>
      <c r="W73" s="110"/>
      <c r="X73" s="110"/>
      <c r="Y73" s="110"/>
      <c r="Z73" s="110"/>
      <c r="AA73" s="110"/>
      <c r="AB73" s="110"/>
      <c r="AC73" s="110"/>
      <c r="AD73" s="110"/>
      <c r="AE73" s="110"/>
      <c r="AF73" s="110"/>
      <c r="AG73" s="110"/>
      <c r="AH73" s="110"/>
      <c r="AI73" s="110"/>
      <c r="AJ73" s="110"/>
      <c r="AK73" s="110"/>
      <c r="AL73" s="110"/>
    </row>
    <row r="74" spans="1:38" ht="15" customHeight="1" x14ac:dyDescent="0.2">
      <c r="A74" s="378" t="s">
        <v>245</v>
      </c>
      <c r="B74" s="177">
        <v>0</v>
      </c>
      <c r="C74" s="110"/>
      <c r="D74" s="110"/>
      <c r="E74" s="110"/>
      <c r="F74" s="110"/>
      <c r="G74" s="110"/>
      <c r="H74" s="110"/>
      <c r="I74" s="110"/>
      <c r="J74" s="110"/>
      <c r="K74" s="110"/>
      <c r="L74" s="110"/>
      <c r="M74" s="110"/>
      <c r="N74" s="110"/>
      <c r="O74" s="110"/>
      <c r="P74" s="110"/>
      <c r="Q74" s="110"/>
      <c r="R74" s="110"/>
      <c r="S74" s="110"/>
      <c r="T74" s="110"/>
      <c r="U74" s="110"/>
      <c r="V74" s="110"/>
      <c r="W74" s="110"/>
      <c r="X74" s="110"/>
      <c r="Y74" s="110"/>
      <c r="Z74" s="110"/>
      <c r="AA74" s="110"/>
      <c r="AB74" s="110"/>
      <c r="AC74" s="110"/>
      <c r="AD74" s="110"/>
      <c r="AE74" s="110"/>
      <c r="AF74" s="110"/>
      <c r="AG74" s="110"/>
      <c r="AH74" s="110"/>
      <c r="AI74" s="110"/>
      <c r="AJ74" s="110"/>
      <c r="AK74" s="110"/>
      <c r="AL74" s="110"/>
    </row>
    <row r="75" spans="1:38" ht="15" customHeight="1" x14ac:dyDescent="0.2">
      <c r="A75" s="378" t="s">
        <v>246</v>
      </c>
      <c r="B75" s="177">
        <v>0</v>
      </c>
      <c r="C75" s="110"/>
      <c r="D75" s="110"/>
      <c r="E75" s="110"/>
      <c r="F75" s="110"/>
      <c r="G75" s="110"/>
      <c r="H75" s="110"/>
      <c r="I75" s="110"/>
      <c r="J75" s="110"/>
      <c r="K75" s="110"/>
      <c r="L75" s="110"/>
      <c r="M75" s="110"/>
      <c r="N75" s="110"/>
      <c r="O75" s="110"/>
      <c r="P75" s="110"/>
      <c r="Q75" s="110"/>
      <c r="R75" s="110"/>
      <c r="S75" s="110"/>
      <c r="T75" s="110"/>
      <c r="U75" s="110"/>
      <c r="V75" s="110"/>
      <c r="W75" s="110"/>
      <c r="X75" s="110"/>
      <c r="Y75" s="110"/>
      <c r="Z75" s="110"/>
      <c r="AA75" s="110"/>
      <c r="AB75" s="110"/>
      <c r="AC75" s="110"/>
      <c r="AD75" s="110"/>
      <c r="AE75" s="110"/>
      <c r="AF75" s="110"/>
      <c r="AG75" s="110"/>
      <c r="AH75" s="110"/>
      <c r="AI75" s="110"/>
      <c r="AJ75" s="110"/>
      <c r="AK75" s="110"/>
      <c r="AL75" s="110"/>
    </row>
    <row r="76" spans="1:38" ht="15" customHeight="1" x14ac:dyDescent="0.2">
      <c r="A76" s="378" t="s">
        <v>247</v>
      </c>
      <c r="B76" s="177">
        <v>0</v>
      </c>
      <c r="C76" s="110"/>
      <c r="D76" s="110"/>
      <c r="E76" s="110"/>
      <c r="F76" s="110"/>
      <c r="G76" s="110"/>
      <c r="H76" s="110"/>
      <c r="I76" s="110"/>
      <c r="J76" s="110"/>
      <c r="K76" s="110"/>
      <c r="L76" s="110"/>
      <c r="M76" s="110"/>
      <c r="N76" s="110"/>
      <c r="O76" s="110"/>
      <c r="P76" s="110"/>
      <c r="Q76" s="110"/>
      <c r="R76" s="110"/>
      <c r="S76" s="110"/>
      <c r="T76" s="110"/>
      <c r="U76" s="110"/>
      <c r="V76" s="110"/>
      <c r="W76" s="110"/>
      <c r="X76" s="110"/>
      <c r="Y76" s="110"/>
      <c r="Z76" s="110"/>
      <c r="AA76" s="110"/>
      <c r="AB76" s="110"/>
      <c r="AC76" s="110"/>
      <c r="AD76" s="110"/>
      <c r="AE76" s="110"/>
      <c r="AF76" s="110"/>
      <c r="AG76" s="110"/>
      <c r="AH76" s="110"/>
      <c r="AI76" s="110"/>
      <c r="AJ76" s="110"/>
      <c r="AK76" s="110"/>
      <c r="AL76" s="110"/>
    </row>
    <row r="77" spans="1:38" ht="15" customHeight="1" x14ac:dyDescent="0.2">
      <c r="A77" s="378" t="s">
        <v>248</v>
      </c>
      <c r="B77" s="177">
        <v>0</v>
      </c>
      <c r="C77" s="110"/>
      <c r="D77" s="110"/>
      <c r="E77" s="110"/>
      <c r="F77" s="110"/>
      <c r="G77" s="110"/>
      <c r="H77" s="110"/>
      <c r="I77" s="110"/>
      <c r="J77" s="110"/>
      <c r="K77" s="110"/>
      <c r="L77" s="110"/>
      <c r="M77" s="110"/>
      <c r="N77" s="110"/>
      <c r="O77" s="110"/>
      <c r="P77" s="110"/>
      <c r="Q77" s="110"/>
      <c r="R77" s="110"/>
      <c r="S77" s="110"/>
      <c r="T77" s="110"/>
      <c r="U77" s="110"/>
      <c r="V77" s="110"/>
      <c r="W77" s="110"/>
      <c r="X77" s="110"/>
      <c r="Y77" s="110"/>
      <c r="Z77" s="110"/>
      <c r="AA77" s="110"/>
      <c r="AB77" s="110"/>
      <c r="AC77" s="110"/>
      <c r="AD77" s="110"/>
      <c r="AE77" s="110"/>
      <c r="AF77" s="110"/>
      <c r="AG77" s="110"/>
      <c r="AH77" s="110"/>
      <c r="AI77" s="110"/>
      <c r="AJ77" s="110"/>
      <c r="AK77" s="110"/>
      <c r="AL77" s="110"/>
    </row>
    <row r="78" spans="1:38" ht="15" customHeight="1" x14ac:dyDescent="0.2">
      <c r="A78" s="378" t="s">
        <v>249</v>
      </c>
      <c r="B78" s="177">
        <v>0</v>
      </c>
      <c r="C78" s="110"/>
      <c r="D78" s="110"/>
      <c r="E78" s="110"/>
      <c r="F78" s="110"/>
      <c r="G78" s="110"/>
      <c r="H78" s="110"/>
      <c r="I78" s="110"/>
      <c r="J78" s="110"/>
      <c r="K78" s="110"/>
      <c r="L78" s="110"/>
      <c r="M78" s="110"/>
      <c r="N78" s="110"/>
      <c r="O78" s="110"/>
      <c r="P78" s="110"/>
      <c r="Q78" s="110"/>
      <c r="R78" s="110"/>
      <c r="S78" s="110"/>
      <c r="T78" s="110"/>
      <c r="U78" s="110"/>
      <c r="V78" s="110"/>
      <c r="W78" s="110"/>
      <c r="X78" s="110"/>
      <c r="Y78" s="110"/>
      <c r="Z78" s="110"/>
      <c r="AA78" s="110"/>
      <c r="AB78" s="110"/>
      <c r="AC78" s="110"/>
      <c r="AD78" s="110"/>
      <c r="AE78" s="110"/>
      <c r="AF78" s="110"/>
      <c r="AG78" s="110"/>
      <c r="AH78" s="110"/>
      <c r="AI78" s="110"/>
      <c r="AJ78" s="110"/>
      <c r="AK78" s="110"/>
      <c r="AL78" s="110"/>
    </row>
    <row r="79" spans="1:38" ht="15" customHeight="1" x14ac:dyDescent="0.2">
      <c r="A79" s="378" t="s">
        <v>250</v>
      </c>
      <c r="B79" s="177">
        <v>0</v>
      </c>
      <c r="C79" s="110"/>
      <c r="D79" s="110"/>
      <c r="E79" s="110"/>
      <c r="F79" s="110"/>
      <c r="G79" s="110"/>
      <c r="H79" s="110"/>
      <c r="I79" s="110"/>
      <c r="J79" s="110"/>
      <c r="K79" s="110"/>
      <c r="L79" s="110"/>
      <c r="M79" s="110"/>
      <c r="N79" s="110"/>
      <c r="O79" s="110"/>
      <c r="P79" s="110"/>
      <c r="Q79" s="110"/>
      <c r="R79" s="110"/>
      <c r="S79" s="110"/>
      <c r="T79" s="110"/>
      <c r="U79" s="110"/>
      <c r="V79" s="110"/>
      <c r="W79" s="110"/>
      <c r="X79" s="110"/>
      <c r="Y79" s="110"/>
      <c r="Z79" s="110"/>
      <c r="AA79" s="110"/>
      <c r="AB79" s="110"/>
      <c r="AC79" s="110"/>
      <c r="AD79" s="110"/>
      <c r="AE79" s="110"/>
      <c r="AF79" s="110"/>
      <c r="AG79" s="110"/>
      <c r="AH79" s="110"/>
      <c r="AI79" s="110"/>
      <c r="AJ79" s="110"/>
      <c r="AK79" s="110"/>
      <c r="AL79" s="110"/>
    </row>
    <row r="80" spans="1:38" ht="15" customHeight="1" x14ac:dyDescent="0.2">
      <c r="A80" s="378" t="s">
        <v>251</v>
      </c>
      <c r="B80" s="177">
        <v>0</v>
      </c>
      <c r="C80" s="110"/>
      <c r="D80" s="110"/>
      <c r="E80" s="110"/>
      <c r="F80" s="110"/>
      <c r="G80" s="110"/>
      <c r="H80" s="110"/>
      <c r="I80" s="110"/>
      <c r="J80" s="110"/>
      <c r="K80" s="110"/>
      <c r="L80" s="110"/>
      <c r="M80" s="110"/>
      <c r="N80" s="110"/>
      <c r="O80" s="110"/>
      <c r="P80" s="110"/>
      <c r="Q80" s="110"/>
      <c r="R80" s="110"/>
      <c r="S80" s="110"/>
      <c r="T80" s="110"/>
      <c r="U80" s="110"/>
      <c r="V80" s="110"/>
      <c r="W80" s="110"/>
      <c r="X80" s="110"/>
      <c r="Y80" s="110"/>
      <c r="Z80" s="110"/>
      <c r="AA80" s="110"/>
      <c r="AB80" s="110"/>
      <c r="AC80" s="110"/>
      <c r="AD80" s="110"/>
      <c r="AE80" s="110"/>
      <c r="AF80" s="110"/>
      <c r="AG80" s="110"/>
      <c r="AH80" s="110"/>
      <c r="AI80" s="110"/>
      <c r="AJ80" s="110"/>
      <c r="AK80" s="110"/>
      <c r="AL80" s="110"/>
    </row>
    <row r="81" spans="1:38" ht="15" customHeight="1" x14ac:dyDescent="0.2">
      <c r="A81" s="378" t="s">
        <v>252</v>
      </c>
      <c r="B81" s="177">
        <v>0</v>
      </c>
      <c r="C81" s="110"/>
      <c r="D81" s="110"/>
      <c r="E81" s="110"/>
      <c r="F81" s="110"/>
      <c r="G81" s="110"/>
      <c r="H81" s="110"/>
      <c r="I81" s="110"/>
      <c r="J81" s="110"/>
      <c r="K81" s="110"/>
      <c r="L81" s="110"/>
      <c r="M81" s="110"/>
      <c r="N81" s="110"/>
      <c r="O81" s="110"/>
      <c r="P81" s="110"/>
      <c r="Q81" s="110"/>
      <c r="R81" s="110"/>
      <c r="S81" s="110"/>
      <c r="T81" s="110"/>
      <c r="U81" s="110"/>
      <c r="V81" s="110"/>
      <c r="W81" s="110"/>
      <c r="X81" s="110"/>
      <c r="Y81" s="110"/>
      <c r="Z81" s="110"/>
      <c r="AA81" s="110"/>
      <c r="AB81" s="110"/>
      <c r="AC81" s="110"/>
      <c r="AD81" s="110"/>
      <c r="AE81" s="110"/>
      <c r="AF81" s="110"/>
      <c r="AG81" s="110"/>
      <c r="AH81" s="110"/>
      <c r="AI81" s="110"/>
      <c r="AJ81" s="110"/>
      <c r="AK81" s="110"/>
      <c r="AL81" s="110"/>
    </row>
    <row r="82" spans="1:38" ht="15" customHeight="1" x14ac:dyDescent="0.2">
      <c r="A82" s="378" t="s">
        <v>253</v>
      </c>
      <c r="B82" s="177">
        <v>0</v>
      </c>
      <c r="C82" s="110"/>
      <c r="D82" s="110"/>
      <c r="E82" s="110"/>
      <c r="F82" s="110"/>
      <c r="G82" s="110"/>
      <c r="H82" s="110"/>
      <c r="I82" s="110"/>
      <c r="J82" s="110"/>
      <c r="K82" s="110"/>
      <c r="L82" s="110"/>
      <c r="M82" s="110"/>
      <c r="N82" s="110"/>
      <c r="O82" s="110"/>
      <c r="P82" s="110"/>
      <c r="Q82" s="110"/>
      <c r="R82" s="110"/>
      <c r="S82" s="110"/>
      <c r="T82" s="110"/>
      <c r="U82" s="110"/>
      <c r="V82" s="110"/>
      <c r="W82" s="110"/>
      <c r="X82" s="110"/>
      <c r="Y82" s="110"/>
      <c r="Z82" s="110"/>
      <c r="AA82" s="110"/>
      <c r="AB82" s="110"/>
      <c r="AC82" s="110"/>
      <c r="AD82" s="110"/>
      <c r="AE82" s="110"/>
      <c r="AF82" s="110"/>
      <c r="AG82" s="110"/>
      <c r="AH82" s="110"/>
      <c r="AI82" s="110"/>
      <c r="AJ82" s="110"/>
      <c r="AK82" s="110"/>
      <c r="AL82" s="110"/>
    </row>
    <row r="83" spans="1:38" ht="15" customHeight="1" x14ac:dyDescent="0.2">
      <c r="A83" s="378" t="s">
        <v>254</v>
      </c>
      <c r="B83" s="177">
        <v>0</v>
      </c>
      <c r="C83" s="110"/>
      <c r="D83" s="110"/>
      <c r="E83" s="110"/>
      <c r="F83" s="110"/>
      <c r="G83" s="110"/>
      <c r="H83" s="110"/>
      <c r="I83" s="110"/>
      <c r="J83" s="110"/>
      <c r="K83" s="110"/>
      <c r="L83" s="110"/>
      <c r="M83" s="110"/>
      <c r="N83" s="110"/>
      <c r="O83" s="110"/>
      <c r="P83" s="110"/>
      <c r="Q83" s="110"/>
      <c r="R83" s="110"/>
      <c r="S83" s="110"/>
      <c r="T83" s="110"/>
      <c r="U83" s="110"/>
      <c r="V83" s="110"/>
      <c r="W83" s="110"/>
      <c r="X83" s="110"/>
      <c r="Y83" s="110"/>
      <c r="Z83" s="110"/>
      <c r="AA83" s="110"/>
      <c r="AB83" s="110"/>
      <c r="AC83" s="110"/>
      <c r="AD83" s="110"/>
      <c r="AE83" s="110"/>
      <c r="AF83" s="110"/>
      <c r="AG83" s="110"/>
      <c r="AH83" s="110"/>
      <c r="AI83" s="110"/>
      <c r="AJ83" s="110"/>
      <c r="AK83" s="110"/>
      <c r="AL83" s="110"/>
    </row>
    <row r="84" spans="1:38" ht="15" customHeight="1" x14ac:dyDescent="0.2">
      <c r="A84" s="378" t="s">
        <v>255</v>
      </c>
      <c r="B84" s="177">
        <v>0</v>
      </c>
      <c r="C84" s="110"/>
      <c r="D84" s="110"/>
      <c r="E84" s="110"/>
      <c r="F84" s="110"/>
      <c r="G84" s="110"/>
      <c r="H84" s="110"/>
      <c r="I84" s="110"/>
      <c r="J84" s="110"/>
      <c r="K84" s="110"/>
      <c r="L84" s="110"/>
      <c r="M84" s="110"/>
      <c r="N84" s="110"/>
      <c r="O84" s="110"/>
      <c r="P84" s="110"/>
      <c r="Q84" s="110"/>
      <c r="R84" s="110"/>
      <c r="S84" s="110"/>
      <c r="T84" s="110"/>
      <c r="U84" s="110"/>
      <c r="V84" s="110"/>
      <c r="W84" s="110"/>
      <c r="X84" s="110"/>
      <c r="Y84" s="110"/>
      <c r="Z84" s="110"/>
      <c r="AA84" s="110"/>
      <c r="AB84" s="110"/>
      <c r="AC84" s="110"/>
      <c r="AD84" s="110"/>
      <c r="AE84" s="110"/>
      <c r="AF84" s="110"/>
      <c r="AG84" s="110"/>
      <c r="AH84" s="110"/>
      <c r="AI84" s="110"/>
      <c r="AJ84" s="110"/>
      <c r="AK84" s="110"/>
      <c r="AL84" s="110"/>
    </row>
    <row r="85" spans="1:38" ht="15" customHeight="1" x14ac:dyDescent="0.2">
      <c r="A85" s="378" t="s">
        <v>256</v>
      </c>
      <c r="B85" s="177">
        <v>0</v>
      </c>
      <c r="C85" s="110"/>
      <c r="D85" s="110"/>
      <c r="E85" s="110"/>
      <c r="F85" s="110"/>
      <c r="G85" s="110"/>
      <c r="H85" s="110"/>
      <c r="I85" s="110"/>
      <c r="J85" s="110"/>
      <c r="K85" s="110"/>
      <c r="L85" s="110"/>
      <c r="M85" s="110"/>
      <c r="N85" s="110"/>
      <c r="O85" s="110"/>
      <c r="P85" s="110"/>
      <c r="Q85" s="110"/>
      <c r="R85" s="110"/>
      <c r="S85" s="110"/>
      <c r="T85" s="110"/>
      <c r="U85" s="110"/>
      <c r="V85" s="110"/>
      <c r="W85" s="110"/>
      <c r="X85" s="110"/>
      <c r="Y85" s="110"/>
      <c r="Z85" s="110"/>
      <c r="AA85" s="110"/>
      <c r="AB85" s="110"/>
      <c r="AC85" s="110"/>
      <c r="AD85" s="110"/>
      <c r="AE85" s="110"/>
      <c r="AF85" s="110"/>
      <c r="AG85" s="110"/>
      <c r="AH85" s="110"/>
      <c r="AI85" s="110"/>
      <c r="AJ85" s="110"/>
      <c r="AK85" s="110"/>
      <c r="AL85" s="110"/>
    </row>
    <row r="86" spans="1:38" ht="15" customHeight="1" x14ac:dyDescent="0.2">
      <c r="A86" s="378" t="s">
        <v>243</v>
      </c>
      <c r="B86" s="177">
        <v>0</v>
      </c>
      <c r="C86" s="110"/>
      <c r="D86" s="110"/>
      <c r="E86" s="110"/>
      <c r="F86" s="110"/>
      <c r="G86" s="110"/>
      <c r="H86" s="110"/>
      <c r="I86" s="110"/>
      <c r="J86" s="110"/>
      <c r="K86" s="110"/>
      <c r="L86" s="110"/>
      <c r="M86" s="110"/>
      <c r="N86" s="110"/>
      <c r="O86" s="110"/>
      <c r="P86" s="110"/>
      <c r="Q86" s="110"/>
      <c r="R86" s="110"/>
      <c r="S86" s="110"/>
      <c r="T86" s="110"/>
      <c r="U86" s="110"/>
      <c r="V86" s="110"/>
      <c r="W86" s="110"/>
      <c r="X86" s="110"/>
      <c r="Y86" s="110"/>
      <c r="Z86" s="110"/>
      <c r="AA86" s="110"/>
      <c r="AB86" s="110"/>
      <c r="AC86" s="110"/>
      <c r="AD86" s="110"/>
      <c r="AE86" s="110"/>
      <c r="AF86" s="110"/>
      <c r="AG86" s="110"/>
      <c r="AH86" s="110"/>
      <c r="AI86" s="110"/>
      <c r="AJ86" s="110"/>
      <c r="AK86" s="110"/>
      <c r="AL86" s="110"/>
    </row>
    <row r="87" spans="1:38" ht="15" customHeight="1" x14ac:dyDescent="0.2">
      <c r="B87" s="110"/>
      <c r="C87" s="110"/>
      <c r="D87" s="110"/>
      <c r="E87" s="110"/>
      <c r="F87" s="110"/>
      <c r="G87" s="110"/>
      <c r="H87" s="110"/>
      <c r="I87" s="110"/>
      <c r="J87" s="110"/>
      <c r="K87" s="110"/>
      <c r="L87" s="110"/>
      <c r="M87" s="110"/>
      <c r="N87" s="110"/>
      <c r="O87" s="110"/>
      <c r="P87" s="110"/>
      <c r="Q87" s="110"/>
      <c r="R87" s="110"/>
      <c r="S87" s="110"/>
      <c r="T87" s="110"/>
      <c r="U87" s="110"/>
      <c r="V87" s="110"/>
      <c r="W87" s="110"/>
      <c r="X87" s="110"/>
      <c r="Y87" s="110"/>
      <c r="Z87" s="110"/>
      <c r="AA87" s="110"/>
      <c r="AB87" s="110"/>
      <c r="AC87" s="110"/>
      <c r="AD87" s="110"/>
      <c r="AE87" s="110"/>
      <c r="AF87" s="110"/>
      <c r="AG87" s="110"/>
      <c r="AH87" s="110"/>
      <c r="AI87" s="110"/>
      <c r="AJ87" s="110"/>
      <c r="AK87" s="110"/>
      <c r="AL87" s="110"/>
    </row>
    <row r="88" spans="1:38" ht="15" customHeight="1" x14ac:dyDescent="0.2">
      <c r="B88" s="110"/>
      <c r="C88" s="110"/>
      <c r="D88" s="110"/>
      <c r="E88" s="110"/>
      <c r="F88" s="110"/>
      <c r="G88" s="110"/>
      <c r="H88" s="110"/>
      <c r="I88" s="110"/>
      <c r="J88" s="110"/>
      <c r="K88" s="110"/>
      <c r="L88" s="110"/>
      <c r="M88" s="110"/>
      <c r="N88" s="110"/>
      <c r="O88" s="110"/>
      <c r="P88" s="110"/>
      <c r="Q88" s="110"/>
      <c r="R88" s="110"/>
      <c r="S88" s="110"/>
      <c r="T88" s="110"/>
      <c r="U88" s="110"/>
      <c r="V88" s="110"/>
      <c r="W88" s="110"/>
      <c r="X88" s="110"/>
      <c r="Y88" s="110"/>
      <c r="Z88" s="110"/>
      <c r="AA88" s="110"/>
      <c r="AB88" s="110"/>
      <c r="AC88" s="110"/>
      <c r="AD88" s="110"/>
      <c r="AE88" s="110"/>
      <c r="AF88" s="110"/>
      <c r="AG88" s="110"/>
      <c r="AH88" s="110"/>
      <c r="AI88" s="110"/>
      <c r="AJ88" s="110"/>
      <c r="AK88" s="110"/>
      <c r="AL88" s="110"/>
    </row>
    <row r="89" spans="1:38" ht="15" customHeight="1" x14ac:dyDescent="0.2">
      <c r="B89" s="110"/>
      <c r="C89" s="110"/>
      <c r="D89" s="110"/>
      <c r="E89" s="110"/>
      <c r="F89" s="110"/>
      <c r="G89" s="110"/>
      <c r="H89" s="110"/>
      <c r="I89" s="110"/>
      <c r="J89" s="110"/>
      <c r="K89" s="110"/>
      <c r="L89" s="110"/>
      <c r="M89" s="110"/>
      <c r="N89" s="110"/>
      <c r="O89" s="110"/>
      <c r="P89" s="110"/>
      <c r="Q89" s="110"/>
      <c r="R89" s="110"/>
      <c r="S89" s="110"/>
      <c r="T89" s="110"/>
      <c r="U89" s="110"/>
      <c r="V89" s="110"/>
      <c r="W89" s="110"/>
      <c r="X89" s="110"/>
      <c r="Y89" s="110"/>
      <c r="Z89" s="110"/>
      <c r="AA89" s="110"/>
      <c r="AB89" s="110"/>
      <c r="AC89" s="110"/>
      <c r="AD89" s="110"/>
      <c r="AE89" s="110"/>
      <c r="AF89" s="110"/>
      <c r="AG89" s="110"/>
      <c r="AH89" s="110"/>
      <c r="AI89" s="110"/>
      <c r="AJ89" s="110"/>
      <c r="AK89" s="110"/>
      <c r="AL89" s="110"/>
    </row>
    <row r="90" spans="1:38" ht="15" customHeight="1" x14ac:dyDescent="0.2">
      <c r="B90" s="110"/>
      <c r="C90" s="110"/>
      <c r="D90" s="110"/>
      <c r="E90" s="110"/>
      <c r="F90" s="110"/>
      <c r="G90" s="110"/>
      <c r="H90" s="110"/>
      <c r="I90" s="110"/>
      <c r="J90" s="110"/>
      <c r="K90" s="110"/>
      <c r="L90" s="110"/>
      <c r="M90" s="110"/>
      <c r="N90" s="110"/>
      <c r="O90" s="110"/>
      <c r="P90" s="110"/>
      <c r="Q90" s="110"/>
      <c r="R90" s="110"/>
      <c r="S90" s="110"/>
      <c r="T90" s="110"/>
      <c r="U90" s="110"/>
      <c r="V90" s="110"/>
      <c r="W90" s="110"/>
      <c r="X90" s="110"/>
      <c r="Y90" s="110"/>
      <c r="Z90" s="110"/>
      <c r="AA90" s="110"/>
      <c r="AB90" s="110"/>
      <c r="AC90" s="110"/>
      <c r="AD90" s="110"/>
      <c r="AE90" s="110"/>
      <c r="AF90" s="110"/>
      <c r="AG90" s="110"/>
      <c r="AH90" s="110"/>
      <c r="AI90" s="110"/>
      <c r="AJ90" s="110"/>
      <c r="AK90" s="110"/>
      <c r="AL90" s="110"/>
    </row>
    <row r="91" spans="1:38" ht="15" customHeight="1" x14ac:dyDescent="0.2">
      <c r="B91" s="110"/>
      <c r="C91" s="110"/>
      <c r="D91" s="110"/>
      <c r="E91" s="110"/>
      <c r="F91" s="110"/>
      <c r="G91" s="110"/>
      <c r="H91" s="110"/>
      <c r="I91" s="110"/>
      <c r="J91" s="110"/>
      <c r="K91" s="110"/>
      <c r="L91" s="110"/>
      <c r="M91" s="110"/>
      <c r="N91" s="110"/>
      <c r="O91" s="110"/>
      <c r="P91" s="110"/>
      <c r="Q91" s="110"/>
      <c r="R91" s="110"/>
      <c r="S91" s="110"/>
      <c r="T91" s="110"/>
      <c r="U91" s="110"/>
      <c r="V91" s="110"/>
      <c r="W91" s="110"/>
      <c r="X91" s="110"/>
      <c r="Y91" s="110"/>
      <c r="Z91" s="110"/>
      <c r="AA91" s="110"/>
      <c r="AB91" s="110"/>
      <c r="AC91" s="110"/>
      <c r="AD91" s="110"/>
      <c r="AE91" s="110"/>
      <c r="AF91" s="110"/>
      <c r="AG91" s="110"/>
      <c r="AH91" s="110"/>
      <c r="AI91" s="110"/>
      <c r="AJ91" s="110"/>
      <c r="AK91" s="110"/>
      <c r="AL91" s="110"/>
    </row>
    <row r="92" spans="1:38" ht="15" customHeight="1" x14ac:dyDescent="0.2">
      <c r="B92" s="110"/>
      <c r="C92" s="110"/>
      <c r="D92" s="110"/>
      <c r="E92" s="110"/>
      <c r="F92" s="110"/>
      <c r="G92" s="110"/>
      <c r="H92" s="110"/>
      <c r="I92" s="110"/>
      <c r="J92" s="110"/>
      <c r="K92" s="110"/>
      <c r="L92" s="110"/>
      <c r="M92" s="110"/>
      <c r="N92" s="110"/>
      <c r="O92" s="110"/>
      <c r="P92" s="110"/>
      <c r="Q92" s="110"/>
      <c r="R92" s="110"/>
      <c r="S92" s="110"/>
      <c r="T92" s="110"/>
      <c r="U92" s="110"/>
      <c r="V92" s="110"/>
      <c r="W92" s="110"/>
      <c r="X92" s="110"/>
      <c r="Y92" s="110"/>
      <c r="Z92" s="110"/>
      <c r="AA92" s="110"/>
      <c r="AB92" s="110"/>
      <c r="AC92" s="110"/>
      <c r="AD92" s="110"/>
      <c r="AE92" s="110"/>
      <c r="AF92" s="110"/>
      <c r="AG92" s="110"/>
      <c r="AH92" s="110"/>
      <c r="AI92" s="110"/>
      <c r="AJ92" s="110"/>
      <c r="AK92" s="110"/>
      <c r="AL92" s="110"/>
    </row>
    <row r="93" spans="1:38" ht="15" customHeight="1" x14ac:dyDescent="0.2">
      <c r="B93" s="110"/>
      <c r="C93" s="110"/>
      <c r="D93" s="110"/>
      <c r="E93" s="110"/>
      <c r="F93" s="110"/>
      <c r="G93" s="110"/>
      <c r="H93" s="110"/>
      <c r="I93" s="110"/>
      <c r="J93" s="110"/>
      <c r="K93" s="110"/>
      <c r="L93" s="110"/>
      <c r="M93" s="110"/>
      <c r="N93" s="110"/>
      <c r="O93" s="110"/>
      <c r="P93" s="110"/>
      <c r="Q93" s="110"/>
      <c r="R93" s="110"/>
      <c r="S93" s="110"/>
      <c r="T93" s="110"/>
      <c r="U93" s="110"/>
      <c r="V93" s="110"/>
      <c r="W93" s="110"/>
      <c r="X93" s="110"/>
      <c r="Y93" s="110"/>
      <c r="Z93" s="110"/>
      <c r="AA93" s="110"/>
      <c r="AB93" s="110"/>
      <c r="AC93" s="110"/>
      <c r="AD93" s="110"/>
      <c r="AE93" s="110"/>
      <c r="AF93" s="110"/>
      <c r="AG93" s="110"/>
      <c r="AH93" s="110"/>
      <c r="AI93" s="110"/>
      <c r="AJ93" s="110"/>
      <c r="AK93" s="110"/>
      <c r="AL93" s="110"/>
    </row>
    <row r="94" spans="1:38" ht="15" customHeight="1" x14ac:dyDescent="0.2">
      <c r="B94" s="110"/>
      <c r="C94" s="110"/>
      <c r="D94" s="110"/>
      <c r="E94" s="110"/>
      <c r="F94" s="110"/>
      <c r="G94" s="110"/>
      <c r="H94" s="110"/>
      <c r="I94" s="110"/>
      <c r="J94" s="110"/>
      <c r="K94" s="110"/>
      <c r="L94" s="110"/>
      <c r="M94" s="110"/>
      <c r="N94" s="110"/>
      <c r="O94" s="110"/>
      <c r="P94" s="110"/>
      <c r="Q94" s="110"/>
      <c r="R94" s="110"/>
      <c r="S94" s="110"/>
      <c r="T94" s="110"/>
      <c r="U94" s="110"/>
      <c r="V94" s="110"/>
      <c r="W94" s="110"/>
      <c r="X94" s="110"/>
      <c r="Y94" s="110"/>
      <c r="Z94" s="110"/>
      <c r="AA94" s="110"/>
      <c r="AB94" s="110"/>
      <c r="AC94" s="110"/>
      <c r="AD94" s="110"/>
      <c r="AE94" s="110"/>
      <c r="AF94" s="110"/>
      <c r="AG94" s="110"/>
      <c r="AH94" s="110"/>
      <c r="AI94" s="110"/>
      <c r="AJ94" s="110"/>
      <c r="AK94" s="110"/>
      <c r="AL94" s="110"/>
    </row>
    <row r="95" spans="1:38" ht="15" customHeight="1" x14ac:dyDescent="0.2">
      <c r="B95" s="110"/>
      <c r="C95" s="110"/>
      <c r="D95" s="110"/>
      <c r="E95" s="110"/>
      <c r="F95" s="110"/>
      <c r="G95" s="110"/>
      <c r="H95" s="110"/>
      <c r="I95" s="110"/>
      <c r="J95" s="110"/>
      <c r="K95" s="110"/>
      <c r="L95" s="110"/>
      <c r="M95" s="110"/>
      <c r="N95" s="110"/>
      <c r="O95" s="110"/>
      <c r="P95" s="110"/>
      <c r="Q95" s="110"/>
      <c r="R95" s="110"/>
      <c r="S95" s="110"/>
      <c r="T95" s="110"/>
      <c r="U95" s="110"/>
      <c r="V95" s="110"/>
      <c r="W95" s="110"/>
      <c r="X95" s="110"/>
      <c r="Y95" s="110"/>
      <c r="Z95" s="110"/>
      <c r="AA95" s="110"/>
      <c r="AB95" s="110"/>
      <c r="AC95" s="110"/>
      <c r="AD95" s="110"/>
      <c r="AE95" s="110"/>
      <c r="AF95" s="110"/>
      <c r="AG95" s="110"/>
      <c r="AH95" s="110"/>
      <c r="AI95" s="110"/>
      <c r="AJ95" s="110"/>
      <c r="AK95" s="110"/>
      <c r="AL95" s="110"/>
    </row>
    <row r="96" spans="1:38" ht="15" customHeight="1" x14ac:dyDescent="0.2">
      <c r="B96" s="110"/>
      <c r="C96" s="110"/>
      <c r="D96" s="110"/>
      <c r="E96" s="110"/>
      <c r="F96" s="110"/>
      <c r="G96" s="110"/>
      <c r="H96" s="110"/>
      <c r="I96" s="110"/>
      <c r="J96" s="110"/>
      <c r="K96" s="110"/>
      <c r="L96" s="110"/>
      <c r="M96" s="110"/>
      <c r="N96" s="110"/>
      <c r="O96" s="110"/>
      <c r="P96" s="110"/>
      <c r="Q96" s="110"/>
      <c r="R96" s="110"/>
      <c r="S96" s="110"/>
      <c r="T96" s="110"/>
      <c r="U96" s="110"/>
      <c r="V96" s="110"/>
      <c r="W96" s="110"/>
      <c r="X96" s="110"/>
      <c r="Y96" s="110"/>
      <c r="Z96" s="110"/>
      <c r="AA96" s="110"/>
      <c r="AB96" s="110"/>
      <c r="AC96" s="110"/>
      <c r="AD96" s="110"/>
      <c r="AE96" s="110"/>
      <c r="AF96" s="110"/>
      <c r="AG96" s="110"/>
      <c r="AH96" s="110"/>
      <c r="AI96" s="110"/>
      <c r="AJ96" s="110"/>
      <c r="AK96" s="110"/>
      <c r="AL96" s="110"/>
    </row>
    <row r="97" spans="2:38" ht="15" customHeight="1" x14ac:dyDescent="0.2">
      <c r="B97" s="110"/>
      <c r="C97" s="110"/>
      <c r="D97" s="110"/>
      <c r="E97" s="110"/>
      <c r="F97" s="110"/>
      <c r="G97" s="110"/>
      <c r="H97" s="110"/>
      <c r="I97" s="110"/>
      <c r="J97" s="110"/>
      <c r="K97" s="110"/>
      <c r="L97" s="110"/>
      <c r="M97" s="110"/>
      <c r="N97" s="110"/>
      <c r="O97" s="110"/>
      <c r="P97" s="110"/>
      <c r="Q97" s="110"/>
      <c r="R97" s="110"/>
      <c r="S97" s="110"/>
      <c r="T97" s="110"/>
      <c r="U97" s="110"/>
      <c r="V97" s="110"/>
      <c r="W97" s="110"/>
      <c r="X97" s="110"/>
      <c r="Y97" s="110"/>
      <c r="Z97" s="110"/>
      <c r="AA97" s="110"/>
      <c r="AB97" s="110"/>
      <c r="AC97" s="110"/>
      <c r="AD97" s="110"/>
      <c r="AE97" s="110"/>
      <c r="AF97" s="110"/>
      <c r="AG97" s="110"/>
      <c r="AH97" s="110"/>
      <c r="AI97" s="110"/>
      <c r="AJ97" s="110"/>
      <c r="AK97" s="110"/>
      <c r="AL97" s="110"/>
    </row>
    <row r="98" spans="2:38" ht="15" customHeight="1" x14ac:dyDescent="0.2">
      <c r="B98" s="110"/>
      <c r="C98" s="110"/>
      <c r="D98" s="110"/>
      <c r="E98" s="110"/>
      <c r="F98" s="110"/>
      <c r="G98" s="110"/>
      <c r="H98" s="110"/>
      <c r="I98" s="110"/>
      <c r="J98" s="110"/>
      <c r="K98" s="110"/>
      <c r="L98" s="110"/>
      <c r="M98" s="110"/>
      <c r="N98" s="110"/>
      <c r="O98" s="110"/>
      <c r="P98" s="110"/>
      <c r="Q98" s="110"/>
      <c r="R98" s="110"/>
      <c r="S98" s="110"/>
      <c r="T98" s="110"/>
      <c r="U98" s="110"/>
      <c r="V98" s="110"/>
      <c r="W98" s="110"/>
      <c r="X98" s="110"/>
      <c r="Y98" s="110"/>
      <c r="Z98" s="110"/>
      <c r="AA98" s="110"/>
      <c r="AB98" s="110"/>
      <c r="AC98" s="110"/>
      <c r="AD98" s="110"/>
      <c r="AE98" s="110"/>
      <c r="AF98" s="110"/>
      <c r="AG98" s="110"/>
      <c r="AH98" s="110"/>
      <c r="AI98" s="110"/>
      <c r="AJ98" s="110"/>
      <c r="AK98" s="110"/>
      <c r="AL98" s="110"/>
    </row>
    <row r="99" spans="2:38" ht="15" customHeight="1" x14ac:dyDescent="0.2">
      <c r="B99" s="110"/>
      <c r="C99" s="110"/>
      <c r="D99" s="110"/>
      <c r="E99" s="110"/>
      <c r="F99" s="110"/>
      <c r="G99" s="110"/>
      <c r="H99" s="110"/>
      <c r="I99" s="110"/>
      <c r="J99" s="110"/>
      <c r="K99" s="110"/>
      <c r="L99" s="110"/>
      <c r="M99" s="110"/>
      <c r="N99" s="110"/>
      <c r="O99" s="110"/>
      <c r="P99" s="110"/>
      <c r="Q99" s="110"/>
      <c r="R99" s="110"/>
      <c r="S99" s="110"/>
      <c r="T99" s="110"/>
      <c r="U99" s="110"/>
      <c r="V99" s="110"/>
      <c r="W99" s="110"/>
      <c r="X99" s="110"/>
      <c r="Y99" s="110"/>
      <c r="Z99" s="110"/>
      <c r="AA99" s="110"/>
      <c r="AB99" s="110"/>
      <c r="AC99" s="110"/>
      <c r="AD99" s="110"/>
      <c r="AE99" s="110"/>
      <c r="AF99" s="110"/>
      <c r="AG99" s="110"/>
      <c r="AH99" s="110"/>
      <c r="AI99" s="110"/>
      <c r="AJ99" s="110"/>
      <c r="AK99" s="110"/>
      <c r="AL99" s="110"/>
    </row>
    <row r="100" spans="2:38" ht="15" customHeight="1" x14ac:dyDescent="0.2">
      <c r="B100" s="110"/>
      <c r="C100" s="110"/>
      <c r="D100" s="110"/>
      <c r="E100" s="110"/>
      <c r="F100" s="110"/>
      <c r="G100" s="110"/>
      <c r="H100" s="110"/>
      <c r="I100" s="110"/>
      <c r="J100" s="110"/>
      <c r="K100" s="110"/>
      <c r="L100" s="110"/>
      <c r="M100" s="110"/>
      <c r="N100" s="110"/>
      <c r="O100" s="110"/>
      <c r="P100" s="110"/>
      <c r="Q100" s="110"/>
      <c r="R100" s="110"/>
      <c r="S100" s="110"/>
      <c r="T100" s="110"/>
      <c r="U100" s="110"/>
      <c r="V100" s="110"/>
      <c r="W100" s="110"/>
      <c r="X100" s="110"/>
      <c r="Y100" s="110"/>
      <c r="Z100" s="110"/>
      <c r="AA100" s="110"/>
      <c r="AB100" s="110"/>
      <c r="AC100" s="110"/>
      <c r="AD100" s="110"/>
      <c r="AE100" s="110"/>
      <c r="AF100" s="110"/>
      <c r="AG100" s="110"/>
      <c r="AH100" s="110"/>
      <c r="AI100" s="110"/>
      <c r="AJ100" s="110"/>
      <c r="AK100" s="110"/>
      <c r="AL100" s="110"/>
    </row>
    <row r="101" spans="2:38" ht="15" customHeight="1" x14ac:dyDescent="0.2">
      <c r="B101" s="110"/>
      <c r="C101" s="110"/>
      <c r="D101" s="110"/>
      <c r="E101" s="110"/>
      <c r="F101" s="110"/>
      <c r="G101" s="110"/>
      <c r="H101" s="110"/>
      <c r="I101" s="110"/>
      <c r="J101" s="110"/>
      <c r="K101" s="110"/>
      <c r="L101" s="110"/>
      <c r="M101" s="110"/>
      <c r="N101" s="110"/>
      <c r="O101" s="110"/>
      <c r="P101" s="110"/>
      <c r="Q101" s="110"/>
      <c r="R101" s="110"/>
      <c r="S101" s="110"/>
      <c r="T101" s="110"/>
      <c r="U101" s="110"/>
      <c r="V101" s="110"/>
      <c r="W101" s="110"/>
      <c r="X101" s="110"/>
      <c r="Y101" s="110"/>
      <c r="Z101" s="110"/>
      <c r="AA101" s="110"/>
      <c r="AB101" s="110"/>
      <c r="AC101" s="110"/>
      <c r="AD101" s="110"/>
      <c r="AE101" s="110"/>
      <c r="AF101" s="110"/>
      <c r="AG101" s="110"/>
      <c r="AH101" s="110"/>
      <c r="AI101" s="110"/>
      <c r="AJ101" s="110"/>
      <c r="AK101" s="110"/>
      <c r="AL101" s="110"/>
    </row>
    <row r="102" spans="2:38" ht="15" customHeight="1" x14ac:dyDescent="0.2">
      <c r="B102" s="110"/>
      <c r="C102" s="110"/>
      <c r="D102" s="110"/>
      <c r="E102" s="110"/>
      <c r="F102" s="110"/>
      <c r="G102" s="110"/>
      <c r="H102" s="110"/>
      <c r="I102" s="110"/>
      <c r="J102" s="110"/>
      <c r="K102" s="110"/>
      <c r="L102" s="110"/>
      <c r="M102" s="110"/>
      <c r="N102" s="110"/>
      <c r="O102" s="110"/>
      <c r="P102" s="110"/>
      <c r="Q102" s="110"/>
      <c r="R102" s="110"/>
      <c r="S102" s="110"/>
      <c r="T102" s="110"/>
      <c r="U102" s="110"/>
      <c r="V102" s="110"/>
      <c r="W102" s="110"/>
      <c r="X102" s="110"/>
      <c r="Y102" s="110"/>
      <c r="Z102" s="110"/>
      <c r="AA102" s="110"/>
      <c r="AB102" s="110"/>
      <c r="AC102" s="110"/>
      <c r="AD102" s="110"/>
      <c r="AE102" s="110"/>
      <c r="AF102" s="110"/>
      <c r="AG102" s="110"/>
      <c r="AH102" s="110"/>
      <c r="AI102" s="110"/>
      <c r="AJ102" s="110"/>
      <c r="AK102" s="110"/>
      <c r="AL102" s="110"/>
    </row>
    <row r="103" spans="2:38" ht="15" customHeight="1" x14ac:dyDescent="0.2">
      <c r="B103" s="110"/>
      <c r="C103" s="110"/>
      <c r="D103" s="110"/>
      <c r="E103" s="110"/>
      <c r="F103" s="110"/>
      <c r="G103" s="110"/>
      <c r="H103" s="110"/>
      <c r="I103" s="110"/>
      <c r="J103" s="110"/>
      <c r="K103" s="110"/>
      <c r="L103" s="110"/>
      <c r="M103" s="110"/>
      <c r="N103" s="110"/>
      <c r="O103" s="110"/>
      <c r="P103" s="110"/>
      <c r="Q103" s="110"/>
      <c r="R103" s="110"/>
      <c r="S103" s="110"/>
      <c r="T103" s="110"/>
      <c r="U103" s="110"/>
      <c r="V103" s="110"/>
      <c r="W103" s="110"/>
      <c r="X103" s="110"/>
      <c r="Y103" s="110"/>
      <c r="Z103" s="110"/>
      <c r="AA103" s="110"/>
      <c r="AB103" s="110"/>
      <c r="AC103" s="110"/>
      <c r="AD103" s="110"/>
      <c r="AE103" s="110"/>
      <c r="AF103" s="110"/>
      <c r="AG103" s="110"/>
      <c r="AH103" s="110"/>
      <c r="AI103" s="110"/>
      <c r="AJ103" s="110"/>
      <c r="AK103" s="110"/>
      <c r="AL103" s="110"/>
    </row>
    <row r="104" spans="2:38" ht="15" customHeight="1" x14ac:dyDescent="0.2">
      <c r="B104" s="110"/>
      <c r="C104" s="110"/>
      <c r="D104" s="110"/>
      <c r="E104" s="110"/>
      <c r="F104" s="110"/>
      <c r="G104" s="110"/>
      <c r="H104" s="110"/>
      <c r="I104" s="110"/>
      <c r="J104" s="110"/>
      <c r="K104" s="110"/>
      <c r="L104" s="110"/>
      <c r="M104" s="110"/>
      <c r="N104" s="110"/>
      <c r="O104" s="110"/>
      <c r="P104" s="110"/>
      <c r="Q104" s="110"/>
      <c r="R104" s="110"/>
      <c r="S104" s="110"/>
      <c r="T104" s="110"/>
      <c r="U104" s="110"/>
      <c r="V104" s="110"/>
      <c r="W104" s="110"/>
      <c r="X104" s="110"/>
      <c r="Y104" s="110"/>
      <c r="Z104" s="110"/>
      <c r="AA104" s="110"/>
      <c r="AB104" s="110"/>
      <c r="AC104" s="110"/>
      <c r="AD104" s="110"/>
      <c r="AE104" s="110"/>
      <c r="AF104" s="110"/>
      <c r="AG104" s="110"/>
      <c r="AH104" s="110"/>
      <c r="AI104" s="110"/>
      <c r="AJ104" s="110"/>
      <c r="AK104" s="110"/>
      <c r="AL104" s="110"/>
    </row>
    <row r="105" spans="2:38" ht="15" customHeight="1" x14ac:dyDescent="0.2">
      <c r="B105" s="110"/>
      <c r="C105" s="110"/>
      <c r="D105" s="110"/>
      <c r="E105" s="110"/>
      <c r="F105" s="110"/>
      <c r="G105" s="110"/>
      <c r="H105" s="110"/>
      <c r="I105" s="110"/>
      <c r="J105" s="110"/>
      <c r="K105" s="110"/>
      <c r="L105" s="110"/>
      <c r="M105" s="110"/>
      <c r="N105" s="110"/>
      <c r="O105" s="110"/>
      <c r="P105" s="110"/>
      <c r="Q105" s="110"/>
      <c r="R105" s="110"/>
      <c r="S105" s="110"/>
      <c r="T105" s="110"/>
      <c r="U105" s="110"/>
      <c r="V105" s="110"/>
      <c r="W105" s="110"/>
      <c r="X105" s="110"/>
      <c r="Y105" s="110"/>
      <c r="Z105" s="110"/>
      <c r="AA105" s="110"/>
      <c r="AB105" s="110"/>
      <c r="AC105" s="110"/>
      <c r="AD105" s="110"/>
      <c r="AE105" s="110"/>
      <c r="AF105" s="110"/>
      <c r="AG105" s="110"/>
      <c r="AH105" s="110"/>
      <c r="AI105" s="110"/>
      <c r="AJ105" s="110"/>
      <c r="AK105" s="110"/>
      <c r="AL105" s="110"/>
    </row>
    <row r="106" spans="2:38" ht="15" customHeight="1" x14ac:dyDescent="0.2">
      <c r="B106" s="110"/>
      <c r="C106" s="110"/>
      <c r="D106" s="110"/>
      <c r="E106" s="110"/>
      <c r="F106" s="110"/>
      <c r="G106" s="110"/>
      <c r="H106" s="110"/>
      <c r="I106" s="110"/>
      <c r="J106" s="110"/>
      <c r="K106" s="110"/>
      <c r="L106" s="110"/>
      <c r="M106" s="110"/>
      <c r="N106" s="110"/>
      <c r="O106" s="110"/>
      <c r="P106" s="110"/>
      <c r="Q106" s="110"/>
      <c r="R106" s="110"/>
      <c r="S106" s="110"/>
      <c r="T106" s="110"/>
      <c r="U106" s="110"/>
      <c r="V106" s="110"/>
      <c r="W106" s="110"/>
      <c r="X106" s="110"/>
      <c r="Y106" s="110"/>
      <c r="Z106" s="110"/>
      <c r="AA106" s="110"/>
      <c r="AB106" s="110"/>
      <c r="AC106" s="110"/>
      <c r="AD106" s="110"/>
      <c r="AE106" s="110"/>
      <c r="AF106" s="110"/>
      <c r="AG106" s="110"/>
      <c r="AH106" s="110"/>
      <c r="AI106" s="110"/>
      <c r="AJ106" s="110"/>
      <c r="AK106" s="110"/>
      <c r="AL106" s="110"/>
    </row>
    <row r="107" spans="2:38" ht="15" customHeight="1" x14ac:dyDescent="0.2">
      <c r="B107" s="110"/>
      <c r="C107" s="110"/>
      <c r="D107" s="110"/>
      <c r="E107" s="110"/>
      <c r="F107" s="110"/>
      <c r="G107" s="110"/>
      <c r="H107" s="110"/>
      <c r="I107" s="110"/>
      <c r="J107" s="110"/>
      <c r="K107" s="110"/>
      <c r="L107" s="110"/>
      <c r="M107" s="110"/>
      <c r="N107" s="110"/>
      <c r="O107" s="110"/>
      <c r="P107" s="110"/>
      <c r="Q107" s="110"/>
      <c r="R107" s="110"/>
      <c r="S107" s="110"/>
      <c r="T107" s="110"/>
      <c r="U107" s="110"/>
      <c r="V107" s="110"/>
      <c r="W107" s="110"/>
      <c r="X107" s="110"/>
      <c r="Y107" s="110"/>
      <c r="Z107" s="110"/>
      <c r="AA107" s="110"/>
      <c r="AB107" s="110"/>
      <c r="AC107" s="110"/>
      <c r="AD107" s="110"/>
      <c r="AE107" s="110"/>
      <c r="AF107" s="110"/>
      <c r="AG107" s="110"/>
      <c r="AH107" s="110"/>
      <c r="AI107" s="110"/>
      <c r="AJ107" s="110"/>
      <c r="AK107" s="110"/>
      <c r="AL107" s="110"/>
    </row>
    <row r="108" spans="2:38" ht="15" customHeight="1" x14ac:dyDescent="0.2">
      <c r="B108" s="110"/>
      <c r="C108" s="110"/>
      <c r="D108" s="110"/>
      <c r="E108" s="110"/>
      <c r="F108" s="110"/>
      <c r="G108" s="110"/>
      <c r="H108" s="110"/>
      <c r="I108" s="110"/>
      <c r="J108" s="110"/>
      <c r="K108" s="110"/>
      <c r="L108" s="110"/>
      <c r="M108" s="110"/>
      <c r="N108" s="110"/>
      <c r="O108" s="110"/>
      <c r="P108" s="110"/>
      <c r="Q108" s="110"/>
      <c r="R108" s="110"/>
      <c r="S108" s="110"/>
      <c r="T108" s="110"/>
      <c r="U108" s="110"/>
      <c r="V108" s="110"/>
      <c r="W108" s="110"/>
      <c r="X108" s="110"/>
      <c r="Y108" s="110"/>
      <c r="Z108" s="110"/>
      <c r="AA108" s="110"/>
      <c r="AB108" s="110"/>
      <c r="AC108" s="110"/>
      <c r="AD108" s="110"/>
      <c r="AE108" s="110"/>
      <c r="AF108" s="110"/>
      <c r="AG108" s="110"/>
      <c r="AH108" s="110"/>
      <c r="AI108" s="110"/>
      <c r="AJ108" s="110"/>
      <c r="AK108" s="110"/>
      <c r="AL108" s="110"/>
    </row>
    <row r="109" spans="2:38" ht="15" customHeight="1" x14ac:dyDescent="0.2">
      <c r="B109" s="110"/>
      <c r="C109" s="110"/>
      <c r="D109" s="110"/>
      <c r="E109" s="110"/>
      <c r="F109" s="110"/>
      <c r="G109" s="110"/>
      <c r="H109" s="110"/>
      <c r="I109" s="110"/>
      <c r="J109" s="110"/>
      <c r="K109" s="110"/>
      <c r="L109" s="110"/>
      <c r="M109" s="110"/>
      <c r="N109" s="110"/>
      <c r="O109" s="110"/>
      <c r="P109" s="110"/>
      <c r="Q109" s="110"/>
      <c r="R109" s="110"/>
      <c r="S109" s="110"/>
      <c r="T109" s="110"/>
      <c r="U109" s="110"/>
      <c r="V109" s="110"/>
      <c r="W109" s="110"/>
      <c r="X109" s="110"/>
      <c r="Y109" s="110"/>
      <c r="Z109" s="110"/>
      <c r="AA109" s="110"/>
      <c r="AB109" s="110"/>
      <c r="AC109" s="110"/>
      <c r="AD109" s="110"/>
      <c r="AE109" s="110"/>
      <c r="AF109" s="110"/>
      <c r="AG109" s="110"/>
      <c r="AH109" s="110"/>
      <c r="AI109" s="110"/>
      <c r="AJ109" s="110"/>
      <c r="AK109" s="110"/>
      <c r="AL109" s="110"/>
    </row>
    <row r="110" spans="2:38" ht="15" customHeight="1" x14ac:dyDescent="0.2">
      <c r="B110" s="110"/>
      <c r="C110" s="110"/>
      <c r="D110" s="110"/>
      <c r="E110" s="110"/>
      <c r="F110" s="110"/>
      <c r="G110" s="110"/>
      <c r="H110" s="110"/>
      <c r="I110" s="110"/>
      <c r="J110" s="110"/>
      <c r="K110" s="110"/>
      <c r="L110" s="110"/>
      <c r="M110" s="110"/>
      <c r="N110" s="110"/>
      <c r="O110" s="110"/>
      <c r="P110" s="110"/>
      <c r="Q110" s="110"/>
      <c r="R110" s="110"/>
      <c r="S110" s="110"/>
      <c r="T110" s="110"/>
      <c r="U110" s="110"/>
      <c r="V110" s="110"/>
      <c r="W110" s="110"/>
      <c r="X110" s="110"/>
      <c r="Y110" s="110"/>
      <c r="Z110" s="110"/>
      <c r="AA110" s="110"/>
      <c r="AB110" s="110"/>
      <c r="AC110" s="110"/>
      <c r="AD110" s="110"/>
      <c r="AE110" s="110"/>
      <c r="AF110" s="110"/>
      <c r="AG110" s="110"/>
      <c r="AH110" s="110"/>
      <c r="AI110" s="110"/>
      <c r="AJ110" s="110"/>
      <c r="AK110" s="110"/>
      <c r="AL110" s="110"/>
    </row>
    <row r="111" spans="2:38" ht="15" customHeight="1" x14ac:dyDescent="0.2">
      <c r="B111" s="110"/>
      <c r="C111" s="110"/>
      <c r="D111" s="110"/>
      <c r="E111" s="110"/>
      <c r="F111" s="110"/>
      <c r="G111" s="110"/>
      <c r="H111" s="110"/>
      <c r="I111" s="110"/>
      <c r="J111" s="110"/>
      <c r="K111" s="110"/>
      <c r="L111" s="110"/>
      <c r="M111" s="110"/>
      <c r="N111" s="110"/>
      <c r="O111" s="110"/>
      <c r="P111" s="110"/>
      <c r="Q111" s="110"/>
      <c r="R111" s="110"/>
      <c r="S111" s="110"/>
      <c r="T111" s="110"/>
      <c r="U111" s="110"/>
      <c r="V111" s="110"/>
      <c r="W111" s="110"/>
      <c r="X111" s="110"/>
      <c r="Y111" s="110"/>
      <c r="Z111" s="110"/>
      <c r="AA111" s="110"/>
      <c r="AB111" s="110"/>
      <c r="AC111" s="110"/>
      <c r="AD111" s="110"/>
      <c r="AE111" s="110"/>
      <c r="AF111" s="110"/>
      <c r="AG111" s="110"/>
      <c r="AH111" s="110"/>
      <c r="AI111" s="110"/>
      <c r="AJ111" s="110"/>
      <c r="AK111" s="110"/>
      <c r="AL111" s="110"/>
    </row>
    <row r="112" spans="2:38" ht="15" customHeight="1" x14ac:dyDescent="0.2">
      <c r="B112" s="110"/>
      <c r="C112" s="110"/>
      <c r="D112" s="110"/>
      <c r="E112" s="110"/>
      <c r="F112" s="110"/>
      <c r="G112" s="110"/>
      <c r="H112" s="110"/>
      <c r="I112" s="110"/>
      <c r="J112" s="110"/>
      <c r="K112" s="110"/>
      <c r="L112" s="110"/>
      <c r="M112" s="110"/>
      <c r="N112" s="110"/>
      <c r="O112" s="110"/>
      <c r="P112" s="110"/>
      <c r="Q112" s="110"/>
      <c r="R112" s="110"/>
      <c r="S112" s="110"/>
      <c r="T112" s="110"/>
      <c r="U112" s="110"/>
      <c r="V112" s="110"/>
      <c r="W112" s="110"/>
      <c r="X112" s="110"/>
      <c r="Y112" s="110"/>
      <c r="Z112" s="110"/>
      <c r="AA112" s="110"/>
      <c r="AB112" s="110"/>
      <c r="AC112" s="110"/>
      <c r="AD112" s="110"/>
      <c r="AE112" s="110"/>
      <c r="AF112" s="110"/>
      <c r="AG112" s="110"/>
      <c r="AH112" s="110"/>
      <c r="AI112" s="110"/>
      <c r="AJ112" s="110"/>
      <c r="AK112" s="110"/>
      <c r="AL112" s="110"/>
    </row>
    <row r="113" spans="2:38" ht="15" customHeight="1" x14ac:dyDescent="0.2">
      <c r="B113" s="110"/>
      <c r="C113" s="110"/>
      <c r="D113" s="110"/>
      <c r="E113" s="110"/>
      <c r="F113" s="110"/>
      <c r="G113" s="110"/>
      <c r="H113" s="110"/>
      <c r="I113" s="110"/>
      <c r="J113" s="110"/>
      <c r="K113" s="110"/>
      <c r="L113" s="110"/>
      <c r="M113" s="110"/>
      <c r="N113" s="110"/>
      <c r="O113" s="110"/>
      <c r="P113" s="110"/>
      <c r="Q113" s="110"/>
      <c r="R113" s="110"/>
      <c r="S113" s="110"/>
      <c r="T113" s="110"/>
      <c r="U113" s="110"/>
      <c r="V113" s="110"/>
      <c r="W113" s="110"/>
      <c r="X113" s="110"/>
      <c r="Y113" s="110"/>
      <c r="Z113" s="110"/>
      <c r="AA113" s="110"/>
      <c r="AB113" s="110"/>
      <c r="AC113" s="110"/>
      <c r="AD113" s="110"/>
      <c r="AE113" s="110"/>
      <c r="AF113" s="110"/>
      <c r="AG113" s="110"/>
      <c r="AH113" s="110"/>
      <c r="AI113" s="110"/>
      <c r="AJ113" s="110"/>
      <c r="AK113" s="110"/>
      <c r="AL113" s="110"/>
    </row>
    <row r="114" spans="2:38" ht="15" customHeight="1" x14ac:dyDescent="0.2">
      <c r="B114" s="110"/>
      <c r="C114" s="110"/>
      <c r="D114" s="110"/>
      <c r="E114" s="110"/>
      <c r="F114" s="110"/>
      <c r="G114" s="110"/>
      <c r="H114" s="110"/>
      <c r="I114" s="110"/>
      <c r="J114" s="110"/>
      <c r="K114" s="110"/>
      <c r="L114" s="110"/>
      <c r="M114" s="110"/>
      <c r="N114" s="110"/>
      <c r="O114" s="110"/>
      <c r="P114" s="110"/>
      <c r="Q114" s="110"/>
      <c r="R114" s="110"/>
      <c r="S114" s="110"/>
      <c r="T114" s="110"/>
      <c r="U114" s="110"/>
      <c r="V114" s="110"/>
      <c r="W114" s="110"/>
      <c r="X114" s="110"/>
      <c r="Y114" s="110"/>
      <c r="Z114" s="110"/>
      <c r="AA114" s="110"/>
      <c r="AB114" s="110"/>
      <c r="AC114" s="110"/>
      <c r="AD114" s="110"/>
      <c r="AE114" s="110"/>
      <c r="AF114" s="110"/>
      <c r="AG114" s="110"/>
      <c r="AH114" s="110"/>
      <c r="AI114" s="110"/>
      <c r="AJ114" s="110"/>
      <c r="AK114" s="110"/>
      <c r="AL114" s="110"/>
    </row>
    <row r="115" spans="2:38" ht="15" customHeight="1" x14ac:dyDescent="0.2">
      <c r="B115" s="110"/>
      <c r="C115" s="110"/>
      <c r="D115" s="110"/>
      <c r="E115" s="110"/>
      <c r="F115" s="110"/>
      <c r="G115" s="110"/>
      <c r="H115" s="110"/>
      <c r="I115" s="110"/>
      <c r="J115" s="110"/>
      <c r="K115" s="110"/>
      <c r="L115" s="110"/>
      <c r="M115" s="110"/>
      <c r="N115" s="110"/>
      <c r="O115" s="110"/>
      <c r="P115" s="110"/>
      <c r="Q115" s="110"/>
      <c r="R115" s="110"/>
      <c r="S115" s="110"/>
      <c r="T115" s="110"/>
      <c r="U115" s="110"/>
      <c r="V115" s="110"/>
      <c r="W115" s="110"/>
      <c r="X115" s="110"/>
      <c r="Y115" s="110"/>
      <c r="Z115" s="110"/>
      <c r="AA115" s="110"/>
      <c r="AB115" s="110"/>
      <c r="AC115" s="110"/>
      <c r="AD115" s="110"/>
      <c r="AE115" s="110"/>
      <c r="AF115" s="110"/>
      <c r="AG115" s="110"/>
      <c r="AH115" s="110"/>
      <c r="AI115" s="110"/>
      <c r="AJ115" s="110"/>
      <c r="AK115" s="110"/>
      <c r="AL115" s="110"/>
    </row>
    <row r="116" spans="2:38" ht="15" customHeight="1" x14ac:dyDescent="0.2">
      <c r="B116" s="110"/>
      <c r="C116" s="110"/>
      <c r="D116" s="110"/>
      <c r="E116" s="110"/>
      <c r="F116" s="110"/>
      <c r="G116" s="110"/>
      <c r="H116" s="110"/>
      <c r="I116" s="110"/>
      <c r="J116" s="110"/>
      <c r="K116" s="110"/>
      <c r="L116" s="110"/>
      <c r="M116" s="110"/>
      <c r="N116" s="110"/>
      <c r="O116" s="110"/>
      <c r="P116" s="110"/>
      <c r="Q116" s="110"/>
      <c r="R116" s="110"/>
      <c r="S116" s="110"/>
      <c r="T116" s="110"/>
      <c r="U116" s="110"/>
      <c r="V116" s="110"/>
      <c r="W116" s="110"/>
      <c r="X116" s="110"/>
      <c r="Y116" s="110"/>
      <c r="Z116" s="110"/>
      <c r="AA116" s="110"/>
      <c r="AB116" s="110"/>
      <c r="AC116" s="110"/>
      <c r="AD116" s="110"/>
      <c r="AE116" s="110"/>
      <c r="AF116" s="110"/>
      <c r="AG116" s="110"/>
      <c r="AH116" s="110"/>
      <c r="AI116" s="110"/>
      <c r="AJ116" s="110"/>
      <c r="AK116" s="110"/>
      <c r="AL116" s="110"/>
    </row>
    <row r="117" spans="2:38" ht="15" customHeight="1" x14ac:dyDescent="0.2">
      <c r="B117" s="110"/>
      <c r="C117" s="110"/>
      <c r="D117" s="110"/>
      <c r="E117" s="110"/>
      <c r="F117" s="110"/>
      <c r="G117" s="110"/>
      <c r="H117" s="110"/>
      <c r="I117" s="110"/>
      <c r="J117" s="110"/>
      <c r="K117" s="110"/>
      <c r="L117" s="110"/>
      <c r="M117" s="110"/>
      <c r="N117" s="110"/>
      <c r="O117" s="110"/>
      <c r="P117" s="110"/>
      <c r="Q117" s="110"/>
      <c r="R117" s="110"/>
      <c r="S117" s="110"/>
      <c r="T117" s="110"/>
      <c r="U117" s="110"/>
      <c r="V117" s="110"/>
      <c r="W117" s="110"/>
      <c r="X117" s="110"/>
      <c r="Y117" s="110"/>
      <c r="Z117" s="110"/>
      <c r="AA117" s="110"/>
      <c r="AB117" s="110"/>
      <c r="AC117" s="110"/>
      <c r="AD117" s="110"/>
      <c r="AE117" s="110"/>
      <c r="AF117" s="110"/>
      <c r="AG117" s="110"/>
      <c r="AH117" s="110"/>
      <c r="AI117" s="110"/>
      <c r="AJ117" s="110"/>
      <c r="AK117" s="110"/>
      <c r="AL117" s="110"/>
    </row>
    <row r="118" spans="2:38" ht="15" customHeight="1" x14ac:dyDescent="0.2">
      <c r="B118" s="110"/>
      <c r="C118" s="110"/>
      <c r="D118" s="110"/>
      <c r="E118" s="110"/>
      <c r="F118" s="110"/>
      <c r="G118" s="110"/>
      <c r="H118" s="110"/>
      <c r="I118" s="110"/>
      <c r="J118" s="110"/>
      <c r="K118" s="110"/>
      <c r="L118" s="110"/>
      <c r="M118" s="110"/>
      <c r="N118" s="110"/>
      <c r="O118" s="110"/>
      <c r="P118" s="110"/>
      <c r="Q118" s="110"/>
      <c r="R118" s="110"/>
      <c r="S118" s="110"/>
      <c r="T118" s="110"/>
      <c r="U118" s="110"/>
      <c r="V118" s="110"/>
      <c r="W118" s="110"/>
      <c r="X118" s="110"/>
      <c r="Y118" s="110"/>
      <c r="Z118" s="110"/>
      <c r="AA118" s="110"/>
      <c r="AB118" s="110"/>
      <c r="AC118" s="110"/>
      <c r="AD118" s="110"/>
      <c r="AE118" s="110"/>
      <c r="AF118" s="110"/>
      <c r="AG118" s="110"/>
      <c r="AH118" s="110"/>
      <c r="AI118" s="110"/>
      <c r="AJ118" s="110"/>
      <c r="AK118" s="110"/>
      <c r="AL118" s="110"/>
    </row>
    <row r="119" spans="2:38" ht="15" customHeight="1" x14ac:dyDescent="0.2">
      <c r="B119" s="110"/>
      <c r="C119" s="110"/>
      <c r="D119" s="110"/>
      <c r="E119" s="110"/>
      <c r="F119" s="110"/>
      <c r="G119" s="110"/>
      <c r="H119" s="110"/>
      <c r="I119" s="110"/>
      <c r="J119" s="110"/>
      <c r="K119" s="110"/>
      <c r="L119" s="110"/>
      <c r="M119" s="110"/>
      <c r="N119" s="110"/>
      <c r="O119" s="110"/>
      <c r="P119" s="110"/>
      <c r="Q119" s="110"/>
      <c r="R119" s="110"/>
      <c r="S119" s="110"/>
      <c r="T119" s="110"/>
      <c r="U119" s="110"/>
      <c r="V119" s="110"/>
      <c r="W119" s="110"/>
      <c r="X119" s="110"/>
      <c r="Y119" s="110"/>
      <c r="Z119" s="110"/>
      <c r="AA119" s="110"/>
      <c r="AB119" s="110"/>
      <c r="AC119" s="110"/>
      <c r="AD119" s="110"/>
      <c r="AE119" s="110"/>
      <c r="AF119" s="110"/>
      <c r="AG119" s="110"/>
      <c r="AH119" s="110"/>
      <c r="AI119" s="110"/>
      <c r="AJ119" s="110"/>
      <c r="AK119" s="110"/>
      <c r="AL119" s="110"/>
    </row>
    <row r="120" spans="2:38" ht="15" customHeight="1" x14ac:dyDescent="0.2">
      <c r="B120" s="110"/>
      <c r="C120" s="110"/>
      <c r="D120" s="110"/>
      <c r="E120" s="110"/>
      <c r="F120" s="110"/>
      <c r="G120" s="110"/>
      <c r="H120" s="110"/>
      <c r="I120" s="110"/>
      <c r="J120" s="110"/>
      <c r="K120" s="110"/>
      <c r="L120" s="110"/>
      <c r="M120" s="110"/>
      <c r="N120" s="110"/>
      <c r="O120" s="110"/>
      <c r="P120" s="110"/>
      <c r="Q120" s="110"/>
      <c r="R120" s="110"/>
      <c r="S120" s="110"/>
      <c r="T120" s="110"/>
      <c r="U120" s="110"/>
      <c r="V120" s="110"/>
      <c r="W120" s="110"/>
      <c r="X120" s="110"/>
      <c r="Y120" s="110"/>
      <c r="Z120" s="110"/>
      <c r="AA120" s="110"/>
      <c r="AB120" s="110"/>
      <c r="AC120" s="110"/>
      <c r="AD120" s="110"/>
      <c r="AE120" s="110"/>
      <c r="AF120" s="110"/>
      <c r="AG120" s="110"/>
      <c r="AH120" s="110"/>
      <c r="AI120" s="110"/>
      <c r="AJ120" s="110"/>
      <c r="AK120" s="110"/>
      <c r="AL120" s="110"/>
    </row>
    <row r="121" spans="2:38" ht="15" customHeight="1" x14ac:dyDescent="0.2">
      <c r="B121" s="110"/>
      <c r="C121" s="110"/>
      <c r="D121" s="110"/>
      <c r="E121" s="110"/>
      <c r="F121" s="110"/>
      <c r="G121" s="110"/>
      <c r="H121" s="110"/>
      <c r="I121" s="110"/>
      <c r="J121" s="110"/>
      <c r="K121" s="110"/>
      <c r="L121" s="110"/>
      <c r="M121" s="110"/>
      <c r="N121" s="110"/>
      <c r="O121" s="110"/>
      <c r="P121" s="110"/>
      <c r="Q121" s="110"/>
      <c r="R121" s="110"/>
      <c r="S121" s="110"/>
      <c r="T121" s="110"/>
      <c r="U121" s="110"/>
      <c r="V121" s="110"/>
      <c r="W121" s="110"/>
      <c r="X121" s="110"/>
      <c r="Y121" s="110"/>
      <c r="Z121" s="110"/>
      <c r="AA121" s="110"/>
      <c r="AB121" s="110"/>
      <c r="AC121" s="110"/>
      <c r="AD121" s="110"/>
      <c r="AE121" s="110"/>
      <c r="AF121" s="110"/>
      <c r="AG121" s="110"/>
      <c r="AH121" s="110"/>
      <c r="AI121" s="110"/>
      <c r="AJ121" s="110"/>
      <c r="AK121" s="110"/>
      <c r="AL121" s="110"/>
    </row>
    <row r="122" spans="2:38" ht="15" customHeight="1" x14ac:dyDescent="0.2">
      <c r="B122" s="110"/>
      <c r="C122" s="110"/>
      <c r="D122" s="110"/>
      <c r="E122" s="110"/>
      <c r="F122" s="110"/>
      <c r="G122" s="110"/>
      <c r="H122" s="110"/>
      <c r="I122" s="110"/>
      <c r="J122" s="110"/>
      <c r="K122" s="110"/>
      <c r="L122" s="110"/>
      <c r="M122" s="110"/>
      <c r="N122" s="110"/>
      <c r="O122" s="110"/>
      <c r="P122" s="110"/>
      <c r="Q122" s="110"/>
      <c r="R122" s="110"/>
      <c r="S122" s="110"/>
      <c r="T122" s="110"/>
      <c r="U122" s="110"/>
      <c r="V122" s="110"/>
      <c r="W122" s="110"/>
      <c r="X122" s="110"/>
      <c r="Y122" s="110"/>
      <c r="Z122" s="110"/>
      <c r="AA122" s="110"/>
      <c r="AB122" s="110"/>
      <c r="AC122" s="110"/>
      <c r="AD122" s="110"/>
      <c r="AE122" s="110"/>
      <c r="AF122" s="110"/>
      <c r="AG122" s="110"/>
      <c r="AH122" s="110"/>
      <c r="AI122" s="110"/>
      <c r="AJ122" s="110"/>
      <c r="AK122" s="110"/>
      <c r="AL122" s="110"/>
    </row>
    <row r="123" spans="2:38" ht="15" customHeight="1" x14ac:dyDescent="0.2">
      <c r="B123" s="110"/>
      <c r="C123" s="110"/>
      <c r="D123" s="110"/>
      <c r="E123" s="110"/>
      <c r="F123" s="110"/>
      <c r="G123" s="110"/>
      <c r="H123" s="110"/>
      <c r="I123" s="110"/>
      <c r="J123" s="110"/>
      <c r="K123" s="110"/>
      <c r="L123" s="110"/>
      <c r="M123" s="110"/>
      <c r="N123" s="110"/>
      <c r="O123" s="110"/>
      <c r="P123" s="110"/>
      <c r="Q123" s="110"/>
      <c r="R123" s="110"/>
      <c r="S123" s="110"/>
      <c r="T123" s="110"/>
      <c r="U123" s="110"/>
      <c r="V123" s="110"/>
      <c r="W123" s="110"/>
      <c r="X123" s="110"/>
      <c r="Y123" s="110"/>
      <c r="Z123" s="110"/>
      <c r="AA123" s="110"/>
      <c r="AB123" s="110"/>
      <c r="AC123" s="110"/>
      <c r="AD123" s="110"/>
      <c r="AE123" s="110"/>
      <c r="AF123" s="110"/>
      <c r="AG123" s="110"/>
      <c r="AH123" s="110"/>
      <c r="AI123" s="110"/>
      <c r="AJ123" s="110"/>
      <c r="AK123" s="110"/>
      <c r="AL123" s="110"/>
    </row>
    <row r="124" spans="2:38" ht="15" customHeight="1" x14ac:dyDescent="0.2">
      <c r="B124" s="110"/>
      <c r="C124" s="110"/>
      <c r="D124" s="110"/>
      <c r="E124" s="110"/>
      <c r="F124" s="110"/>
      <c r="G124" s="110"/>
      <c r="H124" s="110"/>
      <c r="I124" s="110"/>
      <c r="J124" s="110"/>
      <c r="K124" s="110"/>
      <c r="L124" s="110"/>
      <c r="M124" s="110"/>
      <c r="N124" s="110"/>
      <c r="O124" s="110"/>
      <c r="P124" s="110"/>
      <c r="Q124" s="110"/>
      <c r="R124" s="110"/>
      <c r="S124" s="110"/>
      <c r="T124" s="110"/>
      <c r="U124" s="110"/>
      <c r="V124" s="110"/>
      <c r="W124" s="110"/>
      <c r="X124" s="110"/>
      <c r="Y124" s="110"/>
      <c r="Z124" s="110"/>
      <c r="AA124" s="110"/>
      <c r="AB124" s="110"/>
      <c r="AC124" s="110"/>
      <c r="AD124" s="110"/>
      <c r="AE124" s="110"/>
      <c r="AF124" s="110"/>
      <c r="AG124" s="110"/>
      <c r="AH124" s="110"/>
      <c r="AI124" s="110"/>
      <c r="AJ124" s="110"/>
      <c r="AK124" s="110"/>
      <c r="AL124" s="110"/>
    </row>
    <row r="125" spans="2:38" ht="15" customHeight="1" x14ac:dyDescent="0.2">
      <c r="B125" s="110"/>
      <c r="C125" s="110"/>
      <c r="D125" s="110"/>
      <c r="E125" s="110"/>
      <c r="F125" s="110"/>
      <c r="G125" s="110"/>
      <c r="H125" s="110"/>
      <c r="I125" s="110"/>
      <c r="J125" s="110"/>
      <c r="K125" s="110"/>
      <c r="L125" s="110"/>
      <c r="M125" s="110"/>
      <c r="N125" s="110"/>
      <c r="O125" s="110"/>
      <c r="P125" s="110"/>
      <c r="Q125" s="110"/>
      <c r="R125" s="110"/>
      <c r="S125" s="110"/>
      <c r="T125" s="110"/>
      <c r="U125" s="110"/>
      <c r="V125" s="110"/>
      <c r="W125" s="110"/>
      <c r="X125" s="110"/>
      <c r="Y125" s="110"/>
      <c r="Z125" s="110"/>
      <c r="AA125" s="110"/>
      <c r="AB125" s="110"/>
      <c r="AC125" s="110"/>
      <c r="AD125" s="110"/>
      <c r="AE125" s="110"/>
      <c r="AF125" s="110"/>
      <c r="AG125" s="110"/>
      <c r="AH125" s="110"/>
      <c r="AI125" s="110"/>
      <c r="AJ125" s="110"/>
      <c r="AK125" s="110"/>
      <c r="AL125" s="110"/>
    </row>
    <row r="126" spans="2:38" ht="15" customHeight="1" x14ac:dyDescent="0.2">
      <c r="B126" s="110"/>
      <c r="C126" s="110"/>
      <c r="D126" s="110"/>
      <c r="E126" s="110"/>
      <c r="F126" s="110"/>
      <c r="G126" s="110"/>
      <c r="H126" s="110"/>
      <c r="I126" s="110"/>
      <c r="J126" s="110"/>
      <c r="K126" s="110"/>
      <c r="L126" s="110"/>
      <c r="M126" s="110"/>
      <c r="N126" s="110"/>
      <c r="O126" s="110"/>
      <c r="P126" s="110"/>
      <c r="Q126" s="110"/>
      <c r="R126" s="110"/>
      <c r="S126" s="110"/>
      <c r="T126" s="110"/>
      <c r="U126" s="110"/>
      <c r="V126" s="110"/>
      <c r="W126" s="110"/>
      <c r="X126" s="110"/>
      <c r="Y126" s="110"/>
      <c r="Z126" s="110"/>
      <c r="AA126" s="110"/>
      <c r="AB126" s="110"/>
      <c r="AC126" s="110"/>
      <c r="AD126" s="110"/>
      <c r="AE126" s="110"/>
      <c r="AF126" s="110"/>
      <c r="AG126" s="110"/>
      <c r="AH126" s="110"/>
      <c r="AI126" s="110"/>
      <c r="AJ126" s="110"/>
      <c r="AK126" s="110"/>
      <c r="AL126" s="110"/>
    </row>
    <row r="127" spans="2:38" ht="15" customHeight="1" x14ac:dyDescent="0.2">
      <c r="B127" s="110"/>
      <c r="C127" s="110"/>
      <c r="D127" s="110"/>
      <c r="E127" s="110"/>
      <c r="F127" s="110"/>
      <c r="G127" s="110"/>
      <c r="H127" s="110"/>
      <c r="I127" s="110"/>
      <c r="J127" s="110"/>
      <c r="K127" s="110"/>
      <c r="L127" s="110"/>
      <c r="M127" s="110"/>
      <c r="N127" s="110"/>
      <c r="O127" s="110"/>
      <c r="P127" s="110"/>
      <c r="Q127" s="110"/>
      <c r="R127" s="110"/>
      <c r="S127" s="110"/>
      <c r="T127" s="110"/>
      <c r="U127" s="110"/>
      <c r="V127" s="110"/>
      <c r="W127" s="110"/>
      <c r="X127" s="110"/>
      <c r="Y127" s="110"/>
      <c r="Z127" s="110"/>
      <c r="AA127" s="110"/>
      <c r="AB127" s="110"/>
      <c r="AC127" s="110"/>
      <c r="AD127" s="110"/>
      <c r="AE127" s="110"/>
      <c r="AF127" s="110"/>
      <c r="AG127" s="110"/>
      <c r="AH127" s="110"/>
      <c r="AI127" s="110"/>
      <c r="AJ127" s="110"/>
      <c r="AK127" s="110"/>
      <c r="AL127" s="110"/>
    </row>
    <row r="128" spans="2:38" ht="15" customHeight="1" x14ac:dyDescent="0.2">
      <c r="B128" s="110"/>
      <c r="C128" s="110"/>
      <c r="D128" s="110"/>
      <c r="E128" s="110"/>
      <c r="F128" s="110"/>
      <c r="G128" s="110"/>
      <c r="H128" s="110"/>
      <c r="I128" s="110"/>
      <c r="J128" s="110"/>
      <c r="K128" s="110"/>
      <c r="L128" s="110"/>
      <c r="M128" s="110"/>
      <c r="N128" s="110"/>
      <c r="O128" s="110"/>
      <c r="P128" s="110"/>
      <c r="Q128" s="110"/>
      <c r="R128" s="110"/>
      <c r="S128" s="110"/>
      <c r="T128" s="110"/>
      <c r="U128" s="110"/>
      <c r="V128" s="110"/>
      <c r="W128" s="110"/>
      <c r="X128" s="110"/>
      <c r="Y128" s="110"/>
      <c r="Z128" s="110"/>
      <c r="AA128" s="110"/>
      <c r="AB128" s="110"/>
      <c r="AC128" s="110"/>
      <c r="AD128" s="110"/>
      <c r="AE128" s="110"/>
      <c r="AF128" s="110"/>
      <c r="AG128" s="110"/>
      <c r="AH128" s="110"/>
      <c r="AI128" s="110"/>
      <c r="AJ128" s="110"/>
      <c r="AK128" s="110"/>
      <c r="AL128" s="110"/>
    </row>
    <row r="129" spans="2:38" ht="15" customHeight="1" x14ac:dyDescent="0.2">
      <c r="B129" s="110"/>
      <c r="C129" s="110"/>
      <c r="D129" s="110"/>
      <c r="E129" s="110"/>
      <c r="F129" s="110"/>
      <c r="G129" s="110"/>
      <c r="H129" s="110"/>
      <c r="I129" s="110"/>
      <c r="J129" s="110"/>
      <c r="K129" s="110"/>
      <c r="L129" s="110"/>
      <c r="M129" s="110"/>
      <c r="N129" s="110"/>
      <c r="O129" s="110"/>
      <c r="P129" s="110"/>
      <c r="Q129" s="110"/>
      <c r="R129" s="110"/>
      <c r="S129" s="110"/>
      <c r="T129" s="110"/>
      <c r="U129" s="110"/>
      <c r="V129" s="110"/>
      <c r="W129" s="110"/>
      <c r="X129" s="110"/>
      <c r="Y129" s="110"/>
      <c r="Z129" s="110"/>
      <c r="AA129" s="110"/>
      <c r="AB129" s="110"/>
      <c r="AC129" s="110"/>
      <c r="AD129" s="110"/>
      <c r="AE129" s="110"/>
      <c r="AF129" s="110"/>
      <c r="AG129" s="110"/>
      <c r="AH129" s="110"/>
      <c r="AI129" s="110"/>
      <c r="AJ129" s="110"/>
      <c r="AK129" s="110"/>
      <c r="AL129" s="110"/>
    </row>
    <row r="130" spans="2:38" ht="15" customHeight="1" x14ac:dyDescent="0.2">
      <c r="B130" s="110"/>
      <c r="C130" s="110"/>
      <c r="D130" s="110"/>
      <c r="E130" s="110"/>
      <c r="F130" s="110"/>
      <c r="G130" s="110"/>
      <c r="H130" s="110"/>
      <c r="I130" s="110"/>
      <c r="J130" s="110"/>
      <c r="K130" s="110"/>
      <c r="L130" s="110"/>
      <c r="M130" s="110"/>
      <c r="N130" s="110"/>
      <c r="O130" s="110"/>
      <c r="P130" s="110"/>
      <c r="Q130" s="110"/>
      <c r="R130" s="110"/>
      <c r="S130" s="110"/>
      <c r="T130" s="110"/>
      <c r="U130" s="110"/>
      <c r="V130" s="110"/>
      <c r="W130" s="110"/>
      <c r="X130" s="110"/>
      <c r="Y130" s="110"/>
      <c r="Z130" s="110"/>
      <c r="AA130" s="110"/>
      <c r="AB130" s="110"/>
      <c r="AC130" s="110"/>
      <c r="AD130" s="110"/>
      <c r="AE130" s="110"/>
      <c r="AF130" s="110"/>
      <c r="AG130" s="110"/>
      <c r="AH130" s="110"/>
      <c r="AI130" s="110"/>
      <c r="AJ130" s="110"/>
      <c r="AK130" s="110"/>
      <c r="AL130" s="110"/>
    </row>
    <row r="131" spans="2:38" ht="15" customHeight="1" x14ac:dyDescent="0.2">
      <c r="B131" s="110"/>
      <c r="C131" s="110"/>
      <c r="D131" s="110"/>
      <c r="E131" s="110"/>
      <c r="F131" s="110"/>
      <c r="G131" s="110"/>
      <c r="H131" s="110"/>
      <c r="I131" s="110"/>
      <c r="J131" s="110"/>
      <c r="K131" s="110"/>
      <c r="L131" s="110"/>
      <c r="M131" s="110"/>
      <c r="N131" s="110"/>
      <c r="O131" s="110"/>
      <c r="P131" s="110"/>
      <c r="Q131" s="110"/>
      <c r="R131" s="110"/>
      <c r="S131" s="110"/>
      <c r="T131" s="110"/>
      <c r="U131" s="110"/>
      <c r="V131" s="110"/>
      <c r="W131" s="110"/>
      <c r="X131" s="110"/>
      <c r="Y131" s="110"/>
      <c r="Z131" s="110"/>
      <c r="AA131" s="110"/>
      <c r="AB131" s="110"/>
      <c r="AC131" s="110"/>
      <c r="AD131" s="110"/>
      <c r="AE131" s="110"/>
      <c r="AF131" s="110"/>
      <c r="AG131" s="110"/>
      <c r="AH131" s="110"/>
      <c r="AI131" s="110"/>
      <c r="AJ131" s="110"/>
      <c r="AK131" s="110"/>
      <c r="AL131" s="110"/>
    </row>
    <row r="132" spans="2:38" ht="15" customHeight="1" x14ac:dyDescent="0.2">
      <c r="B132" s="110"/>
      <c r="C132" s="110"/>
      <c r="D132" s="110"/>
      <c r="E132" s="110"/>
      <c r="F132" s="110"/>
      <c r="G132" s="110"/>
      <c r="H132" s="110"/>
      <c r="I132" s="110"/>
      <c r="J132" s="110"/>
      <c r="K132" s="110"/>
      <c r="L132" s="110"/>
      <c r="M132" s="110"/>
      <c r="N132" s="110"/>
      <c r="O132" s="110"/>
      <c r="P132" s="110"/>
      <c r="Q132" s="110"/>
      <c r="R132" s="110"/>
      <c r="S132" s="110"/>
      <c r="T132" s="110"/>
      <c r="U132" s="110"/>
      <c r="V132" s="110"/>
      <c r="W132" s="110"/>
      <c r="X132" s="110"/>
      <c r="Y132" s="110"/>
      <c r="Z132" s="110"/>
      <c r="AA132" s="110"/>
      <c r="AB132" s="110"/>
      <c r="AC132" s="110"/>
      <c r="AD132" s="110"/>
      <c r="AE132" s="110"/>
      <c r="AF132" s="110"/>
      <c r="AG132" s="110"/>
      <c r="AH132" s="110"/>
      <c r="AI132" s="110"/>
      <c r="AJ132" s="110"/>
      <c r="AK132" s="110"/>
      <c r="AL132" s="110"/>
    </row>
    <row r="133" spans="2:38" ht="15" customHeight="1" x14ac:dyDescent="0.2">
      <c r="B133" s="110"/>
      <c r="C133" s="110"/>
      <c r="D133" s="110"/>
      <c r="E133" s="110"/>
      <c r="F133" s="110"/>
      <c r="G133" s="110"/>
      <c r="H133" s="110"/>
      <c r="I133" s="110"/>
      <c r="J133" s="110"/>
      <c r="K133" s="110"/>
      <c r="L133" s="110"/>
      <c r="M133" s="110"/>
      <c r="N133" s="110"/>
      <c r="O133" s="110"/>
      <c r="P133" s="110"/>
      <c r="Q133" s="110"/>
      <c r="R133" s="110"/>
      <c r="S133" s="110"/>
      <c r="T133" s="110"/>
      <c r="U133" s="110"/>
      <c r="V133" s="110"/>
      <c r="W133" s="110"/>
      <c r="X133" s="110"/>
      <c r="Y133" s="110"/>
      <c r="Z133" s="110"/>
      <c r="AA133" s="110"/>
      <c r="AB133" s="110"/>
      <c r="AC133" s="110"/>
      <c r="AD133" s="110"/>
      <c r="AE133" s="110"/>
      <c r="AF133" s="110"/>
      <c r="AG133" s="110"/>
      <c r="AH133" s="110"/>
      <c r="AI133" s="110"/>
      <c r="AJ133" s="110"/>
      <c r="AK133" s="110"/>
      <c r="AL133" s="110"/>
    </row>
    <row r="134" spans="2:38" ht="15" customHeight="1" x14ac:dyDescent="0.2">
      <c r="B134" s="110"/>
      <c r="C134" s="110"/>
      <c r="D134" s="110"/>
      <c r="E134" s="110"/>
      <c r="F134" s="110"/>
      <c r="G134" s="110"/>
      <c r="H134" s="110"/>
      <c r="I134" s="110"/>
      <c r="J134" s="110"/>
      <c r="K134" s="110"/>
      <c r="L134" s="110"/>
      <c r="M134" s="110"/>
      <c r="N134" s="110"/>
      <c r="O134" s="110"/>
      <c r="P134" s="110"/>
      <c r="Q134" s="110"/>
      <c r="R134" s="110"/>
      <c r="S134" s="110"/>
      <c r="T134" s="110"/>
      <c r="U134" s="110"/>
      <c r="V134" s="110"/>
      <c r="W134" s="110"/>
      <c r="X134" s="110"/>
      <c r="Y134" s="110"/>
      <c r="Z134" s="110"/>
      <c r="AA134" s="110"/>
      <c r="AB134" s="110"/>
      <c r="AC134" s="110"/>
      <c r="AD134" s="110"/>
      <c r="AE134" s="110"/>
      <c r="AF134" s="110"/>
      <c r="AG134" s="110"/>
      <c r="AH134" s="110"/>
      <c r="AI134" s="110"/>
      <c r="AJ134" s="110"/>
      <c r="AK134" s="110"/>
      <c r="AL134" s="110"/>
    </row>
    <row r="135" spans="2:38" ht="15" customHeight="1" x14ac:dyDescent="0.2">
      <c r="B135" s="110"/>
      <c r="C135" s="110"/>
      <c r="D135" s="110"/>
      <c r="E135" s="110"/>
      <c r="F135" s="110"/>
      <c r="G135" s="110"/>
      <c r="H135" s="110"/>
      <c r="I135" s="110"/>
      <c r="J135" s="110"/>
      <c r="K135" s="110"/>
      <c r="L135" s="110"/>
      <c r="M135" s="110"/>
      <c r="N135" s="110"/>
      <c r="O135" s="110"/>
      <c r="P135" s="110"/>
      <c r="Q135" s="110"/>
      <c r="R135" s="110"/>
      <c r="S135" s="110"/>
      <c r="T135" s="110"/>
      <c r="U135" s="110"/>
      <c r="V135" s="110"/>
      <c r="W135" s="110"/>
      <c r="X135" s="110"/>
      <c r="Y135" s="110"/>
      <c r="Z135" s="110"/>
      <c r="AA135" s="110"/>
      <c r="AB135" s="110"/>
      <c r="AC135" s="110"/>
      <c r="AD135" s="110"/>
      <c r="AE135" s="110"/>
      <c r="AF135" s="110"/>
      <c r="AG135" s="110"/>
      <c r="AH135" s="110"/>
      <c r="AI135" s="110"/>
      <c r="AJ135" s="110"/>
      <c r="AK135" s="110"/>
      <c r="AL135" s="110"/>
    </row>
    <row r="136" spans="2:38" ht="15" customHeight="1" x14ac:dyDescent="0.2">
      <c r="B136" s="110"/>
      <c r="C136" s="110"/>
      <c r="D136" s="110"/>
      <c r="E136" s="110"/>
      <c r="F136" s="110"/>
      <c r="G136" s="110"/>
      <c r="H136" s="110"/>
      <c r="I136" s="110"/>
      <c r="J136" s="110"/>
      <c r="K136" s="110"/>
      <c r="L136" s="110"/>
      <c r="M136" s="110"/>
      <c r="N136" s="110"/>
      <c r="O136" s="110"/>
      <c r="P136" s="110"/>
      <c r="Q136" s="110"/>
      <c r="R136" s="110"/>
      <c r="S136" s="110"/>
      <c r="T136" s="110"/>
      <c r="U136" s="110"/>
      <c r="V136" s="110"/>
      <c r="W136" s="110"/>
      <c r="X136" s="110"/>
      <c r="Y136" s="110"/>
      <c r="Z136" s="110"/>
      <c r="AA136" s="110"/>
      <c r="AB136" s="110"/>
      <c r="AC136" s="110"/>
      <c r="AD136" s="110"/>
      <c r="AE136" s="110"/>
      <c r="AF136" s="110"/>
      <c r="AG136" s="110"/>
      <c r="AH136" s="110"/>
      <c r="AI136" s="110"/>
      <c r="AJ136" s="110"/>
      <c r="AK136" s="110"/>
      <c r="AL136" s="110"/>
    </row>
    <row r="137" spans="2:38" ht="15" customHeight="1" x14ac:dyDescent="0.2">
      <c r="B137" s="110"/>
      <c r="C137" s="110"/>
      <c r="D137" s="110"/>
      <c r="E137" s="110"/>
      <c r="F137" s="110"/>
      <c r="G137" s="110"/>
      <c r="H137" s="110"/>
      <c r="I137" s="110"/>
      <c r="J137" s="110"/>
      <c r="K137" s="110"/>
      <c r="L137" s="110"/>
      <c r="M137" s="110"/>
      <c r="N137" s="110"/>
      <c r="O137" s="110"/>
      <c r="P137" s="110"/>
      <c r="Q137" s="110"/>
      <c r="R137" s="110"/>
      <c r="S137" s="110"/>
      <c r="T137" s="110"/>
      <c r="U137" s="110"/>
      <c r="V137" s="110"/>
      <c r="W137" s="110"/>
      <c r="X137" s="110"/>
      <c r="Y137" s="110"/>
      <c r="Z137" s="110"/>
      <c r="AA137" s="110"/>
      <c r="AB137" s="110"/>
      <c r="AC137" s="110"/>
      <c r="AD137" s="110"/>
      <c r="AE137" s="110"/>
      <c r="AF137" s="110"/>
      <c r="AG137" s="110"/>
      <c r="AH137" s="110"/>
      <c r="AI137" s="110"/>
      <c r="AJ137" s="110"/>
      <c r="AK137" s="110"/>
      <c r="AL137" s="110"/>
    </row>
    <row r="138" spans="2:38" ht="15" customHeight="1" x14ac:dyDescent="0.2">
      <c r="B138" s="110"/>
      <c r="C138" s="110"/>
      <c r="D138" s="110"/>
      <c r="E138" s="110"/>
      <c r="F138" s="110"/>
      <c r="G138" s="110"/>
      <c r="H138" s="110"/>
      <c r="I138" s="110"/>
      <c r="J138" s="110"/>
      <c r="K138" s="110"/>
      <c r="L138" s="110"/>
      <c r="M138" s="110"/>
      <c r="N138" s="110"/>
      <c r="O138" s="110"/>
      <c r="P138" s="110"/>
      <c r="Q138" s="110"/>
      <c r="R138" s="110"/>
      <c r="S138" s="110"/>
      <c r="T138" s="110"/>
      <c r="U138" s="110"/>
      <c r="V138" s="110"/>
      <c r="W138" s="110"/>
      <c r="X138" s="110"/>
      <c r="Y138" s="110"/>
      <c r="Z138" s="110"/>
      <c r="AA138" s="110"/>
      <c r="AB138" s="110"/>
      <c r="AC138" s="110"/>
      <c r="AD138" s="110"/>
      <c r="AE138" s="110"/>
      <c r="AF138" s="110"/>
      <c r="AG138" s="110"/>
      <c r="AH138" s="110"/>
      <c r="AI138" s="110"/>
      <c r="AJ138" s="110"/>
      <c r="AK138" s="110"/>
      <c r="AL138" s="110"/>
    </row>
    <row r="139" spans="2:38" ht="15" customHeight="1" x14ac:dyDescent="0.2">
      <c r="B139" s="110"/>
      <c r="C139" s="110"/>
      <c r="D139" s="110"/>
      <c r="E139" s="110"/>
      <c r="F139" s="110"/>
      <c r="G139" s="110"/>
      <c r="H139" s="110"/>
      <c r="I139" s="110"/>
      <c r="J139" s="110"/>
      <c r="K139" s="110"/>
      <c r="L139" s="110"/>
      <c r="M139" s="110"/>
      <c r="N139" s="110"/>
      <c r="O139" s="110"/>
      <c r="P139" s="110"/>
      <c r="Q139" s="110"/>
      <c r="R139" s="110"/>
      <c r="S139" s="110"/>
      <c r="T139" s="110"/>
      <c r="U139" s="110"/>
      <c r="V139" s="110"/>
      <c r="W139" s="110"/>
      <c r="X139" s="110"/>
      <c r="Y139" s="110"/>
      <c r="Z139" s="110"/>
      <c r="AA139" s="110"/>
      <c r="AB139" s="110"/>
      <c r="AC139" s="110"/>
      <c r="AD139" s="110"/>
      <c r="AE139" s="110"/>
      <c r="AF139" s="110"/>
      <c r="AG139" s="110"/>
      <c r="AH139" s="110"/>
      <c r="AI139" s="110"/>
      <c r="AJ139" s="110"/>
      <c r="AK139" s="110"/>
      <c r="AL139" s="110"/>
    </row>
    <row r="140" spans="2:38" ht="15" customHeight="1" x14ac:dyDescent="0.2">
      <c r="B140" s="110"/>
      <c r="C140" s="110"/>
      <c r="D140" s="110"/>
      <c r="E140" s="110"/>
      <c r="F140" s="110"/>
      <c r="G140" s="110"/>
      <c r="H140" s="110"/>
      <c r="I140" s="110"/>
      <c r="J140" s="110"/>
      <c r="K140" s="110"/>
      <c r="L140" s="110"/>
      <c r="M140" s="110"/>
      <c r="N140" s="110"/>
      <c r="O140" s="110"/>
      <c r="P140" s="110"/>
      <c r="Q140" s="110"/>
      <c r="R140" s="110"/>
      <c r="S140" s="110"/>
      <c r="T140" s="110"/>
      <c r="U140" s="110"/>
      <c r="V140" s="110"/>
      <c r="W140" s="110"/>
      <c r="X140" s="110"/>
      <c r="Y140" s="110"/>
      <c r="Z140" s="110"/>
      <c r="AA140" s="110"/>
      <c r="AB140" s="110"/>
      <c r="AC140" s="110"/>
      <c r="AD140" s="110"/>
      <c r="AE140" s="110"/>
      <c r="AF140" s="110"/>
      <c r="AG140" s="110"/>
      <c r="AH140" s="110"/>
      <c r="AI140" s="110"/>
      <c r="AJ140" s="110"/>
      <c r="AK140" s="110"/>
      <c r="AL140" s="110"/>
    </row>
    <row r="141" spans="2:38" ht="15" customHeight="1" x14ac:dyDescent="0.2">
      <c r="B141" s="110"/>
      <c r="C141" s="110"/>
      <c r="D141" s="110"/>
      <c r="E141" s="110"/>
      <c r="F141" s="110"/>
      <c r="G141" s="110"/>
      <c r="H141" s="110"/>
      <c r="I141" s="110"/>
      <c r="J141" s="110"/>
      <c r="K141" s="110"/>
      <c r="L141" s="110"/>
      <c r="M141" s="110"/>
      <c r="N141" s="110"/>
      <c r="O141" s="110"/>
      <c r="P141" s="110"/>
      <c r="Q141" s="110"/>
      <c r="R141" s="110"/>
      <c r="S141" s="110"/>
      <c r="T141" s="110"/>
      <c r="U141" s="110"/>
      <c r="V141" s="110"/>
      <c r="W141" s="110"/>
      <c r="X141" s="110"/>
      <c r="Y141" s="110"/>
      <c r="Z141" s="110"/>
      <c r="AA141" s="110"/>
      <c r="AB141" s="110"/>
      <c r="AC141" s="110"/>
      <c r="AD141" s="110"/>
      <c r="AE141" s="110"/>
      <c r="AF141" s="110"/>
      <c r="AG141" s="110"/>
      <c r="AH141" s="110"/>
      <c r="AI141" s="110"/>
      <c r="AJ141" s="110"/>
      <c r="AK141" s="110"/>
      <c r="AL141" s="110"/>
    </row>
    <row r="142" spans="2:38" ht="15" customHeight="1" x14ac:dyDescent="0.2">
      <c r="B142" s="110"/>
      <c r="C142" s="110"/>
      <c r="D142" s="110"/>
      <c r="E142" s="110"/>
      <c r="F142" s="110"/>
      <c r="G142" s="110"/>
      <c r="H142" s="110"/>
      <c r="I142" s="110"/>
      <c r="J142" s="110"/>
      <c r="K142" s="110"/>
      <c r="L142" s="110"/>
      <c r="M142" s="110"/>
      <c r="N142" s="110"/>
      <c r="O142" s="110"/>
      <c r="P142" s="110"/>
      <c r="Q142" s="110"/>
      <c r="R142" s="110"/>
      <c r="S142" s="110"/>
      <c r="T142" s="110"/>
      <c r="U142" s="110"/>
      <c r="V142" s="110"/>
      <c r="W142" s="110"/>
      <c r="X142" s="110"/>
      <c r="Y142" s="110"/>
      <c r="Z142" s="110"/>
      <c r="AA142" s="110"/>
      <c r="AB142" s="110"/>
      <c r="AC142" s="110"/>
      <c r="AD142" s="110"/>
      <c r="AE142" s="110"/>
      <c r="AF142" s="110"/>
      <c r="AG142" s="110"/>
      <c r="AH142" s="110"/>
      <c r="AI142" s="110"/>
      <c r="AJ142" s="110"/>
      <c r="AK142" s="110"/>
      <c r="AL142" s="110"/>
    </row>
    <row r="143" spans="2:38" ht="15" customHeight="1" x14ac:dyDescent="0.2">
      <c r="B143" s="110"/>
      <c r="C143" s="110"/>
      <c r="D143" s="110"/>
      <c r="E143" s="110"/>
      <c r="F143" s="110"/>
      <c r="G143" s="110"/>
      <c r="H143" s="110"/>
      <c r="I143" s="110"/>
      <c r="J143" s="110"/>
      <c r="K143" s="110"/>
      <c r="L143" s="110"/>
      <c r="M143" s="110"/>
      <c r="N143" s="110"/>
      <c r="O143" s="110"/>
      <c r="P143" s="110"/>
      <c r="Q143" s="110"/>
      <c r="R143" s="110"/>
      <c r="S143" s="110"/>
      <c r="T143" s="110"/>
      <c r="U143" s="110"/>
      <c r="V143" s="110"/>
      <c r="W143" s="110"/>
      <c r="X143" s="110"/>
      <c r="Y143" s="110"/>
      <c r="Z143" s="110"/>
      <c r="AA143" s="110"/>
      <c r="AB143" s="110"/>
      <c r="AC143" s="110"/>
      <c r="AD143" s="110"/>
      <c r="AE143" s="110"/>
      <c r="AF143" s="110"/>
      <c r="AG143" s="110"/>
      <c r="AH143" s="110"/>
      <c r="AI143" s="110"/>
      <c r="AJ143" s="110"/>
      <c r="AK143" s="110"/>
      <c r="AL143" s="110"/>
    </row>
    <row r="144" spans="2:38" ht="15" customHeight="1" x14ac:dyDescent="0.2">
      <c r="B144" s="110"/>
      <c r="C144" s="110"/>
      <c r="D144" s="110"/>
      <c r="E144" s="110"/>
      <c r="F144" s="110"/>
      <c r="G144" s="110"/>
      <c r="H144" s="110"/>
      <c r="I144" s="110"/>
      <c r="J144" s="110"/>
      <c r="K144" s="110"/>
      <c r="L144" s="110"/>
      <c r="M144" s="110"/>
      <c r="N144" s="110"/>
      <c r="O144" s="110"/>
      <c r="P144" s="110"/>
      <c r="Q144" s="110"/>
      <c r="R144" s="110"/>
      <c r="S144" s="110"/>
      <c r="T144" s="110"/>
      <c r="U144" s="110"/>
      <c r="V144" s="110"/>
      <c r="W144" s="110"/>
      <c r="X144" s="110"/>
      <c r="Y144" s="110"/>
      <c r="Z144" s="110"/>
      <c r="AA144" s="110"/>
      <c r="AB144" s="110"/>
      <c r="AC144" s="110"/>
      <c r="AD144" s="110"/>
      <c r="AE144" s="110"/>
      <c r="AF144" s="110"/>
      <c r="AG144" s="110"/>
      <c r="AH144" s="110"/>
      <c r="AI144" s="110"/>
      <c r="AJ144" s="110"/>
      <c r="AK144" s="110"/>
      <c r="AL144" s="110"/>
    </row>
    <row r="145" spans="2:38" ht="15" customHeight="1" x14ac:dyDescent="0.2">
      <c r="B145" s="110"/>
      <c r="C145" s="110"/>
      <c r="D145" s="110"/>
      <c r="E145" s="110"/>
      <c r="F145" s="110"/>
      <c r="G145" s="110"/>
      <c r="H145" s="110"/>
      <c r="I145" s="110"/>
      <c r="J145" s="110"/>
      <c r="K145" s="110"/>
      <c r="L145" s="110"/>
      <c r="M145" s="110"/>
      <c r="N145" s="110"/>
      <c r="O145" s="110"/>
      <c r="P145" s="110"/>
      <c r="Q145" s="110"/>
      <c r="R145" s="110"/>
      <c r="S145" s="110"/>
      <c r="T145" s="110"/>
      <c r="U145" s="110"/>
      <c r="V145" s="110"/>
      <c r="W145" s="110"/>
      <c r="X145" s="110"/>
      <c r="Y145" s="110"/>
      <c r="Z145" s="110"/>
      <c r="AA145" s="110"/>
      <c r="AB145" s="110"/>
      <c r="AC145" s="110"/>
      <c r="AD145" s="110"/>
      <c r="AE145" s="110"/>
      <c r="AF145" s="110"/>
      <c r="AG145" s="110"/>
      <c r="AH145" s="110"/>
      <c r="AI145" s="110"/>
      <c r="AJ145" s="110"/>
      <c r="AK145" s="110"/>
      <c r="AL145" s="110"/>
    </row>
    <row r="146" spans="2:38" ht="15" customHeight="1" x14ac:dyDescent="0.2">
      <c r="B146" s="110"/>
      <c r="C146" s="110"/>
      <c r="D146" s="110"/>
      <c r="E146" s="110"/>
      <c r="F146" s="110"/>
      <c r="G146" s="110"/>
      <c r="H146" s="110"/>
      <c r="I146" s="110"/>
      <c r="J146" s="110"/>
      <c r="K146" s="110"/>
      <c r="L146" s="110"/>
      <c r="M146" s="110"/>
      <c r="N146" s="110"/>
      <c r="O146" s="110"/>
      <c r="P146" s="110"/>
      <c r="Q146" s="110"/>
      <c r="R146" s="110"/>
      <c r="S146" s="110"/>
      <c r="T146" s="110"/>
      <c r="U146" s="110"/>
      <c r="V146" s="110"/>
      <c r="W146" s="110"/>
      <c r="X146" s="110"/>
      <c r="Y146" s="110"/>
      <c r="Z146" s="110"/>
      <c r="AA146" s="110"/>
      <c r="AB146" s="110"/>
      <c r="AC146" s="110"/>
      <c r="AD146" s="110"/>
      <c r="AE146" s="110"/>
      <c r="AF146" s="110"/>
      <c r="AG146" s="110"/>
      <c r="AH146" s="110"/>
      <c r="AI146" s="110"/>
      <c r="AJ146" s="110"/>
      <c r="AK146" s="110"/>
      <c r="AL146" s="110"/>
    </row>
    <row r="147" spans="2:38" ht="15" customHeight="1" x14ac:dyDescent="0.2">
      <c r="B147" s="110"/>
      <c r="C147" s="110"/>
      <c r="D147" s="110"/>
      <c r="E147" s="110"/>
      <c r="F147" s="110"/>
      <c r="G147" s="110"/>
      <c r="H147" s="110"/>
      <c r="I147" s="110"/>
      <c r="J147" s="110"/>
      <c r="K147" s="110"/>
      <c r="L147" s="110"/>
      <c r="M147" s="110"/>
      <c r="N147" s="110"/>
      <c r="O147" s="110"/>
      <c r="P147" s="110"/>
      <c r="Q147" s="110"/>
      <c r="R147" s="110"/>
      <c r="S147" s="110"/>
      <c r="T147" s="110"/>
      <c r="U147" s="110"/>
      <c r="V147" s="110"/>
      <c r="W147" s="110"/>
      <c r="X147" s="110"/>
      <c r="Y147" s="110"/>
      <c r="Z147" s="110"/>
      <c r="AA147" s="110"/>
      <c r="AB147" s="110"/>
      <c r="AC147" s="110"/>
      <c r="AD147" s="110"/>
      <c r="AE147" s="110"/>
      <c r="AF147" s="110"/>
      <c r="AG147" s="110"/>
      <c r="AH147" s="110"/>
      <c r="AI147" s="110"/>
      <c r="AJ147" s="110"/>
      <c r="AK147" s="110"/>
      <c r="AL147" s="110"/>
    </row>
    <row r="148" spans="2:38" ht="15" customHeight="1" x14ac:dyDescent="0.2">
      <c r="B148" s="110"/>
      <c r="C148" s="110"/>
      <c r="D148" s="110"/>
      <c r="E148" s="110"/>
      <c r="F148" s="110"/>
      <c r="G148" s="110"/>
      <c r="H148" s="110"/>
      <c r="I148" s="110"/>
      <c r="J148" s="110"/>
      <c r="K148" s="110"/>
      <c r="L148" s="110"/>
      <c r="M148" s="110"/>
      <c r="N148" s="110"/>
      <c r="O148" s="110"/>
      <c r="P148" s="110"/>
      <c r="Q148" s="110"/>
      <c r="R148" s="110"/>
      <c r="S148" s="110"/>
      <c r="T148" s="110"/>
      <c r="U148" s="110"/>
      <c r="V148" s="110"/>
      <c r="W148" s="110"/>
      <c r="X148" s="110"/>
      <c r="Y148" s="110"/>
      <c r="Z148" s="110"/>
      <c r="AA148" s="110"/>
      <c r="AB148" s="110"/>
      <c r="AC148" s="110"/>
      <c r="AD148" s="110"/>
      <c r="AE148" s="110"/>
      <c r="AF148" s="110"/>
      <c r="AG148" s="110"/>
      <c r="AH148" s="110"/>
      <c r="AI148" s="110"/>
      <c r="AJ148" s="110"/>
      <c r="AK148" s="110"/>
      <c r="AL148" s="110"/>
    </row>
    <row r="149" spans="2:38" ht="15" customHeight="1" x14ac:dyDescent="0.2">
      <c r="B149" s="110"/>
      <c r="C149" s="110"/>
      <c r="D149" s="110"/>
      <c r="E149" s="110"/>
      <c r="F149" s="110"/>
      <c r="G149" s="110"/>
      <c r="H149" s="110"/>
      <c r="I149" s="110"/>
      <c r="J149" s="110"/>
      <c r="K149" s="110"/>
      <c r="L149" s="110"/>
      <c r="M149" s="110"/>
      <c r="N149" s="110"/>
      <c r="O149" s="110"/>
      <c r="P149" s="110"/>
      <c r="Q149" s="110"/>
      <c r="R149" s="110"/>
      <c r="S149" s="110"/>
      <c r="T149" s="110"/>
      <c r="U149" s="110"/>
      <c r="V149" s="110"/>
      <c r="W149" s="110"/>
      <c r="X149" s="110"/>
      <c r="Y149" s="110"/>
      <c r="Z149" s="110"/>
      <c r="AA149" s="110"/>
      <c r="AB149" s="110"/>
      <c r="AC149" s="110"/>
      <c r="AD149" s="110"/>
      <c r="AE149" s="110"/>
      <c r="AF149" s="110"/>
      <c r="AG149" s="110"/>
      <c r="AH149" s="110"/>
      <c r="AI149" s="110"/>
      <c r="AJ149" s="110"/>
      <c r="AK149" s="110"/>
      <c r="AL149" s="110"/>
    </row>
    <row r="150" spans="2:38" ht="15" customHeight="1" x14ac:dyDescent="0.2">
      <c r="B150" s="110"/>
      <c r="C150" s="110"/>
      <c r="D150" s="110"/>
      <c r="E150" s="110"/>
      <c r="F150" s="110"/>
      <c r="G150" s="110"/>
      <c r="H150" s="110"/>
      <c r="I150" s="110"/>
      <c r="J150" s="110"/>
      <c r="K150" s="110"/>
      <c r="L150" s="110"/>
      <c r="M150" s="110"/>
      <c r="N150" s="110"/>
      <c r="O150" s="110"/>
      <c r="P150" s="110"/>
      <c r="Q150" s="110"/>
      <c r="R150" s="110"/>
      <c r="S150" s="110"/>
      <c r="T150" s="110"/>
      <c r="U150" s="110"/>
      <c r="V150" s="110"/>
      <c r="W150" s="110"/>
      <c r="X150" s="110"/>
      <c r="Y150" s="110"/>
      <c r="Z150" s="110"/>
      <c r="AA150" s="110"/>
      <c r="AB150" s="110"/>
      <c r="AC150" s="110"/>
      <c r="AD150" s="110"/>
      <c r="AE150" s="110"/>
      <c r="AF150" s="110"/>
      <c r="AG150" s="110"/>
      <c r="AH150" s="110"/>
      <c r="AI150" s="110"/>
      <c r="AJ150" s="110"/>
      <c r="AK150" s="110"/>
      <c r="AL150" s="110"/>
    </row>
    <row r="151" spans="2:38" ht="15" customHeight="1" x14ac:dyDescent="0.2">
      <c r="B151" s="110"/>
      <c r="C151" s="110"/>
      <c r="D151" s="110"/>
      <c r="E151" s="110"/>
      <c r="F151" s="110"/>
      <c r="G151" s="110"/>
      <c r="H151" s="110"/>
      <c r="I151" s="110"/>
      <c r="J151" s="110"/>
      <c r="K151" s="110"/>
      <c r="L151" s="110"/>
      <c r="M151" s="110"/>
      <c r="N151" s="110"/>
      <c r="O151" s="110"/>
      <c r="P151" s="110"/>
      <c r="Q151" s="110"/>
      <c r="R151" s="110"/>
      <c r="S151" s="110"/>
      <c r="T151" s="110"/>
      <c r="U151" s="110"/>
      <c r="V151" s="110"/>
      <c r="W151" s="110"/>
      <c r="X151" s="110"/>
      <c r="Y151" s="110"/>
      <c r="Z151" s="110"/>
      <c r="AA151" s="110"/>
      <c r="AB151" s="110"/>
      <c r="AC151" s="110"/>
      <c r="AD151" s="110"/>
      <c r="AE151" s="110"/>
      <c r="AF151" s="110"/>
      <c r="AG151" s="110"/>
      <c r="AH151" s="110"/>
      <c r="AI151" s="110"/>
      <c r="AJ151" s="110"/>
      <c r="AK151" s="110"/>
      <c r="AL151" s="110"/>
    </row>
    <row r="152" spans="2:38" ht="15" customHeight="1" x14ac:dyDescent="0.2">
      <c r="B152" s="110"/>
      <c r="C152" s="110"/>
      <c r="D152" s="110"/>
      <c r="E152" s="110"/>
      <c r="F152" s="110"/>
      <c r="G152" s="110"/>
      <c r="H152" s="110"/>
      <c r="I152" s="110"/>
      <c r="J152" s="110"/>
      <c r="K152" s="110"/>
      <c r="L152" s="110"/>
      <c r="M152" s="110"/>
      <c r="N152" s="110"/>
      <c r="O152" s="110"/>
      <c r="P152" s="110"/>
      <c r="Q152" s="110"/>
      <c r="R152" s="110"/>
      <c r="S152" s="110"/>
      <c r="T152" s="110"/>
      <c r="U152" s="110"/>
      <c r="V152" s="110"/>
      <c r="W152" s="110"/>
      <c r="X152" s="110"/>
      <c r="Y152" s="110"/>
      <c r="Z152" s="110"/>
      <c r="AA152" s="110"/>
      <c r="AB152" s="110"/>
      <c r="AC152" s="110"/>
      <c r="AD152" s="110"/>
      <c r="AE152" s="110"/>
      <c r="AF152" s="110"/>
      <c r="AG152" s="110"/>
      <c r="AH152" s="110"/>
      <c r="AI152" s="110"/>
      <c r="AJ152" s="110"/>
      <c r="AK152" s="110"/>
      <c r="AL152" s="110"/>
    </row>
    <row r="153" spans="2:38" ht="15" customHeight="1" x14ac:dyDescent="0.2">
      <c r="B153" s="110"/>
      <c r="C153" s="110"/>
      <c r="D153" s="110"/>
      <c r="E153" s="110"/>
      <c r="F153" s="110"/>
      <c r="G153" s="110"/>
      <c r="H153" s="110"/>
      <c r="I153" s="110"/>
      <c r="J153" s="110"/>
      <c r="K153" s="110"/>
      <c r="L153" s="110"/>
      <c r="M153" s="110"/>
      <c r="N153" s="110"/>
      <c r="O153" s="110"/>
      <c r="P153" s="110"/>
      <c r="Q153" s="110"/>
      <c r="R153" s="110"/>
      <c r="S153" s="110"/>
      <c r="T153" s="110"/>
      <c r="U153" s="110"/>
      <c r="V153" s="110"/>
      <c r="W153" s="110"/>
      <c r="X153" s="110"/>
      <c r="Y153" s="110"/>
      <c r="Z153" s="110"/>
      <c r="AA153" s="110"/>
      <c r="AB153" s="110"/>
      <c r="AC153" s="110"/>
      <c r="AD153" s="110"/>
      <c r="AE153" s="110"/>
      <c r="AF153" s="110"/>
      <c r="AG153" s="110"/>
      <c r="AH153" s="110"/>
      <c r="AI153" s="110"/>
      <c r="AJ153" s="110"/>
      <c r="AK153" s="110"/>
      <c r="AL153" s="110"/>
    </row>
    <row r="154" spans="2:38" ht="15" customHeight="1" x14ac:dyDescent="0.2">
      <c r="B154" s="110"/>
      <c r="C154" s="110"/>
      <c r="D154" s="110"/>
      <c r="E154" s="110"/>
      <c r="F154" s="110"/>
      <c r="G154" s="110"/>
      <c r="H154" s="110"/>
      <c r="I154" s="110"/>
      <c r="J154" s="110"/>
      <c r="K154" s="110"/>
      <c r="L154" s="110"/>
      <c r="M154" s="110"/>
      <c r="N154" s="110"/>
      <c r="O154" s="110"/>
      <c r="P154" s="110"/>
      <c r="Q154" s="110"/>
      <c r="R154" s="110"/>
      <c r="S154" s="110"/>
      <c r="T154" s="110"/>
      <c r="U154" s="110"/>
      <c r="V154" s="110"/>
      <c r="W154" s="110"/>
      <c r="X154" s="110"/>
      <c r="Y154" s="110"/>
      <c r="Z154" s="110"/>
      <c r="AA154" s="110"/>
      <c r="AB154" s="110"/>
      <c r="AC154" s="110"/>
      <c r="AD154" s="110"/>
      <c r="AE154" s="110"/>
      <c r="AF154" s="110"/>
      <c r="AG154" s="110"/>
      <c r="AH154" s="110"/>
      <c r="AI154" s="110"/>
      <c r="AJ154" s="110"/>
      <c r="AK154" s="110"/>
      <c r="AL154" s="110"/>
    </row>
    <row r="155" spans="2:38" ht="15" customHeight="1" x14ac:dyDescent="0.2">
      <c r="B155" s="110"/>
      <c r="C155" s="110"/>
      <c r="D155" s="110"/>
      <c r="E155" s="110"/>
      <c r="F155" s="110"/>
      <c r="G155" s="110"/>
      <c r="H155" s="110"/>
      <c r="I155" s="110"/>
      <c r="J155" s="110"/>
      <c r="K155" s="110"/>
      <c r="L155" s="110"/>
      <c r="M155" s="110"/>
      <c r="N155" s="110"/>
      <c r="O155" s="110"/>
      <c r="P155" s="110"/>
      <c r="Q155" s="110"/>
      <c r="R155" s="110"/>
      <c r="S155" s="110"/>
      <c r="T155" s="110"/>
      <c r="U155" s="110"/>
      <c r="V155" s="110"/>
      <c r="W155" s="110"/>
      <c r="X155" s="110"/>
      <c r="Y155" s="110"/>
      <c r="Z155" s="110"/>
      <c r="AA155" s="110"/>
      <c r="AB155" s="110"/>
      <c r="AC155" s="110"/>
      <c r="AD155" s="110"/>
      <c r="AE155" s="110"/>
      <c r="AF155" s="110"/>
      <c r="AG155" s="110"/>
      <c r="AH155" s="110"/>
      <c r="AI155" s="110"/>
      <c r="AJ155" s="110"/>
      <c r="AK155" s="110"/>
      <c r="AL155" s="110"/>
    </row>
    <row r="156" spans="2:38" ht="15" customHeight="1" x14ac:dyDescent="0.2">
      <c r="B156" s="110"/>
      <c r="C156" s="110"/>
      <c r="D156" s="110"/>
      <c r="E156" s="110"/>
      <c r="F156" s="110"/>
      <c r="G156" s="110"/>
      <c r="H156" s="110"/>
      <c r="I156" s="110"/>
      <c r="J156" s="110"/>
      <c r="K156" s="110"/>
      <c r="L156" s="110"/>
      <c r="M156" s="110"/>
      <c r="N156" s="110"/>
      <c r="O156" s="110"/>
      <c r="P156" s="110"/>
      <c r="Q156" s="110"/>
      <c r="R156" s="110"/>
      <c r="S156" s="110"/>
      <c r="T156" s="110"/>
      <c r="U156" s="110"/>
      <c r="V156" s="110"/>
      <c r="W156" s="110"/>
      <c r="X156" s="110"/>
      <c r="Y156" s="110"/>
      <c r="Z156" s="110"/>
      <c r="AA156" s="110"/>
      <c r="AB156" s="110"/>
      <c r="AC156" s="110"/>
      <c r="AD156" s="110"/>
      <c r="AE156" s="110"/>
      <c r="AF156" s="110"/>
      <c r="AG156" s="110"/>
      <c r="AH156" s="110"/>
      <c r="AI156" s="110"/>
      <c r="AJ156" s="110"/>
      <c r="AK156" s="110"/>
      <c r="AL156" s="110"/>
    </row>
    <row r="157" spans="2:38" ht="15" customHeight="1" x14ac:dyDescent="0.2">
      <c r="B157" s="110"/>
      <c r="C157" s="110"/>
      <c r="D157" s="110"/>
      <c r="E157" s="110"/>
      <c r="F157" s="110"/>
      <c r="G157" s="110"/>
      <c r="H157" s="110"/>
      <c r="I157" s="110"/>
      <c r="J157" s="110"/>
      <c r="K157" s="110"/>
      <c r="L157" s="110"/>
      <c r="M157" s="110"/>
      <c r="N157" s="110"/>
      <c r="O157" s="110"/>
      <c r="P157" s="110"/>
      <c r="Q157" s="110"/>
      <c r="R157" s="110"/>
      <c r="S157" s="110"/>
      <c r="T157" s="110"/>
      <c r="U157" s="110"/>
      <c r="V157" s="110"/>
      <c r="W157" s="110"/>
      <c r="X157" s="110"/>
      <c r="Y157" s="110"/>
      <c r="Z157" s="110"/>
      <c r="AA157" s="110"/>
      <c r="AB157" s="110"/>
      <c r="AC157" s="110"/>
      <c r="AD157" s="110"/>
      <c r="AE157" s="110"/>
      <c r="AF157" s="110"/>
      <c r="AG157" s="110"/>
      <c r="AH157" s="110"/>
      <c r="AI157" s="110"/>
      <c r="AJ157" s="110"/>
      <c r="AK157" s="110"/>
      <c r="AL157" s="110"/>
    </row>
    <row r="158" spans="2:38" ht="15" customHeight="1" x14ac:dyDescent="0.2">
      <c r="B158" s="110"/>
      <c r="C158" s="110"/>
      <c r="D158" s="110"/>
      <c r="E158" s="110"/>
      <c r="F158" s="110"/>
      <c r="G158" s="110"/>
      <c r="H158" s="110"/>
      <c r="I158" s="110"/>
      <c r="J158" s="110"/>
      <c r="K158" s="110"/>
      <c r="L158" s="110"/>
      <c r="M158" s="110"/>
      <c r="N158" s="110"/>
      <c r="O158" s="110"/>
      <c r="P158" s="110"/>
      <c r="Q158" s="110"/>
      <c r="R158" s="110"/>
      <c r="S158" s="110"/>
      <c r="T158" s="110"/>
      <c r="U158" s="110"/>
      <c r="V158" s="110"/>
      <c r="W158" s="110"/>
      <c r="X158" s="110"/>
      <c r="Y158" s="110"/>
      <c r="Z158" s="110"/>
      <c r="AA158" s="110"/>
      <c r="AB158" s="110"/>
      <c r="AC158" s="110"/>
      <c r="AD158" s="110"/>
      <c r="AE158" s="110"/>
      <c r="AF158" s="110"/>
      <c r="AG158" s="110"/>
      <c r="AH158" s="110"/>
      <c r="AI158" s="110"/>
      <c r="AJ158" s="110"/>
      <c r="AK158" s="110"/>
      <c r="AL158" s="110"/>
    </row>
    <row r="159" spans="2:38" ht="15" customHeight="1" x14ac:dyDescent="0.2">
      <c r="B159" s="110"/>
      <c r="C159" s="110"/>
      <c r="D159" s="110"/>
      <c r="E159" s="110"/>
      <c r="F159" s="110"/>
      <c r="G159" s="110"/>
      <c r="H159" s="110"/>
      <c r="I159" s="110"/>
      <c r="J159" s="110"/>
      <c r="K159" s="110"/>
      <c r="L159" s="110"/>
      <c r="M159" s="110"/>
      <c r="N159" s="110"/>
      <c r="O159" s="110"/>
      <c r="P159" s="110"/>
      <c r="Q159" s="110"/>
      <c r="R159" s="110"/>
      <c r="S159" s="110"/>
      <c r="T159" s="110"/>
      <c r="U159" s="110"/>
      <c r="V159" s="110"/>
      <c r="W159" s="110"/>
      <c r="X159" s="110"/>
      <c r="Y159" s="110"/>
      <c r="Z159" s="110"/>
      <c r="AA159" s="110"/>
      <c r="AB159" s="110"/>
      <c r="AC159" s="110"/>
      <c r="AD159" s="110"/>
      <c r="AE159" s="110"/>
      <c r="AF159" s="110"/>
      <c r="AG159" s="110"/>
      <c r="AH159" s="110"/>
      <c r="AI159" s="110"/>
      <c r="AJ159" s="110"/>
      <c r="AK159" s="110"/>
      <c r="AL159" s="110"/>
    </row>
    <row r="160" spans="2:38" ht="15" customHeight="1" x14ac:dyDescent="0.2">
      <c r="B160" s="110"/>
      <c r="C160" s="110"/>
      <c r="D160" s="110"/>
      <c r="E160" s="110"/>
      <c r="F160" s="110"/>
      <c r="G160" s="110"/>
      <c r="H160" s="110"/>
      <c r="I160" s="110"/>
      <c r="J160" s="110"/>
      <c r="K160" s="110"/>
      <c r="L160" s="110"/>
      <c r="M160" s="110"/>
      <c r="N160" s="110"/>
      <c r="O160" s="110"/>
      <c r="P160" s="110"/>
      <c r="Q160" s="110"/>
      <c r="R160" s="110"/>
      <c r="S160" s="110"/>
      <c r="T160" s="110"/>
      <c r="U160" s="110"/>
      <c r="V160" s="110"/>
      <c r="W160" s="110"/>
      <c r="X160" s="110"/>
      <c r="Y160" s="110"/>
      <c r="Z160" s="110"/>
      <c r="AA160" s="110"/>
      <c r="AB160" s="110"/>
      <c r="AC160" s="110"/>
      <c r="AD160" s="110"/>
      <c r="AE160" s="110"/>
      <c r="AF160" s="110"/>
      <c r="AG160" s="110"/>
      <c r="AH160" s="110"/>
      <c r="AI160" s="110"/>
      <c r="AJ160" s="110"/>
      <c r="AK160" s="110"/>
      <c r="AL160" s="110"/>
    </row>
    <row r="161" spans="2:38" ht="15" customHeight="1" x14ac:dyDescent="0.2">
      <c r="B161" s="110"/>
      <c r="C161" s="110"/>
      <c r="D161" s="110"/>
      <c r="E161" s="110"/>
      <c r="F161" s="110"/>
      <c r="G161" s="110"/>
      <c r="H161" s="110"/>
      <c r="I161" s="110"/>
      <c r="J161" s="110"/>
      <c r="K161" s="110"/>
      <c r="L161" s="110"/>
      <c r="M161" s="110"/>
      <c r="N161" s="110"/>
      <c r="O161" s="110"/>
      <c r="P161" s="110"/>
      <c r="Q161" s="110"/>
      <c r="R161" s="110"/>
      <c r="S161" s="110"/>
      <c r="T161" s="110"/>
      <c r="U161" s="110"/>
      <c r="V161" s="110"/>
      <c r="W161" s="110"/>
      <c r="X161" s="110"/>
      <c r="Y161" s="110"/>
      <c r="Z161" s="110"/>
      <c r="AA161" s="110"/>
      <c r="AB161" s="110"/>
      <c r="AC161" s="110"/>
      <c r="AD161" s="110"/>
      <c r="AE161" s="110"/>
      <c r="AF161" s="110"/>
      <c r="AG161" s="110"/>
      <c r="AH161" s="110"/>
      <c r="AI161" s="110"/>
      <c r="AJ161" s="110"/>
      <c r="AK161" s="110"/>
      <c r="AL161" s="110"/>
    </row>
    <row r="162" spans="2:38" ht="15" customHeight="1" x14ac:dyDescent="0.2">
      <c r="B162" s="110"/>
      <c r="C162" s="110"/>
      <c r="D162" s="110"/>
      <c r="E162" s="110"/>
      <c r="F162" s="110"/>
      <c r="G162" s="110"/>
      <c r="H162" s="110"/>
      <c r="I162" s="110"/>
      <c r="J162" s="110"/>
      <c r="K162" s="110"/>
      <c r="L162" s="110"/>
      <c r="M162" s="110"/>
      <c r="N162" s="110"/>
      <c r="O162" s="110"/>
      <c r="P162" s="110"/>
      <c r="Q162" s="110"/>
      <c r="R162" s="110"/>
      <c r="S162" s="110"/>
      <c r="T162" s="110"/>
      <c r="U162" s="110"/>
      <c r="V162" s="110"/>
      <c r="W162" s="110"/>
      <c r="X162" s="110"/>
      <c r="Y162" s="110"/>
      <c r="Z162" s="110"/>
      <c r="AA162" s="110"/>
      <c r="AB162" s="110"/>
      <c r="AC162" s="110"/>
      <c r="AD162" s="110"/>
      <c r="AE162" s="110"/>
      <c r="AF162" s="110"/>
      <c r="AG162" s="110"/>
      <c r="AH162" s="110"/>
      <c r="AI162" s="110"/>
      <c r="AJ162" s="110"/>
      <c r="AK162" s="110"/>
      <c r="AL162" s="110"/>
    </row>
    <row r="163" spans="2:38" ht="15" customHeight="1" x14ac:dyDescent="0.2">
      <c r="B163" s="110"/>
      <c r="C163" s="110"/>
      <c r="D163" s="110"/>
      <c r="E163" s="110"/>
      <c r="F163" s="110"/>
      <c r="G163" s="110"/>
      <c r="H163" s="110"/>
      <c r="I163" s="110"/>
      <c r="J163" s="110"/>
      <c r="K163" s="110"/>
      <c r="L163" s="110"/>
      <c r="M163" s="110"/>
      <c r="N163" s="110"/>
      <c r="O163" s="110"/>
      <c r="P163" s="110"/>
      <c r="Q163" s="110"/>
      <c r="R163" s="110"/>
      <c r="S163" s="110"/>
      <c r="T163" s="110"/>
      <c r="U163" s="110"/>
      <c r="V163" s="110"/>
      <c r="W163" s="110"/>
      <c r="X163" s="110"/>
      <c r="Y163" s="110"/>
      <c r="Z163" s="110"/>
      <c r="AA163" s="110"/>
      <c r="AB163" s="110"/>
      <c r="AC163" s="110"/>
      <c r="AD163" s="110"/>
      <c r="AE163" s="110"/>
      <c r="AF163" s="110"/>
      <c r="AG163" s="110"/>
      <c r="AH163" s="110"/>
      <c r="AI163" s="110"/>
      <c r="AJ163" s="110"/>
      <c r="AK163" s="110"/>
      <c r="AL163" s="110"/>
    </row>
    <row r="164" spans="2:38" ht="15" customHeight="1" x14ac:dyDescent="0.2">
      <c r="B164" s="110"/>
      <c r="C164" s="110"/>
      <c r="D164" s="110"/>
      <c r="E164" s="110"/>
      <c r="F164" s="110"/>
      <c r="G164" s="110"/>
      <c r="H164" s="110"/>
      <c r="I164" s="110"/>
      <c r="J164" s="110"/>
      <c r="K164" s="110"/>
      <c r="L164" s="110"/>
      <c r="M164" s="110"/>
      <c r="N164" s="110"/>
      <c r="O164" s="110"/>
      <c r="P164" s="110"/>
      <c r="Q164" s="110"/>
      <c r="R164" s="110"/>
      <c r="S164" s="110"/>
      <c r="T164" s="110"/>
      <c r="U164" s="110"/>
      <c r="V164" s="110"/>
      <c r="W164" s="110"/>
      <c r="X164" s="110"/>
      <c r="Y164" s="110"/>
      <c r="Z164" s="110"/>
      <c r="AA164" s="110"/>
      <c r="AB164" s="110"/>
      <c r="AC164" s="110"/>
      <c r="AD164" s="110"/>
      <c r="AE164" s="110"/>
      <c r="AF164" s="110"/>
      <c r="AG164" s="110"/>
      <c r="AH164" s="110"/>
      <c r="AI164" s="110"/>
      <c r="AJ164" s="110"/>
      <c r="AK164" s="110"/>
      <c r="AL164" s="110"/>
    </row>
    <row r="165" spans="2:38" ht="15" customHeight="1" x14ac:dyDescent="0.2">
      <c r="B165" s="110"/>
      <c r="C165" s="110"/>
      <c r="D165" s="110"/>
      <c r="E165" s="110"/>
      <c r="F165" s="110"/>
      <c r="G165" s="110"/>
      <c r="H165" s="110"/>
      <c r="I165" s="110"/>
      <c r="J165" s="110"/>
      <c r="K165" s="110"/>
      <c r="L165" s="110"/>
      <c r="M165" s="110"/>
      <c r="N165" s="110"/>
      <c r="O165" s="110"/>
      <c r="P165" s="110"/>
      <c r="Q165" s="110"/>
      <c r="R165" s="110"/>
      <c r="S165" s="110"/>
      <c r="T165" s="110"/>
      <c r="U165" s="110"/>
      <c r="V165" s="110"/>
      <c r="W165" s="110"/>
      <c r="X165" s="110"/>
      <c r="Y165" s="110"/>
      <c r="Z165" s="110"/>
      <c r="AA165" s="110"/>
      <c r="AB165" s="110"/>
      <c r="AC165" s="110"/>
      <c r="AD165" s="110"/>
      <c r="AE165" s="110"/>
      <c r="AF165" s="110"/>
      <c r="AG165" s="110"/>
      <c r="AH165" s="110"/>
      <c r="AI165" s="110"/>
      <c r="AJ165" s="110"/>
      <c r="AK165" s="110"/>
      <c r="AL165" s="110"/>
    </row>
    <row r="166" spans="2:38" ht="15" customHeight="1" x14ac:dyDescent="0.2">
      <c r="B166" s="110"/>
      <c r="C166" s="110"/>
      <c r="D166" s="110"/>
      <c r="E166" s="110"/>
      <c r="F166" s="110"/>
      <c r="G166" s="110"/>
      <c r="H166" s="110"/>
      <c r="I166" s="110"/>
      <c r="J166" s="110"/>
      <c r="K166" s="110"/>
      <c r="L166" s="110"/>
      <c r="M166" s="110"/>
      <c r="N166" s="110"/>
      <c r="O166" s="110"/>
      <c r="P166" s="110"/>
      <c r="Q166" s="110"/>
      <c r="R166" s="110"/>
      <c r="S166" s="110"/>
      <c r="T166" s="110"/>
      <c r="U166" s="110"/>
      <c r="V166" s="110"/>
      <c r="W166" s="110"/>
      <c r="X166" s="110"/>
      <c r="Y166" s="110"/>
      <c r="Z166" s="110"/>
      <c r="AA166" s="110"/>
      <c r="AB166" s="110"/>
      <c r="AC166" s="110"/>
      <c r="AD166" s="110"/>
      <c r="AE166" s="110"/>
      <c r="AF166" s="110"/>
      <c r="AG166" s="110"/>
      <c r="AH166" s="110"/>
      <c r="AI166" s="110"/>
      <c r="AJ166" s="110"/>
      <c r="AK166" s="110"/>
      <c r="AL166" s="110"/>
    </row>
    <row r="167" spans="2:38" ht="15" customHeight="1" x14ac:dyDescent="0.2">
      <c r="B167" s="110"/>
      <c r="C167" s="110"/>
      <c r="D167" s="110"/>
      <c r="E167" s="110"/>
      <c r="F167" s="110"/>
      <c r="G167" s="110"/>
      <c r="H167" s="110"/>
      <c r="I167" s="110"/>
      <c r="J167" s="110"/>
      <c r="K167" s="110"/>
      <c r="L167" s="110"/>
      <c r="M167" s="110"/>
      <c r="N167" s="110"/>
      <c r="O167" s="110"/>
      <c r="P167" s="110"/>
      <c r="Q167" s="110"/>
      <c r="R167" s="110"/>
      <c r="S167" s="110"/>
      <c r="T167" s="110"/>
      <c r="U167" s="110"/>
      <c r="V167" s="110"/>
      <c r="W167" s="110"/>
      <c r="X167" s="110"/>
      <c r="Y167" s="110"/>
      <c r="Z167" s="110"/>
      <c r="AA167" s="110"/>
      <c r="AB167" s="110"/>
      <c r="AC167" s="110"/>
      <c r="AD167" s="110"/>
      <c r="AE167" s="110"/>
      <c r="AF167" s="110"/>
      <c r="AG167" s="110"/>
      <c r="AH167" s="110"/>
      <c r="AI167" s="110"/>
      <c r="AJ167" s="110"/>
      <c r="AK167" s="110"/>
      <c r="AL167" s="110"/>
    </row>
    <row r="168" spans="2:38" ht="15" customHeight="1" x14ac:dyDescent="0.2">
      <c r="B168" s="110"/>
      <c r="C168" s="110"/>
      <c r="D168" s="110"/>
      <c r="E168" s="110"/>
      <c r="F168" s="110"/>
      <c r="G168" s="110"/>
      <c r="H168" s="110"/>
      <c r="I168" s="110"/>
      <c r="J168" s="110"/>
      <c r="K168" s="110"/>
      <c r="L168" s="110"/>
      <c r="M168" s="110"/>
      <c r="N168" s="110"/>
      <c r="O168" s="110"/>
      <c r="P168" s="110"/>
      <c r="Q168" s="110"/>
      <c r="R168" s="110"/>
      <c r="S168" s="110"/>
      <c r="T168" s="110"/>
      <c r="U168" s="110"/>
      <c r="V168" s="110"/>
      <c r="W168" s="110"/>
      <c r="X168" s="110"/>
      <c r="Y168" s="110"/>
      <c r="Z168" s="110"/>
      <c r="AA168" s="110"/>
      <c r="AB168" s="110"/>
      <c r="AC168" s="110"/>
      <c r="AD168" s="110"/>
      <c r="AE168" s="110"/>
      <c r="AF168" s="110"/>
      <c r="AG168" s="110"/>
      <c r="AH168" s="110"/>
      <c r="AI168" s="110"/>
      <c r="AJ168" s="110"/>
      <c r="AK168" s="110"/>
      <c r="AL168" s="110"/>
    </row>
    <row r="169" spans="2:38" ht="15" customHeight="1" x14ac:dyDescent="0.2">
      <c r="B169" s="110"/>
      <c r="C169" s="110"/>
      <c r="D169" s="110"/>
      <c r="E169" s="110"/>
      <c r="F169" s="110"/>
      <c r="G169" s="110"/>
      <c r="H169" s="110"/>
      <c r="I169" s="110"/>
      <c r="J169" s="110"/>
      <c r="K169" s="110"/>
      <c r="L169" s="110"/>
      <c r="M169" s="110"/>
      <c r="N169" s="110"/>
      <c r="O169" s="110"/>
      <c r="P169" s="110"/>
      <c r="Q169" s="110"/>
      <c r="R169" s="110"/>
      <c r="S169" s="110"/>
      <c r="T169" s="110"/>
      <c r="U169" s="110"/>
      <c r="V169" s="110"/>
      <c r="W169" s="110"/>
      <c r="X169" s="110"/>
      <c r="Y169" s="110"/>
      <c r="Z169" s="110"/>
      <c r="AA169" s="110"/>
      <c r="AB169" s="110"/>
      <c r="AC169" s="110"/>
      <c r="AD169" s="110"/>
      <c r="AE169" s="110"/>
      <c r="AF169" s="110"/>
      <c r="AG169" s="110"/>
      <c r="AH169" s="110"/>
      <c r="AI169" s="110"/>
      <c r="AJ169" s="110"/>
      <c r="AK169" s="110"/>
      <c r="AL169" s="110"/>
    </row>
    <row r="170" spans="2:38" ht="15" customHeight="1" x14ac:dyDescent="0.2">
      <c r="B170" s="110"/>
      <c r="C170" s="110"/>
      <c r="D170" s="110"/>
      <c r="E170" s="110"/>
      <c r="F170" s="110"/>
      <c r="G170" s="110"/>
      <c r="H170" s="110"/>
      <c r="I170" s="110"/>
      <c r="J170" s="110"/>
      <c r="K170" s="110"/>
      <c r="L170" s="110"/>
      <c r="M170" s="110"/>
      <c r="N170" s="110"/>
      <c r="O170" s="110"/>
      <c r="P170" s="110"/>
      <c r="Q170" s="110"/>
      <c r="R170" s="110"/>
      <c r="S170" s="110"/>
      <c r="T170" s="110"/>
      <c r="U170" s="110"/>
      <c r="V170" s="110"/>
      <c r="W170" s="110"/>
      <c r="X170" s="110"/>
      <c r="Y170" s="110"/>
      <c r="Z170" s="110"/>
      <c r="AA170" s="110"/>
      <c r="AB170" s="110"/>
      <c r="AC170" s="110"/>
      <c r="AD170" s="110"/>
      <c r="AE170" s="110"/>
      <c r="AF170" s="110"/>
      <c r="AG170" s="110"/>
      <c r="AH170" s="110"/>
      <c r="AI170" s="110"/>
      <c r="AJ170" s="110"/>
      <c r="AK170" s="110"/>
      <c r="AL170" s="110"/>
    </row>
    <row r="171" spans="2:38" ht="15" customHeight="1" x14ac:dyDescent="0.2">
      <c r="B171" s="110"/>
      <c r="C171" s="110"/>
      <c r="D171" s="110"/>
      <c r="E171" s="110"/>
      <c r="F171" s="110"/>
      <c r="G171" s="110"/>
      <c r="H171" s="110"/>
      <c r="I171" s="110"/>
      <c r="J171" s="110"/>
      <c r="K171" s="110"/>
      <c r="L171" s="110"/>
      <c r="M171" s="110"/>
      <c r="N171" s="110"/>
      <c r="O171" s="110"/>
      <c r="P171" s="110"/>
      <c r="Q171" s="110"/>
      <c r="R171" s="110"/>
      <c r="S171" s="110"/>
      <c r="T171" s="110"/>
      <c r="U171" s="110"/>
      <c r="V171" s="110"/>
      <c r="W171" s="110"/>
      <c r="X171" s="110"/>
      <c r="Y171" s="110"/>
      <c r="Z171" s="110"/>
      <c r="AA171" s="110"/>
      <c r="AB171" s="110"/>
      <c r="AC171" s="110"/>
      <c r="AD171" s="110"/>
      <c r="AE171" s="110"/>
      <c r="AF171" s="110"/>
      <c r="AG171" s="110"/>
      <c r="AH171" s="110"/>
      <c r="AI171" s="110"/>
      <c r="AJ171" s="110"/>
      <c r="AK171" s="110"/>
      <c r="AL171" s="110"/>
    </row>
    <row r="172" spans="2:38" ht="15" customHeight="1" x14ac:dyDescent="0.2">
      <c r="B172" s="110"/>
      <c r="C172" s="110"/>
      <c r="D172" s="110"/>
      <c r="E172" s="110"/>
      <c r="F172" s="110"/>
      <c r="G172" s="110"/>
      <c r="H172" s="110"/>
      <c r="I172" s="110"/>
      <c r="J172" s="110"/>
      <c r="K172" s="110"/>
      <c r="L172" s="110"/>
      <c r="M172" s="110"/>
      <c r="N172" s="110"/>
      <c r="O172" s="110"/>
      <c r="P172" s="110"/>
      <c r="Q172" s="110"/>
      <c r="R172" s="110"/>
      <c r="S172" s="110"/>
      <c r="T172" s="110"/>
      <c r="U172" s="110"/>
      <c r="V172" s="110"/>
      <c r="W172" s="110"/>
      <c r="X172" s="110"/>
      <c r="Y172" s="110"/>
      <c r="Z172" s="110"/>
      <c r="AA172" s="110"/>
      <c r="AB172" s="110"/>
      <c r="AC172" s="110"/>
      <c r="AD172" s="110"/>
      <c r="AE172" s="110"/>
      <c r="AF172" s="110"/>
      <c r="AG172" s="110"/>
      <c r="AH172" s="110"/>
      <c r="AI172" s="110"/>
      <c r="AJ172" s="110"/>
      <c r="AK172" s="110"/>
      <c r="AL172" s="110"/>
    </row>
    <row r="173" spans="2:38" ht="15" customHeight="1" x14ac:dyDescent="0.2">
      <c r="B173" s="110"/>
      <c r="C173" s="110"/>
      <c r="D173" s="110"/>
      <c r="E173" s="110"/>
      <c r="F173" s="110"/>
      <c r="G173" s="110"/>
      <c r="H173" s="110"/>
      <c r="I173" s="110"/>
      <c r="J173" s="110"/>
      <c r="K173" s="110"/>
      <c r="L173" s="110"/>
      <c r="M173" s="110"/>
      <c r="N173" s="110"/>
      <c r="O173" s="110"/>
      <c r="P173" s="110"/>
      <c r="Q173" s="110"/>
      <c r="R173" s="110"/>
      <c r="S173" s="110"/>
      <c r="T173" s="110"/>
      <c r="U173" s="110"/>
      <c r="V173" s="110"/>
      <c r="W173" s="110"/>
      <c r="X173" s="110"/>
      <c r="Y173" s="110"/>
      <c r="Z173" s="110"/>
      <c r="AA173" s="110"/>
      <c r="AB173" s="110"/>
      <c r="AC173" s="110"/>
      <c r="AD173" s="110"/>
      <c r="AE173" s="110"/>
      <c r="AF173" s="110"/>
      <c r="AG173" s="110"/>
      <c r="AH173" s="110"/>
      <c r="AI173" s="110"/>
      <c r="AJ173" s="110"/>
      <c r="AK173" s="110"/>
      <c r="AL173" s="110"/>
    </row>
    <row r="174" spans="2:38" ht="15" customHeight="1" x14ac:dyDescent="0.2">
      <c r="B174" s="110"/>
      <c r="C174" s="110"/>
      <c r="D174" s="110"/>
      <c r="E174" s="110"/>
      <c r="F174" s="110"/>
      <c r="G174" s="110"/>
      <c r="H174" s="110"/>
      <c r="I174" s="110"/>
      <c r="J174" s="110"/>
      <c r="K174" s="110"/>
      <c r="L174" s="110"/>
      <c r="M174" s="110"/>
      <c r="N174" s="110"/>
      <c r="O174" s="110"/>
      <c r="P174" s="110"/>
      <c r="Q174" s="110"/>
      <c r="R174" s="110"/>
      <c r="S174" s="110"/>
      <c r="T174" s="110"/>
      <c r="U174" s="110"/>
      <c r="V174" s="110"/>
      <c r="W174" s="110"/>
      <c r="X174" s="110"/>
      <c r="Y174" s="110"/>
      <c r="Z174" s="110"/>
      <c r="AA174" s="110"/>
      <c r="AB174" s="110"/>
      <c r="AC174" s="110"/>
      <c r="AD174" s="110"/>
      <c r="AE174" s="110"/>
      <c r="AF174" s="110"/>
      <c r="AG174" s="110"/>
      <c r="AH174" s="110"/>
      <c r="AI174" s="110"/>
      <c r="AJ174" s="110"/>
      <c r="AK174" s="110"/>
      <c r="AL174" s="110"/>
    </row>
    <row r="175" spans="2:38" ht="15" customHeight="1" x14ac:dyDescent="0.2">
      <c r="B175" s="110"/>
      <c r="C175" s="110"/>
      <c r="D175" s="110"/>
      <c r="E175" s="110"/>
      <c r="F175" s="110"/>
      <c r="G175" s="110"/>
      <c r="H175" s="110"/>
      <c r="I175" s="110"/>
      <c r="J175" s="110"/>
      <c r="K175" s="110"/>
      <c r="L175" s="110"/>
      <c r="M175" s="110"/>
      <c r="N175" s="110"/>
      <c r="O175" s="110"/>
      <c r="P175" s="110"/>
      <c r="Q175" s="110"/>
      <c r="R175" s="110"/>
      <c r="S175" s="110"/>
      <c r="T175" s="110"/>
      <c r="U175" s="110"/>
      <c r="V175" s="110"/>
      <c r="W175" s="110"/>
      <c r="X175" s="110"/>
      <c r="Y175" s="110"/>
      <c r="Z175" s="110"/>
      <c r="AA175" s="110"/>
      <c r="AB175" s="110"/>
      <c r="AC175" s="110"/>
      <c r="AD175" s="110"/>
      <c r="AE175" s="110"/>
      <c r="AF175" s="110"/>
      <c r="AG175" s="110"/>
      <c r="AH175" s="110"/>
      <c r="AI175" s="110"/>
      <c r="AJ175" s="110"/>
      <c r="AK175" s="110"/>
      <c r="AL175" s="110"/>
    </row>
    <row r="176" spans="2:38" ht="15" customHeight="1" x14ac:dyDescent="0.2">
      <c r="B176" s="110"/>
      <c r="C176" s="110"/>
      <c r="D176" s="110"/>
      <c r="E176" s="110"/>
      <c r="F176" s="110"/>
      <c r="G176" s="110"/>
      <c r="H176" s="110"/>
      <c r="I176" s="110"/>
      <c r="J176" s="110"/>
      <c r="K176" s="110"/>
      <c r="L176" s="110"/>
      <c r="M176" s="110"/>
      <c r="N176" s="110"/>
      <c r="O176" s="110"/>
      <c r="P176" s="110"/>
      <c r="Q176" s="110"/>
      <c r="R176" s="110"/>
      <c r="S176" s="110"/>
      <c r="T176" s="110"/>
      <c r="U176" s="110"/>
      <c r="V176" s="110"/>
      <c r="W176" s="110"/>
      <c r="X176" s="110"/>
      <c r="Y176" s="110"/>
      <c r="Z176" s="110"/>
      <c r="AA176" s="110"/>
      <c r="AB176" s="110"/>
      <c r="AC176" s="110"/>
      <c r="AD176" s="110"/>
      <c r="AE176" s="110"/>
      <c r="AF176" s="110"/>
      <c r="AG176" s="110"/>
      <c r="AH176" s="110"/>
      <c r="AI176" s="110"/>
      <c r="AJ176" s="110"/>
      <c r="AK176" s="110"/>
      <c r="AL176" s="110"/>
    </row>
    <row r="177" spans="2:38" ht="15" customHeight="1" x14ac:dyDescent="0.2">
      <c r="B177" s="110"/>
      <c r="C177" s="110"/>
      <c r="D177" s="110"/>
      <c r="E177" s="110"/>
      <c r="F177" s="110"/>
      <c r="G177" s="110"/>
      <c r="H177" s="110"/>
      <c r="I177" s="110"/>
      <c r="J177" s="110"/>
      <c r="K177" s="110"/>
      <c r="L177" s="110"/>
      <c r="M177" s="110"/>
      <c r="N177" s="110"/>
      <c r="O177" s="110"/>
      <c r="P177" s="110"/>
      <c r="Q177" s="110"/>
      <c r="R177" s="110"/>
      <c r="S177" s="110"/>
      <c r="T177" s="110"/>
      <c r="U177" s="110"/>
      <c r="V177" s="110"/>
      <c r="W177" s="110"/>
      <c r="X177" s="110"/>
      <c r="Y177" s="110"/>
      <c r="Z177" s="110"/>
      <c r="AA177" s="110"/>
      <c r="AB177" s="110"/>
      <c r="AC177" s="110"/>
      <c r="AD177" s="110"/>
      <c r="AE177" s="110"/>
      <c r="AF177" s="110"/>
      <c r="AG177" s="110"/>
      <c r="AH177" s="110"/>
      <c r="AI177" s="110"/>
      <c r="AJ177" s="110"/>
      <c r="AK177" s="110"/>
      <c r="AL177" s="110"/>
    </row>
    <row r="178" spans="2:38" ht="15" customHeight="1" x14ac:dyDescent="0.2">
      <c r="B178" s="110"/>
      <c r="C178" s="110"/>
      <c r="D178" s="110"/>
      <c r="E178" s="110"/>
      <c r="F178" s="110"/>
      <c r="G178" s="110"/>
      <c r="H178" s="110"/>
      <c r="I178" s="110"/>
      <c r="J178" s="110"/>
      <c r="K178" s="110"/>
      <c r="L178" s="110"/>
      <c r="M178" s="110"/>
      <c r="N178" s="110"/>
      <c r="O178" s="110"/>
      <c r="P178" s="110"/>
      <c r="Q178" s="110"/>
      <c r="R178" s="110"/>
      <c r="S178" s="110"/>
      <c r="T178" s="110"/>
      <c r="U178" s="110"/>
      <c r="V178" s="110"/>
      <c r="W178" s="110"/>
      <c r="X178" s="110"/>
      <c r="Y178" s="110"/>
      <c r="Z178" s="110"/>
      <c r="AA178" s="110"/>
      <c r="AB178" s="110"/>
      <c r="AC178" s="110"/>
      <c r="AD178" s="110"/>
      <c r="AE178" s="110"/>
      <c r="AF178" s="110"/>
      <c r="AG178" s="110"/>
      <c r="AH178" s="110"/>
      <c r="AI178" s="110"/>
      <c r="AJ178" s="110"/>
      <c r="AK178" s="110"/>
      <c r="AL178" s="110"/>
    </row>
    <row r="179" spans="2:38" ht="15" customHeight="1" x14ac:dyDescent="0.2">
      <c r="B179" s="110"/>
      <c r="C179" s="110"/>
      <c r="D179" s="110"/>
      <c r="E179" s="110"/>
      <c r="F179" s="110"/>
      <c r="G179" s="110"/>
      <c r="H179" s="110"/>
      <c r="I179" s="110"/>
      <c r="J179" s="110"/>
      <c r="K179" s="110"/>
      <c r="L179" s="110"/>
      <c r="M179" s="110"/>
      <c r="N179" s="110"/>
      <c r="O179" s="110"/>
      <c r="P179" s="110"/>
      <c r="Q179" s="110"/>
      <c r="R179" s="110"/>
      <c r="S179" s="110"/>
      <c r="T179" s="110"/>
      <c r="U179" s="110"/>
      <c r="V179" s="110"/>
      <c r="W179" s="110"/>
      <c r="X179" s="110"/>
      <c r="Y179" s="110"/>
      <c r="Z179" s="110"/>
      <c r="AA179" s="110"/>
      <c r="AB179" s="110"/>
      <c r="AC179" s="110"/>
      <c r="AD179" s="110"/>
      <c r="AE179" s="110"/>
      <c r="AF179" s="110"/>
      <c r="AG179" s="110"/>
      <c r="AH179" s="110"/>
      <c r="AI179" s="110"/>
      <c r="AJ179" s="110"/>
      <c r="AK179" s="110"/>
      <c r="AL179" s="110"/>
    </row>
    <row r="180" spans="2:38" ht="15" customHeight="1" x14ac:dyDescent="0.2">
      <c r="B180" s="110"/>
      <c r="C180" s="110"/>
      <c r="D180" s="110"/>
      <c r="E180" s="110"/>
      <c r="F180" s="110"/>
      <c r="G180" s="110"/>
      <c r="H180" s="110"/>
      <c r="I180" s="110"/>
      <c r="J180" s="110"/>
      <c r="K180" s="110"/>
      <c r="L180" s="110"/>
      <c r="M180" s="110"/>
      <c r="N180" s="110"/>
      <c r="O180" s="110"/>
      <c r="P180" s="110"/>
      <c r="Q180" s="110"/>
      <c r="R180" s="110"/>
      <c r="S180" s="110"/>
      <c r="T180" s="110"/>
      <c r="U180" s="110"/>
      <c r="V180" s="110"/>
      <c r="W180" s="110"/>
      <c r="X180" s="110"/>
      <c r="Y180" s="110"/>
      <c r="Z180" s="110"/>
      <c r="AA180" s="110"/>
      <c r="AB180" s="110"/>
      <c r="AC180" s="110"/>
      <c r="AD180" s="110"/>
      <c r="AE180" s="110"/>
      <c r="AF180" s="110"/>
      <c r="AG180" s="110"/>
      <c r="AH180" s="110"/>
      <c r="AI180" s="110"/>
      <c r="AJ180" s="110"/>
      <c r="AK180" s="110"/>
      <c r="AL180" s="110"/>
    </row>
    <row r="181" spans="2:38" ht="15" customHeight="1" x14ac:dyDescent="0.2">
      <c r="B181" s="110"/>
      <c r="C181" s="110"/>
      <c r="D181" s="110"/>
      <c r="E181" s="110"/>
      <c r="F181" s="110"/>
      <c r="G181" s="110"/>
      <c r="H181" s="110"/>
      <c r="I181" s="110"/>
      <c r="J181" s="110"/>
      <c r="K181" s="110"/>
      <c r="L181" s="110"/>
      <c r="M181" s="110"/>
      <c r="N181" s="110"/>
      <c r="O181" s="110"/>
      <c r="P181" s="110"/>
      <c r="Q181" s="110"/>
      <c r="R181" s="110"/>
      <c r="S181" s="110"/>
      <c r="T181" s="110"/>
      <c r="U181" s="110"/>
      <c r="V181" s="110"/>
      <c r="W181" s="110"/>
      <c r="X181" s="110"/>
      <c r="Y181" s="110"/>
      <c r="Z181" s="110"/>
      <c r="AA181" s="110"/>
      <c r="AB181" s="110"/>
      <c r="AC181" s="110"/>
      <c r="AD181" s="110"/>
      <c r="AE181" s="110"/>
      <c r="AF181" s="110"/>
      <c r="AG181" s="110"/>
      <c r="AH181" s="110"/>
      <c r="AI181" s="110"/>
      <c r="AJ181" s="110"/>
      <c r="AK181" s="110"/>
      <c r="AL181" s="110"/>
    </row>
    <row r="182" spans="2:38" ht="15" customHeight="1" x14ac:dyDescent="0.2">
      <c r="B182" s="110"/>
      <c r="C182" s="110"/>
      <c r="D182" s="110"/>
      <c r="E182" s="110"/>
      <c r="F182" s="110"/>
      <c r="G182" s="110"/>
      <c r="H182" s="110"/>
      <c r="I182" s="110"/>
      <c r="J182" s="110"/>
      <c r="K182" s="110"/>
      <c r="L182" s="110"/>
      <c r="M182" s="110"/>
      <c r="N182" s="110"/>
      <c r="O182" s="110"/>
      <c r="P182" s="110"/>
      <c r="Q182" s="110"/>
      <c r="R182" s="110"/>
      <c r="S182" s="110"/>
      <c r="T182" s="110"/>
      <c r="U182" s="110"/>
      <c r="V182" s="110"/>
      <c r="W182" s="110"/>
      <c r="X182" s="110"/>
      <c r="Y182" s="110"/>
      <c r="Z182" s="110"/>
      <c r="AA182" s="110"/>
      <c r="AB182" s="110"/>
      <c r="AC182" s="110"/>
      <c r="AD182" s="110"/>
      <c r="AE182" s="110"/>
      <c r="AF182" s="110"/>
      <c r="AG182" s="110"/>
      <c r="AH182" s="110"/>
      <c r="AI182" s="110"/>
      <c r="AJ182" s="110"/>
      <c r="AK182" s="110"/>
      <c r="AL182" s="110"/>
    </row>
    <row r="183" spans="2:38" ht="15" customHeight="1" x14ac:dyDescent="0.2">
      <c r="B183" s="110"/>
      <c r="C183" s="110"/>
      <c r="D183" s="110"/>
      <c r="E183" s="110"/>
      <c r="F183" s="110"/>
      <c r="G183" s="110"/>
      <c r="H183" s="110"/>
      <c r="I183" s="110"/>
      <c r="J183" s="110"/>
      <c r="K183" s="110"/>
      <c r="L183" s="110"/>
      <c r="M183" s="110"/>
      <c r="N183" s="110"/>
      <c r="O183" s="110"/>
      <c r="P183" s="110"/>
      <c r="Q183" s="110"/>
      <c r="R183" s="110"/>
      <c r="S183" s="110"/>
      <c r="T183" s="110"/>
      <c r="U183" s="110"/>
      <c r="V183" s="110"/>
      <c r="W183" s="110"/>
      <c r="X183" s="110"/>
      <c r="Y183" s="110"/>
      <c r="Z183" s="110"/>
      <c r="AA183" s="110"/>
      <c r="AB183" s="110"/>
      <c r="AC183" s="110"/>
      <c r="AD183" s="110"/>
      <c r="AE183" s="110"/>
      <c r="AF183" s="110"/>
      <c r="AG183" s="110"/>
      <c r="AH183" s="110"/>
      <c r="AI183" s="110"/>
      <c r="AJ183" s="110"/>
      <c r="AK183" s="110"/>
      <c r="AL183" s="110"/>
    </row>
    <row r="184" spans="2:38" ht="15" customHeight="1" x14ac:dyDescent="0.2">
      <c r="B184" s="110"/>
      <c r="C184" s="110"/>
      <c r="D184" s="110"/>
      <c r="E184" s="110"/>
      <c r="F184" s="110"/>
      <c r="G184" s="110"/>
      <c r="H184" s="110"/>
      <c r="I184" s="110"/>
      <c r="J184" s="110"/>
      <c r="K184" s="110"/>
      <c r="L184" s="110"/>
      <c r="M184" s="110"/>
      <c r="N184" s="110"/>
      <c r="O184" s="110"/>
      <c r="P184" s="110"/>
      <c r="Q184" s="110"/>
      <c r="R184" s="110"/>
      <c r="S184" s="110"/>
      <c r="T184" s="110"/>
      <c r="U184" s="110"/>
      <c r="V184" s="110"/>
      <c r="W184" s="110"/>
      <c r="X184" s="110"/>
      <c r="Y184" s="110"/>
      <c r="Z184" s="110"/>
      <c r="AA184" s="110"/>
      <c r="AB184" s="110"/>
      <c r="AC184" s="110"/>
      <c r="AD184" s="110"/>
      <c r="AE184" s="110"/>
      <c r="AF184" s="110"/>
      <c r="AG184" s="110"/>
      <c r="AH184" s="110"/>
      <c r="AI184" s="110"/>
      <c r="AJ184" s="110"/>
      <c r="AK184" s="110"/>
      <c r="AL184" s="110"/>
    </row>
    <row r="185" spans="2:38" ht="15" customHeight="1" x14ac:dyDescent="0.2">
      <c r="B185" s="110"/>
      <c r="C185" s="110"/>
      <c r="D185" s="110"/>
      <c r="E185" s="110"/>
      <c r="F185" s="110"/>
      <c r="G185" s="110"/>
      <c r="H185" s="110"/>
      <c r="I185" s="110"/>
      <c r="J185" s="110"/>
      <c r="K185" s="110"/>
      <c r="L185" s="110"/>
      <c r="M185" s="110"/>
      <c r="N185" s="110"/>
      <c r="O185" s="110"/>
      <c r="P185" s="110"/>
      <c r="Q185" s="110"/>
      <c r="R185" s="110"/>
      <c r="S185" s="110"/>
      <c r="T185" s="110"/>
      <c r="U185" s="110"/>
      <c r="V185" s="110"/>
      <c r="W185" s="110"/>
      <c r="X185" s="110"/>
      <c r="Y185" s="110"/>
      <c r="Z185" s="110"/>
      <c r="AA185" s="110"/>
      <c r="AB185" s="110"/>
      <c r="AC185" s="110"/>
      <c r="AD185" s="110"/>
      <c r="AE185" s="110"/>
      <c r="AF185" s="110"/>
      <c r="AG185" s="110"/>
      <c r="AH185" s="110"/>
      <c r="AI185" s="110"/>
      <c r="AJ185" s="110"/>
      <c r="AK185" s="110"/>
      <c r="AL185" s="110"/>
    </row>
    <row r="186" spans="2:38" ht="15" customHeight="1" x14ac:dyDescent="0.2">
      <c r="B186" s="110"/>
      <c r="C186" s="110"/>
      <c r="D186" s="110"/>
      <c r="E186" s="110"/>
      <c r="F186" s="110"/>
      <c r="G186" s="110"/>
      <c r="H186" s="110"/>
      <c r="I186" s="110"/>
      <c r="J186" s="110"/>
      <c r="K186" s="110"/>
      <c r="L186" s="110"/>
      <c r="M186" s="110"/>
      <c r="N186" s="110"/>
      <c r="O186" s="110"/>
      <c r="P186" s="110"/>
      <c r="Q186" s="110"/>
      <c r="R186" s="110"/>
      <c r="S186" s="110"/>
      <c r="T186" s="110"/>
      <c r="U186" s="110"/>
      <c r="V186" s="110"/>
      <c r="W186" s="110"/>
      <c r="X186" s="110"/>
      <c r="Y186" s="110"/>
      <c r="Z186" s="110"/>
      <c r="AA186" s="110"/>
      <c r="AB186" s="110"/>
      <c r="AC186" s="110"/>
      <c r="AD186" s="110"/>
      <c r="AE186" s="110"/>
      <c r="AF186" s="110"/>
      <c r="AG186" s="110"/>
      <c r="AH186" s="110"/>
      <c r="AI186" s="110"/>
      <c r="AJ186" s="110"/>
      <c r="AK186" s="110"/>
      <c r="AL186" s="110"/>
    </row>
    <row r="187" spans="2:38" ht="15" customHeight="1" x14ac:dyDescent="0.2">
      <c r="B187" s="110"/>
      <c r="C187" s="110"/>
      <c r="D187" s="110"/>
      <c r="E187" s="110"/>
      <c r="F187" s="110"/>
      <c r="G187" s="110"/>
      <c r="H187" s="110"/>
      <c r="I187" s="110"/>
      <c r="J187" s="110"/>
      <c r="K187" s="110"/>
      <c r="L187" s="110"/>
      <c r="M187" s="110"/>
      <c r="N187" s="110"/>
      <c r="O187" s="110"/>
      <c r="P187" s="110"/>
      <c r="Q187" s="110"/>
      <c r="R187" s="110"/>
      <c r="S187" s="110"/>
      <c r="T187" s="110"/>
      <c r="U187" s="110"/>
      <c r="V187" s="110"/>
      <c r="W187" s="110"/>
      <c r="X187" s="110"/>
      <c r="Y187" s="110"/>
      <c r="Z187" s="110"/>
      <c r="AA187" s="110"/>
      <c r="AB187" s="110"/>
      <c r="AC187" s="110"/>
      <c r="AD187" s="110"/>
      <c r="AE187" s="110"/>
      <c r="AF187" s="110"/>
      <c r="AG187" s="110"/>
      <c r="AH187" s="110"/>
      <c r="AI187" s="110"/>
      <c r="AJ187" s="110"/>
      <c r="AK187" s="110"/>
      <c r="AL187" s="110"/>
    </row>
    <row r="188" spans="2:38" ht="15" customHeight="1" x14ac:dyDescent="0.2">
      <c r="B188" s="110"/>
      <c r="C188" s="110"/>
      <c r="D188" s="110"/>
      <c r="E188" s="110"/>
      <c r="F188" s="110"/>
      <c r="G188" s="110"/>
      <c r="H188" s="110"/>
      <c r="I188" s="110"/>
      <c r="J188" s="110"/>
      <c r="K188" s="110"/>
      <c r="L188" s="110"/>
      <c r="M188" s="110"/>
      <c r="N188" s="110"/>
      <c r="O188" s="110"/>
      <c r="P188" s="110"/>
      <c r="Q188" s="110"/>
      <c r="R188" s="110"/>
      <c r="S188" s="110"/>
      <c r="T188" s="110"/>
      <c r="U188" s="110"/>
      <c r="V188" s="110"/>
      <c r="W188" s="110"/>
      <c r="X188" s="110"/>
      <c r="Y188" s="110"/>
      <c r="Z188" s="110"/>
      <c r="AA188" s="110"/>
      <c r="AB188" s="110"/>
      <c r="AC188" s="110"/>
      <c r="AD188" s="110"/>
      <c r="AE188" s="110"/>
      <c r="AF188" s="110"/>
      <c r="AG188" s="110"/>
      <c r="AH188" s="110"/>
      <c r="AI188" s="110"/>
      <c r="AJ188" s="110"/>
      <c r="AK188" s="110"/>
      <c r="AL188" s="110"/>
    </row>
    <row r="192" spans="2:38" ht="15" customHeight="1" x14ac:dyDescent="0.2">
      <c r="B192" s="110"/>
      <c r="C192" s="110"/>
      <c r="D192" s="110"/>
      <c r="E192" s="110"/>
      <c r="F192" s="110"/>
      <c r="G192" s="110"/>
      <c r="H192" s="110"/>
      <c r="I192" s="110"/>
      <c r="J192" s="110"/>
      <c r="K192" s="110"/>
      <c r="L192" s="110"/>
      <c r="M192" s="110"/>
      <c r="N192" s="110"/>
      <c r="O192" s="110"/>
      <c r="P192" s="110"/>
      <c r="Q192" s="110"/>
      <c r="R192" s="110"/>
      <c r="S192" s="110"/>
      <c r="T192" s="110"/>
      <c r="U192" s="110"/>
      <c r="V192" s="110"/>
      <c r="W192" s="110"/>
      <c r="X192" s="110"/>
      <c r="Y192" s="110"/>
      <c r="Z192" s="110"/>
      <c r="AA192" s="110"/>
      <c r="AB192" s="110"/>
      <c r="AC192" s="110"/>
      <c r="AD192" s="110"/>
      <c r="AE192" s="110"/>
      <c r="AF192" s="110"/>
      <c r="AG192" s="110"/>
      <c r="AH192" s="110"/>
      <c r="AI192" s="110"/>
      <c r="AJ192" s="110"/>
      <c r="AK192" s="110"/>
      <c r="AL192" s="110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READ ME</vt:lpstr>
      <vt:lpstr>Main</vt:lpstr>
      <vt:lpstr>Diets</vt:lpstr>
      <vt:lpstr>Detritus</vt:lpstr>
      <vt:lpstr>Fishing</vt:lpstr>
      <vt:lpstr>Discards</vt:lpstr>
      <vt:lpstr>pedigree_Parameters</vt:lpstr>
      <vt:lpstr>pedigree_Diet</vt:lpstr>
      <vt:lpstr>pedigree_DietPrefRules</vt:lpstr>
      <vt:lpstr>pedigree_Landings</vt:lpstr>
      <vt:lpstr>pedigree_Discards</vt:lpstr>
      <vt:lpstr>MainOutputs</vt:lpstr>
      <vt:lpstr>Mortalities</vt:lpstr>
      <vt:lpstr>EcotranType</vt:lpstr>
      <vt:lpstr>EcotranRecycling</vt:lpstr>
      <vt:lpstr>FunctionalResponse</vt:lpstr>
      <vt:lpstr>cornerBasic</vt:lpstr>
      <vt:lpstr>cornerBasicOut</vt:lpstr>
      <vt:lpstr>cornerDetritus</vt:lpstr>
      <vt:lpstr>cornerDiets</vt:lpstr>
      <vt:lpstr>cornerDiscards</vt:lpstr>
      <vt:lpstr>cornerFishing</vt:lpstr>
      <vt:lpstr>cornerMort</vt:lpstr>
      <vt:lpstr>FishingLinks</vt:lpstr>
      <vt:lpstr>matBasic</vt:lpstr>
      <vt:lpstr>matDetritus</vt:lpstr>
      <vt:lpstr>matDiet</vt:lpstr>
      <vt:lpstr>matDiscards</vt:lpstr>
      <vt:lpstr>matFishery</vt:lpstr>
      <vt:lpstr>matMort</vt:lpstr>
      <vt:lpstr>matOut</vt:lpstr>
      <vt:lpstr>NumDead</vt:lpstr>
      <vt:lpstr>NumGears</vt:lpstr>
      <vt:lpstr>NumLiving</vt:lpstr>
      <vt:lpstr>PredPreyLinks</vt:lpstr>
      <vt:lpstr>vecBB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cp:lastPrinted>2003-08-05T17:15:48Z</cp:lastPrinted>
  <dcterms:created xsi:type="dcterms:W3CDTF">1996-10-14T23:33:28Z</dcterms:created>
  <dcterms:modified xsi:type="dcterms:W3CDTF">2023-08-15T01:19:45Z</dcterms:modified>
</cp:coreProperties>
</file>