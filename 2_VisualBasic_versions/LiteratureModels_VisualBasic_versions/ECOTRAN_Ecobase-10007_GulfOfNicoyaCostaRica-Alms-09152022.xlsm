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D9E13375-459C-1143-A4DD-D92537389D44}" xr6:coauthVersionLast="45" xr6:coauthVersionMax="45" xr10:uidLastSave="{00000000-0000-0000-0000-000000000000}"/>
  <bookViews>
    <workbookView xWindow="260" yWindow="460" windowWidth="25340" windowHeight="14280" tabRatio="728" firstSheet="8" activeTab="15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Main!$C$2:$N$26</definedName>
    <definedName name="matDetritus">Detritus!$C$2:$F$26</definedName>
    <definedName name="matDiet">Diets!$B$2:$V$26</definedName>
    <definedName name="matDiscards">Discards!$C$2:$C$25</definedName>
    <definedName name="matFishery">Fishing!$C$2:$C$25</definedName>
    <definedName name="matFishing">Fishing!#REF!</definedName>
    <definedName name="matMort">Mortalities!$A$1:$AB$25</definedName>
    <definedName name="matOut">MainOutputs!$A$2:$I$26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<sst xmlns="http://schemas.openxmlformats.org/spreadsheetml/2006/main" count="803" uniqueCount="212">
  <si>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</si>
  <si>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</si>
  <si>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</si>
  <si>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</si>
  <si>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</si>
  <si>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</si>
  <si>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</si>
  <si>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</si>
  <si>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</si>
  <si>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</si>
  <si>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</si>
  <si>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</si>
  <si>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</si>
  <si>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</si>
  <si>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</si>
  <si>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</si>
  <si>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</si>
  <si>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</si>
  <si>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</si>
  <si>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</si>
  <si>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</si>
  <si>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</si>
  <si>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</si>
  <si>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</si>
  <si>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</si>
  <si>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</si>
  <si>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</si>
  <si>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</si>
  <si>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</si>
  <si>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</si>
  <si>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</si>
  <si>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</si>
  <si>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</si>
  <si>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</si>
  <si>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</si>
  <si>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</si>
  <si>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</si>
  <si>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</si>
  <si>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</si>
  <si>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</si>
  <si>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</si>
  <si>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</si>
  <si>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</si>
  <si>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</si>
  <si>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</si>
  <si>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</si>
  <si>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</si>
  <si>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</si>
  <si>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</si>
  <si>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</si>
  <si>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</si>
  <si>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</si>
  <si>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</si>
  <si>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</si>
  <si>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</si>
  <si>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</si>
  <si>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</si>
  <si>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</si>
  <si>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</si>
  <si>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</si>
  <si>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</si>
  <si>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</si>
  <si>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</si>
  <si>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</si>
  <si>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</si>
  <si>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</si>
  <si>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</si>
  <si>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</si>
  <si>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</si>
  <si>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</si>
  <si>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</si>
  <si>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</si>
  <si>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</si>
  <si>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</si>
  <si>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</si>
  <si>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</si>
  <si>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</si>
  <si>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</si>
  <si>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</si>
  <si>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</si>
  <si>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</si>
  <si>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</si>
  <si>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</si>
  <si>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</si>
  <si>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</si>
  <si>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</si>
  <si>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</si>
  <si>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</si>
  <si>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</si>
  <si>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</si>
  <si>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</si>
  <si>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</si>
  <si>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</si>
  <si>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</si>
  <si>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</si>
  <si>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</si>
  <si>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</si>
  <si>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</si>
  <si>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</si>
  <si>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</si>
  <si>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</si>
  <si>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</si>
  <si>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</si>
  <si>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</si>
  <si>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</si>
  <si>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</si>
  <si>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</si>
  <si>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</si>
  <si>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</si>
  <si>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</si>
  <si>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</si>
  <si>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</si>
  <si>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</si>
  <si>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</si>
  <si>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</si>
  <si>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</si>
  <si>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</si>
  <si>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</si>
  <si>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</si>
  <si>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</si>
  <si>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</si>
  <si>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</si>
  <si>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</si>
  <si>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</si>
  <si>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</si>
  <si>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</si>
  <si>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</si>
  <si>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</si>
  <si>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</si>
  <si>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</si>
  <si>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</si>
  <si>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</si>
  <si>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</si>
  <si>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</si>
  <si>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</si>
  <si>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</si>
  <si>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</si>
  <si>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</si>
  <si>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</si>
  <si>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</si>
  <si>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</si>
  <si>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</si>
  <si>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</si>
  <si>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</si>
  <si>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</si>
  <si>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</si>
  <si>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</si>
  <si>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</si>
  <si>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</si>
  <si>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</si>
  <si>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</si>
  <si>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</si>
  <si>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</si>
  <si>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</si>
  <si>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</si>
  <si>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</si>
  <si>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</si>
  <si>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&lt;-NOTE: every model must have a terminal pelagic &amp; benthic detritus group</t>
  </si>
  <si>
    <t>&lt;-NOTE: BA &amp; EM at very end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</si>
  <si>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</si>
  <si>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</si>
  <si>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</si>
  <si>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</si>
  <si>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</si>
  <si>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</si>
  <si>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</si>
  <si>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</si>
  <si>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</si>
  <si>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import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</si>
  <si>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</si>
  <si>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</si>
  <si>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</si>
  <si>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</si>
  <si>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</si>
  <si>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</si>
  <si>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</si>
  <si>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</si>
  <si>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&lt;-NOTE: fisheries FOLLOW terminal detritus groups (on this tab)</t>
  </si>
  <si>
    <t>NOTE: Maximum of 10 primary producers-&gt;</t>
  </si>
  <si>
    <t>micrograzers</t>
  </si>
  <si>
    <t>bacteria</t>
  </si>
  <si>
    <t>1-sum</t>
  </si>
  <si>
    <t>Seabirds</t>
  </si>
  <si>
    <t>source notes</t>
  </si>
  <si>
    <t>Model Construction Notes:</t>
  </si>
  <si>
    <t xml:space="preserve">The Gulf of Nicoya (Costa Rica) Fisheries System: Two Decades of Change </t>
  </si>
  <si>
    <t xml:space="preserve">Viola Alms* and Matthias Wolff </t>
  </si>
  <si>
    <t>Marine and Coastal Fisheries: Dynamics, Management, and Ecosystem Science 11:139–161, 2019</t>
  </si>
  <si>
    <t>Mackerels and barracudas</t>
  </si>
  <si>
    <t xml:space="preserve"> Rays and sharks</t>
  </si>
  <si>
    <t>Large drums and snooks</t>
  </si>
  <si>
    <t>Catfishes</t>
  </si>
  <si>
    <t>Morays and eels</t>
  </si>
  <si>
    <t>Carangids</t>
  </si>
  <si>
    <t>Snappers and grunts</t>
  </si>
  <si>
    <t>Cephalopods</t>
  </si>
  <si>
    <t>Lobster</t>
  </si>
  <si>
    <t>Flatfishes</t>
  </si>
  <si>
    <t>Small demersals</t>
  </si>
  <si>
    <t>Small pelagics</t>
  </si>
  <si>
    <t>Crabs</t>
  </si>
  <si>
    <t>Epibenthos</t>
  </si>
  <si>
    <t>Endobenthos</t>
  </si>
  <si>
    <t>Shrimps</t>
  </si>
  <si>
    <t>Zooplankton</t>
  </si>
  <si>
    <t>Phytoplankton</t>
  </si>
  <si>
    <t>Mangroves</t>
  </si>
  <si>
    <t>Microphytobenthos</t>
  </si>
  <si>
    <t>Detritus</t>
  </si>
  <si>
    <t>combined fleet</t>
  </si>
  <si>
    <t>* think this was printed in wrong column in paper</t>
  </si>
  <si>
    <t>F combined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</si>
</sst>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u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u/>
      <sz val="12"/>
      <name val="Calibri"/>
      <family val="2"/>
      <scheme val="minor"/>
    </font>
  </fonts>
  <fills count="1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theme="8" tint="0.79995117038484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theme="8" tint="0.39997558519242"/>
        <bgColor indexed="64"/>
      </patternFill>
    </fill>
    <fill>
      <patternFill patternType="solid">
        <fgColor theme="8" tint="0.59996337778863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2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>
      <left/>
      <right/>
      <top/>
      <bottom style="thin">
        <color rgb="FFC0C0C0"/>
      </bottom>
      <diagonal/>
    </border>
    <border/>
    <border/>
    <border/>
    <border/>
  </borders>
  <cellStyleXfs count="3654">
    <xf numFmtId="0" fontId="0" fillId="0" borderId="0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4" fillId="0" borderId="0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</cellStyleXfs>
  <cellXfs count="237">
    <xf numFmtId="0" fontId="0" fillId="0" borderId="0" xfId="0"/>
    <xf numFmtId="0" fontId="2" fillId="0" borderId="0" xfId="0" applyFont="true"/>
    <xf numFmtId="0" fontId="2" fillId="2" borderId="0" xfId="0" applyFont="true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2" fillId="0" borderId="0" xfId="0" applyNumberFormat="true" applyFont="true"/>
    <xf numFmtId="0" fontId="2" fillId="0" borderId="10" xfId="0" applyFont="true" applyBorder="true" applyAlignment="true">
      <alignment horizontal="center"/>
    </xf>
    <xf numFmtId="0" fontId="2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8" fillId="0" borderId="0" xfId="0" applyFont="true"/>
    <xf numFmtId="0" fontId="0" fillId="27" borderId="0" xfId="0" applyFill="true"/>
    <xf numFmtId="0" fontId="0" fillId="28" borderId="0" xfId="0" applyFill="true"/>
    <xf numFmtId="0" fontId="0" fillId="29" borderId="0" xfId="0" applyFill="true"/>
    <xf numFmtId="0" fontId="0" fillId="30" borderId="0" xfId="0" applyFill="true"/>
    <xf numFmtId="0" fontId="0" fillId="31" borderId="0" xfId="0" applyFill="true"/>
    <xf numFmtId="0" fontId="0" fillId="32" borderId="0" xfId="0" applyFill="true"/>
    <xf numFmtId="0" fontId="0" fillId="34" borderId="0" xfId="0" applyFill="true"/>
    <xf numFmtId="0" fontId="0" fillId="36" borderId="0" xfId="0" applyFill="true"/>
    <xf numFmtId="0" fontId="0" fillId="37" borderId="0" xfId="0" applyFill="true"/>
    <xf numFmtId="0" fontId="0" fillId="0" borderId="0" xfId="0" applyFont="true"/>
    <xf numFmtId="2" fontId="0" fillId="0" borderId="0" xfId="0" applyNumberFormat="true" applyFont="true"/>
    <xf numFmtId="0" fontId="0" fillId="38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11" fillId="2" borderId="0" xfId="0" applyFont="true" applyFill="true"/>
    <xf numFmtId="0" fontId="12" fillId="0" borderId="0" xfId="0" applyFont="true"/>
    <xf numFmtId="0" fontId="10" fillId="0" borderId="0" xfId="0" applyFont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13" fillId="0" borderId="0" xfId="0" applyFont="true" applyAlignment="true">
      <alignment horizontal="right"/>
    </xf>
    <xf numFmtId="0" fontId="14" fillId="0" borderId="0" xfId="0" applyFont="true"/>
    <xf numFmtId="0" fontId="13" fillId="0" borderId="0" xfId="0" applyFont="true"/>
    <xf numFmtId="0" fontId="15" fillId="0" borderId="0" xfId="0" applyFont="true"/>
    <xf numFmtId="0" fontId="13" fillId="0" borderId="0" xfId="0" applyFont="true" applyAlignment="true">
      <alignment horizontal="left"/>
    </xf>
    <xf numFmtId="0" fontId="13" fillId="64" borderId="0" xfId="0" applyFont="true" applyFill="true"/>
    <xf numFmtId="0" fontId="13" fillId="65" borderId="0" xfId="0" applyFont="true" applyFill="true"/>
    <xf numFmtId="0" fontId="13" fillId="59" borderId="0" xfId="0" applyFont="true" applyFill="true"/>
    <xf numFmtId="0" fontId="12" fillId="0" borderId="0" xfId="0" applyFont="true" applyFill="true"/>
    <xf numFmtId="0" fontId="16" fillId="0" borderId="0" xfId="0" applyFont="true" applyFill="true"/>
    <xf numFmtId="0" fontId="9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2" fillId="33" borderId="0" xfId="0" applyFont="true" applyFill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7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8" fillId="0" borderId="0" xfId="0" applyFont="true"/>
    <xf numFmtId="0" fontId="10" fillId="39" borderId="0" xfId="0" applyFont="true" applyFill="true"/>
    <xf numFmtId="0" fontId="9" fillId="0" borderId="0" xfId="0" applyFont="true" applyFill="true" applyAlignment="true">
      <alignment horizontal="left"/>
    </xf>
    <xf numFmtId="0" fontId="11" fillId="2" borderId="0" xfId="0" applyFont="true" applyFill="true" applyAlignment="true">
      <alignment wrapText="true"/>
    </xf>
    <xf numFmtId="0" fontId="12" fillId="0" borderId="0" xfId="0" applyFont="true" applyAlignment="true">
      <alignment horizontal="center"/>
    </xf>
    <xf numFmtId="0" fontId="12" fillId="0" borderId="0" xfId="0" applyFont="true" applyAlignment="true">
      <alignment horizontal="center" wrapText="true"/>
    </xf>
    <xf numFmtId="0" fontId="12" fillId="3" borderId="0" xfId="0" applyFont="true" applyFill="true" applyAlignment="true">
      <alignment horizontal="center"/>
    </xf>
    <xf numFmtId="0" fontId="11" fillId="0" borderId="0" xfId="0" applyFont="true" applyAlignment="true">
      <alignment wrapText="true"/>
    </xf>
    <xf numFmtId="0" fontId="12" fillId="0" borderId="0" xfId="0" applyFont="true" applyAlignment="true">
      <alignment wrapText="true"/>
    </xf>
    <xf numFmtId="0" fontId="12" fillId="33" borderId="0" xfId="0" applyFont="true" applyFill="true" applyAlignment="true">
      <alignment horizontal="center"/>
    </xf>
    <xf numFmtId="0" fontId="9" fillId="0" borderId="0" xfId="0" applyFont="true" applyAlignment="true">
      <alignment horizontal="right"/>
    </xf>
    <xf numFmtId="0" fontId="11" fillId="0" borderId="0" xfId="0" applyFont="true" applyAlignment="true">
      <alignment horizontal="center"/>
    </xf>
    <xf numFmtId="0" fontId="11" fillId="0" borderId="0" xfId="0" applyFont="true" applyFill="true" applyAlignment="true">
      <alignment horizontal="center"/>
    </xf>
    <xf numFmtId="0" fontId="11" fillId="26" borderId="0" xfId="0" applyFont="true" applyFill="true" applyAlignment="true">
      <alignment horizontal="center"/>
    </xf>
    <xf numFmtId="0" fontId="11" fillId="24" borderId="0" xfId="0" applyFont="true" applyFill="true" applyAlignment="true">
      <alignment horizontal="center"/>
    </xf>
    <xf numFmtId="0" fontId="11" fillId="25" borderId="0" xfId="0" applyFont="true" applyFill="true" applyAlignment="true">
      <alignment horizontal="center"/>
    </xf>
    <xf numFmtId="0" fontId="11" fillId="22" borderId="0" xfId="0" applyFont="true" applyFill="true" applyAlignment="true">
      <alignment horizontal="center"/>
    </xf>
    <xf numFmtId="0" fontId="11" fillId="23" borderId="0" xfId="0" applyFont="true" applyFill="true" applyAlignment="true">
      <alignment horizontal="center"/>
    </xf>
    <xf numFmtId="0" fontId="11" fillId="0" borderId="0" xfId="0" applyFont="true" applyFill="true" applyAlignment="true">
      <alignment horizontal="right"/>
    </xf>
    <xf numFmtId="0" fontId="12" fillId="21" borderId="2" xfId="0" applyFont="true" applyFill="true" applyBorder="true" applyAlignment="true">
      <alignment horizontal="center"/>
    </xf>
    <xf numFmtId="0" fontId="12" fillId="0" borderId="0" xfId="0" applyFont="true" applyFill="true" applyBorder="true"/>
    <xf numFmtId="0" fontId="12" fillId="0" borderId="0" xfId="0" applyFont="true" applyBorder="true"/>
    <xf numFmtId="0" fontId="12" fillId="21" borderId="4" xfId="0" applyFont="true" applyFill="true" applyBorder="true" applyAlignment="true">
      <alignment horizontal="center"/>
    </xf>
    <xf numFmtId="0" fontId="12" fillId="21" borderId="3" xfId="0" applyFont="true" applyFill="true" applyBorder="true"/>
    <xf numFmtId="0" fontId="11" fillId="2" borderId="0" xfId="0" applyFont="true" applyFill="true" applyBorder="true"/>
    <xf numFmtId="0" fontId="12" fillId="0" borderId="0" xfId="0" applyFont="true" applyFill="true" applyAlignment="true">
      <alignment horizontal="center"/>
    </xf>
    <xf numFmtId="0" fontId="19" fillId="0" borderId="0" xfId="0" applyFont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5" borderId="2" xfId="0" applyNumberFormat="true" applyFont="true" applyFill="true" applyBorder="true"/>
    <xf numFmtId="0" fontId="20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5" borderId="3" xfId="0" applyNumberFormat="true" applyFont="true" applyFill="true" applyBorder="true"/>
    <xf numFmtId="0" fontId="12" fillId="35" borderId="2" xfId="0" applyFont="true" applyFill="true" applyBorder="true"/>
    <xf numFmtId="0" fontId="12" fillId="35" borderId="3" xfId="0" applyFont="true" applyFill="true" applyBorder="true"/>
    <xf numFmtId="0" fontId="19" fillId="0" borderId="0" xfId="0" applyFont="true" applyAlignment="true">
      <alignment horizontal="left"/>
    </xf>
    <xf numFmtId="0" fontId="12" fillId="35" borderId="4" xfId="0" applyFont="true" applyFill="true" applyBorder="true"/>
    <xf numFmtId="0" fontId="12" fillId="0" borderId="0" xfId="0" applyFont="true" applyFill="true" applyAlignment="true">
      <alignment horizontal="left"/>
    </xf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21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2" fillId="0" borderId="0" xfId="0" applyFont="true" applyAlignment="true">
      <alignment horizontal="center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22" fillId="0" borderId="0" xfId="0" applyFont="true" applyFill="true" applyAlignment="true">
      <alignment horizontal="center"/>
    </xf>
    <xf numFmtId="0" fontId="22" fillId="0" borderId="1" xfId="0" applyFont="true" applyFill="true" applyBorder="true" applyAlignment="true">
      <alignment horizontal="center"/>
    </xf>
    <xf numFmtId="0" fontId="22" fillId="0" borderId="0" xfId="0" applyFont="true" applyFill="true"/>
    <xf numFmtId="0" fontId="23" fillId="0" borderId="0" xfId="0" applyFont="true" applyAlignment="true">
      <alignment horizontal="left"/>
    </xf>
    <xf numFmtId="0" fontId="24" fillId="0" borderId="1" xfId="0" applyFont="true" applyBorder="true" applyAlignment="true">
      <alignment horizontal="center"/>
    </xf>
    <xf numFmtId="0" fontId="24" fillId="0" borderId="0" xfId="0" applyFont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9" fillId="0" borderId="0" xfId="0" applyFont="true"/>
    <xf numFmtId="0" fontId="9" fillId="0" borderId="0" xfId="0" applyFont="true" applyAlignment="true">
      <alignment horizontal="center"/>
    </xf>
    <xf numFmtId="0" fontId="9" fillId="0" borderId="0" xfId="0" applyFont="true" applyAlignment="true"/>
    <xf numFmtId="0" fontId="0" fillId="39" borderId="0" xfId="0" applyFill="true"/>
    <xf numFmtId="0" fontId="7" fillId="0" borderId="0" xfId="0" quotePrefix="true" applyFont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1" fillId="0" borderId="0" xfId="0" applyFont="true" applyAlignment="true">
      <alignment horizontal="right"/>
    </xf>
    <xf numFmtId="0" fontId="14" fillId="0" borderId="0" xfId="0" applyFont="true" applyFill="true"/>
    <xf numFmtId="0" fontId="14" fillId="2" borderId="2" xfId="0" applyFont="true" applyFill="true" applyBorder="true" applyAlignment="true">
      <alignment horizontal="center"/>
    </xf>
    <xf numFmtId="0" fontId="14" fillId="0" borderId="0" xfId="0" applyFont="true" applyFill="true" applyAlignment="true">
      <alignment horizontal="center"/>
    </xf>
    <xf numFmtId="0" fontId="13" fillId="21" borderId="5" xfId="0" applyFont="true" applyFill="true" applyBorder="true"/>
    <xf numFmtId="0" fontId="13" fillId="21" borderId="6" xfId="0" applyFont="true" applyFill="true" applyBorder="true"/>
    <xf numFmtId="0" fontId="14" fillId="2" borderId="3" xfId="0" applyFont="true" applyFill="true" applyBorder="true" applyAlignment="true">
      <alignment horizontal="center"/>
    </xf>
    <xf numFmtId="0" fontId="13" fillId="21" borderId="7" xfId="0" applyFont="true" applyFill="true" applyBorder="true"/>
    <xf numFmtId="0" fontId="13" fillId="21" borderId="8" xfId="0" applyFont="true" applyFill="true" applyBorder="true"/>
    <xf numFmtId="0" fontId="13" fillId="0" borderId="0" xfId="0" applyFont="true" applyFill="true"/>
    <xf numFmtId="0" fontId="25" fillId="0" borderId="0" xfId="0" applyFont="true" applyAlignment="true">
      <alignment horizontal="right"/>
    </xf>
    <xf numFmtId="0" fontId="14" fillId="0" borderId="0" xfId="0" applyFont="true" applyAlignment="true">
      <alignment horizontal="right"/>
    </xf>
    <xf numFmtId="0" fontId="14" fillId="21" borderId="2" xfId="0" applyFont="true" applyFill="true" applyBorder="true" applyAlignment="true">
      <alignment horizontal="center"/>
    </xf>
    <xf numFmtId="0" fontId="13" fillId="0" borderId="0" xfId="0" applyFont="true" applyFill="true" applyBorder="true" applyAlignment="true">
      <alignment horizontal="center"/>
    </xf>
    <xf numFmtId="0" fontId="14" fillId="21" borderId="4" xfId="0" applyFont="true" applyFill="true" applyBorder="true" applyAlignment="true">
      <alignment horizontal="center"/>
    </xf>
    <xf numFmtId="0" fontId="14" fillId="0" borderId="0" xfId="0" applyFont="true" applyFill="true" applyBorder="true" applyAlignment="true">
      <alignment horizontal="right"/>
    </xf>
    <xf numFmtId="0" fontId="13" fillId="21" borderId="9" xfId="0" applyFont="true" applyFill="true" applyBorder="true"/>
    <xf numFmtId="0" fontId="13" fillId="21" borderId="11" xfId="0" applyFont="true" applyFill="true" applyBorder="true"/>
    <xf numFmtId="0" fontId="14" fillId="21" borderId="3" xfId="0" applyFont="true" applyFill="true" applyBorder="true" applyAlignment="true">
      <alignment horizontal="center"/>
    </xf>
    <xf numFmtId="0" fontId="0" fillId="0" borderId="0" xfId="0" applyAlignment="true">
      <alignment horizontal="center"/>
    </xf>
    <xf numFmtId="0" fontId="21" fillId="0" borderId="24" xfId="0" applyFont="true" applyFill="true" applyBorder="true" applyAlignment="true">
      <alignment horizontal="left" wrapText="true"/>
    </xf>
    <xf numFmtId="0" fontId="12" fillId="39" borderId="0" xfId="0" applyFont="true" applyFill="true"/>
    <xf numFmtId="49" fontId="0" fillId="0" borderId="25" xfId="0" applyNumberFormat="true"/>
    <xf numFmtId="22" fontId="0" fillId="0" borderId="26" xfId="0" applyNumberFormat="true"/>
    <xf numFmtId="49" fontId="0" fillId="0" borderId="27" xfId="0" applyNumberFormat="true"/>
    <xf numFmtId="22" fontId="0" fillId="0" borderId="28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/>
  <cols>
    <col min="2" max="2" width="34.83203125" customWidth="true"/>
  </cols>
  <sheetData>
    <row r="2">
      <c r="B2" t="s">
        <v>147</v>
      </c>
    </row>
    <row r="3">
      <c r="B3" t="s">
        <v>148</v>
      </c>
    </row>
    <row r="4">
      <c r="B4" s="34" t="s">
        <v>173</v>
      </c>
    </row>
    <row r="6" ht="14" thickBot="true">
      <c r="B6" s="27" t="s">
        <v>143</v>
      </c>
    </row>
    <row r="7">
      <c r="B7" s="34" t="s">
        <v>145</v>
      </c>
    </row>
    <row r="8">
      <c r="B8" s="34" t="s">
        <v>144</v>
      </c>
    </row>
    <row r="9">
      <c r="B9" s="34" t="s">
        <v>146</v>
      </c>
    </row>
    <row r="10">
      <c r="B10" s="34" t="s">
        <v>149</v>
      </c>
    </row>
    <row r="11">
      <c r="B11" s="34" t="s">
        <v>153</v>
      </c>
    </row>
    <row r="12">
      <c r="B12" s="34" t="s">
        <v>155</v>
      </c>
    </row>
    <row r="13">
      <c r="B13" s="34" t="s">
        <v>174</v>
      </c>
    </row>
    <row r="15" ht="14" thickBot="true"/>
    <row r="16" ht="14" thickBot="true">
      <c r="B16" s="28" t="s">
        <v>139</v>
      </c>
      <c r="C16" s="29"/>
      <c r="D16" s="21">
        <v>41373</v>
      </c>
    </row>
    <row r="17">
      <c r="B17" s="30" t="s">
        <v>59</v>
      </c>
      <c r="C17" s="24">
        <v>0</v>
      </c>
    </row>
    <row r="18">
      <c r="B18" s="30" t="s">
        <v>60</v>
      </c>
      <c r="C18" s="24">
        <v>1</v>
      </c>
    </row>
    <row r="19">
      <c r="B19" s="30" t="s">
        <v>61</v>
      </c>
      <c r="C19" s="24">
        <v>2</v>
      </c>
    </row>
    <row r="20" ht="14" thickBot="true">
      <c r="B20" s="31" t="s">
        <v>45</v>
      </c>
      <c r="C20" s="25">
        <v>3</v>
      </c>
    </row>
    <row r="21">
      <c r="B21" s="32" t="s">
        <v>142</v>
      </c>
    </row>
    <row r="22" ht="14" thickBot="true"/>
    <row r="23" ht="14" thickBot="true">
      <c r="B23" s="28" t="s">
        <v>67</v>
      </c>
      <c r="C23" s="29"/>
      <c r="D23" s="21" t="s">
        <v>150</v>
      </c>
    </row>
    <row r="24">
      <c r="B24" s="33" t="s">
        <v>39</v>
      </c>
      <c r="C24" s="22">
        <v>1</v>
      </c>
    </row>
    <row r="25">
      <c r="B25" s="30" t="s">
        <v>41</v>
      </c>
      <c r="C25" s="24">
        <v>1.1000000000000001</v>
      </c>
    </row>
    <row r="26">
      <c r="B26" s="30" t="s">
        <v>42</v>
      </c>
      <c r="C26" s="24">
        <v>1.2</v>
      </c>
    </row>
    <row r="27">
      <c r="B27" s="30"/>
      <c r="C27" s="24"/>
    </row>
    <row r="28">
      <c r="B28" s="30" t="s">
        <v>43</v>
      </c>
      <c r="C28" s="24">
        <v>2.1</v>
      </c>
    </row>
    <row r="29">
      <c r="B29" s="30" t="s">
        <v>44</v>
      </c>
      <c r="C29" s="24">
        <v>2.2000000000000002</v>
      </c>
    </row>
    <row r="30">
      <c r="B30" s="30" t="s">
        <v>69</v>
      </c>
      <c r="C30" s="24">
        <v>2.2999999999999998</v>
      </c>
    </row>
    <row r="31">
      <c r="B31" s="30"/>
      <c r="C31" s="24"/>
    </row>
    <row r="32">
      <c r="B32" s="30" t="s">
        <v>64</v>
      </c>
      <c r="C32" s="24">
        <v>3.11</v>
      </c>
    </row>
    <row r="33">
      <c r="B33" s="30" t="s">
        <v>63</v>
      </c>
      <c r="C33" s="24">
        <v>3.12</v>
      </c>
    </row>
    <row r="34">
      <c r="B34" s="30" t="s">
        <v>70</v>
      </c>
      <c r="C34" s="24">
        <v>3.13</v>
      </c>
    </row>
    <row r="35">
      <c r="B35" s="30"/>
      <c r="C35" s="24"/>
    </row>
    <row r="36">
      <c r="B36" s="30" t="s">
        <v>68</v>
      </c>
      <c r="C36" s="24">
        <v>3.21</v>
      </c>
    </row>
    <row r="37">
      <c r="B37" s="30" t="s">
        <v>65</v>
      </c>
      <c r="C37" s="24">
        <v>3.22</v>
      </c>
    </row>
    <row r="38">
      <c r="B38" s="30" t="s">
        <v>71</v>
      </c>
      <c r="C38" s="24">
        <v>3.23</v>
      </c>
    </row>
    <row r="39">
      <c r="B39" s="30"/>
      <c r="C39" s="24"/>
    </row>
    <row r="40">
      <c r="B40" s="30" t="s">
        <v>66</v>
      </c>
      <c r="C40" s="24">
        <v>8</v>
      </c>
    </row>
    <row r="41">
      <c r="B41" s="30"/>
      <c r="C41" s="24"/>
    </row>
    <row r="42">
      <c r="B42" s="30" t="s">
        <v>73</v>
      </c>
      <c r="C42" s="24">
        <v>4.0999999999999996</v>
      </c>
    </row>
    <row r="43">
      <c r="B43" s="30" t="s">
        <v>72</v>
      </c>
      <c r="C43" s="24">
        <v>4.2</v>
      </c>
    </row>
    <row r="44">
      <c r="B44" s="30" t="s">
        <v>74</v>
      </c>
      <c r="C44" s="24">
        <v>4.3</v>
      </c>
    </row>
    <row r="45">
      <c r="B45" s="23"/>
      <c r="C45" s="24"/>
    </row>
    <row r="46">
      <c r="B46" s="30" t="s">
        <v>140</v>
      </c>
      <c r="C46" s="24">
        <v>6.1</v>
      </c>
    </row>
    <row r="47">
      <c r="B47" s="30" t="s">
        <v>46</v>
      </c>
      <c r="C47" s="24">
        <v>6.2</v>
      </c>
    </row>
    <row r="48">
      <c r="B48" s="30"/>
      <c r="C48" s="24"/>
    </row>
    <row r="49">
      <c r="B49" s="30" t="s">
        <v>45</v>
      </c>
      <c r="C49" s="24">
        <v>5</v>
      </c>
    </row>
    <row r="50">
      <c r="B50" s="30"/>
      <c r="C50" s="24"/>
    </row>
    <row r="51" ht="14" thickBot="true">
      <c r="B51" s="31" t="s">
        <v>75</v>
      </c>
      <c r="C51" s="25">
        <v>7</v>
      </c>
    </row>
  </sheetData>
  <phoneticPr fontId="3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E34"/>
  <sheetViews>
    <sheetView workbookViewId="0">
      <selection activeCell="E40" sqref="E40"/>
    </sheetView>
  </sheetViews>
  <sheetFormatPr baseColWidth="10" defaultColWidth="8.83203125" defaultRowHeight="15" customHeight="true"/>
  <cols>
    <col min="1" max="1" width="22.5" style="67" customWidth="true"/>
    <col min="2" max="2" width="7.6640625" style="67" customWidth="true"/>
    <col min="3" max="3" width="8.83203125" style="67"/>
    <col min="4" max="4" width="14.33203125" style="67" customWidth="true"/>
    <col min="5" max="5" width="41.83203125" style="67" bestFit="true" customWidth="true"/>
    <col min="6" max="6" width="9.5" style="67" bestFit="true" customWidth="true"/>
    <col min="7" max="7" width="8.1640625" style="67" bestFit="true" customWidth="true"/>
    <col min="8" max="9" width="8.83203125" style="67"/>
    <col min="10" max="10" width="9.1640625" style="67" bestFit="true" customWidth="true"/>
    <col min="11" max="25" width="8.83203125" style="67"/>
    <col min="26" max="26" width="16.1640625" style="67" bestFit="true" customWidth="true"/>
    <col min="27" max="27" width="23.6640625" style="67" customWidth="true"/>
    <col min="28" max="28" width="18.83203125" style="67" bestFit="true" customWidth="true"/>
    <col min="29" max="29" width="18.83203125" style="67" customWidth="true"/>
    <col min="30" max="30" width="16.33203125" style="67" customWidth="true"/>
    <col min="31" max="16384" width="8.83203125" style="67"/>
  </cols>
  <sheetData>
    <row r="1" s="85" customFormat="true" ht="15" customHeight="true">
      <c r="A1" s="84" t="s">
        <v>19</v>
      </c>
      <c r="C1" s="86" t="s">
        <v>8</v>
      </c>
      <c r="D1" s="84" t="s">
        <v>24</v>
      </c>
      <c r="E1" s="84" t="s">
        <v>0</v>
      </c>
      <c r="F1" s="84" t="s">
        <v>7</v>
      </c>
      <c r="G1" s="87" t="s">
        <v>14</v>
      </c>
      <c r="H1" s="84" t="s">
        <v>1</v>
      </c>
      <c r="I1" s="84" t="s">
        <v>2</v>
      </c>
      <c r="J1" s="84" t="s">
        <v>15</v>
      </c>
      <c r="K1" s="84" t="s">
        <v>3</v>
      </c>
      <c r="L1" s="84" t="s">
        <v>4</v>
      </c>
      <c r="M1" s="84" t="s">
        <v>5</v>
      </c>
      <c r="N1" s="84" t="s">
        <v>6</v>
      </c>
      <c r="O1" s="67"/>
      <c r="P1" s="82" t="s">
        <v>183</v>
      </c>
      <c r="Z1" s="67"/>
      <c r="AA1" s="67"/>
      <c r="AB1" s="67"/>
      <c r="AC1" s="67"/>
      <c r="AD1" s="67"/>
      <c r="AE1" s="67"/>
    </row>
    <row r="2" ht="15" customHeight="true">
      <c r="C2" s="67">
        <v>1</v>
      </c>
      <c r="E2" s="110" t="s">
        <v>182</v>
      </c>
      <c r="F2" s="67">
        <v>0</v>
      </c>
      <c r="G2" s="163">
        <v>0.06</v>
      </c>
      <c r="H2" s="163">
        <v>0.09</v>
      </c>
      <c r="I2" s="163">
        <v>50</v>
      </c>
      <c r="J2"/>
      <c r="K2"/>
      <c r="L2" s="163">
        <v>0</v>
      </c>
      <c r="M2" s="81">
        <v>0.2</v>
      </c>
      <c r="N2" s="67">
        <v>0</v>
      </c>
      <c r="Q2"/>
      <c r="AA2"/>
      <c r="AB2"/>
      <c r="AC2"/>
    </row>
    <row r="3" ht="15" customHeight="true">
      <c r="A3" s="88" t="s">
        <v>9</v>
      </c>
      <c r="B3" s="66">
        <v>21</v>
      </c>
      <c r="C3" s="67">
        <v>2</v>
      </c>
      <c r="E3" s="110" t="s">
        <v>188</v>
      </c>
      <c r="F3" s="67">
        <v>0</v>
      </c>
      <c r="G3" s="163">
        <v>0.06</v>
      </c>
      <c r="H3" s="163">
        <v>0.6</v>
      </c>
      <c r="I3" s="163">
        <v>7</v>
      </c>
      <c r="J3"/>
      <c r="K3"/>
      <c r="L3" s="163">
        <v>0</v>
      </c>
      <c r="M3" s="81">
        <v>0.2</v>
      </c>
      <c r="N3" s="67">
        <v>0</v>
      </c>
      <c r="Q3"/>
      <c r="AA3"/>
      <c r="AB3"/>
      <c r="AC3"/>
    </row>
    <row r="4" ht="15" customHeight="true">
      <c r="A4" s="88" t="s">
        <v>10</v>
      </c>
      <c r="B4" s="66">
        <v>3</v>
      </c>
      <c r="C4" s="67">
        <v>3</v>
      </c>
      <c r="E4" s="110" t="s">
        <v>189</v>
      </c>
      <c r="F4" s="67">
        <v>0</v>
      </c>
      <c r="G4" s="163">
        <v>7.0000000000000007E-2</v>
      </c>
      <c r="H4" s="163">
        <v>0.75</v>
      </c>
      <c r="I4" s="163">
        <v>4</v>
      </c>
      <c r="J4"/>
      <c r="K4"/>
      <c r="L4" s="163">
        <v>0</v>
      </c>
      <c r="M4" s="81">
        <v>0.2</v>
      </c>
      <c r="N4" s="67">
        <v>0</v>
      </c>
      <c r="Q4"/>
      <c r="V4" s="88" t="s">
        <v>30</v>
      </c>
      <c r="AA4"/>
      <c r="AB4"/>
      <c r="AC4"/>
    </row>
    <row r="5" ht="15" customHeight="true" thickBot="true">
      <c r="A5" s="88" t="s">
        <v>11</v>
      </c>
      <c r="B5" s="66">
        <v>1</v>
      </c>
      <c r="C5" s="67">
        <v>4</v>
      </c>
      <c r="E5" s="110" t="s">
        <v>190</v>
      </c>
      <c r="F5" s="67">
        <v>0</v>
      </c>
      <c r="G5" s="163">
        <v>0.35</v>
      </c>
      <c r="H5" s="163">
        <v>0.7</v>
      </c>
      <c r="I5" s="163">
        <v>4</v>
      </c>
      <c r="J5"/>
      <c r="K5"/>
      <c r="L5" s="163">
        <v>0</v>
      </c>
      <c r="M5" s="67">
        <v>0.2</v>
      </c>
      <c r="N5" s="67">
        <v>0</v>
      </c>
      <c r="Q5"/>
      <c r="R5" s="81"/>
      <c r="AA5"/>
      <c r="AB5"/>
      <c r="AC5"/>
    </row>
    <row r="6" ht="15" customHeight="true" thickBot="true">
      <c r="B6" s="88"/>
      <c r="C6" s="67">
        <v>5</v>
      </c>
      <c r="E6" s="110" t="s">
        <v>191</v>
      </c>
      <c r="F6" s="67">
        <v>0</v>
      </c>
      <c r="G6" s="163">
        <v>0.45</v>
      </c>
      <c r="H6" s="163">
        <v>0.8</v>
      </c>
      <c r="I6" s="163">
        <v>6</v>
      </c>
      <c r="J6"/>
      <c r="K6"/>
      <c r="L6" s="163">
        <v>0</v>
      </c>
      <c r="M6" s="67">
        <v>0.2</v>
      </c>
      <c r="N6" s="67">
        <v>0</v>
      </c>
      <c r="Q6"/>
      <c r="R6" s="81"/>
      <c r="W6" s="90" t="s">
        <v>32</v>
      </c>
      <c r="X6" s="91">
        <f>MAX(MainOutputs!G:G)</f>
        <v>65535</v>
      </c>
      <c r="AA6"/>
      <c r="AB6"/>
      <c r="AC6"/>
    </row>
    <row r="7" ht="15" customHeight="true">
      <c r="A7" s="92" t="s">
        <v>28</v>
      </c>
      <c r="B7" s="67">
        <f ca="true">COUNTIF(OFFSET(cornerDiets,1,1,NumLiving+NumDead+1,NumLiving+NumDead),"&gt;0")+NumLiving+NumDead+1</f>
        <v>143</v>
      </c>
      <c r="C7" s="67">
        <v>6</v>
      </c>
      <c r="E7" s="110" t="s">
        <v>192</v>
      </c>
      <c r="F7" s="67">
        <v>0</v>
      </c>
      <c r="G7" s="163">
        <v>0.17</v>
      </c>
      <c r="H7" s="163">
        <v>0.5</v>
      </c>
      <c r="I7" s="163">
        <v>5</v>
      </c>
      <c r="J7"/>
      <c r="K7"/>
      <c r="L7" s="163">
        <v>0</v>
      </c>
      <c r="M7" s="67">
        <v>0.2</v>
      </c>
      <c r="N7" s="67">
        <v>0</v>
      </c>
      <c r="Q7"/>
      <c r="R7" s="81"/>
      <c r="AA7"/>
      <c r="AB7"/>
      <c r="AC7"/>
    </row>
    <row r="8" ht="15" customHeight="true">
      <c r="A8" s="92" t="s">
        <v>29</v>
      </c>
      <c r="B8" s="67">
        <f ca="true">COUNTIF(OFFSET(cornerFishing,1,2,NumLiving+NumDead,NumGears),"&gt;0")+NumDead*COUNTIF(OFFSET(cornerDiscards,1,2,NumLiving+NumDead,NumGears),"&gt;0")+NumLiving+NumDead+1</f>
        <v>40</v>
      </c>
      <c r="C8" s="67">
        <v>7</v>
      </c>
      <c r="E8" s="110" t="s">
        <v>193</v>
      </c>
      <c r="F8" s="67">
        <v>0</v>
      </c>
      <c r="G8" s="163">
        <v>0.5</v>
      </c>
      <c r="H8" s="163">
        <v>0.75</v>
      </c>
      <c r="I8" s="163">
        <v>6</v>
      </c>
      <c r="J8"/>
      <c r="K8"/>
      <c r="L8" s="163">
        <v>0</v>
      </c>
      <c r="M8" s="81">
        <v>0.2</v>
      </c>
      <c r="N8" s="81">
        <v>0</v>
      </c>
      <c r="Q8"/>
      <c r="R8" s="81"/>
      <c r="AA8"/>
      <c r="AB8"/>
      <c r="AC8"/>
    </row>
    <row r="9" ht="15" customHeight="true">
      <c r="B9" s="88"/>
      <c r="C9" s="67">
        <v>8</v>
      </c>
      <c r="E9" s="110" t="s">
        <v>194</v>
      </c>
      <c r="F9" s="67">
        <v>0</v>
      </c>
      <c r="G9" s="163">
        <v>0.7</v>
      </c>
      <c r="H9" s="163">
        <v>0.9</v>
      </c>
      <c r="I9" s="163">
        <v>5</v>
      </c>
      <c r="J9"/>
      <c r="K9"/>
      <c r="L9" s="163">
        <v>0</v>
      </c>
      <c r="M9" s="81">
        <v>0.2</v>
      </c>
      <c r="N9" s="81">
        <v>0</v>
      </c>
      <c r="Q9"/>
      <c r="R9" s="81"/>
      <c r="AA9"/>
      <c r="AB9"/>
      <c r="AC9"/>
    </row>
    <row r="10" ht="15" customHeight="true">
      <c r="B10" s="88"/>
      <c r="C10" s="67">
        <v>9</v>
      </c>
      <c r="E10" s="110" t="s">
        <v>195</v>
      </c>
      <c r="F10" s="67">
        <v>0</v>
      </c>
      <c r="G10" s="163">
        <v>0.3</v>
      </c>
      <c r="H10" s="163">
        <v>4</v>
      </c>
      <c r="I10" s="163">
        <v>15</v>
      </c>
      <c r="J10"/>
      <c r="K10"/>
      <c r="L10" s="163">
        <v>0</v>
      </c>
      <c r="M10" s="81">
        <v>0.2</v>
      </c>
      <c r="N10" s="81">
        <v>0</v>
      </c>
      <c r="Q10"/>
      <c r="AA10"/>
      <c r="AB10"/>
      <c r="AC10"/>
    </row>
    <row r="11" ht="15" customHeight="true">
      <c r="C11" s="67">
        <v>10</v>
      </c>
      <c r="E11" s="110" t="s">
        <v>196</v>
      </c>
      <c r="F11" s="67">
        <v>0</v>
      </c>
      <c r="G11" s="163">
        <v>0.1</v>
      </c>
      <c r="H11" s="163">
        <v>1.5</v>
      </c>
      <c r="I11" s="163">
        <v>10</v>
      </c>
      <c r="J11"/>
      <c r="K11"/>
      <c r="L11" s="163">
        <v>0</v>
      </c>
      <c r="M11" s="81">
        <v>0.2</v>
      </c>
      <c r="N11" s="81">
        <v>0</v>
      </c>
      <c r="Q11"/>
      <c r="AA11"/>
      <c r="AB11"/>
      <c r="AC11"/>
    </row>
    <row r="12" ht="15" customHeight="true">
      <c r="C12" s="67">
        <v>11</v>
      </c>
      <c r="E12" s="110" t="s">
        <v>197</v>
      </c>
      <c r="F12" s="67">
        <v>0</v>
      </c>
      <c r="G12" s="163">
        <v>0.2</v>
      </c>
      <c r="H12" s="163">
        <v>1.8</v>
      </c>
      <c r="I12" s="163">
        <v>7</v>
      </c>
      <c r="J12"/>
      <c r="K12"/>
      <c r="L12" s="163">
        <v>0</v>
      </c>
      <c r="M12" s="81">
        <v>0.2</v>
      </c>
      <c r="N12" s="81">
        <v>0</v>
      </c>
      <c r="Q12"/>
      <c r="AA12"/>
      <c r="AB12"/>
      <c r="AC12"/>
    </row>
    <row r="13" ht="15" customHeight="true">
      <c r="C13" s="67">
        <v>12</v>
      </c>
      <c r="E13" s="110" t="s">
        <v>198</v>
      </c>
      <c r="F13" s="67">
        <v>0</v>
      </c>
      <c r="G13" s="163">
        <v>1.2</v>
      </c>
      <c r="H13" s="163">
        <v>2.5</v>
      </c>
      <c r="I13" s="163">
        <v>10</v>
      </c>
      <c r="J13"/>
      <c r="K13"/>
      <c r="L13" s="163">
        <v>0</v>
      </c>
      <c r="M13" s="67">
        <v>0.2</v>
      </c>
      <c r="N13" s="67">
        <v>0</v>
      </c>
      <c r="Q13"/>
      <c r="AA13"/>
      <c r="AB13"/>
      <c r="AC13"/>
    </row>
    <row r="14" ht="15" customHeight="true">
      <c r="C14" s="67">
        <v>13</v>
      </c>
      <c r="E14" s="110" t="s">
        <v>199</v>
      </c>
      <c r="F14" s="67">
        <v>0</v>
      </c>
      <c r="G14" s="163">
        <v>1.5</v>
      </c>
      <c r="H14" s="163">
        <v>4</v>
      </c>
      <c r="I14" s="163">
        <v>20</v>
      </c>
      <c r="J14"/>
      <c r="K14"/>
      <c r="L14" s="163">
        <v>0</v>
      </c>
      <c r="M14" s="67">
        <v>0.2</v>
      </c>
      <c r="N14" s="67">
        <v>0</v>
      </c>
      <c r="Q14"/>
      <c r="AA14"/>
      <c r="AB14"/>
      <c r="AC14"/>
    </row>
    <row r="15" ht="15" customHeight="true">
      <c r="C15" s="67">
        <v>14</v>
      </c>
      <c r="E15" s="110" t="s">
        <v>200</v>
      </c>
      <c r="F15" s="67">
        <v>0</v>
      </c>
      <c r="G15" s="163">
        <v>0.7</v>
      </c>
      <c r="H15" s="163">
        <v>3.5</v>
      </c>
      <c r="I15" s="163">
        <v>12</v>
      </c>
      <c r="J15"/>
      <c r="K15"/>
      <c r="L15" s="163">
        <v>0</v>
      </c>
      <c r="M15" s="67">
        <v>0.2</v>
      </c>
      <c r="N15" s="67">
        <v>0</v>
      </c>
      <c r="Q15"/>
      <c r="AA15"/>
      <c r="AB15"/>
      <c r="AC15"/>
    </row>
    <row r="16" ht="15" customHeight="true">
      <c r="C16" s="67">
        <v>15</v>
      </c>
      <c r="E16" s="110" t="s">
        <v>201</v>
      </c>
      <c r="F16" s="67">
        <v>0</v>
      </c>
      <c r="G16" s="163">
        <v>5</v>
      </c>
      <c r="H16" s="163">
        <v>4</v>
      </c>
      <c r="I16" s="163">
        <v>20</v>
      </c>
      <c r="J16"/>
      <c r="K16"/>
      <c r="L16" s="163">
        <v>0</v>
      </c>
      <c r="M16" s="67">
        <v>0.2</v>
      </c>
      <c r="N16" s="67">
        <v>0</v>
      </c>
      <c r="Q16"/>
      <c r="AA16"/>
      <c r="AB16"/>
      <c r="AC16"/>
    </row>
    <row r="17" ht="15" customHeight="true">
      <c r="C17" s="67">
        <v>16</v>
      </c>
      <c r="E17" s="110" t="s">
        <v>202</v>
      </c>
      <c r="F17" s="67">
        <v>0</v>
      </c>
      <c r="G17" s="163">
        <v>1</v>
      </c>
      <c r="H17" s="163">
        <v>10</v>
      </c>
      <c r="I17" s="163">
        <v>60</v>
      </c>
      <c r="J17"/>
      <c r="K17"/>
      <c r="L17" s="163">
        <v>0</v>
      </c>
      <c r="M17" s="67">
        <v>0.2</v>
      </c>
      <c r="N17" s="67">
        <v>0</v>
      </c>
      <c r="Q17"/>
      <c r="V17" s="88" t="s">
        <v>31</v>
      </c>
    </row>
    <row r="18" ht="15" customHeight="true">
      <c r="C18" s="67">
        <v>17</v>
      </c>
      <c r="E18" s="110" t="s">
        <v>203</v>
      </c>
      <c r="F18" s="67">
        <v>0</v>
      </c>
      <c r="G18" s="163">
        <v>0.7</v>
      </c>
      <c r="H18" s="163">
        <v>7.5</v>
      </c>
      <c r="I18" s="163">
        <v>26</v>
      </c>
      <c r="J18"/>
      <c r="K18"/>
      <c r="L18" s="163">
        <v>0</v>
      </c>
      <c r="M18" s="67">
        <v>0.2</v>
      </c>
      <c r="N18" s="67">
        <v>0</v>
      </c>
      <c r="Q18"/>
      <c r="V18" s="88"/>
    </row>
    <row r="19" ht="15" customHeight="true">
      <c r="C19" s="67">
        <v>18</v>
      </c>
      <c r="E19" s="110" t="s">
        <v>204</v>
      </c>
      <c r="F19" s="67">
        <v>0</v>
      </c>
      <c r="G19" s="163">
        <v>4</v>
      </c>
      <c r="H19" s="163">
        <v>30</v>
      </c>
      <c r="I19" s="163">
        <v>150</v>
      </c>
      <c r="J19"/>
      <c r="K19"/>
      <c r="L19" s="163">
        <v>0</v>
      </c>
      <c r="M19" s="67">
        <v>0.2</v>
      </c>
      <c r="N19" s="67">
        <v>0</v>
      </c>
      <c r="Q19"/>
    </row>
    <row r="20" ht="15" customHeight="true" thickBot="true">
      <c r="C20" s="67">
        <v>19</v>
      </c>
      <c r="E20" s="110" t="s">
        <v>205</v>
      </c>
      <c r="F20" s="67">
        <v>1</v>
      </c>
      <c r="G20" s="163">
        <v>15</v>
      </c>
      <c r="H20" s="163">
        <v>200</v>
      </c>
      <c r="I20"/>
      <c r="J20"/>
      <c r="K20"/>
      <c r="L20" s="163">
        <v>0</v>
      </c>
      <c r="M20" s="163">
        <v>0</v>
      </c>
      <c r="N20" s="67">
        <v>0</v>
      </c>
      <c r="Q20"/>
    </row>
    <row r="21" ht="15" customHeight="true" thickBot="true">
      <c r="A21" s="93" t="s">
        <v>139</v>
      </c>
      <c r="B21" s="94"/>
      <c r="C21" s="67">
        <v>20</v>
      </c>
      <c r="E21" s="110" t="s">
        <v>206</v>
      </c>
      <c r="F21" s="67">
        <v>1</v>
      </c>
      <c r="G21" s="163">
        <v>90</v>
      </c>
      <c r="H21" s="163">
        <v>0.22</v>
      </c>
      <c r="I21"/>
      <c r="J21"/>
      <c r="K21"/>
      <c r="L21" s="163">
        <v>0</v>
      </c>
      <c r="M21" s="163">
        <v>0</v>
      </c>
      <c r="N21" s="67">
        <v>0</v>
      </c>
      <c r="Q21"/>
    </row>
    <row r="22" ht="15" customHeight="true">
      <c r="A22" s="95" t="s">
        <v>59</v>
      </c>
      <c r="B22" s="96">
        <v>0</v>
      </c>
      <c r="C22" s="67">
        <v>21</v>
      </c>
      <c r="E22" s="110" t="s">
        <v>207</v>
      </c>
      <c r="F22" s="67">
        <v>1</v>
      </c>
      <c r="G22" s="163">
        <v>0.5</v>
      </c>
      <c r="H22" s="163">
        <v>125</v>
      </c>
      <c r="I22"/>
      <c r="J22"/>
      <c r="K22"/>
      <c r="L22" s="163">
        <v>0</v>
      </c>
      <c r="M22" s="163">
        <v>0</v>
      </c>
      <c r="N22" s="67">
        <v>0</v>
      </c>
      <c r="Q22"/>
    </row>
    <row r="23" ht="15" customHeight="true">
      <c r="A23" s="95" t="s">
        <v>60</v>
      </c>
      <c r="B23" s="96">
        <v>1</v>
      </c>
      <c r="C23" s="67">
        <v>22</v>
      </c>
      <c r="E23" s="110" t="s">
        <v>208</v>
      </c>
      <c r="F23" s="67">
        <v>2</v>
      </c>
      <c r="G23" s="163">
        <v>0.1</v>
      </c>
      <c r="H23"/>
      <c r="I23"/>
      <c r="J23"/>
      <c r="K23"/>
      <c r="L23" s="163">
        <v>0</v>
      </c>
      <c r="M23" s="163">
        <v>0</v>
      </c>
      <c r="N23" s="67">
        <v>0</v>
      </c>
      <c r="Q23"/>
    </row>
    <row r="24" ht="15" customHeight="true">
      <c r="A24" s="95" t="s">
        <v>61</v>
      </c>
      <c r="B24" s="96">
        <v>2</v>
      </c>
      <c r="C24" s="67">
        <v>23</v>
      </c>
      <c r="D24"/>
      <c r="E24" s="110" t="s">
        <v>124</v>
      </c>
      <c r="F24" s="67">
        <v>2</v>
      </c>
      <c r="G24" s="163">
        <v>1</v>
      </c>
      <c r="H24"/>
      <c r="I24"/>
      <c r="J24"/>
      <c r="K24"/>
      <c r="L24" s="163">
        <v>0</v>
      </c>
      <c r="M24" s="163">
        <v>0</v>
      </c>
      <c r="N24" s="67">
        <v>0</v>
      </c>
      <c r="O24"/>
      <c r="Q24"/>
      <c r="R24"/>
      <c r="S24"/>
      <c r="T24"/>
      <c r="U24"/>
    </row>
    <row r="25" ht="15" customHeight="true" thickBot="true">
      <c r="A25" s="97" t="s">
        <v>45</v>
      </c>
      <c r="B25" s="98">
        <v>3</v>
      </c>
      <c r="C25" s="67">
        <v>24</v>
      </c>
      <c r="D25"/>
      <c r="E25" s="110" t="s">
        <v>125</v>
      </c>
      <c r="F25" s="67">
        <v>2</v>
      </c>
      <c r="G25" s="163">
        <v>1</v>
      </c>
      <c r="H25"/>
      <c r="I25"/>
      <c r="J25"/>
      <c r="K25"/>
      <c r="L25" s="163">
        <v>0</v>
      </c>
      <c r="M25" s="163">
        <v>0</v>
      </c>
      <c r="N25" s="67">
        <v>0</v>
      </c>
      <c r="O25"/>
      <c r="Q25"/>
      <c r="R25"/>
      <c r="S25"/>
      <c r="T25"/>
      <c r="U25"/>
    </row>
    <row r="26" ht="15" customHeight="true">
      <c r="A26" s="99" t="s">
        <v>142</v>
      </c>
      <c r="C26" s="67">
        <v>25</v>
      </c>
      <c r="D26"/>
      <c r="E26" s="110" t="s">
        <v>209</v>
      </c>
      <c r="F26" s="67">
        <v>3</v>
      </c>
      <c r="G26" s="163">
        <v>3.4860000000000002</v>
      </c>
      <c r="H26"/>
      <c r="I26"/>
      <c r="J26"/>
      <c r="K26"/>
      <c r="L26" s="163">
        <v>0</v>
      </c>
      <c r="M26" s="163">
        <v>0</v>
      </c>
      <c r="N26" s="67">
        <v>0</v>
      </c>
      <c r="O26"/>
      <c r="Q26"/>
      <c r="R26"/>
      <c r="S26"/>
      <c r="T26"/>
      <c r="U26"/>
    </row>
    <row r="27" ht="15" customHeight="true">
      <c r="D27"/>
      <c r="E27"/>
      <c r="F27"/>
      <c r="G27"/>
      <c r="H27"/>
      <c r="I27"/>
      <c r="J27"/>
      <c r="K27"/>
      <c r="L27"/>
      <c r="M27"/>
      <c r="N27"/>
      <c r="O27"/>
      <c r="Q27"/>
      <c r="R27"/>
      <c r="S27"/>
      <c r="T27"/>
      <c r="U27"/>
    </row>
    <row r="28" ht="15" customHeight="true">
      <c r="D28"/>
      <c r="E28"/>
      <c r="F28"/>
      <c r="G28"/>
      <c r="H28"/>
      <c r="I28"/>
      <c r="J28"/>
      <c r="K28"/>
      <c r="L28"/>
      <c r="M28"/>
      <c r="N28"/>
      <c r="O28"/>
      <c r="Q28"/>
      <c r="R28"/>
      <c r="S28"/>
      <c r="T28"/>
      <c r="U28"/>
    </row>
    <row r="29" ht="15" customHeight="true">
      <c r="Q29"/>
    </row>
    <row r="31" ht="15" customHeight="true">
      <c r="E31" s="100" t="s">
        <v>184</v>
      </c>
    </row>
    <row r="32" ht="15" customHeight="true">
      <c r="F32" s="88" t="s">
        <v>185</v>
      </c>
    </row>
    <row r="33" ht="15" customHeight="true">
      <c r="F33" s="88" t="s">
        <v>186</v>
      </c>
    </row>
    <row r="34" ht="15" customHeight="true">
      <c r="F34" s="88" t="s">
        <v>187</v>
      </c>
    </row>
  </sheetData>
  <phoneticPr fontId="3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Y36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7" sqref="G27"/>
    </sheetView>
  </sheetViews>
  <sheetFormatPr baseColWidth="10" defaultColWidth="8.83203125" defaultRowHeight="16"/>
  <cols>
    <col min="1" max="1" width="38.83203125" style="67" customWidth="true"/>
    <col min="2" max="16384" width="8.83203125" style="67"/>
  </cols>
  <sheetData>
    <row r="1">
      <c r="A1" s="66" t="s">
        <v>20</v>
      </c>
      <c r="B1" s="165" t="s">
        <v>182</v>
      </c>
      <c r="C1" s="165" t="s">
        <v>188</v>
      </c>
      <c r="D1" s="165" t="s">
        <v>189</v>
      </c>
      <c r="E1" s="165" t="s">
        <v>190</v>
      </c>
      <c r="F1" s="165" t="s">
        <v>191</v>
      </c>
      <c r="G1" s="165" t="s">
        <v>192</v>
      </c>
      <c r="H1" s="165" t="s">
        <v>193</v>
      </c>
      <c r="I1" s="165" t="s">
        <v>194</v>
      </c>
      <c r="J1" s="165" t="s">
        <v>195</v>
      </c>
      <c r="K1" s="165" t="s">
        <v>196</v>
      </c>
      <c r="L1" s="165" t="s">
        <v>197</v>
      </c>
      <c r="M1" s="165" t="s">
        <v>198</v>
      </c>
      <c r="N1" s="165" t="s">
        <v>199</v>
      </c>
      <c r="O1" s="165" t="s">
        <v>200</v>
      </c>
      <c r="P1" s="165" t="s">
        <v>201</v>
      </c>
      <c r="Q1" s="165" t="s">
        <v>202</v>
      </c>
      <c r="R1" s="165" t="s">
        <v>203</v>
      </c>
      <c r="S1" s="165" t="s">
        <v>204</v>
      </c>
      <c r="T1" s="165" t="s">
        <v>205</v>
      </c>
      <c r="U1" s="165" t="s">
        <v>206</v>
      </c>
      <c r="V1" s="165" t="s">
        <v>207</v>
      </c>
      <c r="W1" s="165" t="s">
        <v>208</v>
      </c>
      <c r="X1" s="165" t="s">
        <v>124</v>
      </c>
      <c r="Y1" s="165" t="s">
        <v>125</v>
      </c>
    </row>
    <row r="2">
      <c r="A2" s="110" t="s">
        <v>182</v>
      </c>
      <c r="B2" s="232">
        <v>0</v>
      </c>
      <c r="C2" s="67">
        <v>0</v>
      </c>
      <c r="D2" s="67">
        <v>0</v>
      </c>
      <c r="E2" s="67">
        <v>0</v>
      </c>
      <c r="F2" s="67">
        <v>0</v>
      </c>
      <c r="G2" s="67">
        <v>0</v>
      </c>
      <c r="H2" s="67">
        <v>0</v>
      </c>
      <c r="I2" s="67">
        <v>0</v>
      </c>
      <c r="J2" s="67">
        <v>0</v>
      </c>
      <c r="K2" s="67">
        <v>0</v>
      </c>
      <c r="L2" s="67">
        <v>0</v>
      </c>
      <c r="M2" s="67">
        <v>0</v>
      </c>
      <c r="N2" s="67">
        <v>0</v>
      </c>
      <c r="O2" s="67">
        <v>0</v>
      </c>
      <c r="P2" s="67">
        <v>0</v>
      </c>
      <c r="Q2" s="67">
        <v>0</v>
      </c>
      <c r="R2" s="67">
        <v>0</v>
      </c>
      <c r="S2" s="67">
        <v>0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</row>
    <row r="3">
      <c r="A3" s="110" t="s">
        <v>188</v>
      </c>
      <c r="B3" s="67">
        <v>0</v>
      </c>
      <c r="C3" s="232">
        <v>0</v>
      </c>
      <c r="D3" s="67">
        <v>0</v>
      </c>
      <c r="E3" s="67">
        <v>0</v>
      </c>
      <c r="F3" s="67">
        <v>0</v>
      </c>
      <c r="G3" s="67">
        <v>0</v>
      </c>
      <c r="H3" s="67">
        <v>0</v>
      </c>
      <c r="I3" s="67">
        <v>0</v>
      </c>
      <c r="J3" s="67">
        <v>0</v>
      </c>
      <c r="K3" s="67">
        <v>0</v>
      </c>
      <c r="L3" s="67">
        <v>0</v>
      </c>
      <c r="M3" s="67">
        <v>0</v>
      </c>
      <c r="N3" s="67">
        <v>0</v>
      </c>
      <c r="O3" s="67">
        <v>0</v>
      </c>
      <c r="P3" s="67">
        <v>0</v>
      </c>
      <c r="Q3" s="67">
        <v>0</v>
      </c>
      <c r="R3" s="67">
        <v>0</v>
      </c>
      <c r="S3" s="67">
        <v>0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</row>
    <row r="4">
      <c r="A4" s="110" t="s">
        <v>189</v>
      </c>
      <c r="B4" s="67">
        <v>0</v>
      </c>
      <c r="C4" s="67">
        <v>0</v>
      </c>
      <c r="D4" s="232">
        <v>5.0000000000000001E-3</v>
      </c>
      <c r="E4" s="67">
        <v>0</v>
      </c>
      <c r="F4" s="67">
        <v>0</v>
      </c>
      <c r="G4" s="67">
        <v>0</v>
      </c>
      <c r="H4" s="67">
        <v>0</v>
      </c>
      <c r="I4" s="67">
        <v>0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</row>
    <row r="5">
      <c r="A5" s="110" t="s">
        <v>190</v>
      </c>
      <c r="B5" s="67">
        <v>0</v>
      </c>
      <c r="C5" s="67">
        <v>0</v>
      </c>
      <c r="D5" s="67">
        <v>0</v>
      </c>
      <c r="E5" s="232">
        <v>0</v>
      </c>
      <c r="F5" s="67">
        <v>0</v>
      </c>
      <c r="G5" s="67">
        <v>0</v>
      </c>
      <c r="H5" s="67">
        <v>0</v>
      </c>
      <c r="I5" s="67">
        <v>0</v>
      </c>
      <c r="J5" s="67">
        <v>0</v>
      </c>
      <c r="K5" s="67">
        <v>0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>
        <v>0</v>
      </c>
      <c r="R5" s="67">
        <v>0</v>
      </c>
      <c r="S5" s="67">
        <v>0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</row>
    <row r="6">
      <c r="A6" s="110" t="s">
        <v>191</v>
      </c>
      <c r="B6" s="67">
        <v>0</v>
      </c>
      <c r="C6" s="67">
        <v>0</v>
      </c>
      <c r="D6" s="67">
        <v>0.05</v>
      </c>
      <c r="E6" s="67">
        <v>0</v>
      </c>
      <c r="F6" s="232">
        <v>0</v>
      </c>
      <c r="G6" s="67">
        <v>0.02</v>
      </c>
      <c r="H6" s="67">
        <v>0</v>
      </c>
      <c r="I6" s="67">
        <v>0</v>
      </c>
      <c r="J6" s="67">
        <v>0</v>
      </c>
      <c r="K6" s="67">
        <v>0</v>
      </c>
      <c r="L6" s="67">
        <v>0</v>
      </c>
      <c r="M6" s="67">
        <v>0</v>
      </c>
      <c r="N6" s="67">
        <v>0</v>
      </c>
      <c r="O6" s="67">
        <v>0</v>
      </c>
      <c r="P6" s="67">
        <v>0</v>
      </c>
      <c r="Q6" s="67">
        <v>0</v>
      </c>
      <c r="R6" s="67">
        <v>0</v>
      </c>
      <c r="S6" s="67">
        <v>0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</row>
    <row r="7">
      <c r="A7" s="110" t="s">
        <v>192</v>
      </c>
      <c r="B7" s="67">
        <v>0</v>
      </c>
      <c r="C7" s="67">
        <v>0.05</v>
      </c>
      <c r="D7" s="67">
        <v>0.01</v>
      </c>
      <c r="E7" s="67">
        <v>0.02</v>
      </c>
      <c r="F7" s="67">
        <v>0</v>
      </c>
      <c r="G7" s="232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67">
        <v>0</v>
      </c>
      <c r="O7" s="67">
        <v>0</v>
      </c>
      <c r="P7" s="67">
        <v>0</v>
      </c>
      <c r="Q7" s="67">
        <v>0</v>
      </c>
      <c r="R7" s="67">
        <v>0</v>
      </c>
      <c r="S7" s="67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</row>
    <row r="8">
      <c r="A8" s="110" t="s">
        <v>193</v>
      </c>
      <c r="B8" s="67">
        <v>0</v>
      </c>
      <c r="C8" s="67">
        <v>0.15</v>
      </c>
      <c r="D8" s="67">
        <v>0</v>
      </c>
      <c r="E8" s="67">
        <v>0</v>
      </c>
      <c r="F8" s="67">
        <v>0</v>
      </c>
      <c r="G8" s="67">
        <v>0.01</v>
      </c>
      <c r="H8" s="232">
        <v>0.01</v>
      </c>
      <c r="I8" s="67">
        <v>0.06</v>
      </c>
      <c r="J8" s="67">
        <v>0</v>
      </c>
      <c r="K8" s="67">
        <v>0</v>
      </c>
      <c r="L8" s="67">
        <v>0</v>
      </c>
      <c r="M8" s="67">
        <v>0</v>
      </c>
      <c r="N8" s="67">
        <v>0</v>
      </c>
      <c r="O8" s="67">
        <v>0</v>
      </c>
      <c r="P8" s="67">
        <v>0</v>
      </c>
      <c r="Q8" s="67">
        <v>0</v>
      </c>
      <c r="R8" s="67">
        <v>0</v>
      </c>
      <c r="S8" s="67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</row>
    <row r="9">
      <c r="A9" s="110" t="s">
        <v>194</v>
      </c>
      <c r="B9" s="67">
        <v>7.0000000000000007E-2</v>
      </c>
      <c r="C9" s="67">
        <v>0</v>
      </c>
      <c r="D9" s="67">
        <v>0</v>
      </c>
      <c r="E9" s="67">
        <v>0.05</v>
      </c>
      <c r="F9" s="67">
        <v>0.05</v>
      </c>
      <c r="G9" s="67">
        <v>0</v>
      </c>
      <c r="H9" s="67">
        <v>0</v>
      </c>
      <c r="I9" s="232">
        <v>0</v>
      </c>
      <c r="J9" s="67">
        <v>0</v>
      </c>
      <c r="K9" s="67">
        <v>0</v>
      </c>
      <c r="L9" s="67">
        <v>0</v>
      </c>
      <c r="M9" s="67">
        <v>0</v>
      </c>
      <c r="N9" s="67">
        <v>0</v>
      </c>
      <c r="O9" s="67">
        <v>0</v>
      </c>
      <c r="P9" s="67">
        <v>0</v>
      </c>
      <c r="Q9" s="67">
        <v>0</v>
      </c>
      <c r="R9" s="67">
        <v>0</v>
      </c>
      <c r="S9" s="67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</row>
    <row r="10">
      <c r="A10" s="110" t="s">
        <v>195</v>
      </c>
      <c r="B10" s="67">
        <v>0.02</v>
      </c>
      <c r="C10" s="67">
        <v>0</v>
      </c>
      <c r="D10" s="67">
        <v>0</v>
      </c>
      <c r="E10" s="67">
        <v>0.08</v>
      </c>
      <c r="F10" s="67">
        <v>0.05</v>
      </c>
      <c r="G10" s="67">
        <v>0.05</v>
      </c>
      <c r="H10" s="67">
        <v>0.1</v>
      </c>
      <c r="I10" s="67">
        <v>0.03</v>
      </c>
      <c r="J10" s="232">
        <v>0.02</v>
      </c>
      <c r="K10" s="67">
        <v>0.15</v>
      </c>
      <c r="L10" s="67">
        <v>0</v>
      </c>
      <c r="M10" s="67">
        <v>0</v>
      </c>
      <c r="N10" s="67">
        <v>0</v>
      </c>
      <c r="O10" s="67">
        <v>0</v>
      </c>
      <c r="P10" s="67">
        <v>0</v>
      </c>
      <c r="Q10" s="67">
        <v>0</v>
      </c>
      <c r="R10" s="67">
        <v>0</v>
      </c>
      <c r="S10" s="67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</row>
    <row r="11">
      <c r="A11" s="110" t="s">
        <v>196</v>
      </c>
      <c r="B11" s="67">
        <v>0.01</v>
      </c>
      <c r="C11" s="67">
        <v>0</v>
      </c>
      <c r="D11" s="67">
        <v>0.14000000000000001</v>
      </c>
      <c r="E11" s="67">
        <v>0.02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232">
        <v>0</v>
      </c>
      <c r="L11" s="67">
        <v>0</v>
      </c>
      <c r="M11" s="67">
        <v>0</v>
      </c>
      <c r="N11" s="67">
        <v>0</v>
      </c>
      <c r="O11" s="67">
        <v>0</v>
      </c>
      <c r="P11" s="67">
        <v>0</v>
      </c>
      <c r="Q11" s="67">
        <v>0</v>
      </c>
      <c r="R11" s="67">
        <v>0</v>
      </c>
      <c r="S11" s="67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</row>
    <row r="12">
      <c r="A12" s="110" t="s">
        <v>197</v>
      </c>
      <c r="B12" s="67">
        <v>0</v>
      </c>
      <c r="C12" s="67">
        <v>0.05</v>
      </c>
      <c r="D12" s="67">
        <v>9.5000000000000001E-2</v>
      </c>
      <c r="E12" s="67">
        <v>0.03</v>
      </c>
      <c r="F12" s="67">
        <v>0</v>
      </c>
      <c r="G12" s="67">
        <v>0</v>
      </c>
      <c r="H12" s="67">
        <v>0</v>
      </c>
      <c r="I12" s="67">
        <v>0.04</v>
      </c>
      <c r="J12" s="67">
        <v>0</v>
      </c>
      <c r="K12" s="67">
        <v>0</v>
      </c>
      <c r="L12" s="232">
        <v>0</v>
      </c>
      <c r="M12" s="67">
        <v>0</v>
      </c>
      <c r="N12" s="67">
        <v>0</v>
      </c>
      <c r="O12" s="67">
        <v>0</v>
      </c>
      <c r="P12" s="67">
        <v>0</v>
      </c>
      <c r="Q12" s="67">
        <v>0</v>
      </c>
      <c r="R12" s="67">
        <v>0</v>
      </c>
      <c r="S12" s="67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</row>
    <row r="13">
      <c r="A13" s="110" t="s">
        <v>198</v>
      </c>
      <c r="B13" s="67">
        <v>0.05</v>
      </c>
      <c r="C13" s="67">
        <v>0.15</v>
      </c>
      <c r="D13" s="67">
        <v>0.1</v>
      </c>
      <c r="E13" s="67">
        <v>0.3</v>
      </c>
      <c r="F13" s="67">
        <v>0.1</v>
      </c>
      <c r="G13" s="67">
        <v>0.12</v>
      </c>
      <c r="H13" s="67">
        <v>0</v>
      </c>
      <c r="I13" s="67">
        <v>0.02</v>
      </c>
      <c r="J13" s="67">
        <v>0.02</v>
      </c>
      <c r="K13" s="67">
        <v>0</v>
      </c>
      <c r="L13" s="67">
        <v>0.2</v>
      </c>
      <c r="M13" s="232">
        <v>0</v>
      </c>
      <c r="N13" s="67">
        <v>0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</row>
    <row r="14">
      <c r="A14" s="110" t="s">
        <v>199</v>
      </c>
      <c r="B14" s="67">
        <v>0.4</v>
      </c>
      <c r="C14" s="67">
        <v>0.5</v>
      </c>
      <c r="D14" s="67">
        <v>0.05</v>
      </c>
      <c r="E14" s="67">
        <v>0</v>
      </c>
      <c r="F14" s="67">
        <v>0</v>
      </c>
      <c r="G14" s="67">
        <v>0</v>
      </c>
      <c r="H14" s="67">
        <v>0.35</v>
      </c>
      <c r="I14" s="67">
        <v>0.22</v>
      </c>
      <c r="J14" s="67">
        <v>0.2</v>
      </c>
      <c r="K14" s="67">
        <v>0</v>
      </c>
      <c r="L14" s="67">
        <v>0</v>
      </c>
      <c r="M14" s="67">
        <v>0</v>
      </c>
      <c r="N14" s="232">
        <v>0</v>
      </c>
      <c r="O14" s="67">
        <v>0</v>
      </c>
      <c r="P14" s="67">
        <v>0</v>
      </c>
      <c r="Q14" s="67">
        <v>0</v>
      </c>
      <c r="R14" s="67">
        <v>0</v>
      </c>
      <c r="S14" s="67">
        <v>0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</row>
    <row r="15">
      <c r="A15" s="110" t="s">
        <v>200</v>
      </c>
      <c r="B15" s="67">
        <v>0.05</v>
      </c>
      <c r="C15" s="67">
        <v>0.05</v>
      </c>
      <c r="D15" s="67">
        <v>0.25</v>
      </c>
      <c r="E15" s="67">
        <v>0.15</v>
      </c>
      <c r="F15" s="67">
        <v>0.1</v>
      </c>
      <c r="G15" s="67">
        <v>0.05</v>
      </c>
      <c r="H15" s="67">
        <v>0.1</v>
      </c>
      <c r="I15" s="67">
        <v>0.06</v>
      </c>
      <c r="J15" s="67">
        <v>0.08</v>
      </c>
      <c r="K15" s="67">
        <v>0.15</v>
      </c>
      <c r="L15" s="67">
        <v>0</v>
      </c>
      <c r="M15" s="67">
        <v>0</v>
      </c>
      <c r="N15" s="67">
        <v>0</v>
      </c>
      <c r="O15" s="232">
        <v>0</v>
      </c>
      <c r="P15" s="67">
        <v>0</v>
      </c>
      <c r="Q15" s="67">
        <v>0</v>
      </c>
      <c r="R15" s="67">
        <v>0</v>
      </c>
      <c r="S15" s="67">
        <v>0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</row>
    <row r="16">
      <c r="A16" s="110" t="s">
        <v>201</v>
      </c>
      <c r="B16" s="67">
        <v>0.3</v>
      </c>
      <c r="C16" s="67">
        <v>0.05</v>
      </c>
      <c r="D16" s="67">
        <v>0.25</v>
      </c>
      <c r="E16" s="67">
        <v>0.1</v>
      </c>
      <c r="F16" s="67">
        <v>0.35</v>
      </c>
      <c r="G16" s="67">
        <v>0.35</v>
      </c>
      <c r="H16" s="67">
        <v>0.2</v>
      </c>
      <c r="I16" s="67">
        <v>0.4</v>
      </c>
      <c r="J16" s="67">
        <v>0.3</v>
      </c>
      <c r="K16" s="67">
        <v>0.55000000000000004</v>
      </c>
      <c r="L16" s="67">
        <v>0.45</v>
      </c>
      <c r="M16" s="67">
        <v>0.3</v>
      </c>
      <c r="N16" s="67">
        <v>0</v>
      </c>
      <c r="O16" s="101">
        <v>0.3</v>
      </c>
      <c r="P16" s="232">
        <v>0</v>
      </c>
      <c r="Q16" s="67">
        <v>0</v>
      </c>
      <c r="R16" s="101">
        <v>0.05</v>
      </c>
      <c r="S16" s="67">
        <v>0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</row>
    <row r="17">
      <c r="A17" s="110" t="s">
        <v>202</v>
      </c>
      <c r="B17" s="67">
        <v>0.1</v>
      </c>
      <c r="C17" s="67">
        <v>0</v>
      </c>
      <c r="D17" s="67">
        <v>0</v>
      </c>
      <c r="E17" s="67">
        <v>0</v>
      </c>
      <c r="F17" s="67">
        <v>0.2</v>
      </c>
      <c r="G17" s="67">
        <v>0.2</v>
      </c>
      <c r="H17" s="67">
        <v>0</v>
      </c>
      <c r="I17" s="67">
        <v>0</v>
      </c>
      <c r="J17" s="67">
        <v>0.1</v>
      </c>
      <c r="K17" s="67">
        <v>0.15</v>
      </c>
      <c r="L17" s="67">
        <v>0.2</v>
      </c>
      <c r="M17" s="67">
        <v>0.2</v>
      </c>
      <c r="N17" s="67">
        <v>0</v>
      </c>
      <c r="O17" s="67">
        <v>0.2</v>
      </c>
      <c r="P17" s="67">
        <v>0</v>
      </c>
      <c r="Q17" s="232">
        <v>0</v>
      </c>
      <c r="R17" s="67">
        <v>0.05</v>
      </c>
      <c r="S17" s="67">
        <v>0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</row>
    <row r="18">
      <c r="A18" s="110" t="s">
        <v>203</v>
      </c>
      <c r="B18" s="67">
        <v>0</v>
      </c>
      <c r="C18" s="67">
        <v>0</v>
      </c>
      <c r="D18" s="67">
        <v>0.05</v>
      </c>
      <c r="E18" s="67">
        <v>0.2</v>
      </c>
      <c r="F18" s="67">
        <v>0.1</v>
      </c>
      <c r="G18" s="67">
        <v>0.15</v>
      </c>
      <c r="H18" s="67">
        <v>0.14000000000000001</v>
      </c>
      <c r="I18" s="67">
        <v>0.12</v>
      </c>
      <c r="J18" s="67">
        <v>0.1</v>
      </c>
      <c r="K18" s="67">
        <v>0</v>
      </c>
      <c r="L18" s="67">
        <v>0.15</v>
      </c>
      <c r="M18" s="67">
        <v>0.1</v>
      </c>
      <c r="N18" s="67">
        <v>0</v>
      </c>
      <c r="O18" s="67">
        <v>0.1</v>
      </c>
      <c r="P18" s="67">
        <v>0</v>
      </c>
      <c r="Q18" s="67">
        <v>0</v>
      </c>
      <c r="R18" s="232">
        <v>0</v>
      </c>
      <c r="S18" s="67">
        <v>0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</row>
    <row r="19">
      <c r="A19" s="110" t="s">
        <v>204</v>
      </c>
      <c r="B19" s="67">
        <v>0</v>
      </c>
      <c r="C19" s="67">
        <v>0</v>
      </c>
      <c r="D19" s="67">
        <v>0</v>
      </c>
      <c r="E19" s="67">
        <v>0</v>
      </c>
      <c r="F19" s="67">
        <v>0</v>
      </c>
      <c r="G19" s="67">
        <v>0</v>
      </c>
      <c r="H19" s="67">
        <v>0.1</v>
      </c>
      <c r="I19" s="67">
        <v>0</v>
      </c>
      <c r="J19" s="67">
        <v>0.18</v>
      </c>
      <c r="K19" s="67">
        <v>0</v>
      </c>
      <c r="L19" s="67">
        <v>0</v>
      </c>
      <c r="M19" s="67">
        <v>0.2</v>
      </c>
      <c r="N19" s="67">
        <v>0.5</v>
      </c>
      <c r="O19" s="67">
        <v>0.1</v>
      </c>
      <c r="P19" s="67">
        <v>0.05</v>
      </c>
      <c r="Q19" s="67">
        <v>0.05</v>
      </c>
      <c r="R19" s="67">
        <v>0.2</v>
      </c>
      <c r="S19" s="232">
        <v>0.1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</row>
    <row r="20">
      <c r="A20" s="110" t="s">
        <v>205</v>
      </c>
      <c r="B20" s="67">
        <v>0</v>
      </c>
      <c r="C20" s="67">
        <v>0</v>
      </c>
      <c r="D20" s="67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0.06</v>
      </c>
      <c r="N20" s="67">
        <v>0.4</v>
      </c>
      <c r="O20" s="67">
        <v>0</v>
      </c>
      <c r="P20" s="67">
        <v>0.6</v>
      </c>
      <c r="Q20" s="67">
        <v>0.18</v>
      </c>
      <c r="R20" s="67">
        <v>0</v>
      </c>
      <c r="S20" s="67">
        <v>0.8</v>
      </c>
      <c r="T20" s="232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</row>
    <row r="21">
      <c r="A21" s="110" t="s">
        <v>206</v>
      </c>
      <c r="B21" s="67">
        <v>0</v>
      </c>
      <c r="C21" s="67">
        <v>0</v>
      </c>
      <c r="D21" s="67">
        <v>0</v>
      </c>
      <c r="E21" s="67">
        <v>0</v>
      </c>
      <c r="F21" s="67">
        <v>0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>
        <v>0.01</v>
      </c>
      <c r="Q21" s="67">
        <v>0.05</v>
      </c>
      <c r="R21" s="67">
        <v>0.2</v>
      </c>
      <c r="S21" s="67">
        <v>0</v>
      </c>
      <c r="T21" s="89">
        <v>0</v>
      </c>
      <c r="U21" s="232">
        <v>0</v>
      </c>
      <c r="V21" s="89">
        <v>0</v>
      </c>
      <c r="W21" s="89">
        <v>0</v>
      </c>
      <c r="X21" s="89">
        <v>0</v>
      </c>
      <c r="Y21" s="89">
        <v>0</v>
      </c>
    </row>
    <row r="22">
      <c r="A22" s="110" t="s">
        <v>207</v>
      </c>
      <c r="B22" s="67">
        <v>0</v>
      </c>
      <c r="C22" s="67">
        <v>0</v>
      </c>
      <c r="D22" s="67">
        <v>0</v>
      </c>
      <c r="E22" s="67">
        <v>0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0.04</v>
      </c>
      <c r="N22" s="67">
        <v>0.1</v>
      </c>
      <c r="O22" s="67">
        <v>0</v>
      </c>
      <c r="P22" s="67">
        <v>0.14000000000000001</v>
      </c>
      <c r="Q22" s="67">
        <v>0.05</v>
      </c>
      <c r="R22" s="67">
        <v>0.2</v>
      </c>
      <c r="S22" s="67">
        <v>0</v>
      </c>
      <c r="T22" s="89">
        <v>0</v>
      </c>
      <c r="U22" s="89">
        <v>0</v>
      </c>
      <c r="V22" s="232">
        <v>0</v>
      </c>
      <c r="W22" s="89">
        <v>0</v>
      </c>
      <c r="X22" s="89">
        <v>0</v>
      </c>
      <c r="Y22" s="89">
        <v>0</v>
      </c>
    </row>
    <row r="23">
      <c r="A23" s="110" t="s">
        <v>208</v>
      </c>
      <c r="B23" s="67">
        <v>0</v>
      </c>
      <c r="C23" s="67">
        <v>0</v>
      </c>
      <c r="D23" s="67">
        <v>0</v>
      </c>
      <c r="E23" s="67">
        <v>0.05</v>
      </c>
      <c r="F23" s="67">
        <v>0.05</v>
      </c>
      <c r="G23" s="67">
        <v>0.05</v>
      </c>
      <c r="H23" s="67">
        <v>0</v>
      </c>
      <c r="I23" s="67">
        <v>0.05</v>
      </c>
      <c r="J23" s="67">
        <v>0</v>
      </c>
      <c r="K23" s="67">
        <v>0</v>
      </c>
      <c r="L23" s="67">
        <v>0</v>
      </c>
      <c r="M23" s="67">
        <v>0.1</v>
      </c>
      <c r="N23" s="67">
        <v>0</v>
      </c>
      <c r="O23" s="67">
        <v>0.3</v>
      </c>
      <c r="P23" s="67">
        <v>0.2</v>
      </c>
      <c r="Q23" s="67">
        <v>0.67</v>
      </c>
      <c r="R23" s="67">
        <v>0.3</v>
      </c>
      <c r="S23" s="67">
        <v>0.1</v>
      </c>
      <c r="T23" s="89">
        <v>0</v>
      </c>
      <c r="U23" s="89">
        <v>0</v>
      </c>
      <c r="V23" s="89">
        <v>0</v>
      </c>
      <c r="W23" s="232">
        <v>0</v>
      </c>
      <c r="X23" s="89">
        <v>0</v>
      </c>
      <c r="Y23" s="89">
        <v>0</v>
      </c>
    </row>
    <row r="24">
      <c r="A24" s="110" t="s">
        <v>124</v>
      </c>
      <c r="B24" s="67">
        <v>0</v>
      </c>
      <c r="C24" s="67">
        <v>0</v>
      </c>
      <c r="D24" s="67">
        <v>0</v>
      </c>
      <c r="E24" s="67">
        <v>0</v>
      </c>
      <c r="F24" s="67">
        <v>0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67">
        <v>0</v>
      </c>
      <c r="R24" s="67">
        <v>0</v>
      </c>
      <c r="S24" s="67">
        <v>0</v>
      </c>
      <c r="T24" s="89">
        <v>0</v>
      </c>
      <c r="U24" s="89">
        <v>0</v>
      </c>
      <c r="V24" s="89">
        <v>0</v>
      </c>
      <c r="W24" s="89">
        <v>0</v>
      </c>
      <c r="X24" s="232">
        <v>0</v>
      </c>
      <c r="Y24" s="89">
        <v>0</v>
      </c>
    </row>
    <row r="25">
      <c r="A25" s="110" t="s">
        <v>125</v>
      </c>
      <c r="B25" s="67">
        <v>0</v>
      </c>
      <c r="C25" s="67">
        <v>0</v>
      </c>
      <c r="D25" s="67">
        <v>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7">
        <v>0</v>
      </c>
      <c r="R25" s="67">
        <v>0</v>
      </c>
      <c r="S25" s="67">
        <v>0</v>
      </c>
      <c r="T25" s="89">
        <v>0</v>
      </c>
      <c r="U25" s="89">
        <v>0</v>
      </c>
      <c r="V25" s="89">
        <v>0</v>
      </c>
      <c r="W25" s="89">
        <v>0</v>
      </c>
      <c r="X25" s="89">
        <v>0</v>
      </c>
      <c r="Y25" s="232">
        <v>0</v>
      </c>
    </row>
    <row r="26">
      <c r="A26" s="83" t="s">
        <v>168</v>
      </c>
      <c r="B26" s="67">
        <v>0</v>
      </c>
      <c r="C26" s="67">
        <v>0</v>
      </c>
      <c r="D26" s="67">
        <v>0</v>
      </c>
      <c r="E26" s="67">
        <v>0</v>
      </c>
      <c r="F26" s="67">
        <v>0</v>
      </c>
      <c r="G26" s="67">
        <v>0</v>
      </c>
      <c r="H26" s="67">
        <v>0</v>
      </c>
      <c r="I26" s="67">
        <v>0</v>
      </c>
      <c r="J26" s="67">
        <v>0</v>
      </c>
      <c r="K26" s="67">
        <v>0</v>
      </c>
      <c r="L26" s="67">
        <v>0</v>
      </c>
      <c r="M26" s="67">
        <v>0</v>
      </c>
      <c r="N26" s="67">
        <v>0</v>
      </c>
      <c r="O26" s="67">
        <v>0</v>
      </c>
      <c r="P26" s="67">
        <v>0</v>
      </c>
      <c r="Q26" s="67">
        <v>0</v>
      </c>
      <c r="R26" s="67">
        <v>0</v>
      </c>
      <c r="S26" s="67">
        <v>0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</row>
    <row r="29">
      <c r="A29" s="67" t="s">
        <v>62</v>
      </c>
      <c r="B29" s="67">
        <f>SUM(B2:B26)</f>
        <v>1.0000000000000002</v>
      </c>
      <c r="C29" s="67">
        <f t="shared" ref="C29:K29" si="0">SUM(C2:C26)</f>
        <v>1</v>
      </c>
      <c r="D29" s="67">
        <f t="shared" si="0"/>
        <v>1</v>
      </c>
      <c r="E29" s="67">
        <f t="shared" si="0"/>
        <v>1</v>
      </c>
      <c r="F29" s="67">
        <f t="shared" si="0"/>
        <v>1</v>
      </c>
      <c r="G29" s="67">
        <f t="shared" si="0"/>
        <v>1</v>
      </c>
      <c r="H29" s="67">
        <f t="shared" si="0"/>
        <v>1</v>
      </c>
      <c r="I29" s="67">
        <f t="shared" si="0"/>
        <v>1</v>
      </c>
      <c r="J29" s="67">
        <f t="shared" si="0"/>
        <v>1</v>
      </c>
      <c r="K29" s="67">
        <f t="shared" si="0"/>
        <v>1</v>
      </c>
      <c r="L29" s="67">
        <f t="shared" ref="L29:Y29" si="1">SUM(L2:L26)</f>
        <v>1</v>
      </c>
      <c r="M29" s="67">
        <f t="shared" si="1"/>
        <v>1.0000000000000002</v>
      </c>
      <c r="N29" s="67">
        <f t="shared" si="1"/>
        <v>1</v>
      </c>
      <c r="O29" s="67">
        <f t="shared" si="1"/>
        <v>1</v>
      </c>
      <c r="P29" s="67">
        <f t="shared" si="1"/>
        <v>1</v>
      </c>
      <c r="Q29" s="67">
        <f t="shared" si="1"/>
        <v>1</v>
      </c>
      <c r="R29" s="67">
        <f t="shared" si="1"/>
        <v>1</v>
      </c>
      <c r="S29" s="67">
        <f t="shared" si="1"/>
        <v>1</v>
      </c>
      <c r="T29" s="67">
        <f t="shared" si="1"/>
        <v>0</v>
      </c>
      <c r="U29" s="67">
        <f t="shared" si="1"/>
        <v>0</v>
      </c>
      <c r="V29" s="67">
        <f t="shared" si="1"/>
        <v>0</v>
      </c>
      <c r="W29" s="67">
        <f t="shared" si="1"/>
        <v>0</v>
      </c>
      <c r="X29" s="67">
        <f t="shared" si="1"/>
        <v>0</v>
      </c>
      <c r="Y29" s="67">
        <f t="shared" si="1"/>
        <v>0</v>
      </c>
    </row>
    <row r="30">
      <c r="A30" s="67" t="s">
        <v>181</v>
      </c>
      <c r="B30" s="67">
        <f>1-B29</f>
        <v>0</v>
      </c>
      <c r="C30" s="67">
        <f t="shared" ref="C30:K30" si="2">1-C29</f>
        <v>0</v>
      </c>
      <c r="D30" s="67">
        <f t="shared" si="2"/>
        <v>0</v>
      </c>
      <c r="E30" s="67">
        <f t="shared" si="2"/>
        <v>0</v>
      </c>
      <c r="F30" s="67">
        <f t="shared" si="2"/>
        <v>0</v>
      </c>
      <c r="G30" s="67">
        <f t="shared" si="2"/>
        <v>0</v>
      </c>
      <c r="H30" s="67">
        <f t="shared" si="2"/>
        <v>0</v>
      </c>
      <c r="I30" s="67">
        <f t="shared" si="2"/>
        <v>0</v>
      </c>
      <c r="J30" s="67">
        <f t="shared" si="2"/>
        <v>0</v>
      </c>
      <c r="K30" s="67">
        <f t="shared" si="2"/>
        <v>0</v>
      </c>
      <c r="L30" s="67">
        <f t="shared" ref="L30" si="3">1-L29</f>
        <v>0</v>
      </c>
      <c r="M30" s="67">
        <f t="shared" ref="M30" si="4">1-M29</f>
        <v>0</v>
      </c>
      <c r="N30" s="67">
        <f t="shared" ref="N30" si="5">1-N29</f>
        <v>0</v>
      </c>
      <c r="O30" s="67">
        <f t="shared" ref="O30" si="6">1-O29</f>
        <v>0</v>
      </c>
      <c r="P30" s="67">
        <f t="shared" ref="P30" si="7">1-P29</f>
        <v>0</v>
      </c>
      <c r="Q30" s="67">
        <f t="shared" ref="Q30" si="8">1-Q29</f>
        <v>0</v>
      </c>
      <c r="R30" s="67">
        <f t="shared" ref="R30" si="9">1-R29</f>
        <v>0</v>
      </c>
      <c r="S30" s="67">
        <f t="shared" ref="S30" si="10">1-S29</f>
        <v>0</v>
      </c>
      <c r="T30" s="67">
        <f t="shared" ref="T30" si="11">1-T29</f>
        <v>1</v>
      </c>
      <c r="U30" s="67">
        <f t="shared" ref="U30" si="12">1-U29</f>
        <v>1</v>
      </c>
      <c r="V30" s="67">
        <f t="shared" ref="V30" si="13">1-V29</f>
        <v>1</v>
      </c>
      <c r="W30" s="67">
        <f t="shared" ref="W30" si="14">1-W29</f>
        <v>1</v>
      </c>
      <c r="X30" s="67">
        <f t="shared" ref="X30" si="15">1-X29</f>
        <v>1</v>
      </c>
      <c r="Y30" s="67">
        <f t="shared" ref="Y30" si="16">1-Y29</f>
        <v>1</v>
      </c>
    </row>
    <row r="32" customFormat="true">
      <c r="K32" s="67"/>
      <c r="L32" s="67"/>
      <c r="M32" s="67"/>
      <c r="N32" s="67"/>
      <c r="O32" s="167" t="s">
        <v>210</v>
      </c>
      <c r="R32" s="167" t="s">
        <v>210</v>
      </c>
    </row>
    <row r="33" customFormat="true" ht="13"/>
    <row r="34" customFormat="true" ht="13"/>
    <row r="35" customFormat="true" ht="13"/>
    <row r="36" customFormat="true" ht="13"/>
    <row r="37" customFormat="true" ht="13"/>
    <row r="38" customFormat="true" ht="13"/>
    <row r="39" customFormat="true" ht="13"/>
    <row r="40" customFormat="true" ht="13"/>
    <row r="41" customFormat="true" ht="13"/>
    <row r="42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customFormat="true" ht="13"/>
    <row r="46" customFormat="true" ht="13"/>
    <row r="47" customFormat="true" ht="13"/>
    <row r="48" customFormat="true" ht="13"/>
    <row r="49" customFormat="true" ht="13"/>
    <row r="50" customFormat="true" ht="13"/>
    <row r="51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  <row r="188" ht="15" customHeight="true"/>
    <row r="189" ht="15" customHeight="true"/>
    <row r="190" ht="15" customHeight="true"/>
    <row r="191" ht="15" customHeight="true"/>
    <row r="192" ht="15" customHeight="true"/>
    <row r="193" ht="15" customHeight="true"/>
    <row r="194" ht="15" customHeight="true"/>
    <row r="195" ht="15" customHeight="true"/>
    <row r="196" ht="15" customHeight="true"/>
    <row r="197" ht="15" customHeight="true"/>
    <row r="198" ht="15" customHeight="true"/>
    <row r="199" ht="15" customHeight="true"/>
    <row r="200" ht="15" customHeight="true"/>
    <row r="201" ht="15" customHeight="true"/>
    <row r="202" ht="15" customHeight="true"/>
    <row r="203" ht="15" customHeight="true"/>
    <row r="204" ht="15" customHeight="true"/>
    <row r="205" ht="15" customHeight="true"/>
    <row r="206" ht="15" customHeight="true"/>
    <row r="207" ht="15" customHeight="true"/>
    <row r="208" ht="15" customHeight="true"/>
    <row r="209" ht="15" customHeight="true"/>
    <row r="210" ht="15" customHeight="true"/>
    <row r="211" ht="15" customHeight="true"/>
    <row r="212" ht="15" customHeight="true"/>
    <row r="213" ht="15" customHeight="true"/>
    <row r="214" ht="15" customHeight="true"/>
    <row r="215" ht="15" customHeight="true"/>
    <row r="216" ht="15" customHeight="true"/>
    <row r="217" ht="15" customHeight="true"/>
    <row r="218" ht="15" customHeight="true"/>
    <row r="219" ht="15" customHeight="true"/>
    <row r="220" ht="15" customHeight="true"/>
    <row r="221" ht="15" customHeight="true"/>
    <row r="222" ht="15" customHeight="true"/>
    <row r="223" ht="15" customHeight="true"/>
    <row r="224" ht="15" customHeight="true"/>
    <row r="225" ht="15" customHeight="true"/>
    <row r="226" ht="15" customHeight="true"/>
    <row r="227" ht="15" customHeight="true"/>
    <row r="228" ht="15" customHeight="true"/>
    <row r="229" ht="15" customHeight="true"/>
    <row r="230" ht="15" customHeight="true"/>
    <row r="231" ht="15" customHeight="true"/>
    <row r="232" ht="15" customHeight="true"/>
    <row r="233" ht="15" customHeight="true"/>
    <row r="234" ht="15" customHeight="true"/>
    <row r="235" ht="15" customHeight="true"/>
    <row r="236" ht="15" customHeight="true"/>
    <row r="237" ht="15" customHeight="true"/>
    <row r="238" ht="15" customHeight="true"/>
    <row r="239" ht="15" customHeight="true"/>
    <row r="240" ht="15" customHeight="true"/>
    <row r="241" ht="15" customHeight="true"/>
    <row r="242" ht="15" customHeight="true"/>
    <row r="243" ht="15" customHeight="true"/>
    <row r="244" ht="15" customHeight="true"/>
    <row r="245" ht="15" customHeight="true"/>
    <row r="246" ht="15" customHeight="true"/>
    <row r="247" ht="15" customHeight="true"/>
    <row r="248" ht="15" customHeight="true"/>
    <row r="249" ht="15" customHeight="true"/>
    <row r="250" ht="15" customHeight="true"/>
    <row r="251" ht="15" customHeight="true"/>
    <row r="252" ht="15" customHeight="true"/>
    <row r="253" ht="15" customHeight="true"/>
    <row r="254" ht="15" customHeight="true"/>
    <row r="255" ht="15" customHeight="true"/>
    <row r="256" ht="15" customHeight="true"/>
    <row r="257" ht="15" customHeight="true"/>
    <row r="258" ht="15" customHeight="true"/>
    <row r="259" ht="15" customHeight="true"/>
    <row r="260" ht="15" customHeight="true"/>
    <row r="261" ht="15" customHeight="true"/>
    <row r="262" ht="15" customHeight="true"/>
    <row r="263" ht="15" customHeight="true"/>
    <row r="264" ht="15" customHeight="true"/>
    <row r="265" ht="15" customHeight="true"/>
    <row r="266" ht="15" customHeight="true"/>
    <row r="267" ht="15" customHeight="true"/>
    <row r="268" ht="15" customHeight="true"/>
    <row r="269" ht="15" customHeight="true"/>
    <row r="270" ht="15" customHeight="true"/>
    <row r="271" ht="15" customHeight="true"/>
    <row r="272" ht="15" customHeight="true"/>
    <row r="273" ht="15" customHeight="true"/>
    <row r="274" ht="15" customHeight="true"/>
    <row r="275" ht="15" customHeight="true"/>
    <row r="276" ht="15" customHeight="true"/>
    <row r="277" ht="15" customHeight="true"/>
    <row r="278" ht="15" customHeight="true"/>
    <row r="279" ht="15" customHeight="true"/>
    <row r="280" ht="15" customHeight="true"/>
    <row r="281" ht="15" customHeight="true"/>
    <row r="282" ht="15" customHeight="true"/>
    <row r="283" ht="15" customHeight="true"/>
    <row r="284" ht="15" customHeight="true"/>
    <row r="285" ht="15" customHeight="true"/>
    <row r="286" ht="15" customHeight="true"/>
    <row r="287" ht="15" customHeight="true"/>
    <row r="288" ht="15" customHeight="true"/>
    <row r="289" ht="15" customHeight="true"/>
    <row r="290" ht="15" customHeight="true"/>
    <row r="291" ht="15" customHeight="true"/>
    <row r="292" ht="15" customHeight="true"/>
    <row r="293" ht="15" customHeight="true"/>
    <row r="294" ht="15" customHeight="true"/>
    <row r="295" ht="15" customHeight="true"/>
    <row r="296" ht="15" customHeight="true"/>
    <row r="297" ht="15" customHeight="true"/>
    <row r="298" ht="15" customHeight="true"/>
    <row r="299" ht="15" customHeight="true"/>
    <row r="300" ht="15" customHeight="true"/>
    <row r="301" ht="15" customHeight="true"/>
    <row r="302" ht="15" customHeight="true"/>
    <row r="303" ht="15" customHeight="true"/>
    <row r="304" ht="15" customHeight="true"/>
    <row r="305" ht="15" customHeight="true"/>
    <row r="306" ht="15" customHeight="true"/>
    <row r="307" ht="15" customHeight="true"/>
    <row r="308" ht="15" customHeight="true"/>
    <row r="309" ht="15" customHeight="true"/>
    <row r="310" ht="15" customHeight="true"/>
    <row r="311" ht="15" customHeight="true"/>
    <row r="312" ht="15" customHeight="true"/>
    <row r="313" ht="15" customHeight="true"/>
    <row r="314" ht="15" customHeight="true"/>
    <row r="315" ht="15" customHeight="true"/>
    <row r="316" ht="15" customHeight="true"/>
    <row r="317" ht="15" customHeight="true"/>
    <row r="318" ht="15" customHeight="true"/>
    <row r="319" ht="15" customHeight="true"/>
    <row r="320" ht="15" customHeight="true"/>
    <row r="321" ht="15" customHeight="true"/>
    <row r="322" ht="15" customHeight="true"/>
    <row r="323" ht="15" customHeight="true"/>
    <row r="324" ht="15" customHeight="true"/>
    <row r="325" ht="15" customHeight="true"/>
    <row r="326" ht="15" customHeight="true"/>
    <row r="327" ht="15" customHeight="true"/>
    <row r="328" ht="15" customHeight="true"/>
    <row r="329" ht="15" customHeight="true"/>
    <row r="330" ht="15" customHeight="true"/>
    <row r="331" ht="15" customHeight="true"/>
    <row r="332" ht="15" customHeight="true"/>
    <row r="333" ht="15" customHeight="true"/>
    <row r="334" ht="15" customHeight="true"/>
    <row r="335" ht="15" customHeight="true"/>
    <row r="336" ht="15" customHeight="true"/>
    <row r="337" ht="15" customHeight="true"/>
    <row r="338" ht="15" customHeight="true"/>
    <row r="339" ht="15" customHeight="true"/>
    <row r="340" ht="15" customHeight="true"/>
    <row r="341" ht="15" customHeight="true"/>
    <row r="342" ht="15" customHeight="true"/>
    <row r="343" ht="15" customHeight="true"/>
    <row r="344" ht="15" customHeight="true"/>
    <row r="345" ht="15" customHeight="true"/>
    <row r="346" ht="15" customHeight="true"/>
    <row r="347" ht="15" customHeight="true"/>
    <row r="348" ht="15" customHeight="true"/>
    <row r="349" ht="15" customHeight="true"/>
    <row r="350" ht="15" customHeight="true"/>
    <row r="351" ht="15" customHeight="true"/>
    <row r="352" ht="15" customHeight="true"/>
    <row r="353" ht="15" customHeight="true"/>
    <row r="354" ht="15" customHeight="true"/>
    <row r="355" ht="15" customHeight="true"/>
    <row r="356" ht="15" customHeight="true"/>
    <row r="357" ht="15" customHeight="true"/>
    <row r="358" ht="15" customHeight="true"/>
    <row r="359" ht="15" customHeight="true"/>
    <row r="360" ht="15" customHeight="true"/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M17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baseColWidth="10" defaultColWidth="8.83203125" defaultRowHeight="16"/>
  <cols>
    <col min="1" max="1" width="12.83203125" style="67" customWidth="true"/>
    <col min="2" max="2" width="37.33203125" style="67" bestFit="true" customWidth="true"/>
    <col min="3" max="5" width="25.6640625" style="67" customWidth="true"/>
    <col min="6" max="7" width="17" style="104" customWidth="true"/>
    <col min="8" max="16384" width="8.83203125" style="67"/>
  </cols>
  <sheetData>
    <row r="1" ht="34">
      <c r="A1" s="103" t="s">
        <v>21</v>
      </c>
      <c r="B1" s="88" t="s">
        <v>0</v>
      </c>
      <c r="C1" s="164" t="s">
        <v>208</v>
      </c>
      <c r="D1" s="164" t="s">
        <v>124</v>
      </c>
      <c r="E1" s="164" t="s">
        <v>125</v>
      </c>
      <c r="F1" s="104" t="s">
        <v>156</v>
      </c>
      <c r="G1" s="105" t="s">
        <v>62</v>
      </c>
    </row>
    <row r="2">
      <c r="A2" s="67">
        <v>1</v>
      </c>
      <c r="B2" s="110" t="s">
        <v>182</v>
      </c>
      <c r="C2" s="104">
        <v>1</v>
      </c>
      <c r="D2" s="104">
        <v>0</v>
      </c>
      <c r="E2" s="104">
        <v>0</v>
      </c>
      <c r="F2" s="104">
        <v>0</v>
      </c>
      <c r="G2" s="106">
        <f>SUM(C2:F2)</f>
        <v>1</v>
      </c>
      <c r="K2" s="81"/>
      <c r="L2" s="81"/>
      <c r="M2" s="81"/>
    </row>
    <row r="3">
      <c r="A3" s="67">
        <v>2</v>
      </c>
      <c r="B3" s="110" t="s">
        <v>188</v>
      </c>
      <c r="C3" s="104">
        <v>1</v>
      </c>
      <c r="D3" s="104">
        <v>0</v>
      </c>
      <c r="E3" s="104">
        <v>0</v>
      </c>
      <c r="F3" s="104">
        <v>0</v>
      </c>
      <c r="G3" s="106">
        <f t="shared" ref="G3:G26" si="0">SUM(C3:F3)</f>
        <v>1</v>
      </c>
      <c r="K3" s="81"/>
      <c r="L3" s="81"/>
      <c r="M3" s="81"/>
    </row>
    <row r="4">
      <c r="A4" s="67">
        <v>3</v>
      </c>
      <c r="B4" s="110" t="s">
        <v>189</v>
      </c>
      <c r="C4" s="104">
        <v>1</v>
      </c>
      <c r="D4" s="104">
        <v>0</v>
      </c>
      <c r="E4" s="104">
        <v>0</v>
      </c>
      <c r="F4" s="104">
        <v>0</v>
      </c>
      <c r="G4" s="106">
        <f t="shared" si="0"/>
        <v>1</v>
      </c>
    </row>
    <row r="5">
      <c r="A5" s="67">
        <v>4</v>
      </c>
      <c r="B5" s="110" t="s">
        <v>190</v>
      </c>
      <c r="C5" s="104">
        <v>1</v>
      </c>
      <c r="D5" s="104">
        <v>0</v>
      </c>
      <c r="E5" s="104">
        <v>0</v>
      </c>
      <c r="F5" s="104">
        <v>0</v>
      </c>
      <c r="G5" s="106">
        <f t="shared" si="0"/>
        <v>1</v>
      </c>
    </row>
    <row r="6">
      <c r="A6" s="67">
        <v>5</v>
      </c>
      <c r="B6" s="110" t="s">
        <v>191</v>
      </c>
      <c r="C6" s="104">
        <v>1</v>
      </c>
      <c r="D6" s="104">
        <v>0</v>
      </c>
      <c r="E6" s="104">
        <v>0</v>
      </c>
      <c r="F6" s="104">
        <v>0</v>
      </c>
      <c r="G6" s="106">
        <f t="shared" si="0"/>
        <v>1</v>
      </c>
    </row>
    <row r="7">
      <c r="A7" s="67">
        <v>6</v>
      </c>
      <c r="B7" s="110" t="s">
        <v>192</v>
      </c>
      <c r="C7" s="104">
        <v>1</v>
      </c>
      <c r="D7" s="104">
        <v>0</v>
      </c>
      <c r="E7" s="104">
        <v>0</v>
      </c>
      <c r="F7" s="104">
        <v>0</v>
      </c>
      <c r="G7" s="106">
        <f t="shared" si="0"/>
        <v>1</v>
      </c>
    </row>
    <row r="8">
      <c r="A8" s="67">
        <v>7</v>
      </c>
      <c r="B8" s="110" t="s">
        <v>193</v>
      </c>
      <c r="C8" s="104">
        <v>1</v>
      </c>
      <c r="D8" s="104">
        <v>0</v>
      </c>
      <c r="E8" s="104">
        <v>0</v>
      </c>
      <c r="F8" s="104">
        <v>0</v>
      </c>
      <c r="G8" s="106">
        <f t="shared" si="0"/>
        <v>1</v>
      </c>
    </row>
    <row r="9">
      <c r="A9" s="67">
        <v>8</v>
      </c>
      <c r="B9" s="110" t="s">
        <v>194</v>
      </c>
      <c r="C9" s="104">
        <v>1</v>
      </c>
      <c r="D9" s="104">
        <v>0</v>
      </c>
      <c r="E9" s="104">
        <v>0</v>
      </c>
      <c r="F9" s="104">
        <v>0</v>
      </c>
      <c r="G9" s="106">
        <f t="shared" si="0"/>
        <v>1</v>
      </c>
    </row>
    <row r="10">
      <c r="A10" s="67">
        <v>9</v>
      </c>
      <c r="B10" s="110" t="s">
        <v>195</v>
      </c>
      <c r="C10" s="104">
        <v>1</v>
      </c>
      <c r="D10" s="104">
        <v>0</v>
      </c>
      <c r="E10" s="104">
        <v>0</v>
      </c>
      <c r="F10" s="104">
        <v>0</v>
      </c>
      <c r="G10" s="106">
        <f t="shared" ref="G10:G11" si="1">SUM(C10:F10)</f>
        <v>1</v>
      </c>
    </row>
    <row r="11">
      <c r="A11" s="67">
        <v>10</v>
      </c>
      <c r="B11" s="110" t="s">
        <v>196</v>
      </c>
      <c r="C11" s="104">
        <v>1</v>
      </c>
      <c r="D11" s="104">
        <v>0</v>
      </c>
      <c r="E11" s="104">
        <v>0</v>
      </c>
      <c r="F11" s="104">
        <v>0</v>
      </c>
      <c r="G11" s="106">
        <f t="shared" si="1"/>
        <v>1</v>
      </c>
    </row>
    <row r="12">
      <c r="A12" s="67">
        <v>11</v>
      </c>
      <c r="B12" s="110" t="s">
        <v>197</v>
      </c>
      <c r="C12" s="104">
        <v>1</v>
      </c>
      <c r="D12" s="104">
        <v>0</v>
      </c>
      <c r="E12" s="104">
        <v>0</v>
      </c>
      <c r="F12" s="104">
        <v>0</v>
      </c>
      <c r="G12" s="106">
        <f t="shared" si="0"/>
        <v>1</v>
      </c>
    </row>
    <row r="13">
      <c r="A13" s="67">
        <v>12</v>
      </c>
      <c r="B13" s="110" t="s">
        <v>198</v>
      </c>
      <c r="C13" s="104">
        <v>1</v>
      </c>
      <c r="D13" s="104">
        <v>0</v>
      </c>
      <c r="E13" s="104">
        <v>0</v>
      </c>
      <c r="F13" s="104">
        <v>0</v>
      </c>
      <c r="G13" s="106">
        <f t="shared" si="0"/>
        <v>1</v>
      </c>
    </row>
    <row r="14">
      <c r="A14" s="67">
        <v>13</v>
      </c>
      <c r="B14" s="110" t="s">
        <v>199</v>
      </c>
      <c r="C14" s="104">
        <v>1</v>
      </c>
      <c r="D14" s="104">
        <v>0</v>
      </c>
      <c r="E14" s="104">
        <v>0</v>
      </c>
      <c r="F14" s="104">
        <v>0</v>
      </c>
      <c r="G14" s="106">
        <f t="shared" si="0"/>
        <v>1</v>
      </c>
    </row>
    <row r="15">
      <c r="A15" s="67">
        <v>14</v>
      </c>
      <c r="B15" s="110" t="s">
        <v>200</v>
      </c>
      <c r="C15" s="104">
        <v>1</v>
      </c>
      <c r="D15" s="104">
        <v>0</v>
      </c>
      <c r="E15" s="104">
        <v>0</v>
      </c>
      <c r="F15" s="104">
        <v>0</v>
      </c>
      <c r="G15" s="106">
        <f t="shared" si="0"/>
        <v>1</v>
      </c>
    </row>
    <row r="16">
      <c r="A16" s="67">
        <v>15</v>
      </c>
      <c r="B16" s="110" t="s">
        <v>201</v>
      </c>
      <c r="C16" s="104">
        <v>1</v>
      </c>
      <c r="D16" s="104">
        <v>0</v>
      </c>
      <c r="E16" s="104">
        <v>0</v>
      </c>
      <c r="F16" s="104">
        <v>0</v>
      </c>
      <c r="G16" s="106">
        <f t="shared" si="0"/>
        <v>1</v>
      </c>
    </row>
    <row r="17">
      <c r="A17" s="67">
        <v>16</v>
      </c>
      <c r="B17" s="110" t="s">
        <v>202</v>
      </c>
      <c r="C17" s="104">
        <v>1</v>
      </c>
      <c r="D17" s="104">
        <v>0</v>
      </c>
      <c r="E17" s="104">
        <v>0</v>
      </c>
      <c r="F17" s="104">
        <v>0</v>
      </c>
      <c r="G17" s="106">
        <f t="shared" si="0"/>
        <v>1</v>
      </c>
    </row>
    <row r="18">
      <c r="A18" s="67">
        <v>17</v>
      </c>
      <c r="B18" s="110" t="s">
        <v>203</v>
      </c>
      <c r="C18" s="104">
        <v>1</v>
      </c>
      <c r="D18" s="104">
        <v>0</v>
      </c>
      <c r="E18" s="104">
        <v>0</v>
      </c>
      <c r="F18" s="104">
        <v>0</v>
      </c>
      <c r="G18" s="106">
        <f t="shared" si="0"/>
        <v>1</v>
      </c>
    </row>
    <row r="19" ht="15" customHeight="true">
      <c r="A19" s="67">
        <v>18</v>
      </c>
      <c r="B19" s="110" t="s">
        <v>204</v>
      </c>
      <c r="C19" s="104">
        <v>1</v>
      </c>
      <c r="D19" s="104">
        <v>0</v>
      </c>
      <c r="E19" s="104">
        <v>0</v>
      </c>
      <c r="F19" s="104">
        <v>0</v>
      </c>
      <c r="G19" s="106">
        <f t="shared" si="0"/>
        <v>1</v>
      </c>
    </row>
    <row r="20" ht="15" customHeight="true">
      <c r="A20" s="67">
        <v>19</v>
      </c>
      <c r="B20" s="110" t="s">
        <v>205</v>
      </c>
      <c r="C20" s="104">
        <v>1</v>
      </c>
      <c r="D20" s="104">
        <v>0</v>
      </c>
      <c r="E20" s="104">
        <v>0</v>
      </c>
      <c r="F20" s="104">
        <v>0</v>
      </c>
      <c r="G20" s="106">
        <f t="shared" si="0"/>
        <v>1</v>
      </c>
    </row>
    <row r="21" ht="15" customHeight="true">
      <c r="A21" s="67">
        <v>20</v>
      </c>
      <c r="B21" s="110" t="s">
        <v>206</v>
      </c>
      <c r="C21" s="104">
        <v>1</v>
      </c>
      <c r="D21" s="104">
        <v>0</v>
      </c>
      <c r="E21" s="104">
        <v>0</v>
      </c>
      <c r="F21" s="104">
        <v>0</v>
      </c>
      <c r="G21" s="106">
        <f t="shared" si="0"/>
        <v>1</v>
      </c>
    </row>
    <row r="22" ht="15" customHeight="true">
      <c r="A22" s="67">
        <v>21</v>
      </c>
      <c r="B22" s="110" t="s">
        <v>207</v>
      </c>
      <c r="C22" s="104">
        <v>1</v>
      </c>
      <c r="D22" s="104">
        <v>0</v>
      </c>
      <c r="E22" s="104">
        <v>0</v>
      </c>
      <c r="F22" s="104">
        <v>0</v>
      </c>
      <c r="G22" s="106">
        <f t="shared" si="0"/>
        <v>1</v>
      </c>
    </row>
    <row r="23" ht="15" customHeight="true">
      <c r="A23" s="67">
        <v>22</v>
      </c>
      <c r="B23" s="110" t="s">
        <v>208</v>
      </c>
      <c r="C23" s="104">
        <v>0</v>
      </c>
      <c r="D23" s="104">
        <v>1</v>
      </c>
      <c r="E23" s="104">
        <v>0</v>
      </c>
      <c r="F23" s="104">
        <v>0</v>
      </c>
      <c r="G23" s="106">
        <f t="shared" si="0"/>
        <v>1</v>
      </c>
    </row>
    <row r="24" ht="15" customHeight="true">
      <c r="A24" s="67">
        <v>23</v>
      </c>
      <c r="B24" s="110" t="s">
        <v>124</v>
      </c>
      <c r="C24" s="104">
        <v>0</v>
      </c>
      <c r="D24" s="104">
        <v>0</v>
      </c>
      <c r="E24" s="104">
        <v>1</v>
      </c>
      <c r="F24" s="104">
        <v>0</v>
      </c>
      <c r="G24" s="106">
        <f t="shared" si="0"/>
        <v>1</v>
      </c>
    </row>
    <row r="25" ht="15" customHeight="true">
      <c r="A25" s="67">
        <v>24</v>
      </c>
      <c r="B25" s="110" t="s">
        <v>125</v>
      </c>
      <c r="C25" s="104">
        <v>0</v>
      </c>
      <c r="D25" s="104">
        <v>0</v>
      </c>
      <c r="E25" s="104">
        <v>0</v>
      </c>
      <c r="F25" s="104">
        <v>1</v>
      </c>
      <c r="G25" s="106">
        <f t="shared" si="0"/>
        <v>1</v>
      </c>
    </row>
    <row r="26" ht="15" customHeight="true">
      <c r="A26" s="67">
        <v>25</v>
      </c>
      <c r="B26" s="110" t="s">
        <v>209</v>
      </c>
      <c r="C26" s="104">
        <v>1</v>
      </c>
      <c r="D26" s="104">
        <v>0</v>
      </c>
      <c r="E26" s="104">
        <v>0</v>
      </c>
      <c r="F26" s="104">
        <v>0</v>
      </c>
      <c r="G26" s="106">
        <f t="shared" si="0"/>
        <v>1</v>
      </c>
    </row>
    <row r="27" ht="15" customHeight="true">
      <c r="F27" s="67"/>
      <c r="G27" s="67"/>
    </row>
    <row r="28" ht="15" customHeight="true">
      <c r="F28" s="67"/>
      <c r="G28" s="67"/>
    </row>
    <row r="29" ht="15" customHeight="true">
      <c r="F29" s="67"/>
      <c r="G29" s="67"/>
    </row>
    <row r="30" ht="15" customHeight="true">
      <c r="F30" s="67"/>
      <c r="G30" s="67"/>
    </row>
    <row r="31" ht="15" customHeight="true">
      <c r="F31" s="67"/>
      <c r="G31" s="67"/>
    </row>
    <row r="32" ht="15" customHeight="true">
      <c r="F32" s="67"/>
      <c r="G32" s="67"/>
    </row>
    <row r="33" ht="15" customHeight="true">
      <c r="F33" s="67"/>
      <c r="G33" s="67"/>
    </row>
    <row r="34" ht="15" customHeight="true">
      <c r="F34" s="67"/>
      <c r="G34" s="67"/>
    </row>
    <row r="35" ht="15" customHeight="true">
      <c r="F35" s="67"/>
      <c r="G35" s="67"/>
    </row>
    <row r="36" ht="15" customHeight="true">
      <c r="F36" s="67"/>
      <c r="G36" s="67"/>
    </row>
    <row r="37" ht="15" customHeight="true">
      <c r="F37" s="67"/>
      <c r="G37" s="67"/>
    </row>
    <row r="38" ht="15" customHeight="true">
      <c r="F38" s="67"/>
      <c r="G38" s="67"/>
    </row>
    <row r="39" ht="15" customHeight="true">
      <c r="F39" s="67"/>
      <c r="G39" s="67"/>
    </row>
    <row r="40" ht="15" customHeight="true">
      <c r="F40" s="67"/>
      <c r="G40" s="67"/>
    </row>
    <row r="41" ht="15" customHeight="true">
      <c r="F41" s="67"/>
      <c r="G41" s="67"/>
    </row>
    <row r="42" ht="15" customHeight="true">
      <c r="F42" s="67"/>
      <c r="G42" s="67"/>
    </row>
    <row r="43" ht="15" customHeight="true">
      <c r="F43" s="67"/>
      <c r="G43" s="67"/>
    </row>
    <row r="44" ht="15" customHeight="true">
      <c r="F44" s="67"/>
      <c r="G44" s="67"/>
    </row>
    <row r="45" ht="15" customHeight="true">
      <c r="F45" s="67"/>
      <c r="G45" s="67"/>
    </row>
    <row r="46" ht="15" customHeight="true">
      <c r="F46" s="67"/>
      <c r="G46" s="67"/>
    </row>
    <row r="47" ht="15" customHeight="true">
      <c r="F47" s="67"/>
      <c r="G47" s="67"/>
    </row>
    <row r="48" ht="15" customHeight="true">
      <c r="F48" s="67"/>
      <c r="G48" s="67"/>
    </row>
    <row r="49" ht="15" customHeight="true">
      <c r="F49" s="67"/>
      <c r="G49" s="67"/>
    </row>
    <row r="50" ht="15" customHeight="true">
      <c r="F50" s="67"/>
      <c r="G50" s="67"/>
    </row>
    <row r="51" ht="15" customHeight="true">
      <c r="F51" s="67"/>
      <c r="G51" s="67"/>
    </row>
    <row r="52" ht="15" customHeight="true">
      <c r="F52" s="67"/>
      <c r="G52" s="67"/>
    </row>
    <row r="53" ht="15" customHeight="true">
      <c r="F53" s="67"/>
      <c r="G53" s="67"/>
    </row>
    <row r="54" ht="15" customHeight="true">
      <c r="F54" s="67"/>
      <c r="G54" s="67"/>
    </row>
    <row r="55" ht="15" customHeight="true">
      <c r="F55" s="67"/>
      <c r="G55" s="67"/>
    </row>
    <row r="56" ht="15" customHeight="true">
      <c r="F56" s="67"/>
      <c r="G56" s="67"/>
    </row>
    <row r="57" ht="15" customHeight="true">
      <c r="F57" s="67"/>
      <c r="G57" s="67"/>
    </row>
    <row r="58" ht="15" customHeight="true">
      <c r="F58" s="67"/>
      <c r="G58" s="67"/>
    </row>
    <row r="59" ht="15" customHeight="true">
      <c r="F59" s="67"/>
      <c r="G59" s="67"/>
    </row>
    <row r="60" ht="15" customHeight="true">
      <c r="F60" s="67"/>
      <c r="G60" s="67"/>
    </row>
    <row r="61" ht="15" customHeight="true">
      <c r="F61" s="67"/>
      <c r="G61" s="67"/>
    </row>
    <row r="62" ht="15" customHeight="true">
      <c r="F62" s="67"/>
      <c r="G62" s="67"/>
    </row>
    <row r="63" ht="15" customHeight="true">
      <c r="F63" s="67"/>
      <c r="G63" s="67"/>
    </row>
    <row r="64" ht="15" customHeight="true">
      <c r="F64" s="67"/>
      <c r="G64" s="67"/>
    </row>
    <row r="65" ht="15" customHeight="true">
      <c r="F65" s="67"/>
      <c r="G65" s="67"/>
    </row>
    <row r="66" ht="15" customHeight="true">
      <c r="F66" s="67"/>
      <c r="G66" s="67"/>
    </row>
    <row r="67" ht="15" customHeight="true">
      <c r="F67" s="67"/>
      <c r="G67" s="67"/>
    </row>
    <row r="68" ht="15" customHeight="true">
      <c r="F68" s="67"/>
      <c r="G68" s="67"/>
    </row>
    <row r="69" ht="15" customHeight="true">
      <c r="F69" s="67"/>
      <c r="G69" s="67"/>
    </row>
    <row r="70" ht="15" customHeight="true">
      <c r="F70" s="67"/>
      <c r="G70" s="67"/>
    </row>
    <row r="71" ht="15" customHeight="true">
      <c r="F71" s="67"/>
      <c r="G71" s="67"/>
    </row>
    <row r="72" ht="15" customHeight="true">
      <c r="F72" s="67"/>
      <c r="G72" s="67"/>
    </row>
    <row r="73" ht="15" customHeight="true">
      <c r="F73" s="67"/>
      <c r="G73" s="67"/>
    </row>
    <row r="74" ht="15" customHeight="true">
      <c r="F74" s="67"/>
      <c r="G74" s="67"/>
    </row>
    <row r="75" ht="15" customHeight="true">
      <c r="F75" s="67"/>
      <c r="G75" s="67"/>
    </row>
    <row r="76" ht="15" customHeight="true">
      <c r="F76" s="67"/>
      <c r="G76" s="67"/>
    </row>
    <row r="77" ht="15" customHeight="true">
      <c r="F77" s="67"/>
      <c r="G77" s="67"/>
    </row>
    <row r="78" ht="15" customHeight="true">
      <c r="F78" s="67"/>
      <c r="G78" s="67"/>
    </row>
    <row r="79" ht="15" customHeight="true">
      <c r="F79" s="67"/>
      <c r="G79" s="67"/>
    </row>
    <row r="80" ht="15" customHeight="true">
      <c r="F80" s="67"/>
      <c r="G80" s="67"/>
    </row>
    <row r="81" ht="15" customHeight="true">
      <c r="F81" s="67"/>
      <c r="G81" s="67"/>
    </row>
    <row r="82" ht="15" customHeight="true">
      <c r="F82" s="67"/>
      <c r="G82" s="67"/>
    </row>
    <row r="83" ht="15" customHeight="true">
      <c r="F83" s="67"/>
      <c r="G83" s="67"/>
    </row>
    <row r="84" ht="15" customHeight="true">
      <c r="F84" s="67"/>
      <c r="G84" s="67"/>
    </row>
    <row r="85" ht="15" customHeight="true">
      <c r="F85" s="67"/>
      <c r="G85" s="67"/>
    </row>
    <row r="86" ht="15" customHeight="true">
      <c r="F86" s="67"/>
      <c r="G86" s="67"/>
    </row>
    <row r="87" ht="15" customHeight="true">
      <c r="F87" s="67"/>
      <c r="G87" s="67"/>
    </row>
    <row r="88" ht="15" customHeight="true">
      <c r="F88" s="67"/>
      <c r="G88" s="67"/>
    </row>
    <row r="89" ht="15" customHeight="true">
      <c r="F89" s="67"/>
      <c r="G89" s="67"/>
    </row>
    <row r="90" ht="15" customHeight="true">
      <c r="F90" s="67"/>
      <c r="G90" s="67"/>
    </row>
    <row r="91" ht="15" customHeight="true">
      <c r="F91" s="67"/>
      <c r="G91" s="67"/>
    </row>
    <row r="92" ht="15" customHeight="true">
      <c r="F92" s="67"/>
      <c r="G92" s="67"/>
    </row>
    <row r="93" ht="15" customHeight="true">
      <c r="F93" s="67"/>
      <c r="G93" s="67"/>
    </row>
    <row r="94" ht="15" customHeight="true">
      <c r="F94" s="67"/>
      <c r="G94" s="67"/>
    </row>
    <row r="95" ht="15" customHeight="true">
      <c r="F95" s="67"/>
      <c r="G95" s="67"/>
    </row>
    <row r="96" ht="15" customHeight="true"/>
    <row r="97" ht="15" customHeight="true"/>
    <row r="98" ht="15" customHeight="true"/>
    <row r="99" ht="15" customHeight="true"/>
    <row r="100" ht="15" customHeight="true"/>
    <row r="101" ht="15" customHeight="true"/>
    <row r="102" ht="15" customHeight="true"/>
    <row r="103" ht="15" customHeight="true"/>
    <row r="104" ht="15" customHeight="true"/>
    <row r="105" ht="15" customHeight="true"/>
    <row r="106" ht="15" customHeight="true"/>
    <row r="107" ht="15" customHeight="true">
      <c r="F107" s="67"/>
      <c r="G107" s="67"/>
    </row>
    <row r="108" ht="15" customHeight="true">
      <c r="F108" s="67"/>
      <c r="G108" s="67"/>
    </row>
    <row r="109" ht="15" customHeight="true">
      <c r="F109" s="67"/>
      <c r="G109" s="67"/>
    </row>
    <row r="110" ht="15" customHeight="true">
      <c r="F110" s="67"/>
      <c r="G110" s="67"/>
    </row>
    <row r="111" ht="15" customHeight="true">
      <c r="F111" s="67"/>
      <c r="G111" s="67"/>
    </row>
    <row r="112" ht="15" customHeight="true">
      <c r="F112" s="67"/>
      <c r="G112" s="67"/>
    </row>
    <row r="113" ht="15" customHeight="true">
      <c r="F113" s="67"/>
      <c r="G113" s="67"/>
    </row>
    <row r="114" ht="15" customHeight="true">
      <c r="F114" s="67"/>
      <c r="G114" s="67"/>
    </row>
    <row r="115" ht="15" customHeight="true">
      <c r="F115" s="67"/>
      <c r="G115" s="67"/>
    </row>
    <row r="116" ht="15" customHeight="true">
      <c r="F116" s="67"/>
      <c r="G116" s="67"/>
    </row>
    <row r="117" ht="15" customHeight="true">
      <c r="F117" s="67"/>
      <c r="G117" s="67"/>
    </row>
    <row r="118" ht="15" customHeight="true">
      <c r="F118" s="67"/>
      <c r="G118" s="67"/>
    </row>
    <row r="119" ht="15" customHeight="true">
      <c r="F119" s="67"/>
      <c r="G119" s="67"/>
    </row>
    <row r="120" ht="15" customHeight="true">
      <c r="F120" s="67"/>
      <c r="G120" s="67"/>
    </row>
    <row r="121" ht="15" customHeight="true">
      <c r="F121" s="67"/>
      <c r="G121" s="67"/>
    </row>
    <row r="122" ht="15" customHeight="true">
      <c r="F122" s="67"/>
      <c r="G122" s="67"/>
    </row>
    <row r="123" ht="15" customHeight="true">
      <c r="F123" s="67"/>
      <c r="G123" s="67"/>
    </row>
    <row r="124" ht="15" customHeight="true">
      <c r="F124" s="67"/>
      <c r="G124" s="67"/>
    </row>
    <row r="125" ht="15" customHeight="true">
      <c r="F125" s="67"/>
      <c r="G125" s="67"/>
    </row>
    <row r="126" ht="15" customHeight="true">
      <c r="F126" s="67"/>
      <c r="G126" s="67"/>
    </row>
    <row r="127" ht="15" customHeight="true">
      <c r="F127" s="67"/>
      <c r="G127" s="67"/>
    </row>
    <row r="128" ht="15" customHeight="true">
      <c r="F128" s="67"/>
      <c r="G128" s="67"/>
    </row>
    <row r="129" ht="15" customHeight="true">
      <c r="F129" s="67"/>
      <c r="G129" s="67"/>
    </row>
    <row r="130" ht="15" customHeight="true">
      <c r="F130" s="67"/>
      <c r="G130" s="67"/>
    </row>
    <row r="131" ht="15" customHeight="true">
      <c r="F131" s="67"/>
      <c r="G131" s="67"/>
    </row>
    <row r="132" ht="15" customHeight="true">
      <c r="F132" s="67"/>
      <c r="G132" s="67"/>
    </row>
    <row r="133" ht="15" customHeight="true">
      <c r="F133" s="67"/>
      <c r="G133" s="67"/>
    </row>
    <row r="134" ht="15" customHeight="true">
      <c r="F134" s="67"/>
      <c r="G134" s="67"/>
    </row>
    <row r="135" ht="15" customHeight="true">
      <c r="F135" s="67"/>
      <c r="G135" s="67"/>
    </row>
    <row r="136" ht="15" customHeight="true">
      <c r="F136" s="67"/>
      <c r="G136" s="67"/>
    </row>
    <row r="137" ht="15" customHeight="true">
      <c r="F137" s="67"/>
      <c r="G137" s="67"/>
    </row>
    <row r="138" ht="15" customHeight="true">
      <c r="F138" s="67"/>
      <c r="G138" s="67"/>
    </row>
    <row r="139" ht="15" customHeight="true">
      <c r="F139" s="67"/>
      <c r="G139" s="67"/>
    </row>
    <row r="140" ht="15" customHeight="true">
      <c r="F140" s="67"/>
      <c r="G140" s="67"/>
    </row>
    <row r="141" ht="15" customHeight="true">
      <c r="F141" s="67"/>
      <c r="G141" s="67"/>
    </row>
    <row r="142" ht="15" customHeight="true">
      <c r="F142" s="67"/>
      <c r="G142" s="67"/>
    </row>
    <row r="143" ht="15" customHeight="true">
      <c r="F143" s="67"/>
      <c r="G143" s="67"/>
    </row>
    <row r="144" ht="15" customHeight="true">
      <c r="F144" s="67"/>
      <c r="G144" s="67"/>
    </row>
    <row r="145" ht="15" customHeight="true">
      <c r="F145" s="67"/>
      <c r="G145" s="67"/>
    </row>
    <row r="146" ht="15" customHeight="true">
      <c r="F146" s="67"/>
      <c r="G146" s="67"/>
    </row>
    <row r="147" ht="15" customHeight="true">
      <c r="F147" s="67"/>
      <c r="G147" s="67"/>
    </row>
    <row r="148" ht="15" customHeight="true">
      <c r="F148" s="67"/>
      <c r="G148" s="67"/>
    </row>
    <row r="149" ht="15" customHeight="true">
      <c r="F149" s="67"/>
      <c r="G149" s="67"/>
    </row>
    <row r="150" ht="15" customHeight="true">
      <c r="F150" s="67"/>
      <c r="G150" s="67"/>
    </row>
    <row r="151" ht="15" customHeight="true">
      <c r="F151" s="67"/>
      <c r="G151" s="67"/>
    </row>
    <row r="152" ht="15" customHeight="true">
      <c r="F152" s="67"/>
      <c r="G152" s="67"/>
    </row>
    <row r="153" ht="15" customHeight="true">
      <c r="F153" s="67"/>
      <c r="G153" s="67"/>
    </row>
    <row r="154" ht="15" customHeight="true">
      <c r="F154" s="67"/>
      <c r="G154" s="67"/>
    </row>
    <row r="155" ht="15" customHeight="true">
      <c r="F155" s="67"/>
      <c r="G155" s="67"/>
    </row>
    <row r="156" ht="15" customHeight="true">
      <c r="F156" s="67"/>
      <c r="G156" s="67"/>
    </row>
    <row r="157" ht="15" customHeight="true">
      <c r="F157" s="67"/>
      <c r="G157" s="67"/>
    </row>
    <row r="158" ht="15" customHeight="true">
      <c r="F158" s="67"/>
      <c r="G158" s="67"/>
    </row>
    <row r="159" ht="15" customHeight="true">
      <c r="F159" s="67"/>
      <c r="G159" s="67"/>
    </row>
    <row r="160" ht="15" customHeight="true">
      <c r="F160" s="67"/>
      <c r="G160" s="67"/>
    </row>
    <row r="161" ht="15" customHeight="true">
      <c r="F161" s="67"/>
      <c r="G161" s="67"/>
    </row>
    <row r="162" ht="15" customHeight="true">
      <c r="F162" s="67"/>
      <c r="G162" s="67"/>
    </row>
    <row r="163" ht="15" customHeight="true">
      <c r="F163" s="67"/>
      <c r="G163" s="67"/>
    </row>
    <row r="164" ht="15" customHeight="true">
      <c r="F164" s="67"/>
      <c r="G164" s="67"/>
    </row>
    <row r="165" ht="15" customHeight="true">
      <c r="F165" s="67"/>
      <c r="G165" s="67"/>
    </row>
    <row r="166" ht="15" customHeight="true">
      <c r="F166" s="67"/>
      <c r="G166" s="67"/>
    </row>
    <row r="167" ht="15" customHeight="true">
      <c r="F167" s="67"/>
      <c r="G167" s="67"/>
    </row>
    <row r="168" ht="15" customHeight="true">
      <c r="F168" s="67"/>
      <c r="G168" s="67"/>
    </row>
    <row r="169" ht="15" customHeight="true">
      <c r="F169" s="67"/>
      <c r="G169" s="67"/>
    </row>
    <row r="170" ht="15" customHeight="true">
      <c r="F170" s="67"/>
      <c r="G170" s="67"/>
    </row>
    <row r="171" ht="15" customHeight="true">
      <c r="F171" s="67"/>
      <c r="G171" s="67"/>
    </row>
    <row r="172" ht="15" customHeight="true">
      <c r="F172" s="67"/>
      <c r="G172" s="67"/>
    </row>
    <row r="173" ht="15" customHeight="true">
      <c r="F173" s="67"/>
      <c r="G173" s="67"/>
    </row>
    <row r="174" ht="15" customHeight="true">
      <c r="F174" s="67"/>
      <c r="G174" s="67"/>
    </row>
    <row r="175" ht="15" customHeight="true">
      <c r="F175" s="67"/>
      <c r="G175" s="67"/>
    </row>
    <row r="176" ht="15" customHeight="true">
      <c r="F176" s="67"/>
      <c r="G176" s="67"/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M15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baseColWidth="10" defaultColWidth="8.83203125" defaultRowHeight="16"/>
  <cols>
    <col min="1" max="1" width="12.6640625" style="67" customWidth="true"/>
    <col min="2" max="2" width="30.5" style="67" bestFit="true" customWidth="true"/>
    <col min="3" max="3" width="26.83203125" style="67" customWidth="true"/>
    <col min="4" max="4" width="8.1640625" style="67" bestFit="true" customWidth="true"/>
    <col min="5" max="5" width="8.83203125" style="67"/>
    <col min="7" max="7" width="29.6640625" bestFit="true" customWidth="true"/>
    <col min="14" max="16384" width="8.83203125" style="67"/>
  </cols>
  <sheetData>
    <row r="1" s="108" customFormat="true" ht="34">
      <c r="A1" s="103" t="s">
        <v>22</v>
      </c>
      <c r="B1" s="107" t="s">
        <v>0</v>
      </c>
      <c r="C1" s="164" t="s">
        <v>209</v>
      </c>
      <c r="D1" s="108" t="s">
        <v>12</v>
      </c>
      <c r="F1"/>
      <c r="G1"/>
      <c r="H1"/>
      <c r="I1"/>
      <c r="J1"/>
      <c r="K1"/>
      <c r="L1"/>
      <c r="M1"/>
    </row>
    <row r="2" ht="15" customHeight="true">
      <c r="A2" s="67">
        <v>1</v>
      </c>
      <c r="B2" s="110" t="s">
        <v>182</v>
      </c>
      <c r="C2" s="164">
        <v>0</v>
      </c>
      <c r="D2" s="109">
        <f t="shared" ref="D2:D25" si="0">SUM(C2:C2)</f>
        <v>0</v>
      </c>
    </row>
    <row r="3" ht="15" customHeight="true">
      <c r="A3" s="67">
        <v>2</v>
      </c>
      <c r="B3" s="110" t="s">
        <v>188</v>
      </c>
      <c r="C3" s="164">
        <v>1.7999999999999999E-2</v>
      </c>
      <c r="D3" s="109">
        <f t="shared" si="0"/>
        <v>1.7999999999999999E-2</v>
      </c>
    </row>
    <row r="4" ht="15" customHeight="true">
      <c r="A4" s="67">
        <v>3</v>
      </c>
      <c r="B4" s="110" t="s">
        <v>189</v>
      </c>
      <c r="C4" s="164">
        <v>2.8000000000000001E-2</v>
      </c>
      <c r="D4" s="109">
        <f t="shared" si="0"/>
        <v>2.8000000000000001E-2</v>
      </c>
    </row>
    <row r="5" ht="15" customHeight="true">
      <c r="A5" s="67">
        <v>4</v>
      </c>
      <c r="B5" s="110" t="s">
        <v>190</v>
      </c>
      <c r="C5" s="164">
        <v>0.13200000000000001</v>
      </c>
      <c r="D5" s="109">
        <f t="shared" si="0"/>
        <v>0.13200000000000001</v>
      </c>
    </row>
    <row r="6" ht="15" customHeight="true">
      <c r="A6" s="67">
        <v>5</v>
      </c>
      <c r="B6" s="110" t="s">
        <v>191</v>
      </c>
      <c r="C6" s="164">
        <v>0.17100000000000001</v>
      </c>
      <c r="D6" s="109">
        <f t="shared" si="0"/>
        <v>0.17100000000000001</v>
      </c>
    </row>
    <row r="7" ht="15" customHeight="true">
      <c r="A7" s="67">
        <v>6</v>
      </c>
      <c r="B7" s="110" t="s">
        <v>192</v>
      </c>
      <c r="C7" s="164">
        <v>1.0999999999999999E-2</v>
      </c>
      <c r="D7" s="109">
        <f t="shared" si="0"/>
        <v>1.0999999999999999E-2</v>
      </c>
    </row>
    <row r="8" ht="15" customHeight="true">
      <c r="A8" s="67">
        <v>7</v>
      </c>
      <c r="B8" s="110" t="s">
        <v>193</v>
      </c>
      <c r="C8" s="164">
        <v>6.2E-2</v>
      </c>
      <c r="D8" s="109">
        <f t="shared" si="0"/>
        <v>6.2E-2</v>
      </c>
    </row>
    <row r="9" ht="15" customHeight="true">
      <c r="A9" s="67">
        <v>8</v>
      </c>
      <c r="B9" s="110" t="s">
        <v>194</v>
      </c>
      <c r="C9" s="164">
        <v>0.20100000000000001</v>
      </c>
      <c r="D9" s="109">
        <f t="shared" si="0"/>
        <v>0.20100000000000001</v>
      </c>
    </row>
    <row r="10" ht="15" customHeight="true">
      <c r="A10" s="67">
        <v>9</v>
      </c>
      <c r="B10" s="110" t="s">
        <v>195</v>
      </c>
      <c r="C10" s="164">
        <v>0.01</v>
      </c>
      <c r="D10" s="109">
        <f t="shared" si="0"/>
        <v>0.01</v>
      </c>
    </row>
    <row r="11" ht="15" customHeight="true">
      <c r="A11" s="67">
        <v>10</v>
      </c>
      <c r="B11" s="110" t="s">
        <v>196</v>
      </c>
      <c r="C11" s="164">
        <v>3.0000000000000001E-3</v>
      </c>
      <c r="D11" s="109">
        <f t="shared" si="0"/>
        <v>3.0000000000000001E-3</v>
      </c>
    </row>
    <row r="12" ht="15" customHeight="true">
      <c r="A12" s="67">
        <v>11</v>
      </c>
      <c r="B12" s="110" t="s">
        <v>197</v>
      </c>
      <c r="C12" s="164">
        <v>0.02</v>
      </c>
      <c r="D12" s="109">
        <f t="shared" si="0"/>
        <v>0.02</v>
      </c>
    </row>
    <row r="13" ht="15" customHeight="true">
      <c r="A13" s="67">
        <v>12</v>
      </c>
      <c r="B13" s="110" t="s">
        <v>198</v>
      </c>
      <c r="C13" s="164">
        <v>0.98399999999999999</v>
      </c>
      <c r="D13" s="109">
        <f t="shared" si="0"/>
        <v>0.98399999999999999</v>
      </c>
    </row>
    <row r="14" ht="15" customHeight="true">
      <c r="A14" s="67">
        <v>13</v>
      </c>
      <c r="B14" s="110" t="s">
        <v>199</v>
      </c>
      <c r="C14" s="164">
        <v>1.5109999999999999</v>
      </c>
      <c r="D14" s="109">
        <f t="shared" si="0"/>
        <v>1.5109999999999999</v>
      </c>
    </row>
    <row r="15" ht="15" customHeight="true">
      <c r="A15" s="67">
        <v>14</v>
      </c>
      <c r="B15" s="110" t="s">
        <v>200</v>
      </c>
      <c r="C15" s="164">
        <v>0.02</v>
      </c>
      <c r="D15" s="109">
        <f t="shared" si="0"/>
        <v>0.02</v>
      </c>
    </row>
    <row r="16" ht="15" customHeight="true">
      <c r="A16" s="67">
        <v>15</v>
      </c>
      <c r="B16" s="110" t="s">
        <v>201</v>
      </c>
      <c r="C16" s="164">
        <v>5.0000000000000001E-3</v>
      </c>
      <c r="D16" s="109">
        <f t="shared" si="0"/>
        <v>5.0000000000000001E-3</v>
      </c>
    </row>
    <row r="17" ht="15" customHeight="true">
      <c r="A17" s="67">
        <v>16</v>
      </c>
      <c r="B17" s="110" t="s">
        <v>202</v>
      </c>
      <c r="C17" s="164">
        <v>0</v>
      </c>
      <c r="D17" s="109">
        <f t="shared" si="0"/>
        <v>0</v>
      </c>
    </row>
    <row r="18" ht="15" customHeight="true">
      <c r="A18" s="67">
        <v>17</v>
      </c>
      <c r="B18" s="110" t="s">
        <v>203</v>
      </c>
      <c r="C18" s="164">
        <v>0.31</v>
      </c>
      <c r="D18" s="109">
        <f t="shared" si="0"/>
        <v>0.31</v>
      </c>
    </row>
    <row r="19" ht="15" customHeight="true">
      <c r="A19" s="67">
        <v>18</v>
      </c>
      <c r="B19" s="110" t="s">
        <v>204</v>
      </c>
      <c r="C19" s="164">
        <v>0</v>
      </c>
      <c r="D19" s="109">
        <f t="shared" si="0"/>
        <v>0</v>
      </c>
    </row>
    <row r="20" ht="15" customHeight="true">
      <c r="A20" s="67">
        <v>19</v>
      </c>
      <c r="B20" s="110" t="s">
        <v>205</v>
      </c>
      <c r="C20" s="164">
        <v>0</v>
      </c>
      <c r="D20" s="109">
        <f t="shared" si="0"/>
        <v>0</v>
      </c>
    </row>
    <row r="21" ht="15" customHeight="true">
      <c r="A21" s="67">
        <v>20</v>
      </c>
      <c r="B21" s="110" t="s">
        <v>206</v>
      </c>
      <c r="C21" s="164">
        <v>0</v>
      </c>
      <c r="D21" s="109">
        <f t="shared" si="0"/>
        <v>0</v>
      </c>
    </row>
    <row r="22" ht="15" customHeight="true">
      <c r="A22" s="67">
        <v>21</v>
      </c>
      <c r="B22" s="110" t="s">
        <v>207</v>
      </c>
      <c r="C22" s="164">
        <v>0</v>
      </c>
      <c r="D22" s="109">
        <f t="shared" si="0"/>
        <v>0</v>
      </c>
    </row>
    <row r="23" ht="15" customHeight="true">
      <c r="A23" s="67">
        <v>22</v>
      </c>
      <c r="B23" s="110" t="s">
        <v>208</v>
      </c>
      <c r="C23" s="164">
        <v>0</v>
      </c>
      <c r="D23" s="109">
        <f t="shared" si="0"/>
        <v>0</v>
      </c>
    </row>
    <row r="24" ht="15" customHeight="true">
      <c r="A24" s="67">
        <v>23</v>
      </c>
      <c r="B24" s="110" t="s">
        <v>124</v>
      </c>
      <c r="C24" s="164">
        <v>0</v>
      </c>
      <c r="D24" s="109">
        <f t="shared" si="0"/>
        <v>0</v>
      </c>
    </row>
    <row r="25" ht="15" customHeight="true">
      <c r="A25" s="67">
        <v>24</v>
      </c>
      <c r="B25" s="110" t="s">
        <v>125</v>
      </c>
      <c r="C25" s="164">
        <v>0</v>
      </c>
      <c r="D25" s="109">
        <f t="shared" si="0"/>
        <v>0</v>
      </c>
    </row>
    <row r="58" ht="15" customHeight="true"/>
    <row r="59" ht="15" customHeight="true"/>
    <row r="60" ht="15" customHeight="true"/>
    <row r="61" ht="15" customHeight="true"/>
    <row r="62" ht="15" customHeight="true"/>
    <row r="63" ht="15" customHeight="true"/>
    <row r="64" ht="15" customHeight="true"/>
    <row r="65" ht="15" customHeight="true"/>
    <row r="66" ht="15" customHeight="true"/>
    <row r="67" ht="15" customHeight="true"/>
    <row r="68" ht="15" customHeight="true"/>
    <row r="69" ht="15" customHeight="true"/>
    <row r="70" ht="15" customHeight="true"/>
    <row r="71" ht="15" customHeight="true"/>
    <row r="72" ht="15" customHeight="true"/>
    <row r="73" ht="15" customHeight="true"/>
    <row r="74" ht="15" customHeight="true"/>
    <row r="75" ht="15" customHeight="true"/>
    <row r="76" ht="15" customHeight="true"/>
    <row r="77" ht="15" customHeight="true"/>
    <row r="78" ht="15" customHeight="true"/>
    <row r="79" ht="15" customHeight="true"/>
    <row r="80" ht="15" customHeight="true"/>
    <row r="81" ht="15" customHeight="true"/>
    <row r="82" ht="15" customHeight="true"/>
    <row r="83" ht="15" customHeight="true"/>
    <row r="84" ht="15" customHeight="true"/>
    <row r="85" ht="15" customHeight="true"/>
    <row r="86" ht="15" customHeight="true"/>
    <row r="87" ht="15" customHeight="true"/>
    <row r="88" ht="15" customHeight="true"/>
    <row r="89" ht="15" customHeight="true"/>
    <row r="90" ht="15" customHeight="true"/>
    <row r="91" ht="15" customHeight="true"/>
    <row r="92" ht="15" customHeight="true"/>
    <row r="93" ht="15" customHeight="true"/>
    <row r="94" ht="15" customHeight="true"/>
    <row r="95" ht="15" customHeight="true"/>
    <row r="96" ht="15" customHeight="true"/>
    <row r="97" ht="15" customHeight="true"/>
    <row r="98" ht="15" customHeight="true"/>
    <row r="99" ht="15" customHeight="true"/>
    <row r="100" ht="15" customHeight="true"/>
    <row r="101" ht="15" customHeight="true"/>
    <row r="102" ht="15" customHeight="true"/>
    <row r="103" ht="15" customHeight="true"/>
    <row r="104" ht="15" customHeight="true"/>
    <row r="105" ht="15" customHeight="true"/>
    <row r="106" ht="15" customHeight="true"/>
    <row r="107" ht="15" customHeight="true"/>
    <row r="108" ht="15" customHeight="true"/>
    <row r="109" ht="15" customHeight="true"/>
    <row r="110" ht="15" customHeight="true"/>
    <row r="111" ht="15" customHeight="true"/>
    <row r="112" ht="15" customHeight="true"/>
    <row r="113" ht="15" customHeight="true"/>
    <row r="114" ht="15" customHeight="true"/>
    <row r="115" ht="15" customHeight="true"/>
    <row r="116" ht="15" customHeight="true"/>
    <row r="117" ht="15" customHeight="true"/>
    <row r="118" ht="15" customHeight="true"/>
    <row r="119" ht="15" customHeight="true"/>
    <row r="120" ht="15" customHeight="true"/>
    <row r="121" ht="15" customHeight="true"/>
    <row r="122" ht="15" customHeight="true"/>
    <row r="123" ht="15" customHeight="true"/>
    <row r="124" ht="15" customHeight="true"/>
    <row r="125" ht="15" customHeight="true"/>
    <row r="126" ht="15" customHeight="true"/>
    <row r="127" ht="15" customHeight="true"/>
    <row r="128" ht="15" customHeight="true"/>
    <row r="129" ht="15" customHeight="true"/>
    <row r="130" ht="15" customHeight="true"/>
    <row r="131" ht="15" customHeight="true"/>
    <row r="132" ht="15" customHeight="true"/>
    <row r="133" ht="15" customHeight="true"/>
    <row r="134" ht="15" customHeight="true"/>
    <row r="135" ht="15" customHeight="true"/>
    <row r="136" ht="15" customHeight="true"/>
    <row r="137" ht="15" customHeight="true"/>
    <row r="138" ht="15" customHeight="true"/>
    <row r="139" ht="15" customHeight="true"/>
    <row r="140" ht="15" customHeight="true"/>
    <row r="141" ht="15" customHeight="true"/>
    <row r="142" ht="15" customHeight="true"/>
    <row r="143" ht="15" customHeight="true"/>
    <row r="144" ht="15" customHeight="true"/>
    <row r="145" ht="15" customHeight="true"/>
    <row r="146" ht="15" customHeight="true"/>
    <row r="149" ht="15" customHeight="true"/>
    <row r="150" ht="15" customHeight="true"/>
  </sheetData>
  <phoneticPr fontId="3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M8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D29" sqref="D29"/>
    </sheetView>
  </sheetViews>
  <sheetFormatPr baseColWidth="10" defaultColWidth="8.83203125" defaultRowHeight="16"/>
  <cols>
    <col min="1" max="1" width="12.6640625" style="67" customWidth="true"/>
    <col min="2" max="2" width="36.33203125" style="67" bestFit="true" customWidth="true"/>
    <col min="3" max="3" width="26.83203125" style="67" customWidth="true"/>
    <col min="4" max="4" width="8.1640625" style="67" bestFit="true" customWidth="true"/>
    <col min="5" max="16384" width="8.83203125" style="67"/>
  </cols>
  <sheetData>
    <row r="1" s="108" customFormat="true" ht="34">
      <c r="A1" s="103" t="s">
        <v>23</v>
      </c>
      <c r="B1" s="107" t="s">
        <v>0</v>
      </c>
      <c r="C1" s="164" t="s">
        <v>209</v>
      </c>
      <c r="D1" s="108" t="s">
        <v>12</v>
      </c>
    </row>
    <row r="2" ht="15" customHeight="true">
      <c r="A2" s="67">
        <v>1</v>
      </c>
      <c r="B2" s="110" t="s">
        <v>182</v>
      </c>
      <c r="C2" s="164">
        <v>0</v>
      </c>
      <c r="D2" s="109">
        <f t="shared" ref="D2:D25" si="0">SUM(C2:C2)</f>
        <v>0</v>
      </c>
      <c r="F2"/>
      <c r="G2"/>
      <c r="H2"/>
      <c r="I2"/>
      <c r="J2"/>
      <c r="K2"/>
      <c r="L2"/>
      <c r="M2"/>
    </row>
    <row r="3" ht="15" customHeight="true">
      <c r="A3" s="67">
        <v>2</v>
      </c>
      <c r="B3" s="110" t="s">
        <v>188</v>
      </c>
      <c r="C3" s="164">
        <v>0</v>
      </c>
      <c r="D3" s="109">
        <f t="shared" si="0"/>
        <v>0</v>
      </c>
      <c r="F3"/>
      <c r="G3"/>
      <c r="H3"/>
      <c r="I3"/>
      <c r="J3"/>
      <c r="K3"/>
      <c r="L3"/>
      <c r="M3"/>
    </row>
    <row r="4" ht="15" customHeight="true">
      <c r="A4" s="67">
        <v>3</v>
      </c>
      <c r="B4" s="110" t="s">
        <v>189</v>
      </c>
      <c r="C4" s="164">
        <v>0</v>
      </c>
      <c r="D4" s="109">
        <f t="shared" si="0"/>
        <v>0</v>
      </c>
      <c r="F4"/>
      <c r="G4"/>
      <c r="H4"/>
      <c r="I4"/>
      <c r="J4"/>
      <c r="K4"/>
      <c r="L4"/>
      <c r="M4"/>
    </row>
    <row r="5" ht="15" customHeight="true">
      <c r="A5" s="67">
        <v>4</v>
      </c>
      <c r="B5" s="110" t="s">
        <v>190</v>
      </c>
      <c r="C5" s="164">
        <v>0</v>
      </c>
      <c r="D5" s="109">
        <f t="shared" si="0"/>
        <v>0</v>
      </c>
      <c r="F5"/>
      <c r="G5"/>
      <c r="H5"/>
      <c r="I5"/>
      <c r="J5"/>
      <c r="K5"/>
      <c r="L5"/>
      <c r="M5"/>
    </row>
    <row r="6" ht="15" customHeight="true">
      <c r="A6" s="67">
        <v>5</v>
      </c>
      <c r="B6" s="110" t="s">
        <v>191</v>
      </c>
      <c r="C6" s="164">
        <v>0</v>
      </c>
      <c r="D6" s="109">
        <f t="shared" si="0"/>
        <v>0</v>
      </c>
      <c r="F6"/>
      <c r="G6"/>
      <c r="H6"/>
      <c r="I6"/>
      <c r="J6"/>
      <c r="K6"/>
      <c r="L6"/>
      <c r="M6"/>
    </row>
    <row r="7" ht="15" customHeight="true">
      <c r="A7" s="67">
        <v>6</v>
      </c>
      <c r="B7" s="110" t="s">
        <v>192</v>
      </c>
      <c r="C7" s="164">
        <v>0</v>
      </c>
      <c r="D7" s="109">
        <f t="shared" si="0"/>
        <v>0</v>
      </c>
      <c r="F7"/>
      <c r="G7"/>
      <c r="H7"/>
      <c r="I7"/>
      <c r="J7"/>
      <c r="K7"/>
      <c r="L7"/>
      <c r="M7"/>
    </row>
    <row r="8" ht="15" customHeight="true">
      <c r="A8" s="67">
        <v>7</v>
      </c>
      <c r="B8" s="110" t="s">
        <v>193</v>
      </c>
      <c r="C8" s="164">
        <v>0</v>
      </c>
      <c r="D8" s="109">
        <f t="shared" si="0"/>
        <v>0</v>
      </c>
      <c r="F8"/>
      <c r="G8"/>
      <c r="H8"/>
      <c r="I8"/>
      <c r="J8"/>
      <c r="K8"/>
      <c r="L8"/>
      <c r="M8"/>
    </row>
    <row r="9" ht="15" customHeight="true">
      <c r="A9" s="67">
        <v>8</v>
      </c>
      <c r="B9" s="110" t="s">
        <v>194</v>
      </c>
      <c r="C9" s="164">
        <v>0</v>
      </c>
      <c r="D9" s="109">
        <f t="shared" si="0"/>
        <v>0</v>
      </c>
      <c r="F9"/>
      <c r="G9"/>
      <c r="H9"/>
      <c r="I9"/>
      <c r="J9"/>
      <c r="K9"/>
      <c r="L9"/>
      <c r="M9"/>
    </row>
    <row r="10" ht="15" customHeight="true">
      <c r="A10" s="67">
        <v>9</v>
      </c>
      <c r="B10" s="110" t="s">
        <v>195</v>
      </c>
      <c r="C10" s="164">
        <v>0</v>
      </c>
      <c r="D10" s="109">
        <f t="shared" si="0"/>
        <v>0</v>
      </c>
      <c r="F10"/>
      <c r="G10"/>
      <c r="H10"/>
      <c r="I10"/>
      <c r="J10"/>
      <c r="K10"/>
      <c r="L10"/>
      <c r="M10"/>
    </row>
    <row r="11" ht="15" customHeight="true">
      <c r="A11" s="67">
        <v>10</v>
      </c>
      <c r="B11" s="110" t="s">
        <v>196</v>
      </c>
      <c r="C11" s="164">
        <v>0</v>
      </c>
      <c r="D11" s="109">
        <f t="shared" si="0"/>
        <v>0</v>
      </c>
      <c r="F11"/>
      <c r="G11"/>
      <c r="H11"/>
      <c r="I11"/>
      <c r="J11"/>
      <c r="K11"/>
      <c r="L11"/>
      <c r="M11"/>
    </row>
    <row r="12" ht="15" customHeight="true">
      <c r="A12" s="67">
        <v>11</v>
      </c>
      <c r="B12" s="110" t="s">
        <v>197</v>
      </c>
      <c r="C12" s="164">
        <v>0</v>
      </c>
      <c r="D12" s="109">
        <f t="shared" si="0"/>
        <v>0</v>
      </c>
      <c r="F12"/>
      <c r="G12"/>
      <c r="H12"/>
      <c r="I12"/>
      <c r="J12"/>
      <c r="K12"/>
      <c r="L12"/>
      <c r="M12"/>
    </row>
    <row r="13" ht="15" customHeight="true">
      <c r="A13" s="67">
        <v>12</v>
      </c>
      <c r="B13" s="110" t="s">
        <v>198</v>
      </c>
      <c r="C13" s="164">
        <v>0</v>
      </c>
      <c r="D13" s="109">
        <f t="shared" si="0"/>
        <v>0</v>
      </c>
      <c r="F13"/>
      <c r="G13"/>
      <c r="H13"/>
      <c r="I13"/>
      <c r="J13"/>
      <c r="K13"/>
      <c r="L13"/>
      <c r="M13"/>
    </row>
    <row r="14" ht="15" customHeight="true">
      <c r="A14" s="67">
        <v>13</v>
      </c>
      <c r="B14" s="110" t="s">
        <v>199</v>
      </c>
      <c r="C14" s="164">
        <v>0</v>
      </c>
      <c r="D14" s="109">
        <f t="shared" si="0"/>
        <v>0</v>
      </c>
      <c r="F14"/>
      <c r="G14"/>
      <c r="H14"/>
      <c r="I14"/>
      <c r="J14"/>
      <c r="K14"/>
      <c r="L14"/>
      <c r="M14"/>
    </row>
    <row r="15" ht="15" customHeight="true">
      <c r="A15" s="67">
        <v>14</v>
      </c>
      <c r="B15" s="110" t="s">
        <v>200</v>
      </c>
      <c r="C15" s="164">
        <v>0</v>
      </c>
      <c r="D15" s="109">
        <f t="shared" si="0"/>
        <v>0</v>
      </c>
      <c r="F15"/>
      <c r="G15"/>
      <c r="H15"/>
      <c r="I15"/>
      <c r="J15"/>
      <c r="K15"/>
      <c r="L15"/>
      <c r="M15"/>
    </row>
    <row r="16" ht="15" customHeight="true">
      <c r="A16" s="67">
        <v>15</v>
      </c>
      <c r="B16" s="110" t="s">
        <v>201</v>
      </c>
      <c r="C16" s="164">
        <v>0</v>
      </c>
      <c r="D16" s="109">
        <f t="shared" si="0"/>
        <v>0</v>
      </c>
      <c r="F16"/>
      <c r="G16"/>
      <c r="H16"/>
      <c r="I16"/>
      <c r="J16"/>
      <c r="K16"/>
      <c r="L16"/>
      <c r="M16"/>
    </row>
    <row r="17" ht="15" customHeight="true">
      <c r="A17" s="67">
        <v>16</v>
      </c>
      <c r="B17" s="110" t="s">
        <v>202</v>
      </c>
      <c r="C17" s="164">
        <v>0</v>
      </c>
      <c r="D17" s="109">
        <f t="shared" si="0"/>
        <v>0</v>
      </c>
      <c r="F17"/>
      <c r="G17"/>
      <c r="H17"/>
      <c r="I17"/>
      <c r="J17"/>
      <c r="K17"/>
      <c r="L17"/>
      <c r="M17"/>
    </row>
    <row r="18" ht="15" customHeight="true">
      <c r="A18" s="67">
        <v>17</v>
      </c>
      <c r="B18" s="110" t="s">
        <v>203</v>
      </c>
      <c r="C18" s="164">
        <v>0</v>
      </c>
      <c r="D18" s="109">
        <f t="shared" si="0"/>
        <v>0</v>
      </c>
      <c r="F18"/>
      <c r="G18"/>
      <c r="H18"/>
      <c r="I18"/>
      <c r="J18"/>
      <c r="K18"/>
      <c r="L18"/>
      <c r="M18"/>
    </row>
    <row r="19" ht="15" customHeight="true">
      <c r="A19" s="67">
        <v>18</v>
      </c>
      <c r="B19" s="110" t="s">
        <v>204</v>
      </c>
      <c r="C19" s="164">
        <v>0</v>
      </c>
      <c r="D19" s="109">
        <f t="shared" si="0"/>
        <v>0</v>
      </c>
      <c r="F19"/>
      <c r="G19"/>
      <c r="H19"/>
      <c r="I19"/>
      <c r="J19"/>
      <c r="K19"/>
      <c r="L19"/>
      <c r="M19"/>
    </row>
    <row r="20" ht="15" customHeight="true">
      <c r="A20" s="67">
        <v>19</v>
      </c>
      <c r="B20" s="110" t="s">
        <v>205</v>
      </c>
      <c r="C20" s="164">
        <v>0</v>
      </c>
      <c r="D20" s="109">
        <f t="shared" si="0"/>
        <v>0</v>
      </c>
      <c r="F20"/>
      <c r="G20"/>
      <c r="H20"/>
      <c r="I20"/>
      <c r="J20"/>
      <c r="K20"/>
      <c r="L20"/>
      <c r="M20"/>
    </row>
    <row r="21" ht="15" customHeight="true">
      <c r="A21" s="67">
        <v>20</v>
      </c>
      <c r="B21" s="110" t="s">
        <v>206</v>
      </c>
      <c r="C21" s="164">
        <v>0</v>
      </c>
      <c r="D21" s="109">
        <f t="shared" si="0"/>
        <v>0</v>
      </c>
      <c r="F21"/>
      <c r="G21"/>
      <c r="H21"/>
      <c r="I21"/>
      <c r="J21"/>
      <c r="K21"/>
      <c r="L21"/>
      <c r="M21"/>
    </row>
    <row r="22" ht="15" customHeight="true">
      <c r="A22" s="67">
        <v>21</v>
      </c>
      <c r="B22" s="110" t="s">
        <v>207</v>
      </c>
      <c r="C22" s="164">
        <v>0</v>
      </c>
      <c r="D22" s="109">
        <f t="shared" si="0"/>
        <v>0</v>
      </c>
      <c r="F22"/>
      <c r="G22"/>
      <c r="H22"/>
      <c r="I22"/>
      <c r="J22"/>
      <c r="K22"/>
      <c r="L22"/>
      <c r="M22"/>
    </row>
    <row r="23" ht="15" customHeight="true">
      <c r="A23" s="67">
        <v>22</v>
      </c>
      <c r="B23" s="110" t="s">
        <v>208</v>
      </c>
      <c r="C23" s="164">
        <v>0</v>
      </c>
      <c r="D23" s="109">
        <f t="shared" si="0"/>
        <v>0</v>
      </c>
      <c r="F23"/>
      <c r="G23"/>
      <c r="H23"/>
      <c r="I23"/>
      <c r="J23"/>
      <c r="K23"/>
      <c r="L23"/>
      <c r="M23"/>
    </row>
    <row r="24" ht="15" customHeight="true">
      <c r="A24" s="67">
        <v>23</v>
      </c>
      <c r="B24" s="110" t="s">
        <v>124</v>
      </c>
      <c r="C24" s="164">
        <v>0</v>
      </c>
      <c r="D24" s="109">
        <f t="shared" si="0"/>
        <v>0</v>
      </c>
      <c r="F24"/>
      <c r="G24"/>
      <c r="H24"/>
      <c r="I24"/>
      <c r="J24"/>
      <c r="K24"/>
      <c r="L24"/>
      <c r="M24"/>
    </row>
    <row r="25" ht="15" customHeight="true">
      <c r="A25" s="67">
        <v>24</v>
      </c>
      <c r="B25" s="110" t="s">
        <v>125</v>
      </c>
      <c r="C25" s="164">
        <v>0</v>
      </c>
      <c r="D25" s="109">
        <f t="shared" si="0"/>
        <v>0</v>
      </c>
      <c r="F25"/>
      <c r="G25"/>
      <c r="H25"/>
      <c r="I25"/>
      <c r="J25"/>
      <c r="K25"/>
      <c r="L25"/>
      <c r="M25"/>
    </row>
    <row r="26">
      <c r="F26"/>
      <c r="G26"/>
      <c r="H26"/>
      <c r="I26"/>
      <c r="J26"/>
      <c r="K26"/>
      <c r="L26"/>
      <c r="M26"/>
    </row>
    <row r="27">
      <c r="F27"/>
      <c r="G27"/>
      <c r="H27"/>
      <c r="I27"/>
      <c r="J27"/>
      <c r="K27"/>
      <c r="L27"/>
      <c r="M27"/>
    </row>
    <row r="28">
      <c r="F28"/>
      <c r="G28"/>
      <c r="H28"/>
      <c r="I28"/>
      <c r="J28"/>
      <c r="K28"/>
      <c r="L28"/>
      <c r="M28"/>
    </row>
    <row r="29">
      <c r="F29"/>
      <c r="G29"/>
      <c r="H29"/>
      <c r="I29"/>
      <c r="J29"/>
      <c r="K29"/>
      <c r="L29"/>
      <c r="M29"/>
    </row>
    <row r="30">
      <c r="F30"/>
      <c r="G30"/>
      <c r="H30"/>
      <c r="I30"/>
      <c r="J30"/>
      <c r="K30"/>
      <c r="L30"/>
      <c r="M30"/>
    </row>
    <row r="31">
      <c r="F31"/>
      <c r="G31"/>
      <c r="H31"/>
      <c r="I31"/>
      <c r="J31"/>
      <c r="K31"/>
      <c r="L31"/>
      <c r="M31"/>
    </row>
    <row r="32">
      <c r="F32"/>
      <c r="G32"/>
      <c r="H32"/>
      <c r="I32"/>
      <c r="J32"/>
      <c r="K32"/>
      <c r="L32"/>
      <c r="M32"/>
    </row>
    <row r="33">
      <c r="F33"/>
      <c r="G33"/>
      <c r="H33"/>
      <c r="I33"/>
      <c r="J33"/>
      <c r="K33"/>
      <c r="L33"/>
      <c r="M33"/>
    </row>
    <row r="34">
      <c r="F34"/>
      <c r="G34"/>
      <c r="H34"/>
      <c r="I34"/>
      <c r="J34"/>
      <c r="K34"/>
      <c r="L34"/>
      <c r="M34"/>
    </row>
    <row r="35">
      <c r="F35"/>
      <c r="G35"/>
      <c r="H35"/>
      <c r="I35"/>
      <c r="J35"/>
      <c r="K35"/>
      <c r="L35"/>
      <c r="M35"/>
    </row>
    <row r="36">
      <c r="F36"/>
      <c r="G36"/>
      <c r="H36"/>
      <c r="I36"/>
      <c r="J36"/>
      <c r="K36"/>
      <c r="L36"/>
      <c r="M36"/>
    </row>
    <row r="37">
      <c r="F37"/>
      <c r="G37"/>
      <c r="H37"/>
      <c r="I37"/>
      <c r="J37"/>
      <c r="K37"/>
      <c r="L37"/>
      <c r="M37"/>
    </row>
    <row r="38">
      <c r="F38"/>
      <c r="G38"/>
      <c r="H38"/>
      <c r="I38"/>
      <c r="J38"/>
      <c r="K38"/>
      <c r="L38"/>
      <c r="M38"/>
    </row>
    <row r="39">
      <c r="F39"/>
      <c r="G39"/>
      <c r="H39"/>
      <c r="I39"/>
      <c r="J39"/>
      <c r="K39"/>
      <c r="L39"/>
      <c r="M39"/>
    </row>
    <row r="40">
      <c r="F40"/>
      <c r="G40"/>
      <c r="H40"/>
      <c r="I40"/>
      <c r="J40"/>
      <c r="K40"/>
      <c r="L40"/>
      <c r="M40"/>
    </row>
    <row r="41">
      <c r="F41"/>
      <c r="G41"/>
      <c r="H41"/>
      <c r="I41"/>
      <c r="J41"/>
      <c r="K41"/>
      <c r="L41"/>
      <c r="M41"/>
    </row>
    <row r="42">
      <c r="F42"/>
      <c r="G42"/>
      <c r="H42"/>
      <c r="I42"/>
      <c r="J42"/>
      <c r="K42"/>
      <c r="L42"/>
      <c r="M42"/>
    </row>
    <row r="43">
      <c r="F43"/>
      <c r="G43"/>
      <c r="H43"/>
      <c r="I43"/>
      <c r="J43"/>
      <c r="K43"/>
      <c r="L43"/>
      <c r="M43"/>
    </row>
    <row r="44">
      <c r="F44"/>
      <c r="G44"/>
      <c r="H44"/>
      <c r="I44"/>
      <c r="J44"/>
      <c r="K44"/>
      <c r="L44"/>
      <c r="M44"/>
    </row>
    <row r="45">
      <c r="F45"/>
      <c r="G45"/>
      <c r="H45"/>
      <c r="I45"/>
      <c r="J45"/>
      <c r="K45"/>
      <c r="L45"/>
      <c r="M45"/>
    </row>
    <row r="46">
      <c r="F46"/>
      <c r="G46"/>
      <c r="H46"/>
      <c r="I46"/>
      <c r="J46"/>
      <c r="K46"/>
      <c r="L46"/>
      <c r="M46"/>
    </row>
    <row r="47">
      <c r="F47"/>
      <c r="G47"/>
      <c r="H47"/>
      <c r="I47"/>
      <c r="J47"/>
      <c r="K47"/>
      <c r="L47"/>
      <c r="M47"/>
    </row>
    <row r="48">
      <c r="F48"/>
      <c r="G48"/>
      <c r="H48"/>
      <c r="I48"/>
      <c r="J48"/>
      <c r="K48"/>
      <c r="L48"/>
      <c r="M48"/>
    </row>
    <row r="49">
      <c r="F49"/>
      <c r="G49"/>
      <c r="H49"/>
      <c r="I49"/>
      <c r="J49"/>
      <c r="K49"/>
      <c r="L49"/>
      <c r="M49"/>
    </row>
    <row r="50">
      <c r="F50"/>
      <c r="G50"/>
      <c r="H50"/>
      <c r="I50"/>
      <c r="J50"/>
      <c r="K50"/>
      <c r="L50"/>
      <c r="M50"/>
    </row>
    <row r="51">
      <c r="F51"/>
      <c r="G51"/>
      <c r="H51"/>
      <c r="I51"/>
      <c r="J51"/>
      <c r="K51"/>
      <c r="L51"/>
      <c r="M51"/>
    </row>
    <row r="52">
      <c r="F52"/>
      <c r="G52"/>
      <c r="H52"/>
      <c r="I52"/>
      <c r="J52"/>
      <c r="K52"/>
      <c r="L52"/>
      <c r="M52"/>
    </row>
    <row r="53">
      <c r="F53"/>
      <c r="G53"/>
      <c r="H53"/>
      <c r="I53"/>
      <c r="J53"/>
      <c r="K53"/>
      <c r="L53"/>
      <c r="M53"/>
    </row>
    <row r="54">
      <c r="F54"/>
      <c r="G54"/>
      <c r="H54"/>
      <c r="I54"/>
      <c r="J54"/>
      <c r="K54"/>
      <c r="L54"/>
      <c r="M54"/>
    </row>
    <row r="55">
      <c r="F55"/>
      <c r="G55"/>
      <c r="H55"/>
      <c r="I55"/>
      <c r="J55"/>
      <c r="K55"/>
      <c r="L55"/>
      <c r="M55"/>
    </row>
    <row r="56">
      <c r="F56"/>
      <c r="G56"/>
      <c r="H56"/>
      <c r="I56"/>
      <c r="J56"/>
      <c r="K56"/>
      <c r="L56"/>
      <c r="M56"/>
    </row>
    <row r="57">
      <c r="F57"/>
      <c r="G57"/>
      <c r="H57"/>
      <c r="I57"/>
      <c r="J57"/>
      <c r="K57"/>
      <c r="L57"/>
      <c r="M57"/>
    </row>
    <row r="58" ht="15" customHeight="true">
      <c r="F58"/>
      <c r="G58"/>
      <c r="H58"/>
      <c r="I58"/>
      <c r="J58"/>
      <c r="K58"/>
      <c r="L58"/>
      <c r="M58"/>
    </row>
    <row r="59" ht="15" customHeight="true">
      <c r="F59"/>
      <c r="G59"/>
      <c r="H59"/>
      <c r="I59"/>
      <c r="J59"/>
      <c r="K59"/>
      <c r="L59"/>
      <c r="M59"/>
    </row>
    <row r="60" ht="15" customHeight="true">
      <c r="F60"/>
      <c r="G60"/>
      <c r="H60"/>
      <c r="I60"/>
      <c r="J60"/>
      <c r="K60"/>
      <c r="L60"/>
      <c r="M60"/>
    </row>
    <row r="61" ht="15" customHeight="true">
      <c r="F61"/>
      <c r="G61"/>
      <c r="H61"/>
      <c r="I61"/>
      <c r="J61"/>
      <c r="K61"/>
      <c r="L61"/>
      <c r="M61"/>
    </row>
    <row r="62" ht="15" customHeight="true">
      <c r="F62"/>
      <c r="G62"/>
      <c r="H62"/>
      <c r="I62"/>
      <c r="J62"/>
      <c r="K62"/>
      <c r="L62"/>
      <c r="M62"/>
    </row>
    <row r="63" ht="15" customHeight="true">
      <c r="F63"/>
      <c r="G63"/>
      <c r="H63"/>
      <c r="I63"/>
      <c r="J63"/>
      <c r="K63"/>
      <c r="L63"/>
      <c r="M63"/>
    </row>
    <row r="64" ht="15" customHeight="true">
      <c r="F64"/>
      <c r="G64"/>
      <c r="H64"/>
      <c r="I64"/>
      <c r="J64"/>
      <c r="K64"/>
      <c r="L64"/>
      <c r="M64"/>
    </row>
    <row r="65" ht="15" customHeight="true">
      <c r="F65"/>
      <c r="G65"/>
      <c r="H65"/>
      <c r="I65"/>
      <c r="J65"/>
      <c r="K65"/>
      <c r="L65"/>
      <c r="M65"/>
    </row>
    <row r="66" ht="15" customHeight="true">
      <c r="F66"/>
      <c r="G66"/>
      <c r="H66"/>
      <c r="I66"/>
      <c r="J66"/>
      <c r="K66"/>
      <c r="L66"/>
      <c r="M66"/>
    </row>
    <row r="67" ht="15" customHeight="true">
      <c r="F67"/>
      <c r="G67"/>
      <c r="H67"/>
      <c r="I67"/>
      <c r="J67"/>
      <c r="K67"/>
      <c r="L67"/>
      <c r="M67"/>
    </row>
    <row r="68" ht="15" customHeight="true">
      <c r="F68"/>
      <c r="G68"/>
      <c r="H68"/>
      <c r="I68"/>
      <c r="J68"/>
      <c r="K68"/>
      <c r="L68"/>
      <c r="M68"/>
    </row>
    <row r="69" ht="15" customHeight="true">
      <c r="F69"/>
      <c r="G69"/>
      <c r="H69"/>
      <c r="I69"/>
      <c r="J69"/>
      <c r="K69"/>
      <c r="L69"/>
      <c r="M69"/>
    </row>
    <row r="70" ht="15" customHeight="true">
      <c r="F70"/>
      <c r="G70"/>
      <c r="H70"/>
      <c r="I70"/>
      <c r="J70"/>
      <c r="K70"/>
      <c r="L70"/>
      <c r="M70"/>
    </row>
    <row r="71" ht="15" customHeight="true">
      <c r="F71"/>
      <c r="G71"/>
      <c r="H71"/>
      <c r="I71"/>
      <c r="J71"/>
      <c r="K71"/>
      <c r="L71"/>
      <c r="M71"/>
    </row>
    <row r="72" ht="15" customHeight="true">
      <c r="F72"/>
      <c r="G72"/>
      <c r="H72"/>
      <c r="I72"/>
      <c r="J72"/>
      <c r="K72"/>
      <c r="L72"/>
      <c r="M72"/>
    </row>
    <row r="73" ht="15" customHeight="true">
      <c r="F73"/>
      <c r="G73"/>
      <c r="H73"/>
      <c r="I73"/>
      <c r="J73"/>
      <c r="K73"/>
      <c r="L73"/>
      <c r="M73"/>
    </row>
    <row r="74" ht="15" customHeight="true">
      <c r="F74"/>
      <c r="G74"/>
      <c r="H74"/>
      <c r="I74"/>
      <c r="J74"/>
      <c r="K74"/>
      <c r="L74"/>
      <c r="M74"/>
    </row>
    <row r="75" ht="15" customHeight="true">
      <c r="F75"/>
      <c r="G75"/>
      <c r="H75"/>
      <c r="I75"/>
      <c r="J75"/>
      <c r="K75"/>
      <c r="L75"/>
      <c r="M75"/>
    </row>
    <row r="76" ht="15" customHeight="true">
      <c r="F76"/>
      <c r="G76"/>
      <c r="H76"/>
      <c r="I76"/>
      <c r="J76"/>
      <c r="K76"/>
      <c r="L76"/>
      <c r="M76"/>
    </row>
    <row r="77" ht="15" customHeight="true">
      <c r="F77"/>
      <c r="G77"/>
      <c r="H77"/>
      <c r="I77"/>
      <c r="J77"/>
      <c r="K77"/>
      <c r="L77"/>
      <c r="M77"/>
    </row>
    <row r="78" ht="15" customHeight="true">
      <c r="F78"/>
      <c r="G78"/>
      <c r="H78"/>
      <c r="I78"/>
      <c r="J78"/>
      <c r="K78"/>
      <c r="L78"/>
      <c r="M78"/>
    </row>
    <row r="79" ht="15" customHeight="true">
      <c r="F79"/>
      <c r="G79"/>
      <c r="H79"/>
      <c r="I79"/>
      <c r="J79"/>
      <c r="K79"/>
      <c r="L79"/>
      <c r="M79"/>
    </row>
    <row r="80" ht="15" customHeight="true">
      <c r="F80"/>
      <c r="G80"/>
      <c r="H80"/>
      <c r="I80"/>
      <c r="J80"/>
      <c r="K80"/>
      <c r="L80"/>
      <c r="M80"/>
    </row>
    <row r="81" ht="15" customHeight="true">
      <c r="F81"/>
      <c r="G81"/>
      <c r="H81"/>
      <c r="I81"/>
      <c r="J81"/>
      <c r="K81"/>
      <c r="L81"/>
      <c r="M81"/>
    </row>
    <row r="82" ht="15" customHeight="true">
      <c r="F82"/>
      <c r="G82"/>
      <c r="H82"/>
      <c r="I82"/>
      <c r="J82"/>
      <c r="K82"/>
      <c r="L82"/>
      <c r="M82"/>
    </row>
  </sheetData>
  <phoneticPr fontId="3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J27" sqref="J27"/>
    </sheetView>
  </sheetViews>
  <sheetFormatPr baseColWidth="10" defaultRowHeight="16"/>
  <cols>
    <col min="1" max="1" width="17.33203125" style="67" bestFit="true" customWidth="true"/>
    <col min="2" max="4" width="10.83203125" style="67"/>
    <col min="5" max="5" width="39.83203125" style="67" bestFit="true" customWidth="true"/>
    <col min="6" max="6" width="8.1640625" style="67" bestFit="true" customWidth="true"/>
    <col min="7" max="7" width="7.5" style="67" bestFit="true" customWidth="true"/>
    <col min="8" max="8" width="8.6640625" style="67" bestFit="true" customWidth="true"/>
    <col min="9" max="9" width="8.83203125" style="67" bestFit="true" customWidth="true"/>
    <col min="10" max="10" width="8.83203125" style="104" bestFit="true" customWidth="true"/>
    <col min="11" max="11" width="8.6640625" style="104" bestFit="true" customWidth="true"/>
    <col min="12" max="12" width="12.33203125" style="67" bestFit="true" customWidth="true"/>
    <col min="13" max="13" width="13.5" style="67" bestFit="true" customWidth="true"/>
    <col min="14" max="14" width="13.83203125" style="67" bestFit="true" customWidth="true"/>
    <col min="15" max="15" width="13.6640625" style="67" bestFit="true" customWidth="true"/>
    <col min="16" max="16" width="13.5" style="67" bestFit="true" customWidth="true"/>
    <col min="17" max="17" width="12.83203125" style="67" bestFit="true" customWidth="true"/>
    <col min="18" max="18" width="14" style="67" bestFit="true" customWidth="true"/>
    <col min="19" max="20" width="14.1640625" style="67" bestFit="true" customWidth="true"/>
    <col min="21" max="21" width="14" style="67" bestFit="true" customWidth="true"/>
    <col min="22" max="22" width="8.6640625" style="67" bestFit="true" customWidth="true"/>
    <col min="23" max="23" width="8.83203125" style="67" bestFit="true" customWidth="true"/>
    <col min="24" max="24" width="14" style="67" bestFit="true" customWidth="true"/>
    <col min="25" max="25" width="21.33203125" style="81" bestFit="true" customWidth="true"/>
    <col min="26" max="26" width="13.6640625" style="67" bestFit="true" customWidth="true"/>
    <col min="27" max="27" width="13.83203125" style="67" bestFit="true" customWidth="true"/>
    <col min="28" max="28" width="19" style="67" bestFit="true" customWidth="true"/>
    <col min="29" max="29" width="26.33203125" style="81" bestFit="true" customWidth="true"/>
    <col min="30" max="30" width="14.1640625" style="67" bestFit="true" customWidth="true"/>
    <col min="31" max="31" width="14.33203125" style="67" bestFit="true" customWidth="true"/>
    <col min="32" max="32" width="19.5" style="67" bestFit="true" customWidth="true"/>
    <col min="33" max="33" width="26.83203125" style="81" bestFit="true" customWidth="true"/>
    <col min="34" max="34" width="24" style="67" bestFit="true" customWidth="true"/>
    <col min="35" max="35" width="30" style="67" bestFit="true" customWidth="true"/>
    <col min="36" max="36" width="19.1640625" style="67" bestFit="true" customWidth="true"/>
    <col min="37" max="37" width="25.5" style="67" bestFit="true" customWidth="true"/>
    <col min="38" max="38" width="31.5" style="67" bestFit="true" customWidth="true"/>
    <col min="39" max="39" width="20.6640625" style="67" bestFit="true" customWidth="true"/>
    <col min="40" max="40" width="25" style="67" bestFit="true" customWidth="true"/>
    <col min="41" max="41" width="31" style="67" bestFit="true" customWidth="true"/>
    <col min="42" max="42" width="20.1640625" style="67" bestFit="true" customWidth="true"/>
    <col min="43" max="16384" width="10.83203125" style="67"/>
  </cols>
  <sheetData>
    <row r="1" s="111" customFormat="true" ht="17" thickBot="true">
      <c r="D1" s="112" t="s">
        <v>8</v>
      </c>
      <c r="E1" s="112" t="s">
        <v>0</v>
      </c>
      <c r="F1" s="113" t="s">
        <v>101</v>
      </c>
      <c r="G1" s="114" t="s">
        <v>86</v>
      </c>
      <c r="H1" s="114" t="s">
        <v>87</v>
      </c>
      <c r="I1" s="114" t="s">
        <v>88</v>
      </c>
      <c r="J1" s="114" t="s">
        <v>89</v>
      </c>
      <c r="K1" s="114" t="s">
        <v>90</v>
      </c>
      <c r="L1" s="115" t="s">
        <v>91</v>
      </c>
      <c r="M1" s="115" t="s">
        <v>95</v>
      </c>
      <c r="N1" s="115" t="s">
        <v>94</v>
      </c>
      <c r="O1" s="115" t="s">
        <v>92</v>
      </c>
      <c r="P1" s="115" t="s">
        <v>93</v>
      </c>
      <c r="Q1" s="116" t="s">
        <v>96</v>
      </c>
      <c r="R1" s="116" t="s">
        <v>97</v>
      </c>
      <c r="S1" s="116" t="s">
        <v>98</v>
      </c>
      <c r="T1" s="116" t="s">
        <v>99</v>
      </c>
      <c r="U1" s="116" t="s">
        <v>100</v>
      </c>
      <c r="V1" s="114" t="s">
        <v>102</v>
      </c>
      <c r="W1" s="114" t="s">
        <v>103</v>
      </c>
      <c r="X1" s="114" t="s">
        <v>104</v>
      </c>
      <c r="Y1" s="114" t="s">
        <v>136</v>
      </c>
      <c r="Z1" s="115" t="s">
        <v>105</v>
      </c>
      <c r="AA1" s="115" t="s">
        <v>106</v>
      </c>
      <c r="AB1" s="115" t="s">
        <v>107</v>
      </c>
      <c r="AC1" s="117" t="s">
        <v>137</v>
      </c>
      <c r="AD1" s="116" t="s">
        <v>108</v>
      </c>
      <c r="AE1" s="116" t="s">
        <v>109</v>
      </c>
      <c r="AF1" s="116" t="s">
        <v>110</v>
      </c>
      <c r="AG1" s="116" t="s">
        <v>138</v>
      </c>
      <c r="AH1" s="114" t="s">
        <v>111</v>
      </c>
      <c r="AI1" s="114" t="s">
        <v>113</v>
      </c>
      <c r="AJ1" s="114" t="s">
        <v>112</v>
      </c>
      <c r="AK1" s="115" t="s">
        <v>117</v>
      </c>
      <c r="AL1" s="115" t="s">
        <v>118</v>
      </c>
      <c r="AM1" s="115" t="s">
        <v>119</v>
      </c>
      <c r="AN1" s="116" t="s">
        <v>114</v>
      </c>
      <c r="AO1" s="116" t="s">
        <v>115</v>
      </c>
      <c r="AP1" s="116" t="s">
        <v>116</v>
      </c>
    </row>
    <row r="2">
      <c r="A2" s="118" t="s">
        <v>76</v>
      </c>
      <c r="B2" s="119">
        <v>1</v>
      </c>
      <c r="D2" s="67">
        <v>1</v>
      </c>
      <c r="E2" s="110" t="s">
        <v>182</v>
      </c>
      <c r="F2" s="67">
        <v>0.995</v>
      </c>
      <c r="G2" s="120">
        <v>0.8</v>
      </c>
      <c r="H2" s="121">
        <v>0.5</v>
      </c>
      <c r="I2" s="121">
        <v>0.5</v>
      </c>
      <c r="J2" s="120">
        <v>0.3</v>
      </c>
      <c r="K2" s="120">
        <v>0.05</v>
      </c>
    </row>
    <row r="3">
      <c r="A3" s="118" t="s">
        <v>77</v>
      </c>
      <c r="B3" s="122">
        <v>1</v>
      </c>
      <c r="D3" s="67">
        <v>2</v>
      </c>
      <c r="E3" s="110" t="s">
        <v>188</v>
      </c>
      <c r="F3" s="67">
        <v>0.995</v>
      </c>
      <c r="G3" s="120">
        <v>0.8</v>
      </c>
      <c r="H3" s="121">
        <v>0.5</v>
      </c>
      <c r="I3" s="121">
        <v>0.5</v>
      </c>
      <c r="J3" s="120">
        <v>0.3</v>
      </c>
      <c r="K3" s="120">
        <v>0.05</v>
      </c>
    </row>
    <row r="4">
      <c r="A4" s="118" t="s">
        <v>78</v>
      </c>
      <c r="B4" s="122">
        <v>1</v>
      </c>
      <c r="D4" s="67">
        <v>3</v>
      </c>
      <c r="E4" s="110" t="s">
        <v>189</v>
      </c>
      <c r="F4" s="67">
        <v>0.995</v>
      </c>
      <c r="G4" s="120">
        <v>0.8</v>
      </c>
      <c r="H4" s="121">
        <v>0.5</v>
      </c>
      <c r="I4" s="121">
        <v>0.5</v>
      </c>
      <c r="J4" s="120">
        <v>0.3</v>
      </c>
      <c r="K4" s="120">
        <v>0.05</v>
      </c>
    </row>
    <row r="5">
      <c r="A5" s="118" t="s">
        <v>79</v>
      </c>
      <c r="B5" s="122">
        <v>1</v>
      </c>
      <c r="D5" s="67">
        <v>4</v>
      </c>
      <c r="E5" s="110" t="s">
        <v>190</v>
      </c>
      <c r="F5" s="67">
        <v>0.995</v>
      </c>
      <c r="G5" s="120">
        <v>0.8</v>
      </c>
      <c r="H5" s="121">
        <v>0.5</v>
      </c>
      <c r="I5" s="121">
        <v>0.5</v>
      </c>
      <c r="J5" s="120">
        <v>0.3</v>
      </c>
      <c r="K5" s="120">
        <v>0.05</v>
      </c>
    </row>
    <row r="6">
      <c r="A6" s="118" t="s">
        <v>80</v>
      </c>
      <c r="B6" s="122">
        <v>1</v>
      </c>
      <c r="D6" s="67">
        <v>5</v>
      </c>
      <c r="E6" s="110" t="s">
        <v>191</v>
      </c>
      <c r="F6" s="67">
        <v>0.995</v>
      </c>
      <c r="G6" s="120">
        <v>0.8</v>
      </c>
      <c r="H6" s="121">
        <v>0.5</v>
      </c>
      <c r="I6" s="121">
        <v>0.5</v>
      </c>
      <c r="J6" s="120">
        <v>0.3</v>
      </c>
      <c r="K6" s="120">
        <v>0.05</v>
      </c>
    </row>
    <row r="7">
      <c r="A7" s="118" t="s">
        <v>81</v>
      </c>
      <c r="B7" s="122">
        <v>1</v>
      </c>
      <c r="D7" s="67">
        <v>6</v>
      </c>
      <c r="E7" s="110" t="s">
        <v>192</v>
      </c>
      <c r="F7" s="67">
        <v>0.995</v>
      </c>
      <c r="G7" s="120">
        <v>0.8</v>
      </c>
      <c r="H7" s="121">
        <v>0.5</v>
      </c>
      <c r="I7" s="121">
        <v>0.5</v>
      </c>
      <c r="J7" s="120">
        <v>0.3</v>
      </c>
      <c r="K7" s="120">
        <v>0.05</v>
      </c>
    </row>
    <row r="8">
      <c r="A8" s="118" t="s">
        <v>82</v>
      </c>
      <c r="B8" s="122">
        <v>1</v>
      </c>
      <c r="D8" s="67">
        <v>7</v>
      </c>
      <c r="E8" s="110" t="s">
        <v>193</v>
      </c>
      <c r="F8" s="67">
        <v>0.995</v>
      </c>
      <c r="G8" s="120">
        <v>0.8</v>
      </c>
      <c r="H8" s="121">
        <v>0.5</v>
      </c>
      <c r="I8" s="121">
        <v>0.5</v>
      </c>
      <c r="J8" s="120">
        <v>0.3</v>
      </c>
      <c r="K8" s="120">
        <v>0.05</v>
      </c>
    </row>
    <row r="9">
      <c r="A9" s="118" t="s">
        <v>83</v>
      </c>
      <c r="B9" s="122">
        <v>0.1</v>
      </c>
      <c r="C9" s="68" t="s">
        <v>152</v>
      </c>
      <c r="D9" s="67">
        <v>8</v>
      </c>
      <c r="E9" s="110" t="s">
        <v>194</v>
      </c>
      <c r="F9" s="67">
        <v>0.995</v>
      </c>
      <c r="G9" s="120">
        <v>0.8</v>
      </c>
      <c r="H9" s="121">
        <v>0.5</v>
      </c>
      <c r="I9" s="121">
        <v>0.5</v>
      </c>
      <c r="J9" s="120">
        <v>0.3</v>
      </c>
      <c r="K9" s="120">
        <v>0.05</v>
      </c>
    </row>
    <row r="10" ht="17" thickBot="true">
      <c r="A10" s="118" t="s">
        <v>151</v>
      </c>
      <c r="B10" s="123">
        <f>1/3</f>
        <v>0.33333333333333331</v>
      </c>
      <c r="C10" s="68" t="s">
        <v>152</v>
      </c>
      <c r="D10" s="67">
        <v>9</v>
      </c>
      <c r="E10" s="110" t="s">
        <v>195</v>
      </c>
      <c r="F10" s="67">
        <v>0.995</v>
      </c>
      <c r="G10" s="120">
        <v>0.8</v>
      </c>
      <c r="H10" s="121">
        <v>0.5</v>
      </c>
      <c r="I10" s="121">
        <v>0.5</v>
      </c>
      <c r="J10" s="120">
        <v>0.3</v>
      </c>
      <c r="K10" s="120">
        <v>0.05</v>
      </c>
    </row>
    <row r="11">
      <c r="D11" s="67">
        <v>10</v>
      </c>
      <c r="E11" s="110" t="s">
        <v>196</v>
      </c>
      <c r="F11" s="67">
        <v>0.995</v>
      </c>
      <c r="G11" s="120">
        <v>0.8</v>
      </c>
      <c r="H11" s="121">
        <v>0.5</v>
      </c>
      <c r="I11" s="121">
        <v>0.5</v>
      </c>
      <c r="J11" s="120">
        <v>0.3</v>
      </c>
      <c r="K11" s="120">
        <v>0.05</v>
      </c>
    </row>
    <row r="12">
      <c r="D12" s="67">
        <v>11</v>
      </c>
      <c r="E12" s="110" t="s">
        <v>197</v>
      </c>
      <c r="F12" s="67">
        <v>0.995</v>
      </c>
      <c r="G12" s="120">
        <v>0.8</v>
      </c>
      <c r="H12" s="121">
        <v>0.5</v>
      </c>
      <c r="I12" s="121">
        <v>0.5</v>
      </c>
      <c r="J12" s="120">
        <v>0.3</v>
      </c>
      <c r="K12" s="120">
        <v>0.05</v>
      </c>
    </row>
    <row r="13">
      <c r="D13" s="67">
        <v>12</v>
      </c>
      <c r="E13" s="110" t="s">
        <v>198</v>
      </c>
      <c r="F13" s="67">
        <v>0.995</v>
      </c>
      <c r="G13" s="120">
        <v>0.8</v>
      </c>
      <c r="H13" s="121">
        <v>0.5</v>
      </c>
      <c r="I13" s="121">
        <v>0.5</v>
      </c>
      <c r="J13" s="120">
        <v>0.3</v>
      </c>
      <c r="K13" s="120">
        <v>0.05</v>
      </c>
    </row>
    <row r="14">
      <c r="D14" s="67">
        <v>13</v>
      </c>
      <c r="E14" s="110" t="s">
        <v>199</v>
      </c>
      <c r="F14" s="67">
        <v>0.995</v>
      </c>
      <c r="G14" s="120">
        <v>0.8</v>
      </c>
      <c r="H14" s="121">
        <v>0.5</v>
      </c>
      <c r="I14" s="121">
        <v>0.5</v>
      </c>
      <c r="J14" s="120">
        <v>0.3</v>
      </c>
      <c r="K14" s="120">
        <v>0.05</v>
      </c>
    </row>
    <row r="15">
      <c r="D15" s="67">
        <v>14</v>
      </c>
      <c r="E15" s="110" t="s">
        <v>200</v>
      </c>
      <c r="F15" s="67">
        <v>0.995</v>
      </c>
      <c r="G15" s="120">
        <v>0.8</v>
      </c>
      <c r="H15" s="121">
        <v>0.5</v>
      </c>
      <c r="I15" s="121">
        <v>0.5</v>
      </c>
      <c r="J15" s="120">
        <v>0.3</v>
      </c>
      <c r="K15" s="120">
        <v>0.05</v>
      </c>
    </row>
    <row r="16">
      <c r="D16" s="67">
        <v>15</v>
      </c>
      <c r="E16" s="110" t="s">
        <v>201</v>
      </c>
      <c r="F16" s="67">
        <v>0.995</v>
      </c>
      <c r="G16" s="120">
        <v>0.8</v>
      </c>
      <c r="H16" s="121">
        <v>0.5</v>
      </c>
      <c r="I16" s="121">
        <v>0.5</v>
      </c>
      <c r="J16" s="120">
        <v>0.3</v>
      </c>
      <c r="K16" s="120">
        <v>0.05</v>
      </c>
    </row>
    <row r="17">
      <c r="D17" s="67">
        <v>16</v>
      </c>
      <c r="E17" s="110" t="s">
        <v>202</v>
      </c>
      <c r="F17" s="67">
        <v>0.995</v>
      </c>
      <c r="G17" s="120">
        <v>0.8</v>
      </c>
      <c r="H17" s="121">
        <v>0.5</v>
      </c>
      <c r="I17" s="121">
        <v>0.5</v>
      </c>
      <c r="J17" s="120">
        <v>0.3</v>
      </c>
      <c r="K17" s="120">
        <v>0.05</v>
      </c>
    </row>
    <row r="18">
      <c r="D18" s="67">
        <v>17</v>
      </c>
      <c r="E18" s="110" t="s">
        <v>203</v>
      </c>
      <c r="F18" s="67">
        <v>0.995</v>
      </c>
      <c r="G18" s="120">
        <v>0.8</v>
      </c>
      <c r="H18" s="121">
        <v>0.5</v>
      </c>
      <c r="I18" s="121">
        <v>0.5</v>
      </c>
      <c r="J18" s="120">
        <v>0.3</v>
      </c>
      <c r="K18" s="120">
        <v>0.05</v>
      </c>
    </row>
    <row r="19" ht="15" customHeight="true">
      <c r="D19" s="67">
        <v>18</v>
      </c>
      <c r="E19" s="110" t="s">
        <v>204</v>
      </c>
      <c r="F19" s="67">
        <v>0.995</v>
      </c>
      <c r="G19" s="120">
        <v>0.8</v>
      </c>
      <c r="H19" s="121">
        <v>0.5</v>
      </c>
      <c r="I19" s="121">
        <v>0.5</v>
      </c>
      <c r="J19" s="120">
        <v>0.3</v>
      </c>
      <c r="K19" s="120">
        <v>0.05</v>
      </c>
    </row>
    <row r="20" ht="15" customHeight="true">
      <c r="D20" s="67">
        <v>19</v>
      </c>
      <c r="E20" s="110" t="s">
        <v>205</v>
      </c>
      <c r="F20" s="67">
        <v>0.995</v>
      </c>
      <c r="G20" s="120">
        <v>0.8</v>
      </c>
      <c r="H20" s="121">
        <v>0.5</v>
      </c>
      <c r="I20" s="121">
        <v>0.5</v>
      </c>
      <c r="J20" s="120">
        <v>0.3</v>
      </c>
      <c r="K20" s="120">
        <v>0.05</v>
      </c>
    </row>
    <row r="21" ht="15" customHeight="true">
      <c r="D21" s="67">
        <v>20</v>
      </c>
      <c r="E21" s="110" t="s">
        <v>206</v>
      </c>
      <c r="F21" s="67">
        <v>0.995</v>
      </c>
      <c r="G21" s="120">
        <v>0.8</v>
      </c>
      <c r="H21" s="121">
        <v>0.5</v>
      </c>
      <c r="I21" s="121">
        <v>0.5</v>
      </c>
      <c r="J21" s="120">
        <v>0.3</v>
      </c>
      <c r="K21" s="120">
        <v>0.05</v>
      </c>
    </row>
    <row r="22" ht="15" customHeight="true">
      <c r="D22" s="67">
        <v>21</v>
      </c>
      <c r="E22" s="110" t="s">
        <v>207</v>
      </c>
      <c r="F22" s="67">
        <v>0.995</v>
      </c>
      <c r="G22" s="120">
        <v>0.8</v>
      </c>
      <c r="H22" s="121">
        <v>0.5</v>
      </c>
      <c r="I22" s="121">
        <v>0.5</v>
      </c>
      <c r="J22" s="120">
        <v>0.3</v>
      </c>
      <c r="K22" s="120">
        <v>0.05</v>
      </c>
    </row>
    <row r="23" ht="15" customHeight="true">
      <c r="D23" s="67">
        <v>22</v>
      </c>
      <c r="E23" s="110" t="s">
        <v>208</v>
      </c>
      <c r="F23" s="67">
        <v>0.995</v>
      </c>
      <c r="G23" s="120">
        <v>0.8</v>
      </c>
      <c r="H23" s="121">
        <v>0</v>
      </c>
      <c r="I23" s="121">
        <v>0</v>
      </c>
      <c r="J23" s="121">
        <v>0</v>
      </c>
      <c r="K23" s="121">
        <v>0</v>
      </c>
    </row>
    <row r="24" ht="15" customHeight="true">
      <c r="D24" s="67">
        <v>23</v>
      </c>
      <c r="E24" s="110" t="s">
        <v>124</v>
      </c>
      <c r="F24" s="67">
        <v>0.995</v>
      </c>
      <c r="G24" s="120">
        <v>0.8</v>
      </c>
      <c r="H24" s="121">
        <v>0</v>
      </c>
      <c r="I24" s="121">
        <v>0</v>
      </c>
      <c r="J24" s="121">
        <v>0</v>
      </c>
      <c r="K24" s="121">
        <v>0</v>
      </c>
    </row>
    <row r="25" ht="15" customHeight="true">
      <c r="D25" s="67">
        <v>24</v>
      </c>
      <c r="E25" s="110" t="s">
        <v>125</v>
      </c>
      <c r="F25" s="67">
        <v>0.995</v>
      </c>
      <c r="G25" s="120">
        <v>0.8</v>
      </c>
      <c r="H25" s="121">
        <v>0</v>
      </c>
      <c r="I25" s="121">
        <v>0</v>
      </c>
      <c r="J25" s="121">
        <v>0</v>
      </c>
      <c r="K25" s="121">
        <v>0</v>
      </c>
    </row>
    <row r="26" ht="15" customHeight="true">
      <c r="D26"/>
      <c r="E26"/>
      <c r="F26"/>
      <c r="G26"/>
      <c r="H26"/>
      <c r="I26"/>
      <c r="J26"/>
      <c r="K26"/>
    </row>
    <row r="27" ht="15" customHeight="true">
      <c r="D27"/>
      <c r="E27"/>
      <c r="F27"/>
      <c r="G27"/>
      <c r="H27"/>
      <c r="I27"/>
      <c r="J27"/>
      <c r="K27"/>
    </row>
    <row r="28" ht="15" customHeight="true">
      <c r="D28"/>
      <c r="E28"/>
      <c r="F28"/>
      <c r="G28"/>
      <c r="H28"/>
      <c r="I28"/>
      <c r="J28"/>
      <c r="K28"/>
    </row>
    <row r="29" ht="15" customHeight="true">
      <c r="D29"/>
      <c r="E29"/>
      <c r="F29"/>
      <c r="G29"/>
      <c r="H29"/>
      <c r="I29"/>
      <c r="J29"/>
      <c r="K29"/>
    </row>
    <row r="30" ht="15" customHeight="true">
      <c r="D30"/>
      <c r="E30"/>
      <c r="F30"/>
      <c r="G30"/>
      <c r="H30"/>
      <c r="I30"/>
      <c r="J30"/>
      <c r="K30"/>
    </row>
    <row r="31" ht="15" customHeight="true">
      <c r="D31"/>
      <c r="E31"/>
      <c r="F31"/>
      <c r="G31"/>
      <c r="H31"/>
      <c r="I31"/>
      <c r="J31"/>
      <c r="K31"/>
      <c r="Y31" s="67"/>
      <c r="AC31" s="67"/>
      <c r="AG31" s="67"/>
    </row>
    <row r="32" ht="15" customHeight="true">
      <c r="D32"/>
      <c r="E32"/>
      <c r="F32"/>
      <c r="G32"/>
      <c r="H32"/>
      <c r="I32"/>
      <c r="J32"/>
      <c r="K32"/>
      <c r="Y32" s="67"/>
      <c r="AC32" s="67"/>
      <c r="AG32" s="67"/>
    </row>
    <row r="33" ht="15" customHeight="true">
      <c r="D33"/>
      <c r="E33"/>
      <c r="F33"/>
      <c r="G33"/>
      <c r="H33"/>
      <c r="I33"/>
      <c r="J33"/>
      <c r="K33"/>
      <c r="Y33" s="67"/>
      <c r="AC33" s="67"/>
      <c r="AG33" s="67"/>
    </row>
    <row r="34" ht="15" customHeight="true">
      <c r="D34"/>
      <c r="E34"/>
      <c r="F34"/>
      <c r="G34"/>
      <c r="H34"/>
      <c r="I34"/>
      <c r="J34"/>
      <c r="K34"/>
      <c r="Y34" s="67"/>
      <c r="AC34" s="67"/>
      <c r="AG34" s="67"/>
    </row>
    <row r="35" ht="15" customHeight="true">
      <c r="D35"/>
      <c r="E35"/>
      <c r="F35"/>
      <c r="G35"/>
      <c r="H35"/>
      <c r="I35"/>
      <c r="J35"/>
      <c r="K35"/>
      <c r="Y35" s="67"/>
      <c r="AC35" s="67"/>
      <c r="AG35" s="67"/>
    </row>
    <row r="36" ht="15" customHeight="true">
      <c r="D36"/>
      <c r="E36"/>
      <c r="F36"/>
      <c r="G36"/>
      <c r="H36"/>
      <c r="I36"/>
      <c r="J36"/>
      <c r="K36"/>
      <c r="Y36" s="67"/>
      <c r="AC36" s="67"/>
      <c r="AG36" s="67"/>
    </row>
    <row r="37" ht="15" customHeight="true">
      <c r="D37"/>
      <c r="E37"/>
      <c r="F37"/>
      <c r="G37"/>
      <c r="H37"/>
      <c r="I37"/>
      <c r="J37"/>
      <c r="K37"/>
      <c r="Y37" s="67"/>
      <c r="AC37" s="67"/>
      <c r="AG37" s="67"/>
    </row>
    <row r="38" ht="15" customHeight="true">
      <c r="D38"/>
      <c r="E38"/>
      <c r="F38"/>
      <c r="G38"/>
      <c r="H38"/>
      <c r="I38"/>
      <c r="J38"/>
      <c r="K38"/>
      <c r="Y38" s="67"/>
      <c r="AC38" s="67"/>
      <c r="AG38" s="67"/>
    </row>
    <row r="39" ht="15" customHeight="true">
      <c r="D39"/>
      <c r="E39"/>
      <c r="F39"/>
      <c r="G39"/>
      <c r="H39"/>
      <c r="I39"/>
      <c r="J39"/>
      <c r="K39"/>
      <c r="Y39" s="67"/>
      <c r="AC39" s="67"/>
      <c r="AG39" s="67"/>
    </row>
    <row r="40" ht="15" customHeight="true">
      <c r="D40"/>
      <c r="E40"/>
      <c r="F40"/>
      <c r="G40"/>
      <c r="H40"/>
      <c r="I40"/>
      <c r="J40"/>
      <c r="K40"/>
      <c r="Y40" s="67"/>
      <c r="AC40" s="67"/>
      <c r="AG40" s="67"/>
    </row>
    <row r="41" ht="15" customHeight="true">
      <c r="D41"/>
      <c r="E41"/>
      <c r="F41"/>
      <c r="G41"/>
      <c r="H41"/>
      <c r="I41"/>
      <c r="J41"/>
      <c r="K41"/>
    </row>
    <row r="42" ht="15" customHeight="true">
      <c r="D42"/>
      <c r="E42"/>
      <c r="F42"/>
      <c r="G42"/>
      <c r="H42"/>
      <c r="I42"/>
      <c r="J42"/>
      <c r="K42"/>
      <c r="Y42" s="67"/>
      <c r="AC42" s="67"/>
      <c r="AG42" s="67"/>
    </row>
    <row r="43" ht="15" customHeight="true">
      <c r="D43"/>
      <c r="E43"/>
      <c r="F43"/>
      <c r="G43"/>
      <c r="H43"/>
      <c r="I43"/>
      <c r="J43"/>
      <c r="K43"/>
      <c r="Y43" s="67"/>
      <c r="AC43" s="67"/>
      <c r="AG43" s="67"/>
    </row>
    <row r="44" ht="15" customHeight="true">
      <c r="D44"/>
      <c r="E44"/>
      <c r="F44"/>
      <c r="G44"/>
      <c r="H44"/>
      <c r="I44"/>
      <c r="J44"/>
      <c r="K44"/>
      <c r="Y44" s="67"/>
      <c r="AC44" s="67"/>
      <c r="AG44" s="67"/>
    </row>
    <row r="45" ht="15" customHeight="true">
      <c r="D45"/>
      <c r="E45"/>
      <c r="F45"/>
      <c r="G45"/>
      <c r="H45"/>
      <c r="I45"/>
      <c r="J45"/>
      <c r="K45"/>
      <c r="Y45" s="67"/>
      <c r="AC45" s="67"/>
      <c r="AG45" s="67"/>
    </row>
    <row r="46" ht="15" customHeight="true">
      <c r="D46"/>
      <c r="E46"/>
      <c r="F46"/>
      <c r="G46"/>
      <c r="H46"/>
      <c r="I46"/>
      <c r="J46"/>
      <c r="K46"/>
      <c r="Y46" s="67"/>
      <c r="AC46" s="67"/>
      <c r="AG46" s="67"/>
    </row>
    <row r="47" ht="15" customHeight="true">
      <c r="D47"/>
      <c r="E47"/>
      <c r="F47"/>
      <c r="G47"/>
      <c r="H47"/>
      <c r="I47"/>
      <c r="J47"/>
      <c r="K47"/>
      <c r="Y47" s="67"/>
      <c r="AC47" s="67"/>
      <c r="AG47" s="67"/>
    </row>
    <row r="48" ht="15" customHeight="true">
      <c r="D48"/>
      <c r="E48"/>
      <c r="F48"/>
      <c r="G48"/>
      <c r="H48"/>
      <c r="I48"/>
      <c r="J48"/>
      <c r="K48"/>
      <c r="Y48" s="67"/>
      <c r="AC48" s="67"/>
      <c r="AG48" s="67"/>
    </row>
    <row r="49" ht="15" customHeight="true">
      <c r="D49"/>
      <c r="E49"/>
      <c r="F49"/>
      <c r="G49"/>
      <c r="H49"/>
      <c r="I49"/>
      <c r="J49"/>
      <c r="K49"/>
      <c r="Y49" s="67"/>
      <c r="AC49" s="67"/>
      <c r="AG49" s="67"/>
    </row>
    <row r="50" ht="15" customHeight="true">
      <c r="D50"/>
      <c r="E50"/>
      <c r="F50"/>
      <c r="G50"/>
      <c r="H50"/>
      <c r="I50"/>
      <c r="J50"/>
      <c r="K50"/>
      <c r="Y50" s="67"/>
      <c r="AC50" s="67"/>
      <c r="AG50" s="67"/>
    </row>
    <row r="51" ht="15" customHeight="true">
      <c r="D51"/>
      <c r="E51"/>
      <c r="F51"/>
      <c r="G51"/>
      <c r="H51"/>
      <c r="I51"/>
      <c r="J51"/>
      <c r="K51"/>
      <c r="Y51" s="67"/>
      <c r="AC51" s="67"/>
      <c r="AG51" s="67"/>
    </row>
    <row r="52" ht="15" customHeight="true">
      <c r="Y52" s="67"/>
      <c r="AC52" s="67"/>
      <c r="AG52" s="67"/>
    </row>
    <row r="53" ht="15" customHeight="true">
      <c r="J53" s="67"/>
      <c r="K53" s="67"/>
      <c r="Y53" s="67"/>
      <c r="AC53" s="67"/>
      <c r="AG53" s="67"/>
    </row>
    <row r="54" ht="15" customHeight="true">
      <c r="J54" s="67"/>
      <c r="K54" s="67"/>
      <c r="Y54" s="67"/>
      <c r="AC54" s="67"/>
      <c r="AG54" s="67"/>
    </row>
    <row r="55" ht="15" customHeight="true">
      <c r="J55" s="67"/>
      <c r="K55" s="67"/>
      <c r="Y55" s="67"/>
      <c r="AC55" s="67"/>
      <c r="AG55" s="67"/>
    </row>
    <row r="56" ht="15" customHeight="true">
      <c r="J56" s="67"/>
      <c r="K56" s="67"/>
      <c r="Y56" s="67"/>
      <c r="AC56" s="67"/>
      <c r="AG56" s="67"/>
    </row>
    <row r="57" ht="15" customHeight="true">
      <c r="J57" s="67"/>
      <c r="K57" s="67"/>
      <c r="Y57" s="67"/>
      <c r="AC57" s="67"/>
      <c r="AG57" s="67"/>
    </row>
    <row r="58" ht="15" customHeight="true">
      <c r="J58" s="67"/>
      <c r="K58" s="67"/>
      <c r="Y58" s="67"/>
      <c r="AC58" s="67"/>
      <c r="AG58" s="67"/>
    </row>
    <row r="59" ht="15" customHeight="true">
      <c r="J59" s="67"/>
      <c r="K59" s="67"/>
      <c r="Y59" s="67"/>
      <c r="AC59" s="67"/>
      <c r="AG59" s="67"/>
    </row>
    <row r="60" ht="15" customHeight="true">
      <c r="J60" s="67"/>
      <c r="K60" s="67"/>
      <c r="Y60" s="67"/>
      <c r="AC60" s="67"/>
      <c r="AG60" s="67"/>
    </row>
    <row r="61" ht="15" customHeight="true">
      <c r="J61" s="67"/>
      <c r="K61" s="67"/>
      <c r="Y61" s="67"/>
      <c r="AC61" s="67"/>
      <c r="AG61" s="67"/>
    </row>
    <row r="62" ht="15" customHeight="true">
      <c r="J62" s="67"/>
      <c r="K62" s="67"/>
      <c r="Y62" s="67"/>
      <c r="AC62" s="67"/>
      <c r="AG62" s="67"/>
    </row>
    <row r="63" ht="15" customHeight="true">
      <c r="J63" s="67"/>
      <c r="K63" s="67"/>
      <c r="Y63" s="67"/>
      <c r="AC63" s="67"/>
      <c r="AG63" s="67"/>
    </row>
    <row r="64" ht="15" customHeight="true">
      <c r="J64" s="67"/>
      <c r="K64" s="67"/>
      <c r="Y64" s="67"/>
      <c r="AC64" s="67"/>
      <c r="AG64" s="67"/>
    </row>
    <row r="65" ht="15" customHeight="true">
      <c r="J65" s="67"/>
      <c r="K65" s="67"/>
      <c r="Y65" s="67"/>
      <c r="AC65" s="67"/>
      <c r="AG65" s="67"/>
    </row>
    <row r="66" ht="15" customHeight="true">
      <c r="J66" s="67"/>
      <c r="K66" s="67"/>
      <c r="Y66" s="67"/>
      <c r="AC66" s="67"/>
      <c r="AG66" s="67"/>
    </row>
    <row r="67" ht="15" customHeight="true">
      <c r="J67" s="67"/>
      <c r="K67" s="67"/>
      <c r="Y67" s="67"/>
      <c r="AC67" s="67"/>
      <c r="AG67" s="67"/>
    </row>
    <row r="68" ht="15" customHeight="true">
      <c r="J68" s="67"/>
      <c r="K68" s="67"/>
      <c r="Y68" s="67"/>
      <c r="AC68" s="67"/>
      <c r="AG68" s="67"/>
    </row>
    <row r="69" ht="15" customHeight="true">
      <c r="J69" s="67"/>
      <c r="K69" s="67"/>
      <c r="Y69" s="67"/>
      <c r="AC69" s="67"/>
      <c r="AG69" s="67"/>
    </row>
    <row r="70" ht="15" customHeight="true">
      <c r="J70" s="67"/>
      <c r="K70" s="67"/>
      <c r="Y70" s="67"/>
      <c r="AC70" s="67"/>
      <c r="AG70" s="67"/>
    </row>
    <row r="71" ht="15" customHeight="true">
      <c r="J71" s="67"/>
      <c r="K71" s="67"/>
      <c r="Y71" s="67"/>
      <c r="AC71" s="67"/>
      <c r="AG71" s="67"/>
    </row>
    <row r="72" ht="15" customHeight="true">
      <c r="J72" s="67"/>
      <c r="K72" s="67"/>
      <c r="Y72" s="67"/>
      <c r="AC72" s="67"/>
      <c r="AG72" s="67"/>
    </row>
    <row r="73" ht="15" customHeight="true">
      <c r="J73" s="67"/>
      <c r="K73" s="67"/>
      <c r="Y73" s="67"/>
      <c r="AC73" s="67"/>
      <c r="AG73" s="67"/>
    </row>
    <row r="74" ht="15" customHeight="true">
      <c r="J74" s="67"/>
      <c r="K74" s="67"/>
      <c r="Y74" s="67"/>
      <c r="AC74" s="67"/>
      <c r="AG74" s="67"/>
    </row>
    <row r="75" ht="15" customHeight="true">
      <c r="J75" s="67"/>
      <c r="K75" s="67"/>
      <c r="Y75" s="67"/>
      <c r="AC75" s="67"/>
      <c r="AG75" s="67"/>
    </row>
    <row r="76" ht="15" customHeight="true">
      <c r="J76" s="67"/>
      <c r="K76" s="67"/>
      <c r="Y76" s="67"/>
      <c r="AC76" s="67"/>
      <c r="AG76" s="67"/>
    </row>
    <row r="77" ht="15" customHeight="true">
      <c r="J77" s="67"/>
      <c r="K77" s="67"/>
      <c r="Y77" s="67"/>
      <c r="AC77" s="67"/>
      <c r="AG77" s="67"/>
    </row>
    <row r="78" ht="15" customHeight="true">
      <c r="J78" s="67"/>
      <c r="K78" s="67"/>
    </row>
    <row r="79" ht="15" customHeight="true">
      <c r="J79" s="67"/>
      <c r="K79" s="67"/>
    </row>
    <row r="80" ht="15" customHeight="true">
      <c r="J80" s="67"/>
      <c r="K80" s="67"/>
    </row>
    <row r="81" ht="15" customHeight="true">
      <c r="J81" s="67"/>
      <c r="K81" s="67"/>
    </row>
    <row r="82" ht="15" customHeight="true">
      <c r="J82" s="67"/>
      <c r="K82" s="67"/>
    </row>
    <row r="83" ht="15" customHeight="true">
      <c r="J83" s="67"/>
      <c r="K83" s="67"/>
    </row>
    <row r="84" ht="15" customHeight="true">
      <c r="J84" s="67"/>
      <c r="K84" s="67"/>
    </row>
    <row r="85" ht="15" customHeight="true">
      <c r="J85" s="67"/>
      <c r="K85" s="67"/>
      <c r="Y85" s="67"/>
      <c r="AC85" s="67"/>
      <c r="AG85" s="67"/>
    </row>
    <row r="86" ht="15" customHeight="true">
      <c r="J86" s="67"/>
      <c r="K86" s="67"/>
      <c r="Y86" s="67"/>
      <c r="AC86" s="67"/>
      <c r="AG86" s="67"/>
    </row>
    <row r="87" ht="15" customHeight="true">
      <c r="J87" s="67"/>
      <c r="K87" s="67"/>
      <c r="Y87" s="67"/>
      <c r="AC87" s="67"/>
      <c r="AG87" s="67"/>
    </row>
    <row r="88" ht="15" customHeight="true">
      <c r="J88" s="67"/>
      <c r="K88" s="67"/>
      <c r="Y88" s="67"/>
      <c r="AC88" s="67"/>
      <c r="AG88" s="67"/>
    </row>
    <row r="89" ht="15" customHeight="true">
      <c r="J89" s="67"/>
      <c r="K89" s="67"/>
      <c r="Y89" s="67"/>
      <c r="AC89" s="67"/>
      <c r="AG89" s="67"/>
    </row>
    <row r="90" ht="15" customHeight="true">
      <c r="J90" s="67"/>
      <c r="K90" s="67"/>
      <c r="Y90" s="67"/>
      <c r="AC90" s="67"/>
      <c r="AG90" s="67"/>
    </row>
    <row r="91" ht="15" customHeight="true">
      <c r="J91" s="67"/>
      <c r="K91" s="67"/>
      <c r="Y91" s="67"/>
      <c r="AC91" s="67"/>
      <c r="AG91" s="67"/>
    </row>
    <row r="92" ht="15" customHeight="true">
      <c r="J92" s="67"/>
      <c r="K92" s="67"/>
      <c r="Y92" s="67"/>
      <c r="AC92" s="67"/>
      <c r="AG92" s="67"/>
    </row>
    <row r="93" ht="15" customHeight="true">
      <c r="J93" s="67"/>
      <c r="K93" s="67"/>
      <c r="Y93" s="67"/>
      <c r="AC93" s="67"/>
      <c r="AG93" s="67"/>
    </row>
    <row r="94" ht="15" customHeight="true">
      <c r="J94" s="67"/>
      <c r="K94" s="67"/>
      <c r="Y94" s="67"/>
      <c r="AC94" s="67"/>
      <c r="AG94" s="67"/>
    </row>
    <row r="95" ht="15" customHeight="true">
      <c r="J95" s="67"/>
      <c r="K95" s="67"/>
      <c r="Y95" s="67"/>
      <c r="AC95" s="67"/>
      <c r="AG95" s="67"/>
    </row>
    <row r="96" ht="15" customHeight="true">
      <c r="J96" s="67"/>
      <c r="K96" s="67"/>
      <c r="Y96" s="67"/>
      <c r="AC96" s="67"/>
      <c r="AG96" s="67"/>
    </row>
    <row r="97" ht="15" customHeight="true">
      <c r="J97" s="67"/>
      <c r="K97" s="67"/>
      <c r="Y97" s="67"/>
      <c r="AC97" s="67"/>
      <c r="AG97" s="67"/>
    </row>
    <row r="98" ht="15" customHeight="true">
      <c r="J98" s="67"/>
      <c r="K98" s="67"/>
      <c r="Y98" s="67"/>
      <c r="AC98" s="67"/>
      <c r="AG98" s="67"/>
    </row>
    <row r="99" ht="15" customHeight="true">
      <c r="J99" s="67"/>
      <c r="K99" s="67"/>
      <c r="Y99" s="67"/>
      <c r="AC99" s="67"/>
      <c r="AG99" s="67"/>
    </row>
    <row r="100" ht="15" customHeight="true">
      <c r="J100" s="67"/>
      <c r="K100" s="67"/>
      <c r="Y100" s="67"/>
      <c r="AC100" s="67"/>
      <c r="AG100" s="67"/>
    </row>
    <row r="101" ht="15" customHeight="true">
      <c r="J101" s="67"/>
      <c r="K101" s="67"/>
      <c r="Y101" s="67"/>
      <c r="AC101" s="67"/>
      <c r="AG101" s="67"/>
    </row>
    <row r="102" ht="15" customHeight="true">
      <c r="J102" s="67"/>
      <c r="K102" s="67"/>
      <c r="Y102" s="67"/>
      <c r="AC102" s="67"/>
      <c r="AG102" s="67"/>
    </row>
    <row r="103" ht="15" customHeight="true">
      <c r="J103" s="67"/>
      <c r="K103" s="67"/>
      <c r="Y103" s="67"/>
      <c r="AC103" s="67"/>
      <c r="AG103" s="67"/>
    </row>
    <row r="104" ht="15" customHeight="true">
      <c r="J104" s="67"/>
      <c r="K104" s="67"/>
      <c r="Y104" s="67"/>
      <c r="AC104" s="67"/>
      <c r="AG104" s="67"/>
    </row>
    <row r="105" ht="15" customHeight="true">
      <c r="J105" s="67"/>
      <c r="K105" s="67"/>
      <c r="Y105" s="67"/>
      <c r="AC105" s="67"/>
      <c r="AG105" s="67"/>
    </row>
    <row r="106" ht="15" customHeight="true">
      <c r="J106" s="67"/>
      <c r="K106" s="67"/>
      <c r="Y106" s="67"/>
      <c r="AC106" s="67"/>
      <c r="AG106" s="67"/>
    </row>
    <row r="107" ht="15" customHeight="true">
      <c r="J107" s="67"/>
      <c r="K107" s="67"/>
      <c r="Y107" s="67"/>
      <c r="AC107" s="67"/>
      <c r="AG107" s="67"/>
    </row>
    <row r="108" ht="15" customHeight="true">
      <c r="J108" s="67"/>
      <c r="K108" s="67"/>
      <c r="Y108" s="67"/>
      <c r="AC108" s="67"/>
      <c r="AG108" s="67"/>
    </row>
    <row r="109" ht="15" customHeight="true">
      <c r="J109" s="67"/>
      <c r="K109" s="67"/>
      <c r="Y109" s="67"/>
      <c r="AC109" s="67"/>
      <c r="AG109" s="67"/>
    </row>
    <row r="110" ht="15" customHeight="true">
      <c r="J110" s="67"/>
      <c r="K110" s="67"/>
      <c r="Y110" s="67"/>
      <c r="AC110" s="67"/>
      <c r="AG110" s="67"/>
    </row>
    <row r="111" ht="15" customHeight="true">
      <c r="J111" s="67"/>
      <c r="K111" s="67"/>
      <c r="Y111" s="67"/>
      <c r="AC111" s="67"/>
      <c r="AG111" s="67"/>
    </row>
    <row r="112" ht="15" customHeight="true">
      <c r="J112" s="67"/>
      <c r="K112" s="67"/>
      <c r="Y112" s="67"/>
      <c r="AC112" s="67"/>
      <c r="AG112" s="67"/>
    </row>
    <row r="113" ht="15" customHeight="true">
      <c r="J113" s="67"/>
      <c r="K113" s="67"/>
      <c r="Y113" s="67"/>
      <c r="AC113" s="67"/>
      <c r="AG113" s="67"/>
    </row>
    <row r="114" ht="15" customHeight="true">
      <c r="J114" s="67"/>
      <c r="K114" s="67"/>
      <c r="Y114" s="67"/>
      <c r="AC114" s="67"/>
      <c r="AG114" s="67"/>
    </row>
    <row r="115" ht="15" customHeight="true">
      <c r="J115" s="67"/>
      <c r="K115" s="67"/>
      <c r="Y115" s="67"/>
      <c r="AC115" s="67"/>
      <c r="AG115" s="67"/>
    </row>
    <row r="116" ht="15" customHeight="true">
      <c r="J116" s="67"/>
      <c r="K116" s="67"/>
      <c r="Y116" s="67"/>
      <c r="AC116" s="67"/>
      <c r="AG116" s="67"/>
    </row>
    <row r="117" ht="15" customHeight="true">
      <c r="J117" s="67"/>
      <c r="K117" s="67"/>
      <c r="Y117" s="67"/>
      <c r="AC117" s="67"/>
      <c r="AG117" s="67"/>
    </row>
    <row r="118" ht="15" customHeight="true">
      <c r="J118" s="67"/>
      <c r="K118" s="67"/>
      <c r="Y118" s="67"/>
      <c r="AC118" s="67"/>
      <c r="AG118" s="67"/>
    </row>
    <row r="119" ht="15" customHeight="true">
      <c r="J119" s="67"/>
      <c r="K119" s="67"/>
      <c r="Y119" s="67"/>
      <c r="AC119" s="67"/>
      <c r="AG119" s="67"/>
    </row>
    <row r="120" ht="15" customHeight="true">
      <c r="J120" s="67"/>
      <c r="K120" s="67"/>
      <c r="Y120" s="67"/>
      <c r="AC120" s="67"/>
      <c r="AG120" s="67"/>
    </row>
    <row r="121" ht="15" customHeight="true">
      <c r="J121" s="67"/>
      <c r="K121" s="67"/>
      <c r="Y121" s="67"/>
      <c r="AC121" s="67"/>
      <c r="AG121" s="67"/>
    </row>
    <row r="122" ht="15" customHeight="true">
      <c r="J122" s="67"/>
      <c r="K122" s="67"/>
      <c r="Y122" s="67"/>
      <c r="AC122" s="67"/>
      <c r="AG122" s="67"/>
    </row>
    <row r="123" ht="15" customHeight="true">
      <c r="J123" s="67"/>
      <c r="K123" s="67"/>
      <c r="Y123" s="67"/>
      <c r="AC123" s="67"/>
      <c r="AG123" s="67"/>
    </row>
    <row r="124" ht="15" customHeight="true">
      <c r="J124" s="67"/>
      <c r="K124" s="67"/>
      <c r="Y124" s="67"/>
      <c r="AC124" s="67"/>
      <c r="AG124" s="67"/>
    </row>
    <row r="125" ht="15" customHeight="true">
      <c r="J125" s="67"/>
      <c r="K125" s="67"/>
      <c r="Y125" s="67"/>
      <c r="AC125" s="67"/>
      <c r="AG125" s="67"/>
    </row>
    <row r="126" ht="15" customHeight="true">
      <c r="J126" s="67"/>
      <c r="K126" s="67"/>
      <c r="Y126" s="67"/>
      <c r="AC126" s="67"/>
      <c r="AG126" s="67"/>
    </row>
    <row r="127" ht="15" customHeight="true">
      <c r="J127" s="67"/>
      <c r="K127" s="67"/>
      <c r="Y127" s="67"/>
      <c r="AC127" s="67"/>
      <c r="AG127" s="67"/>
    </row>
    <row r="128" ht="15" customHeight="true">
      <c r="J128" s="67"/>
      <c r="K128" s="67"/>
      <c r="Y128" s="67"/>
      <c r="AC128" s="67"/>
      <c r="AG128" s="67"/>
    </row>
    <row r="129" ht="15" customHeight="true">
      <c r="J129" s="67"/>
      <c r="K129" s="67"/>
      <c r="Y129" s="67"/>
      <c r="AC129" s="67"/>
      <c r="AG129" s="67"/>
    </row>
    <row r="130" ht="15" customHeight="true">
      <c r="J130" s="67"/>
      <c r="K130" s="67"/>
      <c r="Y130" s="67"/>
      <c r="AC130" s="67"/>
      <c r="AG130" s="67"/>
    </row>
    <row r="131" ht="15" customHeight="true">
      <c r="J131" s="67"/>
      <c r="K131" s="67"/>
      <c r="Y131" s="67"/>
      <c r="AC131" s="67"/>
      <c r="AG131" s="67"/>
    </row>
    <row r="132" ht="15" customHeight="true">
      <c r="J132" s="67"/>
      <c r="K132" s="67"/>
      <c r="Y132" s="67"/>
      <c r="AC132" s="67"/>
      <c r="AG132" s="67"/>
    </row>
    <row r="133" ht="15" customHeight="true">
      <c r="J133" s="67"/>
      <c r="K133" s="67"/>
      <c r="Y133" s="67"/>
      <c r="AC133" s="67"/>
      <c r="AG133" s="67"/>
    </row>
    <row r="134" ht="15" customHeight="true">
      <c r="J134" s="67"/>
      <c r="K134" s="67"/>
      <c r="Y134" s="67"/>
      <c r="AC134" s="67"/>
      <c r="AG134" s="67"/>
    </row>
    <row r="135" ht="15" customHeight="true">
      <c r="J135" s="67"/>
      <c r="K135" s="67"/>
      <c r="Y135" s="67"/>
      <c r="AC135" s="67"/>
      <c r="AG135" s="67"/>
    </row>
    <row r="136" ht="15" customHeight="true">
      <c r="J136" s="67"/>
      <c r="K136" s="67"/>
      <c r="Y136" s="67"/>
      <c r="AC136" s="67"/>
      <c r="AG136" s="67"/>
    </row>
    <row r="137" ht="15" customHeight="true">
      <c r="J137" s="67"/>
      <c r="K137" s="67"/>
      <c r="Y137" s="67"/>
      <c r="AC137" s="67"/>
      <c r="AG137" s="67"/>
    </row>
    <row r="138" ht="15" customHeight="true">
      <c r="J138" s="67"/>
      <c r="K138" s="67"/>
      <c r="Y138" s="67"/>
      <c r="AC138" s="67"/>
      <c r="AG138" s="67"/>
    </row>
    <row r="139" ht="15" customHeight="true">
      <c r="J139" s="67"/>
      <c r="K139" s="67"/>
      <c r="Y139" s="67"/>
      <c r="AC139" s="67"/>
      <c r="AG139" s="67"/>
    </row>
    <row r="140" ht="15" customHeight="true">
      <c r="J140" s="67"/>
      <c r="K140" s="67"/>
      <c r="Y140" s="67"/>
      <c r="AC140" s="67"/>
      <c r="AG140" s="67"/>
    </row>
    <row r="141" ht="15" customHeight="true">
      <c r="J141" s="67"/>
      <c r="K141" s="67"/>
      <c r="Y141" s="67"/>
      <c r="AC141" s="67"/>
      <c r="AG141" s="67"/>
    </row>
    <row r="142" ht="15" customHeight="true">
      <c r="J142" s="67"/>
      <c r="K142" s="67"/>
      <c r="Y142" s="67"/>
      <c r="AC142" s="67"/>
      <c r="AG142" s="67"/>
    </row>
    <row r="143" ht="15" customHeight="true">
      <c r="J143" s="67"/>
      <c r="K143" s="67"/>
      <c r="Y143" s="67"/>
      <c r="AC143" s="67"/>
      <c r="AG143" s="67"/>
    </row>
    <row r="144" ht="15" customHeight="true">
      <c r="J144" s="67"/>
      <c r="K144" s="67"/>
      <c r="Y144" s="67"/>
      <c r="AC144" s="67"/>
      <c r="AG144" s="67"/>
    </row>
    <row r="145" ht="15" customHeight="true">
      <c r="J145" s="67"/>
      <c r="K145" s="67"/>
      <c r="Y145" s="67"/>
      <c r="AC145" s="67"/>
      <c r="AG145" s="67"/>
    </row>
    <row r="146" ht="15" customHeight="true">
      <c r="J146" s="67"/>
      <c r="K146" s="67"/>
      <c r="Y146" s="67"/>
      <c r="AC146" s="67"/>
      <c r="AG146" s="67"/>
    </row>
    <row r="147" ht="15" customHeight="true">
      <c r="J147" s="67"/>
      <c r="K147" s="67"/>
      <c r="Y147" s="67"/>
      <c r="AC147" s="67"/>
      <c r="AG147" s="67"/>
    </row>
    <row r="148" ht="15" customHeight="true">
      <c r="J148" s="67"/>
      <c r="K148" s="67"/>
      <c r="Y148" s="67"/>
      <c r="AC148" s="67"/>
      <c r="AG148" s="67"/>
    </row>
    <row r="149" ht="15" customHeight="true">
      <c r="J149" s="67"/>
      <c r="K149" s="67"/>
      <c r="Y149" s="67"/>
      <c r="AC149" s="67"/>
      <c r="AG149" s="67"/>
    </row>
    <row r="150" ht="15" customHeight="true">
      <c r="J150" s="67"/>
      <c r="K150" s="67"/>
      <c r="Y150" s="67"/>
      <c r="AC150" s="67"/>
      <c r="AG150" s="67"/>
    </row>
    <row r="151" ht="15" customHeight="true">
      <c r="J151" s="67"/>
      <c r="K151" s="67"/>
      <c r="Y151" s="67"/>
      <c r="AC151" s="67"/>
      <c r="AG151" s="67"/>
    </row>
    <row r="152" ht="15" customHeight="true">
      <c r="J152" s="67"/>
      <c r="K152" s="67"/>
      <c r="Y152" s="67"/>
      <c r="AC152" s="67"/>
      <c r="AG152" s="67"/>
    </row>
    <row r="153" ht="15" customHeight="true">
      <c r="J153" s="67"/>
      <c r="K153" s="67"/>
      <c r="Y153" s="67"/>
      <c r="AC153" s="67"/>
      <c r="AG153" s="67"/>
    </row>
    <row r="154" ht="15" customHeight="true">
      <c r="J154" s="67"/>
      <c r="K154" s="67"/>
      <c r="Y154" s="67"/>
      <c r="AC154" s="67"/>
      <c r="AG154" s="67"/>
    </row>
    <row r="155" ht="15" customHeight="true">
      <c r="J155" s="67"/>
      <c r="K155" s="67"/>
      <c r="Y155" s="67"/>
      <c r="AC155" s="67"/>
      <c r="AG155" s="67"/>
    </row>
    <row r="156" ht="15" customHeight="true">
      <c r="J156" s="67"/>
      <c r="K156" s="67"/>
      <c r="Y156" s="67"/>
      <c r="AC156" s="67"/>
      <c r="AG156" s="67"/>
    </row>
    <row r="157" ht="15" customHeight="true">
      <c r="J157" s="67"/>
      <c r="K157" s="67"/>
      <c r="Y157" s="67"/>
      <c r="AC157" s="67"/>
      <c r="AG157" s="67"/>
    </row>
    <row r="158" ht="15" customHeight="true">
      <c r="J158" s="67"/>
      <c r="K158" s="67"/>
      <c r="Y158" s="67"/>
      <c r="AC158" s="67"/>
      <c r="AG158" s="67"/>
    </row>
    <row r="159" ht="15" customHeight="true">
      <c r="J159" s="67"/>
      <c r="K159" s="67"/>
      <c r="Y159" s="67"/>
      <c r="AC159" s="67"/>
      <c r="AG159" s="67"/>
    </row>
    <row r="160" ht="15" customHeight="true">
      <c r="J160" s="67"/>
      <c r="K160" s="67"/>
      <c r="Y160" s="67"/>
      <c r="AC160" s="67"/>
      <c r="AG160" s="67"/>
    </row>
    <row r="161" ht="15" customHeight="true">
      <c r="J161" s="67"/>
      <c r="K161" s="67"/>
      <c r="Y161" s="67"/>
      <c r="AC161" s="67"/>
      <c r="AG161" s="67"/>
    </row>
    <row r="162" ht="15" customHeight="true">
      <c r="J162" s="67"/>
      <c r="K162" s="67"/>
      <c r="Y162" s="67"/>
      <c r="AC162" s="67"/>
      <c r="AG162" s="67"/>
    </row>
    <row r="163" ht="15" customHeight="true">
      <c r="J163" s="67"/>
      <c r="K163" s="67"/>
      <c r="Y163" s="67"/>
      <c r="AC163" s="67"/>
      <c r="AG163" s="67"/>
    </row>
    <row r="164" ht="15" customHeight="true">
      <c r="J164" s="67"/>
      <c r="K164" s="67"/>
      <c r="Y164" s="67"/>
      <c r="AC164" s="67"/>
      <c r="AG164" s="67"/>
    </row>
    <row r="165" ht="15" customHeight="true">
      <c r="J165" s="67"/>
      <c r="K165" s="67"/>
      <c r="Y165" s="67"/>
      <c r="AC165" s="67"/>
      <c r="AG165" s="67"/>
    </row>
    <row r="166" ht="15" customHeight="true">
      <c r="J166" s="67"/>
      <c r="K166" s="67"/>
      <c r="Y166" s="67"/>
      <c r="AC166" s="67"/>
      <c r="AG166" s="67"/>
    </row>
    <row r="167" ht="15" customHeight="true">
      <c r="J167" s="67"/>
      <c r="K167" s="67"/>
      <c r="Y167" s="67"/>
      <c r="AC167" s="67"/>
      <c r="AG167" s="67"/>
    </row>
    <row r="168" ht="15" customHeight="true">
      <c r="J168" s="67"/>
      <c r="K168" s="67"/>
      <c r="Y168" s="67"/>
      <c r="AC168" s="67"/>
      <c r="AG168" s="67"/>
    </row>
    <row r="169" ht="15" customHeight="true">
      <c r="J169" s="67"/>
      <c r="K169" s="67"/>
      <c r="Y169" s="67"/>
      <c r="AC169" s="67"/>
      <c r="AG169" s="67"/>
    </row>
    <row r="170" ht="15" customHeight="true">
      <c r="J170" s="67"/>
      <c r="K170" s="67"/>
      <c r="Y170" s="67"/>
      <c r="AC170" s="67"/>
      <c r="AG170" s="67"/>
    </row>
    <row r="171" ht="15" customHeight="true">
      <c r="J171" s="67"/>
      <c r="K171" s="67"/>
      <c r="Y171" s="67"/>
      <c r="AC171" s="67"/>
      <c r="AG171" s="67"/>
    </row>
    <row r="172" ht="15" customHeight="true">
      <c r="J172" s="67"/>
      <c r="K172" s="67"/>
      <c r="Y172" s="67"/>
      <c r="AC172" s="67"/>
      <c r="AG172" s="67"/>
    </row>
    <row r="173" ht="15" customHeight="true">
      <c r="J173" s="67"/>
      <c r="K173" s="67"/>
      <c r="Y173" s="67"/>
      <c r="AC173" s="67"/>
      <c r="AG173" s="67"/>
    </row>
    <row r="174" ht="15" customHeight="true">
      <c r="J174" s="67"/>
      <c r="K174" s="67"/>
      <c r="Y174" s="67"/>
      <c r="AC174" s="67"/>
      <c r="AG174" s="67"/>
    </row>
    <row r="175" ht="15" customHeight="true">
      <c r="J175" s="67"/>
      <c r="K175" s="67"/>
      <c r="Y175" s="67"/>
      <c r="AC175" s="67"/>
      <c r="AG175" s="67"/>
    </row>
    <row r="176" ht="15" customHeight="true">
      <c r="J176" s="67"/>
      <c r="K176" s="67"/>
      <c r="Y176" s="67"/>
      <c r="AC176" s="67"/>
      <c r="AG176" s="67"/>
    </row>
    <row r="177" ht="15" customHeight="true">
      <c r="J177" s="67"/>
      <c r="K177" s="67"/>
      <c r="Y177" s="67"/>
      <c r="AC177" s="67"/>
      <c r="AG177" s="67"/>
    </row>
    <row r="178" ht="15" customHeight="true">
      <c r="J178" s="67"/>
      <c r="K178" s="67"/>
      <c r="Y178" s="67"/>
      <c r="AC178" s="67"/>
      <c r="AG178" s="67"/>
    </row>
    <row r="179" ht="15" customHeight="true">
      <c r="J179" s="67"/>
      <c r="K179" s="67"/>
      <c r="Y179" s="67"/>
      <c r="AC179" s="67"/>
      <c r="AG179" s="67"/>
    </row>
    <row r="180" ht="15" customHeight="true">
      <c r="J180" s="67"/>
      <c r="K180" s="67"/>
      <c r="Y180" s="67"/>
      <c r="AC180" s="67"/>
      <c r="AG180" s="67"/>
    </row>
    <row r="181" ht="15" customHeight="true">
      <c r="J181" s="67"/>
      <c r="K181" s="67"/>
      <c r="Y181" s="67"/>
      <c r="AC181" s="67"/>
      <c r="AG181" s="67"/>
    </row>
    <row r="182" ht="15" customHeight="true">
      <c r="J182" s="67"/>
      <c r="K182" s="67"/>
      <c r="Y182" s="67"/>
      <c r="AC182" s="67"/>
      <c r="AG182" s="67"/>
    </row>
    <row r="183" ht="15" customHeight="true">
      <c r="J183" s="67"/>
      <c r="K183" s="67"/>
      <c r="Y183" s="67"/>
      <c r="AC183" s="67"/>
      <c r="AG183" s="67"/>
    </row>
    <row r="184" ht="15" customHeight="true">
      <c r="J184" s="67"/>
      <c r="K184" s="67"/>
      <c r="Y184" s="67"/>
      <c r="AC184" s="67"/>
      <c r="AG184" s="67"/>
    </row>
    <row r="185" ht="15" customHeight="true">
      <c r="J185" s="67"/>
      <c r="K185" s="67"/>
      <c r="Y185" s="67"/>
      <c r="AC185" s="67"/>
      <c r="AG185" s="67"/>
    </row>
    <row r="186" ht="15" customHeight="true">
      <c r="J186" s="67"/>
      <c r="K186" s="67"/>
      <c r="Y186" s="67"/>
      <c r="AC186" s="67"/>
      <c r="AG186" s="67"/>
    </row>
    <row r="187" ht="15" customHeight="true">
      <c r="J187" s="67"/>
      <c r="K187" s="67"/>
      <c r="Y187" s="67"/>
      <c r="AC187" s="67"/>
      <c r="AG187" s="6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N52"/>
  <sheetViews>
    <sheetView workbookViewId="0">
      <selection activeCell="B1" sqref="B1:BF1048576"/>
    </sheetView>
  </sheetViews>
  <sheetFormatPr baseColWidth="10" defaultRowHeight="14" customHeight="true"/>
  <cols>
    <col min="1" max="1" width="39.83203125" style="121" bestFit="true" customWidth="true"/>
    <col min="2" max="46" width="10.83203125" style="121"/>
    <col min="47" max="48" width="10.83203125" style="67"/>
    <col min="49" max="16384" width="10.83203125" style="121"/>
  </cols>
  <sheetData>
    <row r="1" ht="16">
      <c r="A1" s="124" t="s">
        <v>120</v>
      </c>
      <c r="B1" s="110" t="s">
        <v>182</v>
      </c>
      <c r="C1" s="110" t="s">
        <v>188</v>
      </c>
      <c r="D1" s="110" t="s">
        <v>189</v>
      </c>
      <c r="E1" s="110" t="s">
        <v>190</v>
      </c>
      <c r="F1" s="110" t="s">
        <v>191</v>
      </c>
      <c r="G1" s="110" t="s">
        <v>192</v>
      </c>
      <c r="H1" s="110" t="s">
        <v>193</v>
      </c>
      <c r="I1" s="110" t="s">
        <v>194</v>
      </c>
      <c r="J1" s="110" t="s">
        <v>195</v>
      </c>
      <c r="K1" s="110" t="s">
        <v>196</v>
      </c>
      <c r="L1" s="110" t="s">
        <v>197</v>
      </c>
      <c r="M1" s="110" t="s">
        <v>198</v>
      </c>
      <c r="N1" s="110" t="s">
        <v>199</v>
      </c>
      <c r="O1" s="110" t="s">
        <v>200</v>
      </c>
      <c r="P1" s="110" t="s">
        <v>201</v>
      </c>
      <c r="Q1" s="110" t="s">
        <v>202</v>
      </c>
      <c r="R1" s="110" t="s">
        <v>203</v>
      </c>
      <c r="S1" s="110" t="s">
        <v>204</v>
      </c>
      <c r="T1" s="110" t="s">
        <v>205</v>
      </c>
      <c r="U1" s="110" t="s">
        <v>206</v>
      </c>
      <c r="V1" s="110" t="s">
        <v>207</v>
      </c>
      <c r="W1" s="110" t="s">
        <v>208</v>
      </c>
      <c r="X1" s="110" t="s">
        <v>124</v>
      </c>
      <c r="Y1" s="110" t="s">
        <v>125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</row>
    <row r="2" s="67" customFormat="true" ht="16">
      <c r="A2" s="110" t="s">
        <v>182</v>
      </c>
      <c r="B2" s="67">
        <v>0.8</v>
      </c>
      <c r="C2" s="67">
        <v>0.8</v>
      </c>
      <c r="D2" s="67">
        <v>0.8</v>
      </c>
      <c r="E2" s="67">
        <v>0.8</v>
      </c>
      <c r="F2" s="67">
        <v>0.8</v>
      </c>
      <c r="G2" s="67">
        <v>0.8</v>
      </c>
      <c r="H2" s="67">
        <v>0.8</v>
      </c>
      <c r="I2" s="67">
        <v>0.8</v>
      </c>
      <c r="J2" s="67">
        <v>0.8</v>
      </c>
      <c r="K2" s="67">
        <v>0.8</v>
      </c>
      <c r="L2" s="67">
        <v>0.8</v>
      </c>
      <c r="M2" s="67">
        <v>0.8</v>
      </c>
      <c r="N2" s="67">
        <v>0.8</v>
      </c>
      <c r="O2" s="67">
        <v>0.8</v>
      </c>
      <c r="P2" s="67">
        <v>0.8</v>
      </c>
      <c r="Q2" s="67">
        <v>0.8</v>
      </c>
      <c r="R2" s="67">
        <v>0.8</v>
      </c>
      <c r="S2" s="67">
        <v>0.8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</row>
    <row r="3" s="67" customFormat="true" ht="16">
      <c r="A3" s="110" t="s">
        <v>188</v>
      </c>
      <c r="B3" s="67">
        <v>0.8</v>
      </c>
      <c r="C3" s="67">
        <v>0.8</v>
      </c>
      <c r="D3" s="67">
        <v>0.8</v>
      </c>
      <c r="E3" s="67">
        <v>0.8</v>
      </c>
      <c r="F3" s="67">
        <v>0.8</v>
      </c>
      <c r="G3" s="67">
        <v>0.8</v>
      </c>
      <c r="H3" s="67">
        <v>0.8</v>
      </c>
      <c r="I3" s="67">
        <v>0.8</v>
      </c>
      <c r="J3" s="67">
        <v>0.8</v>
      </c>
      <c r="K3" s="67">
        <v>0.8</v>
      </c>
      <c r="L3" s="67">
        <v>0.8</v>
      </c>
      <c r="M3" s="67">
        <v>0.8</v>
      </c>
      <c r="N3" s="67">
        <v>0.8</v>
      </c>
      <c r="O3" s="67">
        <v>0.8</v>
      </c>
      <c r="P3" s="67">
        <v>0.8</v>
      </c>
      <c r="Q3" s="67">
        <v>0.8</v>
      </c>
      <c r="R3" s="67">
        <v>0.8</v>
      </c>
      <c r="S3" s="67">
        <v>0.8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</row>
    <row r="4" s="67" customFormat="true" ht="16">
      <c r="A4" s="110" t="s">
        <v>189</v>
      </c>
      <c r="B4" s="67">
        <v>0.8</v>
      </c>
      <c r="C4" s="67">
        <v>0.8</v>
      </c>
      <c r="D4" s="67">
        <v>0.8</v>
      </c>
      <c r="E4" s="67">
        <v>0.8</v>
      </c>
      <c r="F4" s="67">
        <v>0.8</v>
      </c>
      <c r="G4" s="67">
        <v>0.8</v>
      </c>
      <c r="H4" s="67">
        <v>0.8</v>
      </c>
      <c r="I4" s="67">
        <v>0.8</v>
      </c>
      <c r="J4" s="67">
        <v>0.8</v>
      </c>
      <c r="K4" s="67">
        <v>0.8</v>
      </c>
      <c r="L4" s="67">
        <v>0.8</v>
      </c>
      <c r="M4" s="67">
        <v>0.8</v>
      </c>
      <c r="N4" s="67">
        <v>0.8</v>
      </c>
      <c r="O4" s="67">
        <v>0.8</v>
      </c>
      <c r="P4" s="67">
        <v>0.8</v>
      </c>
      <c r="Q4" s="67">
        <v>0.8</v>
      </c>
      <c r="R4" s="67">
        <v>0.8</v>
      </c>
      <c r="S4" s="67">
        <v>0.8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</row>
    <row r="5" s="67" customFormat="true" ht="16">
      <c r="A5" s="110" t="s">
        <v>190</v>
      </c>
      <c r="B5" s="67">
        <v>0.8</v>
      </c>
      <c r="C5" s="67">
        <v>0.8</v>
      </c>
      <c r="D5" s="67">
        <v>0.8</v>
      </c>
      <c r="E5" s="67">
        <v>0.8</v>
      </c>
      <c r="F5" s="67">
        <v>0.8</v>
      </c>
      <c r="G5" s="67">
        <v>0.8</v>
      </c>
      <c r="H5" s="67">
        <v>0.8</v>
      </c>
      <c r="I5" s="67">
        <v>0.8</v>
      </c>
      <c r="J5" s="67">
        <v>0.8</v>
      </c>
      <c r="K5" s="67">
        <v>0.8</v>
      </c>
      <c r="L5" s="67">
        <v>0.8</v>
      </c>
      <c r="M5" s="67">
        <v>0.8</v>
      </c>
      <c r="N5" s="67">
        <v>0.8</v>
      </c>
      <c r="O5" s="67">
        <v>0.8</v>
      </c>
      <c r="P5" s="67">
        <v>0.8</v>
      </c>
      <c r="Q5" s="67">
        <v>0.8</v>
      </c>
      <c r="R5" s="67">
        <v>0.8</v>
      </c>
      <c r="S5" s="67">
        <v>0.8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</row>
    <row r="6" s="67" customFormat="true" ht="16">
      <c r="A6" s="110" t="s">
        <v>191</v>
      </c>
      <c r="B6" s="67">
        <v>0.8</v>
      </c>
      <c r="C6" s="67">
        <v>0.8</v>
      </c>
      <c r="D6" s="67">
        <v>0.8</v>
      </c>
      <c r="E6" s="67">
        <v>0.8</v>
      </c>
      <c r="F6" s="67">
        <v>0.8</v>
      </c>
      <c r="G6" s="67">
        <v>0.8</v>
      </c>
      <c r="H6" s="67">
        <v>0.8</v>
      </c>
      <c r="I6" s="67">
        <v>0.8</v>
      </c>
      <c r="J6" s="67">
        <v>0.8</v>
      </c>
      <c r="K6" s="67">
        <v>0.8</v>
      </c>
      <c r="L6" s="67">
        <v>0.8</v>
      </c>
      <c r="M6" s="67">
        <v>0.8</v>
      </c>
      <c r="N6" s="67">
        <v>0.8</v>
      </c>
      <c r="O6" s="67">
        <v>0.8</v>
      </c>
      <c r="P6" s="67">
        <v>0.8</v>
      </c>
      <c r="Q6" s="67">
        <v>0.8</v>
      </c>
      <c r="R6" s="67">
        <v>0.8</v>
      </c>
      <c r="S6" s="67">
        <v>0.8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</row>
    <row r="7" s="67" customFormat="true" ht="16">
      <c r="A7" s="110" t="s">
        <v>192</v>
      </c>
      <c r="B7" s="67">
        <v>0.8</v>
      </c>
      <c r="C7" s="67">
        <v>0.8</v>
      </c>
      <c r="D7" s="67">
        <v>0.8</v>
      </c>
      <c r="E7" s="67">
        <v>0.8</v>
      </c>
      <c r="F7" s="67">
        <v>0.8</v>
      </c>
      <c r="G7" s="67">
        <v>0.8</v>
      </c>
      <c r="H7" s="67">
        <v>0.8</v>
      </c>
      <c r="I7" s="67">
        <v>0.8</v>
      </c>
      <c r="J7" s="67">
        <v>0.8</v>
      </c>
      <c r="K7" s="67">
        <v>0.8</v>
      </c>
      <c r="L7" s="67">
        <v>0.8</v>
      </c>
      <c r="M7" s="67">
        <v>0.8</v>
      </c>
      <c r="N7" s="67">
        <v>0.8</v>
      </c>
      <c r="O7" s="67">
        <v>0.8</v>
      </c>
      <c r="P7" s="67">
        <v>0.8</v>
      </c>
      <c r="Q7" s="67">
        <v>0.8</v>
      </c>
      <c r="R7" s="67">
        <v>0.8</v>
      </c>
      <c r="S7" s="67">
        <v>0.8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</row>
    <row r="8" s="67" customFormat="true" ht="16">
      <c r="A8" s="110" t="s">
        <v>193</v>
      </c>
      <c r="B8" s="67">
        <v>0.8</v>
      </c>
      <c r="C8" s="67">
        <v>0.8</v>
      </c>
      <c r="D8" s="67">
        <v>0.8</v>
      </c>
      <c r="E8" s="67">
        <v>0.8</v>
      </c>
      <c r="F8" s="67">
        <v>0.8</v>
      </c>
      <c r="G8" s="67">
        <v>0.8</v>
      </c>
      <c r="H8" s="67">
        <v>0.8</v>
      </c>
      <c r="I8" s="67">
        <v>0.8</v>
      </c>
      <c r="J8" s="67">
        <v>0.8</v>
      </c>
      <c r="K8" s="67">
        <v>0.8</v>
      </c>
      <c r="L8" s="67">
        <v>0.8</v>
      </c>
      <c r="M8" s="67">
        <v>0.8</v>
      </c>
      <c r="N8" s="67">
        <v>0.8</v>
      </c>
      <c r="O8" s="67">
        <v>0.8</v>
      </c>
      <c r="P8" s="67">
        <v>0.8</v>
      </c>
      <c r="Q8" s="67">
        <v>0.8</v>
      </c>
      <c r="R8" s="67">
        <v>0.8</v>
      </c>
      <c r="S8" s="67">
        <v>0.8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</row>
    <row r="9" s="67" customFormat="true" ht="16">
      <c r="A9" s="110" t="s">
        <v>194</v>
      </c>
      <c r="B9" s="67">
        <v>0.8</v>
      </c>
      <c r="C9" s="67">
        <v>0.8</v>
      </c>
      <c r="D9" s="67">
        <v>0.8</v>
      </c>
      <c r="E9" s="67">
        <v>0.8</v>
      </c>
      <c r="F9" s="67">
        <v>0.8</v>
      </c>
      <c r="G9" s="67">
        <v>0.8</v>
      </c>
      <c r="H9" s="67">
        <v>0.8</v>
      </c>
      <c r="I9" s="67">
        <v>0.8</v>
      </c>
      <c r="J9" s="67">
        <v>0.8</v>
      </c>
      <c r="K9" s="67">
        <v>0.8</v>
      </c>
      <c r="L9" s="67">
        <v>0.8</v>
      </c>
      <c r="M9" s="67">
        <v>0.8</v>
      </c>
      <c r="N9" s="67">
        <v>0.8</v>
      </c>
      <c r="O9" s="67">
        <v>0.8</v>
      </c>
      <c r="P9" s="67">
        <v>0.8</v>
      </c>
      <c r="Q9" s="67">
        <v>0.8</v>
      </c>
      <c r="R9" s="67">
        <v>0.8</v>
      </c>
      <c r="S9" s="67">
        <v>0.8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</row>
    <row r="10" s="67" customFormat="true" ht="16">
      <c r="A10" s="110" t="s">
        <v>195</v>
      </c>
      <c r="B10" s="67">
        <v>0.8</v>
      </c>
      <c r="C10" s="67">
        <v>0.8</v>
      </c>
      <c r="D10" s="67">
        <v>0.8</v>
      </c>
      <c r="E10" s="67">
        <v>0.8</v>
      </c>
      <c r="F10" s="67">
        <v>0.8</v>
      </c>
      <c r="G10" s="67">
        <v>0.8</v>
      </c>
      <c r="H10" s="67">
        <v>0.8</v>
      </c>
      <c r="I10" s="67">
        <v>0.8</v>
      </c>
      <c r="J10" s="67">
        <v>0.8</v>
      </c>
      <c r="K10" s="67">
        <v>0.8</v>
      </c>
      <c r="L10" s="67">
        <v>0.8</v>
      </c>
      <c r="M10" s="67">
        <v>0.8</v>
      </c>
      <c r="N10" s="67">
        <v>0.8</v>
      </c>
      <c r="O10" s="67">
        <v>0.8</v>
      </c>
      <c r="P10" s="67">
        <v>0.8</v>
      </c>
      <c r="Q10" s="67">
        <v>0.8</v>
      </c>
      <c r="R10" s="67">
        <v>0.8</v>
      </c>
      <c r="S10" s="67">
        <v>0.8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</row>
    <row r="11" s="67" customFormat="true" ht="16">
      <c r="A11" s="110" t="s">
        <v>196</v>
      </c>
      <c r="B11" s="67">
        <v>0.8</v>
      </c>
      <c r="C11" s="67">
        <v>0.8</v>
      </c>
      <c r="D11" s="67">
        <v>0.8</v>
      </c>
      <c r="E11" s="67">
        <v>0.8</v>
      </c>
      <c r="F11" s="67">
        <v>0.8</v>
      </c>
      <c r="G11" s="67">
        <v>0.8</v>
      </c>
      <c r="H11" s="67">
        <v>0.8</v>
      </c>
      <c r="I11" s="67">
        <v>0.8</v>
      </c>
      <c r="J11" s="67">
        <v>0.8</v>
      </c>
      <c r="K11" s="67">
        <v>0.8</v>
      </c>
      <c r="L11" s="67">
        <v>0.8</v>
      </c>
      <c r="M11" s="67">
        <v>0.8</v>
      </c>
      <c r="N11" s="67">
        <v>0.8</v>
      </c>
      <c r="O11" s="67">
        <v>0.8</v>
      </c>
      <c r="P11" s="67">
        <v>0.8</v>
      </c>
      <c r="Q11" s="67">
        <v>0.8</v>
      </c>
      <c r="R11" s="67">
        <v>0.8</v>
      </c>
      <c r="S11" s="67">
        <v>0.8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</row>
    <row r="12" s="67" customFormat="true" ht="16">
      <c r="A12" s="110" t="s">
        <v>197</v>
      </c>
      <c r="B12" s="67">
        <v>0.8</v>
      </c>
      <c r="C12" s="67">
        <v>0.8</v>
      </c>
      <c r="D12" s="67">
        <v>0.8</v>
      </c>
      <c r="E12" s="67">
        <v>0.8</v>
      </c>
      <c r="F12" s="67">
        <v>0.8</v>
      </c>
      <c r="G12" s="67">
        <v>0.8</v>
      </c>
      <c r="H12" s="67">
        <v>0.8</v>
      </c>
      <c r="I12" s="67">
        <v>0.8</v>
      </c>
      <c r="J12" s="67">
        <v>0.8</v>
      </c>
      <c r="K12" s="67">
        <v>0.8</v>
      </c>
      <c r="L12" s="67">
        <v>0.8</v>
      </c>
      <c r="M12" s="67">
        <v>0.8</v>
      </c>
      <c r="N12" s="67">
        <v>0.8</v>
      </c>
      <c r="O12" s="67">
        <v>0.8</v>
      </c>
      <c r="P12" s="67">
        <v>0.8</v>
      </c>
      <c r="Q12" s="67">
        <v>0.8</v>
      </c>
      <c r="R12" s="67">
        <v>0.8</v>
      </c>
      <c r="S12" s="67">
        <v>0.8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</row>
    <row r="13" s="67" customFormat="true" ht="16">
      <c r="A13" s="110" t="s">
        <v>198</v>
      </c>
      <c r="B13" s="67">
        <v>0.8</v>
      </c>
      <c r="C13" s="67">
        <v>0.8</v>
      </c>
      <c r="D13" s="67">
        <v>0.8</v>
      </c>
      <c r="E13" s="67">
        <v>0.8</v>
      </c>
      <c r="F13" s="67">
        <v>0.8</v>
      </c>
      <c r="G13" s="67">
        <v>0.8</v>
      </c>
      <c r="H13" s="67">
        <v>0.8</v>
      </c>
      <c r="I13" s="67">
        <v>0.8</v>
      </c>
      <c r="J13" s="67">
        <v>0.8</v>
      </c>
      <c r="K13" s="67">
        <v>0.8</v>
      </c>
      <c r="L13" s="67">
        <v>0.8</v>
      </c>
      <c r="M13" s="67">
        <v>0.8</v>
      </c>
      <c r="N13" s="67">
        <v>0.8</v>
      </c>
      <c r="O13" s="67">
        <v>0.8</v>
      </c>
      <c r="P13" s="67">
        <v>0.8</v>
      </c>
      <c r="Q13" s="67">
        <v>0.8</v>
      </c>
      <c r="R13" s="67">
        <v>0.8</v>
      </c>
      <c r="S13" s="67">
        <v>0.8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</row>
    <row r="14" s="67" customFormat="true" ht="16">
      <c r="A14" s="110" t="s">
        <v>199</v>
      </c>
      <c r="B14" s="67">
        <v>0.8</v>
      </c>
      <c r="C14" s="67">
        <v>0.8</v>
      </c>
      <c r="D14" s="67">
        <v>0.8</v>
      </c>
      <c r="E14" s="67">
        <v>0.8</v>
      </c>
      <c r="F14" s="67">
        <v>0.8</v>
      </c>
      <c r="G14" s="67">
        <v>0.8</v>
      </c>
      <c r="H14" s="67">
        <v>0.8</v>
      </c>
      <c r="I14" s="67">
        <v>0.8</v>
      </c>
      <c r="J14" s="67">
        <v>0.8</v>
      </c>
      <c r="K14" s="67">
        <v>0.8</v>
      </c>
      <c r="L14" s="67">
        <v>0.8</v>
      </c>
      <c r="M14" s="67">
        <v>0.8</v>
      </c>
      <c r="N14" s="67">
        <v>0.8</v>
      </c>
      <c r="O14" s="67">
        <v>0.8</v>
      </c>
      <c r="P14" s="67">
        <v>0.8</v>
      </c>
      <c r="Q14" s="67">
        <v>0.8</v>
      </c>
      <c r="R14" s="67">
        <v>0.8</v>
      </c>
      <c r="S14" s="67">
        <v>0.8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</row>
    <row r="15" s="67" customFormat="true" ht="16">
      <c r="A15" s="110" t="s">
        <v>200</v>
      </c>
      <c r="B15" s="67">
        <v>0.8</v>
      </c>
      <c r="C15" s="67">
        <v>0.8</v>
      </c>
      <c r="D15" s="67">
        <v>0.8</v>
      </c>
      <c r="E15" s="67">
        <v>0.8</v>
      </c>
      <c r="F15" s="67">
        <v>0.8</v>
      </c>
      <c r="G15" s="67">
        <v>0.8</v>
      </c>
      <c r="H15" s="67">
        <v>0.8</v>
      </c>
      <c r="I15" s="67">
        <v>0.8</v>
      </c>
      <c r="J15" s="67">
        <v>0.8</v>
      </c>
      <c r="K15" s="67">
        <v>0.8</v>
      </c>
      <c r="L15" s="67">
        <v>0.8</v>
      </c>
      <c r="M15" s="67">
        <v>0.8</v>
      </c>
      <c r="N15" s="67">
        <v>0.8</v>
      </c>
      <c r="O15" s="67">
        <v>0.8</v>
      </c>
      <c r="P15" s="67">
        <v>0.8</v>
      </c>
      <c r="Q15" s="67">
        <v>0.8</v>
      </c>
      <c r="R15" s="67">
        <v>0.8</v>
      </c>
      <c r="S15" s="67">
        <v>0.8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</row>
    <row r="16" s="67" customFormat="true" ht="16">
      <c r="A16" s="110" t="s">
        <v>201</v>
      </c>
      <c r="B16" s="67">
        <v>0.8</v>
      </c>
      <c r="C16" s="67">
        <v>0.8</v>
      </c>
      <c r="D16" s="67">
        <v>0.8</v>
      </c>
      <c r="E16" s="67">
        <v>0.8</v>
      </c>
      <c r="F16" s="67">
        <v>0.8</v>
      </c>
      <c r="G16" s="67">
        <v>0.8</v>
      </c>
      <c r="H16" s="67">
        <v>0.8</v>
      </c>
      <c r="I16" s="67">
        <v>0.8</v>
      </c>
      <c r="J16" s="67">
        <v>0.8</v>
      </c>
      <c r="K16" s="67">
        <v>0.8</v>
      </c>
      <c r="L16" s="67">
        <v>0.8</v>
      </c>
      <c r="M16" s="67">
        <v>0.8</v>
      </c>
      <c r="N16" s="67">
        <v>0.8</v>
      </c>
      <c r="O16" s="67">
        <v>0.8</v>
      </c>
      <c r="P16" s="67">
        <v>0.8</v>
      </c>
      <c r="Q16" s="67">
        <v>0.8</v>
      </c>
      <c r="R16" s="67">
        <v>0.8</v>
      </c>
      <c r="S16" s="67">
        <v>0.8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</row>
    <row r="17" s="67" customFormat="true" ht="16">
      <c r="A17" s="110" t="s">
        <v>202</v>
      </c>
      <c r="B17" s="67">
        <v>0.8</v>
      </c>
      <c r="C17" s="67">
        <v>0.8</v>
      </c>
      <c r="D17" s="67">
        <v>0.8</v>
      </c>
      <c r="E17" s="67">
        <v>0.8</v>
      </c>
      <c r="F17" s="67">
        <v>0.8</v>
      </c>
      <c r="G17" s="67">
        <v>0.8</v>
      </c>
      <c r="H17" s="67">
        <v>0.8</v>
      </c>
      <c r="I17" s="67">
        <v>0.8</v>
      </c>
      <c r="J17" s="67">
        <v>0.8</v>
      </c>
      <c r="K17" s="67">
        <v>0.8</v>
      </c>
      <c r="L17" s="67">
        <v>0.8</v>
      </c>
      <c r="M17" s="67">
        <v>0.8</v>
      </c>
      <c r="N17" s="67">
        <v>0.8</v>
      </c>
      <c r="O17" s="67">
        <v>0.8</v>
      </c>
      <c r="P17" s="67">
        <v>0.8</v>
      </c>
      <c r="Q17" s="67">
        <v>0.8</v>
      </c>
      <c r="R17" s="67">
        <v>0.8</v>
      </c>
      <c r="S17" s="67">
        <v>0.8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</row>
    <row r="18" s="67" customFormat="true" ht="16">
      <c r="A18" s="110" t="s">
        <v>203</v>
      </c>
      <c r="B18" s="67">
        <v>0.8</v>
      </c>
      <c r="C18" s="67">
        <v>0.8</v>
      </c>
      <c r="D18" s="67">
        <v>0.8</v>
      </c>
      <c r="E18" s="67">
        <v>0.8</v>
      </c>
      <c r="F18" s="67">
        <v>0.8</v>
      </c>
      <c r="G18" s="67">
        <v>0.8</v>
      </c>
      <c r="H18" s="67">
        <v>0.8</v>
      </c>
      <c r="I18" s="67">
        <v>0.8</v>
      </c>
      <c r="J18" s="67">
        <v>0.8</v>
      </c>
      <c r="K18" s="67">
        <v>0.8</v>
      </c>
      <c r="L18" s="67">
        <v>0.8</v>
      </c>
      <c r="M18" s="67">
        <v>0.8</v>
      </c>
      <c r="N18" s="67">
        <v>0.8</v>
      </c>
      <c r="O18" s="67">
        <v>0.8</v>
      </c>
      <c r="P18" s="67">
        <v>0.8</v>
      </c>
      <c r="Q18" s="67">
        <v>0.8</v>
      </c>
      <c r="R18" s="67">
        <v>0.8</v>
      </c>
      <c r="S18" s="67">
        <v>0.8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</row>
    <row r="19" s="67" customFormat="true" ht="16">
      <c r="A19" s="110" t="s">
        <v>204</v>
      </c>
      <c r="B19" s="67">
        <v>0.8</v>
      </c>
      <c r="C19" s="67">
        <v>0.8</v>
      </c>
      <c r="D19" s="67">
        <v>0.8</v>
      </c>
      <c r="E19" s="67">
        <v>0.8</v>
      </c>
      <c r="F19" s="67">
        <v>0.8</v>
      </c>
      <c r="G19" s="67">
        <v>0.8</v>
      </c>
      <c r="H19" s="67">
        <v>0.8</v>
      </c>
      <c r="I19" s="67">
        <v>0.8</v>
      </c>
      <c r="J19" s="67">
        <v>0.8</v>
      </c>
      <c r="K19" s="67">
        <v>0.8</v>
      </c>
      <c r="L19" s="67">
        <v>0.8</v>
      </c>
      <c r="M19" s="67">
        <v>0.8</v>
      </c>
      <c r="N19" s="67">
        <v>0.8</v>
      </c>
      <c r="O19" s="67">
        <v>0.8</v>
      </c>
      <c r="P19" s="67">
        <v>0.8</v>
      </c>
      <c r="Q19" s="67">
        <v>0.8</v>
      </c>
      <c r="R19" s="67">
        <v>0.8</v>
      </c>
      <c r="S19" s="67">
        <v>0.8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</row>
    <row r="20" s="67" customFormat="true" ht="16">
      <c r="A20" s="110" t="s">
        <v>205</v>
      </c>
      <c r="B20" s="67">
        <v>0.8</v>
      </c>
      <c r="C20" s="67">
        <v>0.8</v>
      </c>
      <c r="D20" s="67">
        <v>0.8</v>
      </c>
      <c r="E20" s="67">
        <v>0.8</v>
      </c>
      <c r="F20" s="67">
        <v>0.8</v>
      </c>
      <c r="G20" s="67">
        <v>0.8</v>
      </c>
      <c r="H20" s="67">
        <v>0.8</v>
      </c>
      <c r="I20" s="67">
        <v>0.8</v>
      </c>
      <c r="J20" s="67">
        <v>0.8</v>
      </c>
      <c r="K20" s="67">
        <v>0.8</v>
      </c>
      <c r="L20" s="67">
        <v>0.8</v>
      </c>
      <c r="M20" s="67">
        <v>0.8</v>
      </c>
      <c r="N20" s="67">
        <v>0.8</v>
      </c>
      <c r="O20" s="67">
        <v>0.8</v>
      </c>
      <c r="P20" s="67">
        <v>0.8</v>
      </c>
      <c r="Q20" s="67">
        <v>0.8</v>
      </c>
      <c r="R20" s="67">
        <v>0.8</v>
      </c>
      <c r="S20" s="67">
        <v>0.8</v>
      </c>
      <c r="T20" s="89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</row>
    <row r="21" s="67" customFormat="true" ht="16">
      <c r="A21" s="110" t="s">
        <v>206</v>
      </c>
      <c r="B21" s="67">
        <v>0.8</v>
      </c>
      <c r="C21" s="67">
        <v>0.8</v>
      </c>
      <c r="D21" s="67">
        <v>0.8</v>
      </c>
      <c r="E21" s="67">
        <v>0.8</v>
      </c>
      <c r="F21" s="67">
        <v>0.8</v>
      </c>
      <c r="G21" s="67">
        <v>0.8</v>
      </c>
      <c r="H21" s="67">
        <v>0.8</v>
      </c>
      <c r="I21" s="67">
        <v>0.8</v>
      </c>
      <c r="J21" s="67">
        <v>0.8</v>
      </c>
      <c r="K21" s="67">
        <v>0.8</v>
      </c>
      <c r="L21" s="67">
        <v>0.8</v>
      </c>
      <c r="M21" s="67">
        <v>0.8</v>
      </c>
      <c r="N21" s="67">
        <v>0.8</v>
      </c>
      <c r="O21" s="67">
        <v>0.8</v>
      </c>
      <c r="P21" s="67">
        <v>0.8</v>
      </c>
      <c r="Q21" s="67">
        <v>0.8</v>
      </c>
      <c r="R21" s="67">
        <v>0.8</v>
      </c>
      <c r="S21" s="67">
        <v>0.8</v>
      </c>
      <c r="T21" s="89">
        <v>0</v>
      </c>
      <c r="U21" s="89">
        <v>0</v>
      </c>
      <c r="V21" s="89">
        <v>0</v>
      </c>
      <c r="W21" s="89">
        <v>0</v>
      </c>
      <c r="X21" s="89">
        <v>0</v>
      </c>
      <c r="Y21" s="89">
        <v>0</v>
      </c>
    </row>
    <row r="22" s="67" customFormat="true" ht="16">
      <c r="A22" s="110" t="s">
        <v>207</v>
      </c>
      <c r="B22" s="67">
        <v>0.8</v>
      </c>
      <c r="C22" s="67">
        <v>0.8</v>
      </c>
      <c r="D22" s="67">
        <v>0.8</v>
      </c>
      <c r="E22" s="67">
        <v>0.8</v>
      </c>
      <c r="F22" s="67">
        <v>0.8</v>
      </c>
      <c r="G22" s="67">
        <v>0.8</v>
      </c>
      <c r="H22" s="67">
        <v>0.8</v>
      </c>
      <c r="I22" s="67">
        <v>0.8</v>
      </c>
      <c r="J22" s="67">
        <v>0.8</v>
      </c>
      <c r="K22" s="67">
        <v>0.8</v>
      </c>
      <c r="L22" s="67">
        <v>0.8</v>
      </c>
      <c r="M22" s="67">
        <v>0.8</v>
      </c>
      <c r="N22" s="67">
        <v>0.8</v>
      </c>
      <c r="O22" s="67">
        <v>0.8</v>
      </c>
      <c r="P22" s="67">
        <v>0.8</v>
      </c>
      <c r="Q22" s="67">
        <v>0.8</v>
      </c>
      <c r="R22" s="67">
        <v>0.8</v>
      </c>
      <c r="S22" s="67">
        <v>0.8</v>
      </c>
      <c r="T22" s="89">
        <v>0</v>
      </c>
      <c r="U22" s="89">
        <v>0</v>
      </c>
      <c r="V22" s="89">
        <v>0</v>
      </c>
      <c r="W22" s="89">
        <v>0</v>
      </c>
      <c r="X22" s="89">
        <v>0</v>
      </c>
      <c r="Y22" s="89">
        <v>0</v>
      </c>
    </row>
    <row r="23" s="67" customFormat="true" ht="16">
      <c r="A23" s="110" t="s">
        <v>208</v>
      </c>
      <c r="B23" s="67">
        <v>0.8</v>
      </c>
      <c r="C23" s="67">
        <v>0.8</v>
      </c>
      <c r="D23" s="67">
        <v>0.8</v>
      </c>
      <c r="E23" s="67">
        <v>0.8</v>
      </c>
      <c r="F23" s="67">
        <v>0.8</v>
      </c>
      <c r="G23" s="67">
        <v>0.8</v>
      </c>
      <c r="H23" s="67">
        <v>0.8</v>
      </c>
      <c r="I23" s="67">
        <v>0.8</v>
      </c>
      <c r="J23" s="67">
        <v>0.8</v>
      </c>
      <c r="K23" s="67">
        <v>0.8</v>
      </c>
      <c r="L23" s="67">
        <v>0.8</v>
      </c>
      <c r="M23" s="67">
        <v>0.8</v>
      </c>
      <c r="N23" s="67">
        <v>0.8</v>
      </c>
      <c r="O23" s="67">
        <v>0.8</v>
      </c>
      <c r="P23" s="67">
        <v>0.8</v>
      </c>
      <c r="Q23" s="67">
        <v>0.8</v>
      </c>
      <c r="R23" s="67">
        <v>0.8</v>
      </c>
      <c r="S23" s="67">
        <v>0.8</v>
      </c>
      <c r="T23" s="89">
        <v>0</v>
      </c>
      <c r="U23" s="89">
        <v>0</v>
      </c>
      <c r="V23" s="89">
        <v>0</v>
      </c>
      <c r="W23" s="89">
        <v>0</v>
      </c>
      <c r="X23" s="89">
        <v>0</v>
      </c>
      <c r="Y23" s="89">
        <v>0</v>
      </c>
    </row>
    <row r="24" s="67" customFormat="true" ht="16">
      <c r="A24" s="110" t="s">
        <v>124</v>
      </c>
      <c r="B24" s="67">
        <v>0.8</v>
      </c>
      <c r="C24" s="67">
        <v>0.8</v>
      </c>
      <c r="D24" s="67">
        <v>0.8</v>
      </c>
      <c r="E24" s="67">
        <v>0.8</v>
      </c>
      <c r="F24" s="67">
        <v>0.8</v>
      </c>
      <c r="G24" s="67">
        <v>0.8</v>
      </c>
      <c r="H24" s="67">
        <v>0.8</v>
      </c>
      <c r="I24" s="67">
        <v>0.8</v>
      </c>
      <c r="J24" s="67">
        <v>0.8</v>
      </c>
      <c r="K24" s="67">
        <v>0.8</v>
      </c>
      <c r="L24" s="67">
        <v>0.8</v>
      </c>
      <c r="M24" s="67">
        <v>0.8</v>
      </c>
      <c r="N24" s="67">
        <v>0.8</v>
      </c>
      <c r="O24" s="67">
        <v>0.8</v>
      </c>
      <c r="P24" s="67">
        <v>0.8</v>
      </c>
      <c r="Q24" s="67">
        <v>0.8</v>
      </c>
      <c r="R24" s="67">
        <v>0.8</v>
      </c>
      <c r="S24" s="67">
        <v>0.8</v>
      </c>
      <c r="T24" s="89">
        <v>0</v>
      </c>
      <c r="U24" s="89">
        <v>0</v>
      </c>
      <c r="V24" s="89">
        <v>0</v>
      </c>
      <c r="W24" s="89">
        <v>0</v>
      </c>
      <c r="X24" s="89">
        <v>0</v>
      </c>
      <c r="Y24" s="89">
        <v>0</v>
      </c>
    </row>
    <row r="25" s="67" customFormat="true" ht="16">
      <c r="A25" s="110" t="s">
        <v>125</v>
      </c>
      <c r="B25" s="67">
        <v>0.8</v>
      </c>
      <c r="C25" s="67">
        <v>0.8</v>
      </c>
      <c r="D25" s="67">
        <v>0.8</v>
      </c>
      <c r="E25" s="67">
        <v>0.8</v>
      </c>
      <c r="F25" s="67">
        <v>0.8</v>
      </c>
      <c r="G25" s="67">
        <v>0.8</v>
      </c>
      <c r="H25" s="67">
        <v>0.8</v>
      </c>
      <c r="I25" s="67">
        <v>0.8</v>
      </c>
      <c r="J25" s="67">
        <v>0.8</v>
      </c>
      <c r="K25" s="67">
        <v>0.8</v>
      </c>
      <c r="L25" s="67">
        <v>0.8</v>
      </c>
      <c r="M25" s="67">
        <v>0.8</v>
      </c>
      <c r="N25" s="67">
        <v>0.8</v>
      </c>
      <c r="O25" s="67">
        <v>0.8</v>
      </c>
      <c r="P25" s="67">
        <v>0.8</v>
      </c>
      <c r="Q25" s="67">
        <v>0.8</v>
      </c>
      <c r="R25" s="67">
        <v>0.8</v>
      </c>
      <c r="S25" s="67">
        <v>0.8</v>
      </c>
      <c r="T25" s="89">
        <v>0</v>
      </c>
      <c r="U25" s="89">
        <v>0</v>
      </c>
      <c r="V25" s="89">
        <v>0</v>
      </c>
      <c r="W25" s="89">
        <v>0</v>
      </c>
      <c r="X25" s="89">
        <v>0</v>
      </c>
      <c r="Y25" s="89">
        <v>0</v>
      </c>
    </row>
    <row r="26" s="67" customFormat="true" ht="16">
      <c r="A26" s="83" t="s">
        <v>168</v>
      </c>
      <c r="B26" s="67">
        <v>0.8</v>
      </c>
      <c r="C26" s="67">
        <v>0.8</v>
      </c>
      <c r="D26" s="67">
        <v>0.8</v>
      </c>
      <c r="E26" s="67">
        <v>0.8</v>
      </c>
      <c r="F26" s="67">
        <v>0.8</v>
      </c>
      <c r="G26" s="67">
        <v>0.8</v>
      </c>
      <c r="H26" s="67">
        <v>0.8</v>
      </c>
      <c r="I26" s="67">
        <v>0.8</v>
      </c>
      <c r="J26" s="67">
        <v>0.8</v>
      </c>
      <c r="K26" s="67">
        <v>0.8</v>
      </c>
      <c r="L26" s="67">
        <v>0.8</v>
      </c>
      <c r="M26" s="67">
        <v>0.8</v>
      </c>
      <c r="N26" s="67">
        <v>0.8</v>
      </c>
      <c r="O26" s="67">
        <v>0.8</v>
      </c>
      <c r="P26" s="67">
        <v>0.8</v>
      </c>
      <c r="Q26" s="67">
        <v>0.8</v>
      </c>
      <c r="R26" s="67">
        <v>0.8</v>
      </c>
      <c r="S26" s="67">
        <v>0.8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</row>
    <row r="27" customFormat="true" ht="14" customHeight="true"/>
    <row r="28" customFormat="true" ht="14" customHeight="true"/>
    <row r="29" customFormat="true" ht="14" customHeight="true"/>
    <row r="30" customFormat="true" ht="14" customHeight="true"/>
    <row r="31" customFormat="true" ht="14" customHeight="true"/>
    <row r="32" customFormat="true" ht="14" customHeight="true"/>
    <row r="33" customFormat="true" ht="14" customHeight="true"/>
    <row r="34" customFormat="true" ht="14" customHeight="true"/>
    <row r="35" customFormat="true" ht="14" customHeight="true"/>
    <row r="36" customFormat="true" ht="14" customHeight="true"/>
    <row r="37" customFormat="true" ht="14" customHeight="true"/>
    <row r="38" customFormat="true" ht="14" customHeight="true"/>
    <row r="39" customFormat="true" ht="14" customHeight="true"/>
    <row r="40" customFormat="true" ht="14" customHeight="true"/>
    <row r="41" customFormat="true" ht="14" customHeight="true"/>
    <row r="42" customFormat="true" ht="14" customHeight="true"/>
    <row r="43" customFormat="true" ht="14" customHeight="true"/>
    <row r="44" customFormat="true" ht="14" customHeight="true"/>
    <row r="45" customFormat="true" ht="14" customHeight="true"/>
    <row r="46" customFormat="true" ht="14" customHeight="true"/>
    <row r="47" customFormat="true" ht="14" customHeight="true"/>
    <row r="48" customFormat="true" ht="14" customHeight="true"/>
    <row r="49" customFormat="true" ht="14" customHeight="true"/>
    <row r="50" customFormat="true" ht="14" customHeight="true"/>
    <row r="51" customFormat="true" ht="14" customHeight="true"/>
    <row r="52" customFormat="true" ht="14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F52"/>
  <sheetViews>
    <sheetView workbookViewId="0">
      <selection activeCell="A28" sqref="A28"/>
    </sheetView>
  </sheetViews>
  <sheetFormatPr baseColWidth="10" defaultRowHeight="14" customHeight="true"/>
  <cols>
    <col min="1" max="1" width="39.83203125" style="121" bestFit="true" customWidth="true"/>
    <col min="2" max="46" width="10.83203125" style="121"/>
    <col min="47" max="48" width="10.83203125" style="67"/>
    <col min="49" max="16384" width="10.83203125" style="121"/>
  </cols>
  <sheetData>
    <row r="1" ht="16">
      <c r="A1" s="124" t="s">
        <v>141</v>
      </c>
      <c r="B1" s="110" t="s">
        <v>182</v>
      </c>
      <c r="C1" s="110" t="s">
        <v>188</v>
      </c>
      <c r="D1" s="110" t="s">
        <v>189</v>
      </c>
      <c r="E1" s="110" t="s">
        <v>190</v>
      </c>
      <c r="F1" s="110" t="s">
        <v>191</v>
      </c>
      <c r="G1" s="110" t="s">
        <v>192</v>
      </c>
      <c r="H1" s="110" t="s">
        <v>193</v>
      </c>
      <c r="I1" s="110" t="s">
        <v>194</v>
      </c>
      <c r="J1" s="110" t="s">
        <v>195</v>
      </c>
      <c r="K1" s="110" t="s">
        <v>196</v>
      </c>
      <c r="L1" s="110" t="s">
        <v>197</v>
      </c>
      <c r="M1" s="110" t="s">
        <v>198</v>
      </c>
      <c r="N1" s="110" t="s">
        <v>199</v>
      </c>
      <c r="O1" s="110" t="s">
        <v>200</v>
      </c>
      <c r="P1" s="110" t="s">
        <v>201</v>
      </c>
      <c r="Q1" s="110" t="s">
        <v>202</v>
      </c>
      <c r="R1" s="110" t="s">
        <v>203</v>
      </c>
      <c r="S1" s="110" t="s">
        <v>204</v>
      </c>
      <c r="T1" s="110" t="s">
        <v>205</v>
      </c>
      <c r="U1" s="110" t="s">
        <v>206</v>
      </c>
      <c r="V1" s="110" t="s">
        <v>207</v>
      </c>
      <c r="W1" s="110" t="s">
        <v>208</v>
      </c>
      <c r="X1" s="110" t="s">
        <v>124</v>
      </c>
      <c r="Y1" s="110" t="s">
        <v>125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</row>
    <row r="2" s="67" customFormat="true" ht="16">
      <c r="A2" s="110" t="s">
        <v>182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  <c r="G2" s="67">
        <v>0</v>
      </c>
      <c r="H2" s="67">
        <v>0</v>
      </c>
      <c r="I2" s="67">
        <v>0</v>
      </c>
      <c r="J2" s="67">
        <v>0</v>
      </c>
      <c r="K2" s="67">
        <v>0</v>
      </c>
      <c r="L2" s="67">
        <v>0</v>
      </c>
      <c r="M2" s="67">
        <v>0</v>
      </c>
      <c r="N2" s="67">
        <v>0</v>
      </c>
      <c r="O2" s="67">
        <v>0</v>
      </c>
      <c r="P2" s="67">
        <v>0</v>
      </c>
      <c r="Q2" s="67">
        <v>0</v>
      </c>
      <c r="R2" s="67">
        <v>0</v>
      </c>
      <c r="S2" s="67">
        <v>0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</row>
    <row r="3" s="67" customFormat="true" ht="16">
      <c r="A3" s="110" t="s">
        <v>188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  <c r="G3" s="67">
        <v>0</v>
      </c>
      <c r="H3" s="67">
        <v>0</v>
      </c>
      <c r="I3" s="67">
        <v>0</v>
      </c>
      <c r="J3" s="67">
        <v>0</v>
      </c>
      <c r="K3" s="67">
        <v>0</v>
      </c>
      <c r="L3" s="67">
        <v>0</v>
      </c>
      <c r="M3" s="67">
        <v>0</v>
      </c>
      <c r="N3" s="67">
        <v>0</v>
      </c>
      <c r="O3" s="67">
        <v>0</v>
      </c>
      <c r="P3" s="67">
        <v>0</v>
      </c>
      <c r="Q3" s="67">
        <v>0</v>
      </c>
      <c r="R3" s="67">
        <v>0</v>
      </c>
      <c r="S3" s="67">
        <v>0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</row>
    <row r="4" s="67" customFormat="true" ht="16">
      <c r="A4" s="110" t="s">
        <v>189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  <c r="G4" s="67">
        <v>0</v>
      </c>
      <c r="H4" s="67">
        <v>0</v>
      </c>
      <c r="I4" s="67">
        <v>0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</row>
    <row r="5" s="67" customFormat="true" ht="16">
      <c r="A5" s="110" t="s">
        <v>190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  <c r="G5" s="67">
        <v>0</v>
      </c>
      <c r="H5" s="67">
        <v>0</v>
      </c>
      <c r="I5" s="67">
        <v>0</v>
      </c>
      <c r="J5" s="67">
        <v>0</v>
      </c>
      <c r="K5" s="67">
        <v>0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>
        <v>0</v>
      </c>
      <c r="R5" s="67">
        <v>0</v>
      </c>
      <c r="S5" s="67">
        <v>0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</row>
    <row r="6" s="67" customFormat="true" ht="16">
      <c r="A6" s="110" t="s">
        <v>191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  <c r="G6" s="67">
        <v>0</v>
      </c>
      <c r="H6" s="67">
        <v>0</v>
      </c>
      <c r="I6" s="67">
        <v>0</v>
      </c>
      <c r="J6" s="67">
        <v>0</v>
      </c>
      <c r="K6" s="67">
        <v>0</v>
      </c>
      <c r="L6" s="67">
        <v>0</v>
      </c>
      <c r="M6" s="67">
        <v>0</v>
      </c>
      <c r="N6" s="67">
        <v>0</v>
      </c>
      <c r="O6" s="67">
        <v>0</v>
      </c>
      <c r="P6" s="67">
        <v>0</v>
      </c>
      <c r="Q6" s="67">
        <v>0</v>
      </c>
      <c r="R6" s="67">
        <v>0</v>
      </c>
      <c r="S6" s="67">
        <v>0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</row>
    <row r="7" s="67" customFormat="true" ht="16">
      <c r="A7" s="110" t="s">
        <v>192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  <c r="G7" s="67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67">
        <v>0</v>
      </c>
      <c r="O7" s="67">
        <v>0</v>
      </c>
      <c r="P7" s="67">
        <v>0</v>
      </c>
      <c r="Q7" s="67">
        <v>0</v>
      </c>
      <c r="R7" s="67">
        <v>0</v>
      </c>
      <c r="S7" s="67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</row>
    <row r="8" s="67" customFormat="true" ht="16">
      <c r="A8" s="110" t="s">
        <v>193</v>
      </c>
      <c r="B8" s="67">
        <v>0</v>
      </c>
      <c r="C8" s="67">
        <v>0</v>
      </c>
      <c r="D8" s="67">
        <v>0</v>
      </c>
      <c r="E8" s="67">
        <v>0</v>
      </c>
      <c r="F8" s="67">
        <v>0</v>
      </c>
      <c r="G8" s="67">
        <v>0</v>
      </c>
      <c r="H8" s="67">
        <v>0</v>
      </c>
      <c r="I8" s="67">
        <v>0</v>
      </c>
      <c r="J8" s="67">
        <v>0</v>
      </c>
      <c r="K8" s="67">
        <v>0</v>
      </c>
      <c r="L8" s="67">
        <v>0</v>
      </c>
      <c r="M8" s="67">
        <v>0</v>
      </c>
      <c r="N8" s="67">
        <v>0</v>
      </c>
      <c r="O8" s="67">
        <v>0</v>
      </c>
      <c r="P8" s="67">
        <v>0</v>
      </c>
      <c r="Q8" s="67">
        <v>0</v>
      </c>
      <c r="R8" s="67">
        <v>0</v>
      </c>
      <c r="S8" s="67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</row>
    <row r="9" s="67" customFormat="true" ht="16">
      <c r="A9" s="110" t="s">
        <v>194</v>
      </c>
      <c r="B9" s="67">
        <v>0</v>
      </c>
      <c r="C9" s="67">
        <v>0</v>
      </c>
      <c r="D9" s="67">
        <v>0</v>
      </c>
      <c r="E9" s="67">
        <v>0</v>
      </c>
      <c r="F9" s="67">
        <v>0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0</v>
      </c>
      <c r="M9" s="67">
        <v>0</v>
      </c>
      <c r="N9" s="67">
        <v>0</v>
      </c>
      <c r="O9" s="67">
        <v>0</v>
      </c>
      <c r="P9" s="67">
        <v>0</v>
      </c>
      <c r="Q9" s="67">
        <v>0</v>
      </c>
      <c r="R9" s="67">
        <v>0</v>
      </c>
      <c r="S9" s="67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</row>
    <row r="10" s="67" customFormat="true" ht="16">
      <c r="A10" s="110" t="s">
        <v>195</v>
      </c>
      <c r="B10" s="67">
        <v>0</v>
      </c>
      <c r="C10" s="67">
        <v>0</v>
      </c>
      <c r="D10" s="67">
        <v>0</v>
      </c>
      <c r="E10" s="67">
        <v>0</v>
      </c>
      <c r="F10" s="67">
        <v>0</v>
      </c>
      <c r="G10" s="67">
        <v>0</v>
      </c>
      <c r="H10" s="67">
        <v>0</v>
      </c>
      <c r="I10" s="67">
        <v>0</v>
      </c>
      <c r="J10" s="67">
        <v>0</v>
      </c>
      <c r="K10" s="67">
        <v>0</v>
      </c>
      <c r="L10" s="67">
        <v>0</v>
      </c>
      <c r="M10" s="67">
        <v>0</v>
      </c>
      <c r="N10" s="67">
        <v>0</v>
      </c>
      <c r="O10" s="67">
        <v>0</v>
      </c>
      <c r="P10" s="67">
        <v>0</v>
      </c>
      <c r="Q10" s="67">
        <v>0</v>
      </c>
      <c r="R10" s="67">
        <v>0</v>
      </c>
      <c r="S10" s="67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</row>
    <row r="11" s="67" customFormat="true" ht="16">
      <c r="A11" s="110" t="s">
        <v>196</v>
      </c>
      <c r="B11" s="67">
        <v>0</v>
      </c>
      <c r="C11" s="67">
        <v>0</v>
      </c>
      <c r="D11" s="67">
        <v>0</v>
      </c>
      <c r="E11" s="67">
        <v>0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67">
        <v>0</v>
      </c>
      <c r="L11" s="67">
        <v>0</v>
      </c>
      <c r="M11" s="67">
        <v>0</v>
      </c>
      <c r="N11" s="67">
        <v>0</v>
      </c>
      <c r="O11" s="67">
        <v>0</v>
      </c>
      <c r="P11" s="67">
        <v>0</v>
      </c>
      <c r="Q11" s="67">
        <v>0</v>
      </c>
      <c r="R11" s="67">
        <v>0</v>
      </c>
      <c r="S11" s="67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</row>
    <row r="12" s="67" customFormat="true" ht="16">
      <c r="A12" s="110" t="s">
        <v>197</v>
      </c>
      <c r="B12" s="67">
        <v>0</v>
      </c>
      <c r="C12" s="67">
        <v>0</v>
      </c>
      <c r="D12" s="67">
        <v>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7">
        <v>0</v>
      </c>
      <c r="L12" s="67">
        <v>0</v>
      </c>
      <c r="M12" s="67">
        <v>0</v>
      </c>
      <c r="N12" s="67">
        <v>0</v>
      </c>
      <c r="O12" s="67">
        <v>0</v>
      </c>
      <c r="P12" s="67">
        <v>0</v>
      </c>
      <c r="Q12" s="67">
        <v>0</v>
      </c>
      <c r="R12" s="67">
        <v>0</v>
      </c>
      <c r="S12" s="67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</row>
    <row r="13" s="67" customFormat="true" ht="16">
      <c r="A13" s="110" t="s">
        <v>198</v>
      </c>
      <c r="B13" s="67">
        <v>0</v>
      </c>
      <c r="C13" s="67">
        <v>0</v>
      </c>
      <c r="D13" s="67">
        <v>0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7">
        <v>0</v>
      </c>
      <c r="L13" s="67">
        <v>0</v>
      </c>
      <c r="M13" s="67">
        <v>0</v>
      </c>
      <c r="N13" s="67">
        <v>0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</row>
    <row r="14" s="67" customFormat="true" ht="16">
      <c r="A14" s="110" t="s">
        <v>199</v>
      </c>
      <c r="B14" s="67">
        <v>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0</v>
      </c>
      <c r="K14" s="67">
        <v>0</v>
      </c>
      <c r="L14" s="67">
        <v>0</v>
      </c>
      <c r="M14" s="67">
        <v>0</v>
      </c>
      <c r="N14" s="67">
        <v>0</v>
      </c>
      <c r="O14" s="67">
        <v>0</v>
      </c>
      <c r="P14" s="67">
        <v>0</v>
      </c>
      <c r="Q14" s="67">
        <v>0</v>
      </c>
      <c r="R14" s="67">
        <v>0</v>
      </c>
      <c r="S14" s="67">
        <v>0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</row>
    <row r="15" s="67" customFormat="true" ht="16">
      <c r="A15" s="110" t="s">
        <v>200</v>
      </c>
      <c r="B15" s="67">
        <v>0</v>
      </c>
      <c r="C15" s="67">
        <v>0</v>
      </c>
      <c r="D15" s="67">
        <v>0</v>
      </c>
      <c r="E15" s="67">
        <v>0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R15" s="67">
        <v>0</v>
      </c>
      <c r="S15" s="67">
        <v>0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</row>
    <row r="16" s="67" customFormat="true" ht="16">
      <c r="A16" s="110" t="s">
        <v>201</v>
      </c>
      <c r="B16" s="67">
        <v>0</v>
      </c>
      <c r="C16" s="67">
        <v>0</v>
      </c>
      <c r="D16" s="67">
        <v>0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R16" s="67">
        <v>0</v>
      </c>
      <c r="S16" s="67">
        <v>0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</row>
    <row r="17" s="67" customFormat="true" ht="16">
      <c r="A17" s="110" t="s">
        <v>202</v>
      </c>
      <c r="B17" s="67">
        <v>0</v>
      </c>
      <c r="C17" s="67">
        <v>0</v>
      </c>
      <c r="D17" s="67">
        <v>0</v>
      </c>
      <c r="E17" s="67">
        <v>0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R17" s="67">
        <v>0</v>
      </c>
      <c r="S17" s="67">
        <v>0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</row>
    <row r="18" s="67" customFormat="true" ht="16">
      <c r="A18" s="110" t="s">
        <v>203</v>
      </c>
      <c r="B18" s="67">
        <v>0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0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</row>
    <row r="19" s="67" customFormat="true" ht="16">
      <c r="A19" s="110" t="s">
        <v>204</v>
      </c>
      <c r="B19" s="67">
        <v>0</v>
      </c>
      <c r="C19" s="67">
        <v>0</v>
      </c>
      <c r="D19" s="67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</row>
    <row r="20" s="67" customFormat="true" ht="16">
      <c r="A20" s="110" t="s">
        <v>205</v>
      </c>
      <c r="B20" s="67">
        <v>0</v>
      </c>
      <c r="C20" s="67">
        <v>0</v>
      </c>
      <c r="D20" s="67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7">
        <v>0</v>
      </c>
      <c r="R20" s="67">
        <v>0</v>
      </c>
      <c r="S20" s="67">
        <v>0</v>
      </c>
      <c r="T20" s="89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</row>
    <row r="21" s="67" customFormat="true" ht="16">
      <c r="A21" s="110" t="s">
        <v>206</v>
      </c>
      <c r="B21" s="67">
        <v>0</v>
      </c>
      <c r="C21" s="67">
        <v>0</v>
      </c>
      <c r="D21" s="67">
        <v>0</v>
      </c>
      <c r="E21" s="67">
        <v>0</v>
      </c>
      <c r="F21" s="67">
        <v>0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>
        <v>0</v>
      </c>
      <c r="Q21" s="67">
        <v>0</v>
      </c>
      <c r="R21" s="67">
        <v>0</v>
      </c>
      <c r="S21" s="67">
        <v>0</v>
      </c>
      <c r="T21" s="89">
        <v>0</v>
      </c>
      <c r="U21" s="89">
        <v>0</v>
      </c>
      <c r="V21" s="89">
        <v>0</v>
      </c>
      <c r="W21" s="89">
        <v>0</v>
      </c>
      <c r="X21" s="89">
        <v>0</v>
      </c>
      <c r="Y21" s="89">
        <v>0</v>
      </c>
    </row>
    <row r="22" s="67" customFormat="true" ht="16">
      <c r="A22" s="110" t="s">
        <v>207</v>
      </c>
      <c r="B22" s="67">
        <v>0</v>
      </c>
      <c r="C22" s="67">
        <v>0</v>
      </c>
      <c r="D22" s="67">
        <v>0</v>
      </c>
      <c r="E22" s="67">
        <v>0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  <c r="O22" s="67">
        <v>0</v>
      </c>
      <c r="P22" s="67">
        <v>0</v>
      </c>
      <c r="Q22" s="67">
        <v>0</v>
      </c>
      <c r="R22" s="67">
        <v>0</v>
      </c>
      <c r="S22" s="67">
        <v>0</v>
      </c>
      <c r="T22" s="89">
        <v>0</v>
      </c>
      <c r="U22" s="89">
        <v>0</v>
      </c>
      <c r="V22" s="89">
        <v>0</v>
      </c>
      <c r="W22" s="89">
        <v>0</v>
      </c>
      <c r="X22" s="89">
        <v>0</v>
      </c>
      <c r="Y22" s="89">
        <v>0</v>
      </c>
    </row>
    <row r="23" s="67" customFormat="true" ht="16">
      <c r="A23" s="110" t="s">
        <v>208</v>
      </c>
      <c r="B23" s="67">
        <v>0</v>
      </c>
      <c r="C23" s="67">
        <v>0</v>
      </c>
      <c r="D23" s="67">
        <v>0</v>
      </c>
      <c r="E23" s="67">
        <v>0</v>
      </c>
      <c r="F23" s="67">
        <v>0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67">
        <v>0</v>
      </c>
      <c r="R23" s="67">
        <v>0</v>
      </c>
      <c r="S23" s="67">
        <v>0</v>
      </c>
      <c r="T23" s="89">
        <v>0</v>
      </c>
      <c r="U23" s="89">
        <v>0</v>
      </c>
      <c r="V23" s="89">
        <v>0</v>
      </c>
      <c r="W23" s="89">
        <v>0</v>
      </c>
      <c r="X23" s="89">
        <v>0</v>
      </c>
      <c r="Y23" s="89">
        <v>0</v>
      </c>
    </row>
    <row r="24" s="67" customFormat="true" ht="16">
      <c r="A24" s="110" t="s">
        <v>124</v>
      </c>
      <c r="B24" s="67">
        <v>0</v>
      </c>
      <c r="C24" s="67">
        <v>0</v>
      </c>
      <c r="D24" s="67">
        <v>0</v>
      </c>
      <c r="E24" s="67">
        <v>0</v>
      </c>
      <c r="F24" s="67">
        <v>0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67">
        <v>0</v>
      </c>
      <c r="R24" s="67">
        <v>0</v>
      </c>
      <c r="S24" s="67">
        <v>0</v>
      </c>
      <c r="T24" s="89">
        <v>0</v>
      </c>
      <c r="U24" s="89">
        <v>0</v>
      </c>
      <c r="V24" s="89">
        <v>0</v>
      </c>
      <c r="W24" s="89">
        <v>0</v>
      </c>
      <c r="X24" s="89">
        <v>0</v>
      </c>
      <c r="Y24" s="89">
        <v>0</v>
      </c>
    </row>
    <row r="25" s="67" customFormat="true" ht="16">
      <c r="A25" s="110" t="s">
        <v>125</v>
      </c>
      <c r="B25" s="67">
        <v>0</v>
      </c>
      <c r="C25" s="67">
        <v>0</v>
      </c>
      <c r="D25" s="67">
        <v>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7">
        <v>0</v>
      </c>
      <c r="R25" s="67">
        <v>0</v>
      </c>
      <c r="S25" s="67">
        <v>0</v>
      </c>
      <c r="T25" s="89">
        <v>0</v>
      </c>
      <c r="U25" s="89">
        <v>0</v>
      </c>
      <c r="V25" s="89">
        <v>0</v>
      </c>
      <c r="W25" s="89">
        <v>0</v>
      </c>
      <c r="X25" s="89">
        <v>0</v>
      </c>
      <c r="Y25" s="89">
        <v>0</v>
      </c>
    </row>
    <row r="26" s="67" customFormat="true" ht="16">
      <c r="A26" s="83" t="s">
        <v>168</v>
      </c>
      <c r="B26" s="67">
        <v>0</v>
      </c>
      <c r="C26" s="67">
        <v>0</v>
      </c>
      <c r="D26" s="67">
        <v>0</v>
      </c>
      <c r="E26" s="67">
        <v>0</v>
      </c>
      <c r="F26" s="67">
        <v>0</v>
      </c>
      <c r="G26" s="67">
        <v>0</v>
      </c>
      <c r="H26" s="67">
        <v>0</v>
      </c>
      <c r="I26" s="67">
        <v>0</v>
      </c>
      <c r="J26" s="67">
        <v>0</v>
      </c>
      <c r="K26" s="67">
        <v>0</v>
      </c>
      <c r="L26" s="67">
        <v>0</v>
      </c>
      <c r="M26" s="67">
        <v>0</v>
      </c>
      <c r="N26" s="67">
        <v>0</v>
      </c>
      <c r="O26" s="67">
        <v>0</v>
      </c>
      <c r="P26" s="67">
        <v>0</v>
      </c>
      <c r="Q26" s="67">
        <v>0</v>
      </c>
      <c r="R26" s="67">
        <v>0</v>
      </c>
      <c r="S26" s="67">
        <v>0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</row>
    <row r="27" customFormat="true" ht="14" customHeight="true"/>
    <row r="28" customFormat="true" ht="14" customHeight="true"/>
    <row r="29" customFormat="true" ht="14" customHeight="true"/>
    <row r="30" customFormat="true" ht="14" customHeight="true"/>
    <row r="31" customFormat="true" ht="14" customHeight="true"/>
    <row r="32" customFormat="true" ht="14" customHeight="true"/>
    <row r="33" customFormat="true" ht="14" customHeight="true"/>
    <row r="34" customFormat="true" ht="14" customHeight="true"/>
    <row r="35" customFormat="true" ht="14" customHeight="true"/>
    <row r="36" customFormat="true" ht="14" customHeight="true"/>
    <row r="37" customFormat="true" ht="14" customHeight="true"/>
    <row r="38" customFormat="true" ht="14" customHeight="true"/>
    <row r="39" customFormat="true" ht="14" customHeight="true"/>
    <row r="40" customFormat="true" ht="14" customHeight="true"/>
    <row r="41" customFormat="true" ht="14" customHeight="true"/>
    <row r="42" customFormat="true" ht="14" customHeight="true"/>
    <row r="43" customFormat="true" ht="14" customHeight="true"/>
    <row r="44" customFormat="true" ht="14" customHeight="true"/>
    <row r="45" customFormat="true" ht="14" customHeight="true"/>
    <row r="46" customFormat="true" ht="14" customHeight="true"/>
    <row r="47" customFormat="true" ht="14" customHeight="true"/>
    <row r="48" customFormat="true" ht="14" customHeight="true"/>
    <row r="49" customFormat="true" ht="14" customHeight="true"/>
    <row r="50" customFormat="true" ht="14" customHeight="true"/>
    <row r="51" customFormat="true" ht="14" customHeight="true"/>
    <row r="52" customFormat="true" ht="14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2"/>
  <sheetViews>
    <sheetView workbookViewId="0">
      <selection activeCell="C1" sqref="C1"/>
    </sheetView>
  </sheetViews>
  <sheetFormatPr baseColWidth="10" defaultRowHeight="14" customHeight="true"/>
  <cols>
    <col min="1" max="1" width="12.6640625" style="67" customWidth="true"/>
    <col min="2" max="2" width="46.5" style="67" bestFit="true" customWidth="true"/>
    <col min="3" max="3" width="27.6640625" style="67" customWidth="true"/>
    <col min="4" max="16384" width="10.83203125" style="67"/>
  </cols>
  <sheetData>
    <row r="1" ht="34">
      <c r="A1" s="103" t="s">
        <v>85</v>
      </c>
      <c r="B1" s="107" t="s">
        <v>0</v>
      </c>
      <c r="C1" s="164" t="s">
        <v>209</v>
      </c>
    </row>
    <row r="2" ht="15" customHeight="true">
      <c r="A2" s="67">
        <v>1</v>
      </c>
      <c r="B2" s="110" t="s">
        <v>182</v>
      </c>
      <c r="C2" s="164">
        <v>0</v>
      </c>
      <c r="D2"/>
      <c r="E2"/>
      <c r="F2"/>
      <c r="G2"/>
    </row>
    <row r="3" ht="15" customHeight="true">
      <c r="A3" s="67">
        <v>2</v>
      </c>
      <c r="B3" s="110" t="s">
        <v>188</v>
      </c>
      <c r="C3" s="164">
        <v>0.5</v>
      </c>
      <c r="D3"/>
      <c r="E3"/>
      <c r="F3"/>
      <c r="G3"/>
    </row>
    <row r="4" ht="15" customHeight="true">
      <c r="A4" s="67">
        <v>3</v>
      </c>
      <c r="B4" s="110" t="s">
        <v>189</v>
      </c>
      <c r="C4" s="164">
        <v>0.5</v>
      </c>
      <c r="D4"/>
      <c r="E4"/>
      <c r="F4"/>
      <c r="G4"/>
    </row>
    <row r="5" ht="15" customHeight="true">
      <c r="A5" s="67">
        <v>4</v>
      </c>
      <c r="B5" s="110" t="s">
        <v>190</v>
      </c>
      <c r="C5" s="164">
        <v>0.5</v>
      </c>
      <c r="D5"/>
      <c r="E5"/>
      <c r="F5"/>
      <c r="G5"/>
    </row>
    <row r="6" ht="15" customHeight="true">
      <c r="A6" s="67">
        <v>5</v>
      </c>
      <c r="B6" s="110" t="s">
        <v>191</v>
      </c>
      <c r="C6" s="164">
        <v>0.5</v>
      </c>
      <c r="D6"/>
      <c r="E6"/>
      <c r="F6"/>
      <c r="G6"/>
    </row>
    <row r="7" ht="15" customHeight="true">
      <c r="A7" s="67">
        <v>6</v>
      </c>
      <c r="B7" s="110" t="s">
        <v>192</v>
      </c>
      <c r="C7" s="164">
        <v>0.5</v>
      </c>
      <c r="D7"/>
      <c r="E7"/>
      <c r="F7"/>
      <c r="G7"/>
    </row>
    <row r="8" ht="15" customHeight="true">
      <c r="A8" s="67">
        <v>7</v>
      </c>
      <c r="B8" s="110" t="s">
        <v>193</v>
      </c>
      <c r="C8" s="164">
        <v>0.5</v>
      </c>
      <c r="D8"/>
      <c r="E8"/>
      <c r="F8"/>
      <c r="G8"/>
    </row>
    <row r="9" ht="15" customHeight="true">
      <c r="A9" s="67">
        <v>8</v>
      </c>
      <c r="B9" s="110" t="s">
        <v>194</v>
      </c>
      <c r="C9" s="164">
        <v>0.5</v>
      </c>
      <c r="D9"/>
      <c r="E9"/>
      <c r="F9"/>
      <c r="G9"/>
    </row>
    <row r="10" ht="15" customHeight="true">
      <c r="A10" s="67">
        <v>9</v>
      </c>
      <c r="B10" s="110" t="s">
        <v>195</v>
      </c>
      <c r="C10" s="164">
        <v>0.5</v>
      </c>
      <c r="D10"/>
      <c r="E10"/>
      <c r="F10"/>
      <c r="G10"/>
    </row>
    <row r="11" ht="15" customHeight="true">
      <c r="A11" s="67">
        <v>10</v>
      </c>
      <c r="B11" s="110" t="s">
        <v>196</v>
      </c>
      <c r="C11" s="164">
        <v>0.5</v>
      </c>
      <c r="D11"/>
      <c r="E11"/>
      <c r="F11"/>
      <c r="G11"/>
    </row>
    <row r="12" ht="15" customHeight="true">
      <c r="A12" s="67">
        <v>11</v>
      </c>
      <c r="B12" s="110" t="s">
        <v>197</v>
      </c>
      <c r="C12" s="164">
        <v>0.5</v>
      </c>
      <c r="D12"/>
      <c r="E12"/>
      <c r="F12"/>
      <c r="G12"/>
    </row>
    <row r="13" ht="15" customHeight="true">
      <c r="A13" s="67">
        <v>12</v>
      </c>
      <c r="B13" s="110" t="s">
        <v>198</v>
      </c>
      <c r="C13" s="164">
        <v>0.5</v>
      </c>
      <c r="D13"/>
      <c r="E13"/>
      <c r="F13"/>
      <c r="G13"/>
    </row>
    <row r="14" ht="15" customHeight="true">
      <c r="A14" s="67">
        <v>13</v>
      </c>
      <c r="B14" s="110" t="s">
        <v>199</v>
      </c>
      <c r="C14" s="164">
        <v>0.5</v>
      </c>
      <c r="D14"/>
      <c r="E14"/>
      <c r="F14"/>
      <c r="G14"/>
    </row>
    <row r="15" ht="15" customHeight="true">
      <c r="A15" s="67">
        <v>14</v>
      </c>
      <c r="B15" s="110" t="s">
        <v>200</v>
      </c>
      <c r="C15" s="164">
        <v>0.5</v>
      </c>
      <c r="D15"/>
      <c r="E15"/>
      <c r="F15"/>
      <c r="G15"/>
    </row>
    <row r="16" ht="15" customHeight="true">
      <c r="A16" s="67">
        <v>15</v>
      </c>
      <c r="B16" s="110" t="s">
        <v>201</v>
      </c>
      <c r="C16" s="164">
        <v>0.5</v>
      </c>
      <c r="D16"/>
      <c r="E16"/>
      <c r="F16"/>
      <c r="G16"/>
    </row>
    <row r="17" ht="15" customHeight="true">
      <c r="A17" s="67">
        <v>16</v>
      </c>
      <c r="B17" s="110" t="s">
        <v>202</v>
      </c>
      <c r="C17" s="164">
        <v>0</v>
      </c>
      <c r="D17"/>
      <c r="E17"/>
      <c r="F17"/>
      <c r="G17"/>
    </row>
    <row r="18" ht="15" customHeight="true">
      <c r="A18" s="67">
        <v>17</v>
      </c>
      <c r="B18" s="110" t="s">
        <v>203</v>
      </c>
      <c r="C18" s="164">
        <v>0.5</v>
      </c>
      <c r="D18"/>
      <c r="E18"/>
      <c r="F18"/>
      <c r="G18"/>
    </row>
    <row r="19" ht="15" customHeight="true">
      <c r="A19" s="67">
        <v>18</v>
      </c>
      <c r="B19" s="110" t="s">
        <v>204</v>
      </c>
      <c r="C19" s="164">
        <v>0</v>
      </c>
      <c r="D19"/>
      <c r="E19"/>
      <c r="F19"/>
      <c r="G19"/>
    </row>
    <row r="20" ht="15" customHeight="true">
      <c r="A20" s="67">
        <v>19</v>
      </c>
      <c r="B20" s="110" t="s">
        <v>205</v>
      </c>
      <c r="C20" s="164">
        <v>0</v>
      </c>
      <c r="D20"/>
      <c r="E20"/>
      <c r="F20"/>
      <c r="G20"/>
    </row>
    <row r="21" ht="15" customHeight="true">
      <c r="A21" s="67">
        <v>20</v>
      </c>
      <c r="B21" s="110" t="s">
        <v>206</v>
      </c>
      <c r="C21" s="164">
        <v>0</v>
      </c>
      <c r="D21"/>
      <c r="E21"/>
      <c r="F21"/>
      <c r="G21"/>
    </row>
    <row r="22" ht="15" customHeight="true">
      <c r="A22" s="67">
        <v>21</v>
      </c>
      <c r="B22" s="110" t="s">
        <v>207</v>
      </c>
      <c r="C22" s="164">
        <v>0</v>
      </c>
      <c r="D22"/>
      <c r="E22"/>
      <c r="F22"/>
      <c r="G22"/>
    </row>
    <row r="23" ht="15" customHeight="true">
      <c r="A23" s="67">
        <v>22</v>
      </c>
      <c r="B23" s="110" t="s">
        <v>208</v>
      </c>
      <c r="C23" s="164">
        <v>0</v>
      </c>
      <c r="D23"/>
      <c r="E23"/>
      <c r="F23"/>
      <c r="G23"/>
    </row>
    <row r="24" ht="15" customHeight="true">
      <c r="A24" s="67">
        <v>23</v>
      </c>
      <c r="B24" s="110" t="s">
        <v>124</v>
      </c>
      <c r="C24" s="164">
        <v>0</v>
      </c>
      <c r="D24"/>
      <c r="E24"/>
      <c r="F24"/>
      <c r="G24"/>
    </row>
    <row r="25" ht="15" customHeight="true">
      <c r="A25" s="67">
        <v>24</v>
      </c>
      <c r="B25" s="110" t="s">
        <v>125</v>
      </c>
      <c r="C25" s="164">
        <v>0</v>
      </c>
      <c r="D25"/>
      <c r="E25"/>
      <c r="F25"/>
      <c r="G25"/>
    </row>
    <row r="26" ht="16">
      <c r="D26"/>
      <c r="E26"/>
      <c r="F26"/>
      <c r="G26"/>
    </row>
    <row r="27" ht="16">
      <c r="D27"/>
      <c r="E27"/>
      <c r="F27"/>
      <c r="G27"/>
    </row>
    <row r="28" ht="16">
      <c r="D28"/>
      <c r="E28"/>
      <c r="F28"/>
      <c r="G28"/>
    </row>
    <row r="29" ht="16">
      <c r="D29"/>
      <c r="E29"/>
      <c r="F29"/>
      <c r="G29"/>
    </row>
    <row r="30" ht="16">
      <c r="D30"/>
      <c r="E30"/>
      <c r="F30"/>
      <c r="G30"/>
    </row>
    <row r="31" ht="16">
      <c r="D31"/>
      <c r="E31"/>
      <c r="F31"/>
      <c r="G31"/>
    </row>
    <row r="32" ht="16">
      <c r="D32"/>
      <c r="E32"/>
      <c r="F32"/>
      <c r="G32"/>
    </row>
    <row r="33" ht="16">
      <c r="D33"/>
      <c r="E33"/>
      <c r="F33"/>
      <c r="G33"/>
    </row>
    <row r="34" ht="16">
      <c r="D34"/>
      <c r="E34"/>
      <c r="F34"/>
      <c r="G34"/>
    </row>
    <row r="35" ht="16">
      <c r="D35"/>
      <c r="E35"/>
      <c r="F35"/>
      <c r="G35"/>
    </row>
    <row r="36" ht="16">
      <c r="D36"/>
      <c r="E36"/>
      <c r="F36"/>
      <c r="G36"/>
    </row>
    <row r="37" ht="16">
      <c r="D37"/>
      <c r="E37"/>
      <c r="F37"/>
      <c r="G37"/>
    </row>
    <row r="38" ht="16">
      <c r="D38"/>
      <c r="E38"/>
      <c r="F38"/>
      <c r="G38"/>
    </row>
    <row r="39" ht="16">
      <c r="D39"/>
      <c r="E39"/>
      <c r="F39"/>
      <c r="G39"/>
    </row>
    <row r="40" ht="16">
      <c r="D40"/>
      <c r="E40"/>
      <c r="F40"/>
      <c r="G40"/>
    </row>
    <row r="41" ht="16">
      <c r="D41"/>
      <c r="E41"/>
      <c r="F41"/>
      <c r="G41"/>
    </row>
    <row r="42" ht="16">
      <c r="D42"/>
      <c r="E42"/>
      <c r="F42"/>
      <c r="G42"/>
    </row>
    <row r="43" ht="16">
      <c r="D43"/>
      <c r="E43"/>
      <c r="F43"/>
      <c r="G43"/>
    </row>
    <row r="44" ht="16">
      <c r="D44"/>
      <c r="E44"/>
      <c r="F44"/>
      <c r="G44"/>
    </row>
    <row r="45" ht="16">
      <c r="D45"/>
      <c r="E45"/>
      <c r="F45"/>
      <c r="G45"/>
    </row>
    <row r="46" ht="16">
      <c r="D46"/>
      <c r="E46"/>
      <c r="F46"/>
      <c r="G46"/>
    </row>
    <row r="47" ht="16">
      <c r="D47"/>
      <c r="E47"/>
      <c r="F47"/>
      <c r="G47"/>
    </row>
    <row r="48" ht="16">
      <c r="D48"/>
      <c r="E48"/>
      <c r="F48"/>
      <c r="G48"/>
    </row>
    <row r="49" ht="16">
      <c r="D49"/>
      <c r="E49"/>
      <c r="F49"/>
      <c r="G49"/>
    </row>
    <row r="50" ht="16">
      <c r="D50"/>
      <c r="E50"/>
      <c r="F50"/>
      <c r="G50"/>
    </row>
    <row r="51" ht="16">
      <c r="D51"/>
      <c r="E51"/>
      <c r="F51"/>
      <c r="G51"/>
    </row>
    <row r="52" ht="16">
      <c r="D52"/>
      <c r="E52"/>
      <c r="F52"/>
      <c r="G52"/>
    </row>
    <row r="53" ht="16">
      <c r="D53"/>
      <c r="E53"/>
      <c r="F53"/>
      <c r="G53"/>
    </row>
    <row r="54" ht="16">
      <c r="D54"/>
      <c r="E54"/>
      <c r="F54"/>
      <c r="G54"/>
    </row>
    <row r="55" ht="16">
      <c r="D55"/>
      <c r="E55"/>
      <c r="F55"/>
      <c r="G55"/>
    </row>
    <row r="56" ht="16">
      <c r="D56"/>
      <c r="E56"/>
      <c r="F56"/>
      <c r="G56"/>
    </row>
    <row r="57" ht="16">
      <c r="D57"/>
      <c r="E57"/>
      <c r="F57"/>
      <c r="G57"/>
    </row>
    <row r="58" ht="15" customHeight="true">
      <c r="D58"/>
      <c r="E58"/>
      <c r="F58"/>
      <c r="G58"/>
    </row>
    <row r="59" ht="15" customHeight="true">
      <c r="D59"/>
      <c r="E59"/>
      <c r="F59"/>
      <c r="G59"/>
    </row>
    <row r="60" ht="15" customHeight="true">
      <c r="D60"/>
      <c r="E60"/>
      <c r="F60"/>
      <c r="G60"/>
    </row>
    <row r="61" ht="15" customHeight="true">
      <c r="D61"/>
      <c r="E61"/>
      <c r="F61"/>
      <c r="G61"/>
    </row>
    <row r="62" ht="15" customHeight="true">
      <c r="D62"/>
      <c r="E62"/>
      <c r="F62"/>
      <c r="G62"/>
    </row>
    <row r="63" ht="15" customHeight="true">
      <c r="D63"/>
      <c r="E63"/>
      <c r="F63"/>
      <c r="G63"/>
    </row>
    <row r="64" ht="15" customHeight="true">
      <c r="D64"/>
      <c r="E64"/>
      <c r="F64"/>
      <c r="G64"/>
    </row>
    <row r="65" ht="15" customHeight="true">
      <c r="D65"/>
      <c r="E65"/>
      <c r="F65"/>
      <c r="G65"/>
    </row>
    <row r="66" ht="15" customHeight="true">
      <c r="D66"/>
      <c r="E66"/>
      <c r="F66"/>
      <c r="G66"/>
    </row>
    <row r="67" ht="15" customHeight="true">
      <c r="D67"/>
      <c r="E67"/>
      <c r="F67"/>
      <c r="G67"/>
    </row>
    <row r="68" ht="15" customHeight="true">
      <c r="D68"/>
      <c r="E68"/>
      <c r="F68"/>
      <c r="G68"/>
    </row>
    <row r="69" ht="15" customHeight="true">
      <c r="D69"/>
      <c r="E69"/>
      <c r="F69"/>
      <c r="G69"/>
    </row>
    <row r="70" ht="15" customHeight="true">
      <c r="D70"/>
      <c r="E70"/>
      <c r="F70"/>
      <c r="G70"/>
    </row>
    <row r="71" ht="15" customHeight="true">
      <c r="D71"/>
      <c r="E71"/>
      <c r="F71"/>
      <c r="G71"/>
    </row>
    <row r="72" ht="15" customHeight="true">
      <c r="D72"/>
      <c r="E72"/>
      <c r="F72"/>
      <c r="G72"/>
    </row>
    <row r="73" ht="15" customHeight="true">
      <c r="D73"/>
      <c r="E73"/>
      <c r="F73"/>
      <c r="G73"/>
    </row>
    <row r="74" ht="15" customHeight="true">
      <c r="D74"/>
      <c r="E74"/>
      <c r="F74"/>
      <c r="G74"/>
    </row>
    <row r="75" ht="15" customHeight="true">
      <c r="D75"/>
      <c r="E75"/>
      <c r="F75"/>
      <c r="G75"/>
    </row>
    <row r="76" ht="15" customHeight="true">
      <c r="D76"/>
      <c r="E76"/>
      <c r="F76"/>
      <c r="G76"/>
    </row>
    <row r="77" ht="15" customHeight="true">
      <c r="D77"/>
      <c r="E77"/>
      <c r="F77"/>
      <c r="G77"/>
    </row>
    <row r="78" ht="15" customHeight="true">
      <c r="D78"/>
      <c r="E78"/>
      <c r="F78"/>
      <c r="G78"/>
    </row>
    <row r="79" ht="15" customHeight="true">
      <c r="D79"/>
      <c r="E79"/>
      <c r="F79"/>
      <c r="G79"/>
    </row>
    <row r="80" ht="15" customHeight="true">
      <c r="D80"/>
      <c r="E80"/>
      <c r="F80"/>
      <c r="G80"/>
    </row>
    <row r="81" ht="15" customHeight="true">
      <c r="D81"/>
      <c r="E81"/>
      <c r="F81"/>
      <c r="G81"/>
    </row>
    <row r="82" ht="15" customHeight="true">
      <c r="D82"/>
      <c r="E82"/>
      <c r="F82"/>
      <c r="G82"/>
    </row>
    <row r="83" ht="15" customHeight="true">
      <c r="D83"/>
      <c r="E83"/>
      <c r="F83"/>
      <c r="G83"/>
    </row>
    <row r="84" ht="15" customHeight="true">
      <c r="D84"/>
      <c r="E84"/>
      <c r="F84"/>
      <c r="G84"/>
    </row>
    <row r="85" ht="15" customHeight="true">
      <c r="D85"/>
      <c r="E85"/>
      <c r="F85"/>
      <c r="G85"/>
    </row>
    <row r="86" ht="15" customHeight="true">
      <c r="D86"/>
      <c r="E86"/>
      <c r="F86"/>
      <c r="G86"/>
    </row>
    <row r="87" ht="15" customHeight="true">
      <c r="D87"/>
      <c r="E87"/>
      <c r="F87"/>
      <c r="G87"/>
    </row>
    <row r="88" ht="15" customHeight="true">
      <c r="D88"/>
      <c r="E88"/>
      <c r="F88"/>
      <c r="G88"/>
    </row>
    <row r="89" ht="15" customHeight="true">
      <c r="D89"/>
      <c r="E89"/>
      <c r="F89"/>
      <c r="G89"/>
    </row>
    <row r="90" ht="15" customHeight="true">
      <c r="D90"/>
      <c r="E90"/>
      <c r="F90"/>
      <c r="G90"/>
    </row>
    <row r="91" ht="15" customHeight="true">
      <c r="D91"/>
      <c r="E91"/>
      <c r="F91"/>
      <c r="G91"/>
    </row>
    <row r="92" ht="15" customHeight="true">
      <c r="D92"/>
      <c r="E92"/>
      <c r="F92"/>
      <c r="G92"/>
    </row>
    <row r="93" ht="15" customHeight="true">
      <c r="D93"/>
      <c r="E93"/>
      <c r="F93"/>
      <c r="G93"/>
    </row>
    <row r="94" ht="15" customHeight="true">
      <c r="D94"/>
      <c r="E94"/>
      <c r="F94"/>
      <c r="G94"/>
    </row>
    <row r="95" ht="15" customHeight="true">
      <c r="D95"/>
      <c r="E95"/>
      <c r="F95"/>
      <c r="G95"/>
    </row>
    <row r="96" ht="15" customHeight="true">
      <c r="D96"/>
      <c r="E96"/>
      <c r="F96"/>
      <c r="G96"/>
    </row>
    <row r="97" ht="15" customHeight="true">
      <c r="D97"/>
      <c r="E97"/>
      <c r="F97"/>
      <c r="G97"/>
    </row>
    <row r="98" ht="15" customHeight="true">
      <c r="D98"/>
      <c r="E98"/>
      <c r="F98"/>
      <c r="G98"/>
    </row>
    <row r="99" ht="15" customHeight="true">
      <c r="D99"/>
      <c r="E99"/>
      <c r="F99"/>
      <c r="G99"/>
    </row>
    <row r="100" ht="15" customHeight="true">
      <c r="D100"/>
      <c r="E100"/>
      <c r="F100"/>
      <c r="G100"/>
    </row>
    <row r="101" ht="15" customHeight="true">
      <c r="D101"/>
      <c r="E101"/>
      <c r="F101"/>
      <c r="G101"/>
    </row>
    <row r="102" ht="15" customHeight="true">
      <c r="D102"/>
      <c r="E102"/>
      <c r="F102"/>
      <c r="G102"/>
    </row>
    <row r="103" ht="15" customHeight="true">
      <c r="D103"/>
      <c r="E103"/>
      <c r="F103"/>
      <c r="G103"/>
    </row>
    <row r="104" ht="15" customHeight="true">
      <c r="D104"/>
      <c r="E104"/>
      <c r="F104"/>
      <c r="G104"/>
    </row>
    <row r="105" ht="15" customHeight="true">
      <c r="D105"/>
      <c r="E105"/>
      <c r="F105"/>
      <c r="G105"/>
    </row>
    <row r="106" ht="15" customHeight="true">
      <c r="D106"/>
      <c r="E106"/>
      <c r="F106"/>
      <c r="G106"/>
    </row>
    <row r="107" ht="15" customHeight="true">
      <c r="D107"/>
      <c r="E107"/>
      <c r="F107"/>
      <c r="G107"/>
    </row>
    <row r="108" ht="15" customHeight="true">
      <c r="D108"/>
      <c r="E108"/>
      <c r="F108"/>
      <c r="G108"/>
    </row>
    <row r="109" ht="15" customHeight="true">
      <c r="D109"/>
      <c r="E109"/>
      <c r="F109"/>
      <c r="G109"/>
    </row>
    <row r="110" ht="15" customHeight="true">
      <c r="D110"/>
      <c r="E110"/>
      <c r="F110"/>
      <c r="G110"/>
    </row>
    <row r="111" ht="15" customHeight="true">
      <c r="D111"/>
      <c r="E111"/>
      <c r="F111"/>
      <c r="G111"/>
    </row>
    <row r="112" ht="15" customHeight="true">
      <c r="D112"/>
      <c r="E112"/>
      <c r="F112"/>
      <c r="G112"/>
    </row>
    <row r="113" ht="15" customHeight="true">
      <c r="D113"/>
      <c r="E113"/>
      <c r="F113"/>
      <c r="G113"/>
    </row>
    <row r="114" ht="15" customHeight="true">
      <c r="D114"/>
      <c r="E114"/>
      <c r="F114"/>
      <c r="G114"/>
    </row>
    <row r="115" ht="15" customHeight="true">
      <c r="D115"/>
      <c r="E115"/>
      <c r="F115"/>
      <c r="G115"/>
    </row>
    <row r="116" ht="15" customHeight="true">
      <c r="D116"/>
      <c r="E116"/>
      <c r="F116"/>
      <c r="G116"/>
    </row>
    <row r="117" ht="15" customHeight="true">
      <c r="D117"/>
      <c r="E117"/>
      <c r="F117"/>
      <c r="G117"/>
    </row>
    <row r="118" ht="15" customHeight="true">
      <c r="D118"/>
      <c r="E118"/>
      <c r="F118"/>
      <c r="G118"/>
    </row>
    <row r="119" ht="15" customHeight="true">
      <c r="D119"/>
      <c r="E119"/>
      <c r="F119"/>
      <c r="G119"/>
    </row>
    <row r="120" ht="15" customHeight="true">
      <c r="D120"/>
      <c r="E120"/>
      <c r="F120"/>
      <c r="G120"/>
    </row>
    <row r="121" ht="15" customHeight="true">
      <c r="D121"/>
      <c r="E121"/>
      <c r="F121"/>
      <c r="G121"/>
    </row>
    <row r="122" ht="15" customHeight="true">
      <c r="D122"/>
      <c r="E122"/>
      <c r="F122"/>
      <c r="G122"/>
    </row>
    <row r="123" ht="15" customHeight="true">
      <c r="D123"/>
      <c r="E123"/>
      <c r="F123"/>
      <c r="G123"/>
    </row>
    <row r="124" ht="15" customHeight="true">
      <c r="D124"/>
      <c r="E124"/>
      <c r="F124"/>
      <c r="G124"/>
    </row>
    <row r="125" ht="15" customHeight="true">
      <c r="D125"/>
      <c r="E125"/>
      <c r="F125"/>
      <c r="G125"/>
    </row>
    <row r="126" ht="15" customHeight="true">
      <c r="D126"/>
      <c r="E126"/>
      <c r="F126"/>
      <c r="G126"/>
    </row>
    <row r="127" ht="15" customHeight="true">
      <c r="D127"/>
      <c r="E127"/>
      <c r="F127"/>
      <c r="G127"/>
    </row>
    <row r="128" ht="15" customHeight="true">
      <c r="D128"/>
      <c r="E128"/>
      <c r="F128"/>
      <c r="G128"/>
    </row>
    <row r="129" ht="15" customHeight="true">
      <c r="D129"/>
      <c r="E129"/>
      <c r="F129"/>
      <c r="G129"/>
    </row>
    <row r="130" ht="15" customHeight="true">
      <c r="D130"/>
      <c r="E130"/>
      <c r="F130"/>
      <c r="G130"/>
    </row>
    <row r="131" ht="15" customHeight="true">
      <c r="D131"/>
      <c r="E131"/>
      <c r="F131"/>
      <c r="G131"/>
    </row>
    <row r="132" ht="15" customHeight="true">
      <c r="D132"/>
      <c r="E132"/>
      <c r="F132"/>
      <c r="G132"/>
    </row>
    <row r="133" ht="15" customHeight="true">
      <c r="D133"/>
      <c r="E133"/>
      <c r="F133"/>
      <c r="G133"/>
    </row>
    <row r="134" ht="15" customHeight="true">
      <c r="D134"/>
      <c r="E134"/>
      <c r="F134"/>
      <c r="G134"/>
    </row>
    <row r="135" ht="15" customHeight="true">
      <c r="D135"/>
      <c r="E135"/>
      <c r="F135"/>
      <c r="G135"/>
    </row>
    <row r="136" ht="15" customHeight="true">
      <c r="D136"/>
      <c r="E136"/>
      <c r="F136"/>
      <c r="G136"/>
    </row>
    <row r="137" ht="15" customHeight="true">
      <c r="D137"/>
      <c r="E137"/>
      <c r="F137"/>
      <c r="G137"/>
    </row>
    <row r="138" ht="15" customHeight="true">
      <c r="D138"/>
      <c r="E138"/>
      <c r="F138"/>
      <c r="G138"/>
    </row>
    <row r="139" ht="15" customHeight="true">
      <c r="D139"/>
      <c r="E139"/>
      <c r="F139"/>
      <c r="G139"/>
    </row>
    <row r="140" ht="15" customHeight="true">
      <c r="D140"/>
      <c r="E140"/>
      <c r="F140"/>
      <c r="G140"/>
    </row>
    <row r="141" ht="15" customHeight="true">
      <c r="D141"/>
      <c r="E141"/>
      <c r="F141"/>
      <c r="G141"/>
    </row>
    <row r="142" ht="15" customHeight="true">
      <c r="D142"/>
      <c r="E142"/>
      <c r="F142"/>
      <c r="G142"/>
    </row>
    <row r="143" ht="15" customHeight="true">
      <c r="D143"/>
      <c r="E143"/>
      <c r="F143"/>
      <c r="G143"/>
    </row>
    <row r="144" ht="15" customHeight="true">
      <c r="D144"/>
      <c r="E144"/>
      <c r="F144"/>
      <c r="G144"/>
    </row>
    <row r="145" ht="15" customHeight="true">
      <c r="D145"/>
      <c r="E145"/>
      <c r="F145"/>
      <c r="G145"/>
    </row>
    <row r="146" ht="15" customHeight="true">
      <c r="D146"/>
      <c r="E146"/>
      <c r="F146"/>
      <c r="G146"/>
    </row>
    <row r="147" ht="16">
      <c r="D147"/>
      <c r="E147"/>
      <c r="F147"/>
      <c r="G147"/>
    </row>
    <row r="148" ht="16">
      <c r="D148"/>
      <c r="E148"/>
      <c r="F148"/>
      <c r="G148"/>
    </row>
    <row r="149" ht="15" customHeight="true">
      <c r="D149"/>
      <c r="E149"/>
      <c r="F149"/>
      <c r="G149"/>
    </row>
    <row r="150" ht="15" customHeight="true">
      <c r="D150"/>
      <c r="E150"/>
      <c r="F150"/>
      <c r="G150"/>
    </row>
    <row r="151" ht="16">
      <c r="D151"/>
      <c r="E151"/>
      <c r="F151"/>
      <c r="G151"/>
    </row>
    <row r="152" ht="16">
      <c r="D152"/>
      <c r="E152"/>
      <c r="F152"/>
      <c r="G152"/>
    </row>
    <row r="153" ht="16">
      <c r="D153"/>
      <c r="E153"/>
      <c r="F153"/>
      <c r="G153"/>
    </row>
    <row r="154" ht="16">
      <c r="D154"/>
      <c r="E154"/>
      <c r="F154"/>
      <c r="G154"/>
    </row>
    <row r="155" ht="16">
      <c r="D155"/>
      <c r="E155"/>
      <c r="F155"/>
      <c r="G155"/>
    </row>
    <row r="156" ht="16">
      <c r="D156"/>
      <c r="E156"/>
      <c r="F156"/>
      <c r="G156"/>
    </row>
    <row r="157" ht="16">
      <c r="D157"/>
      <c r="E157"/>
      <c r="F157"/>
      <c r="G157"/>
    </row>
    <row r="158" ht="16">
      <c r="D158"/>
      <c r="E158"/>
      <c r="F158"/>
      <c r="G158"/>
    </row>
    <row r="159" ht="16">
      <c r="D159"/>
      <c r="E159"/>
      <c r="F159"/>
      <c r="G159"/>
    </row>
    <row r="160" ht="16">
      <c r="D160"/>
      <c r="E160"/>
      <c r="F160"/>
      <c r="G160"/>
    </row>
    <row r="161" ht="16">
      <c r="D161"/>
      <c r="E161"/>
      <c r="F161"/>
      <c r="G161"/>
    </row>
    <row r="162" ht="16">
      <c r="D162"/>
      <c r="E162"/>
      <c r="F162"/>
      <c r="G162"/>
    </row>
    <row r="163" ht="16">
      <c r="D163"/>
      <c r="E163"/>
      <c r="F163"/>
      <c r="G163"/>
    </row>
    <row r="164" ht="16">
      <c r="D164"/>
      <c r="E164"/>
      <c r="F164"/>
      <c r="G164"/>
    </row>
    <row r="165" ht="16">
      <c r="D165"/>
      <c r="E165"/>
      <c r="F165"/>
      <c r="G165"/>
    </row>
    <row r="166" ht="16">
      <c r="D166"/>
      <c r="E166"/>
      <c r="F166"/>
      <c r="G166"/>
    </row>
    <row r="167" ht="16">
      <c r="D167"/>
      <c r="E167"/>
      <c r="F167"/>
      <c r="G167"/>
    </row>
    <row r="168" ht="16">
      <c r="D168"/>
      <c r="E168"/>
      <c r="F168"/>
      <c r="G168"/>
    </row>
    <row r="169" ht="16">
      <c r="D169"/>
      <c r="E169"/>
      <c r="F169"/>
      <c r="G169"/>
    </row>
    <row r="170" ht="16">
      <c r="D170"/>
      <c r="E170"/>
      <c r="F170"/>
      <c r="G170"/>
    </row>
    <row r="171" ht="16">
      <c r="D171"/>
      <c r="E171"/>
      <c r="F171"/>
      <c r="G171"/>
    </row>
    <row r="172" ht="16">
      <c r="D172"/>
      <c r="E172"/>
      <c r="F172"/>
      <c r="G172"/>
    </row>
    <row r="173" ht="16">
      <c r="D173"/>
      <c r="E173"/>
      <c r="F173"/>
      <c r="G173"/>
    </row>
    <row r="174" ht="16">
      <c r="D174"/>
      <c r="E174"/>
      <c r="F174"/>
      <c r="G174"/>
    </row>
    <row r="175" ht="16">
      <c r="D175"/>
      <c r="E175"/>
      <c r="F175"/>
      <c r="G175"/>
    </row>
    <row r="176" ht="16">
      <c r="D176"/>
      <c r="E176"/>
      <c r="F176"/>
      <c r="G176"/>
    </row>
    <row r="177" ht="16">
      <c r="D177"/>
      <c r="E177"/>
      <c r="F177"/>
      <c r="G177"/>
    </row>
    <row r="178" ht="16">
      <c r="D178"/>
      <c r="E178"/>
      <c r="F178"/>
      <c r="G178"/>
    </row>
    <row r="179" ht="16">
      <c r="D179"/>
      <c r="E179"/>
      <c r="F179"/>
      <c r="G179"/>
    </row>
    <row r="180" ht="16">
      <c r="D180"/>
      <c r="E180"/>
      <c r="F180"/>
      <c r="G180"/>
    </row>
    <row r="181" ht="16">
      <c r="D181"/>
      <c r="E181"/>
      <c r="F181"/>
      <c r="G181"/>
    </row>
    <row r="182" ht="16">
      <c r="D182"/>
      <c r="E182"/>
      <c r="F182"/>
      <c r="G18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O57"/>
  <sheetViews>
    <sheetView workbookViewId="0">
      <selection activeCell="D23" sqref="D23"/>
    </sheetView>
  </sheetViews>
  <sheetFormatPr baseColWidth="10" defaultRowHeight="14" customHeight="true"/>
  <cols>
    <col min="1" max="1" width="12.6640625" style="67" customWidth="true"/>
    <col min="2" max="2" width="46.5" style="67" bestFit="true" customWidth="true"/>
    <col min="3" max="7" width="27.6640625" style="67" customWidth="true"/>
    <col min="8" max="16384" width="10.83203125" style="67"/>
  </cols>
  <sheetData>
    <row r="1" ht="34">
      <c r="A1" s="103" t="s">
        <v>84</v>
      </c>
      <c r="B1" s="107" t="s">
        <v>0</v>
      </c>
      <c r="C1" s="164" t="s">
        <v>209</v>
      </c>
      <c r="D1"/>
      <c r="E1"/>
      <c r="F1"/>
      <c r="G1"/>
      <c r="H1"/>
      <c r="I1"/>
      <c r="J1"/>
      <c r="K1"/>
      <c r="L1"/>
      <c r="M1"/>
      <c r="N1"/>
      <c r="O1"/>
    </row>
    <row r="2" ht="15" customHeight="true">
      <c r="A2" s="67">
        <v>1</v>
      </c>
      <c r="B2" s="110" t="s">
        <v>182</v>
      </c>
      <c r="C2" s="164">
        <v>0</v>
      </c>
      <c r="D2"/>
      <c r="E2"/>
      <c r="F2"/>
      <c r="G2"/>
    </row>
    <row r="3" ht="15" customHeight="true">
      <c r="A3" s="67">
        <v>2</v>
      </c>
      <c r="B3" s="110" t="s">
        <v>188</v>
      </c>
      <c r="C3" s="164">
        <v>0</v>
      </c>
      <c r="D3"/>
      <c r="E3"/>
      <c r="F3"/>
      <c r="G3"/>
    </row>
    <row r="4" ht="15" customHeight="true">
      <c r="A4" s="67">
        <v>3</v>
      </c>
      <c r="B4" s="110" t="s">
        <v>189</v>
      </c>
      <c r="C4" s="164">
        <v>0</v>
      </c>
      <c r="D4"/>
      <c r="E4"/>
      <c r="F4"/>
      <c r="G4"/>
    </row>
    <row r="5" ht="15" customHeight="true">
      <c r="A5" s="67">
        <v>4</v>
      </c>
      <c r="B5" s="110" t="s">
        <v>190</v>
      </c>
      <c r="C5" s="164">
        <v>0</v>
      </c>
      <c r="D5"/>
      <c r="E5"/>
      <c r="F5"/>
      <c r="G5"/>
    </row>
    <row r="6" ht="15" customHeight="true">
      <c r="A6" s="67">
        <v>5</v>
      </c>
      <c r="B6" s="110" t="s">
        <v>191</v>
      </c>
      <c r="C6" s="164">
        <v>0</v>
      </c>
      <c r="D6"/>
      <c r="E6"/>
      <c r="F6"/>
      <c r="G6"/>
    </row>
    <row r="7" ht="15" customHeight="true">
      <c r="A7" s="67">
        <v>6</v>
      </c>
      <c r="B7" s="110" t="s">
        <v>192</v>
      </c>
      <c r="C7" s="164">
        <v>0</v>
      </c>
      <c r="D7"/>
      <c r="E7"/>
      <c r="F7"/>
      <c r="G7"/>
    </row>
    <row r="8" ht="15" customHeight="true">
      <c r="A8" s="67">
        <v>7</v>
      </c>
      <c r="B8" s="110" t="s">
        <v>193</v>
      </c>
      <c r="C8" s="164">
        <v>0</v>
      </c>
      <c r="D8"/>
      <c r="E8"/>
      <c r="F8"/>
      <c r="G8"/>
    </row>
    <row r="9" ht="15" customHeight="true">
      <c r="A9" s="67">
        <v>8</v>
      </c>
      <c r="B9" s="110" t="s">
        <v>194</v>
      </c>
      <c r="C9" s="164">
        <v>0</v>
      </c>
      <c r="D9"/>
      <c r="E9"/>
      <c r="F9"/>
      <c r="G9"/>
    </row>
    <row r="10" ht="15" customHeight="true">
      <c r="A10" s="67">
        <v>9</v>
      </c>
      <c r="B10" s="110" t="s">
        <v>195</v>
      </c>
      <c r="C10" s="164">
        <v>0</v>
      </c>
      <c r="D10"/>
      <c r="E10"/>
      <c r="F10"/>
      <c r="G10"/>
    </row>
    <row r="11" ht="15" customHeight="true">
      <c r="A11" s="67">
        <v>10</v>
      </c>
      <c r="B11" s="110" t="s">
        <v>196</v>
      </c>
      <c r="C11" s="164">
        <v>0</v>
      </c>
      <c r="D11"/>
      <c r="E11"/>
      <c r="F11"/>
      <c r="G11"/>
    </row>
    <row r="12" ht="15" customHeight="true">
      <c r="A12" s="67">
        <v>11</v>
      </c>
      <c r="B12" s="110" t="s">
        <v>197</v>
      </c>
      <c r="C12" s="164">
        <v>0</v>
      </c>
      <c r="D12"/>
      <c r="E12"/>
      <c r="F12"/>
      <c r="G12"/>
    </row>
    <row r="13" ht="15" customHeight="true">
      <c r="A13" s="67">
        <v>12</v>
      </c>
      <c r="B13" s="110" t="s">
        <v>198</v>
      </c>
      <c r="C13" s="164">
        <v>0</v>
      </c>
      <c r="D13"/>
      <c r="E13"/>
      <c r="F13"/>
      <c r="G13"/>
    </row>
    <row r="14" ht="15" customHeight="true">
      <c r="A14" s="67">
        <v>13</v>
      </c>
      <c r="B14" s="110" t="s">
        <v>199</v>
      </c>
      <c r="C14" s="164">
        <v>0</v>
      </c>
      <c r="D14"/>
      <c r="E14"/>
      <c r="F14"/>
      <c r="G14"/>
    </row>
    <row r="15" ht="15" customHeight="true">
      <c r="A15" s="67">
        <v>14</v>
      </c>
      <c r="B15" s="110" t="s">
        <v>200</v>
      </c>
      <c r="C15" s="164">
        <v>0</v>
      </c>
      <c r="D15"/>
      <c r="E15"/>
      <c r="F15"/>
      <c r="G15"/>
    </row>
    <row r="16" ht="15" customHeight="true">
      <c r="A16" s="67">
        <v>15</v>
      </c>
      <c r="B16" s="110" t="s">
        <v>201</v>
      </c>
      <c r="C16" s="164">
        <v>0</v>
      </c>
      <c r="D16"/>
      <c r="E16"/>
      <c r="F16"/>
      <c r="G16"/>
    </row>
    <row r="17" ht="15" customHeight="true">
      <c r="A17" s="67">
        <v>16</v>
      </c>
      <c r="B17" s="110" t="s">
        <v>202</v>
      </c>
      <c r="C17" s="164">
        <v>0</v>
      </c>
      <c r="D17"/>
      <c r="E17"/>
      <c r="F17"/>
      <c r="G17"/>
    </row>
    <row r="18" ht="15" customHeight="true">
      <c r="A18" s="67">
        <v>17</v>
      </c>
      <c r="B18" s="110" t="s">
        <v>203</v>
      </c>
      <c r="C18" s="164">
        <v>0</v>
      </c>
      <c r="D18"/>
      <c r="E18"/>
      <c r="F18"/>
      <c r="G18"/>
    </row>
    <row r="19" ht="15" customHeight="true">
      <c r="A19" s="67">
        <v>18</v>
      </c>
      <c r="B19" s="110" t="s">
        <v>204</v>
      </c>
      <c r="C19" s="164">
        <v>0</v>
      </c>
      <c r="D19"/>
      <c r="E19"/>
      <c r="F19"/>
      <c r="G19"/>
    </row>
    <row r="20" ht="15" customHeight="true">
      <c r="A20" s="67">
        <v>19</v>
      </c>
      <c r="B20" s="110" t="s">
        <v>205</v>
      </c>
      <c r="C20" s="164">
        <v>0</v>
      </c>
      <c r="D20"/>
      <c r="E20"/>
      <c r="F20"/>
      <c r="G20"/>
    </row>
    <row r="21" ht="15" customHeight="true">
      <c r="A21" s="67">
        <v>20</v>
      </c>
      <c r="B21" s="110" t="s">
        <v>206</v>
      </c>
      <c r="C21" s="164">
        <v>0</v>
      </c>
      <c r="D21"/>
      <c r="E21"/>
      <c r="F21"/>
      <c r="G21"/>
    </row>
    <row r="22" ht="15" customHeight="true">
      <c r="A22" s="67">
        <v>21</v>
      </c>
      <c r="B22" s="110" t="s">
        <v>207</v>
      </c>
      <c r="C22" s="164">
        <v>0</v>
      </c>
      <c r="D22"/>
      <c r="E22"/>
      <c r="F22"/>
      <c r="G22"/>
    </row>
    <row r="23" ht="15" customHeight="true">
      <c r="A23" s="67">
        <v>22</v>
      </c>
      <c r="B23" s="110" t="s">
        <v>208</v>
      </c>
      <c r="C23" s="164">
        <v>0</v>
      </c>
      <c r="D23"/>
      <c r="E23"/>
      <c r="F23"/>
      <c r="G23"/>
    </row>
    <row r="24" ht="15" customHeight="true">
      <c r="A24" s="67">
        <v>23</v>
      </c>
      <c r="B24" s="110" t="s">
        <v>124</v>
      </c>
      <c r="C24" s="164">
        <v>0</v>
      </c>
      <c r="D24"/>
      <c r="E24"/>
      <c r="F24"/>
      <c r="G24"/>
    </row>
    <row r="25" ht="15" customHeight="true">
      <c r="A25" s="67">
        <v>24</v>
      </c>
      <c r="B25" s="110" t="s">
        <v>125</v>
      </c>
      <c r="C25" s="164">
        <v>0</v>
      </c>
      <c r="D25"/>
      <c r="E25"/>
      <c r="F25"/>
      <c r="G25"/>
    </row>
    <row r="26" customFormat="true" ht="14" customHeight="true"/>
    <row r="27" customFormat="true" ht="14" customHeight="true"/>
    <row r="28" customFormat="true" ht="14" customHeight="true"/>
    <row r="29" customFormat="true" ht="14" customHeight="true"/>
    <row r="30" customFormat="true" ht="14" customHeight="true"/>
    <row r="31" customFormat="true" ht="14" customHeight="true"/>
    <row r="32" customFormat="true" ht="14" customHeight="true"/>
    <row r="33" customFormat="true" ht="14" customHeight="true"/>
    <row r="34" customFormat="true" ht="14" customHeight="true"/>
    <row r="35" customFormat="true" ht="14" customHeight="true"/>
    <row r="36" customFormat="true" ht="14" customHeight="true"/>
    <row r="37" customFormat="true" ht="14" customHeight="true"/>
    <row r="38" customFormat="true" ht="14" customHeight="true"/>
    <row r="39" customFormat="true" ht="14" customHeight="true"/>
    <row r="40" customFormat="true" ht="14" customHeight="true"/>
    <row r="41" customFormat="true" ht="14" customHeight="true"/>
    <row r="42" customFormat="true" ht="14" customHeight="true"/>
    <row r="43" customFormat="true" ht="14" customHeight="true"/>
    <row r="44" customFormat="true" ht="14" customHeight="true"/>
    <row r="45" customFormat="true" ht="14" customHeight="true"/>
    <row r="46" customFormat="true" ht="14" customHeight="true"/>
    <row r="47" customFormat="true" ht="14" customHeight="true"/>
    <row r="48" customFormat="true" ht="14" customHeight="true"/>
    <row r="49" customFormat="true" ht="14" customHeight="true"/>
    <row r="50" customFormat="true" ht="14" customHeight="true"/>
    <row r="51" customFormat="true" ht="14" customHeight="true"/>
    <row r="52" customFormat="true" ht="14" customHeight="true"/>
    <row r="53" customFormat="true" ht="14" customHeight="true"/>
    <row r="54" customFormat="true" ht="14" customHeight="true"/>
    <row r="55" customFormat="true" ht="14" customHeight="true"/>
    <row r="56" customFormat="true" ht="14" customHeight="true"/>
    <row r="57" customFormat="true" ht="14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D29" sqref="D29"/>
    </sheetView>
  </sheetViews>
  <sheetFormatPr baseColWidth="10" defaultColWidth="8.83203125" defaultRowHeight="15" customHeight="true"/>
  <cols>
    <col min="1" max="1" width="8.83203125" style="44"/>
    <col min="2" max="2" width="41.83203125" style="44" bestFit="true" customWidth="true"/>
    <col min="3" max="3" width="9.33203125" style="44" bestFit="true" customWidth="true"/>
    <col min="4" max="4" width="13" style="44" bestFit="true" customWidth="true"/>
    <col min="5" max="6" width="9.33203125" style="44" bestFit="true" customWidth="true"/>
    <col min="7" max="7" width="9.33203125" style="45" bestFit="true" customWidth="true"/>
    <col min="8" max="8" width="9.33203125" style="44" bestFit="true" customWidth="true"/>
    <col min="9" max="9" width="11" style="44" customWidth="true"/>
    <col min="10" max="10" width="8.83203125" style="44"/>
    <col min="15" max="16384" width="8.83203125" style="44"/>
  </cols>
  <sheetData>
    <row r="1" ht="15" customHeight="true">
      <c r="A1" s="2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26" t="s">
        <v>15</v>
      </c>
      <c r="H1" s="1" t="s">
        <v>27</v>
      </c>
      <c r="I1" s="1" t="s">
        <v>25</v>
      </c>
    </row>
    <row r="2" ht="15" customHeight="true">
      <c r="A2" s="168">
        <v>1</v>
      </c>
      <c r="B2" s="168" t="s">
        <v>182</v>
      </c>
      <c r="C2" s="4">
        <v>3.462794303894043</v>
      </c>
      <c r="D2" s="5">
        <v>5.9999998658895493E-2</v>
      </c>
      <c r="E2" s="5">
        <v>9.0000003576278687E-2</v>
      </c>
      <c r="F2" s="5">
        <v>50</v>
      </c>
      <c r="G2" s="3">
        <v>0</v>
      </c>
      <c r="H2" s="3">
        <v>1.8000000854954123E-3</v>
      </c>
      <c r="I2">
        <v>0</v>
      </c>
      <c r="J2"/>
    </row>
    <row r="3" ht="15" customHeight="true">
      <c r="A3" s="169">
        <v>2</v>
      </c>
      <c r="B3" s="169" t="s">
        <v>188</v>
      </c>
      <c r="C3" s="4">
        <v>3.8011951446533203</v>
      </c>
      <c r="D3" s="5">
        <v>5.9999998658895493E-2</v>
      </c>
      <c r="E3" s="5">
        <v>0.60000002384185791</v>
      </c>
      <c r="F3" s="5">
        <v>7</v>
      </c>
      <c r="G3" s="3">
        <v>0.49999997019767761</v>
      </c>
      <c r="H3" s="3">
        <v>8.5714288055896759E-2</v>
      </c>
      <c r="I3">
        <v>1.7999999225139618E-2</v>
      </c>
      <c r="J3"/>
    </row>
    <row r="4" ht="15" customHeight="true">
      <c r="A4" s="170">
        <v>3</v>
      </c>
      <c r="B4" s="170" t="s">
        <v>189</v>
      </c>
      <c r="C4" s="4">
        <v>3.7349722385406494</v>
      </c>
      <c r="D4" s="5">
        <v>7.0000000298023224E-2</v>
      </c>
      <c r="E4" s="5">
        <v>0.75</v>
      </c>
      <c r="F4" s="5">
        <v>4</v>
      </c>
      <c r="G4" s="3">
        <v>0.56000000238418579</v>
      </c>
      <c r="H4" s="3">
        <v>0.1875</v>
      </c>
      <c r="I4">
        <v>2.8000000864267349E-2</v>
      </c>
      <c r="J4"/>
    </row>
    <row r="5" ht="15" customHeight="true">
      <c r="A5" s="171">
        <v>4</v>
      </c>
      <c r="B5" s="171" t="s">
        <v>190</v>
      </c>
      <c r="C5" s="4">
        <v>3.6642184257507324</v>
      </c>
      <c r="D5" s="5">
        <v>0.34999999403953552</v>
      </c>
      <c r="E5" s="5">
        <v>0.69999998807907104</v>
      </c>
      <c r="F5" s="5">
        <v>4</v>
      </c>
      <c r="G5" s="3">
        <v>0.53877550363540649</v>
      </c>
      <c r="H5" s="3">
        <v>0.17499999701976776</v>
      </c>
      <c r="I5">
        <v>0.13199999928474426</v>
      </c>
      <c r="J5"/>
    </row>
    <row r="6" ht="15" customHeight="true">
      <c r="A6" s="172">
        <v>5</v>
      </c>
      <c r="B6" s="172" t="s">
        <v>191</v>
      </c>
      <c r="C6" s="4">
        <v>3.3121423721313477</v>
      </c>
      <c r="D6" s="5">
        <v>0.44999998807907104</v>
      </c>
      <c r="E6" s="5">
        <v>0.80000001192092896</v>
      </c>
      <c r="F6" s="5">
        <v>6</v>
      </c>
      <c r="G6" s="3">
        <v>0.56111115217208862</v>
      </c>
      <c r="H6" s="3">
        <v>0.13333334028720856</v>
      </c>
      <c r="I6">
        <v>0.17100000381469727</v>
      </c>
      <c r="J6"/>
    </row>
    <row r="7" ht="15" customHeight="true">
      <c r="A7" s="173">
        <v>6</v>
      </c>
      <c r="B7" s="173" t="s">
        <v>192</v>
      </c>
      <c r="C7" s="4">
        <v>3.2798852920532227</v>
      </c>
      <c r="D7" s="5">
        <v>0.17000000178813934</v>
      </c>
      <c r="E7" s="5">
        <v>0.5</v>
      </c>
      <c r="F7" s="5">
        <v>5</v>
      </c>
      <c r="G7" s="3">
        <v>0.73882347345352173</v>
      </c>
      <c r="H7" s="3">
        <v>0.10000000149011612</v>
      </c>
      <c r="I7">
        <v>1.0999999940395355E-2</v>
      </c>
      <c r="J7"/>
    </row>
    <row r="8" ht="15" customHeight="true">
      <c r="A8" s="174">
        <v>7</v>
      </c>
      <c r="B8" s="174" t="s">
        <v>193</v>
      </c>
      <c r="C8" s="4">
        <v>3.4836914539337158</v>
      </c>
      <c r="D8" s="5">
        <v>0.5</v>
      </c>
      <c r="E8" s="5">
        <v>0.75</v>
      </c>
      <c r="F8" s="5">
        <v>6</v>
      </c>
      <c r="G8" s="3">
        <v>0.99599993228912354</v>
      </c>
      <c r="H8" s="3">
        <v>0.125</v>
      </c>
      <c r="I8">
        <v>6.1999998986721039E-2</v>
      </c>
      <c r="J8"/>
    </row>
    <row r="9" ht="15" customHeight="true">
      <c r="A9" s="175">
        <v>8</v>
      </c>
      <c r="B9" s="175" t="s">
        <v>194</v>
      </c>
      <c r="C9" s="4">
        <v>3.3759682178497314</v>
      </c>
      <c r="D9" s="5">
        <v>0.69999998807907104</v>
      </c>
      <c r="E9" s="5">
        <v>0.89999997615814209</v>
      </c>
      <c r="F9" s="5">
        <v>5</v>
      </c>
      <c r="G9" s="3">
        <v>0.97777783870697021</v>
      </c>
      <c r="H9" s="3">
        <v>0.17999999225139618</v>
      </c>
      <c r="I9">
        <v>0.20100000500679016</v>
      </c>
      <c r="J9"/>
    </row>
    <row r="10" ht="15" customHeight="true">
      <c r="A10" s="176">
        <v>9</v>
      </c>
      <c r="B10" s="176" t="s">
        <v>195</v>
      </c>
      <c r="C10" s="4">
        <v>3.2913265228271484</v>
      </c>
      <c r="D10" s="5">
        <v>0.30000001192092896</v>
      </c>
      <c r="E10" s="5">
        <v>4</v>
      </c>
      <c r="F10" s="5">
        <v>15</v>
      </c>
      <c r="G10" s="3">
        <v>0.83708328008651733</v>
      </c>
      <c r="H10" s="3">
        <v>0.26666668057441711</v>
      </c>
      <c r="I10">
        <v>9.9999997764825821E-3</v>
      </c>
      <c r="J10"/>
    </row>
    <row r="11" ht="15" customHeight="true">
      <c r="A11" s="177">
        <v>10</v>
      </c>
      <c r="B11" s="177" t="s">
        <v>196</v>
      </c>
      <c r="C11" s="4">
        <v>3.3483381271362305</v>
      </c>
      <c r="D11" s="5">
        <v>0.10000000149011612</v>
      </c>
      <c r="E11" s="5">
        <v>1.5</v>
      </c>
      <c r="F11" s="5">
        <v>10</v>
      </c>
      <c r="G11" s="3">
        <v>0.6679999828338623</v>
      </c>
      <c r="H11" s="3">
        <v>0.15000000596046448</v>
      </c>
      <c r="I11">
        <v>3.0000000260770321E-3</v>
      </c>
      <c r="J11"/>
    </row>
    <row r="12" ht="15" customHeight="true">
      <c r="A12" s="178">
        <v>11</v>
      </c>
      <c r="B12" s="178" t="s">
        <v>197</v>
      </c>
      <c r="C12" s="4">
        <v>3.2618334293365479</v>
      </c>
      <c r="D12" s="5">
        <v>0.20000000298023224</v>
      </c>
      <c r="E12" s="5">
        <v>1.7999999523162842</v>
      </c>
      <c r="F12" s="5">
        <v>7</v>
      </c>
      <c r="G12" s="3">
        <v>0.69333332777023315</v>
      </c>
      <c r="H12" s="3">
        <v>0.25714284181594849</v>
      </c>
      <c r="I12">
        <v>1.9999999552965164E-2</v>
      </c>
      <c r="J12"/>
    </row>
    <row r="13" ht="15" customHeight="true">
      <c r="A13" s="179">
        <v>12</v>
      </c>
      <c r="B13" s="179" t="s">
        <v>198</v>
      </c>
      <c r="C13" s="4">
        <v>2.8827779293060303</v>
      </c>
      <c r="D13" s="5">
        <v>1.2000000476837158</v>
      </c>
      <c r="E13" s="5">
        <v>2.5</v>
      </c>
      <c r="F13" s="5">
        <v>10</v>
      </c>
      <c r="G13" s="3">
        <v>0.8190000057220459</v>
      </c>
      <c r="H13" s="3">
        <v>0.25</v>
      </c>
      <c r="I13">
        <v>0.98400002717971802</v>
      </c>
      <c r="J13"/>
    </row>
    <row r="14" ht="15" customHeight="true">
      <c r="A14" s="180">
        <v>13</v>
      </c>
      <c r="B14" s="180" t="s">
        <v>199</v>
      </c>
      <c r="C14" s="4">
        <v>2.5555555820465088</v>
      </c>
      <c r="D14" s="5">
        <v>1.5</v>
      </c>
      <c r="E14" s="5">
        <v>4</v>
      </c>
      <c r="F14" s="5">
        <v>20</v>
      </c>
      <c r="G14" s="3">
        <v>0.94249999523162842</v>
      </c>
      <c r="H14" s="3">
        <v>0.20000000298023224</v>
      </c>
      <c r="I14">
        <v>1.5110000371932983</v>
      </c>
      <c r="J14"/>
    </row>
    <row r="15" ht="15" customHeight="true">
      <c r="A15" s="181">
        <v>14</v>
      </c>
      <c r="B15" s="181" t="s">
        <v>200</v>
      </c>
      <c r="C15" s="4">
        <v>2.7716667652130127</v>
      </c>
      <c r="D15" s="5">
        <v>0.69999998807907104</v>
      </c>
      <c r="E15" s="5">
        <v>3.5</v>
      </c>
      <c r="F15" s="5">
        <v>12</v>
      </c>
      <c r="G15" s="3">
        <v>0.7361224889755249</v>
      </c>
      <c r="H15" s="3">
        <v>0.2916666567325592</v>
      </c>
      <c r="I15">
        <v>1.9999999552965164E-2</v>
      </c>
      <c r="J15"/>
    </row>
    <row r="16" ht="15" customHeight="true">
      <c r="A16" s="182">
        <v>15</v>
      </c>
      <c r="B16" s="182" t="s">
        <v>201</v>
      </c>
      <c r="C16" s="4">
        <v>2.0555555820465088</v>
      </c>
      <c r="D16" s="5">
        <v>5</v>
      </c>
      <c r="E16" s="5">
        <v>4</v>
      </c>
      <c r="F16" s="5">
        <v>20</v>
      </c>
      <c r="G16" s="3">
        <v>0.69692504405975342</v>
      </c>
      <c r="H16" s="3">
        <v>0.20000000298023224</v>
      </c>
      <c r="I16">
        <v>4.999999888241291E-3</v>
      </c>
      <c r="J16"/>
    </row>
    <row r="17" ht="15" customHeight="true">
      <c r="A17" s="183">
        <v>16</v>
      </c>
      <c r="B17" s="183" t="s">
        <v>202</v>
      </c>
      <c r="C17" s="4">
        <v>2.0555555820465088</v>
      </c>
      <c r="D17" s="5">
        <v>1</v>
      </c>
      <c r="E17" s="5">
        <v>10</v>
      </c>
      <c r="F17" s="5">
        <v>60</v>
      </c>
      <c r="G17" s="3">
        <v>0.68799996376037598</v>
      </c>
      <c r="H17" s="3">
        <v>0.1666666716337204</v>
      </c>
      <c r="I17">
        <v>0</v>
      </c>
      <c r="J17"/>
    </row>
    <row r="18" ht="15" customHeight="true">
      <c r="A18" s="184">
        <v>17</v>
      </c>
      <c r="B18" s="184" t="s">
        <v>203</v>
      </c>
      <c r="C18" s="4">
        <v>2.3277778625488281</v>
      </c>
      <c r="D18" s="5">
        <v>0.69999998807907104</v>
      </c>
      <c r="E18" s="5">
        <v>7.5</v>
      </c>
      <c r="F18" s="5">
        <v>26</v>
      </c>
      <c r="G18" s="3">
        <v>0.8650476336479187</v>
      </c>
      <c r="H18" s="3">
        <v>0.28846153616905212</v>
      </c>
      <c r="I18">
        <v>0.31000000238418579</v>
      </c>
      <c r="J18"/>
    </row>
    <row r="19" ht="15" customHeight="true">
      <c r="A19" s="185">
        <v>18</v>
      </c>
      <c r="B19" s="185" t="s">
        <v>204</v>
      </c>
      <c r="C19" s="4">
        <v>2.1111111640930176</v>
      </c>
      <c r="D19" s="5">
        <v>4</v>
      </c>
      <c r="E19" s="5">
        <v>30</v>
      </c>
      <c r="F19" s="5">
        <v>150</v>
      </c>
      <c r="G19" s="3">
        <v>0.75824999809265137</v>
      </c>
      <c r="H19" s="3">
        <v>0.20000000298023224</v>
      </c>
      <c r="I19">
        <v>0</v>
      </c>
      <c r="J19"/>
    </row>
    <row r="20" ht="15" customHeight="true">
      <c r="A20" s="186">
        <v>19</v>
      </c>
      <c r="B20" s="186" t="s">
        <v>205</v>
      </c>
      <c r="C20" s="4">
        <v>1</v>
      </c>
      <c r="D20" s="5">
        <v>15</v>
      </c>
      <c r="E20" s="5">
        <v>200</v>
      </c>
      <c r="F20" s="6"/>
      <c r="G20" s="3">
        <v>0.18783999979496002</v>
      </c>
      <c r="H20" s="6"/>
      <c r="I20">
        <v>0</v>
      </c>
      <c r="J20"/>
    </row>
    <row r="21" ht="15" customHeight="true">
      <c r="A21" s="187">
        <v>20</v>
      </c>
      <c r="B21" s="187" t="s">
        <v>206</v>
      </c>
      <c r="C21" s="4">
        <v>1</v>
      </c>
      <c r="D21" s="5">
        <v>90</v>
      </c>
      <c r="E21" s="5">
        <v>0.2199999988079071</v>
      </c>
      <c r="F21" s="6"/>
      <c r="G21" s="3">
        <v>0.38585859537124634</v>
      </c>
      <c r="H21" s="6"/>
      <c r="I21">
        <v>0</v>
      </c>
      <c r="J21"/>
    </row>
    <row r="22" ht="15" customHeight="true">
      <c r="A22" s="188">
        <v>21</v>
      </c>
      <c r="B22" s="188" t="s">
        <v>207</v>
      </c>
      <c r="C22" s="4">
        <v>1</v>
      </c>
      <c r="D22" s="5">
        <v>0.5</v>
      </c>
      <c r="E22" s="5">
        <v>125</v>
      </c>
      <c r="F22" s="6"/>
      <c r="G22" s="3">
        <v>0.38591998815536499</v>
      </c>
      <c r="H22" s="6"/>
      <c r="I22">
        <v>0</v>
      </c>
      <c r="J22"/>
    </row>
    <row r="23" ht="15" customHeight="true">
      <c r="A23" s="189">
        <v>22</v>
      </c>
      <c r="B23" s="189" t="s">
        <v>208</v>
      </c>
      <c r="C23" s="4">
        <v>1</v>
      </c>
      <c r="D23" s="5">
        <v>0.10000000149011612</v>
      </c>
      <c r="E23" s="6"/>
      <c r="F23" s="6"/>
      <c r="G23" s="3">
        <v>4.8105370253324509E-2</v>
      </c>
      <c r="H23" s="6"/>
      <c r="I23">
        <v>0</v>
      </c>
      <c r="J23"/>
    </row>
    <row r="24" ht="15" customHeight="true">
      <c r="A24" s="190">
        <v>23</v>
      </c>
      <c r="B24" s="190" t="s">
        <v>124</v>
      </c>
      <c r="C24" s="4">
        <v>1</v>
      </c>
      <c r="D24" s="5">
        <v>1</v>
      </c>
      <c r="E24" s="6"/>
      <c r="F24" s="6"/>
      <c r="G24" s="3">
        <v>0</v>
      </c>
      <c r="H24" s="6"/>
      <c r="I24">
        <v>0</v>
      </c>
      <c r="J24"/>
    </row>
    <row r="25" ht="15" customHeight="true">
      <c r="A25" s="191">
        <v>24</v>
      </c>
      <c r="B25" s="191" t="s">
        <v>125</v>
      </c>
      <c r="C25" s="4">
        <v>1</v>
      </c>
      <c r="D25" s="5">
        <v>1</v>
      </c>
      <c r="E25" s="6"/>
      <c r="F25" s="6"/>
      <c r="G25" s="3">
        <v>65535</v>
      </c>
      <c r="H25" s="6"/>
      <c r="I25">
        <v>0</v>
      </c>
      <c r="J25"/>
    </row>
    <row r="26" ht="15" customHeight="true">
      <c r="A26" s="192">
        <v>25</v>
      </c>
      <c r="B26" s="192" t="s">
        <v>209</v>
      </c>
      <c r="C26" s="4">
        <v>3.7961292266845703</v>
      </c>
      <c r="D26" s="6"/>
      <c r="E26" s="6"/>
      <c r="F26" s="6"/>
      <c r="G26" s="6"/>
      <c r="H26" s="6"/>
      <c r="I26">
        <v>3.4860000610351562</v>
      </c>
      <c r="J26"/>
    </row>
    <row r="27" ht="15" customHeight="true">
      <c r="A27"/>
      <c r="B27"/>
      <c r="C27"/>
      <c r="D27"/>
      <c r="E27"/>
      <c r="F27"/>
      <c r="G27"/>
      <c r="H27"/>
      <c r="I27"/>
      <c r="J27"/>
    </row>
    <row r="28" ht="15" customHeight="true">
      <c r="A28"/>
      <c r="B28"/>
      <c r="C28"/>
      <c r="D28"/>
      <c r="E28"/>
      <c r="F28"/>
      <c r="G28"/>
      <c r="H28"/>
      <c r="I28"/>
      <c r="J28"/>
    </row>
    <row r="29" ht="15" customHeight="true">
      <c r="A29"/>
      <c r="B29"/>
      <c r="C29"/>
      <c r="D29"/>
      <c r="E29"/>
      <c r="F29"/>
      <c r="G29"/>
      <c r="H29"/>
      <c r="I29"/>
      <c r="J29"/>
    </row>
    <row r="30" ht="15" customHeight="true">
      <c r="A30"/>
      <c r="B30"/>
      <c r="C30"/>
      <c r="D30"/>
      <c r="E30"/>
      <c r="F30"/>
      <c r="G30"/>
      <c r="H30"/>
      <c r="I30"/>
      <c r="J30"/>
    </row>
    <row r="31" ht="15" customHeight="true">
      <c r="A31"/>
      <c r="B31"/>
      <c r="C31"/>
      <c r="D31"/>
      <c r="E31"/>
      <c r="F31"/>
      <c r="G31"/>
      <c r="H31"/>
      <c r="I31"/>
      <c r="J31"/>
    </row>
    <row r="32" ht="15" customHeight="true">
      <c r="A32"/>
      <c r="B32"/>
      <c r="C32"/>
      <c r="D32"/>
      <c r="E32"/>
      <c r="F32"/>
      <c r="G32"/>
      <c r="H32"/>
      <c r="I32"/>
      <c r="J32"/>
    </row>
    <row r="33" ht="15" customHeight="true">
      <c r="A33"/>
      <c r="B33"/>
      <c r="C33"/>
      <c r="D33"/>
      <c r="E33"/>
      <c r="F33"/>
      <c r="G33"/>
      <c r="H33"/>
      <c r="I33"/>
      <c r="J33"/>
    </row>
    <row r="34" ht="15" customHeight="true">
      <c r="A34"/>
      <c r="B34"/>
      <c r="C34"/>
      <c r="D34"/>
      <c r="E34"/>
      <c r="F34"/>
      <c r="G34"/>
      <c r="H34"/>
      <c r="I34"/>
      <c r="J34"/>
    </row>
    <row r="35" ht="15" customHeight="true">
      <c r="A35"/>
      <c r="B35"/>
      <c r="C35"/>
      <c r="D35"/>
      <c r="E35"/>
      <c r="F35"/>
      <c r="G35"/>
      <c r="H35"/>
      <c r="I35"/>
      <c r="J35"/>
    </row>
    <row r="36" ht="15" customHeight="true">
      <c r="A36"/>
      <c r="B36"/>
      <c r="C36"/>
      <c r="D36"/>
      <c r="E36"/>
      <c r="F36"/>
      <c r="G36"/>
      <c r="H36"/>
      <c r="I36"/>
      <c r="J36"/>
    </row>
    <row r="37" ht="15" customHeight="true">
      <c r="A37"/>
      <c r="B37"/>
      <c r="C37"/>
      <c r="D37"/>
      <c r="E37"/>
      <c r="F37"/>
      <c r="G37"/>
      <c r="H37"/>
      <c r="I37"/>
      <c r="J37"/>
    </row>
    <row r="38" ht="15" customHeight="true">
      <c r="A38"/>
      <c r="B38"/>
      <c r="C38"/>
      <c r="D38"/>
      <c r="E38"/>
      <c r="F38"/>
      <c r="G38"/>
      <c r="H38"/>
      <c r="I38"/>
      <c r="J38"/>
    </row>
    <row r="39" ht="15" customHeight="true">
      <c r="A39"/>
      <c r="B39"/>
      <c r="C39"/>
      <c r="D39"/>
      <c r="E39"/>
      <c r="F39"/>
      <c r="G39"/>
      <c r="H39"/>
      <c r="I39"/>
      <c r="J39"/>
    </row>
    <row r="40" ht="15" customHeight="true">
      <c r="A40"/>
      <c r="B40"/>
      <c r="C40"/>
      <c r="D40"/>
      <c r="E40"/>
      <c r="F40"/>
      <c r="G40"/>
      <c r="H40"/>
      <c r="I40"/>
      <c r="J40"/>
    </row>
    <row r="41" ht="15" customHeight="true">
      <c r="A41"/>
      <c r="B41"/>
      <c r="C41"/>
      <c r="D41"/>
      <c r="E41"/>
      <c r="F41"/>
      <c r="G41"/>
      <c r="H41"/>
      <c r="I41"/>
      <c r="J41"/>
    </row>
    <row r="42" ht="15" customHeight="true">
      <c r="A42"/>
      <c r="B42"/>
      <c r="C42"/>
      <c r="D42"/>
      <c r="E42"/>
      <c r="F42"/>
      <c r="G42"/>
      <c r="H42"/>
      <c r="I42"/>
      <c r="J42"/>
    </row>
    <row r="43" ht="15" customHeight="true">
      <c r="A43"/>
      <c r="B43"/>
      <c r="C43"/>
      <c r="D43"/>
      <c r="E43"/>
      <c r="F43"/>
      <c r="G43"/>
      <c r="H43"/>
      <c r="I43"/>
      <c r="J43"/>
    </row>
    <row r="44" ht="15" customHeight="true">
      <c r="A44"/>
      <c r="B44"/>
      <c r="C44"/>
      <c r="D44"/>
      <c r="E44"/>
      <c r="F44"/>
      <c r="G44"/>
      <c r="H44"/>
      <c r="I44"/>
      <c r="J44"/>
    </row>
    <row r="45" ht="15" customHeight="true">
      <c r="A45"/>
      <c r="B45"/>
      <c r="C45"/>
      <c r="D45"/>
      <c r="E45"/>
      <c r="F45"/>
      <c r="G45"/>
      <c r="H45"/>
      <c r="I45"/>
      <c r="J45"/>
    </row>
    <row r="46" ht="15" customHeight="true">
      <c r="A46"/>
      <c r="B46"/>
      <c r="C46"/>
      <c r="D46"/>
      <c r="E46"/>
      <c r="F46"/>
      <c r="G46"/>
      <c r="H46"/>
      <c r="I46"/>
      <c r="J46"/>
    </row>
    <row r="47" ht="15" customHeight="true">
      <c r="A47"/>
      <c r="B47"/>
      <c r="C47"/>
      <c r="D47"/>
      <c r="E47"/>
      <c r="F47"/>
      <c r="G47"/>
      <c r="H47"/>
      <c r="I47"/>
      <c r="J47"/>
    </row>
    <row r="48" ht="15" customHeight="true">
      <c r="A48"/>
      <c r="B48"/>
      <c r="C48"/>
      <c r="D48"/>
      <c r="E48"/>
      <c r="F48"/>
      <c r="G48"/>
      <c r="H48"/>
      <c r="I48"/>
      <c r="J48"/>
    </row>
    <row r="49" ht="15" customHeight="true">
      <c r="A49"/>
      <c r="B49"/>
      <c r="C49"/>
      <c r="D49"/>
      <c r="E49"/>
      <c r="F49"/>
      <c r="G49"/>
      <c r="H49"/>
      <c r="I49"/>
      <c r="J49"/>
    </row>
    <row r="50" ht="15" customHeight="true">
      <c r="A50"/>
      <c r="B50"/>
      <c r="C50"/>
      <c r="D50"/>
      <c r="E50"/>
      <c r="F50"/>
      <c r="G50"/>
      <c r="H50"/>
      <c r="I50"/>
      <c r="J50"/>
    </row>
    <row r="51" ht="15" customHeight="true">
      <c r="A51"/>
      <c r="B51"/>
      <c r="C51"/>
      <c r="D51"/>
      <c r="E51"/>
      <c r="F51"/>
      <c r="G51"/>
      <c r="H51"/>
      <c r="I51"/>
      <c r="J51"/>
    </row>
    <row r="52" ht="15" customHeight="true">
      <c r="A52"/>
      <c r="B52"/>
      <c r="C52"/>
      <c r="D52"/>
      <c r="E52"/>
      <c r="F52"/>
      <c r="G52"/>
      <c r="H52"/>
      <c r="I52"/>
      <c r="J52"/>
    </row>
    <row r="53" ht="15" customHeight="true">
      <c r="A53"/>
      <c r="B53"/>
      <c r="C53"/>
      <c r="D53"/>
      <c r="E53"/>
      <c r="F53"/>
      <c r="G53"/>
      <c r="H53"/>
      <c r="I53"/>
      <c r="J53"/>
    </row>
    <row r="54" ht="15" customHeight="true">
      <c r="A54"/>
      <c r="B54"/>
      <c r="C54"/>
      <c r="D54"/>
      <c r="E54"/>
      <c r="F54"/>
      <c r="G54"/>
      <c r="H54"/>
      <c r="I54"/>
      <c r="J54"/>
    </row>
    <row r="55" ht="15" customHeight="true">
      <c r="A55"/>
      <c r="B55"/>
      <c r="C55"/>
      <c r="D55"/>
      <c r="E55"/>
      <c r="F55"/>
      <c r="G55"/>
      <c r="H55"/>
      <c r="I55"/>
      <c r="J55"/>
    </row>
    <row r="56" ht="15" customHeight="true">
      <c r="A56"/>
      <c r="B56"/>
      <c r="C56"/>
      <c r="D56"/>
      <c r="E56"/>
      <c r="F56"/>
      <c r="G56"/>
      <c r="H56"/>
      <c r="I56"/>
      <c r="J56"/>
    </row>
    <row r="57" ht="15" customHeight="true">
      <c r="A57"/>
      <c r="B57"/>
      <c r="C57"/>
      <c r="D57"/>
      <c r="E57"/>
      <c r="F57"/>
      <c r="G57"/>
      <c r="H57"/>
      <c r="I57"/>
      <c r="J57"/>
    </row>
    <row r="58" ht="15" customHeight="true">
      <c r="A58"/>
      <c r="B58"/>
      <c r="C58"/>
      <c r="D58"/>
      <c r="E58"/>
      <c r="F58"/>
      <c r="G58"/>
      <c r="H58"/>
      <c r="I58"/>
      <c r="J58"/>
    </row>
    <row r="59" ht="15" customHeight="true">
      <c r="A59"/>
      <c r="B59"/>
      <c r="C59"/>
      <c r="D59"/>
      <c r="E59"/>
      <c r="F59"/>
      <c r="G59"/>
      <c r="H59"/>
      <c r="I59"/>
      <c r="J59"/>
    </row>
    <row r="60" ht="15" customHeight="true">
      <c r="A60"/>
      <c r="B60"/>
      <c r="C60"/>
      <c r="D60"/>
      <c r="E60"/>
      <c r="F60"/>
      <c r="G60"/>
      <c r="H60"/>
      <c r="I60"/>
      <c r="J60"/>
    </row>
    <row r="61" ht="15" customHeight="true">
      <c r="A61"/>
      <c r="B61"/>
      <c r="C61"/>
      <c r="D61"/>
      <c r="E61"/>
      <c r="F61"/>
      <c r="G61"/>
      <c r="H61"/>
      <c r="I61"/>
      <c r="J61"/>
    </row>
    <row r="62" ht="15" customHeight="true">
      <c r="A62"/>
      <c r="B62"/>
      <c r="C62"/>
      <c r="D62"/>
      <c r="E62"/>
      <c r="F62"/>
      <c r="G62"/>
      <c r="H62"/>
      <c r="I62"/>
      <c r="J62"/>
    </row>
    <row r="63" ht="15" customHeight="true">
      <c r="A63"/>
      <c r="B63"/>
      <c r="C63"/>
      <c r="D63"/>
      <c r="E63"/>
      <c r="F63"/>
      <c r="G63"/>
      <c r="H63"/>
      <c r="I63"/>
      <c r="J63"/>
    </row>
    <row r="64" ht="15" customHeight="true">
      <c r="A64"/>
      <c r="B64"/>
      <c r="C64"/>
      <c r="D64"/>
      <c r="E64"/>
      <c r="F64"/>
      <c r="G64"/>
      <c r="H64"/>
      <c r="I64"/>
      <c r="J64"/>
    </row>
    <row r="65" ht="15" customHeight="true">
      <c r="A65"/>
      <c r="B65"/>
      <c r="C65"/>
      <c r="D65"/>
      <c r="E65"/>
      <c r="F65"/>
      <c r="G65"/>
      <c r="H65"/>
      <c r="I65"/>
      <c r="J65"/>
    </row>
    <row r="66" ht="15" customHeight="true">
      <c r="A66"/>
      <c r="B66"/>
      <c r="C66"/>
      <c r="D66"/>
      <c r="E66"/>
      <c r="F66"/>
      <c r="G66"/>
      <c r="H66"/>
      <c r="I66"/>
      <c r="J66"/>
    </row>
    <row r="67" ht="15" customHeight="true">
      <c r="A67"/>
      <c r="B67"/>
      <c r="C67"/>
      <c r="D67"/>
      <c r="E67"/>
      <c r="F67"/>
      <c r="G67"/>
      <c r="H67"/>
      <c r="I67"/>
      <c r="J67"/>
    </row>
    <row r="68" ht="15" customHeight="true">
      <c r="A68"/>
      <c r="B68"/>
      <c r="C68"/>
      <c r="D68"/>
      <c r="E68"/>
      <c r="F68"/>
      <c r="G68"/>
      <c r="H68"/>
      <c r="I68"/>
      <c r="J68"/>
    </row>
    <row r="69" ht="15" customHeight="true">
      <c r="A69"/>
      <c r="B69"/>
      <c r="C69"/>
      <c r="D69"/>
      <c r="E69"/>
      <c r="F69"/>
      <c r="G69"/>
      <c r="H69"/>
      <c r="I69"/>
      <c r="J69"/>
    </row>
    <row r="70" ht="15" customHeight="true">
      <c r="A70"/>
      <c r="B70"/>
      <c r="C70"/>
      <c r="D70"/>
      <c r="E70"/>
      <c r="F70"/>
      <c r="G70"/>
      <c r="H70"/>
      <c r="I70"/>
      <c r="J70"/>
    </row>
    <row r="71" ht="15" customHeight="true">
      <c r="A71"/>
      <c r="B71"/>
      <c r="C71"/>
      <c r="D71"/>
      <c r="E71"/>
      <c r="F71"/>
      <c r="G71"/>
      <c r="H71"/>
      <c r="I71"/>
      <c r="J71"/>
    </row>
    <row r="72" ht="15" customHeight="true">
      <c r="A72"/>
      <c r="B72"/>
      <c r="C72"/>
      <c r="D72"/>
      <c r="E72"/>
      <c r="F72"/>
      <c r="G72"/>
      <c r="H72"/>
      <c r="I72"/>
      <c r="J72"/>
    </row>
    <row r="73" ht="15" customHeight="true">
      <c r="A73"/>
      <c r="B73"/>
      <c r="C73"/>
      <c r="D73"/>
      <c r="E73"/>
      <c r="F73"/>
      <c r="G73"/>
      <c r="H73"/>
      <c r="I73"/>
      <c r="J73"/>
    </row>
    <row r="74" ht="15" customHeight="true">
      <c r="A74"/>
      <c r="B74"/>
      <c r="C74"/>
      <c r="D74"/>
      <c r="E74"/>
      <c r="F74"/>
      <c r="G74"/>
      <c r="H74"/>
      <c r="I74"/>
      <c r="J74"/>
    </row>
    <row r="75" ht="15" customHeight="true">
      <c r="A75"/>
      <c r="B75"/>
      <c r="C75"/>
      <c r="D75"/>
      <c r="E75"/>
      <c r="F75"/>
      <c r="G75"/>
      <c r="H75"/>
      <c r="I75"/>
      <c r="J75"/>
    </row>
    <row r="76" ht="15" customHeight="true">
      <c r="A76"/>
      <c r="B76"/>
      <c r="C76"/>
      <c r="D76"/>
      <c r="E76"/>
      <c r="F76"/>
      <c r="G76"/>
      <c r="H76"/>
      <c r="I76"/>
      <c r="J76"/>
    </row>
    <row r="77" ht="15" customHeight="true">
      <c r="A77"/>
      <c r="B77"/>
      <c r="C77"/>
      <c r="D77"/>
      <c r="E77"/>
      <c r="F77"/>
      <c r="G77"/>
      <c r="H77"/>
      <c r="I77"/>
      <c r="J77"/>
    </row>
    <row r="78" ht="15" customHeight="true">
      <c r="A78"/>
      <c r="B78"/>
      <c r="C78"/>
      <c r="D78"/>
      <c r="E78"/>
      <c r="F78"/>
      <c r="G78"/>
      <c r="H78"/>
      <c r="I78"/>
      <c r="J78"/>
    </row>
    <row r="79" ht="15" customHeight="true">
      <c r="A79"/>
      <c r="B79"/>
      <c r="C79"/>
      <c r="D79"/>
      <c r="E79"/>
      <c r="F79"/>
      <c r="G79"/>
      <c r="H79"/>
      <c r="I79"/>
      <c r="J79"/>
    </row>
    <row r="80" ht="15" customHeight="true">
      <c r="A80"/>
      <c r="B80"/>
      <c r="C80"/>
      <c r="D80"/>
      <c r="E80"/>
      <c r="F80"/>
      <c r="G80"/>
      <c r="H80"/>
      <c r="I80"/>
      <c r="J80"/>
    </row>
    <row r="81" ht="15" customHeight="true">
      <c r="A81"/>
      <c r="B81"/>
      <c r="C81"/>
      <c r="D81"/>
      <c r="E81"/>
      <c r="F81"/>
      <c r="G81"/>
      <c r="H81"/>
      <c r="I81"/>
      <c r="J81"/>
    </row>
    <row r="82" ht="15" customHeight="true">
      <c r="A82"/>
      <c r="B82"/>
      <c r="C82"/>
      <c r="D82"/>
      <c r="E82"/>
      <c r="F82"/>
      <c r="G82"/>
      <c r="H82"/>
      <c r="I82"/>
      <c r="J82"/>
    </row>
    <row r="83" ht="15" customHeight="true">
      <c r="A83"/>
      <c r="B83"/>
      <c r="C83"/>
      <c r="D83"/>
      <c r="E83"/>
      <c r="F83"/>
      <c r="G83"/>
      <c r="H83"/>
      <c r="I83"/>
      <c r="J83"/>
    </row>
    <row r="84" ht="15" customHeight="true">
      <c r="A84"/>
      <c r="B84"/>
      <c r="C84"/>
      <c r="D84"/>
      <c r="E84"/>
      <c r="F84"/>
      <c r="G84"/>
      <c r="H84"/>
      <c r="I84"/>
      <c r="J84"/>
    </row>
    <row r="85" ht="15" customHeight="true">
      <c r="A85"/>
      <c r="B85"/>
      <c r="C85"/>
      <c r="D85"/>
      <c r="E85"/>
      <c r="F85"/>
      <c r="G85"/>
      <c r="H85"/>
      <c r="I85"/>
      <c r="J85"/>
    </row>
    <row r="86" ht="15" customHeight="true">
      <c r="A86"/>
      <c r="B86"/>
      <c r="C86"/>
      <c r="D86"/>
      <c r="E86"/>
      <c r="F86"/>
      <c r="G86"/>
      <c r="H86"/>
      <c r="I86"/>
      <c r="J86"/>
    </row>
    <row r="87" ht="15" customHeight="true">
      <c r="A87"/>
      <c r="B87"/>
      <c r="C87"/>
      <c r="D87"/>
      <c r="E87"/>
      <c r="F87"/>
      <c r="G87"/>
      <c r="H87"/>
      <c r="I87"/>
      <c r="J87"/>
    </row>
    <row r="88" ht="15" customHeight="true">
      <c r="A88"/>
      <c r="B88"/>
      <c r="C88"/>
      <c r="D88"/>
      <c r="E88"/>
      <c r="F88"/>
      <c r="G88"/>
      <c r="H88"/>
      <c r="I88"/>
      <c r="J88"/>
    </row>
    <row r="89" ht="15" customHeight="true">
      <c r="A89"/>
      <c r="B89"/>
      <c r="C89"/>
      <c r="D89"/>
      <c r="E89"/>
      <c r="F89"/>
      <c r="G89"/>
      <c r="H89"/>
      <c r="I89"/>
      <c r="J89"/>
    </row>
    <row r="90" ht="15" customHeight="true">
      <c r="A90"/>
      <c r="B90"/>
      <c r="C90"/>
      <c r="D90"/>
      <c r="E90"/>
      <c r="F90"/>
      <c r="G90"/>
      <c r="H90"/>
      <c r="I90"/>
      <c r="J90"/>
    </row>
    <row r="91" ht="15" customHeight="true">
      <c r="A91"/>
      <c r="B91"/>
      <c r="C91"/>
      <c r="D91"/>
      <c r="E91"/>
      <c r="F91"/>
      <c r="G91"/>
      <c r="H91"/>
      <c r="I91"/>
      <c r="J91"/>
    </row>
    <row r="92" ht="15" customHeight="true">
      <c r="A92"/>
      <c r="B92"/>
      <c r="C92"/>
      <c r="D92"/>
      <c r="E92"/>
      <c r="F92"/>
      <c r="G92"/>
      <c r="H92"/>
      <c r="I92"/>
      <c r="J92"/>
    </row>
    <row r="93" ht="15" customHeight="true">
      <c r="A93"/>
      <c r="B93"/>
      <c r="C93"/>
      <c r="D93"/>
      <c r="E93"/>
      <c r="F93"/>
      <c r="G93"/>
      <c r="H93"/>
      <c r="I93"/>
      <c r="J93"/>
    </row>
    <row r="94" ht="15" customHeight="true">
      <c r="A94"/>
      <c r="B94"/>
      <c r="C94"/>
      <c r="D94"/>
      <c r="E94"/>
      <c r="F94"/>
      <c r="G94"/>
      <c r="H94"/>
      <c r="I94"/>
      <c r="J94"/>
    </row>
    <row r="95" ht="15" customHeight="true">
      <c r="A95"/>
      <c r="B95"/>
      <c r="C95"/>
      <c r="D95"/>
      <c r="E95"/>
      <c r="F95"/>
      <c r="G95"/>
      <c r="H95"/>
      <c r="I95"/>
      <c r="J95"/>
    </row>
    <row r="96" ht="15" customHeight="true">
      <c r="A96"/>
      <c r="B96"/>
      <c r="C96"/>
      <c r="D96"/>
      <c r="E96"/>
      <c r="F96"/>
      <c r="G96"/>
      <c r="H96"/>
      <c r="I96"/>
      <c r="J96"/>
    </row>
    <row r="97" ht="15" customHeight="true">
      <c r="A97"/>
      <c r="B97"/>
      <c r="C97"/>
      <c r="D97"/>
      <c r="E97"/>
      <c r="F97"/>
      <c r="G97"/>
      <c r="H97"/>
      <c r="I97"/>
      <c r="J97"/>
    </row>
    <row r="98" ht="15" customHeight="true">
      <c r="A98"/>
      <c r="B98"/>
      <c r="C98"/>
      <c r="D98"/>
      <c r="E98"/>
      <c r="F98"/>
      <c r="G98"/>
      <c r="H98"/>
      <c r="I98"/>
      <c r="J98"/>
    </row>
    <row r="99" ht="15" customHeight="true">
      <c r="A99"/>
      <c r="B99"/>
      <c r="C99"/>
      <c r="D99"/>
      <c r="E99"/>
      <c r="F99"/>
      <c r="G99"/>
      <c r="H99"/>
      <c r="I99"/>
      <c r="J99"/>
    </row>
    <row r="100" ht="15" customHeight="true">
      <c r="A100"/>
      <c r="B100"/>
      <c r="C100"/>
      <c r="D100"/>
      <c r="E100"/>
      <c r="F100"/>
      <c r="G100"/>
      <c r="H100"/>
      <c r="I100"/>
      <c r="J100"/>
    </row>
    <row r="101" ht="15" customHeight="true">
      <c r="A101"/>
      <c r="B101"/>
      <c r="C101"/>
      <c r="D101"/>
      <c r="E101"/>
      <c r="F101"/>
      <c r="G101"/>
      <c r="H101"/>
      <c r="I101"/>
      <c r="J101"/>
    </row>
    <row r="102" ht="15" customHeight="true">
      <c r="A102"/>
      <c r="B102"/>
      <c r="C102"/>
      <c r="D102"/>
      <c r="E102"/>
      <c r="F102"/>
      <c r="G102"/>
      <c r="H102"/>
      <c r="I102"/>
      <c r="J102"/>
    </row>
    <row r="103" ht="15" customHeight="true">
      <c r="A103"/>
      <c r="B103"/>
      <c r="C103"/>
      <c r="D103"/>
      <c r="E103"/>
      <c r="F103"/>
      <c r="G103"/>
      <c r="H103"/>
      <c r="I103"/>
      <c r="J103"/>
    </row>
    <row r="104" ht="15" customHeight="true">
      <c r="A104"/>
      <c r="B104"/>
      <c r="C104"/>
      <c r="D104"/>
      <c r="E104"/>
      <c r="F104"/>
      <c r="G104"/>
      <c r="H104"/>
      <c r="I104"/>
      <c r="J104"/>
    </row>
    <row r="105" ht="15" customHeight="true">
      <c r="A105"/>
      <c r="B105"/>
      <c r="C105"/>
      <c r="D105"/>
      <c r="E105"/>
      <c r="F105"/>
      <c r="G105"/>
      <c r="H105"/>
      <c r="I105"/>
      <c r="J105"/>
    </row>
    <row r="106" ht="15" customHeight="true">
      <c r="A106"/>
      <c r="B106"/>
      <c r="C106"/>
      <c r="D106"/>
      <c r="E106"/>
      <c r="F106"/>
      <c r="G106"/>
      <c r="H106"/>
      <c r="I106"/>
      <c r="J106"/>
    </row>
    <row r="107" ht="15" customHeight="true">
      <c r="A107"/>
      <c r="B107"/>
      <c r="C107"/>
      <c r="D107"/>
      <c r="E107"/>
      <c r="F107"/>
      <c r="G107"/>
      <c r="H107"/>
      <c r="I107"/>
      <c r="J107"/>
    </row>
    <row r="108" ht="15" customHeight="true">
      <c r="A108"/>
      <c r="B108"/>
      <c r="C108"/>
      <c r="D108"/>
      <c r="E108"/>
      <c r="F108"/>
      <c r="G108"/>
      <c r="H108"/>
      <c r="I108"/>
      <c r="J108"/>
    </row>
    <row r="109" ht="15" customHeight="true">
      <c r="A109"/>
      <c r="B109"/>
      <c r="C109"/>
      <c r="D109"/>
      <c r="E109"/>
      <c r="F109"/>
      <c r="G109"/>
      <c r="H109"/>
      <c r="I109"/>
      <c r="J109"/>
    </row>
    <row r="110" ht="15" customHeight="true">
      <c r="A110"/>
      <c r="B110"/>
      <c r="C110"/>
      <c r="D110"/>
      <c r="E110"/>
      <c r="F110"/>
      <c r="G110"/>
      <c r="H110"/>
      <c r="I110"/>
      <c r="J110"/>
    </row>
    <row r="111" ht="15" customHeight="true">
      <c r="A111"/>
      <c r="B111"/>
      <c r="C111"/>
      <c r="D111"/>
      <c r="E111"/>
      <c r="F111"/>
      <c r="G111"/>
      <c r="H111"/>
      <c r="I111"/>
      <c r="J111"/>
    </row>
    <row r="112" ht="15" customHeight="true">
      <c r="A112"/>
      <c r="B112"/>
      <c r="C112"/>
      <c r="D112"/>
      <c r="E112"/>
      <c r="F112"/>
      <c r="G112"/>
      <c r="H112"/>
      <c r="I112"/>
      <c r="J112"/>
    </row>
    <row r="113" ht="15" customHeight="true">
      <c r="A113"/>
      <c r="B113"/>
      <c r="C113"/>
      <c r="D113"/>
      <c r="E113"/>
      <c r="F113"/>
      <c r="G113"/>
      <c r="H113"/>
      <c r="I113"/>
      <c r="J113"/>
    </row>
    <row r="114" ht="15" customHeight="true">
      <c r="A114"/>
      <c r="B114"/>
      <c r="C114"/>
      <c r="D114"/>
      <c r="E114"/>
      <c r="F114"/>
      <c r="G114"/>
      <c r="H114"/>
      <c r="I114"/>
      <c r="J114"/>
    </row>
    <row r="115" ht="15" customHeight="true">
      <c r="A115"/>
      <c r="B115"/>
      <c r="C115"/>
      <c r="D115"/>
      <c r="E115"/>
      <c r="F115"/>
      <c r="G115"/>
      <c r="H115"/>
      <c r="I115"/>
      <c r="J115"/>
    </row>
    <row r="116" ht="15" customHeight="true">
      <c r="A116"/>
      <c r="B116"/>
      <c r="C116"/>
      <c r="D116"/>
      <c r="E116"/>
      <c r="F116"/>
      <c r="G116"/>
      <c r="H116"/>
      <c r="I116"/>
      <c r="J116"/>
    </row>
    <row r="117" ht="15" customHeight="true">
      <c r="A117"/>
      <c r="B117"/>
      <c r="C117"/>
      <c r="D117"/>
      <c r="E117"/>
      <c r="F117"/>
      <c r="G117"/>
      <c r="H117"/>
      <c r="I117"/>
      <c r="J117"/>
    </row>
    <row r="118" ht="15" customHeight="true">
      <c r="A118"/>
      <c r="B118"/>
      <c r="C118"/>
      <c r="D118"/>
      <c r="E118"/>
      <c r="F118"/>
      <c r="G118"/>
      <c r="H118"/>
      <c r="I118"/>
      <c r="J118"/>
    </row>
    <row r="119" ht="15" customHeight="true">
      <c r="A119"/>
      <c r="B119"/>
      <c r="C119"/>
      <c r="D119"/>
      <c r="E119"/>
      <c r="F119"/>
      <c r="G119"/>
      <c r="H119"/>
      <c r="I119"/>
      <c r="J119"/>
    </row>
    <row r="120" ht="15" customHeight="true">
      <c r="A120"/>
      <c r="B120"/>
      <c r="C120"/>
      <c r="D120"/>
      <c r="E120"/>
      <c r="F120"/>
      <c r="G120"/>
      <c r="H120"/>
      <c r="I120"/>
      <c r="J120"/>
    </row>
    <row r="121" ht="15" customHeight="true">
      <c r="A121"/>
      <c r="B121"/>
      <c r="C121"/>
      <c r="D121"/>
      <c r="E121"/>
      <c r="F121"/>
      <c r="G121"/>
      <c r="H121"/>
      <c r="I121"/>
      <c r="J121"/>
    </row>
    <row r="122" ht="15" customHeight="true">
      <c r="A122"/>
      <c r="B122"/>
      <c r="C122"/>
      <c r="D122"/>
      <c r="E122"/>
      <c r="F122"/>
      <c r="G122"/>
      <c r="H122"/>
      <c r="I122"/>
      <c r="J122"/>
    </row>
    <row r="123" ht="15" customHeight="true">
      <c r="A123"/>
      <c r="B123"/>
      <c r="C123"/>
      <c r="D123"/>
      <c r="E123"/>
      <c r="F123"/>
      <c r="G123"/>
      <c r="H123"/>
      <c r="I123"/>
      <c r="J123"/>
    </row>
    <row r="124" ht="15" customHeight="true">
      <c r="A124"/>
      <c r="B124"/>
      <c r="C124"/>
      <c r="D124"/>
      <c r="E124"/>
      <c r="F124"/>
      <c r="G124"/>
      <c r="H124"/>
      <c r="I124"/>
      <c r="J124"/>
    </row>
    <row r="125" ht="15" customHeight="true">
      <c r="A125"/>
      <c r="B125"/>
      <c r="C125"/>
      <c r="D125"/>
      <c r="E125"/>
      <c r="F125"/>
      <c r="G125"/>
      <c r="H125"/>
      <c r="I125"/>
      <c r="J125"/>
    </row>
    <row r="126" ht="15" customHeight="true">
      <c r="A126"/>
      <c r="B126"/>
      <c r="C126"/>
      <c r="D126"/>
      <c r="E126"/>
      <c r="F126"/>
      <c r="G126"/>
      <c r="H126"/>
      <c r="I126"/>
      <c r="J126"/>
    </row>
    <row r="127" ht="15" customHeight="true">
      <c r="A127"/>
      <c r="B127"/>
      <c r="C127"/>
      <c r="D127"/>
      <c r="E127"/>
      <c r="F127"/>
      <c r="G127"/>
      <c r="H127"/>
      <c r="I127"/>
      <c r="J127"/>
    </row>
    <row r="128" ht="15" customHeight="true">
      <c r="A128"/>
      <c r="B128"/>
      <c r="C128"/>
      <c r="D128"/>
      <c r="E128"/>
      <c r="F128"/>
      <c r="G128"/>
      <c r="H128"/>
      <c r="I128"/>
      <c r="J128"/>
    </row>
    <row r="129" ht="15" customHeight="true">
      <c r="A129"/>
      <c r="B129"/>
      <c r="C129"/>
      <c r="D129"/>
      <c r="E129"/>
      <c r="F129"/>
      <c r="G129"/>
      <c r="H129"/>
      <c r="I129"/>
      <c r="J129"/>
    </row>
    <row r="130" ht="15" customHeight="true">
      <c r="A130"/>
      <c r="B130"/>
      <c r="C130"/>
      <c r="D130"/>
      <c r="E130"/>
      <c r="F130"/>
      <c r="G130"/>
      <c r="H130"/>
      <c r="I130"/>
      <c r="J130"/>
    </row>
    <row r="131" ht="15" customHeight="true">
      <c r="A131"/>
      <c r="B131"/>
      <c r="C131"/>
      <c r="D131"/>
      <c r="E131"/>
      <c r="F131"/>
      <c r="G131"/>
      <c r="H131"/>
      <c r="I131"/>
      <c r="J131"/>
    </row>
    <row r="132" ht="15" customHeight="true">
      <c r="A132"/>
      <c r="B132"/>
      <c r="C132"/>
      <c r="D132"/>
      <c r="E132"/>
      <c r="F132"/>
      <c r="G132"/>
      <c r="H132"/>
      <c r="I132"/>
      <c r="J132"/>
    </row>
    <row r="133" ht="15" customHeight="true">
      <c r="A133"/>
      <c r="B133"/>
      <c r="C133"/>
      <c r="D133"/>
      <c r="E133"/>
      <c r="F133"/>
      <c r="G133"/>
      <c r="H133"/>
      <c r="I133"/>
      <c r="J133"/>
    </row>
    <row r="134" ht="15" customHeight="true">
      <c r="A134"/>
      <c r="B134"/>
      <c r="C134"/>
      <c r="D134"/>
      <c r="E134"/>
      <c r="F134"/>
      <c r="G134"/>
      <c r="H134"/>
      <c r="I134"/>
      <c r="J134"/>
    </row>
    <row r="135" ht="15" customHeight="true">
      <c r="A135"/>
      <c r="B135"/>
      <c r="C135"/>
      <c r="D135"/>
      <c r="E135"/>
      <c r="F135"/>
      <c r="G135"/>
      <c r="H135"/>
      <c r="I135"/>
      <c r="J135"/>
    </row>
    <row r="136" ht="15" customHeight="true">
      <c r="A136"/>
      <c r="B136"/>
      <c r="C136"/>
      <c r="D136"/>
      <c r="E136"/>
      <c r="F136"/>
      <c r="G136"/>
      <c r="H136"/>
      <c r="I136"/>
      <c r="J136"/>
    </row>
    <row r="137" ht="15" customHeight="true">
      <c r="A137"/>
      <c r="B137"/>
      <c r="C137"/>
      <c r="D137"/>
      <c r="E137"/>
      <c r="F137"/>
      <c r="G137"/>
      <c r="H137"/>
      <c r="I137"/>
      <c r="J137"/>
    </row>
    <row r="138" ht="15" customHeight="true">
      <c r="A138"/>
      <c r="B138"/>
      <c r="C138"/>
      <c r="D138"/>
      <c r="E138"/>
      <c r="F138"/>
      <c r="G138"/>
      <c r="H138"/>
      <c r="I138"/>
      <c r="J138"/>
    </row>
    <row r="139" ht="15" customHeight="true">
      <c r="A139"/>
      <c r="B139"/>
      <c r="C139"/>
      <c r="D139"/>
      <c r="E139"/>
      <c r="F139"/>
      <c r="G139"/>
      <c r="H139"/>
      <c r="I139"/>
      <c r="J139"/>
    </row>
    <row r="140" ht="15" customHeight="true">
      <c r="A140"/>
      <c r="B140"/>
      <c r="C140"/>
      <c r="D140"/>
      <c r="E140"/>
      <c r="F140"/>
      <c r="G140"/>
      <c r="H140"/>
      <c r="I140"/>
      <c r="J140"/>
    </row>
    <row r="141" ht="15" customHeight="true">
      <c r="A141"/>
      <c r="B141"/>
      <c r="C141"/>
      <c r="D141"/>
      <c r="E141"/>
      <c r="F141"/>
      <c r="G141"/>
      <c r="H141"/>
      <c r="I141"/>
      <c r="J141"/>
    </row>
    <row r="142" ht="15" customHeight="true">
      <c r="A142"/>
      <c r="B142"/>
      <c r="C142"/>
      <c r="D142"/>
      <c r="E142"/>
      <c r="F142"/>
      <c r="G142"/>
      <c r="H142"/>
      <c r="I142"/>
      <c r="J142"/>
    </row>
    <row r="143" ht="15" customHeight="true">
      <c r="A143"/>
      <c r="B143"/>
      <c r="C143"/>
      <c r="D143"/>
      <c r="E143"/>
      <c r="F143"/>
      <c r="G143"/>
      <c r="H143"/>
      <c r="I143"/>
      <c r="J143"/>
    </row>
    <row r="144" ht="15" customHeight="true">
      <c r="A144"/>
      <c r="B144"/>
      <c r="C144"/>
      <c r="D144"/>
      <c r="E144"/>
      <c r="F144"/>
      <c r="G144"/>
      <c r="H144"/>
      <c r="I144"/>
      <c r="J144"/>
    </row>
    <row r="145" ht="15" customHeight="true">
      <c r="A145"/>
      <c r="B145"/>
      <c r="C145"/>
      <c r="D145"/>
      <c r="E145"/>
      <c r="F145"/>
      <c r="G145"/>
      <c r="H145"/>
      <c r="I145"/>
      <c r="J145"/>
    </row>
    <row r="146" ht="15" customHeight="true">
      <c r="A146"/>
      <c r="B146"/>
      <c r="C146"/>
      <c r="D146"/>
      <c r="E146"/>
      <c r="F146"/>
      <c r="G146"/>
      <c r="H146"/>
      <c r="I146"/>
      <c r="J146"/>
    </row>
    <row r="147" ht="15" customHeight="true">
      <c r="A147"/>
      <c r="B147"/>
      <c r="C147"/>
      <c r="D147"/>
      <c r="E147"/>
      <c r="F147"/>
      <c r="G147"/>
      <c r="H147"/>
      <c r="I147"/>
      <c r="J147"/>
    </row>
    <row r="148" ht="15" customHeight="true">
      <c r="A148"/>
      <c r="B148"/>
      <c r="C148"/>
      <c r="D148"/>
      <c r="E148"/>
      <c r="F148"/>
      <c r="G148"/>
      <c r="H148"/>
      <c r="I148"/>
      <c r="J148"/>
    </row>
    <row r="149" ht="15" customHeight="true">
      <c r="A149"/>
      <c r="B149"/>
      <c r="C149"/>
      <c r="D149"/>
      <c r="E149"/>
      <c r="F149"/>
      <c r="G149"/>
      <c r="H149"/>
      <c r="I149"/>
      <c r="J149"/>
    </row>
    <row r="150" ht="15" customHeight="true">
      <c r="A150"/>
      <c r="B150"/>
      <c r="C150"/>
      <c r="D150"/>
      <c r="E150"/>
      <c r="F150"/>
      <c r="G150"/>
      <c r="H150"/>
      <c r="I150"/>
      <c r="J150"/>
    </row>
    <row r="151" ht="15" customHeight="true">
      <c r="A151"/>
      <c r="B151"/>
      <c r="C151"/>
      <c r="D151"/>
      <c r="E151"/>
      <c r="F151"/>
      <c r="G151"/>
      <c r="H151"/>
      <c r="I151"/>
      <c r="J151"/>
    </row>
    <row r="152" ht="15" customHeight="true">
      <c r="A152"/>
      <c r="B152"/>
      <c r="C152"/>
      <c r="D152"/>
      <c r="E152"/>
      <c r="F152"/>
      <c r="G152"/>
      <c r="H152"/>
      <c r="I152"/>
      <c r="J152"/>
    </row>
    <row r="153" ht="15" customHeight="true">
      <c r="A153"/>
      <c r="B153"/>
      <c r="C153"/>
      <c r="D153"/>
      <c r="E153"/>
      <c r="F153"/>
      <c r="G153"/>
      <c r="H153"/>
      <c r="I153"/>
      <c r="J153"/>
    </row>
    <row r="154" ht="15" customHeight="true">
      <c r="A154"/>
      <c r="B154"/>
      <c r="C154"/>
      <c r="D154"/>
      <c r="E154"/>
      <c r="F154"/>
      <c r="G154"/>
      <c r="H154"/>
      <c r="I154"/>
      <c r="J154"/>
    </row>
    <row r="155" ht="15" customHeight="true">
      <c r="A155"/>
      <c r="B155"/>
      <c r="C155"/>
      <c r="D155"/>
      <c r="E155"/>
      <c r="F155"/>
      <c r="G155"/>
      <c r="H155"/>
      <c r="I155"/>
      <c r="J155"/>
    </row>
    <row r="156" ht="15" customHeight="true">
      <c r="A156"/>
      <c r="B156"/>
      <c r="C156"/>
      <c r="D156"/>
      <c r="E156"/>
      <c r="F156"/>
      <c r="G156"/>
      <c r="H156"/>
      <c r="I156"/>
      <c r="J156"/>
    </row>
    <row r="157" ht="15" customHeight="true">
      <c r="A157"/>
      <c r="B157"/>
      <c r="C157"/>
      <c r="D157"/>
      <c r="E157"/>
      <c r="F157"/>
      <c r="G157"/>
      <c r="H157"/>
      <c r="I157"/>
      <c r="J157"/>
    </row>
    <row r="158" ht="15" customHeight="true">
      <c r="A158"/>
      <c r="B158"/>
      <c r="C158"/>
      <c r="D158"/>
      <c r="E158"/>
      <c r="F158"/>
      <c r="G158"/>
      <c r="H158"/>
      <c r="I158"/>
      <c r="J158"/>
    </row>
    <row r="159" ht="15" customHeight="true">
      <c r="A159"/>
      <c r="B159"/>
      <c r="C159"/>
      <c r="D159"/>
      <c r="E159"/>
      <c r="F159"/>
      <c r="G159"/>
      <c r="H159"/>
      <c r="I159"/>
      <c r="J159"/>
    </row>
    <row r="160" ht="15" customHeight="true">
      <c r="A160"/>
      <c r="B160"/>
      <c r="C160"/>
      <c r="D160"/>
      <c r="E160"/>
      <c r="F160"/>
      <c r="G160"/>
      <c r="H160"/>
      <c r="I160"/>
      <c r="J160"/>
    </row>
    <row r="161" ht="15" customHeight="true">
      <c r="A161"/>
      <c r="B161"/>
      <c r="C161"/>
      <c r="D161"/>
      <c r="E161"/>
      <c r="F161"/>
      <c r="G161"/>
      <c r="H161"/>
      <c r="I161"/>
      <c r="J161"/>
    </row>
    <row r="162" ht="15" customHeight="true">
      <c r="A162"/>
      <c r="B162"/>
      <c r="C162"/>
      <c r="D162"/>
      <c r="E162"/>
      <c r="F162"/>
      <c r="G162"/>
      <c r="H162"/>
      <c r="I162"/>
      <c r="J162"/>
    </row>
    <row r="163" ht="15" customHeight="true">
      <c r="A163"/>
      <c r="B163"/>
      <c r="C163"/>
      <c r="D163"/>
      <c r="E163"/>
      <c r="F163"/>
      <c r="G163"/>
      <c r="H163"/>
      <c r="I163"/>
      <c r="J163"/>
    </row>
    <row r="164" ht="15" customHeight="true">
      <c r="A164"/>
      <c r="B164"/>
      <c r="C164"/>
      <c r="D164"/>
      <c r="E164"/>
      <c r="F164"/>
      <c r="G164"/>
      <c r="H164"/>
      <c r="I164"/>
      <c r="J164"/>
    </row>
    <row r="165" ht="15" customHeight="true">
      <c r="A165"/>
      <c r="B165"/>
      <c r="C165"/>
      <c r="D165"/>
      <c r="E165"/>
      <c r="F165"/>
      <c r="G165"/>
      <c r="H165"/>
      <c r="I165"/>
      <c r="J165"/>
    </row>
    <row r="166" ht="15" customHeight="true">
      <c r="A166"/>
      <c r="B166"/>
      <c r="C166"/>
      <c r="D166"/>
      <c r="E166"/>
      <c r="F166"/>
      <c r="G166"/>
      <c r="H166"/>
      <c r="I166"/>
      <c r="J166"/>
    </row>
    <row r="167" ht="15" customHeight="true">
      <c r="A167"/>
      <c r="B167"/>
      <c r="C167"/>
      <c r="D167"/>
      <c r="E167"/>
      <c r="F167"/>
      <c r="G167"/>
      <c r="H167"/>
      <c r="I167"/>
      <c r="J167"/>
    </row>
    <row r="168" ht="15" customHeight="true">
      <c r="A168"/>
      <c r="B168"/>
      <c r="C168"/>
      <c r="D168"/>
      <c r="E168"/>
      <c r="F168"/>
      <c r="G168"/>
      <c r="H168"/>
      <c r="I168"/>
      <c r="J168"/>
    </row>
    <row r="169" ht="15" customHeight="true">
      <c r="A169"/>
      <c r="B169"/>
      <c r="C169"/>
      <c r="D169"/>
      <c r="E169"/>
      <c r="F169"/>
      <c r="G169"/>
      <c r="H169"/>
      <c r="I169"/>
      <c r="J169"/>
    </row>
    <row r="170" ht="15" customHeight="true">
      <c r="A170"/>
      <c r="B170"/>
      <c r="C170"/>
      <c r="D170"/>
      <c r="E170"/>
      <c r="F170"/>
      <c r="G170"/>
      <c r="H170"/>
      <c r="I170"/>
      <c r="J170"/>
    </row>
    <row r="171" ht="15" customHeight="true">
      <c r="A171"/>
      <c r="B171"/>
      <c r="C171"/>
      <c r="D171"/>
      <c r="E171"/>
      <c r="F171"/>
      <c r="G171"/>
      <c r="H171"/>
      <c r="I171"/>
      <c r="J171"/>
    </row>
    <row r="172" ht="15" customHeight="true">
      <c r="A172"/>
      <c r="B172"/>
      <c r="C172"/>
      <c r="D172"/>
      <c r="E172"/>
      <c r="F172"/>
      <c r="G172"/>
      <c r="H172"/>
      <c r="I172"/>
      <c r="J172"/>
    </row>
    <row r="173" ht="15" customHeight="true">
      <c r="A173"/>
      <c r="B173"/>
      <c r="C173"/>
      <c r="D173"/>
      <c r="E173"/>
      <c r="F173"/>
      <c r="G173"/>
      <c r="H173"/>
      <c r="I173"/>
      <c r="J173"/>
    </row>
    <row r="174" ht="15" customHeight="true">
      <c r="A174"/>
      <c r="B174"/>
      <c r="C174"/>
      <c r="D174"/>
      <c r="E174"/>
      <c r="F174"/>
      <c r="G174"/>
      <c r="H174"/>
      <c r="I174"/>
      <c r="J174"/>
    </row>
    <row r="175" ht="15" customHeight="true">
      <c r="A175"/>
      <c r="B175"/>
      <c r="C175"/>
      <c r="D175"/>
      <c r="E175"/>
      <c r="F175"/>
      <c r="G175"/>
      <c r="H175"/>
      <c r="I175"/>
      <c r="J175"/>
    </row>
    <row r="176" ht="15" customHeight="true">
      <c r="A176"/>
      <c r="B176"/>
      <c r="C176"/>
      <c r="D176"/>
      <c r="E176"/>
      <c r="F176"/>
      <c r="G176"/>
      <c r="H176"/>
      <c r="I176"/>
      <c r="J176"/>
    </row>
    <row r="177" ht="15" customHeight="true">
      <c r="A177"/>
      <c r="B177"/>
      <c r="C177"/>
      <c r="D177"/>
      <c r="E177"/>
      <c r="F177"/>
      <c r="G177"/>
      <c r="H177"/>
      <c r="I177"/>
      <c r="J177"/>
    </row>
    <row r="178" ht="15" customHeight="true">
      <c r="A178"/>
      <c r="B178"/>
      <c r="C178"/>
      <c r="D178"/>
      <c r="E178"/>
      <c r="F178"/>
      <c r="G178"/>
      <c r="H178"/>
      <c r="I178"/>
      <c r="J178"/>
    </row>
    <row r="179" ht="15" customHeight="true">
      <c r="A179"/>
      <c r="B179"/>
      <c r="C179"/>
      <c r="D179"/>
      <c r="E179"/>
      <c r="F179"/>
      <c r="G179"/>
      <c r="H179"/>
      <c r="I179"/>
      <c r="J179"/>
    </row>
    <row r="180" ht="15" customHeight="true">
      <c r="A180"/>
      <c r="B180"/>
      <c r="C180"/>
      <c r="D180"/>
      <c r="E180"/>
      <c r="F180"/>
      <c r="G180"/>
      <c r="H180"/>
      <c r="I180"/>
      <c r="J180"/>
    </row>
    <row r="181" ht="15" customHeight="true">
      <c r="A181"/>
      <c r="B181"/>
      <c r="C181"/>
      <c r="D181"/>
      <c r="E181"/>
      <c r="F181"/>
      <c r="G181"/>
      <c r="H181"/>
      <c r="I181"/>
      <c r="J181"/>
    </row>
    <row r="182" ht="15" customHeight="true">
      <c r="A182"/>
      <c r="B182"/>
      <c r="C182"/>
      <c r="D182"/>
      <c r="E182"/>
      <c r="F182"/>
      <c r="G182"/>
      <c r="H182"/>
      <c r="I182"/>
      <c r="J182"/>
    </row>
    <row r="183" ht="15" customHeight="true">
      <c r="A183"/>
      <c r="B183"/>
      <c r="C183"/>
      <c r="D183"/>
      <c r="E183"/>
      <c r="F183"/>
      <c r="G183"/>
      <c r="H183"/>
      <c r="I183"/>
      <c r="J183"/>
    </row>
    <row r="184" ht="15" customHeight="true">
      <c r="A184"/>
      <c r="B184"/>
      <c r="C184"/>
      <c r="D184"/>
      <c r="E184"/>
      <c r="F184"/>
      <c r="G184"/>
      <c r="H184"/>
      <c r="I184"/>
      <c r="J184"/>
    </row>
    <row r="185" ht="15" customHeight="true">
      <c r="A185"/>
      <c r="B185"/>
      <c r="C185"/>
      <c r="D185"/>
      <c r="E185"/>
      <c r="F185"/>
      <c r="G185"/>
      <c r="H185"/>
      <c r="I185"/>
      <c r="J185"/>
    </row>
    <row r="186" ht="15" customHeight="true">
      <c r="A186"/>
      <c r="B186"/>
      <c r="C186"/>
      <c r="D186"/>
      <c r="E186"/>
      <c r="F186"/>
      <c r="G186"/>
      <c r="H186"/>
      <c r="I186"/>
      <c r="J186"/>
    </row>
    <row r="187" ht="15" customHeight="true">
      <c r="A187"/>
      <c r="B187"/>
      <c r="C187"/>
      <c r="D187"/>
      <c r="E187"/>
      <c r="F187"/>
      <c r="G187"/>
      <c r="H187"/>
      <c r="I187"/>
      <c r="J187"/>
    </row>
    <row r="188" ht="15" customHeight="true">
      <c r="A188"/>
      <c r="B188"/>
      <c r="C188"/>
      <c r="D188"/>
      <c r="E188"/>
      <c r="F188"/>
      <c r="G188"/>
      <c r="H188"/>
      <c r="I188"/>
      <c r="J188"/>
    </row>
    <row r="189" ht="15" customHeight="true">
      <c r="A189"/>
      <c r="B189"/>
      <c r="C189"/>
      <c r="D189"/>
      <c r="E189"/>
      <c r="F189"/>
      <c r="G189"/>
      <c r="H189"/>
      <c r="I189"/>
      <c r="J189"/>
    </row>
    <row r="190" ht="15" customHeight="true">
      <c r="A190"/>
      <c r="B190"/>
      <c r="C190"/>
      <c r="D190"/>
      <c r="E190"/>
      <c r="F190"/>
      <c r="G190"/>
      <c r="H190"/>
      <c r="I190"/>
      <c r="J190"/>
    </row>
    <row r="191" ht="15" customHeight="true">
      <c r="A191"/>
      <c r="B191"/>
      <c r="C191"/>
      <c r="D191"/>
      <c r="E191"/>
      <c r="F191"/>
      <c r="G191"/>
      <c r="H191"/>
      <c r="I191"/>
      <c r="J191"/>
    </row>
    <row r="192" ht="15" customHeight="true">
      <c r="A192"/>
      <c r="B192"/>
      <c r="C192"/>
      <c r="D192"/>
      <c r="E192"/>
      <c r="F192"/>
      <c r="G192"/>
      <c r="H192"/>
      <c r="I192"/>
      <c r="J192"/>
    </row>
    <row r="193" ht="15" customHeight="true">
      <c r="A193"/>
      <c r="B193"/>
      <c r="C193"/>
      <c r="D193"/>
      <c r="E193"/>
      <c r="F193"/>
      <c r="G193"/>
      <c r="H193"/>
      <c r="I193"/>
      <c r="J193"/>
    </row>
    <row r="194" ht="15" customHeight="true">
      <c r="A194"/>
      <c r="B194"/>
      <c r="C194"/>
      <c r="D194"/>
      <c r="E194"/>
      <c r="F194"/>
      <c r="G194"/>
      <c r="H194"/>
      <c r="I194"/>
      <c r="J194"/>
    </row>
    <row r="195" ht="15" customHeight="true">
      <c r="A195"/>
      <c r="B195"/>
      <c r="C195"/>
      <c r="D195"/>
      <c r="E195"/>
      <c r="F195"/>
      <c r="G195"/>
      <c r="H195"/>
      <c r="I195"/>
      <c r="J195"/>
    </row>
    <row r="196" ht="15" customHeight="true">
      <c r="A196"/>
      <c r="B196"/>
      <c r="C196"/>
      <c r="D196"/>
      <c r="E196"/>
      <c r="F196"/>
      <c r="G196"/>
      <c r="H196"/>
      <c r="I196"/>
      <c r="J196"/>
    </row>
    <row r="197" ht="15" customHeight="true">
      <c r="A197"/>
      <c r="B197"/>
      <c r="C197"/>
      <c r="D197"/>
      <c r="E197"/>
      <c r="F197"/>
      <c r="G197"/>
      <c r="H197"/>
      <c r="I197"/>
      <c r="J197"/>
    </row>
    <row r="198" ht="15" customHeight="true">
      <c r="A198"/>
      <c r="B198"/>
      <c r="C198"/>
      <c r="D198"/>
      <c r="E198"/>
      <c r="F198"/>
      <c r="G198"/>
      <c r="H198"/>
      <c r="I198"/>
      <c r="J198"/>
    </row>
    <row r="199" ht="15" customHeight="true">
      <c r="A199"/>
      <c r="B199"/>
      <c r="C199"/>
      <c r="D199"/>
      <c r="E199"/>
      <c r="F199"/>
      <c r="G199"/>
      <c r="H199"/>
      <c r="I199"/>
      <c r="J199"/>
    </row>
    <row r="200" ht="15" customHeight="true">
      <c r="A200"/>
      <c r="B200"/>
      <c r="C200"/>
      <c r="D200"/>
      <c r="E200"/>
      <c r="F200"/>
      <c r="G200"/>
      <c r="H200"/>
      <c r="I200"/>
      <c r="J200"/>
    </row>
    <row r="201" ht="15" customHeight="true">
      <c r="A201"/>
      <c r="B201"/>
      <c r="C201"/>
      <c r="D201"/>
      <c r="E201"/>
      <c r="F201"/>
      <c r="G201"/>
      <c r="H201"/>
      <c r="I201"/>
      <c r="J201"/>
    </row>
    <row r="202" ht="15" customHeight="true">
      <c r="A202"/>
      <c r="B202"/>
      <c r="C202"/>
      <c r="D202"/>
      <c r="E202"/>
      <c r="F202"/>
      <c r="G202"/>
      <c r="H202"/>
      <c r="I202"/>
      <c r="J202"/>
    </row>
    <row r="203" ht="15" customHeight="true">
      <c r="A203"/>
      <c r="B203"/>
      <c r="C203"/>
      <c r="D203"/>
      <c r="E203"/>
      <c r="F203"/>
      <c r="G203"/>
      <c r="H203"/>
      <c r="I203"/>
      <c r="J203"/>
    </row>
    <row r="204" ht="15" customHeight="true">
      <c r="A204"/>
      <c r="B204"/>
      <c r="C204"/>
      <c r="D204"/>
      <c r="E204"/>
      <c r="F204"/>
      <c r="G204"/>
      <c r="H204"/>
      <c r="I204"/>
      <c r="J204"/>
    </row>
    <row r="205" ht="15" customHeight="true">
      <c r="A205"/>
      <c r="B205"/>
      <c r="C205"/>
      <c r="D205"/>
      <c r="E205"/>
      <c r="F205"/>
      <c r="G205"/>
      <c r="H205"/>
      <c r="I205"/>
      <c r="J205"/>
    </row>
    <row r="206" ht="15" customHeight="true">
      <c r="A206"/>
      <c r="B206"/>
      <c r="C206"/>
      <c r="D206"/>
      <c r="E206"/>
      <c r="F206"/>
      <c r="G206"/>
      <c r="H206"/>
      <c r="I206"/>
      <c r="J206"/>
    </row>
    <row r="207" ht="15" customHeight="true">
      <c r="A207"/>
      <c r="B207"/>
      <c r="C207"/>
      <c r="D207"/>
      <c r="E207"/>
      <c r="F207"/>
      <c r="G207"/>
      <c r="H207"/>
      <c r="I207"/>
      <c r="J207"/>
    </row>
    <row r="208" ht="15" customHeight="true">
      <c r="A208"/>
      <c r="B208"/>
      <c r="C208"/>
      <c r="D208"/>
      <c r="E208"/>
      <c r="F208"/>
      <c r="G208"/>
      <c r="H208"/>
      <c r="I208"/>
      <c r="J208"/>
    </row>
    <row r="209" ht="15" customHeight="true">
      <c r="A209"/>
      <c r="B209"/>
      <c r="C209"/>
      <c r="D209"/>
      <c r="E209"/>
      <c r="F209"/>
      <c r="G209"/>
      <c r="H209"/>
      <c r="I209"/>
      <c r="J209"/>
    </row>
    <row r="210" ht="15" customHeight="true">
      <c r="A210"/>
      <c r="B210"/>
      <c r="C210"/>
      <c r="D210"/>
      <c r="E210"/>
      <c r="F210"/>
      <c r="G210"/>
      <c r="H210"/>
      <c r="I210"/>
      <c r="J210"/>
    </row>
    <row r="211" ht="15" customHeight="true">
      <c r="A211"/>
      <c r="B211"/>
      <c r="C211"/>
      <c r="D211"/>
      <c r="E211"/>
      <c r="F211"/>
      <c r="G211"/>
      <c r="H211"/>
      <c r="I211"/>
      <c r="J211"/>
    </row>
    <row r="212" ht="15" customHeight="true">
      <c r="A212"/>
      <c r="B212"/>
      <c r="C212"/>
      <c r="D212"/>
      <c r="E212"/>
      <c r="F212"/>
      <c r="G212"/>
      <c r="H212"/>
      <c r="I212"/>
      <c r="J212"/>
    </row>
    <row r="213" ht="15" customHeight="true">
      <c r="A213"/>
      <c r="B213"/>
      <c r="C213"/>
      <c r="D213"/>
      <c r="E213"/>
      <c r="F213"/>
      <c r="G213"/>
      <c r="H213"/>
      <c r="I213"/>
      <c r="J213"/>
    </row>
    <row r="214" ht="15" customHeight="true">
      <c r="A214"/>
      <c r="B214"/>
      <c r="C214"/>
      <c r="D214"/>
      <c r="E214"/>
      <c r="F214"/>
      <c r="G214"/>
      <c r="H214"/>
      <c r="I214"/>
      <c r="J214"/>
    </row>
    <row r="215" ht="15" customHeight="true">
      <c r="A215"/>
      <c r="B215"/>
      <c r="C215"/>
      <c r="D215"/>
      <c r="E215"/>
      <c r="F215"/>
      <c r="G215"/>
      <c r="H215"/>
      <c r="I215"/>
      <c r="J215"/>
    </row>
    <row r="216" ht="15" customHeight="true">
      <c r="A216"/>
      <c r="B216"/>
      <c r="C216"/>
      <c r="D216"/>
      <c r="E216"/>
      <c r="F216"/>
      <c r="G216"/>
      <c r="H216"/>
      <c r="I216"/>
      <c r="J216"/>
    </row>
    <row r="217" ht="15" customHeight="true">
      <c r="A217"/>
      <c r="B217"/>
      <c r="C217"/>
      <c r="D217"/>
      <c r="E217"/>
      <c r="F217"/>
      <c r="G217"/>
      <c r="H217"/>
      <c r="I217"/>
      <c r="J217"/>
    </row>
    <row r="218" ht="15" customHeight="true">
      <c r="A218"/>
      <c r="B218"/>
      <c r="C218"/>
      <c r="D218"/>
      <c r="E218"/>
      <c r="F218"/>
      <c r="G218"/>
      <c r="H218"/>
      <c r="I218"/>
      <c r="J218"/>
    </row>
    <row r="219" ht="15" customHeight="true">
      <c r="A219"/>
      <c r="B219"/>
      <c r="C219"/>
      <c r="D219"/>
      <c r="E219"/>
      <c r="F219"/>
      <c r="G219"/>
      <c r="H219"/>
      <c r="I219"/>
      <c r="J219"/>
    </row>
    <row r="220" ht="15" customHeight="true">
      <c r="A220"/>
      <c r="B220"/>
      <c r="C220"/>
      <c r="D220"/>
      <c r="E220"/>
      <c r="F220"/>
      <c r="G220"/>
      <c r="H220"/>
      <c r="I220"/>
      <c r="J220"/>
    </row>
    <row r="221" ht="15" customHeight="true">
      <c r="A221"/>
      <c r="B221"/>
      <c r="C221"/>
      <c r="D221"/>
      <c r="E221"/>
      <c r="F221"/>
      <c r="G221"/>
      <c r="H221"/>
      <c r="I221"/>
      <c r="J221"/>
    </row>
    <row r="222" ht="15" customHeight="true">
      <c r="A222"/>
      <c r="B222"/>
      <c r="C222"/>
      <c r="D222"/>
      <c r="E222"/>
      <c r="F222"/>
      <c r="G222"/>
      <c r="H222"/>
      <c r="I222"/>
      <c r="J222"/>
    </row>
    <row r="223" ht="15" customHeight="true">
      <c r="A223"/>
      <c r="B223"/>
      <c r="C223"/>
      <c r="D223"/>
      <c r="E223"/>
      <c r="F223"/>
      <c r="G223"/>
      <c r="H223"/>
      <c r="I223"/>
      <c r="J223"/>
    </row>
    <row r="224" ht="15" customHeight="true">
      <c r="A224"/>
      <c r="B224"/>
      <c r="C224"/>
      <c r="D224"/>
      <c r="E224"/>
      <c r="F224"/>
      <c r="G224"/>
      <c r="H224"/>
      <c r="I224"/>
      <c r="J224"/>
    </row>
    <row r="225" ht="15" customHeight="true">
      <c r="A225"/>
      <c r="B225"/>
      <c r="C225"/>
      <c r="D225"/>
      <c r="E225"/>
      <c r="F225"/>
      <c r="G225"/>
      <c r="H225"/>
      <c r="I225"/>
      <c r="J225"/>
    </row>
    <row r="226" ht="15" customHeight="true">
      <c r="A226"/>
      <c r="B226"/>
      <c r="C226"/>
      <c r="D226"/>
      <c r="E226"/>
      <c r="F226"/>
      <c r="G226"/>
      <c r="H226"/>
      <c r="I226"/>
      <c r="J226"/>
    </row>
    <row r="227" ht="15" customHeight="true">
      <c r="A227"/>
      <c r="B227"/>
      <c r="C227"/>
      <c r="D227"/>
      <c r="E227"/>
      <c r="F227"/>
      <c r="G227"/>
      <c r="H227"/>
      <c r="I227"/>
      <c r="J227"/>
    </row>
    <row r="228" ht="15" customHeight="true">
      <c r="A228"/>
      <c r="B228"/>
      <c r="C228"/>
      <c r="D228"/>
      <c r="E228"/>
      <c r="F228"/>
      <c r="G228"/>
      <c r="H228"/>
      <c r="I228"/>
      <c r="J228"/>
    </row>
    <row r="229" ht="15" customHeight="true">
      <c r="A229"/>
      <c r="B229"/>
      <c r="C229"/>
      <c r="D229"/>
      <c r="E229"/>
      <c r="F229"/>
      <c r="G229"/>
      <c r="H229"/>
      <c r="I229"/>
      <c r="J229"/>
    </row>
    <row r="230" ht="15" customHeight="true">
      <c r="A230"/>
      <c r="B230"/>
      <c r="C230"/>
      <c r="D230"/>
      <c r="E230"/>
      <c r="F230"/>
      <c r="G230"/>
      <c r="H230"/>
      <c r="I230"/>
      <c r="J230"/>
    </row>
    <row r="231" ht="15" customHeight="true">
      <c r="A231"/>
      <c r="B231"/>
      <c r="C231"/>
      <c r="D231"/>
      <c r="E231"/>
      <c r="F231"/>
      <c r="G231"/>
      <c r="H231"/>
      <c r="I231"/>
      <c r="J231"/>
    </row>
    <row r="232" ht="15" customHeight="true">
      <c r="A232"/>
      <c r="B232"/>
      <c r="C232"/>
      <c r="D232"/>
      <c r="E232"/>
      <c r="F232"/>
      <c r="G232"/>
      <c r="H232"/>
      <c r="I232"/>
      <c r="J232"/>
    </row>
    <row r="233" ht="15" customHeight="true">
      <c r="A233"/>
      <c r="B233"/>
      <c r="C233"/>
      <c r="D233"/>
      <c r="E233"/>
      <c r="F233"/>
      <c r="G233"/>
      <c r="H233"/>
      <c r="I233"/>
      <c r="J233"/>
    </row>
    <row r="234" ht="15" customHeight="true">
      <c r="A234"/>
      <c r="B234"/>
      <c r="C234"/>
      <c r="D234"/>
      <c r="E234"/>
      <c r="F234"/>
      <c r="G234"/>
      <c r="H234"/>
      <c r="I234"/>
      <c r="J234"/>
    </row>
    <row r="235" ht="15" customHeight="true">
      <c r="A235"/>
      <c r="B235"/>
      <c r="C235"/>
      <c r="D235"/>
      <c r="E235"/>
      <c r="F235"/>
      <c r="G235"/>
      <c r="H235"/>
      <c r="I235"/>
      <c r="J235"/>
    </row>
    <row r="236" ht="15" customHeight="true">
      <c r="A236"/>
      <c r="B236"/>
      <c r="C236"/>
      <c r="D236"/>
      <c r="E236"/>
      <c r="F236"/>
      <c r="G236"/>
      <c r="H236"/>
      <c r="I236"/>
      <c r="J236"/>
    </row>
    <row r="237" ht="15" customHeight="true">
      <c r="A237"/>
      <c r="B237"/>
      <c r="C237"/>
      <c r="D237"/>
      <c r="E237"/>
      <c r="F237"/>
      <c r="G237"/>
      <c r="H237"/>
      <c r="I237"/>
      <c r="J237"/>
    </row>
    <row r="238" ht="15" customHeight="true">
      <c r="A238"/>
      <c r="B238"/>
      <c r="C238"/>
      <c r="D238"/>
      <c r="E238"/>
      <c r="F238"/>
      <c r="G238"/>
      <c r="H238"/>
      <c r="I238"/>
      <c r="J238"/>
    </row>
    <row r="239" ht="15" customHeight="true">
      <c r="A239"/>
      <c r="B239"/>
      <c r="C239"/>
      <c r="D239"/>
      <c r="E239"/>
      <c r="F239"/>
      <c r="G239"/>
      <c r="H239"/>
      <c r="I239"/>
      <c r="J239"/>
    </row>
    <row r="240" ht="15" customHeight="true">
      <c r="A240"/>
      <c r="B240"/>
      <c r="C240"/>
      <c r="D240"/>
      <c r="E240"/>
      <c r="F240"/>
      <c r="G240"/>
      <c r="H240"/>
      <c r="I240"/>
      <c r="J240"/>
    </row>
    <row r="241" ht="15" customHeight="true">
      <c r="A241"/>
      <c r="B241"/>
      <c r="C241"/>
      <c r="D241"/>
      <c r="E241"/>
      <c r="F241"/>
      <c r="G241"/>
      <c r="H241"/>
      <c r="I241"/>
      <c r="J241"/>
    </row>
    <row r="242" ht="15" customHeight="true">
      <c r="A242"/>
      <c r="B242"/>
      <c r="C242"/>
      <c r="D242"/>
      <c r="E242"/>
      <c r="F242"/>
      <c r="G242"/>
      <c r="H242"/>
      <c r="I242"/>
      <c r="J242"/>
    </row>
    <row r="243" ht="15" customHeight="true">
      <c r="A243"/>
      <c r="B243"/>
      <c r="C243"/>
      <c r="D243"/>
      <c r="E243"/>
      <c r="F243"/>
      <c r="G243"/>
      <c r="H243"/>
      <c r="I243"/>
      <c r="J243"/>
    </row>
    <row r="244" ht="15" customHeight="true">
      <c r="A244"/>
      <c r="B244"/>
      <c r="C244"/>
      <c r="D244"/>
      <c r="E244"/>
      <c r="F244"/>
      <c r="G244"/>
      <c r="H244"/>
      <c r="I244"/>
      <c r="J244"/>
    </row>
    <row r="245" ht="15" customHeight="true">
      <c r="A245"/>
      <c r="B245"/>
      <c r="C245"/>
      <c r="D245"/>
      <c r="E245"/>
      <c r="F245"/>
      <c r="G245"/>
      <c r="H245"/>
      <c r="I245"/>
      <c r="J245"/>
    </row>
    <row r="246" ht="15" customHeight="true">
      <c r="A246"/>
      <c r="B246"/>
      <c r="C246"/>
      <c r="D246"/>
      <c r="E246"/>
      <c r="F246"/>
      <c r="G246"/>
      <c r="H246"/>
      <c r="I246"/>
      <c r="J246"/>
    </row>
    <row r="247" ht="15" customHeight="true">
      <c r="A247"/>
      <c r="B247"/>
      <c r="C247"/>
      <c r="D247"/>
      <c r="E247"/>
      <c r="F247"/>
      <c r="G247"/>
      <c r="H247"/>
      <c r="I247"/>
      <c r="J247"/>
    </row>
    <row r="248" ht="15" customHeight="true">
      <c r="A248"/>
      <c r="B248"/>
      <c r="C248"/>
      <c r="D248"/>
      <c r="E248"/>
      <c r="F248"/>
      <c r="G248"/>
      <c r="H248"/>
      <c r="I248"/>
      <c r="J248"/>
    </row>
    <row r="249" ht="15" customHeight="true">
      <c r="A249"/>
      <c r="B249"/>
      <c r="C249"/>
      <c r="D249"/>
      <c r="E249"/>
      <c r="F249"/>
      <c r="G249"/>
      <c r="H249"/>
      <c r="I249"/>
      <c r="J249"/>
    </row>
    <row r="250" ht="15" customHeight="true">
      <c r="A250"/>
      <c r="B250"/>
      <c r="C250"/>
      <c r="D250"/>
      <c r="E250"/>
      <c r="F250"/>
      <c r="G250"/>
      <c r="H250"/>
      <c r="I250"/>
      <c r="J250"/>
    </row>
    <row r="251" ht="15" customHeight="true">
      <c r="A251"/>
      <c r="B251"/>
      <c r="C251"/>
      <c r="D251"/>
      <c r="E251"/>
      <c r="F251"/>
      <c r="G251"/>
      <c r="H251"/>
      <c r="I251"/>
      <c r="J251"/>
    </row>
    <row r="252" ht="15" customHeight="true">
      <c r="A252"/>
      <c r="B252"/>
      <c r="C252"/>
      <c r="D252"/>
      <c r="E252"/>
      <c r="F252"/>
      <c r="G252"/>
      <c r="H252"/>
      <c r="I252"/>
      <c r="J252"/>
    </row>
    <row r="253" ht="15" customHeight="true">
      <c r="A253"/>
      <c r="B253"/>
      <c r="C253"/>
      <c r="D253"/>
      <c r="E253"/>
      <c r="F253"/>
      <c r="G253"/>
      <c r="H253"/>
      <c r="I253"/>
      <c r="J253"/>
    </row>
    <row r="254" ht="15" customHeight="true">
      <c r="A254"/>
      <c r="B254"/>
      <c r="C254"/>
      <c r="D254"/>
      <c r="E254"/>
      <c r="F254"/>
      <c r="G254"/>
      <c r="H254"/>
      <c r="I254"/>
      <c r="J254"/>
    </row>
    <row r="255" ht="15" customHeight="true">
      <c r="A255"/>
      <c r="B255"/>
      <c r="C255"/>
      <c r="D255"/>
      <c r="E255"/>
      <c r="F255"/>
      <c r="G255"/>
      <c r="H255"/>
      <c r="I255"/>
      <c r="J255"/>
    </row>
    <row r="256" ht="15" customHeight="true">
      <c r="A256"/>
      <c r="B256"/>
      <c r="C256"/>
      <c r="D256"/>
      <c r="E256"/>
      <c r="F256"/>
      <c r="G256"/>
      <c r="H256"/>
      <c r="I256"/>
      <c r="J256"/>
    </row>
    <row r="257" ht="15" customHeight="true">
      <c r="A257"/>
      <c r="B257"/>
      <c r="C257"/>
      <c r="D257"/>
      <c r="E257"/>
      <c r="F257"/>
      <c r="G257"/>
      <c r="H257"/>
      <c r="I257"/>
      <c r="J257"/>
    </row>
    <row r="258" ht="15" customHeight="true">
      <c r="A258"/>
      <c r="B258"/>
      <c r="C258"/>
      <c r="D258"/>
      <c r="E258"/>
      <c r="F258"/>
      <c r="G258"/>
      <c r="H258"/>
      <c r="I258"/>
      <c r="J258"/>
    </row>
    <row r="259" ht="15" customHeight="true">
      <c r="A259"/>
      <c r="B259"/>
      <c r="C259"/>
      <c r="D259"/>
      <c r="E259"/>
      <c r="F259"/>
      <c r="G259"/>
      <c r="H259"/>
      <c r="I259"/>
      <c r="J259"/>
    </row>
    <row r="260" ht="15" customHeight="true">
      <c r="A260"/>
      <c r="B260"/>
      <c r="C260"/>
      <c r="D260"/>
      <c r="E260"/>
      <c r="F260"/>
      <c r="G260"/>
      <c r="H260"/>
      <c r="I260"/>
      <c r="J260"/>
    </row>
    <row r="261" ht="15" customHeight="true">
      <c r="A261"/>
      <c r="B261"/>
      <c r="C261"/>
      <c r="D261"/>
      <c r="E261"/>
      <c r="F261"/>
      <c r="G261"/>
      <c r="H261"/>
      <c r="I261"/>
      <c r="J261"/>
    </row>
    <row r="262" ht="15" customHeight="true">
      <c r="A262"/>
      <c r="B262"/>
      <c r="C262"/>
      <c r="D262"/>
      <c r="E262"/>
      <c r="F262"/>
      <c r="G262"/>
      <c r="H262"/>
      <c r="I262"/>
      <c r="J262"/>
    </row>
    <row r="263" ht="15" customHeight="true">
      <c r="A263"/>
      <c r="B263"/>
      <c r="C263"/>
      <c r="D263"/>
      <c r="E263"/>
      <c r="F263"/>
      <c r="G263"/>
      <c r="H263"/>
      <c r="I263"/>
      <c r="J263"/>
    </row>
    <row r="264" ht="15" customHeight="true">
      <c r="A264"/>
      <c r="B264"/>
      <c r="C264"/>
      <c r="D264"/>
      <c r="E264"/>
      <c r="F264"/>
      <c r="G264"/>
      <c r="H264"/>
      <c r="I264"/>
      <c r="J264"/>
    </row>
    <row r="265" ht="15" customHeight="true">
      <c r="A265"/>
      <c r="B265"/>
      <c r="C265"/>
      <c r="D265"/>
      <c r="E265"/>
      <c r="F265"/>
      <c r="G265"/>
      <c r="H265"/>
      <c r="I265"/>
      <c r="J265"/>
    </row>
    <row r="266" ht="15" customHeight="true">
      <c r="A266"/>
      <c r="B266"/>
      <c r="C266"/>
      <c r="D266"/>
      <c r="E266"/>
      <c r="F266"/>
      <c r="G266"/>
      <c r="H266"/>
      <c r="I266"/>
      <c r="J266"/>
    </row>
    <row r="267" ht="15" customHeight="true">
      <c r="A267"/>
      <c r="B267"/>
      <c r="C267"/>
      <c r="D267"/>
      <c r="E267"/>
      <c r="F267"/>
      <c r="G267"/>
      <c r="H267"/>
      <c r="I267"/>
      <c r="J267"/>
    </row>
    <row r="268" ht="15" customHeight="true">
      <c r="A268"/>
      <c r="B268"/>
      <c r="C268"/>
      <c r="D268"/>
      <c r="E268"/>
      <c r="F268"/>
      <c r="G268"/>
      <c r="H268"/>
      <c r="I268"/>
      <c r="J268"/>
    </row>
    <row r="269" ht="15" customHeight="true">
      <c r="A269"/>
      <c r="B269"/>
      <c r="C269"/>
      <c r="D269"/>
      <c r="E269"/>
      <c r="F269"/>
      <c r="G269"/>
      <c r="H269"/>
      <c r="I269"/>
      <c r="J269"/>
    </row>
    <row r="270" ht="15" customHeight="true">
      <c r="A270"/>
      <c r="B270"/>
      <c r="C270"/>
      <c r="D270"/>
      <c r="E270"/>
      <c r="F270"/>
      <c r="G270"/>
      <c r="H270"/>
      <c r="I270"/>
      <c r="J270"/>
    </row>
    <row r="271" ht="15" customHeight="true">
      <c r="A271"/>
      <c r="B271"/>
      <c r="C271"/>
      <c r="D271"/>
      <c r="E271"/>
      <c r="F271"/>
      <c r="G271"/>
      <c r="H271"/>
      <c r="I271"/>
      <c r="J271"/>
    </row>
    <row r="272" ht="15" customHeight="true">
      <c r="A272"/>
      <c r="B272"/>
      <c r="C272"/>
      <c r="D272"/>
      <c r="E272"/>
      <c r="F272"/>
      <c r="G272"/>
      <c r="H272"/>
      <c r="I272"/>
      <c r="J272"/>
    </row>
    <row r="273" ht="15" customHeight="true">
      <c r="A273"/>
      <c r="B273"/>
      <c r="C273"/>
      <c r="D273"/>
      <c r="E273"/>
      <c r="F273"/>
      <c r="G273"/>
      <c r="H273"/>
      <c r="I273"/>
      <c r="J273"/>
    </row>
    <row r="274" ht="15" customHeight="true">
      <c r="A274"/>
      <c r="B274"/>
      <c r="C274"/>
      <c r="D274"/>
      <c r="E274"/>
      <c r="F274"/>
      <c r="G274"/>
      <c r="H274"/>
      <c r="I274"/>
      <c r="J274"/>
    </row>
    <row r="275" ht="15" customHeight="true">
      <c r="A275"/>
      <c r="B275"/>
      <c r="C275"/>
      <c r="D275"/>
      <c r="E275"/>
      <c r="F275"/>
      <c r="G275"/>
      <c r="H275"/>
      <c r="I275"/>
      <c r="J275"/>
    </row>
    <row r="276" ht="15" customHeight="true">
      <c r="A276"/>
      <c r="B276"/>
      <c r="C276"/>
      <c r="D276"/>
      <c r="E276"/>
      <c r="F276"/>
      <c r="G276"/>
      <c r="H276"/>
      <c r="I276"/>
      <c r="J276"/>
    </row>
    <row r="277" ht="15" customHeight="true">
      <c r="A277"/>
      <c r="B277"/>
      <c r="C277"/>
      <c r="D277"/>
      <c r="E277"/>
      <c r="F277"/>
      <c r="G277"/>
      <c r="H277"/>
      <c r="I277"/>
      <c r="J277"/>
    </row>
    <row r="278" ht="15" customHeight="true">
      <c r="A278"/>
      <c r="B278"/>
      <c r="C278"/>
      <c r="D278"/>
      <c r="E278"/>
      <c r="F278"/>
      <c r="G278"/>
      <c r="H278"/>
      <c r="I278"/>
      <c r="J278"/>
    </row>
    <row r="279" ht="15" customHeight="true">
      <c r="A279"/>
      <c r="B279"/>
      <c r="C279"/>
      <c r="D279"/>
      <c r="E279"/>
      <c r="F279"/>
      <c r="G279"/>
      <c r="H279"/>
      <c r="I279"/>
      <c r="J279"/>
    </row>
    <row r="280" ht="15" customHeight="true">
      <c r="A280"/>
      <c r="B280"/>
      <c r="C280"/>
      <c r="D280"/>
      <c r="E280"/>
      <c r="F280"/>
      <c r="G280"/>
      <c r="H280"/>
      <c r="I280"/>
      <c r="J280"/>
    </row>
    <row r="281" ht="15" customHeight="true">
      <c r="A281"/>
      <c r="B281"/>
      <c r="C281"/>
      <c r="D281"/>
      <c r="E281"/>
      <c r="F281"/>
      <c r="G281"/>
      <c r="H281"/>
      <c r="I281"/>
      <c r="J281"/>
    </row>
    <row r="282" ht="15" customHeight="true">
      <c r="A282"/>
      <c r="B282"/>
      <c r="C282"/>
      <c r="D282"/>
      <c r="E282"/>
      <c r="F282"/>
      <c r="G282"/>
      <c r="H282"/>
      <c r="I282"/>
      <c r="J282"/>
    </row>
    <row r="283" ht="15" customHeight="true">
      <c r="A283"/>
      <c r="B283"/>
      <c r="C283"/>
      <c r="D283"/>
      <c r="E283"/>
      <c r="F283"/>
      <c r="G283"/>
      <c r="H283"/>
      <c r="I283"/>
      <c r="J283"/>
    </row>
    <row r="284" ht="15" customHeight="true">
      <c r="A284"/>
      <c r="B284"/>
      <c r="C284"/>
      <c r="D284"/>
      <c r="E284"/>
      <c r="F284"/>
      <c r="G284"/>
      <c r="H284"/>
      <c r="I284"/>
      <c r="J284"/>
    </row>
    <row r="285" ht="15" customHeight="true">
      <c r="A285"/>
      <c r="B285"/>
      <c r="C285"/>
      <c r="D285"/>
      <c r="E285"/>
      <c r="F285"/>
      <c r="G285"/>
      <c r="H285"/>
      <c r="I285"/>
      <c r="J285"/>
    </row>
    <row r="286" ht="15" customHeight="true">
      <c r="A286"/>
      <c r="B286"/>
      <c r="C286"/>
      <c r="D286"/>
      <c r="E286"/>
      <c r="F286"/>
      <c r="G286"/>
      <c r="H286"/>
      <c r="I286"/>
      <c r="J286"/>
    </row>
    <row r="287" ht="15" customHeight="true">
      <c r="A287"/>
      <c r="B287"/>
      <c r="C287"/>
      <c r="D287"/>
      <c r="E287"/>
      <c r="F287"/>
      <c r="G287"/>
      <c r="H287"/>
      <c r="I287"/>
      <c r="J287"/>
    </row>
    <row r="288" ht="15" customHeight="true">
      <c r="A288"/>
      <c r="B288"/>
      <c r="C288"/>
      <c r="D288"/>
      <c r="E288"/>
      <c r="F288"/>
      <c r="G288"/>
      <c r="H288"/>
      <c r="I288"/>
      <c r="J288"/>
    </row>
    <row r="289" ht="15" customHeight="true">
      <c r="A289"/>
      <c r="B289"/>
      <c r="C289"/>
      <c r="D289"/>
      <c r="E289"/>
      <c r="F289"/>
      <c r="G289"/>
      <c r="H289"/>
      <c r="I289"/>
      <c r="J289"/>
    </row>
    <row r="290" ht="15" customHeight="true">
      <c r="A290"/>
      <c r="B290"/>
      <c r="C290"/>
      <c r="D290"/>
      <c r="E290"/>
      <c r="F290"/>
      <c r="G290"/>
      <c r="H290"/>
      <c r="I290"/>
      <c r="J290"/>
    </row>
    <row r="291" ht="15" customHeight="true">
      <c r="A291"/>
      <c r="B291"/>
      <c r="C291"/>
      <c r="D291"/>
      <c r="E291"/>
      <c r="F291"/>
      <c r="G291"/>
      <c r="H291"/>
      <c r="I291"/>
      <c r="J291"/>
    </row>
    <row r="292" ht="15" customHeight="true">
      <c r="A292"/>
      <c r="B292"/>
      <c r="C292"/>
      <c r="D292"/>
      <c r="E292"/>
      <c r="F292"/>
      <c r="G292"/>
      <c r="H292"/>
      <c r="I292"/>
      <c r="J292"/>
    </row>
    <row r="293" ht="15" customHeight="true">
      <c r="A293"/>
      <c r="B293"/>
      <c r="C293"/>
      <c r="D293"/>
      <c r="E293"/>
      <c r="F293"/>
      <c r="G293"/>
      <c r="H293"/>
      <c r="I293"/>
      <c r="J293"/>
    </row>
    <row r="294" ht="15" customHeight="true">
      <c r="A294"/>
      <c r="B294"/>
      <c r="C294"/>
      <c r="D294"/>
      <c r="E294"/>
      <c r="F294"/>
      <c r="G294"/>
      <c r="H294"/>
      <c r="I294"/>
      <c r="J294"/>
    </row>
    <row r="295" ht="15" customHeight="true">
      <c r="A295"/>
      <c r="B295"/>
      <c r="C295"/>
      <c r="D295"/>
      <c r="E295"/>
      <c r="F295"/>
      <c r="G295"/>
      <c r="H295"/>
      <c r="I295"/>
      <c r="J295"/>
    </row>
    <row r="296" ht="15" customHeight="true">
      <c r="A296"/>
      <c r="B296"/>
      <c r="C296"/>
      <c r="D296"/>
      <c r="E296"/>
      <c r="F296"/>
      <c r="G296"/>
      <c r="H296"/>
      <c r="I296"/>
      <c r="J296"/>
    </row>
    <row r="297" ht="15" customHeight="true">
      <c r="A297"/>
      <c r="B297"/>
      <c r="C297"/>
      <c r="D297"/>
      <c r="E297"/>
      <c r="F297"/>
      <c r="G297"/>
      <c r="H297"/>
      <c r="I297"/>
      <c r="J297"/>
    </row>
    <row r="298" ht="15" customHeight="true">
      <c r="A298"/>
      <c r="B298"/>
      <c r="C298"/>
      <c r="D298"/>
      <c r="E298"/>
      <c r="F298"/>
      <c r="G298"/>
      <c r="H298"/>
      <c r="I298"/>
      <c r="J298"/>
    </row>
    <row r="299" ht="15" customHeight="true">
      <c r="A299"/>
      <c r="B299"/>
      <c r="C299"/>
      <c r="D299"/>
      <c r="E299"/>
      <c r="F299"/>
      <c r="G299"/>
      <c r="H299"/>
      <c r="I299"/>
      <c r="J299"/>
    </row>
    <row r="300" ht="15" customHeight="true">
      <c r="A300"/>
      <c r="B300"/>
      <c r="C300"/>
      <c r="D300"/>
      <c r="E300"/>
      <c r="F300"/>
      <c r="G300"/>
      <c r="H300"/>
      <c r="I300"/>
      <c r="J300"/>
    </row>
    <row r="301" ht="15" customHeight="true">
      <c r="A301"/>
      <c r="B301"/>
      <c r="C301"/>
      <c r="D301"/>
      <c r="E301"/>
      <c r="F301"/>
      <c r="G301"/>
      <c r="H301"/>
      <c r="I301"/>
      <c r="J301"/>
    </row>
    <row r="302" ht="15" customHeight="true">
      <c r="A302"/>
      <c r="B302"/>
      <c r="C302"/>
      <c r="D302"/>
      <c r="E302"/>
      <c r="F302"/>
      <c r="G302"/>
      <c r="H302"/>
      <c r="I302"/>
      <c r="J302"/>
    </row>
    <row r="303" ht="15" customHeight="true">
      <c r="A303"/>
      <c r="B303"/>
      <c r="C303"/>
      <c r="D303"/>
      <c r="E303"/>
      <c r="F303"/>
      <c r="G303"/>
      <c r="H303"/>
      <c r="I303"/>
      <c r="J303"/>
    </row>
    <row r="304" ht="15" customHeight="true">
      <c r="A304"/>
      <c r="B304"/>
      <c r="C304"/>
      <c r="D304"/>
      <c r="E304"/>
      <c r="F304"/>
      <c r="G304"/>
      <c r="H304"/>
      <c r="I304"/>
      <c r="J304"/>
    </row>
    <row r="305" ht="15" customHeight="true">
      <c r="A305"/>
      <c r="B305"/>
      <c r="C305"/>
      <c r="D305"/>
      <c r="E305"/>
      <c r="F305"/>
      <c r="G305"/>
      <c r="H305"/>
      <c r="I305"/>
      <c r="J305"/>
    </row>
    <row r="306" ht="15" customHeight="true">
      <c r="A306"/>
      <c r="B306"/>
      <c r="C306"/>
      <c r="D306"/>
      <c r="E306"/>
      <c r="F306"/>
      <c r="G306"/>
      <c r="H306"/>
      <c r="I306"/>
      <c r="J306"/>
    </row>
    <row r="307" ht="15" customHeight="true">
      <c r="A307"/>
      <c r="B307"/>
      <c r="C307"/>
      <c r="D307"/>
      <c r="E307"/>
      <c r="F307"/>
      <c r="G307"/>
      <c r="H307"/>
      <c r="I307"/>
      <c r="J307"/>
    </row>
    <row r="308" ht="15" customHeight="true">
      <c r="A308"/>
      <c r="B308"/>
      <c r="C308"/>
      <c r="D308"/>
      <c r="E308"/>
      <c r="F308"/>
      <c r="G308"/>
      <c r="H308"/>
      <c r="I308"/>
      <c r="J308"/>
    </row>
    <row r="309" ht="15" customHeight="true">
      <c r="A309"/>
      <c r="B309"/>
      <c r="C309"/>
      <c r="D309"/>
      <c r="E309"/>
      <c r="F309"/>
      <c r="G309"/>
      <c r="H309"/>
      <c r="I309"/>
      <c r="J309"/>
    </row>
    <row r="310" ht="15" customHeight="true">
      <c r="A310"/>
      <c r="B310"/>
      <c r="C310"/>
      <c r="D310"/>
      <c r="E310"/>
      <c r="F310"/>
      <c r="G310"/>
      <c r="H310"/>
      <c r="I310"/>
      <c r="J310"/>
    </row>
    <row r="311" ht="15" customHeight="true">
      <c r="A311"/>
      <c r="B311"/>
      <c r="C311"/>
      <c r="D311"/>
      <c r="E311"/>
      <c r="F311"/>
      <c r="G311"/>
      <c r="H311"/>
      <c r="I311"/>
      <c r="J311"/>
    </row>
    <row r="312" ht="15" customHeight="true">
      <c r="A312"/>
      <c r="B312"/>
      <c r="C312"/>
      <c r="D312"/>
      <c r="E312"/>
      <c r="F312"/>
      <c r="G312"/>
      <c r="H312"/>
      <c r="I312"/>
      <c r="J312"/>
    </row>
    <row r="313" ht="15" customHeight="true">
      <c r="A313"/>
      <c r="B313"/>
      <c r="C313"/>
      <c r="D313"/>
      <c r="E313"/>
      <c r="F313"/>
      <c r="G313"/>
      <c r="H313"/>
      <c r="I313"/>
      <c r="J313"/>
    </row>
    <row r="314" ht="15" customHeight="true">
      <c r="A314"/>
      <c r="B314"/>
      <c r="C314"/>
      <c r="D314"/>
      <c r="E314"/>
      <c r="F314"/>
      <c r="G314"/>
      <c r="H314"/>
      <c r="I314"/>
      <c r="J314"/>
    </row>
    <row r="315" ht="15" customHeight="true">
      <c r="A315"/>
      <c r="B315"/>
      <c r="C315"/>
      <c r="D315"/>
      <c r="E315"/>
      <c r="F315"/>
      <c r="G315"/>
      <c r="H315"/>
      <c r="I315"/>
      <c r="J315"/>
    </row>
    <row r="316" ht="15" customHeight="true">
      <c r="A316"/>
      <c r="B316"/>
      <c r="C316"/>
      <c r="D316"/>
      <c r="E316"/>
      <c r="F316"/>
      <c r="G316"/>
      <c r="H316"/>
      <c r="I316"/>
      <c r="J316"/>
    </row>
    <row r="317" ht="15" customHeight="true">
      <c r="A317"/>
      <c r="B317"/>
      <c r="C317"/>
      <c r="D317"/>
      <c r="E317"/>
      <c r="F317"/>
      <c r="G317"/>
      <c r="H317"/>
      <c r="I317"/>
      <c r="J317"/>
    </row>
    <row r="318" ht="15" customHeight="true">
      <c r="A318"/>
      <c r="B318"/>
      <c r="C318"/>
      <c r="D318"/>
      <c r="E318"/>
      <c r="F318"/>
      <c r="G318"/>
      <c r="H318"/>
      <c r="I318"/>
      <c r="J318"/>
    </row>
    <row r="319" ht="15" customHeight="true">
      <c r="A319"/>
      <c r="B319"/>
      <c r="C319"/>
      <c r="D319"/>
      <c r="E319"/>
      <c r="F319"/>
      <c r="G319"/>
      <c r="H319"/>
      <c r="I319"/>
      <c r="J319"/>
    </row>
    <row r="320" ht="15" customHeight="true">
      <c r="A320"/>
      <c r="B320"/>
      <c r="C320"/>
      <c r="D320"/>
      <c r="E320"/>
      <c r="F320"/>
      <c r="G320"/>
      <c r="H320"/>
      <c r="I320"/>
      <c r="J320"/>
    </row>
    <row r="321" ht="15" customHeight="true">
      <c r="A321"/>
      <c r="B321"/>
      <c r="C321"/>
      <c r="D321"/>
      <c r="E321"/>
      <c r="F321"/>
      <c r="G321"/>
      <c r="H321"/>
      <c r="I321"/>
      <c r="J321"/>
    </row>
    <row r="322" ht="15" customHeight="true">
      <c r="A322"/>
      <c r="B322"/>
      <c r="C322"/>
      <c r="D322"/>
      <c r="E322"/>
      <c r="F322"/>
      <c r="G322"/>
      <c r="H322"/>
      <c r="I322"/>
      <c r="J322"/>
    </row>
    <row r="323" ht="15" customHeight="true">
      <c r="A323"/>
      <c r="B323"/>
      <c r="C323"/>
      <c r="D323"/>
      <c r="E323"/>
      <c r="F323"/>
      <c r="G323"/>
      <c r="H323"/>
      <c r="I323"/>
      <c r="J323"/>
    </row>
    <row r="324" ht="15" customHeight="true">
      <c r="A324"/>
      <c r="B324"/>
      <c r="C324"/>
      <c r="D324"/>
      <c r="E324"/>
      <c r="F324"/>
      <c r="G324"/>
      <c r="H324"/>
      <c r="I324"/>
      <c r="J324"/>
    </row>
    <row r="325" ht="15" customHeight="true">
      <c r="A325"/>
      <c r="B325"/>
      <c r="C325"/>
      <c r="D325"/>
      <c r="E325"/>
      <c r="F325"/>
      <c r="G325"/>
      <c r="H325"/>
      <c r="I325"/>
      <c r="J325"/>
    </row>
    <row r="326" ht="15" customHeight="true">
      <c r="A326"/>
      <c r="B326"/>
      <c r="C326"/>
      <c r="D326"/>
      <c r="E326"/>
      <c r="F326"/>
      <c r="G326"/>
      <c r="H326"/>
      <c r="I326"/>
      <c r="J326"/>
    </row>
    <row r="327" ht="15" customHeight="true">
      <c r="A327"/>
      <c r="B327"/>
      <c r="C327"/>
      <c r="D327"/>
      <c r="E327"/>
      <c r="F327"/>
      <c r="G327"/>
      <c r="H327"/>
      <c r="I327"/>
      <c r="J327"/>
    </row>
    <row r="328" ht="15" customHeight="true">
      <c r="A328"/>
      <c r="B328"/>
      <c r="C328"/>
      <c r="D328"/>
      <c r="E328"/>
      <c r="F328"/>
      <c r="G328"/>
      <c r="H328"/>
      <c r="I328"/>
      <c r="J328"/>
    </row>
    <row r="329" ht="15" customHeight="true">
      <c r="A329"/>
      <c r="B329"/>
      <c r="C329"/>
      <c r="D329"/>
      <c r="E329"/>
      <c r="F329"/>
      <c r="G329"/>
      <c r="H329"/>
      <c r="I329"/>
      <c r="J329"/>
    </row>
    <row r="330" ht="15" customHeight="true">
      <c r="A330"/>
      <c r="B330"/>
      <c r="C330"/>
      <c r="D330"/>
      <c r="E330"/>
      <c r="F330"/>
      <c r="G330"/>
      <c r="H330"/>
      <c r="I330"/>
      <c r="J330"/>
    </row>
    <row r="331" ht="15" customHeight="true">
      <c r="A331"/>
      <c r="B331"/>
      <c r="C331"/>
      <c r="D331"/>
      <c r="E331"/>
      <c r="F331"/>
      <c r="G331"/>
      <c r="H331"/>
      <c r="I331"/>
      <c r="J331"/>
    </row>
    <row r="332" ht="15" customHeight="true">
      <c r="A332"/>
      <c r="B332"/>
      <c r="C332"/>
      <c r="D332"/>
      <c r="E332"/>
      <c r="F332"/>
      <c r="G332"/>
      <c r="H332"/>
      <c r="I332"/>
      <c r="J332"/>
    </row>
    <row r="333" ht="15" customHeight="true">
      <c r="A333"/>
      <c r="B333"/>
      <c r="C333"/>
      <c r="D333"/>
      <c r="E333"/>
      <c r="F333"/>
      <c r="G333"/>
      <c r="H333"/>
      <c r="I333"/>
      <c r="J333"/>
    </row>
    <row r="334" ht="15" customHeight="true">
      <c r="A334"/>
      <c r="B334"/>
      <c r="C334"/>
      <c r="D334"/>
      <c r="E334"/>
      <c r="F334"/>
      <c r="G334"/>
      <c r="H334"/>
      <c r="I334"/>
      <c r="J334"/>
    </row>
    <row r="335" ht="15" customHeight="true">
      <c r="A335"/>
      <c r="B335"/>
      <c r="C335"/>
      <c r="D335"/>
      <c r="E335"/>
      <c r="F335"/>
      <c r="G335"/>
      <c r="H335"/>
      <c r="I335"/>
      <c r="J335"/>
    </row>
    <row r="336" ht="15" customHeight="true">
      <c r="A336"/>
      <c r="B336"/>
      <c r="C336"/>
      <c r="D336"/>
      <c r="E336"/>
      <c r="F336"/>
      <c r="G336"/>
      <c r="H336"/>
      <c r="I336"/>
      <c r="J336"/>
    </row>
    <row r="337" ht="15" customHeight="true">
      <c r="A337"/>
      <c r="B337"/>
      <c r="C337"/>
      <c r="D337"/>
      <c r="E337"/>
      <c r="F337"/>
      <c r="G337"/>
      <c r="H337"/>
      <c r="I337"/>
      <c r="J337"/>
    </row>
    <row r="338" ht="15" customHeight="true">
      <c r="A338"/>
      <c r="B338"/>
      <c r="C338"/>
      <c r="D338"/>
      <c r="E338"/>
      <c r="F338"/>
      <c r="G338"/>
      <c r="H338"/>
      <c r="I338"/>
      <c r="J338"/>
    </row>
    <row r="339" ht="15" customHeight="true">
      <c r="A339"/>
      <c r="B339"/>
      <c r="C339"/>
      <c r="D339"/>
      <c r="E339"/>
      <c r="F339"/>
      <c r="G339"/>
      <c r="H339"/>
      <c r="I339"/>
      <c r="J339"/>
    </row>
    <row r="340" ht="15" customHeight="true">
      <c r="A340"/>
      <c r="B340"/>
      <c r="C340"/>
      <c r="D340"/>
      <c r="E340"/>
      <c r="F340"/>
      <c r="G340"/>
      <c r="H340"/>
      <c r="I340"/>
      <c r="J340"/>
    </row>
    <row r="341" ht="15" customHeight="true">
      <c r="A341"/>
      <c r="B341"/>
      <c r="C341"/>
      <c r="D341"/>
      <c r="E341"/>
      <c r="F341"/>
      <c r="G341"/>
      <c r="H341"/>
      <c r="I341"/>
      <c r="J341"/>
    </row>
    <row r="342" ht="15" customHeight="true">
      <c r="A342"/>
      <c r="B342"/>
      <c r="C342"/>
      <c r="D342"/>
      <c r="E342"/>
      <c r="F342"/>
      <c r="G342"/>
      <c r="H342"/>
      <c r="I342"/>
      <c r="J342"/>
    </row>
    <row r="343" ht="15" customHeight="true">
      <c r="A343"/>
      <c r="B343"/>
      <c r="C343"/>
      <c r="D343"/>
      <c r="E343"/>
      <c r="F343"/>
      <c r="G343"/>
      <c r="H343"/>
      <c r="I343"/>
      <c r="J343"/>
    </row>
    <row r="344" ht="15" customHeight="true">
      <c r="A344"/>
      <c r="B344"/>
      <c r="C344"/>
      <c r="D344"/>
      <c r="E344"/>
      <c r="F344"/>
      <c r="G344"/>
      <c r="H344"/>
      <c r="I344"/>
      <c r="J344"/>
    </row>
    <row r="345" ht="15" customHeight="true">
      <c r="A345"/>
      <c r="B345"/>
      <c r="C345"/>
      <c r="D345"/>
      <c r="E345"/>
      <c r="F345"/>
      <c r="G345"/>
      <c r="H345"/>
      <c r="I345"/>
      <c r="J345"/>
    </row>
    <row r="346" ht="15" customHeight="true">
      <c r="A346"/>
      <c r="B346"/>
      <c r="C346"/>
      <c r="D346"/>
      <c r="E346"/>
      <c r="F346"/>
      <c r="G346"/>
      <c r="H346"/>
      <c r="I346"/>
      <c r="J346"/>
    </row>
    <row r="347" ht="15" customHeight="true">
      <c r="A347"/>
      <c r="B347"/>
      <c r="C347"/>
      <c r="D347"/>
      <c r="E347"/>
      <c r="F347"/>
      <c r="G347"/>
      <c r="H347"/>
      <c r="I347"/>
      <c r="J347"/>
    </row>
    <row r="348" ht="15" customHeight="true">
      <c r="A348"/>
      <c r="B348"/>
      <c r="C348"/>
      <c r="D348"/>
      <c r="E348"/>
      <c r="F348"/>
      <c r="G348"/>
      <c r="H348"/>
      <c r="I348"/>
      <c r="J348"/>
    </row>
    <row r="349" ht="15" customHeight="true">
      <c r="A349"/>
      <c r="B349"/>
      <c r="C349"/>
      <c r="D349"/>
      <c r="E349"/>
      <c r="F349"/>
      <c r="G349"/>
      <c r="H349"/>
      <c r="I349"/>
      <c r="J349"/>
    </row>
    <row r="350" ht="15" customHeight="true">
      <c r="A350"/>
      <c r="B350"/>
      <c r="C350"/>
      <c r="D350"/>
      <c r="E350"/>
      <c r="F350"/>
      <c r="G350"/>
      <c r="H350"/>
      <c r="I350"/>
      <c r="J350"/>
    </row>
    <row r="351" ht="15" customHeight="true">
      <c r="A351"/>
      <c r="B351"/>
      <c r="C351"/>
      <c r="D351"/>
      <c r="E351"/>
      <c r="F351"/>
      <c r="G351"/>
      <c r="H351"/>
      <c r="I351"/>
      <c r="J351"/>
    </row>
    <row r="352" ht="15" customHeight="true">
      <c r="A352"/>
      <c r="B352"/>
      <c r="C352"/>
      <c r="D352"/>
      <c r="E352"/>
      <c r="F352"/>
      <c r="G352"/>
      <c r="H352"/>
      <c r="I352"/>
      <c r="J352"/>
    </row>
    <row r="353" ht="15" customHeight="true">
      <c r="A353"/>
      <c r="B353"/>
      <c r="C353"/>
      <c r="D353"/>
      <c r="E353"/>
      <c r="F353"/>
      <c r="G353"/>
      <c r="H353"/>
      <c r="I353"/>
      <c r="J353"/>
    </row>
    <row r="354" ht="15" customHeight="true">
      <c r="A354"/>
      <c r="B354"/>
      <c r="C354"/>
      <c r="D354"/>
      <c r="E354"/>
      <c r="F354"/>
      <c r="G354"/>
      <c r="H354"/>
      <c r="I354"/>
      <c r="J354"/>
    </row>
    <row r="355" ht="15" customHeight="true">
      <c r="A355"/>
      <c r="B355"/>
      <c r="C355"/>
      <c r="D355"/>
      <c r="E355"/>
      <c r="F355"/>
      <c r="G355"/>
      <c r="H355"/>
      <c r="I355"/>
      <c r="J355"/>
    </row>
    <row r="356" ht="15" customHeight="true">
      <c r="A356"/>
      <c r="B356"/>
      <c r="C356"/>
      <c r="D356"/>
      <c r="E356"/>
      <c r="F356"/>
      <c r="G356"/>
      <c r="H356"/>
      <c r="I356"/>
      <c r="J356"/>
    </row>
    <row r="357" ht="15" customHeight="true">
      <c r="A357"/>
      <c r="B357"/>
      <c r="C357"/>
      <c r="D357"/>
      <c r="E357"/>
      <c r="F357"/>
      <c r="G357"/>
      <c r="H357"/>
      <c r="I357"/>
      <c r="J357"/>
    </row>
    <row r="358" ht="15" customHeight="true">
      <c r="A358"/>
      <c r="B358"/>
      <c r="C358"/>
      <c r="D358"/>
      <c r="E358"/>
      <c r="F358"/>
      <c r="G358"/>
      <c r="H358"/>
      <c r="I358"/>
      <c r="J358"/>
    </row>
    <row r="359" ht="15" customHeight="true">
      <c r="A359"/>
      <c r="B359"/>
      <c r="C359"/>
      <c r="D359"/>
      <c r="E359"/>
      <c r="F359"/>
      <c r="G359"/>
      <c r="H359"/>
      <c r="I359"/>
      <c r="J359"/>
    </row>
    <row r="360" ht="15" customHeight="true">
      <c r="A360"/>
      <c r="B360"/>
      <c r="C360"/>
      <c r="D360"/>
      <c r="E360"/>
      <c r="F360"/>
      <c r="G360"/>
      <c r="H360"/>
      <c r="I360"/>
      <c r="J360"/>
    </row>
    <row r="361" ht="15" customHeight="true">
      <c r="A361"/>
      <c r="B361"/>
      <c r="C361"/>
      <c r="D361"/>
      <c r="E361"/>
      <c r="F361"/>
      <c r="G361"/>
      <c r="H361"/>
      <c r="I361"/>
      <c r="J361"/>
    </row>
    <row r="362" ht="15" customHeight="true">
      <c r="A362"/>
      <c r="B362"/>
      <c r="C362"/>
      <c r="D362"/>
      <c r="E362"/>
      <c r="F362"/>
      <c r="G362"/>
      <c r="H362"/>
      <c r="I362"/>
      <c r="J362"/>
    </row>
    <row r="363" ht="15" customHeight="true">
      <c r="A363"/>
      <c r="B363"/>
      <c r="C363"/>
      <c r="D363"/>
      <c r="E363"/>
      <c r="F363"/>
      <c r="G363"/>
      <c r="H363"/>
      <c r="I363"/>
      <c r="J363"/>
    </row>
    <row r="364" ht="15" customHeight="true">
      <c r="A364"/>
      <c r="B364"/>
      <c r="C364"/>
      <c r="D364"/>
      <c r="E364"/>
      <c r="F364"/>
      <c r="G364"/>
      <c r="H364"/>
      <c r="I364"/>
      <c r="J364"/>
    </row>
    <row r="365" ht="15" customHeight="true">
      <c r="A365"/>
      <c r="B365"/>
      <c r="C365"/>
      <c r="D365"/>
      <c r="E365"/>
      <c r="F365"/>
      <c r="G365"/>
      <c r="H365"/>
      <c r="I365"/>
      <c r="J365"/>
    </row>
    <row r="366" ht="15" customHeight="true">
      <c r="A366"/>
      <c r="B366"/>
      <c r="C366"/>
      <c r="D366"/>
      <c r="E366"/>
      <c r="F366"/>
      <c r="G366"/>
      <c r="H366"/>
      <c r="I366"/>
      <c r="J366"/>
    </row>
    <row r="367" ht="15" customHeight="true">
      <c r="A367"/>
      <c r="B367"/>
      <c r="C367"/>
      <c r="D367"/>
      <c r="E367"/>
      <c r="F367"/>
      <c r="G367"/>
      <c r="H367"/>
      <c r="I367"/>
      <c r="J367"/>
    </row>
    <row r="368" ht="15" customHeight="true">
      <c r="A368"/>
      <c r="B368"/>
      <c r="C368"/>
      <c r="D368"/>
      <c r="E368"/>
      <c r="F368"/>
      <c r="G368"/>
      <c r="H368"/>
      <c r="I368"/>
      <c r="J368"/>
    </row>
    <row r="369" ht="15" customHeight="true">
      <c r="A369"/>
      <c r="B369"/>
      <c r="C369"/>
      <c r="D369"/>
      <c r="E369"/>
      <c r="F369"/>
      <c r="G369"/>
      <c r="H369"/>
      <c r="I369"/>
      <c r="J369"/>
    </row>
    <row r="370" ht="15" customHeight="true">
      <c r="A370"/>
      <c r="B370"/>
      <c r="C370"/>
      <c r="D370"/>
      <c r="E370"/>
      <c r="F370"/>
      <c r="G370"/>
      <c r="H370"/>
      <c r="I370"/>
      <c r="J370"/>
    </row>
    <row r="371" ht="15" customHeight="true">
      <c r="A371"/>
      <c r="B371"/>
      <c r="C371"/>
      <c r="D371"/>
      <c r="E371"/>
      <c r="F371"/>
      <c r="G371"/>
      <c r="H371"/>
      <c r="I371"/>
      <c r="J371"/>
    </row>
    <row r="372" ht="15" customHeight="true">
      <c r="A372"/>
      <c r="B372"/>
      <c r="C372"/>
      <c r="D372"/>
      <c r="E372"/>
      <c r="F372"/>
      <c r="G372"/>
      <c r="H372"/>
      <c r="I372"/>
      <c r="J372"/>
    </row>
    <row r="373" ht="15" customHeight="true">
      <c r="A373"/>
      <c r="B373"/>
      <c r="C373"/>
      <c r="D373"/>
      <c r="E373"/>
      <c r="F373"/>
      <c r="G373"/>
      <c r="H373"/>
      <c r="I373"/>
      <c r="J373"/>
    </row>
    <row r="374" ht="15" customHeight="true">
      <c r="A374"/>
      <c r="B374"/>
      <c r="C374"/>
      <c r="D374"/>
      <c r="E374"/>
      <c r="F374"/>
      <c r="G374"/>
      <c r="H374"/>
      <c r="I374"/>
      <c r="J374"/>
    </row>
    <row r="375" ht="15" customHeight="true">
      <c r="A375"/>
      <c r="B375"/>
      <c r="C375"/>
      <c r="D375"/>
      <c r="E375"/>
      <c r="F375"/>
      <c r="G375"/>
      <c r="H375"/>
      <c r="I375"/>
      <c r="J375"/>
    </row>
    <row r="376" ht="15" customHeight="true">
      <c r="A376"/>
      <c r="B376"/>
      <c r="C376"/>
      <c r="D376"/>
      <c r="E376"/>
      <c r="F376"/>
      <c r="G376"/>
      <c r="H376"/>
      <c r="I376"/>
      <c r="J376"/>
    </row>
    <row r="377" ht="15" customHeight="true">
      <c r="A377"/>
      <c r="B377"/>
      <c r="C377"/>
      <c r="D377"/>
      <c r="E377"/>
      <c r="F377"/>
      <c r="G377"/>
      <c r="H377"/>
      <c r="I377"/>
      <c r="J377"/>
    </row>
    <row r="378" ht="15" customHeight="true">
      <c r="A378"/>
      <c r="B378"/>
      <c r="C378"/>
      <c r="D378"/>
      <c r="E378"/>
      <c r="F378"/>
      <c r="G378"/>
      <c r="H378"/>
      <c r="I378"/>
      <c r="J378"/>
    </row>
    <row r="379" ht="15" customHeight="true">
      <c r="A379"/>
      <c r="B379"/>
      <c r="C379"/>
      <c r="D379"/>
      <c r="E379"/>
      <c r="F379"/>
      <c r="G379"/>
      <c r="H379"/>
      <c r="I379"/>
      <c r="J379"/>
    </row>
    <row r="380" ht="15" customHeight="true">
      <c r="A380"/>
      <c r="B380"/>
      <c r="C380"/>
      <c r="D380"/>
      <c r="E380"/>
      <c r="F380"/>
      <c r="G380"/>
      <c r="H380"/>
      <c r="I380"/>
      <c r="J380"/>
    </row>
    <row r="381" ht="15" customHeight="true">
      <c r="A381"/>
      <c r="B381"/>
      <c r="C381"/>
      <c r="D381"/>
      <c r="E381"/>
      <c r="F381"/>
      <c r="G381"/>
      <c r="H381"/>
      <c r="I381"/>
      <c r="J381"/>
    </row>
    <row r="382" ht="15" customHeight="true">
      <c r="A382"/>
      <c r="B382"/>
      <c r="C382"/>
      <c r="D382"/>
      <c r="E382"/>
      <c r="F382"/>
      <c r="G382"/>
      <c r="H382"/>
      <c r="I382"/>
      <c r="J382"/>
    </row>
    <row r="383" ht="15" customHeight="true">
      <c r="A383"/>
      <c r="B383"/>
      <c r="C383"/>
      <c r="D383"/>
      <c r="E383"/>
      <c r="F383"/>
      <c r="G383"/>
      <c r="H383"/>
      <c r="I383"/>
      <c r="J383"/>
    </row>
    <row r="384" ht="15" customHeight="true">
      <c r="A384"/>
      <c r="B384"/>
      <c r="C384"/>
      <c r="D384"/>
      <c r="E384"/>
      <c r="F384"/>
      <c r="G384"/>
      <c r="H384"/>
      <c r="I384"/>
      <c r="J384"/>
    </row>
    <row r="385" ht="15" customHeight="true">
      <c r="A385"/>
      <c r="B385"/>
      <c r="C385"/>
      <c r="D385"/>
      <c r="E385"/>
      <c r="F385"/>
      <c r="G385"/>
      <c r="H385"/>
      <c r="I385"/>
      <c r="J385"/>
    </row>
    <row r="386" ht="15" customHeight="true">
      <c r="A386"/>
      <c r="B386"/>
      <c r="C386"/>
      <c r="D386"/>
      <c r="E386"/>
      <c r="F386"/>
      <c r="G386"/>
      <c r="H386"/>
      <c r="I386"/>
      <c r="J386"/>
    </row>
    <row r="387" ht="15" customHeight="true">
      <c r="A387"/>
      <c r="B387"/>
      <c r="C387"/>
      <c r="D387"/>
      <c r="E387"/>
      <c r="F387"/>
      <c r="G387"/>
      <c r="H387"/>
      <c r="I387"/>
      <c r="J387"/>
    </row>
    <row r="388" ht="15" customHeight="true">
      <c r="A388"/>
      <c r="B388"/>
      <c r="C388"/>
      <c r="D388"/>
      <c r="E388"/>
      <c r="F388"/>
      <c r="G388"/>
      <c r="H388"/>
      <c r="I388"/>
      <c r="J388"/>
    </row>
    <row r="389" ht="15" customHeight="true">
      <c r="A389"/>
      <c r="B389"/>
      <c r="C389"/>
      <c r="D389"/>
      <c r="E389"/>
      <c r="F389"/>
      <c r="G389"/>
      <c r="H389"/>
      <c r="I389"/>
      <c r="J389"/>
    </row>
    <row r="390" ht="15" customHeight="true">
      <c r="A390"/>
      <c r="B390"/>
      <c r="C390"/>
      <c r="D390"/>
      <c r="E390"/>
      <c r="F390"/>
      <c r="G390"/>
      <c r="H390"/>
      <c r="I390"/>
      <c r="J390"/>
    </row>
    <row r="391" ht="15" customHeight="true">
      <c r="A391"/>
      <c r="B391"/>
      <c r="C391"/>
      <c r="D391"/>
      <c r="E391"/>
      <c r="F391"/>
      <c r="G391"/>
      <c r="H391"/>
      <c r="I391"/>
      <c r="J391"/>
    </row>
    <row r="392" ht="15" customHeight="true">
      <c r="A392"/>
      <c r="B392"/>
      <c r="C392"/>
      <c r="D392"/>
      <c r="E392"/>
      <c r="F392"/>
      <c r="G392"/>
      <c r="H392"/>
      <c r="I392"/>
      <c r="J392"/>
    </row>
    <row r="393" ht="15" customHeight="true">
      <c r="A393"/>
      <c r="B393"/>
      <c r="C393"/>
      <c r="D393"/>
      <c r="E393"/>
      <c r="F393"/>
      <c r="G393"/>
      <c r="H393"/>
      <c r="I393"/>
      <c r="J393"/>
    </row>
    <row r="394" ht="15" customHeight="true">
      <c r="A394"/>
      <c r="B394"/>
      <c r="C394"/>
      <c r="D394"/>
      <c r="E394"/>
      <c r="F394"/>
      <c r="G394"/>
      <c r="H394"/>
      <c r="I394"/>
      <c r="J394"/>
    </row>
    <row r="395" ht="15" customHeight="true">
      <c r="A395"/>
      <c r="B395"/>
      <c r="C395"/>
      <c r="D395"/>
      <c r="E395"/>
      <c r="F395"/>
      <c r="G395"/>
      <c r="H395"/>
      <c r="I395"/>
      <c r="J395"/>
    </row>
    <row r="396" ht="15" customHeight="true">
      <c r="A396"/>
      <c r="B396"/>
      <c r="C396"/>
      <c r="D396"/>
      <c r="E396"/>
      <c r="F396"/>
      <c r="G396"/>
      <c r="H396"/>
      <c r="I396"/>
      <c r="J396"/>
    </row>
    <row r="397" ht="15" customHeight="true">
      <c r="A397"/>
      <c r="B397"/>
      <c r="C397"/>
      <c r="D397"/>
      <c r="E397"/>
      <c r="F397"/>
      <c r="G397"/>
      <c r="H397"/>
      <c r="I397"/>
      <c r="J397"/>
    </row>
    <row r="398" ht="15" customHeight="true">
      <c r="A398"/>
      <c r="B398"/>
      <c r="C398"/>
      <c r="D398"/>
      <c r="E398"/>
      <c r="F398"/>
      <c r="G398"/>
      <c r="H398"/>
      <c r="I398"/>
      <c r="J398"/>
    </row>
    <row r="399" ht="15" customHeight="true">
      <c r="A399"/>
      <c r="B399"/>
      <c r="C399"/>
      <c r="D399"/>
      <c r="E399"/>
      <c r="F399"/>
      <c r="G399"/>
      <c r="H399"/>
      <c r="I399"/>
      <c r="J399"/>
    </row>
    <row r="400" ht="15" customHeight="true">
      <c r="A400"/>
      <c r="B400"/>
      <c r="C400"/>
      <c r="D400"/>
      <c r="E400"/>
      <c r="F400"/>
      <c r="G400"/>
      <c r="H400"/>
      <c r="I400"/>
      <c r="J400"/>
    </row>
    <row r="401" ht="15" customHeight="true">
      <c r="A401"/>
      <c r="B401"/>
      <c r="C401"/>
      <c r="D401"/>
      <c r="E401"/>
      <c r="F401"/>
      <c r="G401"/>
      <c r="H401"/>
      <c r="I401"/>
      <c r="J401"/>
    </row>
    <row r="402" ht="15" customHeight="true">
      <c r="A402"/>
      <c r="B402"/>
      <c r="C402"/>
      <c r="D402"/>
      <c r="E402"/>
      <c r="F402"/>
      <c r="G402"/>
      <c r="H402"/>
      <c r="I402"/>
      <c r="J402"/>
    </row>
    <row r="403" ht="15" customHeight="true">
      <c r="A403"/>
      <c r="B403"/>
      <c r="C403"/>
      <c r="D403"/>
      <c r="E403"/>
      <c r="F403"/>
      <c r="G403"/>
      <c r="H403"/>
      <c r="I403"/>
      <c r="J403"/>
    </row>
    <row r="404" ht="15" customHeight="true">
      <c r="A404"/>
      <c r="B404"/>
      <c r="C404"/>
      <c r="D404"/>
      <c r="E404"/>
      <c r="F404"/>
      <c r="G404"/>
      <c r="H404"/>
      <c r="I404"/>
      <c r="J404"/>
    </row>
    <row r="405" ht="15" customHeight="true">
      <c r="A405"/>
      <c r="B405"/>
      <c r="C405"/>
      <c r="D405"/>
      <c r="E405"/>
      <c r="F405"/>
      <c r="G405"/>
      <c r="H405"/>
      <c r="I405"/>
      <c r="J405"/>
    </row>
    <row r="406" ht="15" customHeight="true">
      <c r="A406"/>
      <c r="B406"/>
      <c r="C406"/>
      <c r="D406"/>
      <c r="E406"/>
      <c r="F406"/>
      <c r="G406"/>
      <c r="H406"/>
      <c r="I406"/>
      <c r="J406"/>
    </row>
    <row r="407" ht="15" customHeight="true">
      <c r="A407"/>
      <c r="B407"/>
      <c r="C407"/>
      <c r="D407"/>
      <c r="E407"/>
      <c r="F407"/>
      <c r="G407"/>
      <c r="H407"/>
      <c r="I407"/>
      <c r="J407"/>
    </row>
    <row r="408" ht="15" customHeight="true">
      <c r="A408"/>
      <c r="B408"/>
      <c r="C408"/>
      <c r="D408"/>
      <c r="E408"/>
      <c r="F408"/>
      <c r="G408"/>
      <c r="H408"/>
      <c r="I408"/>
      <c r="J408"/>
    </row>
    <row r="409" ht="15" customHeight="true">
      <c r="A409"/>
      <c r="B409"/>
      <c r="C409"/>
      <c r="D409"/>
      <c r="E409"/>
      <c r="F409"/>
      <c r="G409"/>
      <c r="H409"/>
      <c r="I409"/>
      <c r="J409"/>
    </row>
    <row r="410" ht="15" customHeight="true">
      <c r="A410"/>
      <c r="B410"/>
      <c r="C410"/>
      <c r="D410"/>
      <c r="E410"/>
      <c r="F410"/>
      <c r="G410"/>
      <c r="H410"/>
      <c r="I410"/>
      <c r="J410"/>
    </row>
    <row r="411" ht="15" customHeight="true">
      <c r="A411"/>
      <c r="B411"/>
      <c r="C411"/>
      <c r="D411"/>
      <c r="E411"/>
      <c r="F411"/>
      <c r="G411"/>
      <c r="H411"/>
      <c r="I411"/>
      <c r="J411"/>
    </row>
    <row r="412" ht="15" customHeight="true">
      <c r="A412"/>
      <c r="B412"/>
      <c r="C412"/>
      <c r="D412"/>
      <c r="E412"/>
      <c r="F412"/>
      <c r="G412"/>
      <c r="H412"/>
      <c r="I412"/>
      <c r="J412"/>
    </row>
    <row r="413" ht="15" customHeight="true">
      <c r="A413"/>
      <c r="B413"/>
      <c r="C413"/>
      <c r="D413"/>
      <c r="E413"/>
      <c r="F413"/>
      <c r="G413"/>
      <c r="H413"/>
      <c r="I413"/>
      <c r="J413"/>
    </row>
    <row r="414" ht="15" customHeight="true">
      <c r="A414"/>
      <c r="B414"/>
      <c r="C414"/>
      <c r="D414"/>
      <c r="E414"/>
      <c r="F414"/>
      <c r="G414"/>
      <c r="H414"/>
      <c r="I414"/>
      <c r="J414"/>
    </row>
    <row r="415" ht="15" customHeight="true">
      <c r="A415"/>
      <c r="B415"/>
      <c r="C415"/>
      <c r="D415"/>
      <c r="E415"/>
      <c r="F415"/>
      <c r="G415"/>
      <c r="H415"/>
      <c r="I415"/>
      <c r="J415"/>
    </row>
    <row r="416" ht="15" customHeight="true">
      <c r="A416"/>
      <c r="B416"/>
      <c r="C416"/>
      <c r="D416"/>
      <c r="E416"/>
      <c r="F416"/>
      <c r="G416"/>
      <c r="H416"/>
      <c r="I416"/>
      <c r="J416"/>
    </row>
    <row r="417" ht="15" customHeight="true">
      <c r="A417"/>
      <c r="B417"/>
      <c r="C417"/>
      <c r="D417"/>
      <c r="E417"/>
      <c r="F417"/>
      <c r="G417"/>
      <c r="H417"/>
      <c r="I417"/>
      <c r="J417"/>
    </row>
    <row r="418" ht="15" customHeight="true">
      <c r="A418"/>
      <c r="B418"/>
      <c r="C418"/>
      <c r="D418"/>
      <c r="E418"/>
      <c r="F418"/>
      <c r="G418"/>
      <c r="H418"/>
      <c r="I418"/>
      <c r="J418"/>
    </row>
    <row r="419" ht="15" customHeight="true">
      <c r="A419"/>
      <c r="B419"/>
      <c r="C419"/>
      <c r="D419"/>
      <c r="E419"/>
      <c r="F419"/>
      <c r="G419"/>
      <c r="H419"/>
      <c r="I419"/>
      <c r="J419"/>
    </row>
    <row r="420" ht="15" customHeight="true">
      <c r="A420"/>
      <c r="B420"/>
      <c r="C420"/>
      <c r="D420"/>
      <c r="E420"/>
      <c r="F420"/>
      <c r="G420"/>
      <c r="H420"/>
      <c r="I420"/>
      <c r="J420"/>
    </row>
    <row r="421" ht="15" customHeight="true">
      <c r="A421"/>
      <c r="B421"/>
      <c r="C421"/>
      <c r="D421"/>
      <c r="E421"/>
      <c r="F421"/>
      <c r="G421"/>
      <c r="H421"/>
      <c r="I421"/>
      <c r="J421"/>
    </row>
    <row r="422" ht="15" customHeight="true">
      <c r="A422"/>
      <c r="B422"/>
      <c r="C422"/>
      <c r="D422"/>
      <c r="E422"/>
      <c r="F422"/>
      <c r="G422"/>
      <c r="H422"/>
      <c r="I422"/>
      <c r="J422"/>
    </row>
    <row r="423" ht="15" customHeight="true">
      <c r="A423"/>
      <c r="B423"/>
      <c r="C423"/>
      <c r="D423"/>
      <c r="E423"/>
      <c r="F423"/>
      <c r="G423"/>
      <c r="H423"/>
      <c r="I423"/>
      <c r="J423"/>
    </row>
    <row r="424" ht="15" customHeight="true">
      <c r="A424"/>
      <c r="B424"/>
      <c r="C424"/>
      <c r="D424"/>
      <c r="E424"/>
      <c r="F424"/>
      <c r="G424"/>
      <c r="H424"/>
      <c r="I424"/>
      <c r="J424"/>
    </row>
    <row r="425" ht="15" customHeight="true">
      <c r="A425"/>
      <c r="B425"/>
      <c r="C425"/>
      <c r="D425"/>
      <c r="E425"/>
      <c r="F425"/>
      <c r="G425"/>
      <c r="H425"/>
      <c r="I425"/>
      <c r="J425"/>
    </row>
    <row r="426" ht="15" customHeight="true">
      <c r="A426"/>
      <c r="B426"/>
      <c r="C426"/>
      <c r="D426"/>
      <c r="E426"/>
      <c r="F426"/>
      <c r="G426"/>
      <c r="H426"/>
      <c r="I426"/>
      <c r="J426"/>
    </row>
    <row r="427" ht="15" customHeight="true">
      <c r="A427"/>
      <c r="B427"/>
      <c r="C427"/>
      <c r="D427"/>
      <c r="E427"/>
      <c r="F427"/>
      <c r="G427"/>
      <c r="H427"/>
      <c r="I427"/>
      <c r="J427"/>
    </row>
    <row r="428" ht="15" customHeight="true">
      <c r="A428"/>
      <c r="B428"/>
      <c r="C428"/>
      <c r="D428"/>
      <c r="E428"/>
      <c r="F428"/>
      <c r="G428"/>
      <c r="H428"/>
      <c r="I428"/>
      <c r="J428"/>
    </row>
    <row r="429" ht="15" customHeight="true">
      <c r="A429"/>
      <c r="B429"/>
      <c r="C429"/>
      <c r="D429"/>
      <c r="E429"/>
      <c r="F429"/>
      <c r="G429"/>
      <c r="H429"/>
      <c r="I429"/>
      <c r="J429"/>
    </row>
    <row r="430" ht="15" customHeight="true">
      <c r="A430"/>
      <c r="B430"/>
      <c r="C430"/>
      <c r="D430"/>
      <c r="E430"/>
      <c r="F430"/>
      <c r="G430"/>
      <c r="H430"/>
      <c r="I430"/>
      <c r="J430"/>
    </row>
    <row r="431" ht="15" customHeight="true">
      <c r="A431"/>
      <c r="B431"/>
      <c r="C431"/>
      <c r="D431"/>
      <c r="E431"/>
      <c r="F431"/>
      <c r="G431"/>
      <c r="H431"/>
      <c r="I431"/>
      <c r="J431"/>
    </row>
    <row r="432" ht="15" customHeight="true">
      <c r="A432"/>
      <c r="B432"/>
      <c r="C432"/>
      <c r="D432"/>
      <c r="E432"/>
      <c r="F432"/>
      <c r="G432"/>
      <c r="H432"/>
      <c r="I432"/>
      <c r="J432"/>
    </row>
    <row r="433" ht="15" customHeight="true">
      <c r="A433"/>
      <c r="B433"/>
      <c r="C433"/>
      <c r="D433"/>
      <c r="E433"/>
      <c r="F433"/>
      <c r="G433"/>
      <c r="H433"/>
      <c r="I433"/>
      <c r="J433"/>
    </row>
    <row r="434" ht="15" customHeight="true">
      <c r="A434"/>
      <c r="B434"/>
      <c r="C434"/>
      <c r="D434"/>
      <c r="E434"/>
      <c r="F434"/>
      <c r="G434"/>
      <c r="H434"/>
      <c r="I434"/>
      <c r="J434"/>
    </row>
    <row r="435" ht="15" customHeight="true">
      <c r="A435"/>
      <c r="B435"/>
      <c r="C435"/>
      <c r="D435"/>
      <c r="E435"/>
      <c r="F435"/>
      <c r="G435"/>
      <c r="H435"/>
      <c r="I435"/>
      <c r="J435"/>
    </row>
    <row r="436" ht="15" customHeight="true">
      <c r="A436"/>
      <c r="B436"/>
      <c r="C436"/>
      <c r="D436"/>
      <c r="E436"/>
      <c r="F436"/>
      <c r="G436"/>
      <c r="H436"/>
      <c r="I436"/>
      <c r="J436"/>
    </row>
    <row r="437" ht="15" customHeight="true">
      <c r="A437"/>
      <c r="B437"/>
      <c r="C437"/>
      <c r="D437"/>
      <c r="E437"/>
      <c r="F437"/>
      <c r="G437"/>
      <c r="H437"/>
      <c r="I437"/>
      <c r="J437"/>
    </row>
    <row r="438" ht="15" customHeight="true">
      <c r="A438"/>
      <c r="B438"/>
      <c r="C438"/>
      <c r="D438"/>
      <c r="E438"/>
      <c r="F438"/>
      <c r="G438"/>
      <c r="H438"/>
      <c r="I438"/>
      <c r="J438"/>
    </row>
    <row r="439" ht="15" customHeight="true">
      <c r="A439"/>
      <c r="B439"/>
      <c r="C439"/>
      <c r="D439"/>
      <c r="E439"/>
      <c r="F439"/>
      <c r="G439"/>
      <c r="H439"/>
      <c r="I439"/>
      <c r="J439"/>
    </row>
    <row r="440" ht="15" customHeight="true">
      <c r="A440"/>
      <c r="B440"/>
      <c r="C440"/>
      <c r="D440"/>
      <c r="E440"/>
      <c r="F440"/>
      <c r="G440"/>
      <c r="H440"/>
      <c r="I440"/>
      <c r="J440"/>
    </row>
    <row r="441" ht="15" customHeight="true">
      <c r="A441"/>
      <c r="B441"/>
      <c r="C441"/>
      <c r="D441"/>
      <c r="E441"/>
      <c r="F441"/>
      <c r="G441"/>
      <c r="H441"/>
      <c r="I441"/>
      <c r="J441"/>
    </row>
    <row r="442" ht="15" customHeight="true">
      <c r="A442"/>
      <c r="B442"/>
      <c r="C442"/>
      <c r="D442"/>
      <c r="E442"/>
      <c r="F442"/>
      <c r="G442"/>
      <c r="H442"/>
      <c r="I442"/>
      <c r="J442"/>
    </row>
    <row r="443" ht="15" customHeight="true">
      <c r="A443"/>
      <c r="B443"/>
      <c r="C443"/>
      <c r="D443"/>
      <c r="E443"/>
      <c r="F443"/>
      <c r="G443"/>
      <c r="H443"/>
      <c r="I443"/>
      <c r="J443"/>
    </row>
    <row r="444" ht="15" customHeight="true">
      <c r="A444"/>
      <c r="B444"/>
      <c r="C444"/>
      <c r="D444"/>
      <c r="E444"/>
      <c r="F444"/>
      <c r="G444"/>
      <c r="H444"/>
      <c r="I444"/>
      <c r="J444"/>
    </row>
    <row r="445" ht="15" customHeight="true">
      <c r="A445"/>
      <c r="B445"/>
      <c r="C445"/>
      <c r="D445"/>
      <c r="E445"/>
      <c r="F445"/>
      <c r="G445"/>
      <c r="H445"/>
      <c r="I445"/>
      <c r="J445"/>
    </row>
    <row r="446" ht="15" customHeight="true">
      <c r="A446"/>
      <c r="B446"/>
      <c r="C446"/>
      <c r="D446"/>
      <c r="E446"/>
      <c r="F446"/>
      <c r="G446"/>
      <c r="H446"/>
      <c r="I446"/>
      <c r="J446"/>
    </row>
    <row r="447" ht="15" customHeight="true">
      <c r="A447"/>
      <c r="B447"/>
      <c r="C447"/>
      <c r="D447"/>
      <c r="E447"/>
      <c r="F447"/>
      <c r="G447"/>
      <c r="H447"/>
      <c r="I447"/>
      <c r="J447"/>
    </row>
    <row r="448" ht="15" customHeight="true">
      <c r="A448"/>
      <c r="B448"/>
      <c r="C448"/>
      <c r="D448"/>
      <c r="E448"/>
      <c r="F448"/>
      <c r="G448"/>
      <c r="H448"/>
      <c r="I448"/>
      <c r="J448"/>
    </row>
    <row r="449" ht="15" customHeight="true">
      <c r="A449"/>
      <c r="B449"/>
      <c r="C449"/>
      <c r="D449"/>
      <c r="E449"/>
      <c r="F449"/>
      <c r="G449"/>
      <c r="H449"/>
      <c r="I449"/>
      <c r="J449"/>
    </row>
    <row r="450" ht="15" customHeight="true">
      <c r="A450"/>
      <c r="B450"/>
      <c r="C450"/>
      <c r="D450"/>
      <c r="E450"/>
      <c r="F450"/>
      <c r="G450"/>
      <c r="H450"/>
      <c r="I450"/>
      <c r="J450"/>
    </row>
    <row r="451" ht="15" customHeight="true">
      <c r="A451"/>
      <c r="B451"/>
      <c r="C451"/>
      <c r="D451"/>
      <c r="E451"/>
      <c r="F451"/>
      <c r="G451"/>
      <c r="H451"/>
      <c r="I451"/>
      <c r="J451"/>
    </row>
    <row r="452" ht="15" customHeight="true">
      <c r="A452"/>
      <c r="B452"/>
      <c r="C452"/>
      <c r="D452"/>
      <c r="E452"/>
      <c r="F452"/>
      <c r="G452"/>
      <c r="H452"/>
      <c r="I452"/>
      <c r="J452"/>
    </row>
    <row r="453" ht="15" customHeight="true">
      <c r="A453"/>
      <c r="B453"/>
      <c r="C453"/>
      <c r="D453"/>
      <c r="E453"/>
      <c r="F453"/>
      <c r="G453"/>
      <c r="H453"/>
      <c r="I453"/>
      <c r="J453"/>
    </row>
    <row r="454" ht="15" customHeight="true">
      <c r="A454"/>
      <c r="B454"/>
      <c r="C454"/>
      <c r="D454"/>
      <c r="E454"/>
      <c r="F454"/>
      <c r="G454"/>
      <c r="H454"/>
      <c r="I454"/>
      <c r="J454"/>
    </row>
    <row r="455" ht="15" customHeight="true">
      <c r="A455"/>
      <c r="B455"/>
      <c r="C455"/>
      <c r="D455"/>
      <c r="E455"/>
      <c r="F455"/>
      <c r="G455"/>
      <c r="H455"/>
      <c r="I455"/>
      <c r="J455"/>
    </row>
    <row r="456" ht="15" customHeight="true">
      <c r="A456"/>
      <c r="B456"/>
      <c r="C456"/>
      <c r="D456"/>
      <c r="E456"/>
      <c r="F456"/>
      <c r="G456"/>
      <c r="H456"/>
      <c r="I456"/>
      <c r="J456"/>
    </row>
    <row r="457" ht="15" customHeight="true">
      <c r="A457"/>
      <c r="B457"/>
      <c r="C457"/>
      <c r="D457"/>
      <c r="E457"/>
      <c r="F457"/>
      <c r="G457"/>
      <c r="H457"/>
      <c r="I457"/>
      <c r="J457"/>
    </row>
    <row r="458" ht="15" customHeight="true">
      <c r="A458"/>
      <c r="B458"/>
      <c r="C458"/>
      <c r="D458"/>
      <c r="E458"/>
      <c r="F458"/>
      <c r="G458"/>
      <c r="H458"/>
      <c r="I458"/>
      <c r="J458"/>
    </row>
    <row r="459" ht="15" customHeight="true">
      <c r="A459"/>
      <c r="B459"/>
      <c r="C459"/>
      <c r="D459"/>
      <c r="E459"/>
      <c r="F459"/>
      <c r="G459"/>
      <c r="H459"/>
      <c r="I459"/>
      <c r="J459"/>
    </row>
    <row r="460" ht="15" customHeight="true">
      <c r="A460"/>
      <c r="B460"/>
      <c r="C460"/>
      <c r="D460"/>
      <c r="E460"/>
      <c r="F460"/>
      <c r="G460"/>
      <c r="H460"/>
      <c r="I460"/>
      <c r="J460"/>
    </row>
    <row r="461" ht="15" customHeight="true">
      <c r="A461"/>
      <c r="B461"/>
      <c r="C461"/>
      <c r="D461"/>
      <c r="E461"/>
      <c r="F461"/>
      <c r="G461"/>
      <c r="H461"/>
      <c r="I461"/>
      <c r="J461"/>
    </row>
    <row r="462" ht="15" customHeight="true">
      <c r="A462"/>
      <c r="B462"/>
      <c r="C462"/>
      <c r="D462"/>
      <c r="E462"/>
      <c r="F462"/>
      <c r="G462"/>
      <c r="H462"/>
      <c r="I462"/>
      <c r="J462"/>
    </row>
    <row r="463" ht="15" customHeight="true">
      <c r="A463"/>
      <c r="B463"/>
      <c r="C463"/>
      <c r="D463"/>
      <c r="E463"/>
      <c r="F463"/>
      <c r="G463"/>
      <c r="H463"/>
      <c r="I463"/>
      <c r="J463"/>
    </row>
    <row r="464" ht="15" customHeight="true">
      <c r="A464"/>
      <c r="B464"/>
      <c r="C464"/>
      <c r="D464"/>
      <c r="E464"/>
      <c r="F464"/>
      <c r="G464"/>
      <c r="H464"/>
      <c r="I464"/>
      <c r="J464"/>
    </row>
    <row r="465" ht="15" customHeight="true">
      <c r="A465"/>
      <c r="B465"/>
      <c r="C465"/>
      <c r="D465"/>
      <c r="E465"/>
      <c r="F465"/>
      <c r="G465"/>
      <c r="H465"/>
      <c r="I465"/>
      <c r="J465"/>
    </row>
    <row r="466" ht="15" customHeight="true">
      <c r="A466"/>
      <c r="B466"/>
      <c r="C466"/>
      <c r="D466"/>
      <c r="E466"/>
      <c r="F466"/>
      <c r="G466"/>
      <c r="H466"/>
      <c r="I466"/>
      <c r="J466"/>
    </row>
    <row r="467" ht="15" customHeight="true">
      <c r="A467"/>
      <c r="B467"/>
      <c r="C467"/>
      <c r="D467"/>
      <c r="E467"/>
      <c r="F467"/>
      <c r="G467"/>
      <c r="H467"/>
      <c r="I467"/>
      <c r="J467"/>
    </row>
    <row r="468" ht="15" customHeight="true">
      <c r="A468"/>
      <c r="B468"/>
      <c r="C468"/>
      <c r="D468"/>
      <c r="E468"/>
      <c r="F468"/>
      <c r="G468"/>
      <c r="H468"/>
      <c r="I468"/>
      <c r="J468"/>
    </row>
    <row r="469" ht="15" customHeight="true">
      <c r="A469"/>
      <c r="B469"/>
      <c r="C469"/>
      <c r="D469"/>
      <c r="E469"/>
      <c r="F469"/>
      <c r="G469"/>
      <c r="H469"/>
      <c r="I469"/>
      <c r="J469"/>
    </row>
    <row r="470" ht="15" customHeight="true">
      <c r="A470"/>
      <c r="B470"/>
      <c r="C470"/>
      <c r="D470"/>
      <c r="E470"/>
      <c r="F470"/>
      <c r="G470"/>
      <c r="H470"/>
      <c r="I470"/>
      <c r="J470"/>
    </row>
    <row r="471" ht="15" customHeight="true">
      <c r="A471"/>
      <c r="B471"/>
      <c r="C471"/>
      <c r="D471"/>
      <c r="E471"/>
      <c r="F471"/>
      <c r="G471"/>
      <c r="H471"/>
      <c r="I471"/>
      <c r="J471"/>
    </row>
    <row r="472" ht="15" customHeight="true">
      <c r="A472"/>
      <c r="B472"/>
      <c r="C472"/>
      <c r="D472"/>
      <c r="E472"/>
      <c r="F472"/>
      <c r="G472"/>
      <c r="H472"/>
      <c r="I472"/>
      <c r="J472"/>
    </row>
    <row r="473" ht="15" customHeight="true">
      <c r="A473"/>
      <c r="B473"/>
      <c r="C473"/>
      <c r="D473"/>
      <c r="E473"/>
      <c r="F473"/>
      <c r="G473"/>
      <c r="H473"/>
      <c r="I473"/>
      <c r="J473"/>
    </row>
    <row r="474" ht="15" customHeight="true">
      <c r="A474"/>
      <c r="B474"/>
      <c r="C474"/>
      <c r="D474"/>
      <c r="E474"/>
      <c r="F474"/>
      <c r="G474"/>
      <c r="H474"/>
      <c r="I474"/>
      <c r="J474"/>
    </row>
    <row r="475" ht="15" customHeight="true">
      <c r="A475"/>
      <c r="B475"/>
      <c r="C475"/>
      <c r="D475"/>
      <c r="E475"/>
      <c r="F475"/>
      <c r="G475"/>
      <c r="H475"/>
      <c r="I475"/>
      <c r="J475"/>
    </row>
    <row r="476" ht="15" customHeight="true">
      <c r="A476"/>
      <c r="B476"/>
      <c r="C476"/>
      <c r="D476"/>
      <c r="E476"/>
      <c r="F476"/>
      <c r="G476"/>
      <c r="H476"/>
      <c r="I476"/>
      <c r="J476"/>
    </row>
    <row r="477" ht="15" customHeight="true">
      <c r="A477"/>
      <c r="B477"/>
      <c r="C477"/>
      <c r="D477"/>
      <c r="E477"/>
      <c r="F477"/>
      <c r="G477"/>
      <c r="H477"/>
      <c r="I477"/>
      <c r="J477"/>
    </row>
    <row r="478" ht="15" customHeight="true">
      <c r="A478"/>
      <c r="B478"/>
      <c r="C478"/>
      <c r="D478"/>
      <c r="E478"/>
      <c r="F478"/>
      <c r="G478"/>
      <c r="H478"/>
      <c r="I478"/>
      <c r="J478"/>
    </row>
    <row r="479" ht="15" customHeight="true">
      <c r="A479"/>
      <c r="B479"/>
      <c r="C479"/>
      <c r="D479"/>
      <c r="E479"/>
      <c r="F479"/>
      <c r="G479"/>
      <c r="H479"/>
      <c r="I479"/>
      <c r="J479"/>
    </row>
    <row r="480" ht="15" customHeight="true">
      <c r="A480"/>
      <c r="B480"/>
      <c r="C480"/>
      <c r="D480"/>
      <c r="E480"/>
      <c r="F480"/>
      <c r="G480"/>
      <c r="H480"/>
      <c r="I480"/>
      <c r="J480"/>
    </row>
    <row r="481" ht="15" customHeight="true">
      <c r="A481"/>
      <c r="B481"/>
      <c r="C481"/>
      <c r="D481"/>
      <c r="E481"/>
      <c r="F481"/>
      <c r="G481"/>
      <c r="H481"/>
      <c r="I481"/>
      <c r="J481"/>
    </row>
    <row r="482" ht="15" customHeight="true">
      <c r="A482"/>
      <c r="B482"/>
      <c r="C482"/>
      <c r="D482"/>
      <c r="E482"/>
      <c r="F482"/>
      <c r="G482"/>
      <c r="H482"/>
      <c r="I482"/>
      <c r="J482"/>
    </row>
    <row r="483" ht="15" customHeight="true">
      <c r="A483"/>
      <c r="B483"/>
      <c r="C483"/>
      <c r="D483"/>
      <c r="E483"/>
      <c r="F483"/>
      <c r="G483"/>
      <c r="H483"/>
      <c r="I483"/>
      <c r="J483"/>
    </row>
    <row r="484" ht="15" customHeight="true">
      <c r="A484"/>
      <c r="B484"/>
      <c r="C484"/>
      <c r="D484"/>
      <c r="E484"/>
      <c r="F484"/>
      <c r="G484"/>
      <c r="H484"/>
      <c r="I484"/>
      <c r="J484"/>
    </row>
    <row r="485" ht="15" customHeight="true">
      <c r="A485"/>
      <c r="B485"/>
      <c r="C485"/>
      <c r="D485"/>
      <c r="E485"/>
      <c r="F485"/>
      <c r="G485"/>
      <c r="H485"/>
      <c r="I485"/>
      <c r="J485"/>
    </row>
    <row r="486" ht="15" customHeight="true">
      <c r="A486"/>
      <c r="B486"/>
      <c r="C486"/>
      <c r="D486"/>
      <c r="E486"/>
      <c r="F486"/>
      <c r="G486"/>
      <c r="H486"/>
      <c r="I486"/>
      <c r="J486"/>
    </row>
    <row r="487" ht="15" customHeight="true">
      <c r="A487"/>
      <c r="B487"/>
      <c r="C487"/>
      <c r="D487"/>
      <c r="E487"/>
      <c r="F487"/>
      <c r="G487"/>
      <c r="H487"/>
      <c r="I487"/>
      <c r="J487"/>
    </row>
    <row r="488" ht="15" customHeight="true">
      <c r="A488"/>
      <c r="B488"/>
      <c r="C488"/>
      <c r="D488"/>
      <c r="E488"/>
      <c r="F488"/>
      <c r="G488"/>
      <c r="H488"/>
      <c r="I488"/>
      <c r="J488"/>
    </row>
    <row r="489" ht="15" customHeight="true">
      <c r="A489"/>
      <c r="B489"/>
      <c r="C489"/>
      <c r="D489"/>
      <c r="E489"/>
      <c r="F489"/>
      <c r="G489"/>
      <c r="H489"/>
      <c r="I489"/>
      <c r="J489"/>
    </row>
    <row r="490" ht="15" customHeight="true">
      <c r="A490"/>
      <c r="B490"/>
      <c r="C490"/>
      <c r="D490"/>
      <c r="E490"/>
      <c r="F490"/>
      <c r="G490"/>
      <c r="H490"/>
      <c r="I490"/>
      <c r="J490"/>
    </row>
    <row r="491" ht="15" customHeight="true">
      <c r="A491"/>
      <c r="B491"/>
      <c r="C491"/>
      <c r="D491"/>
      <c r="E491"/>
      <c r="F491"/>
      <c r="G491"/>
      <c r="H491"/>
      <c r="I491"/>
      <c r="J491"/>
    </row>
    <row r="492" ht="15" customHeight="true">
      <c r="A492"/>
      <c r="B492"/>
      <c r="C492"/>
      <c r="D492"/>
      <c r="E492"/>
      <c r="F492"/>
      <c r="G492"/>
      <c r="H492"/>
      <c r="I492"/>
      <c r="J492"/>
    </row>
    <row r="493" ht="15" customHeight="true">
      <c r="A493"/>
      <c r="B493"/>
      <c r="C493"/>
      <c r="D493"/>
      <c r="E493"/>
      <c r="F493"/>
      <c r="G493"/>
      <c r="H493"/>
      <c r="I493"/>
      <c r="J493"/>
    </row>
    <row r="494" ht="15" customHeight="true">
      <c r="A494"/>
      <c r="B494"/>
      <c r="C494"/>
      <c r="D494"/>
      <c r="E494"/>
      <c r="F494"/>
      <c r="G494"/>
      <c r="H494"/>
      <c r="I494"/>
      <c r="J494"/>
    </row>
    <row r="495" ht="15" customHeight="true">
      <c r="A495"/>
      <c r="B495"/>
      <c r="C495"/>
      <c r="D495"/>
      <c r="E495"/>
      <c r="F495"/>
      <c r="G495"/>
      <c r="H495"/>
      <c r="I495"/>
      <c r="J495"/>
    </row>
    <row r="496" ht="15" customHeight="true">
      <c r="A496"/>
      <c r="B496"/>
      <c r="C496"/>
      <c r="D496"/>
      <c r="E496"/>
      <c r="F496"/>
      <c r="G496"/>
      <c r="H496"/>
      <c r="I496"/>
      <c r="J496"/>
    </row>
    <row r="497" ht="15" customHeight="true">
      <c r="A497"/>
      <c r="B497"/>
      <c r="C497"/>
      <c r="D497"/>
      <c r="E497"/>
      <c r="F497"/>
      <c r="G497"/>
      <c r="H497"/>
      <c r="I497"/>
      <c r="J497"/>
    </row>
    <row r="498" ht="15" customHeight="true">
      <c r="A498"/>
      <c r="B498"/>
      <c r="C498"/>
      <c r="D498"/>
      <c r="E498"/>
      <c r="F498"/>
      <c r="G498"/>
      <c r="H498"/>
      <c r="I498"/>
      <c r="J498"/>
    </row>
    <row r="499" ht="15" customHeight="true">
      <c r="A499"/>
      <c r="B499"/>
      <c r="C499"/>
      <c r="D499"/>
      <c r="E499"/>
      <c r="F499"/>
      <c r="G499"/>
      <c r="H499"/>
      <c r="I499"/>
      <c r="J499"/>
    </row>
    <row r="500" ht="15" customHeight="true">
      <c r="A500"/>
      <c r="B500"/>
      <c r="C500"/>
      <c r="D500"/>
      <c r="E500"/>
      <c r="F500"/>
      <c r="G500"/>
      <c r="H500"/>
      <c r="I500"/>
      <c r="J500"/>
    </row>
  </sheetData>
  <dataConsolidate/>
  <phoneticPr fontId="3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/>
  <cols>
    <col min="1" max="1" width="40.33203125" style="44" bestFit="true" customWidth="true"/>
    <col min="2" max="4" width="9.5" style="44" bestFit="true" customWidth="true"/>
    <col min="5" max="7" width="9" style="44" bestFit="true" customWidth="true"/>
    <col min="8" max="16" width="12.6640625" style="44" bestFit="true" customWidth="true"/>
    <col min="17" max="17" width="12.33203125" style="44" bestFit="true" customWidth="true"/>
    <col min="18" max="18" width="8.83203125" style="44"/>
    <col min="19" max="21" width="9.33203125" style="44" bestFit="true" customWidth="true"/>
    <col min="22" max="23" width="8.83203125" style="44"/>
    <col min="24" max="24" width="9.33203125" style="44" bestFit="true" customWidth="true"/>
    <col min="25" max="27" width="8.83203125" style="44"/>
    <col min="28" max="58" width="9" style="44" bestFit="true" customWidth="true"/>
    <col min="59" max="59" width="12.33203125" style="44" bestFit="true" customWidth="true"/>
    <col min="60" max="60" width="9" style="44" bestFit="true" customWidth="true"/>
    <col min="61" max="61" width="11.33203125" style="44" bestFit="true" customWidth="true"/>
    <col min="62" max="77" width="9" style="44" bestFit="true" customWidth="true"/>
    <col min="78" max="78" width="12.33203125" style="44" bestFit="true" customWidth="true"/>
    <col min="79" max="79" width="9" style="44" bestFit="true" customWidth="true"/>
    <col min="80" max="80" width="12.33203125" style="44" bestFit="true" customWidth="true"/>
    <col min="81" max="107" width="9" style="44" bestFit="true" customWidth="true"/>
    <col min="108" max="108" width="11.33203125" style="44" bestFit="true" customWidth="true"/>
    <col min="109" max="124" width="9" style="44" bestFit="true" customWidth="true"/>
    <col min="125" max="125" width="10.33203125" style="44" bestFit="true" customWidth="true"/>
    <col min="126" max="129" width="9.33203125" style="44" bestFit="true" customWidth="true"/>
    <col min="130" max="130" width="9" style="44" bestFit="true" customWidth="true"/>
    <col min="131" max="134" width="9.33203125" style="44" bestFit="true" customWidth="true"/>
    <col min="135" max="165" width="9" style="44" bestFit="true" customWidth="true"/>
    <col min="166" max="166" width="12.33203125" style="44" bestFit="true" customWidth="true"/>
    <col min="167" max="170" width="9" style="44" bestFit="true" customWidth="true"/>
    <col min="171" max="176" width="8.83203125" style="44"/>
    <col min="177" max="177" width="13.83203125" style="44" bestFit="true" customWidth="true"/>
    <col min="178" max="16384" width="8.83203125" style="44"/>
  </cols>
  <sheetData>
    <row r="1" ht="15" customHeight="true">
      <c r="A1" t="s">
        <v>16</v>
      </c>
      <c r="B1" t="s">
        <v>1</v>
      </c>
      <c r="C1" t="s">
        <v>17</v>
      </c>
      <c r="D1" t="s">
        <v>211</v>
      </c>
      <c r="E1" t="s">
        <v>182</v>
      </c>
      <c r="F1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>
      <c r="A2" t="s">
        <v>182</v>
      </c>
      <c r="B2">
        <v>9.0000003576278687E-2</v>
      </c>
      <c r="C2">
        <v>9.0000003576278687E-2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>
      <c r="A3" t="s">
        <v>188</v>
      </c>
      <c r="B3">
        <v>0.60000002384185791</v>
      </c>
      <c r="C3">
        <v>0.30000004172325134</v>
      </c>
      <c r="D3" s="166">
        <v>0.29999998211860657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>
      <c r="A4" t="s">
        <v>189</v>
      </c>
      <c r="B4">
        <v>0.75</v>
      </c>
      <c r="C4">
        <v>0.32999998331069946</v>
      </c>
      <c r="D4" s="193">
        <v>0.40000000596046448</v>
      </c>
      <c r="E4"/>
      <c r="F4"/>
      <c r="G4" s="16">
        <v>1.9999999552965164E-2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>
      <c r="A5" t="s">
        <v>190</v>
      </c>
      <c r="B5">
        <v>0.69999998807907104</v>
      </c>
      <c r="C5">
        <v>0.32285714149475098</v>
      </c>
      <c r="D5" s="194">
        <v>0.37714287638664246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>
      <c r="A6" t="s">
        <v>191</v>
      </c>
      <c r="B6">
        <v>0.80000001192092896</v>
      </c>
      <c r="C6">
        <v>0.35111108422279358</v>
      </c>
      <c r="D6" s="195">
        <v>0.38000002503395081</v>
      </c>
      <c r="E6"/>
      <c r="F6"/>
      <c r="G6" s="55">
        <v>3.1111113727092743E-2</v>
      </c>
      <c r="H6"/>
      <c r="I6"/>
      <c r="J6" s="20">
        <v>3.7777777761220932E-2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>
      <c r="A7" t="s">
        <v>192</v>
      </c>
      <c r="B7">
        <v>0.5</v>
      </c>
      <c r="C7">
        <v>0.13058826327323914</v>
      </c>
      <c r="D7" s="196">
        <v>6.4705878496170044E-2</v>
      </c>
      <c r="E7"/>
      <c r="F7" s="200">
        <v>0.12352941185235977</v>
      </c>
      <c r="G7" s="56">
        <v>1.6470586881041527E-2</v>
      </c>
      <c r="H7" s="160">
        <v>0.16470587253570557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>
      <c r="A8" t="s">
        <v>193</v>
      </c>
      <c r="B8">
        <v>0.75</v>
      </c>
      <c r="C8">
        <v>3.0000507831573486E-3</v>
      </c>
      <c r="D8" s="197">
        <v>0.12399999797344208</v>
      </c>
      <c r="E8"/>
      <c r="F8" s="43">
        <v>0.12600000202655792</v>
      </c>
      <c r="G8"/>
      <c r="H8"/>
      <c r="I8"/>
      <c r="J8" s="47">
        <v>1.6999999061226845E-2</v>
      </c>
      <c r="K8" s="60">
        <v>5.9999998658895493E-2</v>
      </c>
      <c r="L8" s="204">
        <v>0.41999998688697815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>
      <c r="A9" t="s">
        <v>194</v>
      </c>
      <c r="B9">
        <v>0.89999997615814209</v>
      </c>
      <c r="C9">
        <v>1.9999945536255836E-2</v>
      </c>
      <c r="D9" s="198">
        <v>0.28714287281036377</v>
      </c>
      <c r="E9" s="159">
        <v>0.29999998211860657</v>
      </c>
      <c r="F9"/>
      <c r="G9"/>
      <c r="H9" s="71">
        <v>0.10000000149011612</v>
      </c>
      <c r="I9" s="64">
        <v>0.19285716116428375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>
      <c r="A10" t="s">
        <v>195</v>
      </c>
      <c r="B10">
        <v>4</v>
      </c>
      <c r="C10">
        <v>0.65166687965393066</v>
      </c>
      <c r="D10" s="14">
        <v>3.3333331346511841E-2</v>
      </c>
      <c r="E10" s="57">
        <v>0.19999998807907104</v>
      </c>
      <c r="F10"/>
      <c r="G10"/>
      <c r="H10" s="42">
        <v>0.37333330512046814</v>
      </c>
      <c r="I10" s="71">
        <v>0.44999998807907104</v>
      </c>
      <c r="J10" s="19">
        <v>0.14166665077209473</v>
      </c>
      <c r="K10" s="62">
        <v>1</v>
      </c>
      <c r="L10" s="40">
        <v>0.34999996423721313</v>
      </c>
      <c r="M10" s="58">
        <v>0.30000001192092896</v>
      </c>
      <c r="N10" s="72">
        <v>0.5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>
      <c r="A11" t="s">
        <v>196</v>
      </c>
      <c r="B11">
        <v>1.5</v>
      </c>
      <c r="C11">
        <v>0.49800002574920654</v>
      </c>
      <c r="D11" s="13">
        <v>2.9999999329447746E-2</v>
      </c>
      <c r="E11" s="51">
        <v>0.29999998211860657</v>
      </c>
      <c r="F11"/>
      <c r="G11" s="65">
        <v>0.3919999897480011</v>
      </c>
      <c r="H11" s="201">
        <v>0.27999997138977051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>
      <c r="A12" t="s">
        <v>197</v>
      </c>
      <c r="B12">
        <v>1.7999999523162842</v>
      </c>
      <c r="C12">
        <v>0.55199998617172241</v>
      </c>
      <c r="D12" s="35">
        <v>9.9999994039535522E-2</v>
      </c>
      <c r="E12"/>
      <c r="F12" s="38">
        <v>0.10499999672174454</v>
      </c>
      <c r="G12" s="58">
        <v>0.13300000131130219</v>
      </c>
      <c r="H12" s="59">
        <v>0.20999999344348907</v>
      </c>
      <c r="I12"/>
      <c r="J12"/>
      <c r="K12"/>
      <c r="L12" s="202">
        <v>0.69999998807907104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>
      <c r="A13" t="s">
        <v>198</v>
      </c>
      <c r="B13">
        <v>2.5</v>
      </c>
      <c r="C13">
        <v>0.45249998569488525</v>
      </c>
      <c r="D13" s="199">
        <v>0.81999999284744263</v>
      </c>
      <c r="E13" s="39">
        <v>0.125</v>
      </c>
      <c r="F13" s="36">
        <v>5.2499998360872269E-2</v>
      </c>
      <c r="G13" s="10">
        <v>2.3333333432674408E-2</v>
      </c>
      <c r="H13" s="70">
        <v>0.34999999403953552</v>
      </c>
      <c r="I13" s="52">
        <v>0.22499999403953552</v>
      </c>
      <c r="J13" s="56">
        <v>8.4999985992908478E-2</v>
      </c>
      <c r="K13"/>
      <c r="L13" s="47">
        <v>5.8333329856395721E-2</v>
      </c>
      <c r="M13" s="54">
        <v>7.5000002980232239E-2</v>
      </c>
      <c r="N13"/>
      <c r="O13" s="42">
        <v>0.23333331942558289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>
      <c r="A14" t="s">
        <v>199</v>
      </c>
      <c r="B14">
        <v>4</v>
      </c>
      <c r="C14">
        <v>0.23000001907348633</v>
      </c>
      <c r="D14" s="62">
        <v>1.0073333978652954</v>
      </c>
      <c r="E14" s="51">
        <v>0.80000001192092896</v>
      </c>
      <c r="F14" s="19">
        <v>0.14000000059604645</v>
      </c>
      <c r="G14" s="9">
        <v>9.333333931863308E-3</v>
      </c>
      <c r="H14"/>
      <c r="I14"/>
      <c r="J14"/>
      <c r="K14" s="63">
        <v>0.69999998807907104</v>
      </c>
      <c r="L14" s="61">
        <v>0.51333332061767578</v>
      </c>
      <c r="M14" s="206">
        <v>0.60000002384185791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>
      <c r="A15" t="s">
        <v>200</v>
      </c>
      <c r="B15">
        <v>3.5</v>
      </c>
      <c r="C15">
        <v>0.92357128858566284</v>
      </c>
      <c r="D15" s="14">
        <v>2.857142873108387E-2</v>
      </c>
      <c r="E15" s="203">
        <v>0.21428573131561279</v>
      </c>
      <c r="F15" s="14">
        <v>2.9999999329447746E-2</v>
      </c>
      <c r="G15" s="54">
        <v>0.10000000149011612</v>
      </c>
      <c r="H15" s="162">
        <v>0.30000001192092896</v>
      </c>
      <c r="I15" s="205">
        <v>0.3857143223285675</v>
      </c>
      <c r="J15" s="12">
        <v>6.0714282095432281E-2</v>
      </c>
      <c r="K15" s="49">
        <v>0.42857146263122559</v>
      </c>
      <c r="L15" s="162">
        <v>0.29999998211860657</v>
      </c>
      <c r="M15" s="161">
        <v>0.51428574323654175</v>
      </c>
      <c r="N15" s="203">
        <v>0.21428573131561279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>
      <c r="A16" t="s">
        <v>201</v>
      </c>
      <c r="B16">
        <v>4</v>
      </c>
      <c r="C16">
        <v>1.2122998237609863</v>
      </c>
      <c r="D16" s="7">
        <v>9.9999993108212948E-4</v>
      </c>
      <c r="E16" s="48">
        <v>0.18000000715255737</v>
      </c>
      <c r="F16" s="9">
        <v>4.19999985024333E-3</v>
      </c>
      <c r="G16" s="8">
        <v>1.4000000432133675E-2</v>
      </c>
      <c r="H16" s="14">
        <v>2.8000000864267349E-2</v>
      </c>
      <c r="I16" s="20">
        <v>0.18899998068809509</v>
      </c>
      <c r="J16" s="11">
        <v>5.9499997645616531E-2</v>
      </c>
      <c r="K16" s="54">
        <v>0.12000000476837158</v>
      </c>
      <c r="L16" s="41">
        <v>0.2800000011920929</v>
      </c>
      <c r="M16" s="46">
        <v>0.27000004053115845</v>
      </c>
      <c r="N16" s="16">
        <v>0.10999999940395355</v>
      </c>
      <c r="O16" s="17">
        <v>0.12600000202655792</v>
      </c>
      <c r="P16" s="208">
        <v>0.72000008821487427</v>
      </c>
      <c r="Q16"/>
      <c r="R16" s="72">
        <v>0.50400000810623169</v>
      </c>
      <c r="S16"/>
      <c r="T16"/>
      <c r="U16" s="48">
        <v>0.18200001120567322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>
      <c r="A17" t="s">
        <v>202</v>
      </c>
      <c r="B17">
        <v>10</v>
      </c>
      <c r="C17">
        <v>3.1200003623962402</v>
      </c>
      <c r="D17"/>
      <c r="E17" s="54">
        <v>0.30000001192092896</v>
      </c>
      <c r="F17"/>
      <c r="G17"/>
      <c r="H17"/>
      <c r="I17" s="35">
        <v>0.54000002145767212</v>
      </c>
      <c r="J17" s="12">
        <v>0.16999998688697815</v>
      </c>
      <c r="K17"/>
      <c r="L17"/>
      <c r="M17" s="48">
        <v>0.45000001788139343</v>
      </c>
      <c r="N17" s="11">
        <v>0.15000000596046448</v>
      </c>
      <c r="O17" s="16">
        <v>0.2800000011920929</v>
      </c>
      <c r="P17" s="53">
        <v>2.4000000953674316</v>
      </c>
      <c r="Q17"/>
      <c r="R17" s="43">
        <v>1.6799999475479126</v>
      </c>
      <c r="S17"/>
      <c r="T17"/>
      <c r="U17" s="52">
        <v>0.9100000262260437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>
      <c r="A18" t="s">
        <v>203</v>
      </c>
      <c r="B18">
        <v>7.5</v>
      </c>
      <c r="C18">
        <v>1.0121427774429321</v>
      </c>
      <c r="D18" s="38">
        <v>0.44285714626312256</v>
      </c>
      <c r="E18"/>
      <c r="F18"/>
      <c r="G18" s="9">
        <v>2.0000001415610313E-2</v>
      </c>
      <c r="H18" s="50">
        <v>0.40000000596046448</v>
      </c>
      <c r="I18" s="39">
        <v>0.3857143223285675</v>
      </c>
      <c r="J18" s="47">
        <v>0.18214288353919983</v>
      </c>
      <c r="K18" s="60">
        <v>0.60000002384185791</v>
      </c>
      <c r="L18" s="60">
        <v>0.59999996423721313</v>
      </c>
      <c r="M18" s="162">
        <v>0.64285719394683838</v>
      </c>
      <c r="N18"/>
      <c r="O18" s="55">
        <v>0.30000001192092896</v>
      </c>
      <c r="P18" s="207">
        <v>1.7142858505249023</v>
      </c>
      <c r="Q18"/>
      <c r="R18" s="69">
        <v>1.1999999284744263</v>
      </c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>
      <c r="A19" t="s">
        <v>204</v>
      </c>
      <c r="B19">
        <v>30</v>
      </c>
      <c r="C19">
        <v>7.252500057220459</v>
      </c>
      <c r="D19"/>
      <c r="E19"/>
      <c r="F19"/>
      <c r="G19"/>
      <c r="H19"/>
      <c r="I19"/>
      <c r="J19"/>
      <c r="K19" s="9">
        <v>7.5000002980232239E-2</v>
      </c>
      <c r="L19"/>
      <c r="M19" s="15">
        <v>0.20250001549720764</v>
      </c>
      <c r="N19"/>
      <c r="O19"/>
      <c r="P19" s="13">
        <v>0.60000002384185791</v>
      </c>
      <c r="Q19" s="72">
        <v>3.75</v>
      </c>
      <c r="R19" s="14">
        <v>0.20999999344348907</v>
      </c>
      <c r="S19" s="37">
        <v>1.25</v>
      </c>
      <c r="T19" s="18">
        <v>0.75</v>
      </c>
      <c r="U19" s="54">
        <v>0.9100000262260437</v>
      </c>
      <c r="V19" s="166">
        <v>15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>
      <c r="A20" t="s">
        <v>205</v>
      </c>
      <c r="B20">
        <v>200</v>
      </c>
      <c r="C20">
        <v>162.4320068359375</v>
      </c>
      <c r="D20"/>
      <c r="E20"/>
      <c r="F20"/>
      <c r="G20"/>
      <c r="H20"/>
      <c r="I20"/>
      <c r="J20"/>
      <c r="K20"/>
      <c r="L20"/>
      <c r="M20"/>
      <c r="N20"/>
      <c r="O20"/>
      <c r="P20" s="7">
        <v>4.8000000417232513E-2</v>
      </c>
      <c r="Q20" s="8">
        <v>0.80000001192092896</v>
      </c>
      <c r="R20"/>
      <c r="S20" s="13">
        <v>4.0000004768371582</v>
      </c>
      <c r="T20" s="8">
        <v>0.72000002861022949</v>
      </c>
      <c r="U20"/>
      <c r="V20" s="69">
        <v>32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>
      <c r="A21" t="s">
        <v>206</v>
      </c>
      <c r="B21">
        <v>0.2199999988079071</v>
      </c>
      <c r="C21">
        <v>0.13511110842227936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s="39">
        <v>1.1111111380159855E-2</v>
      </c>
      <c r="T21" s="206">
        <v>3.3333335071802139E-2</v>
      </c>
      <c r="U21" s="209">
        <v>4.0444444864988327E-2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>
      <c r="A22" t="s">
        <v>207</v>
      </c>
      <c r="B22">
        <v>125</v>
      </c>
      <c r="C22">
        <v>76.760002136230469</v>
      </c>
      <c r="D22"/>
      <c r="E22"/>
      <c r="F22"/>
      <c r="G22"/>
      <c r="H22"/>
      <c r="I22"/>
      <c r="J22"/>
      <c r="K22"/>
      <c r="L22"/>
      <c r="M22"/>
      <c r="N22"/>
      <c r="O22"/>
      <c r="P22" s="14">
        <v>0.96000003814697266</v>
      </c>
      <c r="Q22" s="20">
        <v>6</v>
      </c>
      <c r="R22"/>
      <c r="S22" s="210">
        <v>28</v>
      </c>
      <c r="T22" s="20">
        <v>6</v>
      </c>
      <c r="U22" s="38">
        <v>7.2800002098083496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>
      <c r="A23" t="s">
        <v>208</v>
      </c>
      <c r="B23"/>
      <c r="C23">
        <v>4.8105370253324509E-2</v>
      </c>
      <c r="D23"/>
      <c r="E23"/>
      <c r="F23"/>
      <c r="G23"/>
      <c r="H23" s="5">
        <v>7.0000000298023224E-2</v>
      </c>
      <c r="I23" s="5">
        <v>0.13500000536441803</v>
      </c>
      <c r="J23" s="5">
        <v>4.2499996721744537E-2</v>
      </c>
      <c r="K23"/>
      <c r="L23" s="5">
        <v>0.17499999701976776</v>
      </c>
      <c r="M23"/>
      <c r="N23"/>
      <c r="O23"/>
      <c r="P23" s="5">
        <v>1.2000000476837158</v>
      </c>
      <c r="Q23"/>
      <c r="R23" s="5">
        <v>2.5199999809265137</v>
      </c>
      <c r="S23" s="5">
        <v>20</v>
      </c>
      <c r="T23" s="5">
        <v>40.200000762939453</v>
      </c>
      <c r="U23" s="5">
        <v>5.4600000381469727</v>
      </c>
      <c r="V23" s="5">
        <v>60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>
      <c r="A24" t="s">
        <v>124</v>
      </c>
      <c r="B24"/>
      <c r="C24">
        <v>0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>
      <c r="A25" t="s">
        <v>125</v>
      </c>
      <c r="B25"/>
      <c r="C25">
        <v>65535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29" sqref="D2:D29"/>
    </sheetView>
  </sheetViews>
  <sheetFormatPr baseColWidth="10" defaultRowHeight="16"/>
  <cols>
    <col min="1" max="1" width="33.6640625" style="75" bestFit="true" customWidth="true"/>
    <col min="2" max="2" width="6.42578125" style="75" customWidth="true"/>
    <col min="3" max="3" width="9" style="220" customWidth="true"/>
    <col min="4" max="4" width="31" style="75" bestFit="true" customWidth="true"/>
    <col min="5" max="5" width="13.83203125" style="75" bestFit="true" customWidth="true"/>
    <col min="6" max="6" width="5.28515625" style="75" bestFit="true" customWidth="true"/>
    <col min="7" max="7" width="15.33203125" style="75" bestFit="true" customWidth="true"/>
    <col min="8" max="8" width="31" style="75" bestFit="true" customWidth="true"/>
    <col min="9" max="9" width="10.83203125" style="75"/>
    <col min="10" max="10" width="18" style="75" bestFit="true" customWidth="true"/>
    <col min="11" max="11" width="14" style="75" bestFit="true" customWidth="true"/>
    <col min="12" max="14" width="10.83203125" style="75"/>
    <col min="15" max="15" width="14.33203125" style="75" bestFit="true" customWidth="true"/>
    <col min="16" max="16" width="39.83203125" style="75" bestFit="true" customWidth="true"/>
    <col min="17" max="16384" width="10.83203125" style="75"/>
  </cols>
  <sheetData>
    <row r="1" s="74" customFormat="true" ht="17" thickBot="true">
      <c r="C1" s="212"/>
      <c r="D1" s="74" t="s">
        <v>33</v>
      </c>
      <c r="E1" s="74" t="s">
        <v>34</v>
      </c>
      <c r="F1" s="74" t="s">
        <v>35</v>
      </c>
      <c r="G1" s="74" t="s">
        <v>36</v>
      </c>
      <c r="H1" s="74" t="s">
        <v>37</v>
      </c>
      <c r="J1" s="74" t="s">
        <v>132</v>
      </c>
      <c r="K1" s="74" t="s">
        <v>133</v>
      </c>
      <c r="L1" s="76" t="s">
        <v>175</v>
      </c>
    </row>
    <row r="2">
      <c r="A2" s="74" t="s">
        <v>38</v>
      </c>
      <c r="B2" s="213">
        <v>3</v>
      </c>
      <c r="C2" s="214"/>
      <c r="D2" s="73" t="s">
        <v>39</v>
      </c>
      <c r="E2" s="75">
        <v>1</v>
      </c>
      <c r="F2" s="78">
        <v>1</v>
      </c>
      <c r="G2" s="75">
        <v>1</v>
      </c>
      <c r="H2" s="77" t="s">
        <v>39</v>
      </c>
      <c r="J2" s="215"/>
      <c r="K2" s="216"/>
      <c r="L2" s="76" t="s">
        <v>176</v>
      </c>
    </row>
    <row r="3" ht="17" thickBot="true">
      <c r="A3" s="74" t="s">
        <v>40</v>
      </c>
      <c r="B3" s="217">
        <v>0</v>
      </c>
      <c r="C3" s="214"/>
      <c r="D3" s="73" t="s">
        <v>41</v>
      </c>
      <c r="E3" s="75">
        <v>2</v>
      </c>
      <c r="F3" s="79">
        <v>1.1000000000000001</v>
      </c>
      <c r="G3" s="75">
        <v>2</v>
      </c>
      <c r="H3" s="77" t="s">
        <v>41</v>
      </c>
      <c r="J3" s="218"/>
      <c r="K3" s="219"/>
    </row>
    <row r="4">
      <c r="D4" s="73" t="s">
        <v>42</v>
      </c>
      <c r="E4" s="75">
        <v>3</v>
      </c>
      <c r="F4" s="80">
        <v>1.2</v>
      </c>
      <c r="G4" s="75">
        <v>3</v>
      </c>
      <c r="H4" s="77" t="s">
        <v>42</v>
      </c>
      <c r="J4" s="218"/>
      <c r="K4" s="219"/>
    </row>
    <row r="5">
      <c r="D5" s="211" t="s">
        <v>182</v>
      </c>
      <c r="E5" s="75">
        <v>4</v>
      </c>
      <c r="F5" s="220">
        <v>3.1600000000000001</v>
      </c>
      <c r="G5" s="75">
        <v>4</v>
      </c>
      <c r="H5" s="211" t="s">
        <v>182</v>
      </c>
      <c r="J5" s="218"/>
      <c r="K5" s="219"/>
    </row>
    <row r="6" ht="17" thickBot="true">
      <c r="A6" s="221" t="s">
        <v>123</v>
      </c>
      <c r="D6" s="211" t="s">
        <v>188</v>
      </c>
      <c r="E6" s="75">
        <v>5</v>
      </c>
      <c r="F6" s="220">
        <v>3.1400000000000001</v>
      </c>
      <c r="G6" s="75">
        <v>5</v>
      </c>
      <c r="H6" s="211" t="s">
        <v>188</v>
      </c>
      <c r="J6" s="218"/>
      <c r="K6" s="219"/>
    </row>
    <row r="7">
      <c r="A7" s="222" t="s">
        <v>128</v>
      </c>
      <c r="B7" s="223">
        <v>1</v>
      </c>
      <c r="C7" s="224"/>
      <c r="D7" s="211" t="s">
        <v>189</v>
      </c>
      <c r="E7" s="75">
        <v>6</v>
      </c>
      <c r="F7" s="220">
        <v>3.2400000000000002</v>
      </c>
      <c r="G7" s="75">
        <v>6</v>
      </c>
      <c r="H7" s="211" t="s">
        <v>189</v>
      </c>
      <c r="J7" s="218"/>
      <c r="K7" s="219"/>
    </row>
    <row r="8">
      <c r="A8" s="222" t="s">
        <v>39</v>
      </c>
      <c r="B8" s="225">
        <v>1</v>
      </c>
      <c r="C8" s="224"/>
      <c r="D8" s="211" t="s">
        <v>190</v>
      </c>
      <c r="E8" s="75">
        <v>7</v>
      </c>
      <c r="F8" s="220">
        <v>3.2400000000000002</v>
      </c>
      <c r="G8" s="75">
        <v>7</v>
      </c>
      <c r="H8" s="211" t="s">
        <v>190</v>
      </c>
      <c r="J8" s="218"/>
      <c r="K8" s="219"/>
    </row>
    <row r="9">
      <c r="A9" s="222" t="s">
        <v>41</v>
      </c>
      <c r="B9" s="225">
        <v>1.1000000000000001</v>
      </c>
      <c r="C9" s="224"/>
      <c r="D9" s="211" t="s">
        <v>191</v>
      </c>
      <c r="E9" s="75">
        <v>8</v>
      </c>
      <c r="F9" s="220">
        <v>3.2400000000000002</v>
      </c>
      <c r="G9" s="75">
        <v>8</v>
      </c>
      <c r="H9" s="211" t="s">
        <v>191</v>
      </c>
      <c r="J9" s="218"/>
      <c r="K9" s="219"/>
    </row>
    <row r="10">
      <c r="A10" s="222" t="s">
        <v>42</v>
      </c>
      <c r="B10" s="225">
        <v>1.2</v>
      </c>
      <c r="C10" s="224"/>
      <c r="D10" s="211" t="s">
        <v>192</v>
      </c>
      <c r="E10" s="75">
        <v>9</v>
      </c>
      <c r="F10" s="220">
        <v>3.2400000000000002</v>
      </c>
      <c r="G10" s="75">
        <v>9</v>
      </c>
      <c r="H10" s="211" t="s">
        <v>192</v>
      </c>
      <c r="J10" s="218"/>
      <c r="K10" s="219"/>
    </row>
    <row r="11" ht="16" customHeight="true">
      <c r="A11" s="226" t="s">
        <v>129</v>
      </c>
      <c r="B11" s="225">
        <v>2</v>
      </c>
      <c r="C11" s="224"/>
      <c r="D11" s="211" t="s">
        <v>193</v>
      </c>
      <c r="E11" s="75">
        <v>10</v>
      </c>
      <c r="F11" s="220">
        <v>3.1400000000000001</v>
      </c>
      <c r="G11" s="75">
        <v>10</v>
      </c>
      <c r="H11" s="211" t="s">
        <v>193</v>
      </c>
      <c r="J11" s="218"/>
      <c r="K11" s="219"/>
    </row>
    <row r="12">
      <c r="A12" s="222" t="s">
        <v>43</v>
      </c>
      <c r="B12" s="225">
        <v>2.1200000000000001</v>
      </c>
      <c r="C12" s="224"/>
      <c r="D12" s="211" t="s">
        <v>194</v>
      </c>
      <c r="E12" s="75">
        <v>11</v>
      </c>
      <c r="F12" s="220">
        <v>3.2400000000000002</v>
      </c>
      <c r="G12" s="75">
        <v>11</v>
      </c>
      <c r="H12" s="211" t="s">
        <v>194</v>
      </c>
      <c r="J12" s="218"/>
      <c r="K12" s="219"/>
    </row>
    <row r="13">
      <c r="A13" s="222" t="s">
        <v>44</v>
      </c>
      <c r="B13" s="225">
        <v>2.1099999999999999</v>
      </c>
      <c r="C13" s="224"/>
      <c r="D13" s="211" t="s">
        <v>195</v>
      </c>
      <c r="E13" s="75">
        <v>12</v>
      </c>
      <c r="F13" s="220">
        <v>3.1299999999999999</v>
      </c>
      <c r="G13" s="75">
        <v>12</v>
      </c>
      <c r="H13" s="211" t="s">
        <v>195</v>
      </c>
      <c r="J13" s="218"/>
      <c r="K13" s="219"/>
    </row>
    <row r="14">
      <c r="A14" s="222" t="s">
        <v>69</v>
      </c>
      <c r="B14" s="225">
        <v>2.2200000000000002</v>
      </c>
      <c r="C14" s="224"/>
      <c r="D14" s="211" t="s">
        <v>196</v>
      </c>
      <c r="E14" s="75">
        <v>13</v>
      </c>
      <c r="F14" s="220">
        <v>3.21</v>
      </c>
      <c r="G14" s="75">
        <v>13</v>
      </c>
      <c r="H14" s="211" t="s">
        <v>196</v>
      </c>
      <c r="J14" s="218"/>
      <c r="K14" s="219"/>
    </row>
    <row r="15">
      <c r="A15" s="226" t="s">
        <v>130</v>
      </c>
      <c r="B15" s="225">
        <v>3</v>
      </c>
      <c r="C15" s="224"/>
      <c r="D15" s="211" t="s">
        <v>197</v>
      </c>
      <c r="E15" s="75">
        <v>14</v>
      </c>
      <c r="F15" s="220">
        <v>3.2400000000000002</v>
      </c>
      <c r="G15" s="75">
        <v>14</v>
      </c>
      <c r="H15" s="211" t="s">
        <v>197</v>
      </c>
      <c r="J15" s="218"/>
      <c r="K15" s="219"/>
    </row>
    <row r="16">
      <c r="A16" s="222" t="s">
        <v>64</v>
      </c>
      <c r="B16" s="225">
        <v>3.1099999999999999</v>
      </c>
      <c r="C16" s="224"/>
      <c r="D16" s="211" t="s">
        <v>198</v>
      </c>
      <c r="E16" s="75">
        <v>15</v>
      </c>
      <c r="F16" s="220">
        <v>3.2400000000000002</v>
      </c>
      <c r="G16" s="75">
        <v>15</v>
      </c>
      <c r="H16" s="211" t="s">
        <v>198</v>
      </c>
      <c r="J16" s="218"/>
      <c r="K16" s="219"/>
    </row>
    <row r="17">
      <c r="A17" s="222" t="s">
        <v>63</v>
      </c>
      <c r="B17" s="225">
        <v>3.1400000000000001</v>
      </c>
      <c r="C17" s="224"/>
      <c r="D17" s="211" t="s">
        <v>199</v>
      </c>
      <c r="E17" s="75">
        <v>16</v>
      </c>
      <c r="F17" s="220">
        <v>3.1400000000000001</v>
      </c>
      <c r="G17" s="75">
        <v>16</v>
      </c>
      <c r="H17" s="211" t="s">
        <v>199</v>
      </c>
      <c r="J17" s="218"/>
      <c r="K17" s="219"/>
    </row>
    <row r="18">
      <c r="A18" s="222" t="s">
        <v>70</v>
      </c>
      <c r="B18" s="225">
        <v>3.1600000000000001</v>
      </c>
      <c r="C18" s="224"/>
      <c r="D18" s="211" t="s">
        <v>200</v>
      </c>
      <c r="E18" s="75">
        <v>17</v>
      </c>
      <c r="F18" s="220">
        <v>3.21</v>
      </c>
      <c r="G18" s="75">
        <v>17</v>
      </c>
      <c r="H18" s="211" t="s">
        <v>200</v>
      </c>
      <c r="J18" s="218"/>
      <c r="K18" s="219"/>
    </row>
    <row r="19">
      <c r="A19" s="222" t="s">
        <v>68</v>
      </c>
      <c r="B19" s="225">
        <v>3.21</v>
      </c>
      <c r="C19" s="224"/>
      <c r="D19" s="211" t="s">
        <v>201</v>
      </c>
      <c r="E19" s="75">
        <v>18</v>
      </c>
      <c r="F19" s="220">
        <v>3.21</v>
      </c>
      <c r="G19" s="75">
        <v>18</v>
      </c>
      <c r="H19" s="211" t="s">
        <v>201</v>
      </c>
      <c r="J19" s="218"/>
      <c r="K19" s="219"/>
    </row>
    <row r="20">
      <c r="A20" s="222" t="s">
        <v>65</v>
      </c>
      <c r="B20" s="225">
        <v>3.2400000000000002</v>
      </c>
      <c r="C20" s="224"/>
      <c r="D20" s="211" t="s">
        <v>202</v>
      </c>
      <c r="E20" s="75">
        <v>19</v>
      </c>
      <c r="F20" s="220">
        <v>3.21</v>
      </c>
      <c r="G20" s="75">
        <v>19</v>
      </c>
      <c r="H20" s="211" t="s">
        <v>202</v>
      </c>
      <c r="J20" s="218"/>
      <c r="K20" s="219"/>
    </row>
    <row r="21" ht="17" thickBot="true">
      <c r="A21" s="222" t="s">
        <v>71</v>
      </c>
      <c r="B21" s="225">
        <v>3.2599999999999998</v>
      </c>
      <c r="C21" s="224"/>
      <c r="D21" s="211" t="s">
        <v>203</v>
      </c>
      <c r="E21" s="75">
        <v>20</v>
      </c>
      <c r="F21" s="220">
        <v>3.02</v>
      </c>
      <c r="G21" s="75">
        <v>20</v>
      </c>
      <c r="H21" s="211" t="s">
        <v>203</v>
      </c>
      <c r="J21" s="227"/>
      <c r="K21" s="228"/>
      <c r="L21" s="76" t="s">
        <v>154</v>
      </c>
    </row>
    <row r="22">
      <c r="A22" s="222" t="s">
        <v>66</v>
      </c>
      <c r="B22" s="225">
        <v>8</v>
      </c>
      <c r="C22" s="224"/>
      <c r="D22" s="211" t="s">
        <v>204</v>
      </c>
      <c r="E22" s="75">
        <v>21</v>
      </c>
      <c r="F22" s="220">
        <v>3.1099999999999999</v>
      </c>
      <c r="G22" s="75">
        <v>21</v>
      </c>
      <c r="H22" s="211" t="s">
        <v>204</v>
      </c>
    </row>
    <row r="23">
      <c r="A23" s="222" t="s">
        <v>131</v>
      </c>
      <c r="B23" s="225">
        <v>4</v>
      </c>
      <c r="C23" s="224"/>
      <c r="D23" s="211" t="s">
        <v>205</v>
      </c>
      <c r="E23" s="75">
        <v>22</v>
      </c>
      <c r="F23" s="220">
        <v>2.1000000000000001</v>
      </c>
      <c r="G23" s="75">
        <v>22</v>
      </c>
      <c r="H23" s="211" t="s">
        <v>205</v>
      </c>
    </row>
    <row r="24">
      <c r="A24" s="222" t="s">
        <v>124</v>
      </c>
      <c r="B24" s="225">
        <v>4.0999999999999996</v>
      </c>
      <c r="C24" s="224"/>
      <c r="D24" s="211" t="s">
        <v>206</v>
      </c>
      <c r="E24" s="75">
        <v>23</v>
      </c>
      <c r="F24" s="220">
        <v>2.2200000000000002</v>
      </c>
      <c r="G24" s="75">
        <v>23</v>
      </c>
      <c r="H24" s="211" t="s">
        <v>206</v>
      </c>
    </row>
    <row r="25">
      <c r="A25" s="222" t="s">
        <v>72</v>
      </c>
      <c r="B25" s="225">
        <v>4.2000000000000002</v>
      </c>
      <c r="C25" s="224"/>
      <c r="D25" s="211" t="s">
        <v>207</v>
      </c>
      <c r="E25" s="75">
        <v>24</v>
      </c>
      <c r="F25" s="220">
        <v>2.21</v>
      </c>
      <c r="G25" s="75">
        <v>24</v>
      </c>
      <c r="H25" s="211" t="s">
        <v>207</v>
      </c>
    </row>
    <row r="26">
      <c r="A26" s="222" t="s">
        <v>125</v>
      </c>
      <c r="B26" s="225">
        <v>4.2999999999999998</v>
      </c>
      <c r="C26" s="224"/>
      <c r="D26" s="211" t="s">
        <v>208</v>
      </c>
      <c r="E26" s="75">
        <v>25</v>
      </c>
      <c r="F26" s="220">
        <v>4</v>
      </c>
      <c r="G26" s="75">
        <v>25</v>
      </c>
      <c r="H26" s="211" t="s">
        <v>208</v>
      </c>
    </row>
    <row r="27">
      <c r="A27" s="222" t="s">
        <v>127</v>
      </c>
      <c r="B27" s="225">
        <v>6.0999999999999996</v>
      </c>
      <c r="D27" s="211" t="s">
        <v>124</v>
      </c>
      <c r="E27" s="75">
        <v>26</v>
      </c>
      <c r="F27" s="220">
        <v>4.0999999999999996</v>
      </c>
      <c r="G27" s="75">
        <v>26</v>
      </c>
      <c r="H27" s="211" t="s">
        <v>124</v>
      </c>
    </row>
    <row r="28">
      <c r="A28" s="222" t="s">
        <v>126</v>
      </c>
      <c r="B28" s="225">
        <v>6.2000000000000002</v>
      </c>
      <c r="D28" s="211" t="s">
        <v>125</v>
      </c>
      <c r="E28" s="75">
        <v>27</v>
      </c>
      <c r="F28" s="220">
        <v>4.2999999999999998</v>
      </c>
      <c r="G28" s="75">
        <v>27</v>
      </c>
      <c r="H28" s="211" t="s">
        <v>125</v>
      </c>
    </row>
    <row r="29">
      <c r="A29" s="222" t="s">
        <v>45</v>
      </c>
      <c r="B29" s="225">
        <v>5</v>
      </c>
      <c r="D29" s="211" t="s">
        <v>209</v>
      </c>
      <c r="E29" s="75">
        <v>28</v>
      </c>
      <c r="F29" s="220">
        <v>5</v>
      </c>
      <c r="G29" s="75">
        <v>28</v>
      </c>
      <c r="H29" s="211" t="s">
        <v>209</v>
      </c>
    </row>
    <row r="30">
      <c r="A30" s="222" t="s">
        <v>75</v>
      </c>
      <c r="B30" s="225">
        <v>7</v>
      </c>
      <c r="D30" s="73" t="s">
        <v>140</v>
      </c>
      <c r="E30" s="75">
        <v>59</v>
      </c>
      <c r="F30" s="220">
        <v>6.1</v>
      </c>
      <c r="G30" s="75">
        <v>59</v>
      </c>
      <c r="H30" s="77" t="s">
        <v>140</v>
      </c>
    </row>
    <row r="31" ht="16" customHeight="true">
      <c r="A31" s="222" t="s">
        <v>179</v>
      </c>
      <c r="B31" s="225">
        <v>3.1110000000000002</v>
      </c>
      <c r="D31" s="73" t="s">
        <v>46</v>
      </c>
      <c r="E31" s="75">
        <v>60</v>
      </c>
      <c r="F31" s="220">
        <v>6.2</v>
      </c>
      <c r="G31" s="75">
        <v>60</v>
      </c>
      <c r="H31" s="77" t="s">
        <v>46</v>
      </c>
    </row>
    <row r="32" ht="16" customHeight="true" thickBot="true">
      <c r="A32" s="226" t="s">
        <v>180</v>
      </c>
      <c r="B32" s="229">
        <v>9</v>
      </c>
      <c r="F32" s="220"/>
    </row>
    <row r="33" s="75" customFormat="true" ht="16" customHeight="true"/>
    <row r="34" s="75" customFormat="true" ht="16" customHeight="true"/>
    <row r="35" s="75" customFormat="true" ht="16" customHeight="true"/>
    <row r="36" s="75" customFormat="true" ht="16" customHeight="true"/>
    <row r="37" s="75" customFormat="true" ht="16" customHeight="true"/>
    <row r="38" s="75" customFormat="true"/>
    <row r="39" s="75" customFormat="true"/>
    <row r="40" s="75" customFormat="true"/>
    <row r="41" s="75" customFormat="true"/>
    <row r="42" s="75" customFormat="true"/>
    <row r="43" s="75" customFormat="true"/>
    <row r="44" s="75" customFormat="true"/>
    <row r="45" s="75" customFormat="true"/>
    <row r="46" s="75" customFormat="true"/>
    <row r="47" s="75" customFormat="true" ht="16" customHeight="true"/>
    <row r="48" s="75" customFormat="true" ht="16" customHeight="true"/>
    <row r="49" s="75" customFormat="true" ht="16" customHeight="true"/>
    <row r="50" s="75" customFormat="true" ht="16" customHeight="true"/>
    <row r="51" s="75" customFormat="true" ht="16" customHeight="true"/>
    <row r="52" s="75" customFormat="true" ht="16" customHeight="true"/>
    <row r="53" s="75" customFormat="true" ht="16" customHeight="true">
      <c r="I53" s="76" t="s">
        <v>157</v>
      </c>
    </row>
    <row r="54" s="75" customFormat="true" ht="16" customHeight="true">
      <c r="I54" s="76" t="s">
        <v>157</v>
      </c>
    </row>
    <row r="55" s="75" customFormat="true" ht="16" customHeight="true">
      <c r="I55" s="76" t="s">
        <v>177</v>
      </c>
    </row>
    <row r="56" s="75" customFormat="true" ht="16" customHeight="true">
      <c r="I56" s="76" t="s">
        <v>177</v>
      </c>
    </row>
    <row r="57" s="75" customFormat="true" ht="16" customHeight="true">
      <c r="I57" s="76" t="s">
        <v>177</v>
      </c>
    </row>
    <row r="58" s="75" customFormat="true">
      <c r="I58" s="76" t="s">
        <v>177</v>
      </c>
    </row>
    <row r="59" s="75" customFormat="true">
      <c r="I59" s="76" t="s">
        <v>177</v>
      </c>
    </row>
    <row r="60" s="75" customFormat="true">
      <c r="I60" s="76" t="s">
        <v>158</v>
      </c>
    </row>
    <row r="61" s="75" customFormat="true">
      <c r="I61" s="76" t="s">
        <v>158</v>
      </c>
    </row>
    <row r="62" s="75" customFormat="true"/>
    <row r="63" s="75" customFormat="true"/>
    <row r="64" s="75" customFormat="true"/>
    <row r="65" s="75" customFormat="true"/>
    <row r="66" s="75" customFormat="true"/>
    <row r="67" s="75" customFormat="true"/>
    <row r="68" s="75" customFormat="true"/>
    <row r="69" s="75" customFormat="true"/>
    <row r="70" s="75" customFormat="true"/>
    <row r="71" s="75" customFormat="true"/>
    <row r="72" s="75" customFormat="true"/>
    <row r="73" s="75" customFormat="true"/>
    <row r="74" s="75" customFormat="true"/>
    <row r="75" s="75" customFormat="true"/>
    <row r="76" s="75" customFormat="true"/>
    <row r="77" s="75" customFormat="true"/>
    <row r="78" s="75" customFormat="true"/>
    <row r="79" s="75" customFormat="true"/>
    <row r="80" s="75" customFormat="true"/>
    <row r="81" s="75" customFormat="true"/>
    <row r="82" s="75" customFormat="true"/>
    <row r="83" s="75" customFormat="true"/>
    <row r="84" s="75" customFormat="true"/>
    <row r="85" s="75" customFormat="true"/>
    <row r="86" s="75" customFormat="true"/>
    <row r="87" s="75" customFormat="true"/>
    <row r="88" s="75" customFormat="true"/>
    <row r="89" s="75" customFormat="true"/>
    <row r="90" s="75" customFormat="true"/>
    <row r="91" s="75" customFormat="true"/>
    <row r="92" s="75" customFormat="true"/>
    <row r="93" s="75" customFormat="true"/>
    <row r="94" s="75" customFormat="true"/>
    <row r="95" s="75" customFormat="true"/>
    <row r="96" s="75" customFormat="true"/>
    <row r="97" s="75" customFormat="true"/>
    <row r="98" s="75" customFormat="true"/>
    <row r="99" s="75" customFormat="true"/>
    <row r="100" s="75" customFormat="true"/>
    <row r="101" s="75" customFormat="true"/>
    <row r="102" s="75" customFormat="true"/>
    <row r="103" s="75" customFormat="true"/>
    <row r="104" s="75" customFormat="true"/>
    <row r="105" s="75" customFormat="true"/>
    <row r="106" s="75" customFormat="true"/>
    <row r="107" s="75" customFormat="true"/>
    <row r="108" s="75" customFormat="true"/>
    <row r="109" s="75" customFormat="true"/>
    <row r="110" s="75" customFormat="true"/>
    <row r="111" s="75" customFormat="true"/>
    <row r="112" s="75" customFormat="true"/>
    <row r="113" s="75" customFormat="true"/>
    <row r="114" s="75" customFormat="true"/>
    <row r="115" s="75" customFormat="true"/>
    <row r="116" s="75" customFormat="true"/>
    <row r="117" s="75" customFormat="true"/>
    <row r="118" s="75" customFormat="true"/>
    <row r="119" s="75" customFormat="true"/>
    <row r="120" s="75" customFormat="true"/>
    <row r="121" s="75" customFormat="true"/>
    <row r="122" s="75" customFormat="true"/>
    <row r="123" s="75" customFormat="true"/>
    <row r="124" s="75" customFormat="true"/>
    <row r="125" s="75" customFormat="true"/>
    <row r="126" s="75" customFormat="true"/>
    <row r="127" s="75" customFormat="true"/>
    <row r="128" s="75" customFormat="true"/>
    <row r="129" s="75" customFormat="true"/>
    <row r="130" s="75" customFormat="true"/>
    <row r="131" s="75" customFormat="true"/>
    <row r="132" s="75" customFormat="true"/>
    <row r="133" s="75" customFormat="true"/>
    <row r="134" s="75" customFormat="true"/>
    <row r="135" s="75" customFormat="true"/>
    <row r="136" s="75" customFormat="true"/>
    <row r="137" s="75" customFormat="true"/>
    <row r="138" s="75" customFormat="true"/>
    <row r="139" s="75" customFormat="true"/>
    <row r="140" s="75" customFormat="true"/>
    <row r="141" s="75" customFormat="true"/>
    <row r="142" s="75" customFormat="true"/>
    <row r="143" s="75" customFormat="true"/>
    <row r="144" s="75" customFormat="true"/>
    <row r="145" s="75" customFormat="true"/>
    <row r="146" s="75" customFormat="true"/>
    <row r="147" s="75" customFormat="true"/>
    <row r="148" s="75" customFormat="true"/>
    <row r="149" s="75" customFormat="true"/>
    <row r="150" s="75" customFormat="true"/>
    <row r="151" s="75" customFormat="true"/>
    <row r="152" s="75" customFormat="true"/>
    <row r="153" s="75" customFormat="true"/>
    <row r="154" s="75" customFormat="true"/>
    <row r="155" s="75" customFormat="true"/>
    <row r="156" s="75" customFormat="true"/>
    <row r="157" s="75" customFormat="true"/>
    <row r="158" s="75" customFormat="true"/>
    <row r="159" s="75" customFormat="true"/>
    <row r="160" s="75" customFormat="true"/>
    <row r="161" s="75" customFormat="true"/>
    <row r="162" s="75" customFormat="true"/>
    <row r="163" s="75" customFormat="true"/>
    <row r="164" s="75" customFormat="true"/>
    <row r="165" s="75" customFormat="true"/>
    <row r="166" s="75" customFormat="true"/>
    <row r="167" s="75" customFormat="true"/>
    <row r="168" s="75" customFormat="true"/>
    <row r="169" s="75" customFormat="true"/>
    <row r="170" s="75" customFormat="true"/>
    <row r="171" s="75" customFormat="true"/>
    <row r="172" s="75" customFormat="true"/>
    <row r="173" s="75" customFormat="true"/>
    <row r="174" s="75" customFormat="true"/>
    <row r="175" s="75" customFormat="true"/>
    <row r="176" s="75" customFormat="true"/>
    <row r="177" s="75" customFormat="true"/>
    <row r="178" s="75" customFormat="true"/>
    <row r="179" s="75" customFormat="true"/>
    <row r="180" s="75" customFormat="true"/>
    <row r="181" s="75" customFormat="true"/>
    <row r="182" s="75" customFormat="true"/>
    <row r="183" s="75" customFormat="true"/>
    <row r="184" s="75" customFormat="true"/>
    <row r="185" s="75" customFormat="true"/>
    <row r="186" s="75" customFormat="true"/>
    <row r="187" s="75" customForma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R188"/>
  <sheetViews>
    <sheetView zoomScale="115" workbookViewId="0">
      <pane ySplit="2" topLeftCell="A3" activePane="bottomLeft" state="frozen"/>
      <selection pane="bottomLeft" activeCell="L27" sqref="L27:L30"/>
    </sheetView>
  </sheetViews>
  <sheetFormatPr baseColWidth="10" defaultColWidth="11.5" defaultRowHeight="15" customHeight="true"/>
  <cols>
    <col min="1" max="1" width="26.1640625" style="127" bestFit="true" customWidth="true"/>
    <col min="2" max="5" width="16.1640625" style="67" customWidth="true"/>
    <col min="6" max="6" width="45.6640625" style="67" bestFit="true" customWidth="true"/>
    <col min="7" max="9" width="11.5" style="67"/>
    <col min="10" max="10" width="12.1640625" style="67" bestFit="true" customWidth="true"/>
    <col min="11" max="11" width="11.5" style="158"/>
    <col min="12" max="12" width="11.5" style="152"/>
    <col min="13" max="13" width="11.5" style="158"/>
    <col min="14" max="14" width="11.5" style="152"/>
    <col min="15" max="15" width="11.5" style="158"/>
    <col min="16" max="16" width="11.5" style="155"/>
    <col min="17" max="17" width="14.83203125" style="67" customWidth="true"/>
    <col min="18" max="18" width="22.1640625" style="104" customWidth="true"/>
    <col min="19" max="16384" width="11.5" style="67"/>
  </cols>
  <sheetData>
    <row r="1" ht="15" customHeight="true" thickBot="true">
      <c r="F1" s="88"/>
      <c r="G1" s="111" t="s">
        <v>47</v>
      </c>
      <c r="H1" s="111" t="s">
        <v>48</v>
      </c>
      <c r="I1" s="111" t="s">
        <v>122</v>
      </c>
      <c r="J1" s="111" t="s">
        <v>134</v>
      </c>
      <c r="K1" s="156" t="s">
        <v>49</v>
      </c>
      <c r="L1" s="150"/>
      <c r="M1" s="156" t="s">
        <v>121</v>
      </c>
      <c r="N1" s="150"/>
      <c r="O1" s="156" t="s">
        <v>50</v>
      </c>
      <c r="P1" s="153"/>
      <c r="Q1" s="128" t="s">
        <v>51</v>
      </c>
      <c r="R1" s="111" t="s">
        <v>161</v>
      </c>
    </row>
    <row r="2" ht="15" customHeight="true">
      <c r="A2" s="128" t="s">
        <v>52</v>
      </c>
      <c r="B2" s="129">
        <v>0.5</v>
      </c>
      <c r="C2" s="127" t="s">
        <v>53</v>
      </c>
      <c r="D2" s="130"/>
      <c r="F2" s="88"/>
      <c r="G2" s="131"/>
      <c r="H2" s="131"/>
      <c r="I2" s="131" t="s">
        <v>135</v>
      </c>
      <c r="J2" s="131" t="s">
        <v>135</v>
      </c>
      <c r="K2" s="157" t="s">
        <v>53</v>
      </c>
      <c r="L2" s="151" t="s">
        <v>54</v>
      </c>
      <c r="M2" s="157" t="s">
        <v>53</v>
      </c>
      <c r="N2" s="151" t="s">
        <v>54</v>
      </c>
      <c r="O2" s="157" t="s">
        <v>53</v>
      </c>
      <c r="P2" s="154" t="s">
        <v>54</v>
      </c>
      <c r="Q2" s="131"/>
      <c r="R2" s="132" t="s">
        <v>162</v>
      </c>
    </row>
    <row r="3" ht="15" customHeight="true" thickBot="true">
      <c r="A3" s="128" t="s">
        <v>55</v>
      </c>
      <c r="B3" s="133">
        <v>0.5</v>
      </c>
      <c r="C3" s="127" t="s">
        <v>54</v>
      </c>
      <c r="D3" s="130"/>
      <c r="F3" s="73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230">
        <v>0</v>
      </c>
    </row>
    <row r="4" ht="15" customHeight="true" thickBot="true">
      <c r="F4" s="73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230">
        <v>0</v>
      </c>
    </row>
    <row r="5" ht="15" customHeight="true">
      <c r="A5" s="128" t="s">
        <v>56</v>
      </c>
      <c r="B5" s="134">
        <v>0.5</v>
      </c>
      <c r="C5" s="127" t="s">
        <v>53</v>
      </c>
      <c r="D5" s="130"/>
      <c r="F5" s="73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230">
        <v>0</v>
      </c>
    </row>
    <row r="6" ht="15" customHeight="true" thickBot="true">
      <c r="A6" s="128"/>
      <c r="B6" s="135">
        <v>0.5</v>
      </c>
      <c r="C6" s="127" t="s">
        <v>54</v>
      </c>
      <c r="D6" s="130"/>
      <c r="F6" s="211" t="s">
        <v>182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1</v>
      </c>
      <c r="N6">
        <v>0</v>
      </c>
      <c r="O6">
        <v>1</v>
      </c>
      <c r="P6">
        <v>0</v>
      </c>
      <c r="Q6">
        <v>0</v>
      </c>
      <c r="R6" s="230">
        <v>1</v>
      </c>
    </row>
    <row r="7" ht="15" customHeight="true" thickBot="true">
      <c r="F7" s="211" t="s">
        <v>188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1</v>
      </c>
      <c r="P7">
        <v>0</v>
      </c>
      <c r="Q7">
        <v>0</v>
      </c>
      <c r="R7" s="230">
        <v>1</v>
      </c>
    </row>
    <row r="8" ht="15" customHeight="true">
      <c r="A8" s="128" t="s">
        <v>57</v>
      </c>
      <c r="B8" s="134">
        <f>E32</f>
        <v>0.97329915975227055</v>
      </c>
      <c r="C8" s="102" t="str">
        <f>A32</f>
        <v>Phytoplankton</v>
      </c>
      <c r="D8" s="130" t="s">
        <v>169</v>
      </c>
      <c r="F8" s="211" t="s">
        <v>189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0</v>
      </c>
      <c r="R8" s="230">
        <v>1</v>
      </c>
    </row>
    <row r="9" ht="15" customHeight="true">
      <c r="A9" s="136" t="s">
        <v>178</v>
      </c>
      <c r="B9" s="137">
        <f t="shared" ref="B9:B10" si="0">E33</f>
        <v>6.4237744195570958E-3</v>
      </c>
      <c r="C9" s="102" t="str">
        <f t="shared" ref="C9:C10" si="1">A33</f>
        <v>Mangroves</v>
      </c>
      <c r="D9" s="130" t="s">
        <v>169</v>
      </c>
      <c r="F9" s="211" t="s">
        <v>190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1</v>
      </c>
      <c r="N9">
        <v>0</v>
      </c>
      <c r="O9">
        <v>1</v>
      </c>
      <c r="P9">
        <v>0</v>
      </c>
      <c r="Q9">
        <v>0</v>
      </c>
      <c r="R9" s="230">
        <v>1</v>
      </c>
    </row>
    <row r="10" ht="15" customHeight="true">
      <c r="B10" s="137">
        <f t="shared" si="0"/>
        <v>2.0277065828172305E-2</v>
      </c>
      <c r="C10" s="102" t="str">
        <f t="shared" si="1"/>
        <v>Microphytobenthos</v>
      </c>
      <c r="D10" s="130" t="s">
        <v>169</v>
      </c>
      <c r="F10" s="211" t="s">
        <v>191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>
        <v>0</v>
      </c>
      <c r="R10" s="230">
        <v>1</v>
      </c>
    </row>
    <row r="11" ht="15" customHeight="true">
      <c r="A11" s="128"/>
      <c r="B11" s="137"/>
      <c r="C11" s="102"/>
      <c r="D11" s="130" t="s">
        <v>169</v>
      </c>
      <c r="F11" s="211" t="s">
        <v>192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1</v>
      </c>
      <c r="P11">
        <v>0</v>
      </c>
      <c r="Q11">
        <v>0</v>
      </c>
      <c r="R11" s="230">
        <v>1</v>
      </c>
    </row>
    <row r="12" ht="15" customHeight="true">
      <c r="B12" s="137"/>
      <c r="C12" s="231"/>
      <c r="D12" s="130" t="s">
        <v>169</v>
      </c>
      <c r="F12" s="211" t="s">
        <v>193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1</v>
      </c>
      <c r="N12">
        <v>0</v>
      </c>
      <c r="O12">
        <v>1</v>
      </c>
      <c r="P12">
        <v>0</v>
      </c>
      <c r="Q12">
        <v>0</v>
      </c>
      <c r="R12" s="230">
        <v>1</v>
      </c>
    </row>
    <row r="13" ht="15" customHeight="true">
      <c r="B13" s="137"/>
      <c r="C13" s="231"/>
      <c r="D13" s="130" t="s">
        <v>169</v>
      </c>
      <c r="F13" s="211" t="s">
        <v>194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1</v>
      </c>
      <c r="N13">
        <v>0</v>
      </c>
      <c r="O13">
        <v>1</v>
      </c>
      <c r="P13">
        <v>0</v>
      </c>
      <c r="Q13">
        <v>0</v>
      </c>
      <c r="R13" s="230">
        <v>1</v>
      </c>
    </row>
    <row r="14" ht="15" customHeight="true">
      <c r="B14" s="137"/>
      <c r="C14" s="138"/>
      <c r="D14" s="130" t="s">
        <v>169</v>
      </c>
      <c r="F14" s="211" t="s">
        <v>195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 s="230">
        <v>1</v>
      </c>
    </row>
    <row r="15" ht="15" customHeight="true">
      <c r="B15" s="137"/>
      <c r="C15" s="138"/>
      <c r="D15" s="130" t="s">
        <v>169</v>
      </c>
      <c r="F15" s="211" t="s">
        <v>196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1</v>
      </c>
      <c r="N15">
        <v>0</v>
      </c>
      <c r="O15">
        <v>1</v>
      </c>
      <c r="P15">
        <v>0</v>
      </c>
      <c r="Q15">
        <v>0</v>
      </c>
      <c r="R15" s="230">
        <v>1</v>
      </c>
    </row>
    <row r="16" ht="15" customHeight="true">
      <c r="B16" s="137"/>
      <c r="C16" s="138"/>
      <c r="D16" s="130" t="s">
        <v>169</v>
      </c>
      <c r="F16" s="211" t="s">
        <v>197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1</v>
      </c>
      <c r="N16">
        <v>0</v>
      </c>
      <c r="O16">
        <v>1</v>
      </c>
      <c r="P16">
        <v>0</v>
      </c>
      <c r="Q16">
        <v>0</v>
      </c>
      <c r="R16" s="230">
        <v>1</v>
      </c>
    </row>
    <row r="17" ht="15" customHeight="true" thickBot="true">
      <c r="B17" s="135"/>
      <c r="C17" s="138"/>
      <c r="D17" s="130" t="s">
        <v>169</v>
      </c>
      <c r="F17" s="211" t="s">
        <v>198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1</v>
      </c>
      <c r="N17">
        <v>0</v>
      </c>
      <c r="O17">
        <v>1</v>
      </c>
      <c r="P17">
        <v>0</v>
      </c>
      <c r="Q17">
        <v>0</v>
      </c>
      <c r="R17" s="230">
        <v>1</v>
      </c>
    </row>
    <row r="18" ht="15" customHeight="true" thickBot="true">
      <c r="B18" s="121"/>
      <c r="F18" s="211" t="s">
        <v>199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1</v>
      </c>
      <c r="N18">
        <v>0</v>
      </c>
      <c r="O18">
        <v>1</v>
      </c>
      <c r="P18">
        <v>0</v>
      </c>
      <c r="Q18">
        <v>0</v>
      </c>
      <c r="R18" s="230">
        <v>1</v>
      </c>
    </row>
    <row r="19" ht="15" customHeight="true">
      <c r="A19" s="128" t="s">
        <v>58</v>
      </c>
      <c r="B19" s="134">
        <f>E32</f>
        <v>0.97329915975227055</v>
      </c>
      <c r="C19" s="102" t="str">
        <f>A32</f>
        <v>Phytoplankton</v>
      </c>
      <c r="D19" s="130" t="s">
        <v>169</v>
      </c>
      <c r="F19" s="211" t="s">
        <v>200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1</v>
      </c>
      <c r="N19">
        <v>0</v>
      </c>
      <c r="O19">
        <v>1</v>
      </c>
      <c r="P19">
        <v>0</v>
      </c>
      <c r="Q19">
        <v>0</v>
      </c>
      <c r="R19" s="230">
        <v>1</v>
      </c>
    </row>
    <row r="20" ht="15" customHeight="true">
      <c r="A20" s="136" t="s">
        <v>178</v>
      </c>
      <c r="B20" s="137">
        <f t="shared" ref="B20:B21" si="2">E33</f>
        <v>6.4237744195570958E-3</v>
      </c>
      <c r="C20" s="102" t="str">
        <f t="shared" ref="C20:C21" si="3">A33</f>
        <v>Mangroves</v>
      </c>
      <c r="D20" s="130" t="s">
        <v>169</v>
      </c>
      <c r="F20" s="211" t="s">
        <v>201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1</v>
      </c>
      <c r="N20">
        <v>0</v>
      </c>
      <c r="O20">
        <v>1</v>
      </c>
      <c r="P20">
        <v>0</v>
      </c>
      <c r="Q20">
        <v>0</v>
      </c>
      <c r="R20" s="230">
        <v>1</v>
      </c>
    </row>
    <row r="21" ht="15" customHeight="true">
      <c r="B21" s="137">
        <f t="shared" si="2"/>
        <v>2.0277065828172305E-2</v>
      </c>
      <c r="C21" s="102" t="str">
        <f t="shared" si="3"/>
        <v>Microphytobenthos</v>
      </c>
      <c r="D21" s="130" t="s">
        <v>169</v>
      </c>
      <c r="F21" s="211" t="s">
        <v>202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1</v>
      </c>
      <c r="N21">
        <v>0</v>
      </c>
      <c r="O21">
        <v>1</v>
      </c>
      <c r="P21">
        <v>0</v>
      </c>
      <c r="Q21">
        <v>0</v>
      </c>
      <c r="R21" s="230">
        <v>1</v>
      </c>
    </row>
    <row r="22" ht="15" customHeight="true">
      <c r="A22" s="67"/>
      <c r="B22" s="137"/>
      <c r="C22" s="102"/>
      <c r="D22" s="130" t="s">
        <v>169</v>
      </c>
      <c r="F22" s="211" t="s">
        <v>203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1</v>
      </c>
      <c r="N22">
        <v>0</v>
      </c>
      <c r="O22">
        <v>1</v>
      </c>
      <c r="P22">
        <v>0</v>
      </c>
      <c r="Q22">
        <v>0</v>
      </c>
      <c r="R22" s="230">
        <v>1</v>
      </c>
    </row>
    <row r="23" ht="15" customHeight="true">
      <c r="A23" s="67"/>
      <c r="B23" s="137"/>
      <c r="C23" s="231"/>
      <c r="D23" s="130" t="s">
        <v>169</v>
      </c>
      <c r="F23" s="211" t="s">
        <v>204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 s="230">
        <v>1</v>
      </c>
    </row>
    <row r="24" ht="15" customHeight="true">
      <c r="A24" s="67"/>
      <c r="B24" s="137"/>
      <c r="C24" s="231"/>
      <c r="D24" s="130" t="s">
        <v>169</v>
      </c>
      <c r="F24" s="211" t="s">
        <v>205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 s="230">
        <v>1</v>
      </c>
    </row>
    <row r="25" ht="15" customHeight="true">
      <c r="A25" s="67"/>
      <c r="B25" s="137"/>
      <c r="C25" s="138"/>
      <c r="D25" s="130" t="s">
        <v>169</v>
      </c>
      <c r="F25" s="211" t="s">
        <v>206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0</v>
      </c>
      <c r="R25" s="230">
        <v>1</v>
      </c>
    </row>
    <row r="26" ht="15" customHeight="true">
      <c r="B26" s="137"/>
      <c r="C26" s="138"/>
      <c r="D26" s="130" t="s">
        <v>169</v>
      </c>
      <c r="F26" s="211" t="s">
        <v>207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  <c r="R26" s="230">
        <v>1</v>
      </c>
    </row>
    <row r="27" ht="15" customHeight="true">
      <c r="B27" s="137"/>
      <c r="C27" s="138"/>
      <c r="D27" s="130" t="s">
        <v>169</v>
      </c>
      <c r="F27" s="211" t="s">
        <v>208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1</v>
      </c>
      <c r="Q27">
        <v>0</v>
      </c>
      <c r="R27" s="230">
        <v>1</v>
      </c>
    </row>
    <row r="28" ht="15" customHeight="true" thickBot="true">
      <c r="B28" s="135"/>
      <c r="C28" s="138"/>
      <c r="D28" s="130" t="s">
        <v>169</v>
      </c>
      <c r="F28" s="211" t="s">
        <v>124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0</v>
      </c>
      <c r="P28">
        <v>1</v>
      </c>
      <c r="Q28">
        <v>0</v>
      </c>
      <c r="R28" s="230">
        <v>1</v>
      </c>
    </row>
    <row r="29" ht="15" customHeight="true">
      <c r="F29" s="211" t="s">
        <v>125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0</v>
      </c>
      <c r="P29">
        <v>1</v>
      </c>
      <c r="Q29">
        <v>0</v>
      </c>
      <c r="R29" s="230">
        <v>1</v>
      </c>
    </row>
    <row r="30" ht="15" customHeight="true">
      <c r="F30" s="211" t="s">
        <v>209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 s="230">
        <v>1</v>
      </c>
    </row>
    <row r="31" ht="15" customHeight="true">
      <c r="A31" s="139"/>
      <c r="B31" s="140" t="s">
        <v>18</v>
      </c>
      <c r="C31" s="140" t="s">
        <v>1</v>
      </c>
      <c r="D31" s="140" t="s">
        <v>170</v>
      </c>
      <c r="E31" s="141" t="s">
        <v>172</v>
      </c>
      <c r="F31"/>
    </row>
    <row r="32" ht="15" customHeight="true">
      <c r="A32" s="83" t="str">
        <f>MainOutputs!B20</f>
        <v>Phytoplankton</v>
      </c>
      <c r="B32" s="121">
        <f>MainOutputs!D20</f>
        <v>15</v>
      </c>
      <c r="C32" s="121">
        <f>MainOutputs!E20</f>
        <v>200</v>
      </c>
      <c r="D32" s="121">
        <f>B32*C32</f>
        <v>3000</v>
      </c>
      <c r="E32" s="142">
        <f>D32/D$42</f>
        <v>0.97329915975227055</v>
      </c>
      <c r="F32"/>
      <c r="P32" s="152"/>
      <c r="R32" s="67"/>
    </row>
    <row r="33" ht="15" customHeight="true">
      <c r="A33" s="83" t="str">
        <f>MainOutputs!B21</f>
        <v>Mangroves</v>
      </c>
      <c r="B33" s="121">
        <f>MainOutputs!D21</f>
        <v>90</v>
      </c>
      <c r="C33" s="121">
        <f>MainOutputs!E21</f>
        <v>0.2199999988079071</v>
      </c>
      <c r="D33" s="121">
        <f t="shared" ref="D33:D34" si="4">B33*C33</f>
        <v>19.799999892711639</v>
      </c>
      <c r="E33" s="142">
        <f t="shared" ref="E33:E34" si="5">D33/D$42</f>
        <v>6.4237744195570958E-3</v>
      </c>
      <c r="F33"/>
      <c r="P33" s="152"/>
      <c r="R33" s="67"/>
    </row>
    <row r="34" ht="15" customHeight="true">
      <c r="A34" s="83" t="str">
        <f>MainOutputs!B22</f>
        <v>Microphytobenthos</v>
      </c>
      <c r="B34" s="121">
        <f>MainOutputs!D22</f>
        <v>0.5</v>
      </c>
      <c r="C34" s="121">
        <f>MainOutputs!E22</f>
        <v>125</v>
      </c>
      <c r="D34" s="121">
        <f t="shared" si="4"/>
        <v>62.5</v>
      </c>
      <c r="E34" s="142">
        <f t="shared" si="5"/>
        <v>2.0277065828172305E-2</v>
      </c>
      <c r="F34"/>
      <c r="P34" s="152"/>
      <c r="R34" s="67"/>
    </row>
    <row r="35" ht="15" customHeight="true">
      <c r="A35" s="83"/>
      <c r="B35" s="121"/>
      <c r="C35" s="121"/>
      <c r="D35" s="121"/>
      <c r="E35" s="142"/>
      <c r="F35"/>
      <c r="K35" s="126" t="s">
        <v>159</v>
      </c>
      <c r="P35" s="152"/>
      <c r="R35" s="67"/>
    </row>
    <row r="36" ht="15" customHeight="true">
      <c r="A36" s="143"/>
      <c r="B36" s="121"/>
      <c r="C36" s="121"/>
      <c r="D36" s="121"/>
      <c r="E36" s="142"/>
      <c r="F36"/>
      <c r="O36" s="126" t="s">
        <v>160</v>
      </c>
      <c r="P36" s="152"/>
      <c r="R36" s="67"/>
    </row>
    <row r="37" ht="15" customHeight="true">
      <c r="A37" s="143"/>
      <c r="B37" s="121"/>
      <c r="C37" s="121"/>
      <c r="D37" s="121"/>
      <c r="E37" s="142"/>
      <c r="F37"/>
      <c r="P37" s="152"/>
      <c r="R37" s="67"/>
    </row>
    <row r="38" ht="15" customHeight="true">
      <c r="A38" s="144"/>
      <c r="B38" s="121"/>
      <c r="C38" s="121"/>
      <c r="D38" s="121"/>
      <c r="E38" s="142"/>
      <c r="F38"/>
      <c r="P38" s="152"/>
      <c r="R38" s="67"/>
    </row>
    <row r="39" ht="15" customHeight="true">
      <c r="A39" s="144"/>
      <c r="B39" s="121"/>
      <c r="C39" s="121"/>
      <c r="D39" s="121"/>
      <c r="E39" s="142"/>
      <c r="P39" s="152"/>
      <c r="R39" s="67"/>
    </row>
    <row r="40" ht="15" customHeight="true">
      <c r="A40" s="144"/>
      <c r="B40" s="121"/>
      <c r="C40" s="121"/>
      <c r="D40" s="121"/>
      <c r="E40" s="142"/>
      <c r="P40" s="152"/>
      <c r="R40" s="67"/>
    </row>
    <row r="41" ht="15" customHeight="true" thickBot="true">
      <c r="A41" s="144"/>
      <c r="B41" s="121"/>
      <c r="C41" s="121"/>
      <c r="D41" s="145"/>
      <c r="E41" s="146"/>
      <c r="P41" s="152"/>
      <c r="R41" s="67"/>
    </row>
    <row r="42" ht="15" customHeight="true">
      <c r="A42" s="147"/>
      <c r="B42" s="148"/>
      <c r="C42" s="148" t="s">
        <v>171</v>
      </c>
      <c r="D42" s="148">
        <f>SUM(D32:D41)</f>
        <v>3082.2999998927116</v>
      </c>
      <c r="E42" s="149">
        <f>SUM(E32:E41)</f>
        <v>1</v>
      </c>
      <c r="P42" s="152"/>
      <c r="R42" s="67"/>
    </row>
    <row r="43" ht="15" customHeight="true">
      <c r="A43" s="67"/>
      <c r="P43" s="152"/>
      <c r="R43" s="67"/>
    </row>
    <row r="44" ht="15" customHeight="true">
      <c r="A44" s="67"/>
      <c r="P44" s="152"/>
      <c r="R44" s="67"/>
    </row>
    <row r="45" ht="15" customHeight="true">
      <c r="A45" s="67"/>
      <c r="P45" s="152"/>
      <c r="R45" s="67"/>
    </row>
    <row r="46" ht="15" customHeight="true">
      <c r="A46" s="67"/>
      <c r="P46" s="152"/>
      <c r="R46" s="67"/>
    </row>
    <row r="47" ht="15" customHeight="true">
      <c r="A47" s="67"/>
      <c r="P47" s="152"/>
      <c r="R47" s="67"/>
    </row>
    <row r="48" ht="15" customHeight="true">
      <c r="A48" s="67"/>
      <c r="P48" s="152"/>
      <c r="R48" s="67"/>
    </row>
    <row r="49" ht="15" customHeight="true">
      <c r="A49" s="67"/>
      <c r="P49" s="152"/>
      <c r="R49" s="67"/>
    </row>
    <row r="50" ht="15" customHeight="true">
      <c r="A50" s="67"/>
      <c r="P50" s="152"/>
      <c r="R50" s="67"/>
    </row>
    <row r="51" ht="15" customHeight="true">
      <c r="P51" s="152"/>
      <c r="R51" s="67"/>
    </row>
    <row r="52" ht="15" customHeight="true">
      <c r="P52" s="152"/>
      <c r="R52" s="67"/>
    </row>
    <row r="53" ht="15" customHeight="true">
      <c r="A53" s="67"/>
      <c r="P53" s="152"/>
      <c r="R53" s="67"/>
    </row>
    <row r="54" ht="15" customHeight="true">
      <c r="A54" s="67"/>
      <c r="P54" s="152"/>
      <c r="R54" s="67"/>
    </row>
    <row r="55" ht="15" customHeight="true">
      <c r="A55" s="67"/>
      <c r="P55" s="152"/>
      <c r="R55" s="67"/>
    </row>
    <row r="56" ht="15" customHeight="true">
      <c r="A56" s="67"/>
      <c r="P56" s="152"/>
      <c r="R56" s="67"/>
    </row>
    <row r="57" ht="15" customHeight="true">
      <c r="A57" s="67"/>
      <c r="P57" s="152"/>
      <c r="R57" s="67"/>
    </row>
    <row r="58" ht="15" customHeight="true">
      <c r="A58" s="67"/>
      <c r="P58" s="152"/>
      <c r="R58" s="67"/>
    </row>
    <row r="59" ht="15" customHeight="true">
      <c r="A59" s="67"/>
      <c r="P59" s="152"/>
      <c r="R59" s="67"/>
    </row>
    <row r="60" ht="15" customHeight="true">
      <c r="A60" s="67"/>
      <c r="P60" s="152"/>
      <c r="R60" s="67"/>
    </row>
    <row r="61" ht="15" customHeight="true">
      <c r="A61" s="67"/>
      <c r="P61" s="152"/>
      <c r="R61" s="67"/>
    </row>
    <row r="62" ht="15" customHeight="true">
      <c r="A62" s="67"/>
      <c r="P62" s="152"/>
      <c r="R62" s="67"/>
    </row>
    <row r="63" ht="15" customHeight="true">
      <c r="A63" s="67"/>
      <c r="P63" s="152"/>
      <c r="R63" s="67"/>
    </row>
    <row r="64" ht="15" customHeight="true">
      <c r="A64" s="67"/>
      <c r="P64" s="152"/>
      <c r="R64" s="67"/>
    </row>
    <row r="65" ht="15" customHeight="true">
      <c r="P65" s="152"/>
      <c r="R65" s="67"/>
    </row>
    <row r="66" ht="15" customHeight="true">
      <c r="P66" s="152"/>
      <c r="R66" s="67"/>
    </row>
    <row r="67" ht="15" customHeight="true">
      <c r="P67" s="152"/>
      <c r="R67" s="67"/>
    </row>
    <row r="68" ht="15" customHeight="true">
      <c r="P68" s="152"/>
      <c r="R68" s="67"/>
    </row>
    <row r="69" ht="15" customHeight="true">
      <c r="P69" s="152"/>
      <c r="R69" s="67"/>
    </row>
    <row r="70" ht="15" customHeight="true">
      <c r="P70" s="152"/>
      <c r="R70" s="67"/>
    </row>
    <row r="71" ht="15" customHeight="true">
      <c r="P71" s="152"/>
      <c r="R71" s="67"/>
    </row>
    <row r="72" ht="15" customHeight="true">
      <c r="P72" s="152"/>
      <c r="R72" s="67"/>
    </row>
    <row r="73" ht="15" customHeight="true">
      <c r="P73" s="152"/>
      <c r="R73" s="67"/>
    </row>
    <row r="74" ht="15" customHeight="true">
      <c r="P74" s="152"/>
      <c r="R74" s="67"/>
    </row>
    <row r="75" ht="15" customHeight="true">
      <c r="P75" s="152"/>
      <c r="R75" s="67"/>
    </row>
    <row r="76" ht="15" customHeight="true">
      <c r="A76" s="67"/>
      <c r="P76" s="152"/>
      <c r="R76" s="67"/>
    </row>
    <row r="77" ht="15" customHeight="true">
      <c r="A77" s="67"/>
      <c r="P77" s="152"/>
      <c r="R77" s="67"/>
    </row>
    <row r="78" ht="15" customHeight="true">
      <c r="A78" s="67"/>
      <c r="P78" s="152"/>
      <c r="R78" s="67"/>
    </row>
    <row r="79" ht="15" customHeight="true">
      <c r="A79" s="67"/>
      <c r="P79" s="152"/>
      <c r="R79" s="67"/>
    </row>
    <row r="80" ht="15" customHeight="true">
      <c r="A80" s="67"/>
      <c r="P80" s="152"/>
      <c r="R80" s="67"/>
    </row>
    <row r="81" ht="15" customHeight="true">
      <c r="A81" s="67"/>
      <c r="P81" s="152"/>
      <c r="R81" s="67"/>
    </row>
    <row r="82" ht="15" customHeight="true">
      <c r="A82" s="67"/>
      <c r="P82" s="152"/>
      <c r="R82" s="67"/>
    </row>
    <row r="83" ht="15" customHeight="true">
      <c r="A83" s="67"/>
      <c r="P83" s="152"/>
      <c r="R83" s="67"/>
    </row>
    <row r="84" ht="15" customHeight="true">
      <c r="A84" s="67"/>
      <c r="P84" s="152"/>
      <c r="R84" s="67"/>
    </row>
    <row r="85" ht="15" customHeight="true">
      <c r="A85" s="67"/>
      <c r="P85" s="152"/>
      <c r="R85" s="67"/>
    </row>
    <row r="86" ht="15" customHeight="true">
      <c r="A86" s="67"/>
      <c r="P86" s="152"/>
      <c r="R86" s="67"/>
    </row>
    <row r="87" ht="15" customHeight="true">
      <c r="A87" s="67"/>
      <c r="P87" s="152"/>
      <c r="R87" s="67"/>
    </row>
    <row r="88" ht="15" customHeight="true">
      <c r="A88" s="67"/>
      <c r="P88" s="152"/>
      <c r="R88" s="67"/>
    </row>
    <row r="89" ht="15" customHeight="true">
      <c r="A89" s="67"/>
      <c r="P89" s="152"/>
      <c r="R89" s="67"/>
    </row>
    <row r="90" ht="15" customHeight="true">
      <c r="A90" s="67"/>
      <c r="P90" s="152"/>
      <c r="R90" s="67"/>
    </row>
    <row r="91" ht="15" customHeight="true">
      <c r="A91" s="67"/>
      <c r="P91" s="152"/>
      <c r="R91" s="67"/>
    </row>
    <row r="92" ht="15" customHeight="true">
      <c r="A92" s="67"/>
      <c r="P92" s="152"/>
      <c r="R92" s="67"/>
    </row>
    <row r="93" ht="15" customHeight="true">
      <c r="A93" s="67"/>
      <c r="P93" s="152"/>
      <c r="R93" s="67"/>
    </row>
    <row r="94" ht="15" customHeight="true">
      <c r="A94" s="67"/>
      <c r="P94" s="152"/>
      <c r="R94" s="67"/>
    </row>
    <row r="95" ht="15" customHeight="true">
      <c r="A95" s="67"/>
      <c r="P95" s="152"/>
      <c r="R95" s="67"/>
    </row>
    <row r="96" ht="15" customHeight="true">
      <c r="A96" s="67"/>
      <c r="P96" s="152"/>
      <c r="R96" s="67"/>
    </row>
    <row r="97" ht="15" customHeight="true">
      <c r="A97" s="67"/>
      <c r="P97" s="152"/>
      <c r="R97" s="67"/>
    </row>
    <row r="98" ht="15" customHeight="true">
      <c r="A98" s="67"/>
      <c r="P98" s="152"/>
      <c r="R98" s="67"/>
    </row>
    <row r="99" ht="15" customHeight="true">
      <c r="A99" s="67"/>
      <c r="P99" s="152"/>
      <c r="R99" s="67"/>
    </row>
    <row r="100" ht="15" customHeight="true">
      <c r="A100" s="67"/>
      <c r="P100" s="152"/>
      <c r="R100" s="67"/>
    </row>
    <row r="101" ht="15" customHeight="true">
      <c r="A101" s="67"/>
      <c r="P101" s="152"/>
      <c r="R101" s="67"/>
    </row>
    <row r="102" ht="15" customHeight="true">
      <c r="A102" s="67"/>
      <c r="P102" s="152"/>
      <c r="R102" s="67"/>
    </row>
    <row r="103" ht="15" customHeight="true">
      <c r="A103" s="67"/>
      <c r="P103" s="152"/>
      <c r="R103" s="67"/>
    </row>
    <row r="104" ht="15" customHeight="true">
      <c r="A104" s="67"/>
      <c r="P104" s="152"/>
      <c r="R104" s="67"/>
    </row>
    <row r="105" ht="15" customHeight="true">
      <c r="A105" s="67"/>
      <c r="P105" s="152"/>
      <c r="R105" s="67"/>
    </row>
    <row r="106" ht="15" customHeight="true">
      <c r="P106" s="152"/>
      <c r="R106" s="67"/>
    </row>
    <row r="107" ht="15" customHeight="true">
      <c r="P107" s="152"/>
      <c r="R107" s="67"/>
    </row>
    <row r="108" ht="15" customHeight="true">
      <c r="P108" s="152"/>
      <c r="R108" s="67"/>
    </row>
    <row r="109" ht="15" customHeight="true">
      <c r="P109" s="152"/>
      <c r="R109" s="67"/>
    </row>
    <row r="110" ht="15" customHeight="true">
      <c r="P110" s="152"/>
      <c r="R110" s="67"/>
    </row>
    <row r="111" ht="15" customHeight="true">
      <c r="P111" s="152"/>
      <c r="R111" s="67"/>
    </row>
    <row r="112" ht="15" customHeight="true">
      <c r="P112" s="152"/>
      <c r="R112" s="67"/>
    </row>
    <row r="113" s="67" customFormat="true" ht="15" customHeight="true">
      <c r="K113" s="158"/>
      <c r="L113" s="152"/>
      <c r="M113" s="158"/>
      <c r="N113" s="152"/>
      <c r="O113" s="158"/>
      <c r="P113" s="152"/>
    </row>
    <row r="114" s="67" customFormat="true" ht="15" customHeight="true">
      <c r="K114" s="158"/>
      <c r="L114" s="152"/>
      <c r="M114" s="158"/>
      <c r="N114" s="152"/>
      <c r="O114" s="158"/>
      <c r="P114" s="152"/>
    </row>
    <row r="115" s="67" customFormat="true" ht="15" customHeight="true">
      <c r="K115" s="158"/>
      <c r="L115" s="152"/>
      <c r="M115" s="158"/>
      <c r="N115" s="152"/>
      <c r="O115" s="158"/>
      <c r="P115" s="152"/>
    </row>
    <row r="116" s="67" customFormat="true" ht="15" customHeight="true">
      <c r="K116" s="158"/>
      <c r="L116" s="152"/>
      <c r="M116" s="158"/>
      <c r="N116" s="152"/>
      <c r="O116" s="158"/>
      <c r="P116" s="152"/>
    </row>
    <row r="117" s="67" customFormat="true" ht="15" customHeight="true">
      <c r="K117" s="158"/>
      <c r="L117" s="152"/>
      <c r="M117" s="158"/>
      <c r="N117" s="152"/>
      <c r="O117" s="158"/>
      <c r="P117" s="152"/>
    </row>
    <row r="118" s="67" customFormat="true" ht="15" customHeight="true">
      <c r="K118" s="158"/>
      <c r="L118" s="152"/>
      <c r="M118" s="158"/>
      <c r="N118" s="152"/>
      <c r="O118" s="158"/>
      <c r="P118" s="152"/>
    </row>
    <row r="119" s="67" customFormat="true" ht="15" customHeight="true">
      <c r="K119" s="158"/>
      <c r="L119" s="152"/>
      <c r="M119" s="158"/>
      <c r="N119" s="152"/>
      <c r="O119" s="158"/>
      <c r="P119" s="152"/>
    </row>
    <row r="120" s="67" customFormat="true" ht="15" customHeight="true">
      <c r="K120" s="158"/>
      <c r="L120" s="152"/>
      <c r="M120" s="158"/>
      <c r="N120" s="152"/>
      <c r="O120" s="158"/>
      <c r="P120" s="152"/>
    </row>
    <row r="121" s="67" customFormat="true" ht="15" customHeight="true">
      <c r="K121" s="158"/>
      <c r="L121" s="152"/>
      <c r="M121" s="158"/>
      <c r="N121" s="152"/>
      <c r="O121" s="158"/>
      <c r="P121" s="152"/>
    </row>
    <row r="122" s="67" customFormat="true" ht="15" customHeight="true">
      <c r="K122" s="158"/>
      <c r="L122" s="152"/>
      <c r="M122" s="158"/>
      <c r="N122" s="152"/>
      <c r="O122" s="158"/>
      <c r="P122" s="152"/>
    </row>
    <row r="123" s="67" customFormat="true" ht="15" customHeight="true">
      <c r="K123" s="158"/>
      <c r="L123" s="152"/>
      <c r="M123" s="158"/>
      <c r="N123" s="152"/>
      <c r="O123" s="158"/>
      <c r="P123" s="152"/>
    </row>
    <row r="124" s="67" customFormat="true" ht="15" customHeight="true">
      <c r="K124" s="158"/>
      <c r="L124" s="152"/>
      <c r="M124" s="158"/>
      <c r="N124" s="152"/>
      <c r="O124" s="158"/>
      <c r="P124" s="152"/>
    </row>
    <row r="125" s="67" customFormat="true" ht="15" customHeight="true">
      <c r="K125" s="158"/>
      <c r="L125" s="152"/>
      <c r="M125" s="158"/>
      <c r="N125" s="152"/>
      <c r="O125" s="158"/>
      <c r="P125" s="152"/>
    </row>
    <row r="126" s="67" customFormat="true" ht="15" customHeight="true">
      <c r="K126" s="158"/>
      <c r="L126" s="152"/>
      <c r="M126" s="158"/>
      <c r="N126" s="152"/>
      <c r="O126" s="158"/>
      <c r="P126" s="152"/>
    </row>
    <row r="127" s="67" customFormat="true" ht="15" customHeight="true">
      <c r="K127" s="158"/>
      <c r="L127" s="152"/>
      <c r="M127" s="158"/>
      <c r="N127" s="152"/>
      <c r="O127" s="158"/>
      <c r="P127" s="152"/>
    </row>
    <row r="128" s="67" customFormat="true" ht="15" customHeight="true">
      <c r="K128" s="158"/>
      <c r="L128" s="152"/>
      <c r="M128" s="158"/>
      <c r="N128" s="152"/>
      <c r="O128" s="158"/>
      <c r="P128" s="152"/>
    </row>
    <row r="129" s="67" customFormat="true" ht="15" customHeight="true">
      <c r="K129" s="158"/>
      <c r="L129" s="152"/>
      <c r="M129" s="158"/>
      <c r="N129" s="152"/>
      <c r="O129" s="158"/>
      <c r="P129" s="152"/>
    </row>
    <row r="130" s="67" customFormat="true" ht="15" customHeight="true">
      <c r="K130" s="158"/>
      <c r="L130" s="152"/>
      <c r="M130" s="158"/>
      <c r="N130" s="152"/>
      <c r="O130" s="158"/>
      <c r="P130" s="152"/>
    </row>
    <row r="131" s="67" customFormat="true" ht="15" customHeight="true">
      <c r="K131" s="158"/>
      <c r="L131" s="152"/>
      <c r="M131" s="158"/>
      <c r="N131" s="152"/>
      <c r="O131" s="158"/>
      <c r="P131" s="152"/>
    </row>
    <row r="132" s="67" customFormat="true" ht="15" customHeight="true">
      <c r="K132" s="158"/>
      <c r="L132" s="152"/>
      <c r="M132" s="158"/>
      <c r="N132" s="152"/>
      <c r="O132" s="158"/>
      <c r="P132" s="152"/>
    </row>
    <row r="133" s="67" customFormat="true" ht="15" customHeight="true">
      <c r="K133" s="158"/>
      <c r="L133" s="152"/>
      <c r="M133" s="158"/>
      <c r="N133" s="152"/>
      <c r="O133" s="158"/>
      <c r="P133" s="152"/>
    </row>
    <row r="134" s="67" customFormat="true" ht="15" customHeight="true">
      <c r="K134" s="158"/>
      <c r="L134" s="152"/>
      <c r="M134" s="158"/>
      <c r="N134" s="152"/>
      <c r="O134" s="158"/>
      <c r="P134" s="152"/>
    </row>
    <row r="135" s="67" customFormat="true" ht="15" customHeight="true">
      <c r="K135" s="158"/>
      <c r="L135" s="152"/>
      <c r="M135" s="158"/>
      <c r="N135" s="152"/>
      <c r="O135" s="158"/>
      <c r="P135" s="152"/>
    </row>
    <row r="136" s="67" customFormat="true" ht="15" customHeight="true">
      <c r="K136" s="158"/>
      <c r="L136" s="152"/>
      <c r="M136" s="158"/>
      <c r="N136" s="152"/>
      <c r="O136" s="158"/>
      <c r="P136" s="152"/>
    </row>
    <row r="137" s="67" customFormat="true" ht="15" customHeight="true">
      <c r="K137" s="158"/>
      <c r="L137" s="152"/>
      <c r="M137" s="158"/>
      <c r="N137" s="152"/>
      <c r="O137" s="158"/>
      <c r="P137" s="152"/>
    </row>
    <row r="138" s="67" customFormat="true" ht="15" customHeight="true">
      <c r="K138" s="158"/>
      <c r="L138" s="152"/>
      <c r="M138" s="158"/>
      <c r="N138" s="152"/>
      <c r="O138" s="158"/>
      <c r="P138" s="152"/>
    </row>
    <row r="139" s="67" customFormat="true" ht="15" customHeight="true">
      <c r="K139" s="158"/>
      <c r="L139" s="152"/>
      <c r="M139" s="158"/>
      <c r="N139" s="152"/>
      <c r="O139" s="158"/>
      <c r="P139" s="152"/>
    </row>
    <row r="140" s="67" customFormat="true" ht="15" customHeight="true">
      <c r="K140" s="158"/>
      <c r="L140" s="152"/>
      <c r="M140" s="158"/>
      <c r="N140" s="152"/>
      <c r="O140" s="158"/>
      <c r="P140" s="152"/>
    </row>
    <row r="141" s="67" customFormat="true" ht="15" customHeight="true">
      <c r="K141" s="158"/>
      <c r="L141" s="152"/>
      <c r="M141" s="158"/>
      <c r="N141" s="152"/>
      <c r="O141" s="158"/>
      <c r="P141" s="152"/>
    </row>
    <row r="142" s="67" customFormat="true" ht="15" customHeight="true">
      <c r="K142" s="158"/>
      <c r="L142" s="152"/>
      <c r="M142" s="158"/>
      <c r="N142" s="152"/>
      <c r="O142" s="158"/>
      <c r="P142" s="152"/>
    </row>
    <row r="143" s="67" customFormat="true" ht="15" customHeight="true">
      <c r="K143" s="158"/>
      <c r="L143" s="152"/>
      <c r="M143" s="158"/>
      <c r="N143" s="152"/>
      <c r="O143" s="158"/>
      <c r="P143" s="152"/>
    </row>
    <row r="144" s="67" customFormat="true" ht="15" customHeight="true">
      <c r="K144" s="158"/>
      <c r="L144" s="152"/>
      <c r="M144" s="158"/>
      <c r="N144" s="152"/>
      <c r="O144" s="158"/>
      <c r="P144" s="152"/>
    </row>
    <row r="145" s="67" customFormat="true" ht="15" customHeight="true">
      <c r="K145" s="158"/>
      <c r="L145" s="152"/>
      <c r="M145" s="158"/>
      <c r="N145" s="152"/>
      <c r="O145" s="158"/>
      <c r="P145" s="152"/>
    </row>
    <row r="146" s="67" customFormat="true" ht="15" customHeight="true">
      <c r="K146" s="158"/>
      <c r="L146" s="152"/>
      <c r="M146" s="158"/>
      <c r="N146" s="152"/>
      <c r="O146" s="158"/>
      <c r="P146" s="152"/>
    </row>
    <row r="147" s="67" customFormat="true" ht="15" customHeight="true">
      <c r="K147" s="158"/>
      <c r="L147" s="152"/>
      <c r="M147" s="158"/>
      <c r="N147" s="152"/>
      <c r="O147" s="158"/>
      <c r="P147" s="152"/>
    </row>
    <row r="148" s="67" customFormat="true" ht="15" customHeight="true">
      <c r="K148" s="158"/>
      <c r="L148" s="152"/>
      <c r="M148" s="158"/>
      <c r="N148" s="152"/>
      <c r="O148" s="158"/>
      <c r="P148" s="152"/>
    </row>
    <row r="149" s="67" customFormat="true" ht="15" customHeight="true">
      <c r="K149" s="158"/>
      <c r="L149" s="152"/>
      <c r="M149" s="158"/>
      <c r="N149" s="152"/>
      <c r="O149" s="158"/>
      <c r="P149" s="152"/>
    </row>
    <row r="150" s="67" customFormat="true" ht="15" customHeight="true">
      <c r="K150" s="158"/>
      <c r="L150" s="152"/>
      <c r="M150" s="158"/>
      <c r="N150" s="152"/>
      <c r="O150" s="158"/>
      <c r="P150" s="152"/>
    </row>
    <row r="151" s="67" customFormat="true" ht="15" customHeight="true">
      <c r="K151" s="158"/>
      <c r="L151" s="152"/>
      <c r="M151" s="158"/>
      <c r="N151" s="152"/>
      <c r="O151" s="158"/>
      <c r="P151" s="152"/>
    </row>
    <row r="152" s="67" customFormat="true" ht="15" customHeight="true">
      <c r="K152" s="158"/>
      <c r="L152" s="152"/>
      <c r="M152" s="158"/>
      <c r="N152" s="152"/>
      <c r="O152" s="158"/>
      <c r="P152" s="152"/>
    </row>
    <row r="153" s="67" customFormat="true" ht="15" customHeight="true">
      <c r="K153" s="158"/>
      <c r="L153" s="152"/>
      <c r="M153" s="158"/>
      <c r="N153" s="152"/>
      <c r="O153" s="158"/>
      <c r="P153" s="152"/>
    </row>
    <row r="154" s="67" customFormat="true" ht="15" customHeight="true">
      <c r="K154" s="158"/>
      <c r="L154" s="152"/>
      <c r="M154" s="158"/>
      <c r="N154" s="152"/>
      <c r="O154" s="158"/>
      <c r="P154" s="152"/>
    </row>
    <row r="155" s="67" customFormat="true" ht="15" customHeight="true">
      <c r="K155" s="158"/>
      <c r="L155" s="152"/>
      <c r="M155" s="158"/>
      <c r="N155" s="152"/>
      <c r="O155" s="158"/>
      <c r="P155" s="152"/>
    </row>
    <row r="156" s="67" customFormat="true" ht="15" customHeight="true">
      <c r="K156" s="158"/>
      <c r="L156" s="152"/>
      <c r="M156" s="158"/>
      <c r="N156" s="152"/>
      <c r="O156" s="158"/>
      <c r="P156" s="152"/>
    </row>
    <row r="157" s="67" customFormat="true" ht="15" customHeight="true">
      <c r="K157" s="158"/>
      <c r="L157" s="152"/>
      <c r="M157" s="158"/>
      <c r="N157" s="152"/>
      <c r="O157" s="158"/>
      <c r="P157" s="152"/>
    </row>
    <row r="158" s="67" customFormat="true" ht="15" customHeight="true">
      <c r="K158" s="158"/>
      <c r="L158" s="152"/>
      <c r="M158" s="158"/>
      <c r="N158" s="152"/>
      <c r="O158" s="158"/>
      <c r="P158" s="152"/>
    </row>
    <row r="159" s="67" customFormat="true" ht="15" customHeight="true">
      <c r="K159" s="158"/>
      <c r="L159" s="152"/>
      <c r="M159" s="158"/>
      <c r="N159" s="152"/>
      <c r="O159" s="158"/>
      <c r="P159" s="155"/>
      <c r="R159" s="104"/>
    </row>
    <row r="160" s="67" customFormat="true" ht="15" customHeight="true">
      <c r="K160" s="158"/>
      <c r="L160" s="152"/>
      <c r="M160" s="158"/>
      <c r="N160" s="152"/>
      <c r="O160" s="158"/>
      <c r="P160" s="155"/>
      <c r="R160" s="104"/>
    </row>
    <row r="161" s="67" customFormat="true" ht="15" customHeight="true">
      <c r="K161" s="158"/>
      <c r="L161" s="152"/>
      <c r="M161" s="158"/>
      <c r="N161" s="152"/>
      <c r="O161" s="158"/>
      <c r="P161" s="155"/>
      <c r="R161" s="104"/>
    </row>
    <row r="162" s="67" customFormat="true" ht="15" customHeight="true">
      <c r="K162" s="158"/>
      <c r="L162" s="152"/>
      <c r="M162" s="158"/>
      <c r="N162" s="152"/>
      <c r="O162" s="158"/>
      <c r="P162" s="155"/>
      <c r="R162" s="104"/>
    </row>
    <row r="163" s="67" customFormat="true" ht="15" customHeight="true">
      <c r="K163" s="158"/>
      <c r="L163" s="152"/>
      <c r="M163" s="158"/>
      <c r="N163" s="152"/>
      <c r="O163" s="158"/>
      <c r="P163" s="155"/>
      <c r="R163" s="104"/>
    </row>
    <row r="164" s="67" customFormat="true" ht="15" customHeight="true">
      <c r="K164" s="158"/>
      <c r="L164" s="152"/>
      <c r="M164" s="158"/>
      <c r="N164" s="152"/>
      <c r="O164" s="158"/>
      <c r="P164" s="155"/>
      <c r="R164" s="104"/>
    </row>
    <row r="165" s="67" customFormat="true" ht="15" customHeight="true">
      <c r="K165" s="158"/>
      <c r="L165" s="152"/>
      <c r="M165" s="158"/>
      <c r="N165" s="152"/>
      <c r="O165" s="158"/>
      <c r="P165" s="155"/>
      <c r="R165" s="104"/>
    </row>
    <row r="166" s="67" customFormat="true" ht="15" customHeight="true">
      <c r="K166" s="158"/>
      <c r="L166" s="152"/>
      <c r="M166" s="158"/>
      <c r="N166" s="152"/>
      <c r="O166" s="158"/>
      <c r="P166" s="155"/>
      <c r="R166" s="104"/>
    </row>
    <row r="167" s="67" customFormat="true" ht="15" customHeight="true">
      <c r="K167" s="158"/>
      <c r="L167" s="152"/>
      <c r="M167" s="158"/>
      <c r="N167" s="152"/>
      <c r="O167" s="158"/>
      <c r="P167" s="155"/>
      <c r="R167" s="104"/>
    </row>
    <row r="168" s="67" customFormat="true" ht="15" customHeight="true">
      <c r="K168" s="158"/>
      <c r="L168" s="152"/>
      <c r="M168" s="158"/>
      <c r="N168" s="152"/>
      <c r="O168" s="158"/>
      <c r="P168" s="155"/>
      <c r="R168" s="104"/>
    </row>
    <row r="169" s="67" customFormat="true" ht="15" customHeight="true">
      <c r="K169" s="158"/>
      <c r="L169" s="152"/>
      <c r="M169" s="158"/>
      <c r="N169" s="152"/>
      <c r="O169" s="158"/>
      <c r="P169" s="155"/>
      <c r="R169" s="104"/>
    </row>
    <row r="170" s="67" customFormat="true" ht="15" customHeight="true">
      <c r="K170" s="158"/>
      <c r="L170" s="152"/>
      <c r="M170" s="158"/>
      <c r="N170" s="152"/>
      <c r="O170" s="158"/>
      <c r="P170" s="155"/>
      <c r="R170" s="104"/>
    </row>
    <row r="171" s="67" customFormat="true" ht="15" customHeight="true">
      <c r="K171" s="158"/>
      <c r="L171" s="152"/>
      <c r="M171" s="158"/>
      <c r="N171" s="152"/>
      <c r="O171" s="158"/>
      <c r="P171" s="155"/>
      <c r="R171" s="104"/>
    </row>
    <row r="172" s="67" customFormat="true" ht="15" customHeight="true">
      <c r="K172" s="158"/>
      <c r="L172" s="152"/>
      <c r="M172" s="158"/>
      <c r="N172" s="152"/>
      <c r="O172" s="158"/>
      <c r="P172" s="155"/>
      <c r="R172" s="104"/>
    </row>
    <row r="173" s="67" customFormat="true" ht="15" customHeight="true">
      <c r="K173" s="158"/>
      <c r="L173" s="152"/>
      <c r="M173" s="158"/>
      <c r="N173" s="152"/>
      <c r="O173" s="158"/>
      <c r="P173" s="155"/>
      <c r="R173" s="104"/>
    </row>
    <row r="174" s="67" customFormat="true" ht="15" customHeight="true">
      <c r="K174" s="158"/>
      <c r="L174" s="152"/>
      <c r="M174" s="158"/>
      <c r="N174" s="152"/>
      <c r="O174" s="158"/>
      <c r="P174" s="155"/>
      <c r="R174" s="104"/>
    </row>
    <row r="175" s="67" customFormat="true" ht="15" customHeight="true">
      <c r="K175" s="158"/>
      <c r="L175" s="152"/>
      <c r="M175" s="158"/>
      <c r="N175" s="152"/>
      <c r="O175" s="158"/>
      <c r="P175" s="155"/>
      <c r="R175" s="104"/>
    </row>
    <row r="176" s="67" customFormat="true" ht="15" customHeight="true">
      <c r="K176" s="158"/>
      <c r="L176" s="152"/>
      <c r="M176" s="158"/>
      <c r="N176" s="152"/>
      <c r="O176" s="158"/>
      <c r="P176" s="155"/>
      <c r="R176" s="104"/>
    </row>
    <row r="177" s="67" customFormat="true" ht="15" customHeight="true">
      <c r="K177" s="158"/>
      <c r="L177" s="152"/>
      <c r="M177" s="158"/>
      <c r="N177" s="152"/>
      <c r="O177" s="158"/>
      <c r="P177" s="155"/>
      <c r="R177" s="104"/>
    </row>
    <row r="178" s="67" customFormat="true" ht="15" customHeight="true">
      <c r="K178" s="158"/>
      <c r="L178" s="152"/>
      <c r="M178" s="158"/>
      <c r="N178" s="152"/>
      <c r="O178" s="158"/>
      <c r="P178" s="155"/>
      <c r="R178" s="104"/>
    </row>
    <row r="179" s="67" customFormat="true" ht="15" customHeight="true">
      <c r="K179" s="158"/>
      <c r="L179" s="152"/>
      <c r="M179" s="158"/>
      <c r="N179" s="152"/>
      <c r="O179" s="158"/>
      <c r="P179" s="155"/>
      <c r="R179" s="104"/>
    </row>
    <row r="180" s="67" customFormat="true" ht="15" customHeight="true">
      <c r="K180" s="158"/>
      <c r="L180" s="152"/>
      <c r="M180" s="158"/>
      <c r="N180" s="152"/>
      <c r="O180" s="158"/>
      <c r="P180" s="155"/>
      <c r="R180" s="104"/>
    </row>
    <row r="181" s="67" customFormat="true" ht="15" customHeight="true">
      <c r="K181" s="158"/>
      <c r="L181" s="152"/>
      <c r="M181" s="158"/>
      <c r="N181" s="152"/>
      <c r="O181" s="158"/>
      <c r="P181" s="155"/>
      <c r="R181" s="104"/>
    </row>
    <row r="182" s="67" customFormat="true" ht="15" customHeight="true">
      <c r="K182" s="158"/>
      <c r="L182" s="152"/>
      <c r="M182" s="158"/>
      <c r="N182" s="152"/>
      <c r="O182" s="158"/>
      <c r="P182" s="155"/>
      <c r="R182" s="104"/>
    </row>
    <row r="183" s="67" customFormat="true" ht="15" customHeight="true">
      <c r="K183" s="158"/>
      <c r="L183" s="152"/>
      <c r="M183" s="158"/>
      <c r="N183" s="152"/>
      <c r="O183" s="158"/>
      <c r="P183" s="155"/>
      <c r="R183" s="104"/>
    </row>
    <row r="184" s="67" customFormat="true" ht="15" customHeight="true">
      <c r="K184" s="158"/>
      <c r="L184" s="152"/>
      <c r="M184" s="158"/>
      <c r="N184" s="152"/>
      <c r="O184" s="158"/>
      <c r="P184" s="155"/>
      <c r="R184" s="104"/>
    </row>
    <row r="185" s="67" customFormat="true" ht="15" customHeight="true">
      <c r="K185" s="158"/>
      <c r="L185" s="152"/>
      <c r="M185" s="158"/>
      <c r="N185" s="152"/>
      <c r="O185" s="158"/>
      <c r="P185" s="155"/>
      <c r="R185" s="104"/>
    </row>
    <row r="186" s="67" customFormat="true" ht="15" customHeight="true">
      <c r="K186" s="158"/>
      <c r="L186" s="152"/>
      <c r="M186" s="158"/>
      <c r="N186" s="152"/>
      <c r="O186" s="158"/>
      <c r="P186" s="155"/>
      <c r="R186" s="104"/>
    </row>
    <row r="187" s="67" customFormat="true" ht="15" customHeight="true">
      <c r="K187" s="158"/>
      <c r="L187" s="152"/>
      <c r="M187" s="158"/>
      <c r="N187" s="152"/>
      <c r="O187" s="158"/>
      <c r="P187" s="155"/>
      <c r="R187" s="104"/>
    </row>
    <row r="188" s="67" customFormat="true" ht="15" customHeight="true">
      <c r="K188" s="158"/>
      <c r="L188" s="152"/>
      <c r="M188" s="158"/>
      <c r="N188" s="152"/>
      <c r="O188" s="158"/>
      <c r="P188" s="155"/>
      <c r="R188" s="10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N162"/>
  <sheetViews>
    <sheetView tabSelected="true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4" sqref="D4"/>
    </sheetView>
  </sheetViews>
  <sheetFormatPr baseColWidth="10" defaultColWidth="8.83203125" defaultRowHeight="16"/>
  <cols>
    <col min="1" max="1" width="40" style="67" bestFit="true" customWidth="true"/>
    <col min="2" max="5" width="7.83203125" style="125" customWidth="true"/>
    <col min="6" max="38" width="8.83203125" style="81"/>
    <col min="39" max="82" width="8.83203125" style="67"/>
    <col min="83" max="83" width="22.1640625" style="67" bestFit="true" customWidth="true"/>
    <col min="84" max="16384" width="8.83203125" style="67"/>
  </cols>
  <sheetData>
    <row r="1">
      <c r="A1" s="66" t="s">
        <v>163</v>
      </c>
      <c r="B1" s="112" t="s">
        <v>164</v>
      </c>
      <c r="C1" s="112" t="s">
        <v>18</v>
      </c>
      <c r="D1" s="112" t="s">
        <v>165</v>
      </c>
      <c r="E1" s="112" t="s">
        <v>166</v>
      </c>
      <c r="F1" s="73" t="s">
        <v>39</v>
      </c>
      <c r="G1" s="73" t="s">
        <v>41</v>
      </c>
      <c r="H1" s="73" t="s">
        <v>42</v>
      </c>
      <c r="I1" s="211" t="s">
        <v>182</v>
      </c>
      <c r="J1" s="211" t="s">
        <v>188</v>
      </c>
      <c r="K1" s="211" t="s">
        <v>189</v>
      </c>
      <c r="L1" s="211" t="s">
        <v>190</v>
      </c>
      <c r="M1" s="211" t="s">
        <v>191</v>
      </c>
      <c r="N1" s="211" t="s">
        <v>192</v>
      </c>
      <c r="O1" s="211" t="s">
        <v>193</v>
      </c>
      <c r="P1" s="211" t="s">
        <v>194</v>
      </c>
      <c r="Q1" s="211" t="s">
        <v>195</v>
      </c>
      <c r="R1" s="211" t="s">
        <v>196</v>
      </c>
      <c r="S1" s="211" t="s">
        <v>197</v>
      </c>
      <c r="T1" s="211" t="s">
        <v>198</v>
      </c>
      <c r="U1" s="211" t="s">
        <v>199</v>
      </c>
      <c r="V1" s="211" t="s">
        <v>200</v>
      </c>
      <c r="W1" s="211" t="s">
        <v>201</v>
      </c>
      <c r="X1" s="211" t="s">
        <v>202</v>
      </c>
      <c r="Y1" s="211" t="s">
        <v>203</v>
      </c>
      <c r="Z1" s="211" t="s">
        <v>204</v>
      </c>
      <c r="AA1" s="211" t="s">
        <v>205</v>
      </c>
      <c r="AB1" s="211" t="s">
        <v>206</v>
      </c>
      <c r="AC1" s="211" t="s">
        <v>207</v>
      </c>
      <c r="AD1" s="211" t="s">
        <v>208</v>
      </c>
      <c r="AE1" s="211" t="s">
        <v>124</v>
      </c>
      <c r="AF1" s="211" t="s">
        <v>125</v>
      </c>
      <c r="AG1" s="211" t="s">
        <v>209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</row>
    <row r="2">
      <c r="A2" s="73" t="s">
        <v>39</v>
      </c>
      <c r="B2" s="125">
        <v>0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</row>
    <row r="3">
      <c r="A3" s="73" t="s">
        <v>41</v>
      </c>
      <c r="B3" s="125">
        <v>0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</row>
    <row r="4">
      <c r="A4" s="73" t="s">
        <v>42</v>
      </c>
      <c r="B4" s="125">
        <v>0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</row>
    <row r="5">
      <c r="A5" s="211" t="s">
        <v>182</v>
      </c>
      <c r="B5" s="125">
        <v>0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</row>
    <row r="6">
      <c r="A6" s="211" t="s">
        <v>188</v>
      </c>
      <c r="B6" s="125">
        <v>0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</row>
    <row r="7">
      <c r="A7" s="211" t="s">
        <v>189</v>
      </c>
      <c r="B7" s="125">
        <v>0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</row>
    <row r="8">
      <c r="A8" s="211" t="s">
        <v>190</v>
      </c>
      <c r="B8" s="125">
        <v>0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</row>
    <row r="9">
      <c r="A9" s="211" t="s">
        <v>191</v>
      </c>
      <c r="B9" s="125">
        <v>0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</row>
    <row r="10">
      <c r="A10" s="211" t="s">
        <v>192</v>
      </c>
      <c r="B10" s="125">
        <v>0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</row>
    <row r="11">
      <c r="A11" s="211" t="s">
        <v>193</v>
      </c>
      <c r="B11" s="125">
        <v>0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</row>
    <row r="12">
      <c r="A12" s="211" t="s">
        <v>194</v>
      </c>
      <c r="B12" s="125">
        <v>0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</row>
    <row r="13">
      <c r="A13" s="211" t="s">
        <v>195</v>
      </c>
      <c r="B13" s="125">
        <v>0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</row>
    <row r="14">
      <c r="A14" s="211" t="s">
        <v>196</v>
      </c>
      <c r="B14" s="125">
        <v>0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</row>
    <row r="15">
      <c r="A15" s="211" t="s">
        <v>197</v>
      </c>
      <c r="B15" s="125">
        <v>0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</row>
    <row r="16">
      <c r="A16" s="211" t="s">
        <v>198</v>
      </c>
      <c r="B16" s="125">
        <v>0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</row>
    <row r="17" ht="15" customHeight="true">
      <c r="A17" s="211" t="s">
        <v>199</v>
      </c>
      <c r="B17" s="125">
        <v>0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</row>
    <row r="18" ht="15" customHeight="true">
      <c r="A18" s="211" t="s">
        <v>200</v>
      </c>
      <c r="B18" s="125">
        <v>0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</row>
    <row r="19" ht="15" customHeight="true">
      <c r="A19" s="211" t="s">
        <v>201</v>
      </c>
      <c r="B19" s="125">
        <v>0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</row>
    <row r="20" ht="15" customHeight="true">
      <c r="A20" s="211" t="s">
        <v>202</v>
      </c>
      <c r="B20" s="125">
        <v>0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</row>
    <row r="21" ht="15" customHeight="true">
      <c r="A21" s="211" t="s">
        <v>203</v>
      </c>
      <c r="B21" s="125">
        <v>0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</row>
    <row r="22" ht="15" customHeight="true">
      <c r="A22" s="211" t="s">
        <v>204</v>
      </c>
      <c r="B22" s="125">
        <v>0</v>
      </c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</row>
    <row r="23" ht="15" customHeight="true">
      <c r="A23" s="211" t="s">
        <v>205</v>
      </c>
      <c r="B23" s="125">
        <v>0</v>
      </c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</row>
    <row r="24" ht="15" customHeight="true">
      <c r="A24" s="211" t="s">
        <v>206</v>
      </c>
      <c r="B24" s="125">
        <v>0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</row>
    <row r="25" ht="15" customHeight="true">
      <c r="A25" s="211" t="s">
        <v>207</v>
      </c>
      <c r="B25" s="125">
        <v>0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</row>
    <row r="26" ht="15" customHeight="true">
      <c r="A26" s="211" t="s">
        <v>208</v>
      </c>
      <c r="B26" s="125">
        <v>0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</row>
    <row r="27" ht="15" customHeight="true">
      <c r="A27" s="211" t="s">
        <v>124</v>
      </c>
      <c r="B27" s="125">
        <v>0</v>
      </c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</row>
    <row r="28" ht="15" customHeight="true">
      <c r="A28" s="211" t="s">
        <v>125</v>
      </c>
      <c r="B28" s="125">
        <v>0</v>
      </c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</row>
    <row r="29" ht="15" customHeight="true">
      <c r="A29" s="211" t="s">
        <v>209</v>
      </c>
      <c r="B29" s="125">
        <v>0</v>
      </c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</row>
    <row r="30" customFormat="true" ht="15" customHeight="true"/>
    <row r="31" customFormat="true" ht="15" customHeight="true"/>
    <row r="32" customFormat="true" ht="15" customHeight="true"/>
    <row r="33" ht="15" customHeight="true">
      <c r="B33" s="126" t="s">
        <v>167</v>
      </c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</row>
    <row r="34" ht="15" customHeight="true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</row>
    <row r="35" ht="15" customHeight="true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</row>
    <row r="36" ht="15" customHeight="true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</row>
    <row r="37" ht="15" customHeight="true"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</row>
    <row r="38" ht="15" customHeight="true"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</row>
    <row r="39" ht="15" customHeight="true"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</row>
    <row r="40" ht="15" customHeight="true"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</row>
    <row r="41" ht="15" customHeight="true"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</row>
    <row r="42" ht="15" customHeight="true"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</row>
    <row r="43" ht="15" customHeight="true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</row>
    <row r="44" ht="15" customHeight="true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</row>
    <row r="45" ht="15" customHeight="true"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</row>
    <row r="46" ht="15" customHeight="true"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</row>
    <row r="47" ht="15" customHeight="true"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</row>
    <row r="48" ht="15" customHeight="true"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</row>
    <row r="49" ht="15" customHeight="true"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</row>
    <row r="50" ht="15" customHeight="true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</row>
    <row r="51" ht="15" customHeight="true"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</row>
    <row r="52" ht="15" customHeight="true"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</row>
    <row r="53" ht="15" customHeight="true"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</row>
    <row r="54" ht="15" customHeight="true"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</row>
    <row r="55" ht="15" customHeight="true"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</row>
    <row r="56" ht="15" customHeight="true"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</row>
    <row r="57" ht="15" customHeight="true"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</row>
    <row r="58" ht="15" customHeight="true"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</row>
    <row r="59" ht="15" customHeight="true"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</row>
    <row r="60" ht="15" customHeight="true"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</row>
    <row r="61" ht="15" customHeight="true"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</row>
    <row r="62" ht="15" customHeight="true"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</row>
    <row r="63" ht="15" customHeight="true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</row>
    <row r="64" ht="15" customHeight="true"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</row>
    <row r="65" ht="15" customHeight="true"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</row>
    <row r="66" ht="15" customHeight="true"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</row>
    <row r="67" ht="15" customHeight="true"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</row>
    <row r="68" ht="15" customHeight="true"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</row>
    <row r="69" ht="15" customHeight="true"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</row>
    <row r="70" ht="15" customHeight="true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</row>
    <row r="71" ht="15" customHeight="true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</row>
    <row r="72" ht="15" customHeight="true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</row>
    <row r="73" ht="15" customHeight="true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</row>
    <row r="74" ht="15" customHeight="true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</row>
    <row r="75" ht="15" customHeight="true"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</row>
    <row r="76" ht="15" customHeight="true"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</row>
    <row r="77" ht="15" customHeight="true"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</row>
    <row r="78" ht="15" customHeight="true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</row>
    <row r="79" ht="15" customHeight="true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</row>
    <row r="80" ht="15" customHeight="true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</row>
    <row r="81" ht="15" customHeight="true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</row>
    <row r="82" ht="15" customHeight="true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</row>
    <row r="83" ht="15" customHeight="true"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</row>
    <row r="84" ht="15" customHeight="true"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</row>
    <row r="85" ht="15" customHeight="true"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</row>
    <row r="86" ht="15" customHeight="true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</row>
    <row r="87" ht="15" customHeight="true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</row>
    <row r="88" ht="15" customHeight="true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</row>
    <row r="89" ht="15" customHeight="true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</row>
    <row r="90" ht="15" customHeight="true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</row>
    <row r="91" ht="15" customHeight="true"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</row>
    <row r="92" ht="15" customHeight="true"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</row>
    <row r="93" ht="15" customHeight="true"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</row>
    <row r="94" ht="15" customHeight="true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</row>
    <row r="95" ht="15" customHeight="true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</row>
    <row r="96" ht="15" customHeight="true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</row>
    <row r="97" ht="15" customHeight="true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</row>
    <row r="98" ht="15" customHeight="true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</row>
    <row r="99" ht="15" customHeight="true"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</row>
    <row r="100" ht="15" customHeight="true"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</row>
    <row r="101" ht="15" customHeight="true"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</row>
    <row r="102" ht="15" customHeight="true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</row>
    <row r="103" ht="15" customHeight="true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  <c r="AK103" s="67"/>
      <c r="AL103" s="67"/>
    </row>
    <row r="104" ht="15" customHeight="true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</row>
    <row r="105" ht="15" customHeight="true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</row>
    <row r="106" ht="15" customHeight="true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</row>
    <row r="107" ht="15" customHeight="true"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</row>
    <row r="108" ht="15" customHeight="true"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</row>
    <row r="109" ht="15" customHeight="true"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  <c r="AK109" s="67"/>
      <c r="AL109" s="67"/>
    </row>
    <row r="110" ht="15" customHeight="true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  <c r="AK110" s="67"/>
      <c r="AL110" s="67"/>
    </row>
    <row r="111" ht="15" customHeight="true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  <c r="AK111" s="67"/>
      <c r="AL111" s="67"/>
    </row>
    <row r="112" ht="15" customHeight="true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  <c r="AK112" s="67"/>
      <c r="AL112" s="67"/>
    </row>
    <row r="113" ht="15" customHeight="true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  <c r="AK113" s="67"/>
      <c r="AL113" s="67"/>
    </row>
    <row r="114" ht="15" customHeight="true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</row>
    <row r="115" ht="15" customHeight="true"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</row>
    <row r="116" ht="15" customHeight="true"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</row>
    <row r="117" ht="15" customHeight="true"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</row>
    <row r="118" ht="15" customHeight="true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</row>
    <row r="119" ht="15" customHeight="true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</row>
    <row r="120" ht="15" customHeight="true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  <c r="AK120" s="67"/>
      <c r="AL120" s="67"/>
    </row>
    <row r="121" ht="15" customHeight="true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  <c r="AK121" s="67"/>
      <c r="AL121" s="67"/>
    </row>
    <row r="122" ht="15" customHeight="true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  <c r="AK122" s="67"/>
      <c r="AL122" s="67"/>
    </row>
    <row r="123" ht="15" customHeight="true"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</row>
    <row r="124" ht="15" customHeight="true"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</row>
    <row r="125" ht="15" customHeight="true"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  <c r="AK125" s="67"/>
      <c r="AL125" s="67"/>
    </row>
    <row r="126" ht="15" customHeight="true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</row>
    <row r="127" ht="15" customHeight="true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</row>
    <row r="128" ht="15" customHeight="true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</row>
    <row r="129" ht="15" customHeight="true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  <c r="AK129" s="67"/>
      <c r="AL129" s="67"/>
    </row>
    <row r="130" ht="15" customHeight="true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  <c r="AK130" s="67"/>
      <c r="AL130" s="67"/>
    </row>
    <row r="131" ht="15" customHeight="true"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</row>
    <row r="132" ht="15" customHeight="true"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</row>
    <row r="133" ht="15" customHeight="true"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</row>
    <row r="134" ht="15" customHeight="true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</row>
    <row r="135" ht="15" customHeight="true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</row>
    <row r="136" ht="15" customHeight="true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</row>
    <row r="137" ht="15" customHeight="true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  <c r="AK137" s="67"/>
      <c r="AL137" s="67"/>
    </row>
    <row r="138" ht="15" customHeight="true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</row>
    <row r="139" ht="15" customHeight="true"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  <c r="AK139" s="67"/>
      <c r="AL139" s="67"/>
    </row>
    <row r="140" ht="15" customHeight="true"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  <c r="AK140" s="67"/>
      <c r="AL140" s="67"/>
    </row>
    <row r="141" ht="15" customHeight="true"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  <c r="AK141" s="67"/>
      <c r="AL141" s="67"/>
    </row>
    <row r="142" ht="15" customHeight="true"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  <c r="AK142" s="67"/>
      <c r="AL142" s="67"/>
    </row>
    <row r="143" ht="15" customHeight="true"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</row>
    <row r="144" ht="15" customHeight="true"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  <c r="AK144" s="67"/>
      <c r="AL144" s="67"/>
    </row>
    <row r="145" ht="15" customHeight="true"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  <c r="AK145" s="67"/>
      <c r="AL145" s="67"/>
    </row>
    <row r="146" ht="15" customHeight="true"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</row>
    <row r="147" ht="15" customHeight="true"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  <c r="AK147" s="67"/>
      <c r="AL147" s="67"/>
    </row>
    <row r="148" ht="15" customHeight="true"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  <c r="AK148" s="67"/>
      <c r="AL148" s="67"/>
    </row>
    <row r="149" ht="15" customHeight="true"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  <c r="AK149" s="67"/>
      <c r="AL149" s="67"/>
    </row>
    <row r="150" ht="15" customHeight="true"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  <c r="AK150" s="67"/>
      <c r="AL150" s="67"/>
    </row>
    <row r="151" ht="15" customHeight="true"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  <c r="AK151" s="67"/>
      <c r="AL151" s="67"/>
    </row>
    <row r="152" ht="15" customHeight="true"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  <c r="AK152" s="67"/>
      <c r="AL152" s="67"/>
    </row>
    <row r="153" ht="15" customHeight="true"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  <c r="AK153" s="67"/>
      <c r="AL153" s="67"/>
    </row>
    <row r="154" ht="15" customHeight="true"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  <c r="AK154" s="67"/>
      <c r="AL154" s="67"/>
    </row>
    <row r="155" ht="15" customHeight="true"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  <c r="AK155" s="67"/>
      <c r="AL155" s="67"/>
    </row>
    <row r="156" ht="15" customHeight="true"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  <c r="AI156" s="67"/>
      <c r="AJ156" s="67"/>
      <c r="AK156" s="67"/>
      <c r="AL156" s="67"/>
    </row>
    <row r="157" ht="15" customHeight="true"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  <c r="AI157" s="67"/>
      <c r="AJ157" s="67"/>
      <c r="AK157" s="67"/>
      <c r="AL157" s="67"/>
    </row>
    <row r="158" ht="15" customHeight="true"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  <c r="AK158" s="67"/>
      <c r="AL158" s="67"/>
    </row>
    <row r="162" ht="15" customHeight="true"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2022-10-23T00:33:22Z</dcterms:modified>
</cp:coreProperties>
</file>