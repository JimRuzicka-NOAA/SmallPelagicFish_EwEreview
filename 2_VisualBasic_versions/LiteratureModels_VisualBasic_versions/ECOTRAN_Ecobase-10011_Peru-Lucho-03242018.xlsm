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false" codeName="ThisWorkbook" checkCompatibility="true" autoCompressPictures="false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BASE_ManualEntries_READ/"/>
    </mc:Choice>
  </mc:AlternateContent>
  <xr:revisionPtr revIDLastSave="0" documentId="13_ncr:1_{C6ED2A91-6001-A049-9D15-5467624CA614}" xr6:coauthVersionLast="45" xr6:coauthVersionMax="45" xr10:uidLastSave="{00000000-0000-0000-0000-000000000000}"/>
  <bookViews>
    <workbookView xWindow="780" yWindow="460" windowWidth="28340" windowHeight="14320" tabRatio="728" activeTab="1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Detritus!$C$2:$G$42</definedName>
    <definedName name="matDiet">Diets!$B$2:$AJ$41</definedName>
    <definedName name="matDiscards">Discards!$C$2:$D$40</definedName>
    <definedName name="matFishery">Fishing!$C$2:$D$40</definedName>
    <definedName name="matFishing">Fishing!#REF!</definedName>
    <definedName name="matMort">Mortalities!$A$1:$AR$40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 fullCalcOnLoad="true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<sst xmlns="http://schemas.openxmlformats.org/spreadsheetml/2006/main" count="1138" uniqueCount="235">
  <si>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</si>
  <si>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</si>
  <si>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</si>
  <si>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</si>
  <si>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</si>
  <si>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</si>
  <si>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</si>
  <si>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</si>
  <si>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</si>
  <si>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</si>
  <si>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</si>
  <si>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</si>
  <si>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</si>
  <si>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</si>
  <si>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</si>
  <si>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</si>
  <si>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</si>
  <si>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</si>
  <si>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</si>
  <si>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</si>
  <si>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</si>
  <si>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</si>
  <si>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</si>
  <si>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</si>
  <si>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</si>
  <si>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</si>
  <si>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</si>
  <si>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</si>
  <si>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</si>
  <si>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</si>
  <si>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</si>
  <si>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</si>
  <si>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</si>
  <si>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</si>
  <si>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</si>
  <si>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</si>
  <si>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</si>
  <si>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</si>
  <si>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</si>
  <si>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</si>
  <si>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</si>
  <si>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</si>
  <si>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</si>
  <si>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</si>
  <si>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</si>
  <si>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</si>
  <si>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</si>
  <si>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</si>
  <si>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</si>
  <si>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</si>
  <si>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</si>
  <si>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</si>
  <si>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</si>
  <si>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</si>
  <si>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</si>
  <si>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</si>
  <si>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</si>
  <si>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</si>
  <si>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</si>
  <si>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</si>
  <si>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</si>
  <si>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sum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</si>
  <si>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</si>
  <si>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</si>
  <si>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</si>
  <si>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</si>
  <si>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</si>
  <si>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</si>
  <si>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</si>
  <si>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</si>
  <si>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</si>
  <si>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</si>
  <si>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</si>
  <si>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</si>
  <si>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</si>
  <si>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</si>
  <si>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</si>
  <si>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</si>
  <si>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</si>
  <si>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</si>
  <si>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</si>
  <si>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</si>
  <si>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</si>
  <si>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</si>
  <si>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</si>
  <si>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</si>
  <si>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</si>
  <si>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</si>
  <si>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</si>
  <si>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</si>
  <si>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</si>
  <si>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</si>
  <si>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</si>
  <si>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</si>
  <si>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</si>
  <si>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</si>
  <si>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</si>
  <si>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</si>
  <si>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</si>
  <si>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</si>
  <si>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</si>
  <si>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</si>
  <si>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</si>
  <si>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</si>
  <si>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</si>
  <si>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</si>
  <si>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</si>
  <si>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</si>
  <si>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</si>
  <si>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</si>
  <si>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</si>
  <si>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</si>
  <si>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</si>
  <si>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</si>
  <si>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</si>
  <si>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</si>
  <si>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</si>
  <si>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</si>
  <si>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</si>
  <si>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</si>
  <si>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</si>
  <si>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</si>
  <si>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</si>
  <si>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</si>
  <si>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</si>
  <si>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</si>
  <si>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</si>
  <si>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</si>
  <si>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</si>
  <si>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</si>
  <si>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</si>
  <si>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</si>
  <si>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</si>
  <si>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</si>
  <si>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</si>
  <si>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</si>
  <si>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</si>
  <si>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</si>
  <si>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</si>
  <si>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</si>
  <si>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</si>
  <si>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</si>
  <si>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</si>
  <si>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</si>
  <si>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</si>
  <si>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</si>
  <si>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</si>
  <si>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</si>
  <si>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</si>
  <si>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</si>
  <si>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</si>
  <si>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</si>
  <si>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</si>
  <si>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</si>
  <si>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</si>
  <si>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NOTE: fishery discards are defined as "feces"</t>
  </si>
  <si>
    <t>NOTE: "ExcretionFate" of detritus groups is really used to define the fate of excretion by bacteria that metabolise detritus</t>
  </si>
  <si>
    <t>RetentionScaler</t>
  </si>
  <si>
    <t>( 0 = more advection &lt;--&gt; less advection =1)</t>
  </si>
  <si>
    <t>Functional Response</t>
  </si>
  <si>
    <t>A</t>
  </si>
  <si>
    <t>C</t>
  </si>
  <si>
    <t>D</t>
  </si>
  <si>
    <t>NOTE: "EL"; linear = 0; non-linear =1</t>
  </si>
  <si>
    <t>&lt;--based on fraction of total primary production</t>
  </si>
  <si>
    <t>&lt;-- primary producer excretion should be meaningless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</si>
  <si>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</si>
  <si>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</si>
  <si>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</si>
  <si>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</si>
  <si>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</si>
  <si>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</si>
  <si>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</si>
  <si>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</si>
  <si>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</si>
  <si>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</si>
  <si>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source notes</t>
  </si>
  <si>
    <t>import</t>
  </si>
  <si>
    <t>export</t>
  </si>
  <si>
    <t>&lt;-NOTE: every model must have a terminal pelagic &amp; benthic detritus group</t>
  </si>
  <si>
    <t>&lt;-NOTE: fisheries FOLLOW terminal detritus groups</t>
  </si>
  <si>
    <t>&lt;-NOTE: BA &amp; EM at very end</t>
  </si>
  <si>
    <t>Diatoms</t>
  </si>
  <si>
    <t>Dino- and silic</t>
  </si>
  <si>
    <t>Microzooplankton</t>
  </si>
  <si>
    <t>Mesozooplankton</t>
  </si>
  <si>
    <t>Macrozooplankton</t>
  </si>
  <si>
    <t>Gelatinous zoop</t>
  </si>
  <si>
    <t>C_plocamia</t>
  </si>
  <si>
    <t>From Ruzicka et al. 2012</t>
  </si>
  <si>
    <t>Macrobenthos</t>
  </si>
  <si>
    <t>Sardine Sardino</t>
  </si>
  <si>
    <t>Anchovy Engraul</t>
  </si>
  <si>
    <t>Average between Tam and Guenette</t>
  </si>
  <si>
    <t>Mesopelagics</t>
  </si>
  <si>
    <t>Jumbo squid Dos</t>
  </si>
  <si>
    <t>Other Cephalopods</t>
  </si>
  <si>
    <t>Other small pelagics</t>
  </si>
  <si>
    <t>Horse mackerel</t>
  </si>
  <si>
    <t>Chub Mackerel</t>
  </si>
  <si>
    <t>Other large pelagics</t>
  </si>
  <si>
    <t>Small hake Merl</t>
  </si>
  <si>
    <t>Medium hake</t>
  </si>
  <si>
    <t>Large hake Merl</t>
  </si>
  <si>
    <t>Flatfish</t>
  </si>
  <si>
    <t>Small demersals</t>
  </si>
  <si>
    <t>From Guenette et al. 2008</t>
  </si>
  <si>
    <t>Benthic elasmob</t>
  </si>
  <si>
    <t>Butter fish</t>
  </si>
  <si>
    <t>Conger</t>
  </si>
  <si>
    <t>Medium demersal</t>
  </si>
  <si>
    <t>Medium sciaenid</t>
  </si>
  <si>
    <t>Prionotus steph</t>
  </si>
  <si>
    <t>Catfish</t>
  </si>
  <si>
    <t>Chondrichthyans</t>
  </si>
  <si>
    <t>Seabirds</t>
  </si>
  <si>
    <t>Pinnipeds</t>
  </si>
  <si>
    <t>Cetaceans</t>
  </si>
  <si>
    <t>C_mydas</t>
  </si>
  <si>
    <t>D_coriacea</t>
  </si>
  <si>
    <t>From Robinson et al. 2014</t>
  </si>
  <si>
    <t>Anchovy eggs</t>
  </si>
  <si>
    <t>recreational fisheries</t>
  </si>
  <si>
    <t>commercial fisheries</t>
  </si>
  <si>
    <t>`</t>
  </si>
  <si>
    <t>Import</t>
  </si>
  <si>
    <t>Microzooplankto</t>
  </si>
  <si>
    <t>Macrozooplankto</t>
  </si>
  <si>
    <t>commerical fisheries</t>
  </si>
  <si>
    <t>Chub mackerel</t>
  </si>
  <si>
    <t>JRuz assumes</t>
  </si>
  <si>
    <t>Calc based on PB and QB</t>
  </si>
  <si>
    <t>C_ mydas</t>
  </si>
  <si>
    <t>F recreational fisheries</t>
  </si>
  <si>
    <t>F commercial fisheries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</si>
</sst>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3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Arial"/>
      <family val="2"/>
    </font>
    <font>
      <i/>
      <sz val="12"/>
      <name val="Arial"/>
      <family val="2"/>
    </font>
    <font>
      <b/>
      <sz val="12"/>
      <color rgb="FFFF0000"/>
      <name val="Arial"/>
      <family val="2"/>
    </font>
    <font>
      <sz val="12"/>
      <color indexed="10"/>
      <name val="Arial"/>
      <family val="2"/>
    </font>
    <font>
      <sz val="12"/>
      <color rgb="FF000000"/>
      <name val="Arial"/>
      <family val="2"/>
    </font>
    <font>
      <sz val="12"/>
      <color rgb="FF0070C0"/>
      <name val="Arial"/>
      <family val="2"/>
    </font>
    <font>
      <b/>
      <sz val="12"/>
      <color theme="6" tint="-0.24994659260842"/>
      <name val="Arial"/>
      <family val="2"/>
    </font>
    <font>
      <sz val="12"/>
      <color theme="6" tint="-0.24994659260842"/>
      <name val="Arial"/>
      <family val="2"/>
    </font>
    <font>
      <b/>
      <sz val="10"/>
      <name val="Verdana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</fonts>
  <fills count="15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2"/>
        <bgColor indexed="64"/>
      </patternFill>
    </fill>
    <fill>
      <patternFill patternType="solid">
        <fgColor theme="6" tint="0.39997558519242"/>
        <bgColor indexed="64"/>
      </patternFill>
    </fill>
    <fill>
      <patternFill patternType="solid">
        <fgColor theme="3" tint="0.39997558519242"/>
        <bgColor indexed="64"/>
      </patternFill>
    </fill>
    <fill>
      <patternFill patternType="solid">
        <fgColor theme="2" tint="-0.24994659260842"/>
        <bgColor indexed="64"/>
      </patternFill>
    </fill>
    <fill>
      <patternFill patternType="solid">
        <fgColor theme="7" tint="0.399975585192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6337778863"/>
        <bgColor indexed="64"/>
      </patternFill>
    </fill>
    <fill>
      <patternFill patternType="solid">
        <fgColor theme="8" tint="0.59996337778863"/>
        <bgColor indexed="64"/>
      </patternFill>
    </fill>
    <fill>
      <patternFill patternType="solid">
        <fgColor theme="9" tint="0.59996337778863"/>
        <bgColor indexed="64"/>
      </patternFill>
    </fill>
    <fill>
      <patternFill patternType="solid">
        <fgColor theme="5" tint="0.39997558519242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ECFF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/>
      <bottom/>
      <diagonal/>
    </border>
    <border>
      <left style="medium">
        <color auto="true"/>
      </left>
      <right/>
      <top style="medium">
        <color auto="true"/>
      </top>
      <bottom/>
      <diagonal/>
    </border>
    <border>
      <left/>
      <right style="medium">
        <color auto="true"/>
      </right>
      <top style="medium">
        <color auto="true"/>
      </top>
      <bottom/>
      <diagonal/>
    </border>
    <border>
      <left style="medium">
        <color auto="true"/>
      </left>
      <right/>
      <top/>
      <bottom/>
      <diagonal/>
    </border>
    <border>
      <left/>
      <right style="medium">
        <color auto="true"/>
      </right>
      <top/>
      <bottom/>
      <diagonal/>
    </border>
    <border>
      <left style="medium">
        <color auto="true"/>
      </left>
      <right/>
      <top/>
      <bottom style="medium">
        <color auto="true"/>
      </bottom>
      <diagonal/>
    </border>
    <border>
      <left/>
      <right/>
      <top/>
      <bottom style="medium">
        <color auto="true"/>
      </bottom>
      <diagonal/>
    </border>
    <border>
      <left/>
      <right style="medium">
        <color auto="true"/>
      </right>
      <top/>
      <bottom style="medium">
        <color auto="true"/>
      </bottom>
      <diagonal/>
    </border>
    <border>
      <left style="medium">
        <color auto="true"/>
      </left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medium">
        <color auto="true"/>
      </left>
      <right/>
      <top style="medium">
        <color auto="true"/>
      </top>
      <bottom style="medium">
        <color auto="true"/>
      </bottom>
      <diagonal/>
    </border>
    <border>
      <left/>
      <right style="medium">
        <color auto="true"/>
      </right>
      <top style="medium">
        <color auto="true"/>
      </top>
      <bottom style="medium">
        <color auto="true"/>
      </bottom>
      <diagonal/>
    </border>
    <border>
      <left style="thin">
        <color auto="true"/>
      </left>
      <right/>
      <top style="thin">
        <color auto="true"/>
      </top>
      <bottom/>
      <diagonal/>
    </border>
    <border>
      <left style="thin">
        <color auto="true"/>
      </left>
      <right/>
      <top/>
      <bottom/>
      <diagonal/>
    </border>
    <border>
      <left/>
      <right style="thin">
        <color auto="true"/>
      </right>
      <top/>
      <bottom/>
      <diagonal/>
    </border>
    <border>
      <left style="thin">
        <color auto="true"/>
      </left>
      <right/>
      <top/>
      <bottom style="thin">
        <color rgb="FFC0C0C0"/>
      </bottom>
      <diagonal/>
    </border>
    <border>
      <left/>
      <right style="thin">
        <color auto="true"/>
      </right>
      <top/>
      <bottom style="medium">
        <color auto="true"/>
      </bottom>
      <diagonal/>
    </border>
    <border>
      <left style="thin">
        <color auto="true"/>
      </left>
      <right/>
      <top/>
      <bottom style="thin">
        <color auto="true"/>
      </bottom>
      <diagonal/>
    </border>
    <border>
      <left/>
      <right style="thin">
        <color auto="true"/>
      </right>
      <top/>
      <bottom style="thin">
        <color auto="true"/>
      </bottom>
      <diagonal/>
    </border>
    <border>
      <left/>
      <right style="thin">
        <color auto="true"/>
      </right>
      <top style="thin">
        <color auto="true"/>
      </top>
      <bottom style="thin">
        <color auto="true"/>
      </bottom>
      <diagonal/>
    </border>
    <border>
      <left/>
      <right/>
      <top style="thin">
        <color auto="true"/>
      </top>
      <bottom style="thin">
        <color auto="true"/>
      </bottom>
      <diagonal/>
    </border>
    <border/>
    <border/>
    <border/>
    <border/>
  </borders>
  <cellStyleXfs count="3654">
    <xf numFmtId="0" fontId="0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3" fillId="0" borderId="0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  <xf numFmtId="0" fontId="4" fillId="0" borderId="0" applyNumberFormat="false" applyFill="false" applyBorder="false" applyAlignment="false" applyProtection="false"/>
    <xf numFmtId="0" fontId="5" fillId="0" borderId="0" applyNumberFormat="false" applyFill="false" applyBorder="false" applyAlignment="false" applyProtection="false"/>
  </cellStyleXfs>
  <cellXfs count="322">
    <xf numFmtId="0" fontId="0" fillId="0" borderId="0" xfId="0"/>
    <xf numFmtId="0" fontId="1" fillId="0" borderId="0" xfId="0" applyFont="true"/>
    <xf numFmtId="0" fontId="1" fillId="2" borderId="0" xfId="0" applyFont="true" applyFill="true"/>
    <xf numFmtId="0" fontId="0" fillId="0" borderId="0" xfId="0" applyFill="true"/>
    <xf numFmtId="0" fontId="0" fillId="4" borderId="0" xfId="0" applyFill="true"/>
    <xf numFmtId="2" fontId="0" fillId="4" borderId="0" xfId="0" applyNumberFormat="true" applyFill="true"/>
    <xf numFmtId="0" fontId="0" fillId="5" borderId="0" xfId="0" applyFill="true"/>
    <xf numFmtId="0" fontId="0" fillId="6" borderId="0" xfId="0" applyFill="true"/>
    <xf numFmtId="0" fontId="0" fillId="7" borderId="0" xfId="0" applyFill="true"/>
    <xf numFmtId="0" fontId="0" fillId="8" borderId="0" xfId="0" applyFill="true"/>
    <xf numFmtId="0" fontId="0" fillId="9" borderId="0" xfId="0" applyFill="true"/>
    <xf numFmtId="0" fontId="0" fillId="10" borderId="0" xfId="0" applyFill="true"/>
    <xf numFmtId="0" fontId="0" fillId="11" borderId="0" xfId="0" applyFill="true"/>
    <xf numFmtId="0" fontId="0" fillId="12" borderId="0" xfId="0" applyFill="true"/>
    <xf numFmtId="0" fontId="0" fillId="13" borderId="0" xfId="0" applyFill="true"/>
    <xf numFmtId="0" fontId="0" fillId="14" borderId="0" xfId="0" applyFill="true"/>
    <xf numFmtId="0" fontId="0" fillId="15" borderId="0" xfId="0" applyFill="true"/>
    <xf numFmtId="0" fontId="0" fillId="16" borderId="0" xfId="0" applyFill="true"/>
    <xf numFmtId="0" fontId="0" fillId="17" borderId="0" xfId="0" applyFill="true"/>
    <xf numFmtId="0" fontId="0" fillId="18" borderId="0" xfId="0" applyFill="true"/>
    <xf numFmtId="0" fontId="0" fillId="19" borderId="0" xfId="0" applyFill="true"/>
    <xf numFmtId="0" fontId="0" fillId="20" borderId="0" xfId="0" applyFill="true"/>
    <xf numFmtId="0" fontId="0" fillId="21" borderId="0" xfId="0" applyFill="true"/>
    <xf numFmtId="0" fontId="0" fillId="22" borderId="0" xfId="0" applyFill="true"/>
    <xf numFmtId="0" fontId="0" fillId="23" borderId="0" xfId="0" applyFill="true"/>
    <xf numFmtId="0" fontId="0" fillId="24" borderId="0" xfId="0" applyFill="true"/>
    <xf numFmtId="0" fontId="0" fillId="25" borderId="0" xfId="0" applyFill="true"/>
    <xf numFmtId="14" fontId="0" fillId="0" borderId="0" xfId="0" applyNumberFormat="true"/>
    <xf numFmtId="0" fontId="0" fillId="0" borderId="6" xfId="0" applyBorder="true"/>
    <xf numFmtId="0" fontId="0" fillId="0" borderId="7" xfId="0" applyBorder="true"/>
    <xf numFmtId="0" fontId="0" fillId="0" borderId="8" xfId="0" applyBorder="true"/>
    <xf numFmtId="0" fontId="0" fillId="0" borderId="11" xfId="0" applyBorder="true"/>
    <xf numFmtId="2" fontId="1" fillId="0" borderId="0" xfId="0" applyNumberFormat="true" applyFont="true"/>
    <xf numFmtId="0" fontId="1" fillId="0" borderId="0" xfId="0" applyFont="true" applyAlignment="true">
      <alignment horizontal="right"/>
    </xf>
    <xf numFmtId="0" fontId="1" fillId="0" borderId="0" xfId="0" applyFont="true" applyFill="true" applyAlignment="true">
      <alignment horizontal="center"/>
    </xf>
    <xf numFmtId="0" fontId="0" fillId="0" borderId="0" xfId="0" applyFill="true" applyBorder="true" applyAlignment="true">
      <alignment horizontal="center"/>
    </xf>
    <xf numFmtId="0" fontId="1" fillId="2" borderId="2" xfId="0" applyFont="true" applyFill="true" applyBorder="true" applyAlignment="true">
      <alignment horizontal="center"/>
    </xf>
    <xf numFmtId="0" fontId="1" fillId="2" borderId="3" xfId="0" applyFont="true" applyFill="true" applyBorder="true" applyAlignment="true">
      <alignment horizontal="center"/>
    </xf>
    <xf numFmtId="0" fontId="6" fillId="0" borderId="0" xfId="0" applyFont="true" applyAlignment="true">
      <alignment horizontal="right"/>
    </xf>
    <xf numFmtId="0" fontId="1" fillId="0" borderId="0" xfId="0" applyFont="true" applyFill="true" applyBorder="true" applyAlignment="true">
      <alignment horizontal="right"/>
    </xf>
    <xf numFmtId="0" fontId="1" fillId="26" borderId="2" xfId="0" applyFont="true" applyFill="true" applyBorder="true" applyAlignment="true">
      <alignment horizontal="center"/>
    </xf>
    <xf numFmtId="0" fontId="1" fillId="26" borderId="4" xfId="0" applyFont="true" applyFill="true" applyBorder="true" applyAlignment="true">
      <alignment horizontal="center"/>
    </xf>
    <xf numFmtId="0" fontId="1" fillId="26" borderId="3" xfId="0" applyFont="true" applyFill="true" applyBorder="true" applyAlignment="true">
      <alignment horizontal="center"/>
    </xf>
    <xf numFmtId="0" fontId="1" fillId="0" borderId="10" xfId="0" applyFont="true" applyBorder="true" applyAlignment="true">
      <alignment horizontal="center"/>
    </xf>
    <xf numFmtId="0" fontId="1" fillId="0" borderId="13" xfId="0" applyFont="true" applyBorder="true" applyAlignment="true">
      <alignment horizontal="center"/>
    </xf>
    <xf numFmtId="0" fontId="0" fillId="0" borderId="14" xfId="0" applyBorder="true"/>
    <xf numFmtId="0" fontId="0" fillId="0" borderId="7" xfId="0" applyBorder="true" applyAlignment="true">
      <alignment horizontal="right"/>
    </xf>
    <xf numFmtId="0" fontId="0" fillId="0" borderId="9" xfId="0" applyBorder="true" applyAlignment="true">
      <alignment horizontal="right"/>
    </xf>
    <xf numFmtId="0" fontId="0" fillId="0" borderId="7" xfId="0" applyFill="true" applyBorder="true" applyAlignment="true">
      <alignment horizontal="left"/>
    </xf>
    <xf numFmtId="0" fontId="0" fillId="0" borderId="5" xfId="0" applyBorder="true" applyAlignment="true">
      <alignment horizontal="right"/>
    </xf>
    <xf numFmtId="0" fontId="1" fillId="0" borderId="0" xfId="0" applyFont="true" applyFill="true"/>
    <xf numFmtId="0" fontId="0" fillId="26" borderId="5" xfId="0" applyFill="true" applyBorder="true"/>
    <xf numFmtId="0" fontId="0" fillId="26" borderId="7" xfId="0" applyFill="true" applyBorder="true"/>
    <xf numFmtId="0" fontId="0" fillId="26" borderId="8" xfId="0" applyFill="true" applyBorder="true"/>
    <xf numFmtId="0" fontId="0" fillId="26" borderId="9" xfId="0" applyFill="true" applyBorder="true"/>
    <xf numFmtId="0" fontId="0" fillId="26" borderId="11" xfId="0" applyFill="true" applyBorder="true"/>
    <xf numFmtId="0" fontId="8" fillId="0" borderId="0" xfId="0" applyFont="true"/>
    <xf numFmtId="0" fontId="0" fillId="33" borderId="0" xfId="0" applyFill="true"/>
    <xf numFmtId="0" fontId="0" fillId="0" borderId="0" xfId="0" applyFont="true"/>
    <xf numFmtId="2" fontId="0" fillId="0" borderId="0" xfId="0" applyNumberFormat="true" applyFont="true"/>
    <xf numFmtId="0" fontId="0" fillId="35" borderId="0" xfId="0" applyFill="true"/>
    <xf numFmtId="0" fontId="0" fillId="36" borderId="0" xfId="0" applyFill="true"/>
    <xf numFmtId="0" fontId="0" fillId="37" borderId="0" xfId="0" applyFill="true"/>
    <xf numFmtId="0" fontId="0" fillId="38" borderId="0" xfId="0" applyFill="true"/>
    <xf numFmtId="0" fontId="0" fillId="39" borderId="0" xfId="0" applyFill="true"/>
    <xf numFmtId="0" fontId="0" fillId="40" borderId="0" xfId="0" applyFill="true"/>
    <xf numFmtId="0" fontId="0" fillId="41" borderId="0" xfId="0" applyFill="true"/>
    <xf numFmtId="0" fontId="0" fillId="42" borderId="0" xfId="0" applyFill="true"/>
    <xf numFmtId="0" fontId="0" fillId="43" borderId="0" xfId="0" applyFill="true"/>
    <xf numFmtId="0" fontId="0" fillId="44" borderId="0" xfId="0" applyFill="true"/>
    <xf numFmtId="0" fontId="11" fillId="2" borderId="0" xfId="0" applyFont="true" applyFill="true"/>
    <xf numFmtId="0" fontId="12" fillId="0" borderId="0" xfId="0" applyFont="true"/>
    <xf numFmtId="0" fontId="0" fillId="45" borderId="0" xfId="0" applyFill="true"/>
    <xf numFmtId="0" fontId="0" fillId="46" borderId="0" xfId="0" applyFill="true"/>
    <xf numFmtId="0" fontId="14" fillId="0" borderId="0" xfId="0" applyFont="true"/>
    <xf numFmtId="0" fontId="13" fillId="0" borderId="0" xfId="0" applyFont="true"/>
    <xf numFmtId="0" fontId="9" fillId="26" borderId="6" xfId="0" applyFont="true" applyFill="true" applyBorder="true"/>
    <xf numFmtId="0" fontId="12" fillId="0" borderId="0" xfId="0" applyFont="true" applyFill="true"/>
    <xf numFmtId="0" fontId="15" fillId="0" borderId="0" xfId="0" applyFont="true" applyFill="true"/>
    <xf numFmtId="0" fontId="10" fillId="0" borderId="0" xfId="0" applyFont="true" applyFill="true" applyAlignment="true">
      <alignment horizontal="right"/>
    </xf>
    <xf numFmtId="0" fontId="11" fillId="0" borderId="0" xfId="0" applyFont="true" applyAlignment="true"/>
    <xf numFmtId="0" fontId="12" fillId="0" borderId="0" xfId="0" applyFont="true" applyAlignment="true"/>
    <xf numFmtId="0" fontId="11" fillId="2" borderId="0" xfId="0" applyFont="true" applyFill="true" applyAlignment="true"/>
    <xf numFmtId="0" fontId="11" fillId="0" borderId="0" xfId="0" applyFont="true" applyFill="true" applyAlignment="true"/>
    <xf numFmtId="0" fontId="11" fillId="0" borderId="0" xfId="0" applyFont="true"/>
    <xf numFmtId="0" fontId="11" fillId="0" borderId="0" xfId="0" applyFont="true" applyAlignment="true">
      <alignment horizontal="right"/>
    </xf>
    <xf numFmtId="2" fontId="11" fillId="0" borderId="12" xfId="0" applyNumberFormat="true" applyFont="true" applyBorder="true" applyAlignment="true">
      <alignment horizontal="center"/>
    </xf>
    <xf numFmtId="0" fontId="16" fillId="0" borderId="0" xfId="0" applyFont="true"/>
    <xf numFmtId="0" fontId="11" fillId="0" borderId="13" xfId="0" applyFont="true" applyBorder="true" applyAlignment="true">
      <alignment horizontal="center"/>
    </xf>
    <xf numFmtId="0" fontId="12" fillId="0" borderId="14" xfId="0" applyFont="true" applyBorder="true"/>
    <xf numFmtId="0" fontId="12" fillId="0" borderId="7" xfId="0" applyFont="true" applyBorder="true" applyAlignment="true">
      <alignment horizontal="right"/>
    </xf>
    <xf numFmtId="0" fontId="12" fillId="0" borderId="8" xfId="0" applyFont="true" applyBorder="true"/>
    <xf numFmtId="0" fontId="12" fillId="0" borderId="9" xfId="0" applyFont="true" applyBorder="true" applyAlignment="true">
      <alignment horizontal="right"/>
    </xf>
    <xf numFmtId="0" fontId="12" fillId="0" borderId="11" xfId="0" applyFont="true" applyBorder="true"/>
    <xf numFmtId="0" fontId="12" fillId="0" borderId="7" xfId="0" applyFont="true" applyFill="true" applyBorder="true" applyAlignment="true">
      <alignment horizontal="left"/>
    </xf>
    <xf numFmtId="0" fontId="10" fillId="0" borderId="0" xfId="0" applyFont="true" applyFill="true" applyAlignment="true">
      <alignment horizontal="left"/>
    </xf>
    <xf numFmtId="0" fontId="12" fillId="0" borderId="0" xfId="0" applyFont="true" applyAlignment="true">
      <alignment horizontal="center"/>
    </xf>
    <xf numFmtId="0" fontId="11" fillId="0" borderId="0" xfId="0" applyFont="true" applyAlignment="true">
      <alignment horizontal="center"/>
    </xf>
    <xf numFmtId="0" fontId="12" fillId="0" borderId="0" xfId="0" applyFont="true" applyBorder="true"/>
    <xf numFmtId="0" fontId="12" fillId="0" borderId="0" xfId="0" applyFont="true" applyAlignment="true">
      <alignment horizontal="left"/>
    </xf>
    <xf numFmtId="0" fontId="11" fillId="0" borderId="0" xfId="0" applyFont="true" applyAlignment="true">
      <alignment horizontal="left"/>
    </xf>
    <xf numFmtId="0" fontId="12" fillId="34" borderId="2" xfId="0" applyNumberFormat="true" applyFont="true" applyFill="true" applyBorder="true"/>
    <xf numFmtId="0" fontId="18" fillId="0" borderId="0" xfId="0" applyFont="true"/>
    <xf numFmtId="0" fontId="12" fillId="0" borderId="1" xfId="0" applyFont="true" applyBorder="true" applyAlignment="true">
      <alignment horizontal="center"/>
    </xf>
    <xf numFmtId="0" fontId="12" fillId="0" borderId="0" xfId="0" applyFont="true" applyFill="true" applyBorder="true" applyAlignment="true">
      <alignment horizontal="center"/>
    </xf>
    <xf numFmtId="0" fontId="12" fillId="34" borderId="3" xfId="0" applyNumberFormat="true" applyFont="true" applyFill="true" applyBorder="true"/>
    <xf numFmtId="0" fontId="12" fillId="34" borderId="2" xfId="0" applyFont="true" applyFill="true" applyBorder="true"/>
    <xf numFmtId="0" fontId="12" fillId="34" borderId="3" xfId="0" applyFont="true" applyFill="true" applyBorder="true"/>
    <xf numFmtId="0" fontId="17" fillId="0" borderId="0" xfId="0" applyFont="true" applyAlignment="true">
      <alignment horizontal="left"/>
    </xf>
    <xf numFmtId="0" fontId="12" fillId="34" borderId="4" xfId="0" applyFont="true" applyFill="true" applyBorder="true"/>
    <xf numFmtId="0" fontId="12" fillId="0" borderId="15" xfId="0" applyFont="true" applyBorder="true"/>
    <xf numFmtId="0" fontId="11" fillId="0" borderId="23" xfId="0" applyFont="true" applyBorder="true" applyAlignment="true">
      <alignment horizontal="center"/>
    </xf>
    <xf numFmtId="0" fontId="11" fillId="0" borderId="22" xfId="0" applyFont="true" applyBorder="true" applyAlignment="true">
      <alignment horizontal="center"/>
    </xf>
    <xf numFmtId="0" fontId="12" fillId="0" borderId="17" xfId="0" applyFont="true" applyBorder="true"/>
    <xf numFmtId="0" fontId="19" fillId="0" borderId="18" xfId="0" applyFont="true" applyFill="true" applyBorder="true" applyAlignment="true">
      <alignment horizontal="right" wrapText="true"/>
    </xf>
    <xf numFmtId="0" fontId="12" fillId="0" borderId="16" xfId="0" applyFont="true" applyFill="true" applyBorder="true" applyAlignment="true">
      <alignment horizontal="right"/>
    </xf>
    <xf numFmtId="0" fontId="12" fillId="0" borderId="10" xfId="0" applyFont="true" applyBorder="true"/>
    <xf numFmtId="0" fontId="12" fillId="0" borderId="19" xfId="0" applyFont="true" applyBorder="true"/>
    <xf numFmtId="0" fontId="12" fillId="0" borderId="20" xfId="0" applyFont="true" applyBorder="true"/>
    <xf numFmtId="0" fontId="12" fillId="0" borderId="1" xfId="0" applyFont="true" applyBorder="true"/>
    <xf numFmtId="0" fontId="12" fillId="0" borderId="21" xfId="0" applyFont="true" applyBorder="true"/>
    <xf numFmtId="0" fontId="20" fillId="0" borderId="0" xfId="0" applyFont="true" applyAlignment="true">
      <alignment horizontal="center"/>
    </xf>
    <xf numFmtId="0" fontId="20" fillId="0" borderId="1" xfId="0" applyFont="true" applyBorder="true" applyAlignment="true">
      <alignment horizontal="center"/>
    </xf>
    <xf numFmtId="0" fontId="20" fillId="0" borderId="0" xfId="0" applyFont="true"/>
    <xf numFmtId="0" fontId="20" fillId="0" borderId="0" xfId="0" applyFont="true" applyFill="true" applyAlignment="true">
      <alignment horizontal="center"/>
    </xf>
    <xf numFmtId="0" fontId="20" fillId="0" borderId="1" xfId="0" applyFont="true" applyFill="true" applyBorder="true" applyAlignment="true">
      <alignment horizontal="center"/>
    </xf>
    <xf numFmtId="0" fontId="20" fillId="0" borderId="0" xfId="0" applyFont="true" applyFill="true"/>
    <xf numFmtId="0" fontId="21" fillId="0" borderId="0" xfId="0" applyFont="true" applyAlignment="true">
      <alignment horizontal="left"/>
    </xf>
    <xf numFmtId="0" fontId="22" fillId="0" borderId="1" xfId="0" applyFont="true" applyBorder="true" applyAlignment="true">
      <alignment horizontal="center"/>
    </xf>
    <xf numFmtId="0" fontId="22" fillId="0" borderId="0" xfId="0" applyFont="true"/>
    <xf numFmtId="0" fontId="1" fillId="2" borderId="0" xfId="0" applyFont="true" applyFill="true" applyAlignment="true">
      <alignment wrapText="true"/>
    </xf>
    <xf numFmtId="0" fontId="0" fillId="0" borderId="0" xfId="0" applyAlignment="true">
      <alignment wrapText="true"/>
    </xf>
    <xf numFmtId="0" fontId="7" fillId="0" borderId="0" xfId="0" applyFont="true"/>
    <xf numFmtId="0" fontId="1" fillId="0" borderId="0" xfId="0" applyFont="true" applyAlignment="true">
      <alignment wrapText="true"/>
    </xf>
    <xf numFmtId="0" fontId="23" fillId="0" borderId="0" xfId="0" applyFont="true" applyAlignment="true">
      <alignment horizontal="center"/>
    </xf>
    <xf numFmtId="0" fontId="23" fillId="0" borderId="0" xfId="0" applyFont="true" applyFill="true" applyAlignment="true">
      <alignment horizontal="center"/>
    </xf>
    <xf numFmtId="0" fontId="23" fillId="31" borderId="0" xfId="0" applyFont="true" applyFill="true" applyAlignment="true">
      <alignment horizontal="center"/>
    </xf>
    <xf numFmtId="0" fontId="23" fillId="29" borderId="0" xfId="0" applyFont="true" applyFill="true" applyAlignment="true">
      <alignment horizontal="center"/>
    </xf>
    <xf numFmtId="0" fontId="23" fillId="30" borderId="0" xfId="0" applyFont="true" applyFill="true" applyAlignment="true">
      <alignment horizontal="center"/>
    </xf>
    <xf numFmtId="0" fontId="23" fillId="27" borderId="0" xfId="0" applyFont="true" applyFill="true" applyAlignment="true">
      <alignment horizontal="center"/>
    </xf>
    <xf numFmtId="0" fontId="23" fillId="28" borderId="0" xfId="0" applyFont="true" applyFill="true" applyAlignment="true">
      <alignment horizontal="center"/>
    </xf>
    <xf numFmtId="0" fontId="23" fillId="0" borderId="0" xfId="0" applyFont="true" applyFill="true" applyAlignment="true">
      <alignment horizontal="right"/>
    </xf>
    <xf numFmtId="0" fontId="0" fillId="26" borderId="2" xfId="0" applyFill="true" applyBorder="true" applyAlignment="true">
      <alignment horizontal="center"/>
    </xf>
    <xf numFmtId="0" fontId="0" fillId="26" borderId="4" xfId="0" applyFill="true" applyBorder="true" applyAlignment="true">
      <alignment horizontal="center"/>
    </xf>
    <xf numFmtId="0" fontId="0" fillId="26" borderId="3" xfId="0" applyFill="true" applyBorder="true"/>
    <xf numFmtId="0" fontId="0" fillId="0" borderId="0" xfId="0" applyAlignment="true">
      <alignment horizontal="center"/>
    </xf>
    <xf numFmtId="0" fontId="0" fillId="0" borderId="0" xfId="0" applyFill="true" applyAlignment="true">
      <alignment horizontal="center"/>
    </xf>
    <xf numFmtId="0" fontId="0" fillId="0" borderId="0" xfId="0" applyAlignment="true">
      <alignment horizontal="right"/>
    </xf>
    <xf numFmtId="0" fontId="0" fillId="47" borderId="0" xfId="0" applyFill="true"/>
    <xf numFmtId="0" fontId="0" fillId="48" borderId="0" xfId="0" applyFill="true"/>
    <xf numFmtId="0" fontId="0" fillId="49" borderId="0" xfId="0" applyFill="true"/>
    <xf numFmtId="0" fontId="0" fillId="50" borderId="0" xfId="0" applyFill="true"/>
    <xf numFmtId="0" fontId="0" fillId="51" borderId="0" xfId="0" applyFill="true"/>
    <xf numFmtId="0" fontId="0" fillId="52" borderId="0" xfId="0" applyFill="true"/>
    <xf numFmtId="0" fontId="0" fillId="53" borderId="0" xfId="0" applyFill="true"/>
    <xf numFmtId="0" fontId="0" fillId="54" borderId="0" xfId="0" applyFill="true"/>
    <xf numFmtId="0" fontId="0" fillId="55" borderId="0" xfId="0" applyFill="true"/>
    <xf numFmtId="0" fontId="0" fillId="56" borderId="0" xfId="0" applyFill="true"/>
    <xf numFmtId="0" fontId="0" fillId="57" borderId="0" xfId="0" applyFill="true"/>
    <xf numFmtId="0" fontId="0" fillId="58" borderId="0" xfId="0" applyFill="true"/>
    <xf numFmtId="0" fontId="0" fillId="59" borderId="0" xfId="0" applyFill="true"/>
    <xf numFmtId="0" fontId="0" fillId="60" borderId="0" xfId="0" applyFill="true"/>
    <xf numFmtId="0" fontId="0" fillId="61" borderId="0" xfId="0" applyFill="true"/>
    <xf numFmtId="0" fontId="0" fillId="62" borderId="0" xfId="0" applyFill="true"/>
    <xf numFmtId="0" fontId="0" fillId="63" borderId="0" xfId="0" applyFill="true"/>
    <xf numFmtId="0" fontId="0" fillId="64" borderId="0" xfId="0" applyFill="true"/>
    <xf numFmtId="0" fontId="0" fillId="65" borderId="0" xfId="0" applyFill="true"/>
    <xf numFmtId="0" fontId="0" fillId="66" borderId="0" xfId="0" applyFill="true"/>
    <xf numFmtId="0" fontId="0" fillId="67" borderId="0" xfId="0" applyFill="true"/>
    <xf numFmtId="0" fontId="0" fillId="68" borderId="0" xfId="0" applyFill="true"/>
    <xf numFmtId="0" fontId="0" fillId="69" borderId="0" xfId="0" applyFill="true"/>
    <xf numFmtId="0" fontId="0" fillId="70" borderId="0" xfId="0" applyFill="true"/>
    <xf numFmtId="0" fontId="0" fillId="71" borderId="0" xfId="0" applyFill="true"/>
    <xf numFmtId="0" fontId="0" fillId="72" borderId="0" xfId="0" applyFill="true"/>
    <xf numFmtId="0" fontId="0" fillId="73" borderId="0" xfId="0" applyFill="true"/>
    <xf numFmtId="0" fontId="0" fillId="74" borderId="0" xfId="0" applyFill="true"/>
    <xf numFmtId="0" fontId="0" fillId="75" borderId="0" xfId="0" applyFill="true"/>
    <xf numFmtId="0" fontId="0" fillId="76" borderId="0" xfId="0" applyFill="true"/>
    <xf numFmtId="0" fontId="0" fillId="77" borderId="0" xfId="0" applyFill="true"/>
    <xf numFmtId="0" fontId="0" fillId="78" borderId="0" xfId="0" applyFill="true"/>
    <xf numFmtId="0" fontId="0" fillId="79" borderId="0" xfId="0" applyFill="true"/>
    <xf numFmtId="0" fontId="0" fillId="80" borderId="0" xfId="0" applyFill="true"/>
    <xf numFmtId="0" fontId="0" fillId="81" borderId="0" xfId="0" applyFill="true"/>
    <xf numFmtId="0" fontId="0" fillId="82" borderId="0" xfId="0" applyFill="true"/>
    <xf numFmtId="0" fontId="0" fillId="83" borderId="0" xfId="0" applyFill="true"/>
    <xf numFmtId="0" fontId="0" fillId="84" borderId="0" xfId="0" applyFill="true"/>
    <xf numFmtId="0" fontId="0" fillId="85" borderId="0" xfId="0" applyFill="true"/>
    <xf numFmtId="0" fontId="0" fillId="86" borderId="0" xfId="0" applyFill="true"/>
    <xf numFmtId="0" fontId="0" fillId="87" borderId="0" xfId="0" applyFill="true"/>
    <xf numFmtId="0" fontId="0" fillId="88" borderId="0" xfId="0" applyFill="true"/>
    <xf numFmtId="0" fontId="0" fillId="89" borderId="0" xfId="0" applyFill="true"/>
    <xf numFmtId="0" fontId="0" fillId="90" borderId="0" xfId="0" applyFill="true"/>
    <xf numFmtId="0" fontId="0" fillId="0" borderId="0" xfId="0" applyAlignment="true">
      <alignment horizontal="center" wrapText="true"/>
    </xf>
    <xf numFmtId="0" fontId="0" fillId="3" borderId="0" xfId="0" applyFill="true" applyAlignment="true">
      <alignment horizontal="center"/>
    </xf>
    <xf numFmtId="0" fontId="0" fillId="91" borderId="0" xfId="0" applyFill="true"/>
    <xf numFmtId="0" fontId="0" fillId="93" borderId="0" xfId="0" applyFill="true"/>
    <xf numFmtId="0" fontId="0" fillId="0" borderId="0" xfId="0" applyAlignment="true">
      <alignment horizontal="left"/>
    </xf>
    <xf numFmtId="0" fontId="0" fillId="0" borderId="0" xfId="0" applyFill="true" applyBorder="true"/>
    <xf numFmtId="0" fontId="0" fillId="0" borderId="0" xfId="0" applyBorder="true"/>
    <xf numFmtId="164" fontId="9" fillId="0" borderId="0" xfId="0" applyNumberFormat="true" applyFont="true" applyFill="true" applyAlignment="true">
      <alignment horizontal="right"/>
    </xf>
    <xf numFmtId="165" fontId="0" fillId="0" borderId="0" xfId="0" applyNumberFormat="true" applyFill="true"/>
    <xf numFmtId="0" fontId="9" fillId="0" borderId="0" xfId="0" applyFont="true"/>
    <xf numFmtId="0" fontId="9" fillId="0" borderId="0" xfId="0" applyFont="true" applyFill="true"/>
    <xf numFmtId="164" fontId="9" fillId="0" borderId="0" xfId="0" applyNumberFormat="true" applyFont="true" applyFill="true"/>
    <xf numFmtId="0" fontId="0" fillId="94" borderId="0" xfId="0" applyFill="true"/>
    <xf numFmtId="0" fontId="9" fillId="94" borderId="0" xfId="0" applyFont="true" applyFill="true"/>
    <xf numFmtId="165" fontId="0" fillId="93" borderId="0" xfId="0" applyNumberFormat="true" applyFill="true"/>
    <xf numFmtId="164" fontId="9" fillId="95" borderId="0" xfId="0" applyNumberFormat="true" applyFont="true" applyFill="true" applyAlignment="true">
      <alignment horizontal="right"/>
    </xf>
    <xf numFmtId="0" fontId="9" fillId="95" borderId="0" xfId="0" applyFont="true" applyFill="true"/>
    <xf numFmtId="0" fontId="0" fillId="95" borderId="0" xfId="0" applyFill="true"/>
    <xf numFmtId="0" fontId="9" fillId="93" borderId="0" xfId="0" applyFont="true" applyFill="true"/>
    <xf numFmtId="164" fontId="0" fillId="93" borderId="0" xfId="0" applyNumberFormat="true" applyFill="true"/>
    <xf numFmtId="164" fontId="9" fillId="92" borderId="0" xfId="0" applyNumberFormat="true" applyFont="true" applyFill="true" applyAlignment="true">
      <alignment horizontal="right"/>
    </xf>
    <xf numFmtId="165" fontId="0" fillId="91" borderId="0" xfId="0" applyNumberFormat="true" applyFill="true"/>
    <xf numFmtId="0" fontId="9" fillId="91" borderId="0" xfId="0" applyFont="true" applyFill="true"/>
    <xf numFmtId="164" fontId="0" fillId="0" borderId="0" xfId="0" applyNumberFormat="true" applyFill="true"/>
    <xf numFmtId="0" fontId="25" fillId="0" borderId="0" xfId="0" applyNumberFormat="true" applyFont="true" applyFill="true"/>
    <xf numFmtId="0" fontId="26" fillId="0" borderId="0" xfId="0" applyNumberFormat="true" applyFont="true" applyFill="true"/>
    <xf numFmtId="0" fontId="0" fillId="0" borderId="0" xfId="0" applyNumberFormat="true"/>
    <xf numFmtId="0" fontId="26" fillId="0" borderId="0" xfId="0" applyNumberFormat="true" applyFont="true" applyFill="true" applyAlignment="true">
      <alignment horizontal="left"/>
    </xf>
    <xf numFmtId="0" fontId="26" fillId="0" borderId="0" xfId="0" applyNumberFormat="true" applyFont="true" applyFill="true" applyAlignment="true">
      <alignment horizontal="center"/>
    </xf>
    <xf numFmtId="0" fontId="0" fillId="0" borderId="0" xfId="0" applyNumberFormat="true" applyAlignment="true">
      <alignment horizontal="center"/>
    </xf>
    <xf numFmtId="0" fontId="0" fillId="0" borderId="0" xfId="0" applyNumberFormat="true" applyFill="true" applyAlignment="true">
      <alignment horizontal="center"/>
    </xf>
    <xf numFmtId="0" fontId="25" fillId="0" borderId="0" xfId="0" applyNumberFormat="true" applyFont="true" applyFill="true" applyAlignment="true">
      <alignment horizontal="center"/>
    </xf>
    <xf numFmtId="0" fontId="9" fillId="0" borderId="0" xfId="0" applyFont="true" applyFill="true" applyAlignment="true">
      <alignment horizontal="center"/>
    </xf>
    <xf numFmtId="0" fontId="1" fillId="2" borderId="0" xfId="0" applyFont="true" applyFill="true" applyAlignment="true">
      <alignment horizontal="left" wrapText="true"/>
    </xf>
    <xf numFmtId="0" fontId="1" fillId="0" borderId="0" xfId="0" applyFont="true" applyAlignment="true">
      <alignment horizontal="left" wrapText="true"/>
    </xf>
    <xf numFmtId="0" fontId="9" fillId="0" borderId="0" xfId="0" applyNumberFormat="true" applyFont="true" applyAlignment="true">
      <alignment horizontal="center"/>
    </xf>
    <xf numFmtId="0" fontId="0" fillId="0" borderId="0" xfId="0" applyNumberFormat="true" applyAlignment="true">
      <alignment horizontal="center" wrapText="true"/>
    </xf>
    <xf numFmtId="0" fontId="0" fillId="3" borderId="0" xfId="0" applyNumberFormat="true" applyFill="true" applyAlignment="true">
      <alignment horizontal="center"/>
    </xf>
    <xf numFmtId="0" fontId="0" fillId="0" borderId="0" xfId="0" applyNumberFormat="true" applyFont="true" applyAlignment="true">
      <alignment horizontal="center"/>
    </xf>
    <xf numFmtId="0" fontId="27" fillId="0" borderId="0" xfId="0" applyFont="true" applyFill="true" applyBorder="true"/>
    <xf numFmtId="0" fontId="28" fillId="0" borderId="0" xfId="0" applyFont="true" applyFill="true" applyBorder="true" applyAlignment="true">
      <alignment horizontal="center" vertical="center"/>
    </xf>
    <xf numFmtId="0" fontId="0" fillId="96" borderId="0" xfId="0" applyFill="true"/>
    <xf numFmtId="0" fontId="27" fillId="0" borderId="0" xfId="0" applyFont="true" applyFill="true" applyBorder="true" applyAlignment="true">
      <alignment horizontal="center" vertical="center"/>
    </xf>
    <xf numFmtId="0" fontId="27" fillId="27" borderId="0" xfId="0" applyFont="true" applyFill="true" applyBorder="true" applyAlignment="true">
      <alignment horizontal="center" vertical="center"/>
    </xf>
    <xf numFmtId="0" fontId="28" fillId="31" borderId="0" xfId="0" applyFont="true" applyFill="true" applyBorder="true" applyAlignment="true">
      <alignment horizontal="center" vertical="center"/>
    </xf>
    <xf numFmtId="0" fontId="0" fillId="97" borderId="0" xfId="0" applyFill="true"/>
    <xf numFmtId="0" fontId="29" fillId="0" borderId="0" xfId="0" applyFont="true" applyFill="true" applyAlignment="true">
      <alignment horizontal="center"/>
    </xf>
    <xf numFmtId="0" fontId="24" fillId="90" borderId="0" xfId="0" applyFont="true" applyFill="true" applyBorder="true" applyAlignment="true">
      <alignment horizontal="center"/>
    </xf>
    <xf numFmtId="165" fontId="24" fillId="0" borderId="0" xfId="0" applyNumberFormat="true" applyFont="true" applyFill="true" applyBorder="true" applyAlignment="true">
      <alignment horizontal="center"/>
    </xf>
    <xf numFmtId="165" fontId="24" fillId="31" borderId="0" xfId="0" applyNumberFormat="true" applyFont="true" applyFill="true" applyBorder="true" applyAlignment="true">
      <alignment horizontal="center"/>
    </xf>
    <xf numFmtId="165" fontId="30" fillId="97" borderId="0" xfId="0" applyNumberFormat="true" applyFont="true" applyFill="true" applyAlignment="true">
      <alignment horizontal="center"/>
    </xf>
    <xf numFmtId="0" fontId="0" fillId="90" borderId="0" xfId="0" applyFill="true" applyBorder="true"/>
    <xf numFmtId="0" fontId="0" fillId="0" borderId="0" xfId="0" applyFont="true" applyFill="true" applyBorder="true"/>
    <xf numFmtId="0" fontId="26" fillId="0" borderId="0" xfId="0" applyFont="true" applyFill="true"/>
    <xf numFmtId="165" fontId="26" fillId="0" borderId="0" xfId="0" applyNumberFormat="true" applyFont="true" applyFill="true"/>
    <xf numFmtId="0" fontId="26" fillId="0" borderId="0" xfId="0" applyFont="true" applyFill="true" applyAlignment="true">
      <alignment horizontal="left"/>
    </xf>
    <xf numFmtId="0" fontId="30" fillId="0" borderId="0" xfId="0" applyNumberFormat="true" applyFont="true" applyFill="true" applyAlignment="true">
      <alignment horizontal="center"/>
    </xf>
    <xf numFmtId="0" fontId="0" fillId="97" borderId="0" xfId="0" applyNumberFormat="true" applyFont="true" applyFill="true" applyAlignment="true">
      <alignment horizontal="center"/>
    </xf>
    <xf numFmtId="0" fontId="0" fillId="97" borderId="0" xfId="0" applyNumberFormat="true" applyFill="true" applyAlignment="true">
      <alignment horizontal="center"/>
    </xf>
    <xf numFmtId="0" fontId="0" fillId="0" borderId="0" xfId="0" applyBorder="true" applyAlignment="true">
      <alignment horizontal="center"/>
    </xf>
    <xf numFmtId="0" fontId="0" fillId="98" borderId="5" xfId="0" applyFont="true" applyFill="true" applyBorder="true" applyAlignment="true">
      <alignment horizontal="center"/>
    </xf>
    <xf numFmtId="0" fontId="0" fillId="98" borderId="6" xfId="0" applyFont="true" applyFill="true" applyBorder="true" applyAlignment="true">
      <alignment horizontal="center"/>
    </xf>
    <xf numFmtId="0" fontId="0" fillId="98" borderId="9" xfId="0" applyFont="true" applyFill="true" applyBorder="true" applyAlignment="true">
      <alignment horizontal="center"/>
    </xf>
    <xf numFmtId="0" fontId="0" fillId="98" borderId="11" xfId="0" applyFont="true" applyFill="true" applyBorder="true" applyAlignment="true">
      <alignment horizontal="center"/>
    </xf>
    <xf numFmtId="0" fontId="0" fillId="32" borderId="5" xfId="0" applyFont="true" applyFill="true" applyBorder="true" applyAlignment="true">
      <alignment horizontal="center"/>
    </xf>
    <xf numFmtId="0" fontId="0" fillId="32" borderId="6" xfId="0" applyFont="true" applyFill="true" applyBorder="true" applyAlignment="true">
      <alignment horizontal="center"/>
    </xf>
    <xf numFmtId="0" fontId="0" fillId="0" borderId="0" xfId="0" applyFont="true" applyAlignment="true">
      <alignment horizontal="center"/>
    </xf>
    <xf numFmtId="0" fontId="0" fillId="0" borderId="0" xfId="0" applyFont="true" applyBorder="true" applyAlignment="true">
      <alignment horizontal="center"/>
    </xf>
    <xf numFmtId="0" fontId="0" fillId="0" borderId="0" xfId="0" applyFont="true" applyFill="true" applyBorder="true" applyAlignment="true">
      <alignment horizontal="center"/>
    </xf>
    <xf numFmtId="0" fontId="0" fillId="32" borderId="9" xfId="0" applyFont="true" applyFill="true" applyBorder="true" applyAlignment="true">
      <alignment horizontal="center"/>
    </xf>
    <xf numFmtId="0" fontId="0" fillId="32" borderId="11" xfId="0" applyFont="true" applyFill="true" applyBorder="true" applyAlignment="true">
      <alignment horizontal="center"/>
    </xf>
    <xf numFmtId="0" fontId="0" fillId="0" borderId="0" xfId="0" applyFont="true" applyFill="true"/>
    <xf numFmtId="0" fontId="0" fillId="99" borderId="0" xfId="0" applyFill="true"/>
    <xf numFmtId="0" fontId="0" fillId="100" borderId="0" xfId="0" applyFill="true"/>
    <xf numFmtId="0" fontId="0" fillId="101" borderId="0" xfId="0" applyFill="true"/>
    <xf numFmtId="0" fontId="0" fillId="102" borderId="0" xfId="0" applyFill="true"/>
    <xf numFmtId="0" fontId="0" fillId="103" borderId="0" xfId="0" applyFill="true"/>
    <xf numFmtId="0" fontId="0" fillId="104" borderId="0" xfId="0" applyFill="true"/>
    <xf numFmtId="0" fontId="0" fillId="105" borderId="0" xfId="0" applyFill="true"/>
    <xf numFmtId="0" fontId="0" fillId="106" borderId="0" xfId="0" applyFill="true"/>
    <xf numFmtId="0" fontId="0" fillId="107" borderId="0" xfId="0" applyFill="true"/>
    <xf numFmtId="0" fontId="0" fillId="108" borderId="0" xfId="0" applyFill="true"/>
    <xf numFmtId="0" fontId="0" fillId="109" borderId="0" xfId="0" applyFill="true"/>
    <xf numFmtId="0" fontId="0" fillId="110" borderId="0" xfId="0" applyFill="true"/>
    <xf numFmtId="0" fontId="0" fillId="111" borderId="0" xfId="0" applyFill="true"/>
    <xf numFmtId="0" fontId="0" fillId="112" borderId="0" xfId="0" applyFill="true"/>
    <xf numFmtId="0" fontId="0" fillId="113" borderId="0" xfId="0" applyFill="true"/>
    <xf numFmtId="0" fontId="0" fillId="114" borderId="0" xfId="0" applyFill="true"/>
    <xf numFmtId="0" fontId="0" fillId="115" borderId="0" xfId="0" applyFill="true"/>
    <xf numFmtId="0" fontId="0" fillId="116" borderId="0" xfId="0" applyFill="true"/>
    <xf numFmtId="0" fontId="0" fillId="117" borderId="0" xfId="0" applyFill="true"/>
    <xf numFmtId="0" fontId="0" fillId="118" borderId="0" xfId="0" applyFill="true"/>
    <xf numFmtId="0" fontId="0" fillId="119" borderId="0" xfId="0" applyFill="true"/>
    <xf numFmtId="0" fontId="0" fillId="120" borderId="0" xfId="0" applyFill="true"/>
    <xf numFmtId="0" fontId="0" fillId="121" borderId="0" xfId="0" applyFill="true"/>
    <xf numFmtId="0" fontId="0" fillId="122" borderId="0" xfId="0" applyFill="true"/>
    <xf numFmtId="0" fontId="0" fillId="123" borderId="0" xfId="0" applyFill="true"/>
    <xf numFmtId="0" fontId="0" fillId="124" borderId="0" xfId="0" applyFill="true"/>
    <xf numFmtId="0" fontId="0" fillId="125" borderId="0" xfId="0" applyFill="true"/>
    <xf numFmtId="0" fontId="0" fillId="126" borderId="0" xfId="0" applyFill="true"/>
    <xf numFmtId="0" fontId="0" fillId="127" borderId="0" xfId="0" applyFill="true"/>
    <xf numFmtId="0" fontId="0" fillId="128" borderId="0" xfId="0" applyFill="true"/>
    <xf numFmtId="0" fontId="0" fillId="129" borderId="0" xfId="0" applyFill="true"/>
    <xf numFmtId="0" fontId="0" fillId="130" borderId="0" xfId="0" applyFill="true"/>
    <xf numFmtId="0" fontId="0" fillId="131" borderId="0" xfId="0" applyFill="true"/>
    <xf numFmtId="0" fontId="0" fillId="132" borderId="0" xfId="0" applyFill="true"/>
    <xf numFmtId="0" fontId="0" fillId="133" borderId="0" xfId="0" applyFill="true"/>
    <xf numFmtId="0" fontId="0" fillId="134" borderId="0" xfId="0" applyFill="true"/>
    <xf numFmtId="0" fontId="0" fillId="135" borderId="0" xfId="0" applyFill="true"/>
    <xf numFmtId="0" fontId="0" fillId="136" borderId="0" xfId="0" applyFill="true"/>
    <xf numFmtId="0" fontId="0" fillId="137" borderId="0" xfId="0" applyFill="true"/>
    <xf numFmtId="0" fontId="0" fillId="138" borderId="0" xfId="0" applyFill="true"/>
    <xf numFmtId="0" fontId="0" fillId="139" borderId="0" xfId="0" applyFill="true"/>
    <xf numFmtId="0" fontId="0" fillId="140" borderId="0" xfId="0" applyFill="true"/>
    <xf numFmtId="0" fontId="0" fillId="141" borderId="0" xfId="0" applyFill="true"/>
    <xf numFmtId="0" fontId="0" fillId="142" borderId="0" xfId="0" applyFill="true"/>
    <xf numFmtId="0" fontId="0" fillId="143" borderId="0" xfId="0" applyFill="true"/>
    <xf numFmtId="0" fontId="0" fillId="144" borderId="0" xfId="0" applyFill="true"/>
    <xf numFmtId="0" fontId="0" fillId="145" borderId="0" xfId="0" applyFill="true"/>
    <xf numFmtId="0" fontId="0" fillId="146" borderId="0" xfId="0" applyFill="true"/>
    <xf numFmtId="0" fontId="0" fillId="147" borderId="0" xfId="0" applyFill="true"/>
    <xf numFmtId="0" fontId="0" fillId="148" borderId="0" xfId="0" applyFill="true"/>
    <xf numFmtId="0" fontId="0" fillId="149" borderId="0" xfId="0" applyFill="true"/>
    <xf numFmtId="0" fontId="0" fillId="150" borderId="0" xfId="0" applyFill="true"/>
    <xf numFmtId="0" fontId="0" fillId="151" borderId="0" xfId="0" applyFill="true"/>
    <xf numFmtId="0" fontId="0" fillId="152" borderId="0" xfId="0" applyFill="true"/>
    <xf numFmtId="49" fontId="0" fillId="0" borderId="24" xfId="0" applyNumberFormat="true"/>
    <xf numFmtId="22" fontId="0" fillId="0" borderId="25" xfId="0" applyNumberFormat="true"/>
    <xf numFmtId="49" fontId="0" fillId="0" borderId="26" xfId="0" applyNumberFormat="true"/>
    <xf numFmtId="22" fontId="0" fillId="0" borderId="27" xfId="0" applyNumberFormat="true"/>
  </cellXfs>
  <cellStyles count="3654">
    <cellStyle name="Followed Hyperlink" xfId="2" builtinId="9" hidden="true"/>
    <cellStyle name="Followed Hyperlink" xfId="4" builtinId="9" hidden="true"/>
    <cellStyle name="Followed Hyperlink" xfId="6" builtinId="9" hidden="true"/>
    <cellStyle name="Followed Hyperlink" xfId="8" builtinId="9" hidden="true"/>
    <cellStyle name="Followed Hyperlink" xfId="10" builtinId="9" hidden="true"/>
    <cellStyle name="Followed Hyperlink" xfId="12" builtinId="9" hidden="true"/>
    <cellStyle name="Followed Hyperlink" xfId="14" builtinId="9" hidden="true"/>
    <cellStyle name="Followed Hyperlink" xfId="16" builtinId="9" hidden="true"/>
    <cellStyle name="Followed Hyperlink" xfId="18" builtinId="9" hidden="true"/>
    <cellStyle name="Followed Hyperlink" xfId="20" builtinId="9" hidden="true"/>
    <cellStyle name="Followed Hyperlink" xfId="22" builtinId="9" hidden="true"/>
    <cellStyle name="Followed Hyperlink" xfId="24" builtinId="9" hidden="true"/>
    <cellStyle name="Followed Hyperlink" xfId="26" builtinId="9" hidden="true"/>
    <cellStyle name="Followed Hyperlink" xfId="28" builtinId="9" hidden="true"/>
    <cellStyle name="Followed Hyperlink" xfId="30" builtinId="9" hidden="true"/>
    <cellStyle name="Followed Hyperlink" xfId="32" builtinId="9" hidden="true"/>
    <cellStyle name="Followed Hyperlink" xfId="34" builtinId="9" hidden="true"/>
    <cellStyle name="Followed Hyperlink" xfId="36" builtinId="9" hidden="true"/>
    <cellStyle name="Followed Hyperlink" xfId="38" builtinId="9" hidden="true"/>
    <cellStyle name="Followed Hyperlink" xfId="40" builtinId="9" hidden="true"/>
    <cellStyle name="Followed Hyperlink" xfId="42" builtinId="9" hidden="true"/>
    <cellStyle name="Followed Hyperlink" xfId="44" builtinId="9" hidden="true"/>
    <cellStyle name="Followed Hyperlink" xfId="46" builtinId="9" hidden="true"/>
    <cellStyle name="Followed Hyperlink" xfId="48" builtinId="9" hidden="true"/>
    <cellStyle name="Followed Hyperlink" xfId="50" builtinId="9" hidden="true"/>
    <cellStyle name="Followed Hyperlink" xfId="52" builtinId="9" hidden="true"/>
    <cellStyle name="Followed Hyperlink" xfId="54" builtinId="9" hidden="true"/>
    <cellStyle name="Followed Hyperlink" xfId="56" builtinId="9" hidden="true"/>
    <cellStyle name="Followed Hyperlink" xfId="58" builtinId="9" hidden="true"/>
    <cellStyle name="Followed Hyperlink" xfId="60" builtinId="9" hidden="true"/>
    <cellStyle name="Followed Hyperlink" xfId="62" builtinId="9" hidden="true"/>
    <cellStyle name="Followed Hyperlink" xfId="64" builtinId="9" hidden="true"/>
    <cellStyle name="Followed Hyperlink" xfId="66" builtinId="9" hidden="true"/>
    <cellStyle name="Followed Hyperlink" xfId="68" builtinId="9" hidden="true"/>
    <cellStyle name="Followed Hyperlink" xfId="70" builtinId="9" hidden="true"/>
    <cellStyle name="Followed Hyperlink" xfId="72" builtinId="9" hidden="true"/>
    <cellStyle name="Followed Hyperlink" xfId="74" builtinId="9" hidden="true"/>
    <cellStyle name="Followed Hyperlink" xfId="76" builtinId="9" hidden="true"/>
    <cellStyle name="Followed Hyperlink" xfId="78" builtinId="9" hidden="true"/>
    <cellStyle name="Followed Hyperlink" xfId="80" builtinId="9" hidden="true"/>
    <cellStyle name="Followed Hyperlink" xfId="82" builtinId="9" hidden="true"/>
    <cellStyle name="Followed Hyperlink" xfId="84" builtinId="9" hidden="true"/>
    <cellStyle name="Followed Hyperlink" xfId="86" builtinId="9" hidden="true"/>
    <cellStyle name="Followed Hyperlink" xfId="88" builtinId="9" hidden="true"/>
    <cellStyle name="Followed Hyperlink" xfId="90" builtinId="9" hidden="true"/>
    <cellStyle name="Followed Hyperlink" xfId="92" builtinId="9" hidden="true"/>
    <cellStyle name="Followed Hyperlink" xfId="94" builtinId="9" hidden="true"/>
    <cellStyle name="Followed Hyperlink" xfId="96" builtinId="9" hidden="true"/>
    <cellStyle name="Followed Hyperlink" xfId="98" builtinId="9" hidden="true"/>
    <cellStyle name="Followed Hyperlink" xfId="100" builtinId="9" hidden="true"/>
    <cellStyle name="Followed Hyperlink" xfId="102" builtinId="9" hidden="true"/>
    <cellStyle name="Followed Hyperlink" xfId="104" builtinId="9" hidden="true"/>
    <cellStyle name="Followed Hyperlink" xfId="106" builtinId="9" hidden="true"/>
    <cellStyle name="Followed Hyperlink" xfId="108" builtinId="9" hidden="true"/>
    <cellStyle name="Followed Hyperlink" xfId="110" builtinId="9" hidden="true"/>
    <cellStyle name="Followed Hyperlink" xfId="112" builtinId="9" hidden="true"/>
    <cellStyle name="Followed Hyperlink" xfId="114" builtinId="9" hidden="true"/>
    <cellStyle name="Followed Hyperlink" xfId="116" builtinId="9" hidden="true"/>
    <cellStyle name="Followed Hyperlink" xfId="118" builtinId="9" hidden="true"/>
    <cellStyle name="Followed Hyperlink" xfId="120" builtinId="9" hidden="true"/>
    <cellStyle name="Followed Hyperlink" xfId="122" builtinId="9" hidden="true"/>
    <cellStyle name="Followed Hyperlink" xfId="124" builtinId="9" hidden="true"/>
    <cellStyle name="Followed Hyperlink" xfId="126" builtinId="9" hidden="true"/>
    <cellStyle name="Followed Hyperlink" xfId="128" builtinId="9" hidden="true"/>
    <cellStyle name="Followed Hyperlink" xfId="130" builtinId="9" hidden="true"/>
    <cellStyle name="Followed Hyperlink" xfId="132" builtinId="9" hidden="true"/>
    <cellStyle name="Followed Hyperlink" xfId="134" builtinId="9" hidden="true"/>
    <cellStyle name="Followed Hyperlink" xfId="136" builtinId="9" hidden="true"/>
    <cellStyle name="Followed Hyperlink" xfId="138" builtinId="9" hidden="true"/>
    <cellStyle name="Followed Hyperlink" xfId="140" builtinId="9" hidden="true"/>
    <cellStyle name="Followed Hyperlink" xfId="142" builtinId="9" hidden="true"/>
    <cellStyle name="Followed Hyperlink" xfId="144" builtinId="9" hidden="true"/>
    <cellStyle name="Followed Hyperlink" xfId="146" builtinId="9" hidden="true"/>
    <cellStyle name="Followed Hyperlink" xfId="148" builtinId="9" hidden="true"/>
    <cellStyle name="Followed Hyperlink" xfId="150" builtinId="9" hidden="true"/>
    <cellStyle name="Followed Hyperlink" xfId="152" builtinId="9" hidden="true"/>
    <cellStyle name="Followed Hyperlink" xfId="154" builtinId="9" hidden="true"/>
    <cellStyle name="Followed Hyperlink" xfId="156" builtinId="9" hidden="true"/>
    <cellStyle name="Followed Hyperlink" xfId="158" builtinId="9" hidden="true"/>
    <cellStyle name="Followed Hyperlink" xfId="160" builtinId="9" hidden="true"/>
    <cellStyle name="Followed Hyperlink" xfId="162" builtinId="9" hidden="true"/>
    <cellStyle name="Followed Hyperlink" xfId="164" builtinId="9" hidden="true"/>
    <cellStyle name="Followed Hyperlink" xfId="166" builtinId="9" hidden="true"/>
    <cellStyle name="Followed Hyperlink" xfId="168" builtinId="9" hidden="true"/>
    <cellStyle name="Followed Hyperlink" xfId="170" builtinId="9" hidden="true"/>
    <cellStyle name="Followed Hyperlink" xfId="172" builtinId="9" hidden="true"/>
    <cellStyle name="Followed Hyperlink" xfId="174" builtinId="9" hidden="true"/>
    <cellStyle name="Followed Hyperlink" xfId="176" builtinId="9" hidden="true"/>
    <cellStyle name="Followed Hyperlink" xfId="178" builtinId="9" hidden="true"/>
    <cellStyle name="Followed Hyperlink" xfId="180" builtinId="9" hidden="true"/>
    <cellStyle name="Followed Hyperlink" xfId="182" builtinId="9" hidden="true"/>
    <cellStyle name="Followed Hyperlink" xfId="184" builtinId="9" hidden="true"/>
    <cellStyle name="Followed Hyperlink" xfId="186" builtinId="9" hidden="true"/>
    <cellStyle name="Followed Hyperlink" xfId="188" builtinId="9" hidden="true"/>
    <cellStyle name="Followed Hyperlink" xfId="190" builtinId="9" hidden="true"/>
    <cellStyle name="Followed Hyperlink" xfId="192" builtinId="9" hidden="true"/>
    <cellStyle name="Followed Hyperlink" xfId="194" builtinId="9" hidden="true"/>
    <cellStyle name="Followed Hyperlink" xfId="196" builtinId="9" hidden="true"/>
    <cellStyle name="Followed Hyperlink" xfId="198" builtinId="9" hidden="true"/>
    <cellStyle name="Followed Hyperlink" xfId="200" builtinId="9" hidden="true"/>
    <cellStyle name="Followed Hyperlink" xfId="202" builtinId="9" hidden="true"/>
    <cellStyle name="Followed Hyperlink" xfId="204" builtinId="9" hidden="true"/>
    <cellStyle name="Followed Hyperlink" xfId="206" builtinId="9" hidden="true"/>
    <cellStyle name="Followed Hyperlink" xfId="208" builtinId="9" hidden="true"/>
    <cellStyle name="Followed Hyperlink" xfId="210" builtinId="9" hidden="true"/>
    <cellStyle name="Followed Hyperlink" xfId="212" builtinId="9" hidden="true"/>
    <cellStyle name="Followed Hyperlink" xfId="214" builtinId="9" hidden="true"/>
    <cellStyle name="Followed Hyperlink" xfId="216" builtinId="9" hidden="true"/>
    <cellStyle name="Followed Hyperlink" xfId="218" builtinId="9" hidden="true"/>
    <cellStyle name="Followed Hyperlink" xfId="220" builtinId="9" hidden="true"/>
    <cellStyle name="Followed Hyperlink" xfId="222" builtinId="9" hidden="true"/>
    <cellStyle name="Followed Hyperlink" xfId="224" builtinId="9" hidden="true"/>
    <cellStyle name="Followed Hyperlink" xfId="226" builtinId="9" hidden="true"/>
    <cellStyle name="Followed Hyperlink" xfId="228" builtinId="9" hidden="true"/>
    <cellStyle name="Followed Hyperlink" xfId="230" builtinId="9" hidden="true"/>
    <cellStyle name="Followed Hyperlink" xfId="232" builtinId="9" hidden="true"/>
    <cellStyle name="Followed Hyperlink" xfId="234" builtinId="9" hidden="true"/>
    <cellStyle name="Followed Hyperlink" xfId="236" builtinId="9" hidden="true"/>
    <cellStyle name="Followed Hyperlink" xfId="238" builtinId="9" hidden="true"/>
    <cellStyle name="Followed Hyperlink" xfId="240" builtinId="9" hidden="true"/>
    <cellStyle name="Followed Hyperlink" xfId="242" builtinId="9" hidden="true"/>
    <cellStyle name="Followed Hyperlink" xfId="244" builtinId="9" hidden="true"/>
    <cellStyle name="Followed Hyperlink" xfId="246" builtinId="9" hidden="true"/>
    <cellStyle name="Followed Hyperlink" xfId="248" builtinId="9" hidden="true"/>
    <cellStyle name="Followed Hyperlink" xfId="250" builtinId="9" hidden="true"/>
    <cellStyle name="Followed Hyperlink" xfId="252" builtinId="9" hidden="true"/>
    <cellStyle name="Followed Hyperlink" xfId="254" builtinId="9" hidden="true"/>
    <cellStyle name="Followed Hyperlink" xfId="256" builtinId="9" hidden="true"/>
    <cellStyle name="Followed Hyperlink" xfId="258" builtinId="9" hidden="true"/>
    <cellStyle name="Followed Hyperlink" xfId="260" builtinId="9" hidden="true"/>
    <cellStyle name="Followed Hyperlink" xfId="262" builtinId="9" hidden="true"/>
    <cellStyle name="Followed Hyperlink" xfId="264" builtinId="9" hidden="true"/>
    <cellStyle name="Followed Hyperlink" xfId="266" builtinId="9" hidden="true"/>
    <cellStyle name="Followed Hyperlink" xfId="268" builtinId="9" hidden="true"/>
    <cellStyle name="Followed Hyperlink" xfId="270" builtinId="9" hidden="true"/>
    <cellStyle name="Followed Hyperlink" xfId="272" builtinId="9" hidden="true"/>
    <cellStyle name="Followed Hyperlink" xfId="274" builtinId="9" hidden="true"/>
    <cellStyle name="Followed Hyperlink" xfId="276" builtinId="9" hidden="true"/>
    <cellStyle name="Followed Hyperlink" xfId="278" builtinId="9" hidden="true"/>
    <cellStyle name="Followed Hyperlink" xfId="280" builtinId="9" hidden="true"/>
    <cellStyle name="Followed Hyperlink" xfId="282" builtinId="9" hidden="true"/>
    <cellStyle name="Followed Hyperlink" xfId="284" builtinId="9" hidden="true"/>
    <cellStyle name="Followed Hyperlink" xfId="286" builtinId="9" hidden="true"/>
    <cellStyle name="Followed Hyperlink" xfId="288" builtinId="9" hidden="true"/>
    <cellStyle name="Followed Hyperlink" xfId="290" builtinId="9" hidden="true"/>
    <cellStyle name="Followed Hyperlink" xfId="292" builtinId="9" hidden="true"/>
    <cellStyle name="Followed Hyperlink" xfId="294" builtinId="9" hidden="true"/>
    <cellStyle name="Followed Hyperlink" xfId="296" builtinId="9" hidden="true"/>
    <cellStyle name="Followed Hyperlink" xfId="298" builtinId="9" hidden="true"/>
    <cellStyle name="Followed Hyperlink" xfId="300" builtinId="9" hidden="true"/>
    <cellStyle name="Followed Hyperlink" xfId="302" builtinId="9" hidden="true"/>
    <cellStyle name="Followed Hyperlink" xfId="304" builtinId="9" hidden="true"/>
    <cellStyle name="Followed Hyperlink" xfId="306" builtinId="9" hidden="true"/>
    <cellStyle name="Followed Hyperlink" xfId="308" builtinId="9" hidden="true"/>
    <cellStyle name="Followed Hyperlink" xfId="310" builtinId="9" hidden="true"/>
    <cellStyle name="Followed Hyperlink" xfId="312" builtinId="9" hidden="true"/>
    <cellStyle name="Followed Hyperlink" xfId="314" builtinId="9" hidden="true"/>
    <cellStyle name="Followed Hyperlink" xfId="316" builtinId="9" hidden="true"/>
    <cellStyle name="Followed Hyperlink" xfId="318" builtinId="9" hidden="true"/>
    <cellStyle name="Followed Hyperlink" xfId="320" builtinId="9" hidden="true"/>
    <cellStyle name="Followed Hyperlink" xfId="322" builtinId="9" hidden="true"/>
    <cellStyle name="Followed Hyperlink" xfId="324" builtinId="9" hidden="true"/>
    <cellStyle name="Followed Hyperlink" xfId="326" builtinId="9" hidden="true"/>
    <cellStyle name="Followed Hyperlink" xfId="328" builtinId="9" hidden="true"/>
    <cellStyle name="Followed Hyperlink" xfId="330" builtinId="9" hidden="true"/>
    <cellStyle name="Followed Hyperlink" xfId="332" builtinId="9" hidden="true"/>
    <cellStyle name="Followed Hyperlink" xfId="334" builtinId="9" hidden="true"/>
    <cellStyle name="Followed Hyperlink" xfId="336" builtinId="9" hidden="true"/>
    <cellStyle name="Followed Hyperlink" xfId="338" builtinId="9" hidden="true"/>
    <cellStyle name="Followed Hyperlink" xfId="340" builtinId="9" hidden="true"/>
    <cellStyle name="Followed Hyperlink" xfId="342" builtinId="9" hidden="true"/>
    <cellStyle name="Followed Hyperlink" xfId="344" builtinId="9" hidden="true"/>
    <cellStyle name="Followed Hyperlink" xfId="346" builtinId="9" hidden="true"/>
    <cellStyle name="Followed Hyperlink" xfId="348" builtinId="9" hidden="true"/>
    <cellStyle name="Followed Hyperlink" xfId="350" builtinId="9" hidden="true"/>
    <cellStyle name="Followed Hyperlink" xfId="352" builtinId="9" hidden="true"/>
    <cellStyle name="Followed Hyperlink" xfId="354" builtinId="9" hidden="true"/>
    <cellStyle name="Followed Hyperlink" xfId="356" builtinId="9" hidden="true"/>
    <cellStyle name="Followed Hyperlink" xfId="358" builtinId="9" hidden="true"/>
    <cellStyle name="Followed Hyperlink" xfId="360" builtinId="9" hidden="true"/>
    <cellStyle name="Followed Hyperlink" xfId="362" builtinId="9" hidden="true"/>
    <cellStyle name="Followed Hyperlink" xfId="364" builtinId="9" hidden="true"/>
    <cellStyle name="Followed Hyperlink" xfId="366" builtinId="9" hidden="true"/>
    <cellStyle name="Followed Hyperlink" xfId="368" builtinId="9" hidden="true"/>
    <cellStyle name="Followed Hyperlink" xfId="370" builtinId="9" hidden="true"/>
    <cellStyle name="Followed Hyperlink" xfId="372" builtinId="9" hidden="true"/>
    <cellStyle name="Followed Hyperlink" xfId="374" builtinId="9" hidden="true"/>
    <cellStyle name="Followed Hyperlink" xfId="376" builtinId="9" hidden="true"/>
    <cellStyle name="Followed Hyperlink" xfId="378" builtinId="9" hidden="true"/>
    <cellStyle name="Followed Hyperlink" xfId="380" builtinId="9" hidden="true"/>
    <cellStyle name="Followed Hyperlink" xfId="382" builtinId="9" hidden="true"/>
    <cellStyle name="Followed Hyperlink" xfId="384" builtinId="9" hidden="true"/>
    <cellStyle name="Followed Hyperlink" xfId="386" builtinId="9" hidden="true"/>
    <cellStyle name="Followed Hyperlink" xfId="388" builtinId="9" hidden="true"/>
    <cellStyle name="Followed Hyperlink" xfId="390" builtinId="9" hidden="true"/>
    <cellStyle name="Followed Hyperlink" xfId="392" builtinId="9" hidden="true"/>
    <cellStyle name="Followed Hyperlink" xfId="394" builtinId="9" hidden="true"/>
    <cellStyle name="Followed Hyperlink" xfId="396" builtinId="9" hidden="true"/>
    <cellStyle name="Followed Hyperlink" xfId="398" builtinId="9" hidden="true"/>
    <cellStyle name="Followed Hyperlink" xfId="400" builtinId="9" hidden="true"/>
    <cellStyle name="Followed Hyperlink" xfId="402" builtinId="9" hidden="true"/>
    <cellStyle name="Followed Hyperlink" xfId="404" builtinId="9" hidden="true"/>
    <cellStyle name="Followed Hyperlink" xfId="406" builtinId="9" hidden="true"/>
    <cellStyle name="Followed Hyperlink" xfId="408" builtinId="9" hidden="true"/>
    <cellStyle name="Followed Hyperlink" xfId="410" builtinId="9" hidden="true"/>
    <cellStyle name="Followed Hyperlink" xfId="412" builtinId="9" hidden="true"/>
    <cellStyle name="Followed Hyperlink" xfId="414" builtinId="9" hidden="true"/>
    <cellStyle name="Followed Hyperlink" xfId="416" builtinId="9" hidden="true"/>
    <cellStyle name="Followed Hyperlink" xfId="418" builtinId="9" hidden="true"/>
    <cellStyle name="Followed Hyperlink" xfId="420" builtinId="9" hidden="true"/>
    <cellStyle name="Followed Hyperlink" xfId="422" builtinId="9" hidden="true"/>
    <cellStyle name="Followed Hyperlink" xfId="424" builtinId="9" hidden="true"/>
    <cellStyle name="Followed Hyperlink" xfId="426" builtinId="9" hidden="true"/>
    <cellStyle name="Followed Hyperlink" xfId="428" builtinId="9" hidden="true"/>
    <cellStyle name="Followed Hyperlink" xfId="430" builtinId="9" hidden="true"/>
    <cellStyle name="Followed Hyperlink" xfId="432" builtinId="9" hidden="true"/>
    <cellStyle name="Followed Hyperlink" xfId="434" builtinId="9" hidden="true"/>
    <cellStyle name="Followed Hyperlink" xfId="436" builtinId="9" hidden="true"/>
    <cellStyle name="Followed Hyperlink" xfId="438" builtinId="9" hidden="true"/>
    <cellStyle name="Followed Hyperlink" xfId="440" builtinId="9" hidden="true"/>
    <cellStyle name="Followed Hyperlink" xfId="442" builtinId="9" hidden="true"/>
    <cellStyle name="Followed Hyperlink" xfId="444" builtinId="9" hidden="true"/>
    <cellStyle name="Followed Hyperlink" xfId="446" builtinId="9" hidden="true"/>
    <cellStyle name="Followed Hyperlink" xfId="448" builtinId="9" hidden="true"/>
    <cellStyle name="Followed Hyperlink" xfId="450" builtinId="9" hidden="true"/>
    <cellStyle name="Followed Hyperlink" xfId="452" builtinId="9" hidden="true"/>
    <cellStyle name="Followed Hyperlink" xfId="454" builtinId="9" hidden="true"/>
    <cellStyle name="Followed Hyperlink" xfId="456" builtinId="9" hidden="true"/>
    <cellStyle name="Followed Hyperlink" xfId="458" builtinId="9" hidden="true"/>
    <cellStyle name="Followed Hyperlink" xfId="460" builtinId="9" hidden="true"/>
    <cellStyle name="Followed Hyperlink" xfId="462" builtinId="9" hidden="true"/>
    <cellStyle name="Followed Hyperlink" xfId="464" builtinId="9" hidden="true"/>
    <cellStyle name="Followed Hyperlink" xfId="466" builtinId="9" hidden="true"/>
    <cellStyle name="Followed Hyperlink" xfId="468" builtinId="9" hidden="true"/>
    <cellStyle name="Followed Hyperlink" xfId="470" builtinId="9" hidden="true"/>
    <cellStyle name="Followed Hyperlink" xfId="472" builtinId="9" hidden="true"/>
    <cellStyle name="Followed Hyperlink" xfId="474" builtinId="9" hidden="true"/>
    <cellStyle name="Followed Hyperlink" xfId="476" builtinId="9" hidden="true"/>
    <cellStyle name="Followed Hyperlink" xfId="478" builtinId="9" hidden="true"/>
    <cellStyle name="Followed Hyperlink" xfId="480" builtinId="9" hidden="true"/>
    <cellStyle name="Followed Hyperlink" xfId="482" builtinId="9" hidden="true"/>
    <cellStyle name="Followed Hyperlink" xfId="484" builtinId="9" hidden="true"/>
    <cellStyle name="Followed Hyperlink" xfId="486" builtinId="9" hidden="true"/>
    <cellStyle name="Followed Hyperlink" xfId="488" builtinId="9" hidden="true"/>
    <cellStyle name="Followed Hyperlink" xfId="490" builtinId="9" hidden="true"/>
    <cellStyle name="Followed Hyperlink" xfId="492" builtinId="9" hidden="true"/>
    <cellStyle name="Followed Hyperlink" xfId="494" builtinId="9" hidden="true"/>
    <cellStyle name="Followed Hyperlink" xfId="496" builtinId="9" hidden="true"/>
    <cellStyle name="Followed Hyperlink" xfId="498" builtinId="9" hidden="true"/>
    <cellStyle name="Followed Hyperlink" xfId="500" builtinId="9" hidden="true"/>
    <cellStyle name="Followed Hyperlink" xfId="502" builtinId="9" hidden="true"/>
    <cellStyle name="Followed Hyperlink" xfId="504" builtinId="9" hidden="true"/>
    <cellStyle name="Followed Hyperlink" xfId="506" builtinId="9" hidden="true"/>
    <cellStyle name="Followed Hyperlink" xfId="508" builtinId="9" hidden="true"/>
    <cellStyle name="Followed Hyperlink" xfId="510" builtinId="9" hidden="true"/>
    <cellStyle name="Followed Hyperlink" xfId="512" builtinId="9" hidden="true"/>
    <cellStyle name="Followed Hyperlink" xfId="514" builtinId="9" hidden="true"/>
    <cellStyle name="Followed Hyperlink" xfId="516" builtinId="9" hidden="true"/>
    <cellStyle name="Followed Hyperlink" xfId="518" builtinId="9" hidden="true"/>
    <cellStyle name="Followed Hyperlink" xfId="520" builtinId="9" hidden="true"/>
    <cellStyle name="Followed Hyperlink" xfId="522" builtinId="9" hidden="true"/>
    <cellStyle name="Followed Hyperlink" xfId="524" builtinId="9" hidden="true"/>
    <cellStyle name="Followed Hyperlink" xfId="526" builtinId="9" hidden="true"/>
    <cellStyle name="Followed Hyperlink" xfId="528" builtinId="9" hidden="true"/>
    <cellStyle name="Followed Hyperlink" xfId="530" builtinId="9" hidden="true"/>
    <cellStyle name="Followed Hyperlink" xfId="532" builtinId="9" hidden="true"/>
    <cellStyle name="Followed Hyperlink" xfId="534" builtinId="9" hidden="true"/>
    <cellStyle name="Followed Hyperlink" xfId="536" builtinId="9" hidden="true"/>
    <cellStyle name="Followed Hyperlink" xfId="538" builtinId="9" hidden="true"/>
    <cellStyle name="Followed Hyperlink" xfId="540" builtinId="9" hidden="true"/>
    <cellStyle name="Followed Hyperlink" xfId="542" builtinId="9" hidden="true"/>
    <cellStyle name="Followed Hyperlink" xfId="544" builtinId="9" hidden="true"/>
    <cellStyle name="Followed Hyperlink" xfId="546" builtinId="9" hidden="true"/>
    <cellStyle name="Followed Hyperlink" xfId="548" builtinId="9" hidden="true"/>
    <cellStyle name="Followed Hyperlink" xfId="550" builtinId="9" hidden="true"/>
    <cellStyle name="Followed Hyperlink" xfId="552" builtinId="9" hidden="true"/>
    <cellStyle name="Followed Hyperlink" xfId="554" builtinId="9" hidden="true"/>
    <cellStyle name="Followed Hyperlink" xfId="556" builtinId="9" hidden="true"/>
    <cellStyle name="Followed Hyperlink" xfId="558" builtinId="9" hidden="true"/>
    <cellStyle name="Followed Hyperlink" xfId="560" builtinId="9" hidden="true"/>
    <cellStyle name="Followed Hyperlink" xfId="562" builtinId="9" hidden="true"/>
    <cellStyle name="Followed Hyperlink" xfId="564" builtinId="9" hidden="true"/>
    <cellStyle name="Followed Hyperlink" xfId="566" builtinId="9" hidden="true"/>
    <cellStyle name="Followed Hyperlink" xfId="568" builtinId="9" hidden="true"/>
    <cellStyle name="Followed Hyperlink" xfId="570" builtinId="9" hidden="true"/>
    <cellStyle name="Followed Hyperlink" xfId="572" builtinId="9" hidden="true"/>
    <cellStyle name="Followed Hyperlink" xfId="574" builtinId="9" hidden="true"/>
    <cellStyle name="Followed Hyperlink" xfId="576" builtinId="9" hidden="true"/>
    <cellStyle name="Followed Hyperlink" xfId="578" builtinId="9" hidden="true"/>
    <cellStyle name="Followed Hyperlink" xfId="580" builtinId="9" hidden="true"/>
    <cellStyle name="Followed Hyperlink" xfId="582" builtinId="9" hidden="true"/>
    <cellStyle name="Followed Hyperlink" xfId="584" builtinId="9" hidden="true"/>
    <cellStyle name="Followed Hyperlink" xfId="586" builtinId="9" hidden="true"/>
    <cellStyle name="Followed Hyperlink" xfId="588" builtinId="9" hidden="true"/>
    <cellStyle name="Followed Hyperlink" xfId="590" builtinId="9" hidden="true"/>
    <cellStyle name="Followed Hyperlink" xfId="592" builtinId="9" hidden="true"/>
    <cellStyle name="Followed Hyperlink" xfId="594" builtinId="9" hidden="true"/>
    <cellStyle name="Followed Hyperlink" xfId="596" builtinId="9" hidden="true"/>
    <cellStyle name="Followed Hyperlink" xfId="598" builtinId="9" hidden="true"/>
    <cellStyle name="Followed Hyperlink" xfId="600" builtinId="9" hidden="true"/>
    <cellStyle name="Followed Hyperlink" xfId="602" builtinId="9" hidden="true"/>
    <cellStyle name="Followed Hyperlink" xfId="604" builtinId="9" hidden="true"/>
    <cellStyle name="Followed Hyperlink" xfId="606" builtinId="9" hidden="true"/>
    <cellStyle name="Followed Hyperlink" xfId="608" builtinId="9" hidden="true"/>
    <cellStyle name="Followed Hyperlink" xfId="610" builtinId="9" hidden="true"/>
    <cellStyle name="Followed Hyperlink" xfId="612" builtinId="9" hidden="true"/>
    <cellStyle name="Followed Hyperlink" xfId="614" builtinId="9" hidden="true"/>
    <cellStyle name="Followed Hyperlink" xfId="616" builtinId="9" hidden="true"/>
    <cellStyle name="Followed Hyperlink" xfId="618" builtinId="9" hidden="true"/>
    <cellStyle name="Followed Hyperlink" xfId="620" builtinId="9" hidden="true"/>
    <cellStyle name="Followed Hyperlink" xfId="622" builtinId="9" hidden="true"/>
    <cellStyle name="Followed Hyperlink" xfId="624" builtinId="9" hidden="true"/>
    <cellStyle name="Followed Hyperlink" xfId="626" builtinId="9" hidden="true"/>
    <cellStyle name="Followed Hyperlink" xfId="628" builtinId="9" hidden="true"/>
    <cellStyle name="Followed Hyperlink" xfId="630" builtinId="9" hidden="true"/>
    <cellStyle name="Followed Hyperlink" xfId="632" builtinId="9" hidden="true"/>
    <cellStyle name="Followed Hyperlink" xfId="634" builtinId="9" hidden="true"/>
    <cellStyle name="Followed Hyperlink" xfId="636" builtinId="9" hidden="true"/>
    <cellStyle name="Followed Hyperlink" xfId="638" builtinId="9" hidden="true"/>
    <cellStyle name="Followed Hyperlink" xfId="640" builtinId="9" hidden="true"/>
    <cellStyle name="Followed Hyperlink" xfId="642" builtinId="9" hidden="true"/>
    <cellStyle name="Followed Hyperlink" xfId="644" builtinId="9" hidden="true"/>
    <cellStyle name="Followed Hyperlink" xfId="646" builtinId="9" hidden="true"/>
    <cellStyle name="Followed Hyperlink" xfId="648" builtinId="9" hidden="true"/>
    <cellStyle name="Followed Hyperlink" xfId="650" builtinId="9" hidden="true"/>
    <cellStyle name="Followed Hyperlink" xfId="652" builtinId="9" hidden="true"/>
    <cellStyle name="Followed Hyperlink" xfId="654" builtinId="9" hidden="true"/>
    <cellStyle name="Followed Hyperlink" xfId="656" builtinId="9" hidden="true"/>
    <cellStyle name="Followed Hyperlink" xfId="658" builtinId="9" hidden="true"/>
    <cellStyle name="Followed Hyperlink" xfId="660" builtinId="9" hidden="true"/>
    <cellStyle name="Followed Hyperlink" xfId="662" builtinId="9" hidden="true"/>
    <cellStyle name="Followed Hyperlink" xfId="664" builtinId="9" hidden="true"/>
    <cellStyle name="Followed Hyperlink" xfId="666" builtinId="9" hidden="true"/>
    <cellStyle name="Followed Hyperlink" xfId="668" builtinId="9" hidden="true"/>
    <cellStyle name="Followed Hyperlink" xfId="670" builtinId="9" hidden="true"/>
    <cellStyle name="Followed Hyperlink" xfId="672" builtinId="9" hidden="true"/>
    <cellStyle name="Followed Hyperlink" xfId="674" builtinId="9" hidden="true"/>
    <cellStyle name="Followed Hyperlink" xfId="676" builtinId="9" hidden="true"/>
    <cellStyle name="Followed Hyperlink" xfId="678" builtinId="9" hidden="true"/>
    <cellStyle name="Followed Hyperlink" xfId="680" builtinId="9" hidden="true"/>
    <cellStyle name="Followed Hyperlink" xfId="682" builtinId="9" hidden="true"/>
    <cellStyle name="Followed Hyperlink" xfId="684" builtinId="9" hidden="true"/>
    <cellStyle name="Followed Hyperlink" xfId="686" builtinId="9" hidden="true"/>
    <cellStyle name="Followed Hyperlink" xfId="688" builtinId="9" hidden="true"/>
    <cellStyle name="Followed Hyperlink" xfId="690" builtinId="9" hidden="true"/>
    <cellStyle name="Followed Hyperlink" xfId="692" builtinId="9" hidden="true"/>
    <cellStyle name="Followed Hyperlink" xfId="694" builtinId="9" hidden="true"/>
    <cellStyle name="Followed Hyperlink" xfId="696" builtinId="9" hidden="true"/>
    <cellStyle name="Followed Hyperlink" xfId="698" builtinId="9" hidden="true"/>
    <cellStyle name="Followed Hyperlink" xfId="700" builtinId="9" hidden="true"/>
    <cellStyle name="Followed Hyperlink" xfId="702" builtinId="9" hidden="true"/>
    <cellStyle name="Followed Hyperlink" xfId="704" builtinId="9" hidden="true"/>
    <cellStyle name="Followed Hyperlink" xfId="706" builtinId="9" hidden="true"/>
    <cellStyle name="Followed Hyperlink" xfId="708" builtinId="9" hidden="true"/>
    <cellStyle name="Followed Hyperlink" xfId="710" builtinId="9" hidden="true"/>
    <cellStyle name="Followed Hyperlink" xfId="712" builtinId="9" hidden="true"/>
    <cellStyle name="Followed Hyperlink" xfId="714" builtinId="9" hidden="true"/>
    <cellStyle name="Followed Hyperlink" xfId="716" builtinId="9" hidden="true"/>
    <cellStyle name="Followed Hyperlink" xfId="718" builtinId="9" hidden="true"/>
    <cellStyle name="Followed Hyperlink" xfId="720" builtinId="9" hidden="true"/>
    <cellStyle name="Followed Hyperlink" xfId="722" builtinId="9" hidden="true"/>
    <cellStyle name="Followed Hyperlink" xfId="724" builtinId="9" hidden="true"/>
    <cellStyle name="Followed Hyperlink" xfId="726" builtinId="9" hidden="true"/>
    <cellStyle name="Followed Hyperlink" xfId="728" builtinId="9" hidden="true"/>
    <cellStyle name="Followed Hyperlink" xfId="730" builtinId="9" hidden="true"/>
    <cellStyle name="Followed Hyperlink" xfId="732" builtinId="9" hidden="true"/>
    <cellStyle name="Followed Hyperlink" xfId="734" builtinId="9" hidden="true"/>
    <cellStyle name="Followed Hyperlink" xfId="736" builtinId="9" hidden="true"/>
    <cellStyle name="Followed Hyperlink" xfId="738" builtinId="9" hidden="true"/>
    <cellStyle name="Followed Hyperlink" xfId="740" builtinId="9" hidden="true"/>
    <cellStyle name="Followed Hyperlink" xfId="742" builtinId="9" hidden="true"/>
    <cellStyle name="Followed Hyperlink" xfId="744" builtinId="9" hidden="true"/>
    <cellStyle name="Followed Hyperlink" xfId="746" builtinId="9" hidden="true"/>
    <cellStyle name="Followed Hyperlink" xfId="748" builtinId="9" hidden="true"/>
    <cellStyle name="Followed Hyperlink" xfId="750" builtinId="9" hidden="true"/>
    <cellStyle name="Followed Hyperlink" xfId="752" builtinId="9" hidden="true"/>
    <cellStyle name="Followed Hyperlink" xfId="754" builtinId="9" hidden="true"/>
    <cellStyle name="Followed Hyperlink" xfId="756" builtinId="9" hidden="true"/>
    <cellStyle name="Followed Hyperlink" xfId="758" builtinId="9" hidden="true"/>
    <cellStyle name="Followed Hyperlink" xfId="760" builtinId="9" hidden="true"/>
    <cellStyle name="Followed Hyperlink" xfId="762" builtinId="9" hidden="true"/>
    <cellStyle name="Followed Hyperlink" xfId="764" builtinId="9" hidden="true"/>
    <cellStyle name="Followed Hyperlink" xfId="766" builtinId="9" hidden="true"/>
    <cellStyle name="Followed Hyperlink" xfId="768" builtinId="9" hidden="true"/>
    <cellStyle name="Followed Hyperlink" xfId="770" builtinId="9" hidden="true"/>
    <cellStyle name="Followed Hyperlink" xfId="772" builtinId="9" hidden="true"/>
    <cellStyle name="Followed Hyperlink" xfId="774" builtinId="9" hidden="true"/>
    <cellStyle name="Followed Hyperlink" xfId="776" builtinId="9" hidden="true"/>
    <cellStyle name="Followed Hyperlink" xfId="778" builtinId="9" hidden="true"/>
    <cellStyle name="Followed Hyperlink" xfId="780" builtinId="9" hidden="true"/>
    <cellStyle name="Followed Hyperlink" xfId="782" builtinId="9" hidden="true"/>
    <cellStyle name="Followed Hyperlink" xfId="784" builtinId="9" hidden="true"/>
    <cellStyle name="Followed Hyperlink" xfId="786" builtinId="9" hidden="true"/>
    <cellStyle name="Followed Hyperlink" xfId="788" builtinId="9" hidden="true"/>
    <cellStyle name="Followed Hyperlink" xfId="790" builtinId="9" hidden="true"/>
    <cellStyle name="Followed Hyperlink" xfId="792" builtinId="9" hidden="true"/>
    <cellStyle name="Followed Hyperlink" xfId="794" builtinId="9" hidden="true"/>
    <cellStyle name="Followed Hyperlink" xfId="796" builtinId="9" hidden="true"/>
    <cellStyle name="Followed Hyperlink" xfId="798" builtinId="9" hidden="true"/>
    <cellStyle name="Followed Hyperlink" xfId="800" builtinId="9" hidden="true"/>
    <cellStyle name="Followed Hyperlink" xfId="802" builtinId="9" hidden="true"/>
    <cellStyle name="Followed Hyperlink" xfId="804" builtinId="9" hidden="true"/>
    <cellStyle name="Followed Hyperlink" xfId="806" builtinId="9" hidden="true"/>
    <cellStyle name="Followed Hyperlink" xfId="808" builtinId="9" hidden="true"/>
    <cellStyle name="Followed Hyperlink" xfId="810" builtinId="9" hidden="true"/>
    <cellStyle name="Followed Hyperlink" xfId="812" builtinId="9" hidden="true"/>
    <cellStyle name="Followed Hyperlink" xfId="814" builtinId="9" hidden="true"/>
    <cellStyle name="Followed Hyperlink" xfId="816" builtinId="9" hidden="true"/>
    <cellStyle name="Followed Hyperlink" xfId="818" builtinId="9" hidden="true"/>
    <cellStyle name="Followed Hyperlink" xfId="820" builtinId="9" hidden="true"/>
    <cellStyle name="Followed Hyperlink" xfId="822" builtinId="9" hidden="true"/>
    <cellStyle name="Followed Hyperlink" xfId="824" builtinId="9" hidden="true"/>
    <cellStyle name="Followed Hyperlink" xfId="826" builtinId="9" hidden="true"/>
    <cellStyle name="Followed Hyperlink" xfId="828" builtinId="9" hidden="true"/>
    <cellStyle name="Followed Hyperlink" xfId="830" builtinId="9" hidden="true"/>
    <cellStyle name="Followed Hyperlink" xfId="832" builtinId="9" hidden="true"/>
    <cellStyle name="Followed Hyperlink" xfId="834" builtinId="9" hidden="true"/>
    <cellStyle name="Followed Hyperlink" xfId="836" builtinId="9" hidden="true"/>
    <cellStyle name="Followed Hyperlink" xfId="838" builtinId="9" hidden="true"/>
    <cellStyle name="Followed Hyperlink" xfId="840" builtinId="9" hidden="true"/>
    <cellStyle name="Followed Hyperlink" xfId="842" builtinId="9" hidden="true"/>
    <cellStyle name="Followed Hyperlink" xfId="844" builtinId="9" hidden="true"/>
    <cellStyle name="Followed Hyperlink" xfId="846" builtinId="9" hidden="true"/>
    <cellStyle name="Followed Hyperlink" xfId="848" builtinId="9" hidden="true"/>
    <cellStyle name="Followed Hyperlink" xfId="850" builtinId="9" hidden="true"/>
    <cellStyle name="Followed Hyperlink" xfId="852" builtinId="9" hidden="true"/>
    <cellStyle name="Followed Hyperlink" xfId="854" builtinId="9" hidden="true"/>
    <cellStyle name="Followed Hyperlink" xfId="856" builtinId="9" hidden="true"/>
    <cellStyle name="Followed Hyperlink" xfId="858" builtinId="9" hidden="true"/>
    <cellStyle name="Followed Hyperlink" xfId="860" builtinId="9" hidden="true"/>
    <cellStyle name="Followed Hyperlink" xfId="862" builtinId="9" hidden="true"/>
    <cellStyle name="Followed Hyperlink" xfId="864" builtinId="9" hidden="true"/>
    <cellStyle name="Followed Hyperlink" xfId="866" builtinId="9" hidden="true"/>
    <cellStyle name="Followed Hyperlink" xfId="868" builtinId="9" hidden="true"/>
    <cellStyle name="Followed Hyperlink" xfId="870" builtinId="9" hidden="true"/>
    <cellStyle name="Followed Hyperlink" xfId="872" builtinId="9" hidden="true"/>
    <cellStyle name="Followed Hyperlink" xfId="874" builtinId="9" hidden="true"/>
    <cellStyle name="Followed Hyperlink" xfId="876" builtinId="9" hidden="true"/>
    <cellStyle name="Followed Hyperlink" xfId="878" builtinId="9" hidden="true"/>
    <cellStyle name="Followed Hyperlink" xfId="880" builtinId="9" hidden="true"/>
    <cellStyle name="Followed Hyperlink" xfId="882" builtinId="9" hidden="true"/>
    <cellStyle name="Followed Hyperlink" xfId="884" builtinId="9" hidden="true"/>
    <cellStyle name="Followed Hyperlink" xfId="886" builtinId="9" hidden="true"/>
    <cellStyle name="Followed Hyperlink" xfId="888" builtinId="9" hidden="true"/>
    <cellStyle name="Followed Hyperlink" xfId="890" builtinId="9" hidden="true"/>
    <cellStyle name="Followed Hyperlink" xfId="892" builtinId="9" hidden="true"/>
    <cellStyle name="Followed Hyperlink" xfId="894" builtinId="9" hidden="true"/>
    <cellStyle name="Followed Hyperlink" xfId="896" builtinId="9" hidden="true"/>
    <cellStyle name="Followed Hyperlink" xfId="898" builtinId="9" hidden="true"/>
    <cellStyle name="Followed Hyperlink" xfId="900" builtinId="9" hidden="true"/>
    <cellStyle name="Followed Hyperlink" xfId="902" builtinId="9" hidden="true"/>
    <cellStyle name="Followed Hyperlink" xfId="904" builtinId="9" hidden="true"/>
    <cellStyle name="Followed Hyperlink" xfId="906" builtinId="9" hidden="true"/>
    <cellStyle name="Followed Hyperlink" xfId="908" builtinId="9" hidden="true"/>
    <cellStyle name="Followed Hyperlink" xfId="910" builtinId="9" hidden="true"/>
    <cellStyle name="Followed Hyperlink" xfId="912" builtinId="9" hidden="true"/>
    <cellStyle name="Followed Hyperlink" xfId="914" builtinId="9" hidden="true"/>
    <cellStyle name="Followed Hyperlink" xfId="916" builtinId="9" hidden="true"/>
    <cellStyle name="Followed Hyperlink" xfId="918" builtinId="9" hidden="true"/>
    <cellStyle name="Followed Hyperlink" xfId="920" builtinId="9" hidden="true"/>
    <cellStyle name="Followed Hyperlink" xfId="922" builtinId="9" hidden="true"/>
    <cellStyle name="Followed Hyperlink" xfId="924" builtinId="9" hidden="true"/>
    <cellStyle name="Followed Hyperlink" xfId="926" builtinId="9" hidden="true"/>
    <cellStyle name="Followed Hyperlink" xfId="928" builtinId="9" hidden="true"/>
    <cellStyle name="Followed Hyperlink" xfId="930" builtinId="9" hidden="true"/>
    <cellStyle name="Followed Hyperlink" xfId="932" builtinId="9" hidden="true"/>
    <cellStyle name="Followed Hyperlink" xfId="934" builtinId="9" hidden="true"/>
    <cellStyle name="Followed Hyperlink" xfId="936" builtinId="9" hidden="true"/>
    <cellStyle name="Followed Hyperlink" xfId="938" builtinId="9" hidden="true"/>
    <cellStyle name="Followed Hyperlink" xfId="940" builtinId="9" hidden="true"/>
    <cellStyle name="Followed Hyperlink" xfId="942" builtinId="9" hidden="true"/>
    <cellStyle name="Followed Hyperlink" xfId="944" builtinId="9" hidden="true"/>
    <cellStyle name="Followed Hyperlink" xfId="946" builtinId="9" hidden="true"/>
    <cellStyle name="Followed Hyperlink" xfId="948" builtinId="9" hidden="true"/>
    <cellStyle name="Followed Hyperlink" xfId="950" builtinId="9" hidden="true"/>
    <cellStyle name="Followed Hyperlink" xfId="952" builtinId="9" hidden="true"/>
    <cellStyle name="Followed Hyperlink" xfId="954" builtinId="9" hidden="true"/>
    <cellStyle name="Followed Hyperlink" xfId="956" builtinId="9" hidden="true"/>
    <cellStyle name="Followed Hyperlink" xfId="958" builtinId="9" hidden="true"/>
    <cellStyle name="Followed Hyperlink" xfId="960" builtinId="9" hidden="true"/>
    <cellStyle name="Followed Hyperlink" xfId="962" builtinId="9" hidden="true"/>
    <cellStyle name="Followed Hyperlink" xfId="964" builtinId="9" hidden="true"/>
    <cellStyle name="Followed Hyperlink" xfId="966" builtinId="9" hidden="true"/>
    <cellStyle name="Followed Hyperlink" xfId="968" builtinId="9" hidden="true"/>
    <cellStyle name="Followed Hyperlink" xfId="970" builtinId="9" hidden="true"/>
    <cellStyle name="Followed Hyperlink" xfId="973" builtinId="9" hidden="true"/>
    <cellStyle name="Followed Hyperlink" xfId="975" builtinId="9" hidden="true"/>
    <cellStyle name="Followed Hyperlink" xfId="977" builtinId="9" hidden="true"/>
    <cellStyle name="Followed Hyperlink" xfId="979" builtinId="9" hidden="true"/>
    <cellStyle name="Followed Hyperlink" xfId="981" builtinId="9" hidden="true"/>
    <cellStyle name="Followed Hyperlink" xfId="983" builtinId="9" hidden="true"/>
    <cellStyle name="Followed Hyperlink" xfId="985" builtinId="9" hidden="true"/>
    <cellStyle name="Followed Hyperlink" xfId="987" builtinId="9" hidden="true"/>
    <cellStyle name="Followed Hyperlink" xfId="989" builtinId="9" hidden="true"/>
    <cellStyle name="Followed Hyperlink" xfId="991" builtinId="9" hidden="true"/>
    <cellStyle name="Followed Hyperlink" xfId="993" builtinId="9" hidden="true"/>
    <cellStyle name="Followed Hyperlink" xfId="995" builtinId="9" hidden="true"/>
    <cellStyle name="Followed Hyperlink" xfId="997" builtinId="9" hidden="true"/>
    <cellStyle name="Followed Hyperlink" xfId="999" builtinId="9" hidden="true"/>
    <cellStyle name="Followed Hyperlink" xfId="1001" builtinId="9" hidden="true"/>
    <cellStyle name="Followed Hyperlink" xfId="1003" builtinId="9" hidden="true"/>
    <cellStyle name="Followed Hyperlink" xfId="1005" builtinId="9" hidden="true"/>
    <cellStyle name="Followed Hyperlink" xfId="1007" builtinId="9" hidden="true"/>
    <cellStyle name="Followed Hyperlink" xfId="1009" builtinId="9" hidden="true"/>
    <cellStyle name="Followed Hyperlink" xfId="1011" builtinId="9" hidden="true"/>
    <cellStyle name="Followed Hyperlink" xfId="1013" builtinId="9" hidden="true"/>
    <cellStyle name="Followed Hyperlink" xfId="1015" builtinId="9" hidden="true"/>
    <cellStyle name="Followed Hyperlink" xfId="1017" builtinId="9" hidden="true"/>
    <cellStyle name="Followed Hyperlink" xfId="1019" builtinId="9" hidden="true"/>
    <cellStyle name="Followed Hyperlink" xfId="1021" builtinId="9" hidden="true"/>
    <cellStyle name="Followed Hyperlink" xfId="1023" builtinId="9" hidden="true"/>
    <cellStyle name="Followed Hyperlink" xfId="1025" builtinId="9" hidden="true"/>
    <cellStyle name="Followed Hyperlink" xfId="1027" builtinId="9" hidden="true"/>
    <cellStyle name="Followed Hyperlink" xfId="1029" builtinId="9" hidden="true"/>
    <cellStyle name="Followed Hyperlink" xfId="1031" builtinId="9" hidden="true"/>
    <cellStyle name="Followed Hyperlink" xfId="1033" builtinId="9" hidden="true"/>
    <cellStyle name="Followed Hyperlink" xfId="1035" builtinId="9" hidden="true"/>
    <cellStyle name="Followed Hyperlink" xfId="1037" builtinId="9" hidden="true"/>
    <cellStyle name="Followed Hyperlink" xfId="1039" builtinId="9" hidden="true"/>
    <cellStyle name="Followed Hyperlink" xfId="1041" builtinId="9" hidden="true"/>
    <cellStyle name="Followed Hyperlink" xfId="1043" builtinId="9" hidden="true"/>
    <cellStyle name="Followed Hyperlink" xfId="1045" builtinId="9" hidden="true"/>
    <cellStyle name="Followed Hyperlink" xfId="1047" builtinId="9" hidden="true"/>
    <cellStyle name="Followed Hyperlink" xfId="1049" builtinId="9" hidden="true"/>
    <cellStyle name="Followed Hyperlink" xfId="1051" builtinId="9" hidden="true"/>
    <cellStyle name="Followed Hyperlink" xfId="1053" builtinId="9" hidden="true"/>
    <cellStyle name="Followed Hyperlink" xfId="1055" builtinId="9" hidden="true"/>
    <cellStyle name="Followed Hyperlink" xfId="1057" builtinId="9" hidden="true"/>
    <cellStyle name="Followed Hyperlink" xfId="1059" builtinId="9" hidden="true"/>
    <cellStyle name="Followed Hyperlink" xfId="1061" builtinId="9" hidden="true"/>
    <cellStyle name="Followed Hyperlink" xfId="1063" builtinId="9" hidden="true"/>
    <cellStyle name="Followed Hyperlink" xfId="1065" builtinId="9" hidden="true"/>
    <cellStyle name="Followed Hyperlink" xfId="1067" builtinId="9" hidden="true"/>
    <cellStyle name="Followed Hyperlink" xfId="1069" builtinId="9" hidden="true"/>
    <cellStyle name="Followed Hyperlink" xfId="1071" builtinId="9" hidden="true"/>
    <cellStyle name="Followed Hyperlink" xfId="1073" builtinId="9" hidden="true"/>
    <cellStyle name="Followed Hyperlink" xfId="1075" builtinId="9" hidden="true"/>
    <cellStyle name="Followed Hyperlink" xfId="1077" builtinId="9" hidden="true"/>
    <cellStyle name="Followed Hyperlink" xfId="1079" builtinId="9" hidden="true"/>
    <cellStyle name="Followed Hyperlink" xfId="1081" builtinId="9" hidden="true"/>
    <cellStyle name="Followed Hyperlink" xfId="1083" builtinId="9" hidden="true"/>
    <cellStyle name="Followed Hyperlink" xfId="1085" builtinId="9" hidden="true"/>
    <cellStyle name="Followed Hyperlink" xfId="1087" builtinId="9" hidden="true"/>
    <cellStyle name="Followed Hyperlink" xfId="1089" builtinId="9" hidden="true"/>
    <cellStyle name="Followed Hyperlink" xfId="1091" builtinId="9" hidden="true"/>
    <cellStyle name="Followed Hyperlink" xfId="1093" builtinId="9" hidden="true"/>
    <cellStyle name="Followed Hyperlink" xfId="1095" builtinId="9" hidden="true"/>
    <cellStyle name="Followed Hyperlink" xfId="1097" builtinId="9" hidden="true"/>
    <cellStyle name="Followed Hyperlink" xfId="1099" builtinId="9" hidden="true"/>
    <cellStyle name="Followed Hyperlink" xfId="1101" builtinId="9" hidden="true"/>
    <cellStyle name="Followed Hyperlink" xfId="1103" builtinId="9" hidden="true"/>
    <cellStyle name="Followed Hyperlink" xfId="1105" builtinId="9" hidden="true"/>
    <cellStyle name="Followed Hyperlink" xfId="1107" builtinId="9" hidden="true"/>
    <cellStyle name="Followed Hyperlink" xfId="1109" builtinId="9" hidden="true"/>
    <cellStyle name="Followed Hyperlink" xfId="1111" builtinId="9" hidden="true"/>
    <cellStyle name="Followed Hyperlink" xfId="1113" builtinId="9" hidden="true"/>
    <cellStyle name="Followed Hyperlink" xfId="1115" builtinId="9" hidden="true"/>
    <cellStyle name="Followed Hyperlink" xfId="1117" builtinId="9" hidden="true"/>
    <cellStyle name="Followed Hyperlink" xfId="1119" builtinId="9" hidden="true"/>
    <cellStyle name="Followed Hyperlink" xfId="1121" builtinId="9" hidden="true"/>
    <cellStyle name="Followed Hyperlink" xfId="1123" builtinId="9" hidden="true"/>
    <cellStyle name="Followed Hyperlink" xfId="1125" builtinId="9" hidden="true"/>
    <cellStyle name="Followed Hyperlink" xfId="1127" builtinId="9" hidden="true"/>
    <cellStyle name="Followed Hyperlink" xfId="1129" builtinId="9" hidden="true"/>
    <cellStyle name="Followed Hyperlink" xfId="1131" builtinId="9" hidden="true"/>
    <cellStyle name="Followed Hyperlink" xfId="1133" builtinId="9" hidden="true"/>
    <cellStyle name="Followed Hyperlink" xfId="1135" builtinId="9" hidden="true"/>
    <cellStyle name="Followed Hyperlink" xfId="1137" builtinId="9" hidden="true"/>
    <cellStyle name="Followed Hyperlink" xfId="1139" builtinId="9" hidden="true"/>
    <cellStyle name="Followed Hyperlink" xfId="1141" builtinId="9" hidden="true"/>
    <cellStyle name="Followed Hyperlink" xfId="1143" builtinId="9" hidden="true"/>
    <cellStyle name="Followed Hyperlink" xfId="1145" builtinId="9" hidden="true"/>
    <cellStyle name="Followed Hyperlink" xfId="1147" builtinId="9" hidden="true"/>
    <cellStyle name="Followed Hyperlink" xfId="1149" builtinId="9" hidden="true"/>
    <cellStyle name="Followed Hyperlink" xfId="1151" builtinId="9" hidden="true"/>
    <cellStyle name="Followed Hyperlink" xfId="1153" builtinId="9" hidden="true"/>
    <cellStyle name="Followed Hyperlink" xfId="1155" builtinId="9" hidden="true"/>
    <cellStyle name="Followed Hyperlink" xfId="1157" builtinId="9" hidden="true"/>
    <cellStyle name="Followed Hyperlink" xfId="1159" builtinId="9" hidden="true"/>
    <cellStyle name="Followed Hyperlink" xfId="1161" builtinId="9" hidden="true"/>
    <cellStyle name="Followed Hyperlink" xfId="1163" builtinId="9" hidden="true"/>
    <cellStyle name="Followed Hyperlink" xfId="1165" builtinId="9" hidden="true"/>
    <cellStyle name="Followed Hyperlink" xfId="1167" builtinId="9" hidden="true"/>
    <cellStyle name="Followed Hyperlink" xfId="1169" builtinId="9" hidden="true"/>
    <cellStyle name="Followed Hyperlink" xfId="1171" builtinId="9" hidden="true"/>
    <cellStyle name="Followed Hyperlink" xfId="1173" builtinId="9" hidden="true"/>
    <cellStyle name="Followed Hyperlink" xfId="1175" builtinId="9" hidden="true"/>
    <cellStyle name="Followed Hyperlink" xfId="1177" builtinId="9" hidden="true"/>
    <cellStyle name="Followed Hyperlink" xfId="1179" builtinId="9" hidden="true"/>
    <cellStyle name="Followed Hyperlink" xfId="1181" builtinId="9" hidden="true"/>
    <cellStyle name="Followed Hyperlink" xfId="1183" builtinId="9" hidden="true"/>
    <cellStyle name="Followed Hyperlink" xfId="1185" builtinId="9" hidden="true"/>
    <cellStyle name="Followed Hyperlink" xfId="1187" builtinId="9" hidden="true"/>
    <cellStyle name="Followed Hyperlink" xfId="1189" builtinId="9" hidden="true"/>
    <cellStyle name="Followed Hyperlink" xfId="1191" builtinId="9" hidden="true"/>
    <cellStyle name="Followed Hyperlink" xfId="1193" builtinId="9" hidden="true"/>
    <cellStyle name="Followed Hyperlink" xfId="1195" builtinId="9" hidden="true"/>
    <cellStyle name="Followed Hyperlink" xfId="1197" builtinId="9" hidden="true"/>
    <cellStyle name="Followed Hyperlink" xfId="1199" builtinId="9" hidden="true"/>
    <cellStyle name="Followed Hyperlink" xfId="1201" builtinId="9" hidden="true"/>
    <cellStyle name="Followed Hyperlink" xfId="1203" builtinId="9" hidden="true"/>
    <cellStyle name="Followed Hyperlink" xfId="1205" builtinId="9" hidden="true"/>
    <cellStyle name="Followed Hyperlink" xfId="1207" builtinId="9" hidden="true"/>
    <cellStyle name="Followed Hyperlink" xfId="1209" builtinId="9" hidden="true"/>
    <cellStyle name="Followed Hyperlink" xfId="1211" builtinId="9" hidden="true"/>
    <cellStyle name="Followed Hyperlink" xfId="1213" builtinId="9" hidden="true"/>
    <cellStyle name="Followed Hyperlink" xfId="1215" builtinId="9" hidden="true"/>
    <cellStyle name="Followed Hyperlink" xfId="1217" builtinId="9" hidden="true"/>
    <cellStyle name="Followed Hyperlink" xfId="1219" builtinId="9" hidden="true"/>
    <cellStyle name="Followed Hyperlink" xfId="1221" builtinId="9" hidden="true"/>
    <cellStyle name="Followed Hyperlink" xfId="1223" builtinId="9" hidden="true"/>
    <cellStyle name="Followed Hyperlink" xfId="1225" builtinId="9" hidden="true"/>
    <cellStyle name="Followed Hyperlink" xfId="1227" builtinId="9" hidden="true"/>
    <cellStyle name="Followed Hyperlink" xfId="1229" builtinId="9" hidden="true"/>
    <cellStyle name="Followed Hyperlink" xfId="1231" builtinId="9" hidden="true"/>
    <cellStyle name="Followed Hyperlink" xfId="1233" builtinId="9" hidden="true"/>
    <cellStyle name="Followed Hyperlink" xfId="1235" builtinId="9" hidden="true"/>
    <cellStyle name="Followed Hyperlink" xfId="1237" builtinId="9" hidden="true"/>
    <cellStyle name="Followed Hyperlink" xfId="1239" builtinId="9" hidden="true"/>
    <cellStyle name="Followed Hyperlink" xfId="1241" builtinId="9" hidden="true"/>
    <cellStyle name="Followed Hyperlink" xfId="1243" builtinId="9" hidden="true"/>
    <cellStyle name="Followed Hyperlink" xfId="1245" builtinId="9" hidden="true"/>
    <cellStyle name="Followed Hyperlink" xfId="1247" builtinId="9" hidden="true"/>
    <cellStyle name="Followed Hyperlink" xfId="1249" builtinId="9" hidden="true"/>
    <cellStyle name="Followed Hyperlink" xfId="1251" builtinId="9" hidden="true"/>
    <cellStyle name="Followed Hyperlink" xfId="1253" builtinId="9" hidden="true"/>
    <cellStyle name="Followed Hyperlink" xfId="1255" builtinId="9" hidden="true"/>
    <cellStyle name="Followed Hyperlink" xfId="1257" builtinId="9" hidden="true"/>
    <cellStyle name="Followed Hyperlink" xfId="1259" builtinId="9" hidden="true"/>
    <cellStyle name="Followed Hyperlink" xfId="1261" builtinId="9" hidden="true"/>
    <cellStyle name="Followed Hyperlink" xfId="1263" builtinId="9" hidden="true"/>
    <cellStyle name="Followed Hyperlink" xfId="1265" builtinId="9" hidden="true"/>
    <cellStyle name="Followed Hyperlink" xfId="1267" builtinId="9" hidden="true"/>
    <cellStyle name="Followed Hyperlink" xfId="1269" builtinId="9" hidden="true"/>
    <cellStyle name="Followed Hyperlink" xfId="1271" builtinId="9" hidden="true"/>
    <cellStyle name="Followed Hyperlink" xfId="1273" builtinId="9" hidden="true"/>
    <cellStyle name="Followed Hyperlink" xfId="1275" builtinId="9" hidden="true"/>
    <cellStyle name="Followed Hyperlink" xfId="1277" builtinId="9" hidden="true"/>
    <cellStyle name="Followed Hyperlink" xfId="1279" builtinId="9" hidden="true"/>
    <cellStyle name="Followed Hyperlink" xfId="1281" builtinId="9" hidden="true"/>
    <cellStyle name="Followed Hyperlink" xfId="1283" builtinId="9" hidden="true"/>
    <cellStyle name="Followed Hyperlink" xfId="1285" builtinId="9" hidden="true"/>
    <cellStyle name="Followed Hyperlink" xfId="1287" builtinId="9" hidden="true"/>
    <cellStyle name="Followed Hyperlink" xfId="1289" builtinId="9" hidden="true"/>
    <cellStyle name="Followed Hyperlink" xfId="1291" builtinId="9" hidden="true"/>
    <cellStyle name="Followed Hyperlink" xfId="1293" builtinId="9" hidden="true"/>
    <cellStyle name="Followed Hyperlink" xfId="1295" builtinId="9" hidden="true"/>
    <cellStyle name="Followed Hyperlink" xfId="1297" builtinId="9" hidden="true"/>
    <cellStyle name="Followed Hyperlink" xfId="1299" builtinId="9" hidden="true"/>
    <cellStyle name="Followed Hyperlink" xfId="1301" builtinId="9" hidden="true"/>
    <cellStyle name="Followed Hyperlink" xfId="1303" builtinId="9" hidden="true"/>
    <cellStyle name="Followed Hyperlink" xfId="1305" builtinId="9" hidden="true"/>
    <cellStyle name="Followed Hyperlink" xfId="1307" builtinId="9" hidden="true"/>
    <cellStyle name="Followed Hyperlink" xfId="1309" builtinId="9" hidden="true"/>
    <cellStyle name="Followed Hyperlink" xfId="1311" builtinId="9" hidden="true"/>
    <cellStyle name="Followed Hyperlink" xfId="1313" builtinId="9" hidden="true"/>
    <cellStyle name="Followed Hyperlink" xfId="1315" builtinId="9" hidden="true"/>
    <cellStyle name="Followed Hyperlink" xfId="1317" builtinId="9" hidden="true"/>
    <cellStyle name="Followed Hyperlink" xfId="1319" builtinId="9" hidden="true"/>
    <cellStyle name="Followed Hyperlink" xfId="1321" builtinId="9" hidden="true"/>
    <cellStyle name="Followed Hyperlink" xfId="1323" builtinId="9" hidden="true"/>
    <cellStyle name="Followed Hyperlink" xfId="1325" builtinId="9" hidden="true"/>
    <cellStyle name="Followed Hyperlink" xfId="1327" builtinId="9" hidden="true"/>
    <cellStyle name="Followed Hyperlink" xfId="1329" builtinId="9" hidden="true"/>
    <cellStyle name="Followed Hyperlink" xfId="1331" builtinId="9" hidden="true"/>
    <cellStyle name="Followed Hyperlink" xfId="1333" builtinId="9" hidden="true"/>
    <cellStyle name="Followed Hyperlink" xfId="1335" builtinId="9" hidden="true"/>
    <cellStyle name="Followed Hyperlink" xfId="1337" builtinId="9" hidden="true"/>
    <cellStyle name="Followed Hyperlink" xfId="1339" builtinId="9" hidden="true"/>
    <cellStyle name="Followed Hyperlink" xfId="1341" builtinId="9" hidden="true"/>
    <cellStyle name="Followed Hyperlink" xfId="1343" builtinId="9" hidden="true"/>
    <cellStyle name="Followed Hyperlink" xfId="1345" builtinId="9" hidden="true"/>
    <cellStyle name="Followed Hyperlink" xfId="1347" builtinId="9" hidden="true"/>
    <cellStyle name="Followed Hyperlink" xfId="1349" builtinId="9" hidden="true"/>
    <cellStyle name="Followed Hyperlink" xfId="1351" builtinId="9" hidden="true"/>
    <cellStyle name="Followed Hyperlink" xfId="1353" builtinId="9" hidden="true"/>
    <cellStyle name="Followed Hyperlink" xfId="1355" builtinId="9" hidden="true"/>
    <cellStyle name="Followed Hyperlink" xfId="1357" builtinId="9" hidden="true"/>
    <cellStyle name="Followed Hyperlink" xfId="1359" builtinId="9" hidden="true"/>
    <cellStyle name="Followed Hyperlink" xfId="1361" builtinId="9" hidden="true"/>
    <cellStyle name="Followed Hyperlink" xfId="1363" builtinId="9" hidden="true"/>
    <cellStyle name="Followed Hyperlink" xfId="1365" builtinId="9" hidden="true"/>
    <cellStyle name="Followed Hyperlink" xfId="1367" builtinId="9" hidden="true"/>
    <cellStyle name="Followed Hyperlink" xfId="1369" builtinId="9" hidden="true"/>
    <cellStyle name="Followed Hyperlink" xfId="1371" builtinId="9" hidden="true"/>
    <cellStyle name="Followed Hyperlink" xfId="1373" builtinId="9" hidden="true"/>
    <cellStyle name="Followed Hyperlink" xfId="1375" builtinId="9" hidden="true"/>
    <cellStyle name="Followed Hyperlink" xfId="1377" builtinId="9" hidden="true"/>
    <cellStyle name="Followed Hyperlink" xfId="1379" builtinId="9" hidden="true"/>
    <cellStyle name="Followed Hyperlink" xfId="1381" builtinId="9" hidden="true"/>
    <cellStyle name="Followed Hyperlink" xfId="1383" builtinId="9" hidden="true"/>
    <cellStyle name="Followed Hyperlink" xfId="1385" builtinId="9" hidden="true"/>
    <cellStyle name="Followed Hyperlink" xfId="1387" builtinId="9" hidden="true"/>
    <cellStyle name="Followed Hyperlink" xfId="1389" builtinId="9" hidden="true"/>
    <cellStyle name="Followed Hyperlink" xfId="1391" builtinId="9" hidden="true"/>
    <cellStyle name="Followed Hyperlink" xfId="1393" builtinId="9" hidden="true"/>
    <cellStyle name="Followed Hyperlink" xfId="1395" builtinId="9" hidden="true"/>
    <cellStyle name="Followed Hyperlink" xfId="1397" builtinId="9" hidden="true"/>
    <cellStyle name="Followed Hyperlink" xfId="1399" builtinId="9" hidden="true"/>
    <cellStyle name="Followed Hyperlink" xfId="1401" builtinId="9" hidden="true"/>
    <cellStyle name="Followed Hyperlink" xfId="1403" builtinId="9" hidden="true"/>
    <cellStyle name="Followed Hyperlink" xfId="1405" builtinId="9" hidden="true"/>
    <cellStyle name="Followed Hyperlink" xfId="1407" builtinId="9" hidden="true"/>
    <cellStyle name="Followed Hyperlink" xfId="1409" builtinId="9" hidden="true"/>
    <cellStyle name="Followed Hyperlink" xfId="1411" builtinId="9" hidden="true"/>
    <cellStyle name="Followed Hyperlink" xfId="1413" builtinId="9" hidden="true"/>
    <cellStyle name="Followed Hyperlink" xfId="1415" builtinId="9" hidden="true"/>
    <cellStyle name="Followed Hyperlink" xfId="1417" builtinId="9" hidden="true"/>
    <cellStyle name="Followed Hyperlink" xfId="1419" builtinId="9" hidden="true"/>
    <cellStyle name="Followed Hyperlink" xfId="1421" builtinId="9" hidden="true"/>
    <cellStyle name="Followed Hyperlink" xfId="1423" builtinId="9" hidden="true"/>
    <cellStyle name="Followed Hyperlink" xfId="1425" builtinId="9" hidden="true"/>
    <cellStyle name="Followed Hyperlink" xfId="1427" builtinId="9" hidden="true"/>
    <cellStyle name="Followed Hyperlink" xfId="1429" builtinId="9" hidden="true"/>
    <cellStyle name="Followed Hyperlink" xfId="1431" builtinId="9" hidden="true"/>
    <cellStyle name="Followed Hyperlink" xfId="1433" builtinId="9" hidden="true"/>
    <cellStyle name="Followed Hyperlink" xfId="1435" builtinId="9" hidden="true"/>
    <cellStyle name="Followed Hyperlink" xfId="1437" builtinId="9" hidden="true"/>
    <cellStyle name="Followed Hyperlink" xfId="1439" builtinId="9" hidden="true"/>
    <cellStyle name="Followed Hyperlink" xfId="1441" builtinId="9" hidden="true"/>
    <cellStyle name="Followed Hyperlink" xfId="1443" builtinId="9" hidden="true"/>
    <cellStyle name="Followed Hyperlink" xfId="1445" builtinId="9" hidden="true"/>
    <cellStyle name="Followed Hyperlink" xfId="1447" builtinId="9" hidden="true"/>
    <cellStyle name="Followed Hyperlink" xfId="1449" builtinId="9" hidden="true"/>
    <cellStyle name="Followed Hyperlink" xfId="1451" builtinId="9" hidden="true"/>
    <cellStyle name="Followed Hyperlink" xfId="1453" builtinId="9" hidden="true"/>
    <cellStyle name="Followed Hyperlink" xfId="1455" builtinId="9" hidden="true"/>
    <cellStyle name="Followed Hyperlink" xfId="1457" builtinId="9" hidden="true"/>
    <cellStyle name="Followed Hyperlink" xfId="1459" builtinId="9" hidden="true"/>
    <cellStyle name="Followed Hyperlink" xfId="1461" builtinId="9" hidden="true"/>
    <cellStyle name="Followed Hyperlink" xfId="1463" builtinId="9" hidden="true"/>
    <cellStyle name="Followed Hyperlink" xfId="1465" builtinId="9" hidden="true"/>
    <cellStyle name="Followed Hyperlink" xfId="1467" builtinId="9" hidden="true"/>
    <cellStyle name="Followed Hyperlink" xfId="1469" builtinId="9" hidden="true"/>
    <cellStyle name="Followed Hyperlink" xfId="1471" builtinId="9" hidden="true"/>
    <cellStyle name="Followed Hyperlink" xfId="1473" builtinId="9" hidden="true"/>
    <cellStyle name="Followed Hyperlink" xfId="1475" builtinId="9" hidden="true"/>
    <cellStyle name="Followed Hyperlink" xfId="1477" builtinId="9" hidden="true"/>
    <cellStyle name="Followed Hyperlink" xfId="1479" builtinId="9" hidden="true"/>
    <cellStyle name="Followed Hyperlink" xfId="1481" builtinId="9" hidden="true"/>
    <cellStyle name="Followed Hyperlink" xfId="1483" builtinId="9" hidden="true"/>
    <cellStyle name="Followed Hyperlink" xfId="1485" builtinId="9" hidden="true"/>
    <cellStyle name="Followed Hyperlink" xfId="1487" builtinId="9" hidden="true"/>
    <cellStyle name="Followed Hyperlink" xfId="1489" builtinId="9" hidden="true"/>
    <cellStyle name="Followed Hyperlink" xfId="1491" builtinId="9" hidden="true"/>
    <cellStyle name="Followed Hyperlink" xfId="1493" builtinId="9" hidden="true"/>
    <cellStyle name="Followed Hyperlink" xfId="1495" builtinId="9" hidden="true"/>
    <cellStyle name="Followed Hyperlink" xfId="1497" builtinId="9" hidden="true"/>
    <cellStyle name="Followed Hyperlink" xfId="1499" builtinId="9" hidden="true"/>
    <cellStyle name="Followed Hyperlink" xfId="1501" builtinId="9" hidden="true"/>
    <cellStyle name="Followed Hyperlink" xfId="1503" builtinId="9" hidden="true"/>
    <cellStyle name="Followed Hyperlink" xfId="1505" builtinId="9" hidden="true"/>
    <cellStyle name="Followed Hyperlink" xfId="1507" builtinId="9" hidden="true"/>
    <cellStyle name="Followed Hyperlink" xfId="1509" builtinId="9" hidden="true"/>
    <cellStyle name="Followed Hyperlink" xfId="1511" builtinId="9" hidden="true"/>
    <cellStyle name="Followed Hyperlink" xfId="1513" builtinId="9" hidden="true"/>
    <cellStyle name="Followed Hyperlink" xfId="1515" builtinId="9" hidden="true"/>
    <cellStyle name="Followed Hyperlink" xfId="1517" builtinId="9" hidden="true"/>
    <cellStyle name="Followed Hyperlink" xfId="1519" builtinId="9" hidden="true"/>
    <cellStyle name="Followed Hyperlink" xfId="1521" builtinId="9" hidden="true"/>
    <cellStyle name="Followed Hyperlink" xfId="1523" builtinId="9" hidden="true"/>
    <cellStyle name="Followed Hyperlink" xfId="1525" builtinId="9" hidden="true"/>
    <cellStyle name="Followed Hyperlink" xfId="1527" builtinId="9" hidden="true"/>
    <cellStyle name="Followed Hyperlink" xfId="1529" builtinId="9" hidden="true"/>
    <cellStyle name="Followed Hyperlink" xfId="1531" builtinId="9" hidden="true"/>
    <cellStyle name="Followed Hyperlink" xfId="1533" builtinId="9" hidden="true"/>
    <cellStyle name="Followed Hyperlink" xfId="1535" builtinId="9" hidden="true"/>
    <cellStyle name="Followed Hyperlink" xfId="1537" builtinId="9" hidden="true"/>
    <cellStyle name="Followed Hyperlink" xfId="1539" builtinId="9" hidden="true"/>
    <cellStyle name="Followed Hyperlink" xfId="1541" builtinId="9" hidden="true"/>
    <cellStyle name="Followed Hyperlink" xfId="1543" builtinId="9" hidden="true"/>
    <cellStyle name="Followed Hyperlink" xfId="1545" builtinId="9" hidden="true"/>
    <cellStyle name="Followed Hyperlink" xfId="1547" builtinId="9" hidden="true"/>
    <cellStyle name="Followed Hyperlink" xfId="1549" builtinId="9" hidden="true"/>
    <cellStyle name="Followed Hyperlink" xfId="1551" builtinId="9" hidden="true"/>
    <cellStyle name="Followed Hyperlink" xfId="1553" builtinId="9" hidden="true"/>
    <cellStyle name="Followed Hyperlink" xfId="1555" builtinId="9" hidden="true"/>
    <cellStyle name="Followed Hyperlink" xfId="1557" builtinId="9" hidden="true"/>
    <cellStyle name="Followed Hyperlink" xfId="1559" builtinId="9" hidden="true"/>
    <cellStyle name="Followed Hyperlink" xfId="1561" builtinId="9" hidden="true"/>
    <cellStyle name="Followed Hyperlink" xfId="1563" builtinId="9" hidden="true"/>
    <cellStyle name="Followed Hyperlink" xfId="1565" builtinId="9" hidden="true"/>
    <cellStyle name="Followed Hyperlink" xfId="1567" builtinId="9" hidden="true"/>
    <cellStyle name="Followed Hyperlink" xfId="1569" builtinId="9" hidden="true"/>
    <cellStyle name="Followed Hyperlink" xfId="1571" builtinId="9" hidden="true"/>
    <cellStyle name="Followed Hyperlink" xfId="1573" builtinId="9" hidden="true"/>
    <cellStyle name="Followed Hyperlink" xfId="1575" builtinId="9" hidden="true"/>
    <cellStyle name="Followed Hyperlink" xfId="1577" builtinId="9" hidden="true"/>
    <cellStyle name="Followed Hyperlink" xfId="1579" builtinId="9" hidden="true"/>
    <cellStyle name="Followed Hyperlink" xfId="1581" builtinId="9" hidden="true"/>
    <cellStyle name="Followed Hyperlink" xfId="1583" builtinId="9" hidden="true"/>
    <cellStyle name="Followed Hyperlink" xfId="1585" builtinId="9" hidden="true"/>
    <cellStyle name="Followed Hyperlink" xfId="1587" builtinId="9" hidden="true"/>
    <cellStyle name="Followed Hyperlink" xfId="1589" builtinId="9" hidden="true"/>
    <cellStyle name="Followed Hyperlink" xfId="1591" builtinId="9" hidden="true"/>
    <cellStyle name="Followed Hyperlink" xfId="1593" builtinId="9" hidden="true"/>
    <cellStyle name="Followed Hyperlink" xfId="1595" builtinId="9" hidden="true"/>
    <cellStyle name="Followed Hyperlink" xfId="1597" builtinId="9" hidden="true"/>
    <cellStyle name="Followed Hyperlink" xfId="1599" builtinId="9" hidden="true"/>
    <cellStyle name="Followed Hyperlink" xfId="1601" builtinId="9" hidden="true"/>
    <cellStyle name="Followed Hyperlink" xfId="1603" builtinId="9" hidden="true"/>
    <cellStyle name="Followed Hyperlink" xfId="1605" builtinId="9" hidden="true"/>
    <cellStyle name="Followed Hyperlink" xfId="1607" builtinId="9" hidden="true"/>
    <cellStyle name="Followed Hyperlink" xfId="1609" builtinId="9" hidden="true"/>
    <cellStyle name="Followed Hyperlink" xfId="1611" builtinId="9" hidden="true"/>
    <cellStyle name="Followed Hyperlink" xfId="1613" builtinId="9" hidden="true"/>
    <cellStyle name="Followed Hyperlink" xfId="1615" builtinId="9" hidden="true"/>
    <cellStyle name="Followed Hyperlink" xfId="1617" builtinId="9" hidden="true"/>
    <cellStyle name="Followed Hyperlink" xfId="1619" builtinId="9" hidden="true"/>
    <cellStyle name="Followed Hyperlink" xfId="1621" builtinId="9" hidden="true"/>
    <cellStyle name="Followed Hyperlink" xfId="1623" builtinId="9" hidden="true"/>
    <cellStyle name="Followed Hyperlink" xfId="1625" builtinId="9" hidden="true"/>
    <cellStyle name="Followed Hyperlink" xfId="1627" builtinId="9" hidden="true"/>
    <cellStyle name="Followed Hyperlink" xfId="1629" builtinId="9" hidden="true"/>
    <cellStyle name="Followed Hyperlink" xfId="1631" builtinId="9" hidden="true"/>
    <cellStyle name="Followed Hyperlink" xfId="1633" builtinId="9" hidden="true"/>
    <cellStyle name="Followed Hyperlink" xfId="1635" builtinId="9" hidden="true"/>
    <cellStyle name="Followed Hyperlink" xfId="1637" builtinId="9" hidden="true"/>
    <cellStyle name="Followed Hyperlink" xfId="1639" builtinId="9" hidden="true"/>
    <cellStyle name="Followed Hyperlink" xfId="1641" builtinId="9" hidden="true"/>
    <cellStyle name="Followed Hyperlink" xfId="1643" builtinId="9" hidden="true"/>
    <cellStyle name="Followed Hyperlink" xfId="1645" builtinId="9" hidden="true"/>
    <cellStyle name="Followed Hyperlink" xfId="1647" builtinId="9" hidden="true"/>
    <cellStyle name="Followed Hyperlink" xfId="1649" builtinId="9" hidden="true"/>
    <cellStyle name="Followed Hyperlink" xfId="1651" builtinId="9" hidden="true"/>
    <cellStyle name="Followed Hyperlink" xfId="1653" builtinId="9" hidden="true"/>
    <cellStyle name="Followed Hyperlink" xfId="1655" builtinId="9" hidden="true"/>
    <cellStyle name="Followed Hyperlink" xfId="1657" builtinId="9" hidden="true"/>
    <cellStyle name="Followed Hyperlink" xfId="1659" builtinId="9" hidden="true"/>
    <cellStyle name="Followed Hyperlink" xfId="1661" builtinId="9" hidden="true"/>
    <cellStyle name="Followed Hyperlink" xfId="1663" builtinId="9" hidden="true"/>
    <cellStyle name="Followed Hyperlink" xfId="1665" builtinId="9" hidden="true"/>
    <cellStyle name="Followed Hyperlink" xfId="1667" builtinId="9" hidden="true"/>
    <cellStyle name="Followed Hyperlink" xfId="1669" builtinId="9" hidden="true"/>
    <cellStyle name="Followed Hyperlink" xfId="1671" builtinId="9" hidden="true"/>
    <cellStyle name="Followed Hyperlink" xfId="1673" builtinId="9" hidden="true"/>
    <cellStyle name="Followed Hyperlink" xfId="1675" builtinId="9" hidden="true"/>
    <cellStyle name="Followed Hyperlink" xfId="1677" builtinId="9" hidden="true"/>
    <cellStyle name="Followed Hyperlink" xfId="1679" builtinId="9" hidden="true"/>
    <cellStyle name="Followed Hyperlink" xfId="1681" builtinId="9" hidden="true"/>
    <cellStyle name="Followed Hyperlink" xfId="1683" builtinId="9" hidden="true"/>
    <cellStyle name="Followed Hyperlink" xfId="1685" builtinId="9" hidden="true"/>
    <cellStyle name="Followed Hyperlink" xfId="1687" builtinId="9" hidden="true"/>
    <cellStyle name="Followed Hyperlink" xfId="1689" builtinId="9" hidden="true"/>
    <cellStyle name="Followed Hyperlink" xfId="1691" builtinId="9" hidden="true"/>
    <cellStyle name="Followed Hyperlink" xfId="1693" builtinId="9" hidden="true"/>
    <cellStyle name="Followed Hyperlink" xfId="1695" builtinId="9" hidden="true"/>
    <cellStyle name="Followed Hyperlink" xfId="1697" builtinId="9" hidden="true"/>
    <cellStyle name="Followed Hyperlink" xfId="1699" builtinId="9" hidden="true"/>
    <cellStyle name="Followed Hyperlink" xfId="1701" builtinId="9" hidden="true"/>
    <cellStyle name="Followed Hyperlink" xfId="1703" builtinId="9" hidden="true"/>
    <cellStyle name="Followed Hyperlink" xfId="1705" builtinId="9" hidden="true"/>
    <cellStyle name="Followed Hyperlink" xfId="1707" builtinId="9" hidden="true"/>
    <cellStyle name="Followed Hyperlink" xfId="1709" builtinId="9" hidden="true"/>
    <cellStyle name="Followed Hyperlink" xfId="1711" builtinId="9" hidden="true"/>
    <cellStyle name="Followed Hyperlink" xfId="1713" builtinId="9" hidden="true"/>
    <cellStyle name="Followed Hyperlink" xfId="1715" builtinId="9" hidden="true"/>
    <cellStyle name="Followed Hyperlink" xfId="1717" builtinId="9" hidden="true"/>
    <cellStyle name="Followed Hyperlink" xfId="1719" builtinId="9" hidden="true"/>
    <cellStyle name="Followed Hyperlink" xfId="1721" builtinId="9" hidden="true"/>
    <cellStyle name="Followed Hyperlink" xfId="1723" builtinId="9" hidden="true"/>
    <cellStyle name="Followed Hyperlink" xfId="1725" builtinId="9" hidden="true"/>
    <cellStyle name="Followed Hyperlink" xfId="1727" builtinId="9" hidden="true"/>
    <cellStyle name="Followed Hyperlink" xfId="1729" builtinId="9" hidden="true"/>
    <cellStyle name="Followed Hyperlink" xfId="1731" builtinId="9" hidden="true"/>
    <cellStyle name="Followed Hyperlink" xfId="1733" builtinId="9" hidden="true"/>
    <cellStyle name="Followed Hyperlink" xfId="1735" builtinId="9" hidden="true"/>
    <cellStyle name="Followed Hyperlink" xfId="1737" builtinId="9" hidden="true"/>
    <cellStyle name="Followed Hyperlink" xfId="1739" builtinId="9" hidden="true"/>
    <cellStyle name="Followed Hyperlink" xfId="1741" builtinId="9" hidden="true"/>
    <cellStyle name="Followed Hyperlink" xfId="1743" builtinId="9" hidden="true"/>
    <cellStyle name="Followed Hyperlink" xfId="1745" builtinId="9" hidden="true"/>
    <cellStyle name="Followed Hyperlink" xfId="1747" builtinId="9" hidden="true"/>
    <cellStyle name="Followed Hyperlink" xfId="1749" builtinId="9" hidden="true"/>
    <cellStyle name="Followed Hyperlink" xfId="1751" builtinId="9" hidden="true"/>
    <cellStyle name="Followed Hyperlink" xfId="1753" builtinId="9" hidden="true"/>
    <cellStyle name="Followed Hyperlink" xfId="1755" builtinId="9" hidden="true"/>
    <cellStyle name="Followed Hyperlink" xfId="1757" builtinId="9" hidden="true"/>
    <cellStyle name="Followed Hyperlink" xfId="1759" builtinId="9" hidden="true"/>
    <cellStyle name="Followed Hyperlink" xfId="1761" builtinId="9" hidden="true"/>
    <cellStyle name="Followed Hyperlink" xfId="1763" builtinId="9" hidden="true"/>
    <cellStyle name="Followed Hyperlink" xfId="1765" builtinId="9" hidden="true"/>
    <cellStyle name="Followed Hyperlink" xfId="1767" builtinId="9" hidden="true"/>
    <cellStyle name="Followed Hyperlink" xfId="1769" builtinId="9" hidden="true"/>
    <cellStyle name="Followed Hyperlink" xfId="1771" builtinId="9" hidden="true"/>
    <cellStyle name="Followed Hyperlink" xfId="1773" builtinId="9" hidden="true"/>
    <cellStyle name="Followed Hyperlink" xfId="1775" builtinId="9" hidden="true"/>
    <cellStyle name="Followed Hyperlink" xfId="1777" builtinId="9" hidden="true"/>
    <cellStyle name="Followed Hyperlink" xfId="1779" builtinId="9" hidden="true"/>
    <cellStyle name="Followed Hyperlink" xfId="1781" builtinId="9" hidden="true"/>
    <cellStyle name="Followed Hyperlink" xfId="1783" builtinId="9" hidden="true"/>
    <cellStyle name="Followed Hyperlink" xfId="1785" builtinId="9" hidden="true"/>
    <cellStyle name="Followed Hyperlink" xfId="1787" builtinId="9" hidden="true"/>
    <cellStyle name="Followed Hyperlink" xfId="1789" builtinId="9" hidden="true"/>
    <cellStyle name="Followed Hyperlink" xfId="1791" builtinId="9" hidden="true"/>
    <cellStyle name="Followed Hyperlink" xfId="1793" builtinId="9" hidden="true"/>
    <cellStyle name="Followed Hyperlink" xfId="1795" builtinId="9" hidden="true"/>
    <cellStyle name="Followed Hyperlink" xfId="1797" builtinId="9" hidden="true"/>
    <cellStyle name="Followed Hyperlink" xfId="1799" builtinId="9" hidden="true"/>
    <cellStyle name="Followed Hyperlink" xfId="1801" builtinId="9" hidden="true"/>
    <cellStyle name="Followed Hyperlink" xfId="1803" builtinId="9" hidden="true"/>
    <cellStyle name="Followed Hyperlink" xfId="1805" builtinId="9" hidden="true"/>
    <cellStyle name="Followed Hyperlink" xfId="1807" builtinId="9" hidden="true"/>
    <cellStyle name="Followed Hyperlink" xfId="1809" builtinId="9" hidden="true"/>
    <cellStyle name="Followed Hyperlink" xfId="1811" builtinId="9" hidden="true"/>
    <cellStyle name="Followed Hyperlink" xfId="1813" builtinId="9" hidden="true"/>
    <cellStyle name="Followed Hyperlink" xfId="1815" builtinId="9" hidden="true"/>
    <cellStyle name="Followed Hyperlink" xfId="1817" builtinId="9" hidden="true"/>
    <cellStyle name="Followed Hyperlink" xfId="1819" builtinId="9" hidden="true"/>
    <cellStyle name="Followed Hyperlink" xfId="1821" builtinId="9" hidden="true"/>
    <cellStyle name="Followed Hyperlink" xfId="1823" builtinId="9" hidden="true"/>
    <cellStyle name="Followed Hyperlink" xfId="1825" builtinId="9" hidden="true"/>
    <cellStyle name="Followed Hyperlink" xfId="1827" builtinId="9" hidden="true"/>
    <cellStyle name="Followed Hyperlink" xfId="1829" builtinId="9" hidden="true"/>
    <cellStyle name="Followed Hyperlink" xfId="1831" builtinId="9" hidden="true"/>
    <cellStyle name="Followed Hyperlink" xfId="1833" builtinId="9" hidden="true"/>
    <cellStyle name="Followed Hyperlink" xfId="1835" builtinId="9" hidden="true"/>
    <cellStyle name="Followed Hyperlink" xfId="1837" builtinId="9" hidden="true"/>
    <cellStyle name="Followed Hyperlink" xfId="1839" builtinId="9" hidden="true"/>
    <cellStyle name="Followed Hyperlink" xfId="1841" builtinId="9" hidden="true"/>
    <cellStyle name="Followed Hyperlink" xfId="1843" builtinId="9" hidden="true"/>
    <cellStyle name="Followed Hyperlink" xfId="1845" builtinId="9" hidden="true"/>
    <cellStyle name="Followed Hyperlink" xfId="1847" builtinId="9" hidden="true"/>
    <cellStyle name="Followed Hyperlink" xfId="1849" builtinId="9" hidden="true"/>
    <cellStyle name="Followed Hyperlink" xfId="1851" builtinId="9" hidden="true"/>
    <cellStyle name="Followed Hyperlink" xfId="1853" builtinId="9" hidden="true"/>
    <cellStyle name="Followed Hyperlink" xfId="1855" builtinId="9" hidden="true"/>
    <cellStyle name="Followed Hyperlink" xfId="1857" builtinId="9" hidden="true"/>
    <cellStyle name="Followed Hyperlink" xfId="1859" builtinId="9" hidden="true"/>
    <cellStyle name="Followed Hyperlink" xfId="1861" builtinId="9" hidden="true"/>
    <cellStyle name="Followed Hyperlink" xfId="1863" builtinId="9" hidden="true"/>
    <cellStyle name="Followed Hyperlink" xfId="1865" builtinId="9" hidden="true"/>
    <cellStyle name="Followed Hyperlink" xfId="1867" builtinId="9" hidden="true"/>
    <cellStyle name="Followed Hyperlink" xfId="1869" builtinId="9" hidden="true"/>
    <cellStyle name="Followed Hyperlink" xfId="1871" builtinId="9" hidden="true"/>
    <cellStyle name="Followed Hyperlink" xfId="1873" builtinId="9" hidden="true"/>
    <cellStyle name="Followed Hyperlink" xfId="1875" builtinId="9" hidden="true"/>
    <cellStyle name="Followed Hyperlink" xfId="1877" builtinId="9" hidden="true"/>
    <cellStyle name="Followed Hyperlink" xfId="1879" builtinId="9" hidden="true"/>
    <cellStyle name="Followed Hyperlink" xfId="1881" builtinId="9" hidden="true"/>
    <cellStyle name="Followed Hyperlink" xfId="1883" builtinId="9" hidden="true"/>
    <cellStyle name="Followed Hyperlink" xfId="1885" builtinId="9" hidden="true"/>
    <cellStyle name="Followed Hyperlink" xfId="1887" builtinId="9" hidden="true"/>
    <cellStyle name="Followed Hyperlink" xfId="1889" builtinId="9" hidden="true"/>
    <cellStyle name="Followed Hyperlink" xfId="1891" builtinId="9" hidden="true"/>
    <cellStyle name="Followed Hyperlink" xfId="1893" builtinId="9" hidden="true"/>
    <cellStyle name="Followed Hyperlink" xfId="1895" builtinId="9" hidden="true"/>
    <cellStyle name="Followed Hyperlink" xfId="1897" builtinId="9" hidden="true"/>
    <cellStyle name="Followed Hyperlink" xfId="1899" builtinId="9" hidden="true"/>
    <cellStyle name="Followed Hyperlink" xfId="1901" builtinId="9" hidden="true"/>
    <cellStyle name="Followed Hyperlink" xfId="1903" builtinId="9" hidden="true"/>
    <cellStyle name="Followed Hyperlink" xfId="1905" builtinId="9" hidden="true"/>
    <cellStyle name="Followed Hyperlink" xfId="1907" builtinId="9" hidden="true"/>
    <cellStyle name="Followed Hyperlink" xfId="1909" builtinId="9" hidden="true"/>
    <cellStyle name="Followed Hyperlink" xfId="1911" builtinId="9" hidden="true"/>
    <cellStyle name="Followed Hyperlink" xfId="1913" builtinId="9" hidden="true"/>
    <cellStyle name="Followed Hyperlink" xfId="1915" builtinId="9" hidden="true"/>
    <cellStyle name="Followed Hyperlink" xfId="1917" builtinId="9" hidden="true"/>
    <cellStyle name="Followed Hyperlink" xfId="1919" builtinId="9" hidden="true"/>
    <cellStyle name="Followed Hyperlink" xfId="1921" builtinId="9" hidden="true"/>
    <cellStyle name="Followed Hyperlink" xfId="1923" builtinId="9" hidden="true"/>
    <cellStyle name="Followed Hyperlink" xfId="1925" builtinId="9" hidden="true"/>
    <cellStyle name="Followed Hyperlink" xfId="1927" builtinId="9" hidden="true"/>
    <cellStyle name="Followed Hyperlink" xfId="1929" builtinId="9" hidden="true"/>
    <cellStyle name="Followed Hyperlink" xfId="1931" builtinId="9" hidden="true"/>
    <cellStyle name="Followed Hyperlink" xfId="1933" builtinId="9" hidden="true"/>
    <cellStyle name="Followed Hyperlink" xfId="1935" builtinId="9" hidden="true"/>
    <cellStyle name="Followed Hyperlink" xfId="1937" builtinId="9" hidden="true"/>
    <cellStyle name="Followed Hyperlink" xfId="1939" builtinId="9" hidden="true"/>
    <cellStyle name="Followed Hyperlink" xfId="1941" builtinId="9" hidden="true"/>
    <cellStyle name="Followed Hyperlink" xfId="1943" builtinId="9" hidden="true"/>
    <cellStyle name="Followed Hyperlink" xfId="1945" builtinId="9" hidden="true"/>
    <cellStyle name="Followed Hyperlink" xfId="1947" builtinId="9" hidden="true"/>
    <cellStyle name="Followed Hyperlink" xfId="1949" builtinId="9" hidden="true"/>
    <cellStyle name="Followed Hyperlink" xfId="1951" builtinId="9" hidden="true"/>
    <cellStyle name="Followed Hyperlink" xfId="1953" builtinId="9" hidden="true"/>
    <cellStyle name="Followed Hyperlink" xfId="1955" builtinId="9" hidden="true"/>
    <cellStyle name="Followed Hyperlink" xfId="1957" builtinId="9" hidden="true"/>
    <cellStyle name="Followed Hyperlink" xfId="1959" builtinId="9" hidden="true"/>
    <cellStyle name="Followed Hyperlink" xfId="1961" builtinId="9" hidden="true"/>
    <cellStyle name="Followed Hyperlink" xfId="1963" builtinId="9" hidden="true"/>
    <cellStyle name="Followed Hyperlink" xfId="1965" builtinId="9" hidden="true"/>
    <cellStyle name="Followed Hyperlink" xfId="1967" builtinId="9" hidden="true"/>
    <cellStyle name="Followed Hyperlink" xfId="1969" builtinId="9" hidden="true"/>
    <cellStyle name="Followed Hyperlink" xfId="1971" builtinId="9" hidden="true"/>
    <cellStyle name="Followed Hyperlink" xfId="1973" builtinId="9" hidden="true"/>
    <cellStyle name="Followed Hyperlink" xfId="1975" builtinId="9" hidden="true"/>
    <cellStyle name="Followed Hyperlink" xfId="1977" builtinId="9" hidden="true"/>
    <cellStyle name="Followed Hyperlink" xfId="1979" builtinId="9" hidden="true"/>
    <cellStyle name="Followed Hyperlink" xfId="1981" builtinId="9" hidden="true"/>
    <cellStyle name="Followed Hyperlink" xfId="1983" builtinId="9" hidden="true"/>
    <cellStyle name="Followed Hyperlink" xfId="1985" builtinId="9" hidden="true"/>
    <cellStyle name="Followed Hyperlink" xfId="1987" builtinId="9" hidden="true"/>
    <cellStyle name="Followed Hyperlink" xfId="1989" builtinId="9" hidden="true"/>
    <cellStyle name="Followed Hyperlink" xfId="1991" builtinId="9" hidden="true"/>
    <cellStyle name="Followed Hyperlink" xfId="1993" builtinId="9" hidden="true"/>
    <cellStyle name="Followed Hyperlink" xfId="1995" builtinId="9" hidden="true"/>
    <cellStyle name="Followed Hyperlink" xfId="1997" builtinId="9" hidden="true"/>
    <cellStyle name="Followed Hyperlink" xfId="1999" builtinId="9" hidden="true"/>
    <cellStyle name="Followed Hyperlink" xfId="2001" builtinId="9" hidden="true"/>
    <cellStyle name="Followed Hyperlink" xfId="2003" builtinId="9" hidden="true"/>
    <cellStyle name="Followed Hyperlink" xfId="2005" builtinId="9" hidden="true"/>
    <cellStyle name="Followed Hyperlink" xfId="2007" builtinId="9" hidden="true"/>
    <cellStyle name="Followed Hyperlink" xfId="2009" builtinId="9" hidden="true"/>
    <cellStyle name="Followed Hyperlink" xfId="2011" builtinId="9" hidden="true"/>
    <cellStyle name="Followed Hyperlink" xfId="2013" builtinId="9" hidden="true"/>
    <cellStyle name="Followed Hyperlink" xfId="2015" builtinId="9" hidden="true"/>
    <cellStyle name="Followed Hyperlink" xfId="2017" builtinId="9" hidden="true"/>
    <cellStyle name="Followed Hyperlink" xfId="2019" builtinId="9" hidden="true"/>
    <cellStyle name="Followed Hyperlink" xfId="2021" builtinId="9" hidden="true"/>
    <cellStyle name="Followed Hyperlink" xfId="2023" builtinId="9" hidden="true"/>
    <cellStyle name="Followed Hyperlink" xfId="2025" builtinId="9" hidden="true"/>
    <cellStyle name="Followed Hyperlink" xfId="2027" builtinId="9" hidden="true"/>
    <cellStyle name="Followed Hyperlink" xfId="2029" builtinId="9" hidden="true"/>
    <cellStyle name="Followed Hyperlink" xfId="2031" builtinId="9" hidden="true"/>
    <cellStyle name="Followed Hyperlink" xfId="2033" builtinId="9" hidden="true"/>
    <cellStyle name="Followed Hyperlink" xfId="2035" builtinId="9" hidden="true"/>
    <cellStyle name="Followed Hyperlink" xfId="2037" builtinId="9" hidden="true"/>
    <cellStyle name="Followed Hyperlink" xfId="2039" builtinId="9" hidden="true"/>
    <cellStyle name="Followed Hyperlink" xfId="2041" builtinId="9" hidden="true"/>
    <cellStyle name="Followed Hyperlink" xfId="2043" builtinId="9" hidden="true"/>
    <cellStyle name="Followed Hyperlink" xfId="2045" builtinId="9" hidden="true"/>
    <cellStyle name="Followed Hyperlink" xfId="2047" builtinId="9" hidden="true"/>
    <cellStyle name="Followed Hyperlink" xfId="2049" builtinId="9" hidden="true"/>
    <cellStyle name="Followed Hyperlink" xfId="2051" builtinId="9" hidden="true"/>
    <cellStyle name="Followed Hyperlink" xfId="2053" builtinId="9" hidden="true"/>
    <cellStyle name="Followed Hyperlink" xfId="2055" builtinId="9" hidden="true"/>
    <cellStyle name="Followed Hyperlink" xfId="2057" builtinId="9" hidden="true"/>
    <cellStyle name="Followed Hyperlink" xfId="2059" builtinId="9" hidden="true"/>
    <cellStyle name="Followed Hyperlink" xfId="2061" builtinId="9" hidden="true"/>
    <cellStyle name="Followed Hyperlink" xfId="2063" builtinId="9" hidden="true"/>
    <cellStyle name="Followed Hyperlink" xfId="2065" builtinId="9" hidden="true"/>
    <cellStyle name="Followed Hyperlink" xfId="2067" builtinId="9" hidden="true"/>
    <cellStyle name="Followed Hyperlink" xfId="2069" builtinId="9" hidden="true"/>
    <cellStyle name="Followed Hyperlink" xfId="2071" builtinId="9" hidden="true"/>
    <cellStyle name="Followed Hyperlink" xfId="2073" builtinId="9" hidden="true"/>
    <cellStyle name="Followed Hyperlink" xfId="2075" builtinId="9" hidden="true"/>
    <cellStyle name="Followed Hyperlink" xfId="2077" builtinId="9" hidden="true"/>
    <cellStyle name="Followed Hyperlink" xfId="2079" builtinId="9" hidden="true"/>
    <cellStyle name="Followed Hyperlink" xfId="2081" builtinId="9" hidden="true"/>
    <cellStyle name="Followed Hyperlink" xfId="2083" builtinId="9" hidden="true"/>
    <cellStyle name="Followed Hyperlink" xfId="2085" builtinId="9" hidden="true"/>
    <cellStyle name="Followed Hyperlink" xfId="2087" builtinId="9" hidden="true"/>
    <cellStyle name="Followed Hyperlink" xfId="2089" builtinId="9" hidden="true"/>
    <cellStyle name="Followed Hyperlink" xfId="2091" builtinId="9" hidden="true"/>
    <cellStyle name="Followed Hyperlink" xfId="2093" builtinId="9" hidden="true"/>
    <cellStyle name="Followed Hyperlink" xfId="2095" builtinId="9" hidden="true"/>
    <cellStyle name="Followed Hyperlink" xfId="2097" builtinId="9" hidden="true"/>
    <cellStyle name="Followed Hyperlink" xfId="2099" builtinId="9" hidden="true"/>
    <cellStyle name="Followed Hyperlink" xfId="2101" builtinId="9" hidden="true"/>
    <cellStyle name="Followed Hyperlink" xfId="2103" builtinId="9" hidden="true"/>
    <cellStyle name="Followed Hyperlink" xfId="2105" builtinId="9" hidden="true"/>
    <cellStyle name="Followed Hyperlink" xfId="2107" builtinId="9" hidden="true"/>
    <cellStyle name="Followed Hyperlink" xfId="2109" builtinId="9" hidden="true"/>
    <cellStyle name="Followed Hyperlink" xfId="2111" builtinId="9" hidden="true"/>
    <cellStyle name="Followed Hyperlink" xfId="2113" builtinId="9" hidden="true"/>
    <cellStyle name="Followed Hyperlink" xfId="2115" builtinId="9" hidden="true"/>
    <cellStyle name="Followed Hyperlink" xfId="2117" builtinId="9" hidden="true"/>
    <cellStyle name="Followed Hyperlink" xfId="2119" builtinId="9" hidden="true"/>
    <cellStyle name="Followed Hyperlink" xfId="2121" builtinId="9" hidden="true"/>
    <cellStyle name="Followed Hyperlink" xfId="2123" builtinId="9" hidden="true"/>
    <cellStyle name="Followed Hyperlink" xfId="2125" builtinId="9" hidden="true"/>
    <cellStyle name="Followed Hyperlink" xfId="2127" builtinId="9" hidden="true"/>
    <cellStyle name="Followed Hyperlink" xfId="2129" builtinId="9" hidden="true"/>
    <cellStyle name="Followed Hyperlink" xfId="2131" builtinId="9" hidden="true"/>
    <cellStyle name="Followed Hyperlink" xfId="2133" builtinId="9" hidden="true"/>
    <cellStyle name="Followed Hyperlink" xfId="2135" builtinId="9" hidden="true"/>
    <cellStyle name="Followed Hyperlink" xfId="2137" builtinId="9" hidden="true"/>
    <cellStyle name="Followed Hyperlink" xfId="2139" builtinId="9" hidden="true"/>
    <cellStyle name="Followed Hyperlink" xfId="2141" builtinId="9" hidden="true"/>
    <cellStyle name="Followed Hyperlink" xfId="2143" builtinId="9" hidden="true"/>
    <cellStyle name="Followed Hyperlink" xfId="2145" builtinId="9" hidden="true"/>
    <cellStyle name="Followed Hyperlink" xfId="2147" builtinId="9" hidden="true"/>
    <cellStyle name="Followed Hyperlink" xfId="2149" builtinId="9" hidden="true"/>
    <cellStyle name="Followed Hyperlink" xfId="2151" builtinId="9" hidden="true"/>
    <cellStyle name="Followed Hyperlink" xfId="2153" builtinId="9" hidden="true"/>
    <cellStyle name="Followed Hyperlink" xfId="2155" builtinId="9" hidden="true"/>
    <cellStyle name="Followed Hyperlink" xfId="2157" builtinId="9" hidden="true"/>
    <cellStyle name="Followed Hyperlink" xfId="2159" builtinId="9" hidden="true"/>
    <cellStyle name="Followed Hyperlink" xfId="2161" builtinId="9" hidden="true"/>
    <cellStyle name="Followed Hyperlink" xfId="2163" builtinId="9" hidden="true"/>
    <cellStyle name="Followed Hyperlink" xfId="2165" builtinId="9" hidden="true"/>
    <cellStyle name="Followed Hyperlink" xfId="2167" builtinId="9" hidden="true"/>
    <cellStyle name="Followed Hyperlink" xfId="2169" builtinId="9" hidden="true"/>
    <cellStyle name="Followed Hyperlink" xfId="2171" builtinId="9" hidden="true"/>
    <cellStyle name="Followed Hyperlink" xfId="2173" builtinId="9" hidden="true"/>
    <cellStyle name="Followed Hyperlink" xfId="2175" builtinId="9" hidden="true"/>
    <cellStyle name="Followed Hyperlink" xfId="2177" builtinId="9" hidden="true"/>
    <cellStyle name="Followed Hyperlink" xfId="2179" builtinId="9" hidden="true"/>
    <cellStyle name="Followed Hyperlink" xfId="2181" builtinId="9" hidden="true"/>
    <cellStyle name="Followed Hyperlink" xfId="2183" builtinId="9" hidden="true"/>
    <cellStyle name="Followed Hyperlink" xfId="2185" builtinId="9" hidden="true"/>
    <cellStyle name="Followed Hyperlink" xfId="2187" builtinId="9" hidden="true"/>
    <cellStyle name="Followed Hyperlink" xfId="2189" builtinId="9" hidden="true"/>
    <cellStyle name="Followed Hyperlink" xfId="2191" builtinId="9" hidden="true"/>
    <cellStyle name="Followed Hyperlink" xfId="2193" builtinId="9" hidden="true"/>
    <cellStyle name="Followed Hyperlink" xfId="2195" builtinId="9" hidden="true"/>
    <cellStyle name="Followed Hyperlink" xfId="2197" builtinId="9" hidden="true"/>
    <cellStyle name="Followed Hyperlink" xfId="2199" builtinId="9" hidden="true"/>
    <cellStyle name="Followed Hyperlink" xfId="2201" builtinId="9" hidden="true"/>
    <cellStyle name="Followed Hyperlink" xfId="2203" builtinId="9" hidden="true"/>
    <cellStyle name="Followed Hyperlink" xfId="2205" builtinId="9" hidden="true"/>
    <cellStyle name="Followed Hyperlink" xfId="2207" builtinId="9" hidden="true"/>
    <cellStyle name="Followed Hyperlink" xfId="2209" builtinId="9" hidden="true"/>
    <cellStyle name="Followed Hyperlink" xfId="2211" builtinId="9" hidden="true"/>
    <cellStyle name="Followed Hyperlink" xfId="2213" builtinId="9" hidden="true"/>
    <cellStyle name="Followed Hyperlink" xfId="2215" builtinId="9" hidden="true"/>
    <cellStyle name="Followed Hyperlink" xfId="2217" builtinId="9" hidden="true"/>
    <cellStyle name="Followed Hyperlink" xfId="2219" builtinId="9" hidden="true"/>
    <cellStyle name="Followed Hyperlink" xfId="2221" builtinId="9" hidden="true"/>
    <cellStyle name="Followed Hyperlink" xfId="2223" builtinId="9" hidden="true"/>
    <cellStyle name="Followed Hyperlink" xfId="2225" builtinId="9" hidden="true"/>
    <cellStyle name="Followed Hyperlink" xfId="2227" builtinId="9" hidden="true"/>
    <cellStyle name="Followed Hyperlink" xfId="2229" builtinId="9" hidden="true"/>
    <cellStyle name="Followed Hyperlink" xfId="2231" builtinId="9" hidden="true"/>
    <cellStyle name="Followed Hyperlink" xfId="2233" builtinId="9" hidden="true"/>
    <cellStyle name="Followed Hyperlink" xfId="2235" builtinId="9" hidden="true"/>
    <cellStyle name="Followed Hyperlink" xfId="2237" builtinId="9" hidden="true"/>
    <cellStyle name="Followed Hyperlink" xfId="2239" builtinId="9" hidden="true"/>
    <cellStyle name="Followed Hyperlink" xfId="2241" builtinId="9" hidden="true"/>
    <cellStyle name="Followed Hyperlink" xfId="2243" builtinId="9" hidden="true"/>
    <cellStyle name="Followed Hyperlink" xfId="2245" builtinId="9" hidden="true"/>
    <cellStyle name="Followed Hyperlink" xfId="2247" builtinId="9" hidden="true"/>
    <cellStyle name="Followed Hyperlink" xfId="2249" builtinId="9" hidden="true"/>
    <cellStyle name="Followed Hyperlink" xfId="2251" builtinId="9" hidden="true"/>
    <cellStyle name="Followed Hyperlink" xfId="2253" builtinId="9" hidden="true"/>
    <cellStyle name="Followed Hyperlink" xfId="2255" builtinId="9" hidden="true"/>
    <cellStyle name="Followed Hyperlink" xfId="2257" builtinId="9" hidden="true"/>
    <cellStyle name="Followed Hyperlink" xfId="2259" builtinId="9" hidden="true"/>
    <cellStyle name="Followed Hyperlink" xfId="2261" builtinId="9" hidden="true"/>
    <cellStyle name="Followed Hyperlink" xfId="2263" builtinId="9" hidden="true"/>
    <cellStyle name="Followed Hyperlink" xfId="2265" builtinId="9" hidden="true"/>
    <cellStyle name="Followed Hyperlink" xfId="2267" builtinId="9" hidden="true"/>
    <cellStyle name="Followed Hyperlink" xfId="2269" builtinId="9" hidden="true"/>
    <cellStyle name="Followed Hyperlink" xfId="2271" builtinId="9" hidden="true"/>
    <cellStyle name="Followed Hyperlink" xfId="2273" builtinId="9" hidden="true"/>
    <cellStyle name="Followed Hyperlink" xfId="2275" builtinId="9" hidden="true"/>
    <cellStyle name="Followed Hyperlink" xfId="2277" builtinId="9" hidden="true"/>
    <cellStyle name="Followed Hyperlink" xfId="2279" builtinId="9" hidden="true"/>
    <cellStyle name="Followed Hyperlink" xfId="2281" builtinId="9" hidden="true"/>
    <cellStyle name="Followed Hyperlink" xfId="2283" builtinId="9" hidden="true"/>
    <cellStyle name="Followed Hyperlink" xfId="2285" builtinId="9" hidden="true"/>
    <cellStyle name="Followed Hyperlink" xfId="2287" builtinId="9" hidden="true"/>
    <cellStyle name="Followed Hyperlink" xfId="2289" builtinId="9" hidden="true"/>
    <cellStyle name="Followed Hyperlink" xfId="2291" builtinId="9" hidden="true"/>
    <cellStyle name="Followed Hyperlink" xfId="2293" builtinId="9" hidden="true"/>
    <cellStyle name="Followed Hyperlink" xfId="2295" builtinId="9" hidden="true"/>
    <cellStyle name="Followed Hyperlink" xfId="2297" builtinId="9" hidden="true"/>
    <cellStyle name="Followed Hyperlink" xfId="2299" builtinId="9" hidden="true"/>
    <cellStyle name="Followed Hyperlink" xfId="2301" builtinId="9" hidden="true"/>
    <cellStyle name="Followed Hyperlink" xfId="2303" builtinId="9" hidden="true"/>
    <cellStyle name="Followed Hyperlink" xfId="2305" builtinId="9" hidden="true"/>
    <cellStyle name="Followed Hyperlink" xfId="2307" builtinId="9" hidden="true"/>
    <cellStyle name="Followed Hyperlink" xfId="2309" builtinId="9" hidden="true"/>
    <cellStyle name="Followed Hyperlink" xfId="2311" builtinId="9" hidden="true"/>
    <cellStyle name="Followed Hyperlink" xfId="2313" builtinId="9" hidden="true"/>
    <cellStyle name="Followed Hyperlink" xfId="2315" builtinId="9" hidden="true"/>
    <cellStyle name="Followed Hyperlink" xfId="2317" builtinId="9" hidden="true"/>
    <cellStyle name="Followed Hyperlink" xfId="2319" builtinId="9" hidden="true"/>
    <cellStyle name="Followed Hyperlink" xfId="2321" builtinId="9" hidden="true"/>
    <cellStyle name="Followed Hyperlink" xfId="2323" builtinId="9" hidden="true"/>
    <cellStyle name="Followed Hyperlink" xfId="2325" builtinId="9" hidden="true"/>
    <cellStyle name="Followed Hyperlink" xfId="2327" builtinId="9" hidden="true"/>
    <cellStyle name="Followed Hyperlink" xfId="2329" builtinId="9" hidden="true"/>
    <cellStyle name="Followed Hyperlink" xfId="2331" builtinId="9" hidden="true"/>
    <cellStyle name="Followed Hyperlink" xfId="2333" builtinId="9" hidden="true"/>
    <cellStyle name="Followed Hyperlink" xfId="2335" builtinId="9" hidden="true"/>
    <cellStyle name="Followed Hyperlink" xfId="2337" builtinId="9" hidden="true"/>
    <cellStyle name="Followed Hyperlink" xfId="2339" builtinId="9" hidden="true"/>
    <cellStyle name="Followed Hyperlink" xfId="2341" builtinId="9" hidden="true"/>
    <cellStyle name="Followed Hyperlink" xfId="2343" builtinId="9" hidden="true"/>
    <cellStyle name="Followed Hyperlink" xfId="2345" builtinId="9" hidden="true"/>
    <cellStyle name="Followed Hyperlink" xfId="2347" builtinId="9" hidden="true"/>
    <cellStyle name="Followed Hyperlink" xfId="2349" builtinId="9" hidden="true"/>
    <cellStyle name="Followed Hyperlink" xfId="2351" builtinId="9" hidden="true"/>
    <cellStyle name="Followed Hyperlink" xfId="2353" builtinId="9" hidden="true"/>
    <cellStyle name="Followed Hyperlink" xfId="2355" builtinId="9" hidden="true"/>
    <cellStyle name="Followed Hyperlink" xfId="2357" builtinId="9" hidden="true"/>
    <cellStyle name="Followed Hyperlink" xfId="2359" builtinId="9" hidden="true"/>
    <cellStyle name="Followed Hyperlink" xfId="2361" builtinId="9" hidden="true"/>
    <cellStyle name="Followed Hyperlink" xfId="2363" builtinId="9" hidden="true"/>
    <cellStyle name="Followed Hyperlink" xfId="2365" builtinId="9" hidden="true"/>
    <cellStyle name="Followed Hyperlink" xfId="2367" builtinId="9" hidden="true"/>
    <cellStyle name="Followed Hyperlink" xfId="2369" builtinId="9" hidden="true"/>
    <cellStyle name="Followed Hyperlink" xfId="2371" builtinId="9" hidden="true"/>
    <cellStyle name="Followed Hyperlink" xfId="2373" builtinId="9" hidden="true"/>
    <cellStyle name="Followed Hyperlink" xfId="2375" builtinId="9" hidden="true"/>
    <cellStyle name="Followed Hyperlink" xfId="2377" builtinId="9" hidden="true"/>
    <cellStyle name="Followed Hyperlink" xfId="2379" builtinId="9" hidden="true"/>
    <cellStyle name="Followed Hyperlink" xfId="2381" builtinId="9" hidden="true"/>
    <cellStyle name="Followed Hyperlink" xfId="2383" builtinId="9" hidden="true"/>
    <cellStyle name="Followed Hyperlink" xfId="2385" builtinId="9" hidden="true"/>
    <cellStyle name="Followed Hyperlink" xfId="2387" builtinId="9" hidden="true"/>
    <cellStyle name="Followed Hyperlink" xfId="2389" builtinId="9" hidden="true"/>
    <cellStyle name="Followed Hyperlink" xfId="2391" builtinId="9" hidden="true"/>
    <cellStyle name="Followed Hyperlink" xfId="2393" builtinId="9" hidden="true"/>
    <cellStyle name="Followed Hyperlink" xfId="2395" builtinId="9" hidden="true"/>
    <cellStyle name="Followed Hyperlink" xfId="2397" builtinId="9" hidden="true"/>
    <cellStyle name="Followed Hyperlink" xfId="2399" builtinId="9" hidden="true"/>
    <cellStyle name="Followed Hyperlink" xfId="2401" builtinId="9" hidden="true"/>
    <cellStyle name="Followed Hyperlink" xfId="2403" builtinId="9" hidden="true"/>
    <cellStyle name="Followed Hyperlink" xfId="2405" builtinId="9" hidden="true"/>
    <cellStyle name="Followed Hyperlink" xfId="2407" builtinId="9" hidden="true"/>
    <cellStyle name="Followed Hyperlink" xfId="2409" builtinId="9" hidden="true"/>
    <cellStyle name="Followed Hyperlink" xfId="2411" builtinId="9" hidden="true"/>
    <cellStyle name="Followed Hyperlink" xfId="2413" builtinId="9" hidden="true"/>
    <cellStyle name="Followed Hyperlink" xfId="2415" builtinId="9" hidden="true"/>
    <cellStyle name="Followed Hyperlink" xfId="2417" builtinId="9" hidden="true"/>
    <cellStyle name="Followed Hyperlink" xfId="2419" builtinId="9" hidden="true"/>
    <cellStyle name="Followed Hyperlink" xfId="2421" builtinId="9" hidden="true"/>
    <cellStyle name="Followed Hyperlink" xfId="2423" builtinId="9" hidden="true"/>
    <cellStyle name="Followed Hyperlink" xfId="2425" builtinId="9" hidden="true"/>
    <cellStyle name="Followed Hyperlink" xfId="2427" builtinId="9" hidden="true"/>
    <cellStyle name="Followed Hyperlink" xfId="2429" builtinId="9" hidden="true"/>
    <cellStyle name="Followed Hyperlink" xfId="2431" builtinId="9" hidden="true"/>
    <cellStyle name="Followed Hyperlink" xfId="2433" builtinId="9" hidden="true"/>
    <cellStyle name="Followed Hyperlink" xfId="2435" builtinId="9" hidden="true"/>
    <cellStyle name="Followed Hyperlink" xfId="2437" builtinId="9" hidden="true"/>
    <cellStyle name="Followed Hyperlink" xfId="2439" builtinId="9" hidden="true"/>
    <cellStyle name="Followed Hyperlink" xfId="2441" builtinId="9" hidden="true"/>
    <cellStyle name="Followed Hyperlink" xfId="2443" builtinId="9" hidden="true"/>
    <cellStyle name="Followed Hyperlink" xfId="2445" builtinId="9" hidden="true"/>
    <cellStyle name="Followed Hyperlink" xfId="2447" builtinId="9" hidden="true"/>
    <cellStyle name="Followed Hyperlink" xfId="2449" builtinId="9" hidden="true"/>
    <cellStyle name="Followed Hyperlink" xfId="2451" builtinId="9" hidden="true"/>
    <cellStyle name="Followed Hyperlink" xfId="2453" builtinId="9" hidden="true"/>
    <cellStyle name="Followed Hyperlink" xfId="2455" builtinId="9" hidden="true"/>
    <cellStyle name="Followed Hyperlink" xfId="2457" builtinId="9" hidden="true"/>
    <cellStyle name="Followed Hyperlink" xfId="2459" builtinId="9" hidden="true"/>
    <cellStyle name="Followed Hyperlink" xfId="2461" builtinId="9" hidden="true"/>
    <cellStyle name="Followed Hyperlink" xfId="2463" builtinId="9" hidden="true"/>
    <cellStyle name="Followed Hyperlink" xfId="2465" builtinId="9" hidden="true"/>
    <cellStyle name="Followed Hyperlink" xfId="2467" builtinId="9" hidden="true"/>
    <cellStyle name="Followed Hyperlink" xfId="2469" builtinId="9" hidden="true"/>
    <cellStyle name="Followed Hyperlink" xfId="2471" builtinId="9" hidden="true"/>
    <cellStyle name="Followed Hyperlink" xfId="2473" builtinId="9" hidden="true"/>
    <cellStyle name="Followed Hyperlink" xfId="2475" builtinId="9" hidden="true"/>
    <cellStyle name="Followed Hyperlink" xfId="2477" builtinId="9" hidden="true"/>
    <cellStyle name="Followed Hyperlink" xfId="2479" builtinId="9" hidden="true"/>
    <cellStyle name="Followed Hyperlink" xfId="2481" builtinId="9" hidden="true"/>
    <cellStyle name="Followed Hyperlink" xfId="2483" builtinId="9" hidden="true"/>
    <cellStyle name="Followed Hyperlink" xfId="2485" builtinId="9" hidden="true"/>
    <cellStyle name="Followed Hyperlink" xfId="2487" builtinId="9" hidden="true"/>
    <cellStyle name="Followed Hyperlink" xfId="2489" builtinId="9" hidden="true"/>
    <cellStyle name="Followed Hyperlink" xfId="2491" builtinId="9" hidden="true"/>
    <cellStyle name="Followed Hyperlink" xfId="2493" builtinId="9" hidden="true"/>
    <cellStyle name="Followed Hyperlink" xfId="2495" builtinId="9" hidden="true"/>
    <cellStyle name="Followed Hyperlink" xfId="2497" builtinId="9" hidden="true"/>
    <cellStyle name="Followed Hyperlink" xfId="2499" builtinId="9" hidden="true"/>
    <cellStyle name="Followed Hyperlink" xfId="2501" builtinId="9" hidden="true"/>
    <cellStyle name="Followed Hyperlink" xfId="2503" builtinId="9" hidden="true"/>
    <cellStyle name="Followed Hyperlink" xfId="2505" builtinId="9" hidden="true"/>
    <cellStyle name="Followed Hyperlink" xfId="2507" builtinId="9" hidden="true"/>
    <cellStyle name="Followed Hyperlink" xfId="2509" builtinId="9" hidden="true"/>
    <cellStyle name="Followed Hyperlink" xfId="2511" builtinId="9" hidden="true"/>
    <cellStyle name="Followed Hyperlink" xfId="2513" builtinId="9" hidden="true"/>
    <cellStyle name="Followed Hyperlink" xfId="2515" builtinId="9" hidden="true"/>
    <cellStyle name="Followed Hyperlink" xfId="2517" builtinId="9" hidden="true"/>
    <cellStyle name="Followed Hyperlink" xfId="2519" builtinId="9" hidden="true"/>
    <cellStyle name="Followed Hyperlink" xfId="2521" builtinId="9" hidden="true"/>
    <cellStyle name="Followed Hyperlink" xfId="2523" builtinId="9" hidden="true"/>
    <cellStyle name="Followed Hyperlink" xfId="2525" builtinId="9" hidden="true"/>
    <cellStyle name="Followed Hyperlink" xfId="2527" builtinId="9" hidden="true"/>
    <cellStyle name="Followed Hyperlink" xfId="2529" builtinId="9" hidden="true"/>
    <cellStyle name="Followed Hyperlink" xfId="2531" builtinId="9" hidden="true"/>
    <cellStyle name="Followed Hyperlink" xfId="2533" builtinId="9" hidden="true"/>
    <cellStyle name="Followed Hyperlink" xfId="2535" builtinId="9" hidden="true"/>
    <cellStyle name="Followed Hyperlink" xfId="2537" builtinId="9" hidden="true"/>
    <cellStyle name="Followed Hyperlink" xfId="2539" builtinId="9" hidden="true"/>
    <cellStyle name="Followed Hyperlink" xfId="2541" builtinId="9" hidden="true"/>
    <cellStyle name="Followed Hyperlink" xfId="2543" builtinId="9" hidden="true"/>
    <cellStyle name="Followed Hyperlink" xfId="2545" builtinId="9" hidden="true"/>
    <cellStyle name="Followed Hyperlink" xfId="2547" builtinId="9" hidden="true"/>
    <cellStyle name="Followed Hyperlink" xfId="2549" builtinId="9" hidden="true"/>
    <cellStyle name="Followed Hyperlink" xfId="2551" builtinId="9" hidden="true"/>
    <cellStyle name="Followed Hyperlink" xfId="2553" builtinId="9" hidden="true"/>
    <cellStyle name="Followed Hyperlink" xfId="2555" builtinId="9" hidden="true"/>
    <cellStyle name="Followed Hyperlink" xfId="2557" builtinId="9" hidden="true"/>
    <cellStyle name="Followed Hyperlink" xfId="2559" builtinId="9" hidden="true"/>
    <cellStyle name="Followed Hyperlink" xfId="2561" builtinId="9" hidden="true"/>
    <cellStyle name="Followed Hyperlink" xfId="2563" builtinId="9" hidden="true"/>
    <cellStyle name="Followed Hyperlink" xfId="2565" builtinId="9" hidden="true"/>
    <cellStyle name="Followed Hyperlink" xfId="2567" builtinId="9" hidden="true"/>
    <cellStyle name="Followed Hyperlink" xfId="2569" builtinId="9" hidden="true"/>
    <cellStyle name="Followed Hyperlink" xfId="2571" builtinId="9" hidden="true"/>
    <cellStyle name="Followed Hyperlink" xfId="2573" builtinId="9" hidden="true"/>
    <cellStyle name="Followed Hyperlink" xfId="2575" builtinId="9" hidden="true"/>
    <cellStyle name="Followed Hyperlink" xfId="2577" builtinId="9" hidden="true"/>
    <cellStyle name="Followed Hyperlink" xfId="2579" builtinId="9" hidden="true"/>
    <cellStyle name="Followed Hyperlink" xfId="2581" builtinId="9" hidden="true"/>
    <cellStyle name="Followed Hyperlink" xfId="2583" builtinId="9" hidden="true"/>
    <cellStyle name="Followed Hyperlink" xfId="2585" builtinId="9" hidden="true"/>
    <cellStyle name="Followed Hyperlink" xfId="2587" builtinId="9" hidden="true"/>
    <cellStyle name="Followed Hyperlink" xfId="2589" builtinId="9" hidden="true"/>
    <cellStyle name="Followed Hyperlink" xfId="2591" builtinId="9" hidden="true"/>
    <cellStyle name="Followed Hyperlink" xfId="2593" builtinId="9" hidden="true"/>
    <cellStyle name="Followed Hyperlink" xfId="2595" builtinId="9" hidden="true"/>
    <cellStyle name="Followed Hyperlink" xfId="2597" builtinId="9" hidden="true"/>
    <cellStyle name="Followed Hyperlink" xfId="2599" builtinId="9" hidden="true"/>
    <cellStyle name="Followed Hyperlink" xfId="2601" builtinId="9" hidden="true"/>
    <cellStyle name="Followed Hyperlink" xfId="2603" builtinId="9" hidden="true"/>
    <cellStyle name="Followed Hyperlink" xfId="2605" builtinId="9" hidden="true"/>
    <cellStyle name="Followed Hyperlink" xfId="2607" builtinId="9" hidden="true"/>
    <cellStyle name="Followed Hyperlink" xfId="2609" builtinId="9" hidden="true"/>
    <cellStyle name="Followed Hyperlink" xfId="2611" builtinId="9" hidden="true"/>
    <cellStyle name="Followed Hyperlink" xfId="2613" builtinId="9" hidden="true"/>
    <cellStyle name="Followed Hyperlink" xfId="2615" builtinId="9" hidden="true"/>
    <cellStyle name="Followed Hyperlink" xfId="2617" builtinId="9" hidden="true"/>
    <cellStyle name="Followed Hyperlink" xfId="2619" builtinId="9" hidden="true"/>
    <cellStyle name="Followed Hyperlink" xfId="2621" builtinId="9" hidden="true"/>
    <cellStyle name="Followed Hyperlink" xfId="2623" builtinId="9" hidden="true"/>
    <cellStyle name="Followed Hyperlink" xfId="2625" builtinId="9" hidden="true"/>
    <cellStyle name="Followed Hyperlink" xfId="2627" builtinId="9" hidden="true"/>
    <cellStyle name="Followed Hyperlink" xfId="2629" builtinId="9" hidden="true"/>
    <cellStyle name="Followed Hyperlink" xfId="2631" builtinId="9" hidden="true"/>
    <cellStyle name="Followed Hyperlink" xfId="2633" builtinId="9" hidden="true"/>
    <cellStyle name="Followed Hyperlink" xfId="2635" builtinId="9" hidden="true"/>
    <cellStyle name="Followed Hyperlink" xfId="2637" builtinId="9" hidden="true"/>
    <cellStyle name="Followed Hyperlink" xfId="2639" builtinId="9" hidden="true"/>
    <cellStyle name="Followed Hyperlink" xfId="2641" builtinId="9" hidden="true"/>
    <cellStyle name="Followed Hyperlink" xfId="2643" builtinId="9" hidden="true"/>
    <cellStyle name="Followed Hyperlink" xfId="2645" builtinId="9" hidden="true"/>
    <cellStyle name="Followed Hyperlink" xfId="2647" builtinId="9" hidden="true"/>
    <cellStyle name="Followed Hyperlink" xfId="2649" builtinId="9" hidden="true"/>
    <cellStyle name="Followed Hyperlink" xfId="2651" builtinId="9" hidden="true"/>
    <cellStyle name="Followed Hyperlink" xfId="2653" builtinId="9" hidden="true"/>
    <cellStyle name="Followed Hyperlink" xfId="2655" builtinId="9" hidden="true"/>
    <cellStyle name="Followed Hyperlink" xfId="2657" builtinId="9" hidden="true"/>
    <cellStyle name="Followed Hyperlink" xfId="2659" builtinId="9" hidden="true"/>
    <cellStyle name="Followed Hyperlink" xfId="2661" builtinId="9" hidden="true"/>
    <cellStyle name="Followed Hyperlink" xfId="2663" builtinId="9" hidden="true"/>
    <cellStyle name="Followed Hyperlink" xfId="2665" builtinId="9" hidden="true"/>
    <cellStyle name="Followed Hyperlink" xfId="2667" builtinId="9" hidden="true"/>
    <cellStyle name="Followed Hyperlink" xfId="2669" builtinId="9" hidden="true"/>
    <cellStyle name="Followed Hyperlink" xfId="2671" builtinId="9" hidden="true"/>
    <cellStyle name="Followed Hyperlink" xfId="2673" builtinId="9" hidden="true"/>
    <cellStyle name="Followed Hyperlink" xfId="2675" builtinId="9" hidden="true"/>
    <cellStyle name="Followed Hyperlink" xfId="2677" builtinId="9" hidden="true"/>
    <cellStyle name="Followed Hyperlink" xfId="2679" builtinId="9" hidden="true"/>
    <cellStyle name="Followed Hyperlink" xfId="2681" builtinId="9" hidden="true"/>
    <cellStyle name="Followed Hyperlink" xfId="2683" builtinId="9" hidden="true"/>
    <cellStyle name="Followed Hyperlink" xfId="2685" builtinId="9" hidden="true"/>
    <cellStyle name="Followed Hyperlink" xfId="2687" builtinId="9" hidden="true"/>
    <cellStyle name="Followed Hyperlink" xfId="2689" builtinId="9" hidden="true"/>
    <cellStyle name="Followed Hyperlink" xfId="2691" builtinId="9" hidden="true"/>
    <cellStyle name="Followed Hyperlink" xfId="2693" builtinId="9" hidden="true"/>
    <cellStyle name="Followed Hyperlink" xfId="2695" builtinId="9" hidden="true"/>
    <cellStyle name="Followed Hyperlink" xfId="2697" builtinId="9" hidden="true"/>
    <cellStyle name="Followed Hyperlink" xfId="2699" builtinId="9" hidden="true"/>
    <cellStyle name="Followed Hyperlink" xfId="2701" builtinId="9" hidden="true"/>
    <cellStyle name="Followed Hyperlink" xfId="2703" builtinId="9" hidden="true"/>
    <cellStyle name="Followed Hyperlink" xfId="2705" builtinId="9" hidden="true"/>
    <cellStyle name="Followed Hyperlink" xfId="2707" builtinId="9" hidden="true"/>
    <cellStyle name="Followed Hyperlink" xfId="2709" builtinId="9" hidden="true"/>
    <cellStyle name="Followed Hyperlink" xfId="2711" builtinId="9" hidden="true"/>
    <cellStyle name="Followed Hyperlink" xfId="2713" builtinId="9" hidden="true"/>
    <cellStyle name="Followed Hyperlink" xfId="2715" builtinId="9" hidden="true"/>
    <cellStyle name="Followed Hyperlink" xfId="2717" builtinId="9" hidden="true"/>
    <cellStyle name="Followed Hyperlink" xfId="2719" builtinId="9" hidden="true"/>
    <cellStyle name="Followed Hyperlink" xfId="2721" builtinId="9" hidden="true"/>
    <cellStyle name="Followed Hyperlink" xfId="2723" builtinId="9" hidden="true"/>
    <cellStyle name="Followed Hyperlink" xfId="2725" builtinId="9" hidden="true"/>
    <cellStyle name="Followed Hyperlink" xfId="2727" builtinId="9" hidden="true"/>
    <cellStyle name="Followed Hyperlink" xfId="2729" builtinId="9" hidden="true"/>
    <cellStyle name="Followed Hyperlink" xfId="2731" builtinId="9" hidden="true"/>
    <cellStyle name="Followed Hyperlink" xfId="2733" builtinId="9" hidden="true"/>
    <cellStyle name="Followed Hyperlink" xfId="2735" builtinId="9" hidden="true"/>
    <cellStyle name="Followed Hyperlink" xfId="2737" builtinId="9" hidden="true"/>
    <cellStyle name="Followed Hyperlink" xfId="2739" builtinId="9" hidden="true"/>
    <cellStyle name="Followed Hyperlink" xfId="2741" builtinId="9" hidden="true"/>
    <cellStyle name="Followed Hyperlink" xfId="2743" builtinId="9" hidden="true"/>
    <cellStyle name="Followed Hyperlink" xfId="2745" builtinId="9" hidden="true"/>
    <cellStyle name="Followed Hyperlink" xfId="2747" builtinId="9" hidden="true"/>
    <cellStyle name="Followed Hyperlink" xfId="2749" builtinId="9" hidden="true"/>
    <cellStyle name="Followed Hyperlink" xfId="2751" builtinId="9" hidden="true"/>
    <cellStyle name="Followed Hyperlink" xfId="2753" builtinId="9" hidden="true"/>
    <cellStyle name="Followed Hyperlink" xfId="2755" builtinId="9" hidden="true"/>
    <cellStyle name="Followed Hyperlink" xfId="2757" builtinId="9" hidden="true"/>
    <cellStyle name="Followed Hyperlink" xfId="2759" builtinId="9" hidden="true"/>
    <cellStyle name="Followed Hyperlink" xfId="2761" builtinId="9" hidden="true"/>
    <cellStyle name="Followed Hyperlink" xfId="2763" builtinId="9" hidden="true"/>
    <cellStyle name="Followed Hyperlink" xfId="2765" builtinId="9" hidden="true"/>
    <cellStyle name="Followed Hyperlink" xfId="2767" builtinId="9" hidden="true"/>
    <cellStyle name="Followed Hyperlink" xfId="2769" builtinId="9" hidden="true"/>
    <cellStyle name="Followed Hyperlink" xfId="2771" builtinId="9" hidden="true"/>
    <cellStyle name="Followed Hyperlink" xfId="2773" builtinId="9" hidden="true"/>
    <cellStyle name="Followed Hyperlink" xfId="2775" builtinId="9" hidden="true"/>
    <cellStyle name="Followed Hyperlink" xfId="2777" builtinId="9" hidden="true"/>
    <cellStyle name="Followed Hyperlink" xfId="2779" builtinId="9" hidden="true"/>
    <cellStyle name="Followed Hyperlink" xfId="2781" builtinId="9" hidden="true"/>
    <cellStyle name="Followed Hyperlink" xfId="2783" builtinId="9" hidden="true"/>
    <cellStyle name="Followed Hyperlink" xfId="2785" builtinId="9" hidden="true"/>
    <cellStyle name="Followed Hyperlink" xfId="2787" builtinId="9" hidden="true"/>
    <cellStyle name="Followed Hyperlink" xfId="2789" builtinId="9" hidden="true"/>
    <cellStyle name="Followed Hyperlink" xfId="2791" builtinId="9" hidden="true"/>
    <cellStyle name="Followed Hyperlink" xfId="2793" builtinId="9" hidden="true"/>
    <cellStyle name="Followed Hyperlink" xfId="2795" builtinId="9" hidden="true"/>
    <cellStyle name="Followed Hyperlink" xfId="2797" builtinId="9" hidden="true"/>
    <cellStyle name="Followed Hyperlink" xfId="2799" builtinId="9" hidden="true"/>
    <cellStyle name="Followed Hyperlink" xfId="2801" builtinId="9" hidden="true"/>
    <cellStyle name="Followed Hyperlink" xfId="2803" builtinId="9" hidden="true"/>
    <cellStyle name="Followed Hyperlink" xfId="2805" builtinId="9" hidden="true"/>
    <cellStyle name="Followed Hyperlink" xfId="2807" builtinId="9" hidden="true"/>
    <cellStyle name="Followed Hyperlink" xfId="2809" builtinId="9" hidden="true"/>
    <cellStyle name="Followed Hyperlink" xfId="2811" builtinId="9" hidden="true"/>
    <cellStyle name="Followed Hyperlink" xfId="2813" builtinId="9" hidden="true"/>
    <cellStyle name="Followed Hyperlink" xfId="2815" builtinId="9" hidden="true"/>
    <cellStyle name="Followed Hyperlink" xfId="2817" builtinId="9" hidden="true"/>
    <cellStyle name="Followed Hyperlink" xfId="2819" builtinId="9" hidden="true"/>
    <cellStyle name="Followed Hyperlink" xfId="2821" builtinId="9" hidden="true"/>
    <cellStyle name="Followed Hyperlink" xfId="2823" builtinId="9" hidden="true"/>
    <cellStyle name="Followed Hyperlink" xfId="2825" builtinId="9" hidden="true"/>
    <cellStyle name="Followed Hyperlink" xfId="2827" builtinId="9" hidden="true"/>
    <cellStyle name="Followed Hyperlink" xfId="2829" builtinId="9" hidden="true"/>
    <cellStyle name="Followed Hyperlink" xfId="2831" builtinId="9" hidden="true"/>
    <cellStyle name="Followed Hyperlink" xfId="2833" builtinId="9" hidden="true"/>
    <cellStyle name="Followed Hyperlink" xfId="2835" builtinId="9" hidden="true"/>
    <cellStyle name="Followed Hyperlink" xfId="2837" builtinId="9" hidden="true"/>
    <cellStyle name="Followed Hyperlink" xfId="2839" builtinId="9" hidden="true"/>
    <cellStyle name="Followed Hyperlink" xfId="2841" builtinId="9" hidden="true"/>
    <cellStyle name="Followed Hyperlink" xfId="2843" builtinId="9" hidden="true"/>
    <cellStyle name="Followed Hyperlink" xfId="2845" builtinId="9" hidden="true"/>
    <cellStyle name="Followed Hyperlink" xfId="2847" builtinId="9" hidden="true"/>
    <cellStyle name="Followed Hyperlink" xfId="2849" builtinId="9" hidden="true"/>
    <cellStyle name="Followed Hyperlink" xfId="2851" builtinId="9" hidden="true"/>
    <cellStyle name="Followed Hyperlink" xfId="2853" builtinId="9" hidden="true"/>
    <cellStyle name="Followed Hyperlink" xfId="2855" builtinId="9" hidden="true"/>
    <cellStyle name="Followed Hyperlink" xfId="2857" builtinId="9" hidden="true"/>
    <cellStyle name="Followed Hyperlink" xfId="2859" builtinId="9" hidden="true"/>
    <cellStyle name="Followed Hyperlink" xfId="2861" builtinId="9" hidden="true"/>
    <cellStyle name="Followed Hyperlink" xfId="2863" builtinId="9" hidden="true"/>
    <cellStyle name="Followed Hyperlink" xfId="2865" builtinId="9" hidden="true"/>
    <cellStyle name="Followed Hyperlink" xfId="2867" builtinId="9" hidden="true"/>
    <cellStyle name="Followed Hyperlink" xfId="2869" builtinId="9" hidden="true"/>
    <cellStyle name="Followed Hyperlink" xfId="2871" builtinId="9" hidden="true"/>
    <cellStyle name="Followed Hyperlink" xfId="2873" builtinId="9" hidden="true"/>
    <cellStyle name="Followed Hyperlink" xfId="2875" builtinId="9" hidden="true"/>
    <cellStyle name="Followed Hyperlink" xfId="2877" builtinId="9" hidden="true"/>
    <cellStyle name="Followed Hyperlink" xfId="2879" builtinId="9" hidden="true"/>
    <cellStyle name="Followed Hyperlink" xfId="2881" builtinId="9" hidden="true"/>
    <cellStyle name="Followed Hyperlink" xfId="2883" builtinId="9" hidden="true"/>
    <cellStyle name="Followed Hyperlink" xfId="2885" builtinId="9" hidden="true"/>
    <cellStyle name="Followed Hyperlink" xfId="2887" builtinId="9" hidden="true"/>
    <cellStyle name="Followed Hyperlink" xfId="2889" builtinId="9" hidden="true"/>
    <cellStyle name="Followed Hyperlink" xfId="2891" builtinId="9" hidden="true"/>
    <cellStyle name="Followed Hyperlink" xfId="2893" builtinId="9" hidden="true"/>
    <cellStyle name="Followed Hyperlink" xfId="2895" builtinId="9" hidden="true"/>
    <cellStyle name="Followed Hyperlink" xfId="2897" builtinId="9" hidden="true"/>
    <cellStyle name="Followed Hyperlink" xfId="2899" builtinId="9" hidden="true"/>
    <cellStyle name="Followed Hyperlink" xfId="2901" builtinId="9" hidden="true"/>
    <cellStyle name="Followed Hyperlink" xfId="2903" builtinId="9" hidden="true"/>
    <cellStyle name="Followed Hyperlink" xfId="2905" builtinId="9" hidden="true"/>
    <cellStyle name="Followed Hyperlink" xfId="2907" builtinId="9" hidden="true"/>
    <cellStyle name="Followed Hyperlink" xfId="2909" builtinId="9" hidden="true"/>
    <cellStyle name="Followed Hyperlink" xfId="2911" builtinId="9" hidden="true"/>
    <cellStyle name="Followed Hyperlink" xfId="2913" builtinId="9" hidden="true"/>
    <cellStyle name="Followed Hyperlink" xfId="2915" builtinId="9" hidden="true"/>
    <cellStyle name="Followed Hyperlink" xfId="2917" builtinId="9" hidden="true"/>
    <cellStyle name="Followed Hyperlink" xfId="2919" builtinId="9" hidden="true"/>
    <cellStyle name="Followed Hyperlink" xfId="2921" builtinId="9" hidden="true"/>
    <cellStyle name="Followed Hyperlink" xfId="2923" builtinId="9" hidden="true"/>
    <cellStyle name="Followed Hyperlink" xfId="2925" builtinId="9" hidden="true"/>
    <cellStyle name="Followed Hyperlink" xfId="2927" builtinId="9" hidden="true"/>
    <cellStyle name="Followed Hyperlink" xfId="2929" builtinId="9" hidden="true"/>
    <cellStyle name="Followed Hyperlink" xfId="2931" builtinId="9" hidden="true"/>
    <cellStyle name="Followed Hyperlink" xfId="2933" builtinId="9" hidden="true"/>
    <cellStyle name="Followed Hyperlink" xfId="2935" builtinId="9" hidden="true"/>
    <cellStyle name="Followed Hyperlink" xfId="2937" builtinId="9" hidden="true"/>
    <cellStyle name="Followed Hyperlink" xfId="2939" builtinId="9" hidden="true"/>
    <cellStyle name="Followed Hyperlink" xfId="2941" builtinId="9" hidden="true"/>
    <cellStyle name="Followed Hyperlink" xfId="2943" builtinId="9" hidden="true"/>
    <cellStyle name="Followed Hyperlink" xfId="2945" builtinId="9" hidden="true"/>
    <cellStyle name="Followed Hyperlink" xfId="2947" builtinId="9" hidden="true"/>
    <cellStyle name="Followed Hyperlink" xfId="2949" builtinId="9" hidden="true"/>
    <cellStyle name="Followed Hyperlink" xfId="2951" builtinId="9" hidden="true"/>
    <cellStyle name="Followed Hyperlink" xfId="2953" builtinId="9" hidden="true"/>
    <cellStyle name="Followed Hyperlink" xfId="2955" builtinId="9" hidden="true"/>
    <cellStyle name="Followed Hyperlink" xfId="2957" builtinId="9" hidden="true"/>
    <cellStyle name="Followed Hyperlink" xfId="2959" builtinId="9" hidden="true"/>
    <cellStyle name="Followed Hyperlink" xfId="2961" builtinId="9" hidden="true"/>
    <cellStyle name="Followed Hyperlink" xfId="2963" builtinId="9" hidden="true"/>
    <cellStyle name="Followed Hyperlink" xfId="2965" builtinId="9" hidden="true"/>
    <cellStyle name="Followed Hyperlink" xfId="2967" builtinId="9" hidden="true"/>
    <cellStyle name="Followed Hyperlink" xfId="2969" builtinId="9" hidden="true"/>
    <cellStyle name="Followed Hyperlink" xfId="2971" builtinId="9" hidden="true"/>
    <cellStyle name="Followed Hyperlink" xfId="2973" builtinId="9" hidden="true"/>
    <cellStyle name="Followed Hyperlink" xfId="2975" builtinId="9" hidden="true"/>
    <cellStyle name="Followed Hyperlink" xfId="2977" builtinId="9" hidden="true"/>
    <cellStyle name="Followed Hyperlink" xfId="2979" builtinId="9" hidden="true"/>
    <cellStyle name="Followed Hyperlink" xfId="2981" builtinId="9" hidden="true"/>
    <cellStyle name="Followed Hyperlink" xfId="2983" builtinId="9" hidden="true"/>
    <cellStyle name="Followed Hyperlink" xfId="2985" builtinId="9" hidden="true"/>
    <cellStyle name="Followed Hyperlink" xfId="2987" builtinId="9" hidden="true"/>
    <cellStyle name="Followed Hyperlink" xfId="2989" builtinId="9" hidden="true"/>
    <cellStyle name="Followed Hyperlink" xfId="2991" builtinId="9" hidden="true"/>
    <cellStyle name="Followed Hyperlink" xfId="2993" builtinId="9" hidden="true"/>
    <cellStyle name="Followed Hyperlink" xfId="2995" builtinId="9" hidden="true"/>
    <cellStyle name="Followed Hyperlink" xfId="2997" builtinId="9" hidden="true"/>
    <cellStyle name="Followed Hyperlink" xfId="2999" builtinId="9" hidden="true"/>
    <cellStyle name="Followed Hyperlink" xfId="3001" builtinId="9" hidden="true"/>
    <cellStyle name="Followed Hyperlink" xfId="3003" builtinId="9" hidden="true"/>
    <cellStyle name="Followed Hyperlink" xfId="3005" builtinId="9" hidden="true"/>
    <cellStyle name="Followed Hyperlink" xfId="3007" builtinId="9" hidden="true"/>
    <cellStyle name="Followed Hyperlink" xfId="3009" builtinId="9" hidden="true"/>
    <cellStyle name="Followed Hyperlink" xfId="3011" builtinId="9" hidden="true"/>
    <cellStyle name="Followed Hyperlink" xfId="3013" builtinId="9" hidden="true"/>
    <cellStyle name="Followed Hyperlink" xfId="3015" builtinId="9" hidden="true"/>
    <cellStyle name="Followed Hyperlink" xfId="3017" builtinId="9" hidden="true"/>
    <cellStyle name="Followed Hyperlink" xfId="3019" builtinId="9" hidden="true"/>
    <cellStyle name="Followed Hyperlink" xfId="3021" builtinId="9" hidden="true"/>
    <cellStyle name="Followed Hyperlink" xfId="3023" builtinId="9" hidden="true"/>
    <cellStyle name="Followed Hyperlink" xfId="3025" builtinId="9" hidden="true"/>
    <cellStyle name="Followed Hyperlink" xfId="3027" builtinId="9" hidden="true"/>
    <cellStyle name="Followed Hyperlink" xfId="3029" builtinId="9" hidden="true"/>
    <cellStyle name="Followed Hyperlink" xfId="3031" builtinId="9" hidden="true"/>
    <cellStyle name="Followed Hyperlink" xfId="3033" builtinId="9" hidden="true"/>
    <cellStyle name="Followed Hyperlink" xfId="3035" builtinId="9" hidden="true"/>
    <cellStyle name="Followed Hyperlink" xfId="3037" builtinId="9" hidden="true"/>
    <cellStyle name="Followed Hyperlink" xfId="3039" builtinId="9" hidden="true"/>
    <cellStyle name="Followed Hyperlink" xfId="3041" builtinId="9" hidden="true"/>
    <cellStyle name="Followed Hyperlink" xfId="3043" builtinId="9" hidden="true"/>
    <cellStyle name="Followed Hyperlink" xfId="3045" builtinId="9" hidden="true"/>
    <cellStyle name="Followed Hyperlink" xfId="3047" builtinId="9" hidden="true"/>
    <cellStyle name="Followed Hyperlink" xfId="3049" builtinId="9" hidden="true"/>
    <cellStyle name="Followed Hyperlink" xfId="3051" builtinId="9" hidden="true"/>
    <cellStyle name="Followed Hyperlink" xfId="3053" builtinId="9" hidden="true"/>
    <cellStyle name="Followed Hyperlink" xfId="3055" builtinId="9" hidden="true"/>
    <cellStyle name="Followed Hyperlink" xfId="3057" builtinId="9" hidden="true"/>
    <cellStyle name="Followed Hyperlink" xfId="3059" builtinId="9" hidden="true"/>
    <cellStyle name="Followed Hyperlink" xfId="3061" builtinId="9" hidden="true"/>
    <cellStyle name="Followed Hyperlink" xfId="3063" builtinId="9" hidden="true"/>
    <cellStyle name="Followed Hyperlink" xfId="3065" builtinId="9" hidden="true"/>
    <cellStyle name="Followed Hyperlink" xfId="3067" builtinId="9" hidden="true"/>
    <cellStyle name="Followed Hyperlink" xfId="3069" builtinId="9" hidden="true"/>
    <cellStyle name="Followed Hyperlink" xfId="3071" builtinId="9" hidden="true"/>
    <cellStyle name="Followed Hyperlink" xfId="3073" builtinId="9" hidden="true"/>
    <cellStyle name="Followed Hyperlink" xfId="3075" builtinId="9" hidden="true"/>
    <cellStyle name="Followed Hyperlink" xfId="3077" builtinId="9" hidden="true"/>
    <cellStyle name="Followed Hyperlink" xfId="3079" builtinId="9" hidden="true"/>
    <cellStyle name="Followed Hyperlink" xfId="3081" builtinId="9" hidden="true"/>
    <cellStyle name="Followed Hyperlink" xfId="3083" builtinId="9" hidden="true"/>
    <cellStyle name="Followed Hyperlink" xfId="3085" builtinId="9" hidden="true"/>
    <cellStyle name="Followed Hyperlink" xfId="3087" builtinId="9" hidden="true"/>
    <cellStyle name="Followed Hyperlink" xfId="3089" builtinId="9" hidden="true"/>
    <cellStyle name="Followed Hyperlink" xfId="3091" builtinId="9" hidden="true"/>
    <cellStyle name="Followed Hyperlink" xfId="3093" builtinId="9" hidden="true"/>
    <cellStyle name="Followed Hyperlink" xfId="3095" builtinId="9" hidden="true"/>
    <cellStyle name="Followed Hyperlink" xfId="3097" builtinId="9" hidden="true"/>
    <cellStyle name="Followed Hyperlink" xfId="3099" builtinId="9" hidden="true"/>
    <cellStyle name="Followed Hyperlink" xfId="3101" builtinId="9" hidden="true"/>
    <cellStyle name="Followed Hyperlink" xfId="3103" builtinId="9" hidden="true"/>
    <cellStyle name="Followed Hyperlink" xfId="3105" builtinId="9" hidden="true"/>
    <cellStyle name="Followed Hyperlink" xfId="3107" builtinId="9" hidden="true"/>
    <cellStyle name="Followed Hyperlink" xfId="3109" builtinId="9" hidden="true"/>
    <cellStyle name="Followed Hyperlink" xfId="3111" builtinId="9" hidden="true"/>
    <cellStyle name="Followed Hyperlink" xfId="3113" builtinId="9" hidden="true"/>
    <cellStyle name="Followed Hyperlink" xfId="3115" builtinId="9" hidden="true"/>
    <cellStyle name="Followed Hyperlink" xfId="3117" builtinId="9" hidden="true"/>
    <cellStyle name="Followed Hyperlink" xfId="3119" builtinId="9" hidden="true"/>
    <cellStyle name="Followed Hyperlink" xfId="3121" builtinId="9" hidden="true"/>
    <cellStyle name="Followed Hyperlink" xfId="3123" builtinId="9" hidden="true"/>
    <cellStyle name="Followed Hyperlink" xfId="3125" builtinId="9" hidden="true"/>
    <cellStyle name="Followed Hyperlink" xfId="3127" builtinId="9" hidden="true"/>
    <cellStyle name="Followed Hyperlink" xfId="3129" builtinId="9" hidden="true"/>
    <cellStyle name="Followed Hyperlink" xfId="3131" builtinId="9" hidden="true"/>
    <cellStyle name="Followed Hyperlink" xfId="3133" builtinId="9" hidden="true"/>
    <cellStyle name="Followed Hyperlink" xfId="3135" builtinId="9" hidden="true"/>
    <cellStyle name="Followed Hyperlink" xfId="3137" builtinId="9" hidden="true"/>
    <cellStyle name="Followed Hyperlink" xfId="3139" builtinId="9" hidden="true"/>
    <cellStyle name="Followed Hyperlink" xfId="3141" builtinId="9" hidden="true"/>
    <cellStyle name="Followed Hyperlink" xfId="3143" builtinId="9" hidden="true"/>
    <cellStyle name="Followed Hyperlink" xfId="3145" builtinId="9" hidden="true"/>
    <cellStyle name="Followed Hyperlink" xfId="3147" builtinId="9" hidden="true"/>
    <cellStyle name="Followed Hyperlink" xfId="3149" builtinId="9" hidden="true"/>
    <cellStyle name="Followed Hyperlink" xfId="3151" builtinId="9" hidden="true"/>
    <cellStyle name="Followed Hyperlink" xfId="3153" builtinId="9" hidden="true"/>
    <cellStyle name="Followed Hyperlink" xfId="3155" builtinId="9" hidden="true"/>
    <cellStyle name="Followed Hyperlink" xfId="3157" builtinId="9" hidden="true"/>
    <cellStyle name="Followed Hyperlink" xfId="3159" builtinId="9" hidden="true"/>
    <cellStyle name="Followed Hyperlink" xfId="3161" builtinId="9" hidden="true"/>
    <cellStyle name="Followed Hyperlink" xfId="3163" builtinId="9" hidden="true"/>
    <cellStyle name="Followed Hyperlink" xfId="3165" builtinId="9" hidden="true"/>
    <cellStyle name="Followed Hyperlink" xfId="3167" builtinId="9" hidden="true"/>
    <cellStyle name="Followed Hyperlink" xfId="3169" builtinId="9" hidden="true"/>
    <cellStyle name="Followed Hyperlink" xfId="3171" builtinId="9" hidden="true"/>
    <cellStyle name="Followed Hyperlink" xfId="3173" builtinId="9" hidden="true"/>
    <cellStyle name="Followed Hyperlink" xfId="3175" builtinId="9" hidden="true"/>
    <cellStyle name="Followed Hyperlink" xfId="3177" builtinId="9" hidden="true"/>
    <cellStyle name="Followed Hyperlink" xfId="3179" builtinId="9" hidden="true"/>
    <cellStyle name="Followed Hyperlink" xfId="3181" builtinId="9" hidden="true"/>
    <cellStyle name="Followed Hyperlink" xfId="3183" builtinId="9" hidden="true"/>
    <cellStyle name="Followed Hyperlink" xfId="3185" builtinId="9" hidden="true"/>
    <cellStyle name="Followed Hyperlink" xfId="3187" builtinId="9" hidden="true"/>
    <cellStyle name="Followed Hyperlink" xfId="3189" builtinId="9" hidden="true"/>
    <cellStyle name="Followed Hyperlink" xfId="3191" builtinId="9" hidden="true"/>
    <cellStyle name="Followed Hyperlink" xfId="3193" builtinId="9" hidden="true"/>
    <cellStyle name="Followed Hyperlink" xfId="3195" builtinId="9" hidden="true"/>
    <cellStyle name="Followed Hyperlink" xfId="3197" builtinId="9" hidden="true"/>
    <cellStyle name="Followed Hyperlink" xfId="3199" builtinId="9" hidden="true"/>
    <cellStyle name="Followed Hyperlink" xfId="3201" builtinId="9" hidden="true"/>
    <cellStyle name="Followed Hyperlink" xfId="3203" builtinId="9" hidden="true"/>
    <cellStyle name="Followed Hyperlink" xfId="3205" builtinId="9" hidden="true"/>
    <cellStyle name="Followed Hyperlink" xfId="3207" builtinId="9" hidden="true"/>
    <cellStyle name="Followed Hyperlink" xfId="3209" builtinId="9" hidden="true"/>
    <cellStyle name="Followed Hyperlink" xfId="3211" builtinId="9" hidden="true"/>
    <cellStyle name="Followed Hyperlink" xfId="3213" builtinId="9" hidden="true"/>
    <cellStyle name="Followed Hyperlink" xfId="3215" builtinId="9" hidden="true"/>
    <cellStyle name="Followed Hyperlink" xfId="3217" builtinId="9" hidden="true"/>
    <cellStyle name="Followed Hyperlink" xfId="3219" builtinId="9" hidden="true"/>
    <cellStyle name="Followed Hyperlink" xfId="3221" builtinId="9" hidden="true"/>
    <cellStyle name="Followed Hyperlink" xfId="3223" builtinId="9" hidden="true"/>
    <cellStyle name="Followed Hyperlink" xfId="3225" builtinId="9" hidden="true"/>
    <cellStyle name="Followed Hyperlink" xfId="3227" builtinId="9" hidden="true"/>
    <cellStyle name="Followed Hyperlink" xfId="3229" builtinId="9" hidden="true"/>
    <cellStyle name="Followed Hyperlink" xfId="3231" builtinId="9" hidden="true"/>
    <cellStyle name="Followed Hyperlink" xfId="3233" builtinId="9" hidden="true"/>
    <cellStyle name="Followed Hyperlink" xfId="3235" builtinId="9" hidden="true"/>
    <cellStyle name="Followed Hyperlink" xfId="3237" builtinId="9" hidden="true"/>
    <cellStyle name="Followed Hyperlink" xfId="3239" builtinId="9" hidden="true"/>
    <cellStyle name="Followed Hyperlink" xfId="3241" builtinId="9" hidden="true"/>
    <cellStyle name="Followed Hyperlink" xfId="3243" builtinId="9" hidden="true"/>
    <cellStyle name="Followed Hyperlink" xfId="3245" builtinId="9" hidden="true"/>
    <cellStyle name="Followed Hyperlink" xfId="3247" builtinId="9" hidden="true"/>
    <cellStyle name="Followed Hyperlink" xfId="3249" builtinId="9" hidden="true"/>
    <cellStyle name="Followed Hyperlink" xfId="3251" builtinId="9" hidden="true"/>
    <cellStyle name="Followed Hyperlink" xfId="3253" builtinId="9" hidden="true"/>
    <cellStyle name="Followed Hyperlink" xfId="3255" builtinId="9" hidden="true"/>
    <cellStyle name="Followed Hyperlink" xfId="3257" builtinId="9" hidden="true"/>
    <cellStyle name="Followed Hyperlink" xfId="3259" builtinId="9" hidden="true"/>
    <cellStyle name="Followed Hyperlink" xfId="3261" builtinId="9" hidden="true"/>
    <cellStyle name="Followed Hyperlink" xfId="3263" builtinId="9" hidden="true"/>
    <cellStyle name="Followed Hyperlink" xfId="3265" builtinId="9" hidden="true"/>
    <cellStyle name="Followed Hyperlink" xfId="3267" builtinId="9" hidden="true"/>
    <cellStyle name="Followed Hyperlink" xfId="3269" builtinId="9" hidden="true"/>
    <cellStyle name="Followed Hyperlink" xfId="3271" builtinId="9" hidden="true"/>
    <cellStyle name="Followed Hyperlink" xfId="3273" builtinId="9" hidden="true"/>
    <cellStyle name="Followed Hyperlink" xfId="3275" builtinId="9" hidden="true"/>
    <cellStyle name="Followed Hyperlink" xfId="3277" builtinId="9" hidden="true"/>
    <cellStyle name="Followed Hyperlink" xfId="3279" builtinId="9" hidden="true"/>
    <cellStyle name="Followed Hyperlink" xfId="3281" builtinId="9" hidden="true"/>
    <cellStyle name="Followed Hyperlink" xfId="3283" builtinId="9" hidden="true"/>
    <cellStyle name="Followed Hyperlink" xfId="3285" builtinId="9" hidden="true"/>
    <cellStyle name="Followed Hyperlink" xfId="3287" builtinId="9" hidden="true"/>
    <cellStyle name="Followed Hyperlink" xfId="3289" builtinId="9" hidden="true"/>
    <cellStyle name="Followed Hyperlink" xfId="3291" builtinId="9" hidden="true"/>
    <cellStyle name="Followed Hyperlink" xfId="3293" builtinId="9" hidden="true"/>
    <cellStyle name="Followed Hyperlink" xfId="3295" builtinId="9" hidden="true"/>
    <cellStyle name="Followed Hyperlink" xfId="3297" builtinId="9" hidden="true"/>
    <cellStyle name="Followed Hyperlink" xfId="3299" builtinId="9" hidden="true"/>
    <cellStyle name="Followed Hyperlink" xfId="3301" builtinId="9" hidden="true"/>
    <cellStyle name="Followed Hyperlink" xfId="3303" builtinId="9" hidden="true"/>
    <cellStyle name="Followed Hyperlink" xfId="3305" builtinId="9" hidden="true"/>
    <cellStyle name="Followed Hyperlink" xfId="3307" builtinId="9" hidden="true"/>
    <cellStyle name="Followed Hyperlink" xfId="3309" builtinId="9" hidden="true"/>
    <cellStyle name="Followed Hyperlink" xfId="3311" builtinId="9" hidden="true"/>
    <cellStyle name="Followed Hyperlink" xfId="3313" builtinId="9" hidden="true"/>
    <cellStyle name="Followed Hyperlink" xfId="3315" builtinId="9" hidden="true"/>
    <cellStyle name="Followed Hyperlink" xfId="3317" builtinId="9" hidden="true"/>
    <cellStyle name="Followed Hyperlink" xfId="3319" builtinId="9" hidden="true"/>
    <cellStyle name="Followed Hyperlink" xfId="3321" builtinId="9" hidden="true"/>
    <cellStyle name="Followed Hyperlink" xfId="3323" builtinId="9" hidden="true"/>
    <cellStyle name="Followed Hyperlink" xfId="3325" builtinId="9" hidden="true"/>
    <cellStyle name="Followed Hyperlink" xfId="3327" builtinId="9" hidden="true"/>
    <cellStyle name="Followed Hyperlink" xfId="3329" builtinId="9" hidden="true"/>
    <cellStyle name="Followed Hyperlink" xfId="3331" builtinId="9" hidden="true"/>
    <cellStyle name="Followed Hyperlink" xfId="3333" builtinId="9" hidden="true"/>
    <cellStyle name="Followed Hyperlink" xfId="3335" builtinId="9" hidden="true"/>
    <cellStyle name="Followed Hyperlink" xfId="3337" builtinId="9" hidden="true"/>
    <cellStyle name="Followed Hyperlink" xfId="3339" builtinId="9" hidden="true"/>
    <cellStyle name="Followed Hyperlink" xfId="3341" builtinId="9" hidden="true"/>
    <cellStyle name="Followed Hyperlink" xfId="3343" builtinId="9" hidden="true"/>
    <cellStyle name="Followed Hyperlink" xfId="3345" builtinId="9" hidden="true"/>
    <cellStyle name="Followed Hyperlink" xfId="3347" builtinId="9" hidden="true"/>
    <cellStyle name="Followed Hyperlink" xfId="3349" builtinId="9" hidden="true"/>
    <cellStyle name="Followed Hyperlink" xfId="3351" builtinId="9" hidden="true"/>
    <cellStyle name="Followed Hyperlink" xfId="3353" builtinId="9" hidden="true"/>
    <cellStyle name="Followed Hyperlink" xfId="3355" builtinId="9" hidden="true"/>
    <cellStyle name="Followed Hyperlink" xfId="3357" builtinId="9" hidden="true"/>
    <cellStyle name="Followed Hyperlink" xfId="3359" builtinId="9" hidden="true"/>
    <cellStyle name="Followed Hyperlink" xfId="3361" builtinId="9" hidden="true"/>
    <cellStyle name="Followed Hyperlink" xfId="3363" builtinId="9" hidden="true"/>
    <cellStyle name="Followed Hyperlink" xfId="3365" builtinId="9" hidden="true"/>
    <cellStyle name="Followed Hyperlink" xfId="3367" builtinId="9" hidden="true"/>
    <cellStyle name="Followed Hyperlink" xfId="3369" builtinId="9" hidden="true"/>
    <cellStyle name="Followed Hyperlink" xfId="3371" builtinId="9" hidden="true"/>
    <cellStyle name="Followed Hyperlink" xfId="3373" builtinId="9" hidden="true"/>
    <cellStyle name="Followed Hyperlink" xfId="3375" builtinId="9" hidden="true"/>
    <cellStyle name="Followed Hyperlink" xfId="3377" builtinId="9" hidden="true"/>
    <cellStyle name="Followed Hyperlink" xfId="3379" builtinId="9" hidden="true"/>
    <cellStyle name="Followed Hyperlink" xfId="3381" builtinId="9" hidden="true"/>
    <cellStyle name="Followed Hyperlink" xfId="3383" builtinId="9" hidden="true"/>
    <cellStyle name="Followed Hyperlink" xfId="3385" builtinId="9" hidden="true"/>
    <cellStyle name="Followed Hyperlink" xfId="3387" builtinId="9" hidden="true"/>
    <cellStyle name="Followed Hyperlink" xfId="3389" builtinId="9" hidden="true"/>
    <cellStyle name="Followed Hyperlink" xfId="3391" builtinId="9" hidden="true"/>
    <cellStyle name="Followed Hyperlink" xfId="3393" builtinId="9" hidden="true"/>
    <cellStyle name="Followed Hyperlink" xfId="3395" builtinId="9" hidden="true"/>
    <cellStyle name="Followed Hyperlink" xfId="3397" builtinId="9" hidden="true"/>
    <cellStyle name="Followed Hyperlink" xfId="3399" builtinId="9" hidden="true"/>
    <cellStyle name="Followed Hyperlink" xfId="3401" builtinId="9" hidden="true"/>
    <cellStyle name="Followed Hyperlink" xfId="3403" builtinId="9" hidden="true"/>
    <cellStyle name="Followed Hyperlink" xfId="3405" builtinId="9" hidden="true"/>
    <cellStyle name="Followed Hyperlink" xfId="3407" builtinId="9" hidden="true"/>
    <cellStyle name="Followed Hyperlink" xfId="3409" builtinId="9" hidden="true"/>
    <cellStyle name="Followed Hyperlink" xfId="3411" builtinId="9" hidden="true"/>
    <cellStyle name="Followed Hyperlink" xfId="3413" builtinId="9" hidden="true"/>
    <cellStyle name="Followed Hyperlink" xfId="3415" builtinId="9" hidden="true"/>
    <cellStyle name="Followed Hyperlink" xfId="3417" builtinId="9" hidden="true"/>
    <cellStyle name="Followed Hyperlink" xfId="3419" builtinId="9" hidden="true"/>
    <cellStyle name="Followed Hyperlink" xfId="3421" builtinId="9" hidden="true"/>
    <cellStyle name="Followed Hyperlink" xfId="3423" builtinId="9" hidden="true"/>
    <cellStyle name="Followed Hyperlink" xfId="3425" builtinId="9" hidden="true"/>
    <cellStyle name="Followed Hyperlink" xfId="3427" builtinId="9" hidden="true"/>
    <cellStyle name="Followed Hyperlink" xfId="3429" builtinId="9" hidden="true"/>
    <cellStyle name="Followed Hyperlink" xfId="3431" builtinId="9" hidden="true"/>
    <cellStyle name="Followed Hyperlink" xfId="3433" builtinId="9" hidden="true"/>
    <cellStyle name="Followed Hyperlink" xfId="3435" builtinId="9" hidden="true"/>
    <cellStyle name="Followed Hyperlink" xfId="3437" builtinId="9" hidden="true"/>
    <cellStyle name="Followed Hyperlink" xfId="3439" builtinId="9" hidden="true"/>
    <cellStyle name="Followed Hyperlink" xfId="3441" builtinId="9" hidden="true"/>
    <cellStyle name="Followed Hyperlink" xfId="3443" builtinId="9" hidden="true"/>
    <cellStyle name="Followed Hyperlink" xfId="3445" builtinId="9" hidden="true"/>
    <cellStyle name="Followed Hyperlink" xfId="3447" builtinId="9" hidden="true"/>
    <cellStyle name="Followed Hyperlink" xfId="3449" builtinId="9" hidden="true"/>
    <cellStyle name="Followed Hyperlink" xfId="3451" builtinId="9" hidden="true"/>
    <cellStyle name="Followed Hyperlink" xfId="3453" builtinId="9" hidden="true"/>
    <cellStyle name="Followed Hyperlink" xfId="3455" builtinId="9" hidden="true"/>
    <cellStyle name="Followed Hyperlink" xfId="3457" builtinId="9" hidden="true"/>
    <cellStyle name="Followed Hyperlink" xfId="3459" builtinId="9" hidden="true"/>
    <cellStyle name="Followed Hyperlink" xfId="3461" builtinId="9" hidden="true"/>
    <cellStyle name="Followed Hyperlink" xfId="3463" builtinId="9" hidden="true"/>
    <cellStyle name="Followed Hyperlink" xfId="3465" builtinId="9" hidden="true"/>
    <cellStyle name="Followed Hyperlink" xfId="3467" builtinId="9" hidden="true"/>
    <cellStyle name="Followed Hyperlink" xfId="3469" builtinId="9" hidden="true"/>
    <cellStyle name="Followed Hyperlink" xfId="3471" builtinId="9" hidden="true"/>
    <cellStyle name="Followed Hyperlink" xfId="3473" builtinId="9" hidden="true"/>
    <cellStyle name="Followed Hyperlink" xfId="3475" builtinId="9" hidden="true"/>
    <cellStyle name="Followed Hyperlink" xfId="3477" builtinId="9" hidden="true"/>
    <cellStyle name="Followed Hyperlink" xfId="3479" builtinId="9" hidden="true"/>
    <cellStyle name="Followed Hyperlink" xfId="3481" builtinId="9" hidden="true"/>
    <cellStyle name="Followed Hyperlink" xfId="3483" builtinId="9" hidden="true"/>
    <cellStyle name="Followed Hyperlink" xfId="3485" builtinId="9" hidden="true"/>
    <cellStyle name="Followed Hyperlink" xfId="3487" builtinId="9" hidden="true"/>
    <cellStyle name="Followed Hyperlink" xfId="3489" builtinId="9" hidden="true"/>
    <cellStyle name="Followed Hyperlink" xfId="3491" builtinId="9" hidden="true"/>
    <cellStyle name="Followed Hyperlink" xfId="3493" builtinId="9" hidden="true"/>
    <cellStyle name="Followed Hyperlink" xfId="3495" builtinId="9" hidden="true"/>
    <cellStyle name="Followed Hyperlink" xfId="3497" builtinId="9" hidden="true"/>
    <cellStyle name="Followed Hyperlink" xfId="3499" builtinId="9" hidden="true"/>
    <cellStyle name="Followed Hyperlink" xfId="3501" builtinId="9" hidden="true"/>
    <cellStyle name="Followed Hyperlink" xfId="3503" builtinId="9" hidden="true"/>
    <cellStyle name="Followed Hyperlink" xfId="3505" builtinId="9" hidden="true"/>
    <cellStyle name="Followed Hyperlink" xfId="3507" builtinId="9" hidden="true"/>
    <cellStyle name="Followed Hyperlink" xfId="3509" builtinId="9" hidden="true"/>
    <cellStyle name="Followed Hyperlink" xfId="3511" builtinId="9" hidden="true"/>
    <cellStyle name="Followed Hyperlink" xfId="3513" builtinId="9" hidden="true"/>
    <cellStyle name="Followed Hyperlink" xfId="3515" builtinId="9" hidden="true"/>
    <cellStyle name="Followed Hyperlink" xfId="3517" builtinId="9" hidden="true"/>
    <cellStyle name="Followed Hyperlink" xfId="3519" builtinId="9" hidden="true"/>
    <cellStyle name="Followed Hyperlink" xfId="3521" builtinId="9" hidden="true"/>
    <cellStyle name="Followed Hyperlink" xfId="3523" builtinId="9" hidden="true"/>
    <cellStyle name="Followed Hyperlink" xfId="3525" builtinId="9" hidden="true"/>
    <cellStyle name="Followed Hyperlink" xfId="3527" builtinId="9" hidden="true"/>
    <cellStyle name="Followed Hyperlink" xfId="3529" builtinId="9" hidden="true"/>
    <cellStyle name="Followed Hyperlink" xfId="3531" builtinId="9" hidden="true"/>
    <cellStyle name="Followed Hyperlink" xfId="3533" builtinId="9" hidden="true"/>
    <cellStyle name="Followed Hyperlink" xfId="3535" builtinId="9" hidden="true"/>
    <cellStyle name="Followed Hyperlink" xfId="3537" builtinId="9" hidden="true"/>
    <cellStyle name="Followed Hyperlink" xfId="3539" builtinId="9" hidden="true"/>
    <cellStyle name="Followed Hyperlink" xfId="3541" builtinId="9" hidden="true"/>
    <cellStyle name="Followed Hyperlink" xfId="3543" builtinId="9" hidden="true"/>
    <cellStyle name="Followed Hyperlink" xfId="3545" builtinId="9" hidden="true"/>
    <cellStyle name="Followed Hyperlink" xfId="3547" builtinId="9" hidden="true"/>
    <cellStyle name="Followed Hyperlink" xfId="3549" builtinId="9" hidden="true"/>
    <cellStyle name="Followed Hyperlink" xfId="3551" builtinId="9" hidden="true"/>
    <cellStyle name="Followed Hyperlink" xfId="3553" builtinId="9" hidden="true"/>
    <cellStyle name="Followed Hyperlink" xfId="3555" builtinId="9" hidden="true"/>
    <cellStyle name="Followed Hyperlink" xfId="3557" builtinId="9" hidden="true"/>
    <cellStyle name="Followed Hyperlink" xfId="3559" builtinId="9" hidden="true"/>
    <cellStyle name="Followed Hyperlink" xfId="3561" builtinId="9" hidden="true"/>
    <cellStyle name="Followed Hyperlink" xfId="3563" builtinId="9" hidden="true"/>
    <cellStyle name="Followed Hyperlink" xfId="3565" builtinId="9" hidden="true"/>
    <cellStyle name="Followed Hyperlink" xfId="3567" builtinId="9" hidden="true"/>
    <cellStyle name="Followed Hyperlink" xfId="3569" builtinId="9" hidden="true"/>
    <cellStyle name="Followed Hyperlink" xfId="3571" builtinId="9" hidden="true"/>
    <cellStyle name="Followed Hyperlink" xfId="3573" builtinId="9" hidden="true"/>
    <cellStyle name="Followed Hyperlink" xfId="3575" builtinId="9" hidden="true"/>
    <cellStyle name="Followed Hyperlink" xfId="3577" builtinId="9" hidden="true"/>
    <cellStyle name="Followed Hyperlink" xfId="3579" builtinId="9" hidden="true"/>
    <cellStyle name="Followed Hyperlink" xfId="3581" builtinId="9" hidden="true"/>
    <cellStyle name="Followed Hyperlink" xfId="3583" builtinId="9" hidden="true"/>
    <cellStyle name="Followed Hyperlink" xfId="3585" builtinId="9" hidden="true"/>
    <cellStyle name="Followed Hyperlink" xfId="3587" builtinId="9" hidden="true"/>
    <cellStyle name="Followed Hyperlink" xfId="3589" builtinId="9" hidden="true"/>
    <cellStyle name="Followed Hyperlink" xfId="3591" builtinId="9" hidden="true"/>
    <cellStyle name="Followed Hyperlink" xfId="3593" builtinId="9" hidden="true"/>
    <cellStyle name="Followed Hyperlink" xfId="3595" builtinId="9" hidden="true"/>
    <cellStyle name="Followed Hyperlink" xfId="3597" builtinId="9" hidden="true"/>
    <cellStyle name="Followed Hyperlink" xfId="3599" builtinId="9" hidden="true"/>
    <cellStyle name="Followed Hyperlink" xfId="3601" builtinId="9" hidden="true"/>
    <cellStyle name="Followed Hyperlink" xfId="3603" builtinId="9" hidden="true"/>
    <cellStyle name="Followed Hyperlink" xfId="3605" builtinId="9" hidden="true"/>
    <cellStyle name="Followed Hyperlink" xfId="3607" builtinId="9" hidden="true"/>
    <cellStyle name="Followed Hyperlink" xfId="3609" builtinId="9" hidden="true"/>
    <cellStyle name="Followed Hyperlink" xfId="3611" builtinId="9" hidden="true"/>
    <cellStyle name="Followed Hyperlink" xfId="3613" builtinId="9" hidden="true"/>
    <cellStyle name="Followed Hyperlink" xfId="3615" builtinId="9" hidden="true"/>
    <cellStyle name="Followed Hyperlink" xfId="3617" builtinId="9" hidden="true"/>
    <cellStyle name="Followed Hyperlink" xfId="3619" builtinId="9" hidden="true"/>
    <cellStyle name="Followed Hyperlink" xfId="3621" builtinId="9" hidden="true"/>
    <cellStyle name="Followed Hyperlink" xfId="3623" builtinId="9" hidden="true"/>
    <cellStyle name="Followed Hyperlink" xfId="3625" builtinId="9" hidden="true"/>
    <cellStyle name="Followed Hyperlink" xfId="3627" builtinId="9" hidden="true"/>
    <cellStyle name="Followed Hyperlink" xfId="3629" builtinId="9" hidden="true"/>
    <cellStyle name="Followed Hyperlink" xfId="3631" builtinId="9" hidden="true"/>
    <cellStyle name="Followed Hyperlink" xfId="3633" builtinId="9" hidden="true"/>
    <cellStyle name="Followed Hyperlink" xfId="3635" builtinId="9" hidden="true"/>
    <cellStyle name="Followed Hyperlink" xfId="3637" builtinId="9" hidden="true"/>
    <cellStyle name="Followed Hyperlink" xfId="3639" builtinId="9" hidden="true"/>
    <cellStyle name="Followed Hyperlink" xfId="3641" builtinId="9" hidden="true"/>
    <cellStyle name="Followed Hyperlink" xfId="3643" builtinId="9" hidden="true"/>
    <cellStyle name="Followed Hyperlink" xfId="3645" builtinId="9" hidden="true"/>
    <cellStyle name="Followed Hyperlink" xfId="3647" builtinId="9" hidden="true"/>
    <cellStyle name="Followed Hyperlink" xfId="3649" builtinId="9" hidden="true"/>
    <cellStyle name="Followed Hyperlink" xfId="3651" builtinId="9" hidden="true"/>
    <cellStyle name="Followed Hyperlink" xfId="3653" builtinId="9" hidden="true"/>
    <cellStyle name="Hyperlink" xfId="1" builtinId="8" hidden="true"/>
    <cellStyle name="Hyperlink" xfId="3" builtinId="8" hidden="true"/>
    <cellStyle name="Hyperlink" xfId="5" builtinId="8" hidden="true"/>
    <cellStyle name="Hyperlink" xfId="7" builtinId="8" hidden="true"/>
    <cellStyle name="Hyperlink" xfId="9" builtinId="8" hidden="true"/>
    <cellStyle name="Hyperlink" xfId="11" builtinId="8" hidden="true"/>
    <cellStyle name="Hyperlink" xfId="13" builtinId="8" hidden="true"/>
    <cellStyle name="Hyperlink" xfId="15" builtinId="8" hidden="true"/>
    <cellStyle name="Hyperlink" xfId="17" builtinId="8" hidden="true"/>
    <cellStyle name="Hyperlink" xfId="19" builtinId="8" hidden="true"/>
    <cellStyle name="Hyperlink" xfId="21" builtinId="8" hidden="true"/>
    <cellStyle name="Hyperlink" xfId="23" builtinId="8" hidden="true"/>
    <cellStyle name="Hyperlink" xfId="25" builtinId="8" hidden="true"/>
    <cellStyle name="Hyperlink" xfId="27" builtinId="8" hidden="true"/>
    <cellStyle name="Hyperlink" xfId="29" builtinId="8" hidden="true"/>
    <cellStyle name="Hyperlink" xfId="31" builtinId="8" hidden="true"/>
    <cellStyle name="Hyperlink" xfId="33" builtinId="8" hidden="true"/>
    <cellStyle name="Hyperlink" xfId="35" builtinId="8" hidden="true"/>
    <cellStyle name="Hyperlink" xfId="37" builtinId="8" hidden="true"/>
    <cellStyle name="Hyperlink" xfId="39" builtinId="8" hidden="true"/>
    <cellStyle name="Hyperlink" xfId="41" builtinId="8" hidden="true"/>
    <cellStyle name="Hyperlink" xfId="43" builtinId="8" hidden="true"/>
    <cellStyle name="Hyperlink" xfId="45" builtinId="8" hidden="true"/>
    <cellStyle name="Hyperlink" xfId="47" builtinId="8" hidden="true"/>
    <cellStyle name="Hyperlink" xfId="49" builtinId="8" hidden="true"/>
    <cellStyle name="Hyperlink" xfId="51" builtinId="8" hidden="true"/>
    <cellStyle name="Hyperlink" xfId="53" builtinId="8" hidden="true"/>
    <cellStyle name="Hyperlink" xfId="55" builtinId="8" hidden="true"/>
    <cellStyle name="Hyperlink" xfId="57" builtinId="8" hidden="true"/>
    <cellStyle name="Hyperlink" xfId="59" builtinId="8" hidden="true"/>
    <cellStyle name="Hyperlink" xfId="61" builtinId="8" hidden="true"/>
    <cellStyle name="Hyperlink" xfId="63" builtinId="8" hidden="true"/>
    <cellStyle name="Hyperlink" xfId="65" builtinId="8" hidden="true"/>
    <cellStyle name="Hyperlink" xfId="67" builtinId="8" hidden="true"/>
    <cellStyle name="Hyperlink" xfId="69" builtinId="8" hidden="true"/>
    <cellStyle name="Hyperlink" xfId="71" builtinId="8" hidden="true"/>
    <cellStyle name="Hyperlink" xfId="73" builtinId="8" hidden="true"/>
    <cellStyle name="Hyperlink" xfId="75" builtinId="8" hidden="true"/>
    <cellStyle name="Hyperlink" xfId="77" builtinId="8" hidden="true"/>
    <cellStyle name="Hyperlink" xfId="79" builtinId="8" hidden="true"/>
    <cellStyle name="Hyperlink" xfId="81" builtinId="8" hidden="true"/>
    <cellStyle name="Hyperlink" xfId="83" builtinId="8" hidden="true"/>
    <cellStyle name="Hyperlink" xfId="85" builtinId="8" hidden="true"/>
    <cellStyle name="Hyperlink" xfId="87" builtinId="8" hidden="true"/>
    <cellStyle name="Hyperlink" xfId="89" builtinId="8" hidden="true"/>
    <cellStyle name="Hyperlink" xfId="91" builtinId="8" hidden="true"/>
    <cellStyle name="Hyperlink" xfId="93" builtinId="8" hidden="true"/>
    <cellStyle name="Hyperlink" xfId="95" builtinId="8" hidden="true"/>
    <cellStyle name="Hyperlink" xfId="97" builtinId="8" hidden="true"/>
    <cellStyle name="Hyperlink" xfId="99" builtinId="8" hidden="true"/>
    <cellStyle name="Hyperlink" xfId="101" builtinId="8" hidden="true"/>
    <cellStyle name="Hyperlink" xfId="103" builtinId="8" hidden="true"/>
    <cellStyle name="Hyperlink" xfId="105" builtinId="8" hidden="true"/>
    <cellStyle name="Hyperlink" xfId="107" builtinId="8" hidden="true"/>
    <cellStyle name="Hyperlink" xfId="109" builtinId="8" hidden="true"/>
    <cellStyle name="Hyperlink" xfId="111" builtinId="8" hidden="true"/>
    <cellStyle name="Hyperlink" xfId="113" builtinId="8" hidden="true"/>
    <cellStyle name="Hyperlink" xfId="115" builtinId="8" hidden="true"/>
    <cellStyle name="Hyperlink" xfId="117" builtinId="8" hidden="true"/>
    <cellStyle name="Hyperlink" xfId="119" builtinId="8" hidden="true"/>
    <cellStyle name="Hyperlink" xfId="121" builtinId="8" hidden="true"/>
    <cellStyle name="Hyperlink" xfId="123" builtinId="8" hidden="true"/>
    <cellStyle name="Hyperlink" xfId="125" builtinId="8" hidden="true"/>
    <cellStyle name="Hyperlink" xfId="127" builtinId="8" hidden="true"/>
    <cellStyle name="Hyperlink" xfId="129" builtinId="8" hidden="true"/>
    <cellStyle name="Hyperlink" xfId="131" builtinId="8" hidden="true"/>
    <cellStyle name="Hyperlink" xfId="133" builtinId="8" hidden="true"/>
    <cellStyle name="Hyperlink" xfId="135" builtinId="8" hidden="true"/>
    <cellStyle name="Hyperlink" xfId="137" builtinId="8" hidden="true"/>
    <cellStyle name="Hyperlink" xfId="139" builtinId="8" hidden="true"/>
    <cellStyle name="Hyperlink" xfId="141" builtinId="8" hidden="true"/>
    <cellStyle name="Hyperlink" xfId="143" builtinId="8" hidden="true"/>
    <cellStyle name="Hyperlink" xfId="145" builtinId="8" hidden="true"/>
    <cellStyle name="Hyperlink" xfId="147" builtinId="8" hidden="true"/>
    <cellStyle name="Hyperlink" xfId="149" builtinId="8" hidden="true"/>
    <cellStyle name="Hyperlink" xfId="151" builtinId="8" hidden="true"/>
    <cellStyle name="Hyperlink" xfId="153" builtinId="8" hidden="true"/>
    <cellStyle name="Hyperlink" xfId="155" builtinId="8" hidden="true"/>
    <cellStyle name="Hyperlink" xfId="157" builtinId="8" hidden="true"/>
    <cellStyle name="Hyperlink" xfId="159" builtinId="8" hidden="true"/>
    <cellStyle name="Hyperlink" xfId="161" builtinId="8" hidden="true"/>
    <cellStyle name="Hyperlink" xfId="163" builtinId="8" hidden="true"/>
    <cellStyle name="Hyperlink" xfId="165" builtinId="8" hidden="true"/>
    <cellStyle name="Hyperlink" xfId="167" builtinId="8" hidden="true"/>
    <cellStyle name="Hyperlink" xfId="169" builtinId="8" hidden="true"/>
    <cellStyle name="Hyperlink" xfId="171" builtinId="8" hidden="true"/>
    <cellStyle name="Hyperlink" xfId="173" builtinId="8" hidden="true"/>
    <cellStyle name="Hyperlink" xfId="175" builtinId="8" hidden="true"/>
    <cellStyle name="Hyperlink" xfId="177" builtinId="8" hidden="true"/>
    <cellStyle name="Hyperlink" xfId="179" builtinId="8" hidden="true"/>
    <cellStyle name="Hyperlink" xfId="181" builtinId="8" hidden="true"/>
    <cellStyle name="Hyperlink" xfId="183" builtinId="8" hidden="true"/>
    <cellStyle name="Hyperlink" xfId="185" builtinId="8" hidden="true"/>
    <cellStyle name="Hyperlink" xfId="187" builtinId="8" hidden="true"/>
    <cellStyle name="Hyperlink" xfId="189" builtinId="8" hidden="true"/>
    <cellStyle name="Hyperlink" xfId="191" builtinId="8" hidden="true"/>
    <cellStyle name="Hyperlink" xfId="193" builtinId="8" hidden="true"/>
    <cellStyle name="Hyperlink" xfId="195" builtinId="8" hidden="true"/>
    <cellStyle name="Hyperlink" xfId="197" builtinId="8" hidden="true"/>
    <cellStyle name="Hyperlink" xfId="199" builtinId="8" hidden="true"/>
    <cellStyle name="Hyperlink" xfId="201" builtinId="8" hidden="true"/>
    <cellStyle name="Hyperlink" xfId="203" builtinId="8" hidden="true"/>
    <cellStyle name="Hyperlink" xfId="205" builtinId="8" hidden="true"/>
    <cellStyle name="Hyperlink" xfId="207" builtinId="8" hidden="true"/>
    <cellStyle name="Hyperlink" xfId="209" builtinId="8" hidden="true"/>
    <cellStyle name="Hyperlink" xfId="211" builtinId="8" hidden="true"/>
    <cellStyle name="Hyperlink" xfId="213" builtinId="8" hidden="true"/>
    <cellStyle name="Hyperlink" xfId="215" builtinId="8" hidden="true"/>
    <cellStyle name="Hyperlink" xfId="217" builtinId="8" hidden="true"/>
    <cellStyle name="Hyperlink" xfId="219" builtinId="8" hidden="true"/>
    <cellStyle name="Hyperlink" xfId="221" builtinId="8" hidden="true"/>
    <cellStyle name="Hyperlink" xfId="223" builtinId="8" hidden="true"/>
    <cellStyle name="Hyperlink" xfId="225" builtinId="8" hidden="true"/>
    <cellStyle name="Hyperlink" xfId="227" builtinId="8" hidden="true"/>
    <cellStyle name="Hyperlink" xfId="229" builtinId="8" hidden="true"/>
    <cellStyle name="Hyperlink" xfId="231" builtinId="8" hidden="true"/>
    <cellStyle name="Hyperlink" xfId="233" builtinId="8" hidden="true"/>
    <cellStyle name="Hyperlink" xfId="235" builtinId="8" hidden="true"/>
    <cellStyle name="Hyperlink" xfId="237" builtinId="8" hidden="true"/>
    <cellStyle name="Hyperlink" xfId="239" builtinId="8" hidden="true"/>
    <cellStyle name="Hyperlink" xfId="241" builtinId="8" hidden="true"/>
    <cellStyle name="Hyperlink" xfId="243" builtinId="8" hidden="true"/>
    <cellStyle name="Hyperlink" xfId="245" builtinId="8" hidden="true"/>
    <cellStyle name="Hyperlink" xfId="247" builtinId="8" hidden="true"/>
    <cellStyle name="Hyperlink" xfId="249" builtinId="8" hidden="true"/>
    <cellStyle name="Hyperlink" xfId="251" builtinId="8" hidden="true"/>
    <cellStyle name="Hyperlink" xfId="253" builtinId="8" hidden="true"/>
    <cellStyle name="Hyperlink" xfId="255" builtinId="8" hidden="true"/>
    <cellStyle name="Hyperlink" xfId="257" builtinId="8" hidden="true"/>
    <cellStyle name="Hyperlink" xfId="259" builtinId="8" hidden="true"/>
    <cellStyle name="Hyperlink" xfId="261" builtinId="8" hidden="true"/>
    <cellStyle name="Hyperlink" xfId="263" builtinId="8" hidden="true"/>
    <cellStyle name="Hyperlink" xfId="265" builtinId="8" hidden="true"/>
    <cellStyle name="Hyperlink" xfId="267" builtinId="8" hidden="true"/>
    <cellStyle name="Hyperlink" xfId="269" builtinId="8" hidden="true"/>
    <cellStyle name="Hyperlink" xfId="271" builtinId="8" hidden="true"/>
    <cellStyle name="Hyperlink" xfId="273" builtinId="8" hidden="true"/>
    <cellStyle name="Hyperlink" xfId="275" builtinId="8" hidden="true"/>
    <cellStyle name="Hyperlink" xfId="277" builtinId="8" hidden="true"/>
    <cellStyle name="Hyperlink" xfId="279" builtinId="8" hidden="true"/>
    <cellStyle name="Hyperlink" xfId="281" builtinId="8" hidden="true"/>
    <cellStyle name="Hyperlink" xfId="283" builtinId="8" hidden="true"/>
    <cellStyle name="Hyperlink" xfId="285" builtinId="8" hidden="true"/>
    <cellStyle name="Hyperlink" xfId="287" builtinId="8" hidden="true"/>
    <cellStyle name="Hyperlink" xfId="289" builtinId="8" hidden="true"/>
    <cellStyle name="Hyperlink" xfId="291" builtinId="8" hidden="true"/>
    <cellStyle name="Hyperlink" xfId="293" builtinId="8" hidden="true"/>
    <cellStyle name="Hyperlink" xfId="295" builtinId="8" hidden="true"/>
    <cellStyle name="Hyperlink" xfId="297" builtinId="8" hidden="true"/>
    <cellStyle name="Hyperlink" xfId="299" builtinId="8" hidden="true"/>
    <cellStyle name="Hyperlink" xfId="301" builtinId="8" hidden="true"/>
    <cellStyle name="Hyperlink" xfId="303" builtinId="8" hidden="true"/>
    <cellStyle name="Hyperlink" xfId="305" builtinId="8" hidden="true"/>
    <cellStyle name="Hyperlink" xfId="307" builtinId="8" hidden="true"/>
    <cellStyle name="Hyperlink" xfId="309" builtinId="8" hidden="true"/>
    <cellStyle name="Hyperlink" xfId="311" builtinId="8" hidden="true"/>
    <cellStyle name="Hyperlink" xfId="313" builtinId="8" hidden="true"/>
    <cellStyle name="Hyperlink" xfId="315" builtinId="8" hidden="true"/>
    <cellStyle name="Hyperlink" xfId="317" builtinId="8" hidden="true"/>
    <cellStyle name="Hyperlink" xfId="319" builtinId="8" hidden="true"/>
    <cellStyle name="Hyperlink" xfId="321" builtinId="8" hidden="true"/>
    <cellStyle name="Hyperlink" xfId="323" builtinId="8" hidden="true"/>
    <cellStyle name="Hyperlink" xfId="325" builtinId="8" hidden="true"/>
    <cellStyle name="Hyperlink" xfId="327" builtinId="8" hidden="true"/>
    <cellStyle name="Hyperlink" xfId="329" builtinId="8" hidden="true"/>
    <cellStyle name="Hyperlink" xfId="331" builtinId="8" hidden="true"/>
    <cellStyle name="Hyperlink" xfId="333" builtinId="8" hidden="true"/>
    <cellStyle name="Hyperlink" xfId="335" builtinId="8" hidden="true"/>
    <cellStyle name="Hyperlink" xfId="337" builtinId="8" hidden="true"/>
    <cellStyle name="Hyperlink" xfId="339" builtinId="8" hidden="true"/>
    <cellStyle name="Hyperlink" xfId="341" builtinId="8" hidden="true"/>
    <cellStyle name="Hyperlink" xfId="343" builtinId="8" hidden="true"/>
    <cellStyle name="Hyperlink" xfId="345" builtinId="8" hidden="true"/>
    <cellStyle name="Hyperlink" xfId="347" builtinId="8" hidden="true"/>
    <cellStyle name="Hyperlink" xfId="349" builtinId="8" hidden="true"/>
    <cellStyle name="Hyperlink" xfId="351" builtinId="8" hidden="true"/>
    <cellStyle name="Hyperlink" xfId="353" builtinId="8" hidden="true"/>
    <cellStyle name="Hyperlink" xfId="355" builtinId="8" hidden="true"/>
    <cellStyle name="Hyperlink" xfId="357" builtinId="8" hidden="true"/>
    <cellStyle name="Hyperlink" xfId="359" builtinId="8" hidden="true"/>
    <cellStyle name="Hyperlink" xfId="361" builtinId="8" hidden="true"/>
    <cellStyle name="Hyperlink" xfId="363" builtinId="8" hidden="true"/>
    <cellStyle name="Hyperlink" xfId="365" builtinId="8" hidden="true"/>
    <cellStyle name="Hyperlink" xfId="367" builtinId="8" hidden="true"/>
    <cellStyle name="Hyperlink" xfId="369" builtinId="8" hidden="true"/>
    <cellStyle name="Hyperlink" xfId="371" builtinId="8" hidden="true"/>
    <cellStyle name="Hyperlink" xfId="373" builtinId="8" hidden="true"/>
    <cellStyle name="Hyperlink" xfId="375" builtinId="8" hidden="true"/>
    <cellStyle name="Hyperlink" xfId="377" builtinId="8" hidden="true"/>
    <cellStyle name="Hyperlink" xfId="379" builtinId="8" hidden="true"/>
    <cellStyle name="Hyperlink" xfId="381" builtinId="8" hidden="true"/>
    <cellStyle name="Hyperlink" xfId="383" builtinId="8" hidden="true"/>
    <cellStyle name="Hyperlink" xfId="385" builtinId="8" hidden="true"/>
    <cellStyle name="Hyperlink" xfId="387" builtinId="8" hidden="true"/>
    <cellStyle name="Hyperlink" xfId="389" builtinId="8" hidden="true"/>
    <cellStyle name="Hyperlink" xfId="391" builtinId="8" hidden="true"/>
    <cellStyle name="Hyperlink" xfId="393" builtinId="8" hidden="true"/>
    <cellStyle name="Hyperlink" xfId="395" builtinId="8" hidden="true"/>
    <cellStyle name="Hyperlink" xfId="397" builtinId="8" hidden="true"/>
    <cellStyle name="Hyperlink" xfId="399" builtinId="8" hidden="true"/>
    <cellStyle name="Hyperlink" xfId="401" builtinId="8" hidden="true"/>
    <cellStyle name="Hyperlink" xfId="403" builtinId="8" hidden="true"/>
    <cellStyle name="Hyperlink" xfId="405" builtinId="8" hidden="true"/>
    <cellStyle name="Hyperlink" xfId="407" builtinId="8" hidden="true"/>
    <cellStyle name="Hyperlink" xfId="409" builtinId="8" hidden="true"/>
    <cellStyle name="Hyperlink" xfId="411" builtinId="8" hidden="true"/>
    <cellStyle name="Hyperlink" xfId="413" builtinId="8" hidden="true"/>
    <cellStyle name="Hyperlink" xfId="415" builtinId="8" hidden="true"/>
    <cellStyle name="Hyperlink" xfId="417" builtinId="8" hidden="true"/>
    <cellStyle name="Hyperlink" xfId="419" builtinId="8" hidden="true"/>
    <cellStyle name="Hyperlink" xfId="421" builtinId="8" hidden="true"/>
    <cellStyle name="Hyperlink" xfId="423" builtinId="8" hidden="true"/>
    <cellStyle name="Hyperlink" xfId="425" builtinId="8" hidden="true"/>
    <cellStyle name="Hyperlink" xfId="427" builtinId="8" hidden="true"/>
    <cellStyle name="Hyperlink" xfId="429" builtinId="8" hidden="true"/>
    <cellStyle name="Hyperlink" xfId="431" builtinId="8" hidden="true"/>
    <cellStyle name="Hyperlink" xfId="433" builtinId="8" hidden="true"/>
    <cellStyle name="Hyperlink" xfId="435" builtinId="8" hidden="true"/>
    <cellStyle name="Hyperlink" xfId="437" builtinId="8" hidden="true"/>
    <cellStyle name="Hyperlink" xfId="439" builtinId="8" hidden="true"/>
    <cellStyle name="Hyperlink" xfId="441" builtinId="8" hidden="true"/>
    <cellStyle name="Hyperlink" xfId="443" builtinId="8" hidden="true"/>
    <cellStyle name="Hyperlink" xfId="445" builtinId="8" hidden="true"/>
    <cellStyle name="Hyperlink" xfId="447" builtinId="8" hidden="true"/>
    <cellStyle name="Hyperlink" xfId="449" builtinId="8" hidden="true"/>
    <cellStyle name="Hyperlink" xfId="451" builtinId="8" hidden="true"/>
    <cellStyle name="Hyperlink" xfId="453" builtinId="8" hidden="true"/>
    <cellStyle name="Hyperlink" xfId="455" builtinId="8" hidden="true"/>
    <cellStyle name="Hyperlink" xfId="457" builtinId="8" hidden="true"/>
    <cellStyle name="Hyperlink" xfId="459" builtinId="8" hidden="true"/>
    <cellStyle name="Hyperlink" xfId="461" builtinId="8" hidden="true"/>
    <cellStyle name="Hyperlink" xfId="463" builtinId="8" hidden="true"/>
    <cellStyle name="Hyperlink" xfId="465" builtinId="8" hidden="true"/>
    <cellStyle name="Hyperlink" xfId="467" builtinId="8" hidden="true"/>
    <cellStyle name="Hyperlink" xfId="469" builtinId="8" hidden="true"/>
    <cellStyle name="Hyperlink" xfId="471" builtinId="8" hidden="true"/>
    <cellStyle name="Hyperlink" xfId="473" builtinId="8" hidden="true"/>
    <cellStyle name="Hyperlink" xfId="475" builtinId="8" hidden="true"/>
    <cellStyle name="Hyperlink" xfId="477" builtinId="8" hidden="true"/>
    <cellStyle name="Hyperlink" xfId="479" builtinId="8" hidden="true"/>
    <cellStyle name="Hyperlink" xfId="481" builtinId="8" hidden="true"/>
    <cellStyle name="Hyperlink" xfId="483" builtinId="8" hidden="true"/>
    <cellStyle name="Hyperlink" xfId="485" builtinId="8" hidden="true"/>
    <cellStyle name="Hyperlink" xfId="487" builtinId="8" hidden="true"/>
    <cellStyle name="Hyperlink" xfId="489" builtinId="8" hidden="true"/>
    <cellStyle name="Hyperlink" xfId="491" builtinId="8" hidden="true"/>
    <cellStyle name="Hyperlink" xfId="493" builtinId="8" hidden="true"/>
    <cellStyle name="Hyperlink" xfId="495" builtinId="8" hidden="true"/>
    <cellStyle name="Hyperlink" xfId="497" builtinId="8" hidden="true"/>
    <cellStyle name="Hyperlink" xfId="499" builtinId="8" hidden="true"/>
    <cellStyle name="Hyperlink" xfId="501" builtinId="8" hidden="true"/>
    <cellStyle name="Hyperlink" xfId="503" builtinId="8" hidden="true"/>
    <cellStyle name="Hyperlink" xfId="505" builtinId="8" hidden="true"/>
    <cellStyle name="Hyperlink" xfId="507" builtinId="8" hidden="true"/>
    <cellStyle name="Hyperlink" xfId="509" builtinId="8" hidden="true"/>
    <cellStyle name="Hyperlink" xfId="511" builtinId="8" hidden="true"/>
    <cellStyle name="Hyperlink" xfId="513" builtinId="8" hidden="true"/>
    <cellStyle name="Hyperlink" xfId="515" builtinId="8" hidden="true"/>
    <cellStyle name="Hyperlink" xfId="517" builtinId="8" hidden="true"/>
    <cellStyle name="Hyperlink" xfId="519" builtinId="8" hidden="true"/>
    <cellStyle name="Hyperlink" xfId="521" builtinId="8" hidden="true"/>
    <cellStyle name="Hyperlink" xfId="523" builtinId="8" hidden="true"/>
    <cellStyle name="Hyperlink" xfId="525" builtinId="8" hidden="true"/>
    <cellStyle name="Hyperlink" xfId="527" builtinId="8" hidden="true"/>
    <cellStyle name="Hyperlink" xfId="529" builtinId="8" hidden="true"/>
    <cellStyle name="Hyperlink" xfId="531" builtinId="8" hidden="true"/>
    <cellStyle name="Hyperlink" xfId="533" builtinId="8" hidden="true"/>
    <cellStyle name="Hyperlink" xfId="535" builtinId="8" hidden="true"/>
    <cellStyle name="Hyperlink" xfId="537" builtinId="8" hidden="true"/>
    <cellStyle name="Hyperlink" xfId="539" builtinId="8" hidden="true"/>
    <cellStyle name="Hyperlink" xfId="541" builtinId="8" hidden="true"/>
    <cellStyle name="Hyperlink" xfId="543" builtinId="8" hidden="true"/>
    <cellStyle name="Hyperlink" xfId="545" builtinId="8" hidden="true"/>
    <cellStyle name="Hyperlink" xfId="547" builtinId="8" hidden="true"/>
    <cellStyle name="Hyperlink" xfId="549" builtinId="8" hidden="true"/>
    <cellStyle name="Hyperlink" xfId="551" builtinId="8" hidden="true"/>
    <cellStyle name="Hyperlink" xfId="553" builtinId="8" hidden="true"/>
    <cellStyle name="Hyperlink" xfId="555" builtinId="8" hidden="true"/>
    <cellStyle name="Hyperlink" xfId="557" builtinId="8" hidden="true"/>
    <cellStyle name="Hyperlink" xfId="559" builtinId="8" hidden="true"/>
    <cellStyle name="Hyperlink" xfId="561" builtinId="8" hidden="true"/>
    <cellStyle name="Hyperlink" xfId="563" builtinId="8" hidden="true"/>
    <cellStyle name="Hyperlink" xfId="565" builtinId="8" hidden="true"/>
    <cellStyle name="Hyperlink" xfId="567" builtinId="8" hidden="true"/>
    <cellStyle name="Hyperlink" xfId="569" builtinId="8" hidden="true"/>
    <cellStyle name="Hyperlink" xfId="571" builtinId="8" hidden="true"/>
    <cellStyle name="Hyperlink" xfId="573" builtinId="8" hidden="true"/>
    <cellStyle name="Hyperlink" xfId="575" builtinId="8" hidden="true"/>
    <cellStyle name="Hyperlink" xfId="577" builtinId="8" hidden="true"/>
    <cellStyle name="Hyperlink" xfId="579" builtinId="8" hidden="true"/>
    <cellStyle name="Hyperlink" xfId="581" builtinId="8" hidden="true"/>
    <cellStyle name="Hyperlink" xfId="583" builtinId="8" hidden="true"/>
    <cellStyle name="Hyperlink" xfId="585" builtinId="8" hidden="true"/>
    <cellStyle name="Hyperlink" xfId="587" builtinId="8" hidden="true"/>
    <cellStyle name="Hyperlink" xfId="589" builtinId="8" hidden="true"/>
    <cellStyle name="Hyperlink" xfId="591" builtinId="8" hidden="true"/>
    <cellStyle name="Hyperlink" xfId="593" builtinId="8" hidden="true"/>
    <cellStyle name="Hyperlink" xfId="595" builtinId="8" hidden="true"/>
    <cellStyle name="Hyperlink" xfId="597" builtinId="8" hidden="true"/>
    <cellStyle name="Hyperlink" xfId="599" builtinId="8" hidden="true"/>
    <cellStyle name="Hyperlink" xfId="601" builtinId="8" hidden="true"/>
    <cellStyle name="Hyperlink" xfId="603" builtinId="8" hidden="true"/>
    <cellStyle name="Hyperlink" xfId="605" builtinId="8" hidden="true"/>
    <cellStyle name="Hyperlink" xfId="607" builtinId="8" hidden="true"/>
    <cellStyle name="Hyperlink" xfId="609" builtinId="8" hidden="true"/>
    <cellStyle name="Hyperlink" xfId="611" builtinId="8" hidden="true"/>
    <cellStyle name="Hyperlink" xfId="613" builtinId="8" hidden="true"/>
    <cellStyle name="Hyperlink" xfId="615" builtinId="8" hidden="true"/>
    <cellStyle name="Hyperlink" xfId="617" builtinId="8" hidden="true"/>
    <cellStyle name="Hyperlink" xfId="619" builtinId="8" hidden="true"/>
    <cellStyle name="Hyperlink" xfId="621" builtinId="8" hidden="true"/>
    <cellStyle name="Hyperlink" xfId="623" builtinId="8" hidden="true"/>
    <cellStyle name="Hyperlink" xfId="625" builtinId="8" hidden="true"/>
    <cellStyle name="Hyperlink" xfId="627" builtinId="8" hidden="true"/>
    <cellStyle name="Hyperlink" xfId="629" builtinId="8" hidden="true"/>
    <cellStyle name="Hyperlink" xfId="631" builtinId="8" hidden="true"/>
    <cellStyle name="Hyperlink" xfId="633" builtinId="8" hidden="true"/>
    <cellStyle name="Hyperlink" xfId="635" builtinId="8" hidden="true"/>
    <cellStyle name="Hyperlink" xfId="637" builtinId="8" hidden="true"/>
    <cellStyle name="Hyperlink" xfId="639" builtinId="8" hidden="true"/>
    <cellStyle name="Hyperlink" xfId="641" builtinId="8" hidden="true"/>
    <cellStyle name="Hyperlink" xfId="643" builtinId="8" hidden="true"/>
    <cellStyle name="Hyperlink" xfId="645" builtinId="8" hidden="true"/>
    <cellStyle name="Hyperlink" xfId="647" builtinId="8" hidden="true"/>
    <cellStyle name="Hyperlink" xfId="649" builtinId="8" hidden="true"/>
    <cellStyle name="Hyperlink" xfId="651" builtinId="8" hidden="true"/>
    <cellStyle name="Hyperlink" xfId="653" builtinId="8" hidden="true"/>
    <cellStyle name="Hyperlink" xfId="655" builtinId="8" hidden="true"/>
    <cellStyle name="Hyperlink" xfId="657" builtinId="8" hidden="true"/>
    <cellStyle name="Hyperlink" xfId="659" builtinId="8" hidden="true"/>
    <cellStyle name="Hyperlink" xfId="661" builtinId="8" hidden="true"/>
    <cellStyle name="Hyperlink" xfId="663" builtinId="8" hidden="true"/>
    <cellStyle name="Hyperlink" xfId="665" builtinId="8" hidden="true"/>
    <cellStyle name="Hyperlink" xfId="667" builtinId="8" hidden="true"/>
    <cellStyle name="Hyperlink" xfId="669" builtinId="8" hidden="true"/>
    <cellStyle name="Hyperlink" xfId="671" builtinId="8" hidden="true"/>
    <cellStyle name="Hyperlink" xfId="673" builtinId="8" hidden="true"/>
    <cellStyle name="Hyperlink" xfId="675" builtinId="8" hidden="true"/>
    <cellStyle name="Hyperlink" xfId="677" builtinId="8" hidden="true"/>
    <cellStyle name="Hyperlink" xfId="679" builtinId="8" hidden="true"/>
    <cellStyle name="Hyperlink" xfId="681" builtinId="8" hidden="true"/>
    <cellStyle name="Hyperlink" xfId="683" builtinId="8" hidden="true"/>
    <cellStyle name="Hyperlink" xfId="685" builtinId="8" hidden="true"/>
    <cellStyle name="Hyperlink" xfId="687" builtinId="8" hidden="true"/>
    <cellStyle name="Hyperlink" xfId="689" builtinId="8" hidden="true"/>
    <cellStyle name="Hyperlink" xfId="691" builtinId="8" hidden="true"/>
    <cellStyle name="Hyperlink" xfId="693" builtinId="8" hidden="true"/>
    <cellStyle name="Hyperlink" xfId="695" builtinId="8" hidden="true"/>
    <cellStyle name="Hyperlink" xfId="697" builtinId="8" hidden="true"/>
    <cellStyle name="Hyperlink" xfId="699" builtinId="8" hidden="true"/>
    <cellStyle name="Hyperlink" xfId="701" builtinId="8" hidden="true"/>
    <cellStyle name="Hyperlink" xfId="703" builtinId="8" hidden="true"/>
    <cellStyle name="Hyperlink" xfId="705" builtinId="8" hidden="true"/>
    <cellStyle name="Hyperlink" xfId="707" builtinId="8" hidden="true"/>
    <cellStyle name="Hyperlink" xfId="709" builtinId="8" hidden="true"/>
    <cellStyle name="Hyperlink" xfId="711" builtinId="8" hidden="true"/>
    <cellStyle name="Hyperlink" xfId="713" builtinId="8" hidden="true"/>
    <cellStyle name="Hyperlink" xfId="715" builtinId="8" hidden="true"/>
    <cellStyle name="Hyperlink" xfId="717" builtinId="8" hidden="true"/>
    <cellStyle name="Hyperlink" xfId="719" builtinId="8" hidden="true"/>
    <cellStyle name="Hyperlink" xfId="721" builtinId="8" hidden="true"/>
    <cellStyle name="Hyperlink" xfId="723" builtinId="8" hidden="true"/>
    <cellStyle name="Hyperlink" xfId="725" builtinId="8" hidden="true"/>
    <cellStyle name="Hyperlink" xfId="727" builtinId="8" hidden="true"/>
    <cellStyle name="Hyperlink" xfId="729" builtinId="8" hidden="true"/>
    <cellStyle name="Hyperlink" xfId="731" builtinId="8" hidden="true"/>
    <cellStyle name="Hyperlink" xfId="733" builtinId="8" hidden="true"/>
    <cellStyle name="Hyperlink" xfId="735" builtinId="8" hidden="true"/>
    <cellStyle name="Hyperlink" xfId="737" builtinId="8" hidden="true"/>
    <cellStyle name="Hyperlink" xfId="739" builtinId="8" hidden="true"/>
    <cellStyle name="Hyperlink" xfId="741" builtinId="8" hidden="true"/>
    <cellStyle name="Hyperlink" xfId="743" builtinId="8" hidden="true"/>
    <cellStyle name="Hyperlink" xfId="745" builtinId="8" hidden="true"/>
    <cellStyle name="Hyperlink" xfId="747" builtinId="8" hidden="true"/>
    <cellStyle name="Hyperlink" xfId="749" builtinId="8" hidden="true"/>
    <cellStyle name="Hyperlink" xfId="751" builtinId="8" hidden="true"/>
    <cellStyle name="Hyperlink" xfId="753" builtinId="8" hidden="true"/>
    <cellStyle name="Hyperlink" xfId="755" builtinId="8" hidden="true"/>
    <cellStyle name="Hyperlink" xfId="757" builtinId="8" hidden="true"/>
    <cellStyle name="Hyperlink" xfId="759" builtinId="8" hidden="true"/>
    <cellStyle name="Hyperlink" xfId="761" builtinId="8" hidden="true"/>
    <cellStyle name="Hyperlink" xfId="763" builtinId="8" hidden="true"/>
    <cellStyle name="Hyperlink" xfId="765" builtinId="8" hidden="true"/>
    <cellStyle name="Hyperlink" xfId="767" builtinId="8" hidden="true"/>
    <cellStyle name="Hyperlink" xfId="769" builtinId="8" hidden="true"/>
    <cellStyle name="Hyperlink" xfId="771" builtinId="8" hidden="true"/>
    <cellStyle name="Hyperlink" xfId="773" builtinId="8" hidden="true"/>
    <cellStyle name="Hyperlink" xfId="775" builtinId="8" hidden="true"/>
    <cellStyle name="Hyperlink" xfId="777" builtinId="8" hidden="true"/>
    <cellStyle name="Hyperlink" xfId="779" builtinId="8" hidden="true"/>
    <cellStyle name="Hyperlink" xfId="781" builtinId="8" hidden="true"/>
    <cellStyle name="Hyperlink" xfId="783" builtinId="8" hidden="true"/>
    <cellStyle name="Hyperlink" xfId="785" builtinId="8" hidden="true"/>
    <cellStyle name="Hyperlink" xfId="787" builtinId="8" hidden="true"/>
    <cellStyle name="Hyperlink" xfId="789" builtinId="8" hidden="true"/>
    <cellStyle name="Hyperlink" xfId="791" builtinId="8" hidden="true"/>
    <cellStyle name="Hyperlink" xfId="793" builtinId="8" hidden="true"/>
    <cellStyle name="Hyperlink" xfId="795" builtinId="8" hidden="true"/>
    <cellStyle name="Hyperlink" xfId="797" builtinId="8" hidden="true"/>
    <cellStyle name="Hyperlink" xfId="799" builtinId="8" hidden="true"/>
    <cellStyle name="Hyperlink" xfId="801" builtinId="8" hidden="true"/>
    <cellStyle name="Hyperlink" xfId="803" builtinId="8" hidden="true"/>
    <cellStyle name="Hyperlink" xfId="805" builtinId="8" hidden="true"/>
    <cellStyle name="Hyperlink" xfId="807" builtinId="8" hidden="true"/>
    <cellStyle name="Hyperlink" xfId="809" builtinId="8" hidden="true"/>
    <cellStyle name="Hyperlink" xfId="811" builtinId="8" hidden="true"/>
    <cellStyle name="Hyperlink" xfId="813" builtinId="8" hidden="true"/>
    <cellStyle name="Hyperlink" xfId="815" builtinId="8" hidden="true"/>
    <cellStyle name="Hyperlink" xfId="817" builtinId="8" hidden="true"/>
    <cellStyle name="Hyperlink" xfId="819" builtinId="8" hidden="true"/>
    <cellStyle name="Hyperlink" xfId="821" builtinId="8" hidden="true"/>
    <cellStyle name="Hyperlink" xfId="823" builtinId="8" hidden="true"/>
    <cellStyle name="Hyperlink" xfId="825" builtinId="8" hidden="true"/>
    <cellStyle name="Hyperlink" xfId="827" builtinId="8" hidden="true"/>
    <cellStyle name="Hyperlink" xfId="829" builtinId="8" hidden="true"/>
    <cellStyle name="Hyperlink" xfId="831" builtinId="8" hidden="true"/>
    <cellStyle name="Hyperlink" xfId="833" builtinId="8" hidden="true"/>
    <cellStyle name="Hyperlink" xfId="835" builtinId="8" hidden="true"/>
    <cellStyle name="Hyperlink" xfId="837" builtinId="8" hidden="true"/>
    <cellStyle name="Hyperlink" xfId="839" builtinId="8" hidden="true"/>
    <cellStyle name="Hyperlink" xfId="841" builtinId="8" hidden="true"/>
    <cellStyle name="Hyperlink" xfId="843" builtinId="8" hidden="true"/>
    <cellStyle name="Hyperlink" xfId="845" builtinId="8" hidden="true"/>
    <cellStyle name="Hyperlink" xfId="847" builtinId="8" hidden="true"/>
    <cellStyle name="Hyperlink" xfId="849" builtinId="8" hidden="true"/>
    <cellStyle name="Hyperlink" xfId="851" builtinId="8" hidden="true"/>
    <cellStyle name="Hyperlink" xfId="853" builtinId="8" hidden="true"/>
    <cellStyle name="Hyperlink" xfId="855" builtinId="8" hidden="true"/>
    <cellStyle name="Hyperlink" xfId="857" builtinId="8" hidden="true"/>
    <cellStyle name="Hyperlink" xfId="859" builtinId="8" hidden="true"/>
    <cellStyle name="Hyperlink" xfId="861" builtinId="8" hidden="true"/>
    <cellStyle name="Hyperlink" xfId="863" builtinId="8" hidden="true"/>
    <cellStyle name="Hyperlink" xfId="865" builtinId="8" hidden="true"/>
    <cellStyle name="Hyperlink" xfId="867" builtinId="8" hidden="true"/>
    <cellStyle name="Hyperlink" xfId="869" builtinId="8" hidden="true"/>
    <cellStyle name="Hyperlink" xfId="871" builtinId="8" hidden="true"/>
    <cellStyle name="Hyperlink" xfId="873" builtinId="8" hidden="true"/>
    <cellStyle name="Hyperlink" xfId="875" builtinId="8" hidden="true"/>
    <cellStyle name="Hyperlink" xfId="877" builtinId="8" hidden="true"/>
    <cellStyle name="Hyperlink" xfId="879" builtinId="8" hidden="true"/>
    <cellStyle name="Hyperlink" xfId="881" builtinId="8" hidden="true"/>
    <cellStyle name="Hyperlink" xfId="883" builtinId="8" hidden="true"/>
    <cellStyle name="Hyperlink" xfId="885" builtinId="8" hidden="true"/>
    <cellStyle name="Hyperlink" xfId="887" builtinId="8" hidden="true"/>
    <cellStyle name="Hyperlink" xfId="889" builtinId="8" hidden="true"/>
    <cellStyle name="Hyperlink" xfId="891" builtinId="8" hidden="true"/>
    <cellStyle name="Hyperlink" xfId="893" builtinId="8" hidden="true"/>
    <cellStyle name="Hyperlink" xfId="895" builtinId="8" hidden="true"/>
    <cellStyle name="Hyperlink" xfId="897" builtinId="8" hidden="true"/>
    <cellStyle name="Hyperlink" xfId="899" builtinId="8" hidden="true"/>
    <cellStyle name="Hyperlink" xfId="901" builtinId="8" hidden="true"/>
    <cellStyle name="Hyperlink" xfId="903" builtinId="8" hidden="true"/>
    <cellStyle name="Hyperlink" xfId="905" builtinId="8" hidden="true"/>
    <cellStyle name="Hyperlink" xfId="907" builtinId="8" hidden="true"/>
    <cellStyle name="Hyperlink" xfId="909" builtinId="8" hidden="true"/>
    <cellStyle name="Hyperlink" xfId="911" builtinId="8" hidden="true"/>
    <cellStyle name="Hyperlink" xfId="913" builtinId="8" hidden="true"/>
    <cellStyle name="Hyperlink" xfId="915" builtinId="8" hidden="true"/>
    <cellStyle name="Hyperlink" xfId="917" builtinId="8" hidden="true"/>
    <cellStyle name="Hyperlink" xfId="919" builtinId="8" hidden="true"/>
    <cellStyle name="Hyperlink" xfId="921" builtinId="8" hidden="true"/>
    <cellStyle name="Hyperlink" xfId="923" builtinId="8" hidden="true"/>
    <cellStyle name="Hyperlink" xfId="925" builtinId="8" hidden="true"/>
    <cellStyle name="Hyperlink" xfId="927" builtinId="8" hidden="true"/>
    <cellStyle name="Hyperlink" xfId="929" builtinId="8" hidden="true"/>
    <cellStyle name="Hyperlink" xfId="931" builtinId="8" hidden="true"/>
    <cellStyle name="Hyperlink" xfId="933" builtinId="8" hidden="true"/>
    <cellStyle name="Hyperlink" xfId="935" builtinId="8" hidden="true"/>
    <cellStyle name="Hyperlink" xfId="937" builtinId="8" hidden="true"/>
    <cellStyle name="Hyperlink" xfId="939" builtinId="8" hidden="true"/>
    <cellStyle name="Hyperlink" xfId="941" builtinId="8" hidden="true"/>
    <cellStyle name="Hyperlink" xfId="943" builtinId="8" hidden="true"/>
    <cellStyle name="Hyperlink" xfId="945" builtinId="8" hidden="true"/>
    <cellStyle name="Hyperlink" xfId="947" builtinId="8" hidden="true"/>
    <cellStyle name="Hyperlink" xfId="949" builtinId="8" hidden="true"/>
    <cellStyle name="Hyperlink" xfId="951" builtinId="8" hidden="true"/>
    <cellStyle name="Hyperlink" xfId="953" builtinId="8" hidden="true"/>
    <cellStyle name="Hyperlink" xfId="955" builtinId="8" hidden="true"/>
    <cellStyle name="Hyperlink" xfId="957" builtinId="8" hidden="true"/>
    <cellStyle name="Hyperlink" xfId="959" builtinId="8" hidden="true"/>
    <cellStyle name="Hyperlink" xfId="961" builtinId="8" hidden="true"/>
    <cellStyle name="Hyperlink" xfId="963" builtinId="8" hidden="true"/>
    <cellStyle name="Hyperlink" xfId="965" builtinId="8" hidden="true"/>
    <cellStyle name="Hyperlink" xfId="967" builtinId="8" hidden="true"/>
    <cellStyle name="Hyperlink" xfId="969" builtinId="8" hidden="true"/>
    <cellStyle name="Hyperlink" xfId="972" builtinId="8" hidden="true"/>
    <cellStyle name="Hyperlink" xfId="974" builtinId="8" hidden="true"/>
    <cellStyle name="Hyperlink" xfId="976" builtinId="8" hidden="true"/>
    <cellStyle name="Hyperlink" xfId="978" builtinId="8" hidden="true"/>
    <cellStyle name="Hyperlink" xfId="980" builtinId="8" hidden="true"/>
    <cellStyle name="Hyperlink" xfId="982" builtinId="8" hidden="true"/>
    <cellStyle name="Hyperlink" xfId="984" builtinId="8" hidden="true"/>
    <cellStyle name="Hyperlink" xfId="986" builtinId="8" hidden="true"/>
    <cellStyle name="Hyperlink" xfId="988" builtinId="8" hidden="true"/>
    <cellStyle name="Hyperlink" xfId="990" builtinId="8" hidden="true"/>
    <cellStyle name="Hyperlink" xfId="992" builtinId="8" hidden="true"/>
    <cellStyle name="Hyperlink" xfId="994" builtinId="8" hidden="true"/>
    <cellStyle name="Hyperlink" xfId="996" builtinId="8" hidden="true"/>
    <cellStyle name="Hyperlink" xfId="998" builtinId="8" hidden="true"/>
    <cellStyle name="Hyperlink" xfId="1000" builtinId="8" hidden="true"/>
    <cellStyle name="Hyperlink" xfId="1002" builtinId="8" hidden="true"/>
    <cellStyle name="Hyperlink" xfId="1004" builtinId="8" hidden="true"/>
    <cellStyle name="Hyperlink" xfId="1006" builtinId="8" hidden="true"/>
    <cellStyle name="Hyperlink" xfId="1008" builtinId="8" hidden="true"/>
    <cellStyle name="Hyperlink" xfId="1010" builtinId="8" hidden="true"/>
    <cellStyle name="Hyperlink" xfId="1012" builtinId="8" hidden="true"/>
    <cellStyle name="Hyperlink" xfId="1014" builtinId="8" hidden="true"/>
    <cellStyle name="Hyperlink" xfId="1016" builtinId="8" hidden="true"/>
    <cellStyle name="Hyperlink" xfId="1018" builtinId="8" hidden="true"/>
    <cellStyle name="Hyperlink" xfId="1020" builtinId="8" hidden="true"/>
    <cellStyle name="Hyperlink" xfId="1022" builtinId="8" hidden="true"/>
    <cellStyle name="Hyperlink" xfId="1024" builtinId="8" hidden="true"/>
    <cellStyle name="Hyperlink" xfId="1026" builtinId="8" hidden="true"/>
    <cellStyle name="Hyperlink" xfId="1028" builtinId="8" hidden="true"/>
    <cellStyle name="Hyperlink" xfId="1030" builtinId="8" hidden="true"/>
    <cellStyle name="Hyperlink" xfId="1032" builtinId="8" hidden="true"/>
    <cellStyle name="Hyperlink" xfId="1034" builtinId="8" hidden="true"/>
    <cellStyle name="Hyperlink" xfId="1036" builtinId="8" hidden="true"/>
    <cellStyle name="Hyperlink" xfId="1038" builtinId="8" hidden="true"/>
    <cellStyle name="Hyperlink" xfId="1040" builtinId="8" hidden="true"/>
    <cellStyle name="Hyperlink" xfId="1042" builtinId="8" hidden="true"/>
    <cellStyle name="Hyperlink" xfId="1044" builtinId="8" hidden="true"/>
    <cellStyle name="Hyperlink" xfId="1046" builtinId="8" hidden="true"/>
    <cellStyle name="Hyperlink" xfId="1048" builtinId="8" hidden="true"/>
    <cellStyle name="Hyperlink" xfId="1050" builtinId="8" hidden="true"/>
    <cellStyle name="Hyperlink" xfId="1052" builtinId="8" hidden="true"/>
    <cellStyle name="Hyperlink" xfId="1054" builtinId="8" hidden="true"/>
    <cellStyle name="Hyperlink" xfId="1056" builtinId="8" hidden="true"/>
    <cellStyle name="Hyperlink" xfId="1058" builtinId="8" hidden="true"/>
    <cellStyle name="Hyperlink" xfId="1060" builtinId="8" hidden="true"/>
    <cellStyle name="Hyperlink" xfId="1062" builtinId="8" hidden="true"/>
    <cellStyle name="Hyperlink" xfId="1064" builtinId="8" hidden="true"/>
    <cellStyle name="Hyperlink" xfId="1066" builtinId="8" hidden="true"/>
    <cellStyle name="Hyperlink" xfId="1068" builtinId="8" hidden="true"/>
    <cellStyle name="Hyperlink" xfId="1070" builtinId="8" hidden="true"/>
    <cellStyle name="Hyperlink" xfId="1072" builtinId="8" hidden="true"/>
    <cellStyle name="Hyperlink" xfId="1074" builtinId="8" hidden="true"/>
    <cellStyle name="Hyperlink" xfId="1076" builtinId="8" hidden="true"/>
    <cellStyle name="Hyperlink" xfId="1078" builtinId="8" hidden="true"/>
    <cellStyle name="Hyperlink" xfId="1080" builtinId="8" hidden="true"/>
    <cellStyle name="Hyperlink" xfId="1082" builtinId="8" hidden="true"/>
    <cellStyle name="Hyperlink" xfId="1084" builtinId="8" hidden="true"/>
    <cellStyle name="Hyperlink" xfId="1086" builtinId="8" hidden="true"/>
    <cellStyle name="Hyperlink" xfId="1088" builtinId="8" hidden="true"/>
    <cellStyle name="Hyperlink" xfId="1090" builtinId="8" hidden="true"/>
    <cellStyle name="Hyperlink" xfId="1092" builtinId="8" hidden="true"/>
    <cellStyle name="Hyperlink" xfId="1094" builtinId="8" hidden="true"/>
    <cellStyle name="Hyperlink" xfId="1096" builtinId="8" hidden="true"/>
    <cellStyle name="Hyperlink" xfId="1098" builtinId="8" hidden="true"/>
    <cellStyle name="Hyperlink" xfId="1100" builtinId="8" hidden="true"/>
    <cellStyle name="Hyperlink" xfId="1102" builtinId="8" hidden="true"/>
    <cellStyle name="Hyperlink" xfId="1104" builtinId="8" hidden="true"/>
    <cellStyle name="Hyperlink" xfId="1106" builtinId="8" hidden="true"/>
    <cellStyle name="Hyperlink" xfId="1108" builtinId="8" hidden="true"/>
    <cellStyle name="Hyperlink" xfId="1110" builtinId="8" hidden="true"/>
    <cellStyle name="Hyperlink" xfId="1112" builtinId="8" hidden="true"/>
    <cellStyle name="Hyperlink" xfId="1114" builtinId="8" hidden="true"/>
    <cellStyle name="Hyperlink" xfId="1116" builtinId="8" hidden="true"/>
    <cellStyle name="Hyperlink" xfId="1118" builtinId="8" hidden="true"/>
    <cellStyle name="Hyperlink" xfId="1120" builtinId="8" hidden="true"/>
    <cellStyle name="Hyperlink" xfId="1122" builtinId="8" hidden="true"/>
    <cellStyle name="Hyperlink" xfId="1124" builtinId="8" hidden="true"/>
    <cellStyle name="Hyperlink" xfId="1126" builtinId="8" hidden="true"/>
    <cellStyle name="Hyperlink" xfId="1128" builtinId="8" hidden="true"/>
    <cellStyle name="Hyperlink" xfId="1130" builtinId="8" hidden="true"/>
    <cellStyle name="Hyperlink" xfId="1132" builtinId="8" hidden="true"/>
    <cellStyle name="Hyperlink" xfId="1134" builtinId="8" hidden="true"/>
    <cellStyle name="Hyperlink" xfId="1136" builtinId="8" hidden="true"/>
    <cellStyle name="Hyperlink" xfId="1138" builtinId="8" hidden="true"/>
    <cellStyle name="Hyperlink" xfId="1140" builtinId="8" hidden="true"/>
    <cellStyle name="Hyperlink" xfId="1142" builtinId="8" hidden="true"/>
    <cellStyle name="Hyperlink" xfId="1144" builtinId="8" hidden="true"/>
    <cellStyle name="Hyperlink" xfId="1146" builtinId="8" hidden="true"/>
    <cellStyle name="Hyperlink" xfId="1148" builtinId="8" hidden="true"/>
    <cellStyle name="Hyperlink" xfId="1150" builtinId="8" hidden="true"/>
    <cellStyle name="Hyperlink" xfId="1152" builtinId="8" hidden="true"/>
    <cellStyle name="Hyperlink" xfId="1154" builtinId="8" hidden="true"/>
    <cellStyle name="Hyperlink" xfId="1156" builtinId="8" hidden="true"/>
    <cellStyle name="Hyperlink" xfId="1158" builtinId="8" hidden="true"/>
    <cellStyle name="Hyperlink" xfId="1160" builtinId="8" hidden="true"/>
    <cellStyle name="Hyperlink" xfId="1162" builtinId="8" hidden="true"/>
    <cellStyle name="Hyperlink" xfId="1164" builtinId="8" hidden="true"/>
    <cellStyle name="Hyperlink" xfId="1166" builtinId="8" hidden="true"/>
    <cellStyle name="Hyperlink" xfId="1168" builtinId="8" hidden="true"/>
    <cellStyle name="Hyperlink" xfId="1170" builtinId="8" hidden="true"/>
    <cellStyle name="Hyperlink" xfId="1172" builtinId="8" hidden="true"/>
    <cellStyle name="Hyperlink" xfId="1174" builtinId="8" hidden="true"/>
    <cellStyle name="Hyperlink" xfId="1176" builtinId="8" hidden="true"/>
    <cellStyle name="Hyperlink" xfId="1178" builtinId="8" hidden="true"/>
    <cellStyle name="Hyperlink" xfId="1180" builtinId="8" hidden="true"/>
    <cellStyle name="Hyperlink" xfId="1182" builtinId="8" hidden="true"/>
    <cellStyle name="Hyperlink" xfId="1184" builtinId="8" hidden="true"/>
    <cellStyle name="Hyperlink" xfId="1186" builtinId="8" hidden="true"/>
    <cellStyle name="Hyperlink" xfId="1188" builtinId="8" hidden="true"/>
    <cellStyle name="Hyperlink" xfId="1190" builtinId="8" hidden="true"/>
    <cellStyle name="Hyperlink" xfId="1192" builtinId="8" hidden="true"/>
    <cellStyle name="Hyperlink" xfId="1194" builtinId="8" hidden="true"/>
    <cellStyle name="Hyperlink" xfId="1196" builtinId="8" hidden="true"/>
    <cellStyle name="Hyperlink" xfId="1198" builtinId="8" hidden="true"/>
    <cellStyle name="Hyperlink" xfId="1200" builtinId="8" hidden="true"/>
    <cellStyle name="Hyperlink" xfId="1202" builtinId="8" hidden="true"/>
    <cellStyle name="Hyperlink" xfId="1204" builtinId="8" hidden="true"/>
    <cellStyle name="Hyperlink" xfId="1206" builtinId="8" hidden="true"/>
    <cellStyle name="Hyperlink" xfId="1208" builtinId="8" hidden="true"/>
    <cellStyle name="Hyperlink" xfId="1210" builtinId="8" hidden="true"/>
    <cellStyle name="Hyperlink" xfId="1212" builtinId="8" hidden="true"/>
    <cellStyle name="Hyperlink" xfId="1214" builtinId="8" hidden="true"/>
    <cellStyle name="Hyperlink" xfId="1216" builtinId="8" hidden="true"/>
    <cellStyle name="Hyperlink" xfId="1218" builtinId="8" hidden="true"/>
    <cellStyle name="Hyperlink" xfId="1220" builtinId="8" hidden="true"/>
    <cellStyle name="Hyperlink" xfId="1222" builtinId="8" hidden="true"/>
    <cellStyle name="Hyperlink" xfId="1224" builtinId="8" hidden="true"/>
    <cellStyle name="Hyperlink" xfId="1226" builtinId="8" hidden="true"/>
    <cellStyle name="Hyperlink" xfId="1228" builtinId="8" hidden="true"/>
    <cellStyle name="Hyperlink" xfId="1230" builtinId="8" hidden="true"/>
    <cellStyle name="Hyperlink" xfId="1232" builtinId="8" hidden="true"/>
    <cellStyle name="Hyperlink" xfId="1234" builtinId="8" hidden="true"/>
    <cellStyle name="Hyperlink" xfId="1236" builtinId="8" hidden="true"/>
    <cellStyle name="Hyperlink" xfId="1238" builtinId="8" hidden="true"/>
    <cellStyle name="Hyperlink" xfId="1240" builtinId="8" hidden="true"/>
    <cellStyle name="Hyperlink" xfId="1242" builtinId="8" hidden="true"/>
    <cellStyle name="Hyperlink" xfId="1244" builtinId="8" hidden="true"/>
    <cellStyle name="Hyperlink" xfId="1246" builtinId="8" hidden="true"/>
    <cellStyle name="Hyperlink" xfId="1248" builtinId="8" hidden="true"/>
    <cellStyle name="Hyperlink" xfId="1250" builtinId="8" hidden="true"/>
    <cellStyle name="Hyperlink" xfId="1252" builtinId="8" hidden="true"/>
    <cellStyle name="Hyperlink" xfId="1254" builtinId="8" hidden="true"/>
    <cellStyle name="Hyperlink" xfId="1256" builtinId="8" hidden="true"/>
    <cellStyle name="Hyperlink" xfId="1258" builtinId="8" hidden="true"/>
    <cellStyle name="Hyperlink" xfId="1260" builtinId="8" hidden="true"/>
    <cellStyle name="Hyperlink" xfId="1262" builtinId="8" hidden="true"/>
    <cellStyle name="Hyperlink" xfId="1264" builtinId="8" hidden="true"/>
    <cellStyle name="Hyperlink" xfId="1266" builtinId="8" hidden="true"/>
    <cellStyle name="Hyperlink" xfId="1268" builtinId="8" hidden="true"/>
    <cellStyle name="Hyperlink" xfId="1270" builtinId="8" hidden="true"/>
    <cellStyle name="Hyperlink" xfId="1272" builtinId="8" hidden="true"/>
    <cellStyle name="Hyperlink" xfId="1274" builtinId="8" hidden="true"/>
    <cellStyle name="Hyperlink" xfId="1276" builtinId="8" hidden="true"/>
    <cellStyle name="Hyperlink" xfId="1278" builtinId="8" hidden="true"/>
    <cellStyle name="Hyperlink" xfId="1280" builtinId="8" hidden="true"/>
    <cellStyle name="Hyperlink" xfId="1282" builtinId="8" hidden="true"/>
    <cellStyle name="Hyperlink" xfId="1284" builtinId="8" hidden="true"/>
    <cellStyle name="Hyperlink" xfId="1286" builtinId="8" hidden="true"/>
    <cellStyle name="Hyperlink" xfId="1288" builtinId="8" hidden="true"/>
    <cellStyle name="Hyperlink" xfId="1290" builtinId="8" hidden="true"/>
    <cellStyle name="Hyperlink" xfId="1292" builtinId="8" hidden="true"/>
    <cellStyle name="Hyperlink" xfId="1294" builtinId="8" hidden="true"/>
    <cellStyle name="Hyperlink" xfId="1296" builtinId="8" hidden="true"/>
    <cellStyle name="Hyperlink" xfId="1298" builtinId="8" hidden="true"/>
    <cellStyle name="Hyperlink" xfId="1300" builtinId="8" hidden="true"/>
    <cellStyle name="Hyperlink" xfId="1302" builtinId="8" hidden="true"/>
    <cellStyle name="Hyperlink" xfId="1304" builtinId="8" hidden="true"/>
    <cellStyle name="Hyperlink" xfId="1306" builtinId="8" hidden="true"/>
    <cellStyle name="Hyperlink" xfId="1308" builtinId="8" hidden="true"/>
    <cellStyle name="Hyperlink" xfId="1310" builtinId="8" hidden="true"/>
    <cellStyle name="Hyperlink" xfId="1312" builtinId="8" hidden="true"/>
    <cellStyle name="Hyperlink" xfId="1314" builtinId="8" hidden="true"/>
    <cellStyle name="Hyperlink" xfId="1316" builtinId="8" hidden="true"/>
    <cellStyle name="Hyperlink" xfId="1318" builtinId="8" hidden="true"/>
    <cellStyle name="Hyperlink" xfId="1320" builtinId="8" hidden="true"/>
    <cellStyle name="Hyperlink" xfId="1322" builtinId="8" hidden="true"/>
    <cellStyle name="Hyperlink" xfId="1324" builtinId="8" hidden="true"/>
    <cellStyle name="Hyperlink" xfId="1326" builtinId="8" hidden="true"/>
    <cellStyle name="Hyperlink" xfId="1328" builtinId="8" hidden="true"/>
    <cellStyle name="Hyperlink" xfId="1330" builtinId="8" hidden="true"/>
    <cellStyle name="Hyperlink" xfId="1332" builtinId="8" hidden="true"/>
    <cellStyle name="Hyperlink" xfId="1334" builtinId="8" hidden="true"/>
    <cellStyle name="Hyperlink" xfId="1336" builtinId="8" hidden="true"/>
    <cellStyle name="Hyperlink" xfId="1338" builtinId="8" hidden="true"/>
    <cellStyle name="Hyperlink" xfId="1340" builtinId="8" hidden="true"/>
    <cellStyle name="Hyperlink" xfId="1342" builtinId="8" hidden="true"/>
    <cellStyle name="Hyperlink" xfId="1344" builtinId="8" hidden="true"/>
    <cellStyle name="Hyperlink" xfId="1346" builtinId="8" hidden="true"/>
    <cellStyle name="Hyperlink" xfId="1348" builtinId="8" hidden="true"/>
    <cellStyle name="Hyperlink" xfId="1350" builtinId="8" hidden="true"/>
    <cellStyle name="Hyperlink" xfId="1352" builtinId="8" hidden="true"/>
    <cellStyle name="Hyperlink" xfId="1354" builtinId="8" hidden="true"/>
    <cellStyle name="Hyperlink" xfId="1356" builtinId="8" hidden="true"/>
    <cellStyle name="Hyperlink" xfId="1358" builtinId="8" hidden="true"/>
    <cellStyle name="Hyperlink" xfId="1360" builtinId="8" hidden="true"/>
    <cellStyle name="Hyperlink" xfId="1362" builtinId="8" hidden="true"/>
    <cellStyle name="Hyperlink" xfId="1364" builtinId="8" hidden="true"/>
    <cellStyle name="Hyperlink" xfId="1366" builtinId="8" hidden="true"/>
    <cellStyle name="Hyperlink" xfId="1368" builtinId="8" hidden="true"/>
    <cellStyle name="Hyperlink" xfId="1370" builtinId="8" hidden="true"/>
    <cellStyle name="Hyperlink" xfId="1372" builtinId="8" hidden="true"/>
    <cellStyle name="Hyperlink" xfId="1374" builtinId="8" hidden="true"/>
    <cellStyle name="Hyperlink" xfId="1376" builtinId="8" hidden="true"/>
    <cellStyle name="Hyperlink" xfId="1378" builtinId="8" hidden="true"/>
    <cellStyle name="Hyperlink" xfId="1380" builtinId="8" hidden="true"/>
    <cellStyle name="Hyperlink" xfId="1382" builtinId="8" hidden="true"/>
    <cellStyle name="Hyperlink" xfId="1384" builtinId="8" hidden="true"/>
    <cellStyle name="Hyperlink" xfId="1386" builtinId="8" hidden="true"/>
    <cellStyle name="Hyperlink" xfId="1388" builtinId="8" hidden="true"/>
    <cellStyle name="Hyperlink" xfId="1390" builtinId="8" hidden="true"/>
    <cellStyle name="Hyperlink" xfId="1392" builtinId="8" hidden="true"/>
    <cellStyle name="Hyperlink" xfId="1394" builtinId="8" hidden="true"/>
    <cellStyle name="Hyperlink" xfId="1396" builtinId="8" hidden="true"/>
    <cellStyle name="Hyperlink" xfId="1398" builtinId="8" hidden="true"/>
    <cellStyle name="Hyperlink" xfId="1400" builtinId="8" hidden="true"/>
    <cellStyle name="Hyperlink" xfId="1402" builtinId="8" hidden="true"/>
    <cellStyle name="Hyperlink" xfId="1404" builtinId="8" hidden="true"/>
    <cellStyle name="Hyperlink" xfId="1406" builtinId="8" hidden="true"/>
    <cellStyle name="Hyperlink" xfId="1408" builtinId="8" hidden="true"/>
    <cellStyle name="Hyperlink" xfId="1410" builtinId="8" hidden="true"/>
    <cellStyle name="Hyperlink" xfId="1412" builtinId="8" hidden="true"/>
    <cellStyle name="Hyperlink" xfId="1414" builtinId="8" hidden="true"/>
    <cellStyle name="Hyperlink" xfId="1416" builtinId="8" hidden="true"/>
    <cellStyle name="Hyperlink" xfId="1418" builtinId="8" hidden="true"/>
    <cellStyle name="Hyperlink" xfId="1420" builtinId="8" hidden="true"/>
    <cellStyle name="Hyperlink" xfId="1422" builtinId="8" hidden="true"/>
    <cellStyle name="Hyperlink" xfId="1424" builtinId="8" hidden="true"/>
    <cellStyle name="Hyperlink" xfId="1426" builtinId="8" hidden="true"/>
    <cellStyle name="Hyperlink" xfId="1428" builtinId="8" hidden="true"/>
    <cellStyle name="Hyperlink" xfId="1430" builtinId="8" hidden="true"/>
    <cellStyle name="Hyperlink" xfId="1432" builtinId="8" hidden="true"/>
    <cellStyle name="Hyperlink" xfId="1434" builtinId="8" hidden="true"/>
    <cellStyle name="Hyperlink" xfId="1436" builtinId="8" hidden="true"/>
    <cellStyle name="Hyperlink" xfId="1438" builtinId="8" hidden="true"/>
    <cellStyle name="Hyperlink" xfId="1440" builtinId="8" hidden="true"/>
    <cellStyle name="Hyperlink" xfId="1442" builtinId="8" hidden="true"/>
    <cellStyle name="Hyperlink" xfId="1444" builtinId="8" hidden="true"/>
    <cellStyle name="Hyperlink" xfId="1446" builtinId="8" hidden="true"/>
    <cellStyle name="Hyperlink" xfId="1448" builtinId="8" hidden="true"/>
    <cellStyle name="Hyperlink" xfId="1450" builtinId="8" hidden="true"/>
    <cellStyle name="Hyperlink" xfId="1452" builtinId="8" hidden="true"/>
    <cellStyle name="Hyperlink" xfId="1454" builtinId="8" hidden="true"/>
    <cellStyle name="Hyperlink" xfId="1456" builtinId="8" hidden="true"/>
    <cellStyle name="Hyperlink" xfId="1458" builtinId="8" hidden="true"/>
    <cellStyle name="Hyperlink" xfId="1460" builtinId="8" hidden="true"/>
    <cellStyle name="Hyperlink" xfId="1462" builtinId="8" hidden="true"/>
    <cellStyle name="Hyperlink" xfId="1464" builtinId="8" hidden="true"/>
    <cellStyle name="Hyperlink" xfId="1466" builtinId="8" hidden="true"/>
    <cellStyle name="Hyperlink" xfId="1468" builtinId="8" hidden="true"/>
    <cellStyle name="Hyperlink" xfId="1470" builtinId="8" hidden="true"/>
    <cellStyle name="Hyperlink" xfId="1472" builtinId="8" hidden="true"/>
    <cellStyle name="Hyperlink" xfId="1474" builtinId="8" hidden="true"/>
    <cellStyle name="Hyperlink" xfId="1476" builtinId="8" hidden="true"/>
    <cellStyle name="Hyperlink" xfId="1478" builtinId="8" hidden="true"/>
    <cellStyle name="Hyperlink" xfId="1480" builtinId="8" hidden="true"/>
    <cellStyle name="Hyperlink" xfId="1482" builtinId="8" hidden="true"/>
    <cellStyle name="Hyperlink" xfId="1484" builtinId="8" hidden="true"/>
    <cellStyle name="Hyperlink" xfId="1486" builtinId="8" hidden="true"/>
    <cellStyle name="Hyperlink" xfId="1488" builtinId="8" hidden="true"/>
    <cellStyle name="Hyperlink" xfId="1490" builtinId="8" hidden="true"/>
    <cellStyle name="Hyperlink" xfId="1492" builtinId="8" hidden="true"/>
    <cellStyle name="Hyperlink" xfId="1494" builtinId="8" hidden="true"/>
    <cellStyle name="Hyperlink" xfId="1496" builtinId="8" hidden="true"/>
    <cellStyle name="Hyperlink" xfId="1498" builtinId="8" hidden="true"/>
    <cellStyle name="Hyperlink" xfId="1500" builtinId="8" hidden="true"/>
    <cellStyle name="Hyperlink" xfId="1502" builtinId="8" hidden="true"/>
    <cellStyle name="Hyperlink" xfId="1504" builtinId="8" hidden="true"/>
    <cellStyle name="Hyperlink" xfId="1506" builtinId="8" hidden="true"/>
    <cellStyle name="Hyperlink" xfId="1508" builtinId="8" hidden="true"/>
    <cellStyle name="Hyperlink" xfId="1510" builtinId="8" hidden="true"/>
    <cellStyle name="Hyperlink" xfId="1512" builtinId="8" hidden="true"/>
    <cellStyle name="Hyperlink" xfId="1514" builtinId="8" hidden="true"/>
    <cellStyle name="Hyperlink" xfId="1516" builtinId="8" hidden="true"/>
    <cellStyle name="Hyperlink" xfId="1518" builtinId="8" hidden="true"/>
    <cellStyle name="Hyperlink" xfId="1520" builtinId="8" hidden="true"/>
    <cellStyle name="Hyperlink" xfId="1522" builtinId="8" hidden="true"/>
    <cellStyle name="Hyperlink" xfId="1524" builtinId="8" hidden="true"/>
    <cellStyle name="Hyperlink" xfId="1526" builtinId="8" hidden="true"/>
    <cellStyle name="Hyperlink" xfId="1528" builtinId="8" hidden="true"/>
    <cellStyle name="Hyperlink" xfId="1530" builtinId="8" hidden="true"/>
    <cellStyle name="Hyperlink" xfId="1532" builtinId="8" hidden="true"/>
    <cellStyle name="Hyperlink" xfId="1534" builtinId="8" hidden="true"/>
    <cellStyle name="Hyperlink" xfId="1536" builtinId="8" hidden="true"/>
    <cellStyle name="Hyperlink" xfId="1538" builtinId="8" hidden="true"/>
    <cellStyle name="Hyperlink" xfId="1540" builtinId="8" hidden="true"/>
    <cellStyle name="Hyperlink" xfId="1542" builtinId="8" hidden="true"/>
    <cellStyle name="Hyperlink" xfId="1544" builtinId="8" hidden="true"/>
    <cellStyle name="Hyperlink" xfId="1546" builtinId="8" hidden="true"/>
    <cellStyle name="Hyperlink" xfId="1548" builtinId="8" hidden="true"/>
    <cellStyle name="Hyperlink" xfId="1550" builtinId="8" hidden="true"/>
    <cellStyle name="Hyperlink" xfId="1552" builtinId="8" hidden="true"/>
    <cellStyle name="Hyperlink" xfId="1554" builtinId="8" hidden="true"/>
    <cellStyle name="Hyperlink" xfId="1556" builtinId="8" hidden="true"/>
    <cellStyle name="Hyperlink" xfId="1558" builtinId="8" hidden="true"/>
    <cellStyle name="Hyperlink" xfId="1560" builtinId="8" hidden="true"/>
    <cellStyle name="Hyperlink" xfId="1562" builtinId="8" hidden="true"/>
    <cellStyle name="Hyperlink" xfId="1564" builtinId="8" hidden="true"/>
    <cellStyle name="Hyperlink" xfId="1566" builtinId="8" hidden="true"/>
    <cellStyle name="Hyperlink" xfId="1568" builtinId="8" hidden="true"/>
    <cellStyle name="Hyperlink" xfId="1570" builtinId="8" hidden="true"/>
    <cellStyle name="Hyperlink" xfId="1572" builtinId="8" hidden="true"/>
    <cellStyle name="Hyperlink" xfId="1574" builtinId="8" hidden="true"/>
    <cellStyle name="Hyperlink" xfId="1576" builtinId="8" hidden="true"/>
    <cellStyle name="Hyperlink" xfId="1578" builtinId="8" hidden="true"/>
    <cellStyle name="Hyperlink" xfId="1580" builtinId="8" hidden="true"/>
    <cellStyle name="Hyperlink" xfId="1582" builtinId="8" hidden="true"/>
    <cellStyle name="Hyperlink" xfId="1584" builtinId="8" hidden="true"/>
    <cellStyle name="Hyperlink" xfId="1586" builtinId="8" hidden="true"/>
    <cellStyle name="Hyperlink" xfId="1588" builtinId="8" hidden="true"/>
    <cellStyle name="Hyperlink" xfId="1590" builtinId="8" hidden="true"/>
    <cellStyle name="Hyperlink" xfId="1592" builtinId="8" hidden="true"/>
    <cellStyle name="Hyperlink" xfId="1594" builtinId="8" hidden="true"/>
    <cellStyle name="Hyperlink" xfId="1596" builtinId="8" hidden="true"/>
    <cellStyle name="Hyperlink" xfId="1598" builtinId="8" hidden="true"/>
    <cellStyle name="Hyperlink" xfId="1600" builtinId="8" hidden="true"/>
    <cellStyle name="Hyperlink" xfId="1602" builtinId="8" hidden="true"/>
    <cellStyle name="Hyperlink" xfId="1604" builtinId="8" hidden="true"/>
    <cellStyle name="Hyperlink" xfId="1606" builtinId="8" hidden="true"/>
    <cellStyle name="Hyperlink" xfId="1608" builtinId="8" hidden="true"/>
    <cellStyle name="Hyperlink" xfId="1610" builtinId="8" hidden="true"/>
    <cellStyle name="Hyperlink" xfId="1612" builtinId="8" hidden="true"/>
    <cellStyle name="Hyperlink" xfId="1614" builtinId="8" hidden="true"/>
    <cellStyle name="Hyperlink" xfId="1616" builtinId="8" hidden="true"/>
    <cellStyle name="Hyperlink" xfId="1618" builtinId="8" hidden="true"/>
    <cellStyle name="Hyperlink" xfId="1620" builtinId="8" hidden="true"/>
    <cellStyle name="Hyperlink" xfId="1622" builtinId="8" hidden="true"/>
    <cellStyle name="Hyperlink" xfId="1624" builtinId="8" hidden="true"/>
    <cellStyle name="Hyperlink" xfId="1626" builtinId="8" hidden="true"/>
    <cellStyle name="Hyperlink" xfId="1628" builtinId="8" hidden="true"/>
    <cellStyle name="Hyperlink" xfId="1630" builtinId="8" hidden="true"/>
    <cellStyle name="Hyperlink" xfId="1632" builtinId="8" hidden="true"/>
    <cellStyle name="Hyperlink" xfId="1634" builtinId="8" hidden="true"/>
    <cellStyle name="Hyperlink" xfId="1636" builtinId="8" hidden="true"/>
    <cellStyle name="Hyperlink" xfId="1638" builtinId="8" hidden="true"/>
    <cellStyle name="Hyperlink" xfId="1640" builtinId="8" hidden="true"/>
    <cellStyle name="Hyperlink" xfId="1642" builtinId="8" hidden="true"/>
    <cellStyle name="Hyperlink" xfId="1644" builtinId="8" hidden="true"/>
    <cellStyle name="Hyperlink" xfId="1646" builtinId="8" hidden="true"/>
    <cellStyle name="Hyperlink" xfId="1648" builtinId="8" hidden="true"/>
    <cellStyle name="Hyperlink" xfId="1650" builtinId="8" hidden="true"/>
    <cellStyle name="Hyperlink" xfId="1652" builtinId="8" hidden="true"/>
    <cellStyle name="Hyperlink" xfId="1654" builtinId="8" hidden="true"/>
    <cellStyle name="Hyperlink" xfId="1656" builtinId="8" hidden="true"/>
    <cellStyle name="Hyperlink" xfId="1658" builtinId="8" hidden="true"/>
    <cellStyle name="Hyperlink" xfId="1660" builtinId="8" hidden="true"/>
    <cellStyle name="Hyperlink" xfId="1662" builtinId="8" hidden="true"/>
    <cellStyle name="Hyperlink" xfId="1664" builtinId="8" hidden="true"/>
    <cellStyle name="Hyperlink" xfId="1666" builtinId="8" hidden="true"/>
    <cellStyle name="Hyperlink" xfId="1668" builtinId="8" hidden="true"/>
    <cellStyle name="Hyperlink" xfId="1670" builtinId="8" hidden="true"/>
    <cellStyle name="Hyperlink" xfId="1672" builtinId="8" hidden="true"/>
    <cellStyle name="Hyperlink" xfId="1674" builtinId="8" hidden="true"/>
    <cellStyle name="Hyperlink" xfId="1676" builtinId="8" hidden="true"/>
    <cellStyle name="Hyperlink" xfId="1678" builtinId="8" hidden="true"/>
    <cellStyle name="Hyperlink" xfId="1680" builtinId="8" hidden="true"/>
    <cellStyle name="Hyperlink" xfId="1682" builtinId="8" hidden="true"/>
    <cellStyle name="Hyperlink" xfId="1684" builtinId="8" hidden="true"/>
    <cellStyle name="Hyperlink" xfId="1686" builtinId="8" hidden="true"/>
    <cellStyle name="Hyperlink" xfId="1688" builtinId="8" hidden="true"/>
    <cellStyle name="Hyperlink" xfId="1690" builtinId="8" hidden="true"/>
    <cellStyle name="Hyperlink" xfId="1692" builtinId="8" hidden="true"/>
    <cellStyle name="Hyperlink" xfId="1694" builtinId="8" hidden="true"/>
    <cellStyle name="Hyperlink" xfId="1696" builtinId="8" hidden="true"/>
    <cellStyle name="Hyperlink" xfId="1698" builtinId="8" hidden="true"/>
    <cellStyle name="Hyperlink" xfId="1700" builtinId="8" hidden="true"/>
    <cellStyle name="Hyperlink" xfId="1702" builtinId="8" hidden="true"/>
    <cellStyle name="Hyperlink" xfId="1704" builtinId="8" hidden="true"/>
    <cellStyle name="Hyperlink" xfId="1706" builtinId="8" hidden="true"/>
    <cellStyle name="Hyperlink" xfId="1708" builtinId="8" hidden="true"/>
    <cellStyle name="Hyperlink" xfId="1710" builtinId="8" hidden="true"/>
    <cellStyle name="Hyperlink" xfId="1712" builtinId="8" hidden="true"/>
    <cellStyle name="Hyperlink" xfId="1714" builtinId="8" hidden="true"/>
    <cellStyle name="Hyperlink" xfId="1716" builtinId="8" hidden="true"/>
    <cellStyle name="Hyperlink" xfId="1718" builtinId="8" hidden="true"/>
    <cellStyle name="Hyperlink" xfId="1720" builtinId="8" hidden="true"/>
    <cellStyle name="Hyperlink" xfId="1722" builtinId="8" hidden="true"/>
    <cellStyle name="Hyperlink" xfId="1724" builtinId="8" hidden="true"/>
    <cellStyle name="Hyperlink" xfId="1726" builtinId="8" hidden="true"/>
    <cellStyle name="Hyperlink" xfId="1728" builtinId="8" hidden="true"/>
    <cellStyle name="Hyperlink" xfId="1730" builtinId="8" hidden="true"/>
    <cellStyle name="Hyperlink" xfId="1732" builtinId="8" hidden="true"/>
    <cellStyle name="Hyperlink" xfId="1734" builtinId="8" hidden="true"/>
    <cellStyle name="Hyperlink" xfId="1736" builtinId="8" hidden="true"/>
    <cellStyle name="Hyperlink" xfId="1738" builtinId="8" hidden="true"/>
    <cellStyle name="Hyperlink" xfId="1740" builtinId="8" hidden="true"/>
    <cellStyle name="Hyperlink" xfId="1742" builtinId="8" hidden="true"/>
    <cellStyle name="Hyperlink" xfId="1744" builtinId="8" hidden="true"/>
    <cellStyle name="Hyperlink" xfId="1746" builtinId="8" hidden="true"/>
    <cellStyle name="Hyperlink" xfId="1748" builtinId="8" hidden="true"/>
    <cellStyle name="Hyperlink" xfId="1750" builtinId="8" hidden="true"/>
    <cellStyle name="Hyperlink" xfId="1752" builtinId="8" hidden="true"/>
    <cellStyle name="Hyperlink" xfId="1754" builtinId="8" hidden="true"/>
    <cellStyle name="Hyperlink" xfId="1756" builtinId="8" hidden="true"/>
    <cellStyle name="Hyperlink" xfId="1758" builtinId="8" hidden="true"/>
    <cellStyle name="Hyperlink" xfId="1760" builtinId="8" hidden="true"/>
    <cellStyle name="Hyperlink" xfId="1762" builtinId="8" hidden="true"/>
    <cellStyle name="Hyperlink" xfId="1764" builtinId="8" hidden="true"/>
    <cellStyle name="Hyperlink" xfId="1766" builtinId="8" hidden="true"/>
    <cellStyle name="Hyperlink" xfId="1768" builtinId="8" hidden="true"/>
    <cellStyle name="Hyperlink" xfId="1770" builtinId="8" hidden="true"/>
    <cellStyle name="Hyperlink" xfId="1772" builtinId="8" hidden="true"/>
    <cellStyle name="Hyperlink" xfId="1774" builtinId="8" hidden="true"/>
    <cellStyle name="Hyperlink" xfId="1776" builtinId="8" hidden="true"/>
    <cellStyle name="Hyperlink" xfId="1778" builtinId="8" hidden="true"/>
    <cellStyle name="Hyperlink" xfId="1780" builtinId="8" hidden="true"/>
    <cellStyle name="Hyperlink" xfId="1782" builtinId="8" hidden="true"/>
    <cellStyle name="Hyperlink" xfId="1784" builtinId="8" hidden="true"/>
    <cellStyle name="Hyperlink" xfId="1786" builtinId="8" hidden="true"/>
    <cellStyle name="Hyperlink" xfId="1788" builtinId="8" hidden="true"/>
    <cellStyle name="Hyperlink" xfId="1790" builtinId="8" hidden="true"/>
    <cellStyle name="Hyperlink" xfId="1792" builtinId="8" hidden="true"/>
    <cellStyle name="Hyperlink" xfId="1794" builtinId="8" hidden="true"/>
    <cellStyle name="Hyperlink" xfId="1796" builtinId="8" hidden="true"/>
    <cellStyle name="Hyperlink" xfId="1798" builtinId="8" hidden="true"/>
    <cellStyle name="Hyperlink" xfId="1800" builtinId="8" hidden="true"/>
    <cellStyle name="Hyperlink" xfId="1802" builtinId="8" hidden="true"/>
    <cellStyle name="Hyperlink" xfId="1804" builtinId="8" hidden="true"/>
    <cellStyle name="Hyperlink" xfId="1806" builtinId="8" hidden="true"/>
    <cellStyle name="Hyperlink" xfId="1808" builtinId="8" hidden="true"/>
    <cellStyle name="Hyperlink" xfId="1810" builtinId="8" hidden="true"/>
    <cellStyle name="Hyperlink" xfId="1812" builtinId="8" hidden="true"/>
    <cellStyle name="Hyperlink" xfId="1814" builtinId="8" hidden="true"/>
    <cellStyle name="Hyperlink" xfId="1816" builtinId="8" hidden="true"/>
    <cellStyle name="Hyperlink" xfId="1818" builtinId="8" hidden="true"/>
    <cellStyle name="Hyperlink" xfId="1820" builtinId="8" hidden="true"/>
    <cellStyle name="Hyperlink" xfId="1822" builtinId="8" hidden="true"/>
    <cellStyle name="Hyperlink" xfId="1824" builtinId="8" hidden="true"/>
    <cellStyle name="Hyperlink" xfId="1826" builtinId="8" hidden="true"/>
    <cellStyle name="Hyperlink" xfId="1828" builtinId="8" hidden="true"/>
    <cellStyle name="Hyperlink" xfId="1830" builtinId="8" hidden="true"/>
    <cellStyle name="Hyperlink" xfId="1832" builtinId="8" hidden="true"/>
    <cellStyle name="Hyperlink" xfId="1834" builtinId="8" hidden="true"/>
    <cellStyle name="Hyperlink" xfId="1836" builtinId="8" hidden="true"/>
    <cellStyle name="Hyperlink" xfId="1838" builtinId="8" hidden="true"/>
    <cellStyle name="Hyperlink" xfId="1840" builtinId="8" hidden="true"/>
    <cellStyle name="Hyperlink" xfId="1842" builtinId="8" hidden="true"/>
    <cellStyle name="Hyperlink" xfId="1844" builtinId="8" hidden="true"/>
    <cellStyle name="Hyperlink" xfId="1846" builtinId="8" hidden="true"/>
    <cellStyle name="Hyperlink" xfId="1848" builtinId="8" hidden="true"/>
    <cellStyle name="Hyperlink" xfId="1850" builtinId="8" hidden="true"/>
    <cellStyle name="Hyperlink" xfId="1852" builtinId="8" hidden="true"/>
    <cellStyle name="Hyperlink" xfId="1854" builtinId="8" hidden="true"/>
    <cellStyle name="Hyperlink" xfId="1856" builtinId="8" hidden="true"/>
    <cellStyle name="Hyperlink" xfId="1858" builtinId="8" hidden="true"/>
    <cellStyle name="Hyperlink" xfId="1860" builtinId="8" hidden="true"/>
    <cellStyle name="Hyperlink" xfId="1862" builtinId="8" hidden="true"/>
    <cellStyle name="Hyperlink" xfId="1864" builtinId="8" hidden="true"/>
    <cellStyle name="Hyperlink" xfId="1866" builtinId="8" hidden="true"/>
    <cellStyle name="Hyperlink" xfId="1868" builtinId="8" hidden="true"/>
    <cellStyle name="Hyperlink" xfId="1870" builtinId="8" hidden="true"/>
    <cellStyle name="Hyperlink" xfId="1872" builtinId="8" hidden="true"/>
    <cellStyle name="Hyperlink" xfId="1874" builtinId="8" hidden="true"/>
    <cellStyle name="Hyperlink" xfId="1876" builtinId="8" hidden="true"/>
    <cellStyle name="Hyperlink" xfId="1878" builtinId="8" hidden="true"/>
    <cellStyle name="Hyperlink" xfId="1880" builtinId="8" hidden="true"/>
    <cellStyle name="Hyperlink" xfId="1882" builtinId="8" hidden="true"/>
    <cellStyle name="Hyperlink" xfId="1884" builtinId="8" hidden="true"/>
    <cellStyle name="Hyperlink" xfId="1886" builtinId="8" hidden="true"/>
    <cellStyle name="Hyperlink" xfId="1888" builtinId="8" hidden="true"/>
    <cellStyle name="Hyperlink" xfId="1890" builtinId="8" hidden="true"/>
    <cellStyle name="Hyperlink" xfId="1892" builtinId="8" hidden="true"/>
    <cellStyle name="Hyperlink" xfId="1894" builtinId="8" hidden="true"/>
    <cellStyle name="Hyperlink" xfId="1896" builtinId="8" hidden="true"/>
    <cellStyle name="Hyperlink" xfId="1898" builtinId="8" hidden="true"/>
    <cellStyle name="Hyperlink" xfId="1900" builtinId="8" hidden="true"/>
    <cellStyle name="Hyperlink" xfId="1902" builtinId="8" hidden="true"/>
    <cellStyle name="Hyperlink" xfId="1904" builtinId="8" hidden="true"/>
    <cellStyle name="Hyperlink" xfId="1906" builtinId="8" hidden="true"/>
    <cellStyle name="Hyperlink" xfId="1908" builtinId="8" hidden="true"/>
    <cellStyle name="Hyperlink" xfId="1910" builtinId="8" hidden="true"/>
    <cellStyle name="Hyperlink" xfId="1912" builtinId="8" hidden="true"/>
    <cellStyle name="Hyperlink" xfId="1914" builtinId="8" hidden="true"/>
    <cellStyle name="Hyperlink" xfId="1916" builtinId="8" hidden="true"/>
    <cellStyle name="Hyperlink" xfId="1918" builtinId="8" hidden="true"/>
    <cellStyle name="Hyperlink" xfId="1920" builtinId="8" hidden="true"/>
    <cellStyle name="Hyperlink" xfId="1922" builtinId="8" hidden="true"/>
    <cellStyle name="Hyperlink" xfId="1924" builtinId="8" hidden="true"/>
    <cellStyle name="Hyperlink" xfId="1926" builtinId="8" hidden="true"/>
    <cellStyle name="Hyperlink" xfId="1928" builtinId="8" hidden="true"/>
    <cellStyle name="Hyperlink" xfId="1930" builtinId="8" hidden="true"/>
    <cellStyle name="Hyperlink" xfId="1932" builtinId="8" hidden="true"/>
    <cellStyle name="Hyperlink" xfId="1934" builtinId="8" hidden="true"/>
    <cellStyle name="Hyperlink" xfId="1936" builtinId="8" hidden="true"/>
    <cellStyle name="Hyperlink" xfId="1938" builtinId="8" hidden="true"/>
    <cellStyle name="Hyperlink" xfId="1940" builtinId="8" hidden="true"/>
    <cellStyle name="Hyperlink" xfId="1942" builtinId="8" hidden="true"/>
    <cellStyle name="Hyperlink" xfId="1944" builtinId="8" hidden="true"/>
    <cellStyle name="Hyperlink" xfId="1946" builtinId="8" hidden="true"/>
    <cellStyle name="Hyperlink" xfId="1948" builtinId="8" hidden="true"/>
    <cellStyle name="Hyperlink" xfId="1950" builtinId="8" hidden="true"/>
    <cellStyle name="Hyperlink" xfId="1952" builtinId="8" hidden="true"/>
    <cellStyle name="Hyperlink" xfId="1954" builtinId="8" hidden="true"/>
    <cellStyle name="Hyperlink" xfId="1956" builtinId="8" hidden="true"/>
    <cellStyle name="Hyperlink" xfId="1958" builtinId="8" hidden="true"/>
    <cellStyle name="Hyperlink" xfId="1960" builtinId="8" hidden="true"/>
    <cellStyle name="Hyperlink" xfId="1962" builtinId="8" hidden="true"/>
    <cellStyle name="Hyperlink" xfId="1964" builtinId="8" hidden="true"/>
    <cellStyle name="Hyperlink" xfId="1966" builtinId="8" hidden="true"/>
    <cellStyle name="Hyperlink" xfId="1968" builtinId="8" hidden="true"/>
    <cellStyle name="Hyperlink" xfId="1970" builtinId="8" hidden="true"/>
    <cellStyle name="Hyperlink" xfId="1972" builtinId="8" hidden="true"/>
    <cellStyle name="Hyperlink" xfId="1974" builtinId="8" hidden="true"/>
    <cellStyle name="Hyperlink" xfId="1976" builtinId="8" hidden="true"/>
    <cellStyle name="Hyperlink" xfId="1978" builtinId="8" hidden="true"/>
    <cellStyle name="Hyperlink" xfId="1980" builtinId="8" hidden="true"/>
    <cellStyle name="Hyperlink" xfId="1982" builtinId="8" hidden="true"/>
    <cellStyle name="Hyperlink" xfId="1984" builtinId="8" hidden="true"/>
    <cellStyle name="Hyperlink" xfId="1986" builtinId="8" hidden="true"/>
    <cellStyle name="Hyperlink" xfId="1988" builtinId="8" hidden="true"/>
    <cellStyle name="Hyperlink" xfId="1990" builtinId="8" hidden="true"/>
    <cellStyle name="Hyperlink" xfId="1992" builtinId="8" hidden="true"/>
    <cellStyle name="Hyperlink" xfId="1994" builtinId="8" hidden="true"/>
    <cellStyle name="Hyperlink" xfId="1996" builtinId="8" hidden="true"/>
    <cellStyle name="Hyperlink" xfId="1998" builtinId="8" hidden="true"/>
    <cellStyle name="Hyperlink" xfId="2000" builtinId="8" hidden="true"/>
    <cellStyle name="Hyperlink" xfId="2002" builtinId="8" hidden="true"/>
    <cellStyle name="Hyperlink" xfId="2004" builtinId="8" hidden="true"/>
    <cellStyle name="Hyperlink" xfId="2006" builtinId="8" hidden="true"/>
    <cellStyle name="Hyperlink" xfId="2008" builtinId="8" hidden="true"/>
    <cellStyle name="Hyperlink" xfId="2010" builtinId="8" hidden="true"/>
    <cellStyle name="Hyperlink" xfId="2012" builtinId="8" hidden="true"/>
    <cellStyle name="Hyperlink" xfId="2014" builtinId="8" hidden="true"/>
    <cellStyle name="Hyperlink" xfId="2016" builtinId="8" hidden="true"/>
    <cellStyle name="Hyperlink" xfId="2018" builtinId="8" hidden="true"/>
    <cellStyle name="Hyperlink" xfId="2020" builtinId="8" hidden="true"/>
    <cellStyle name="Hyperlink" xfId="2022" builtinId="8" hidden="true"/>
    <cellStyle name="Hyperlink" xfId="2024" builtinId="8" hidden="true"/>
    <cellStyle name="Hyperlink" xfId="2026" builtinId="8" hidden="true"/>
    <cellStyle name="Hyperlink" xfId="2028" builtinId="8" hidden="true"/>
    <cellStyle name="Hyperlink" xfId="2030" builtinId="8" hidden="true"/>
    <cellStyle name="Hyperlink" xfId="2032" builtinId="8" hidden="true"/>
    <cellStyle name="Hyperlink" xfId="2034" builtinId="8" hidden="true"/>
    <cellStyle name="Hyperlink" xfId="2036" builtinId="8" hidden="true"/>
    <cellStyle name="Hyperlink" xfId="2038" builtinId="8" hidden="true"/>
    <cellStyle name="Hyperlink" xfId="2040" builtinId="8" hidden="true"/>
    <cellStyle name="Hyperlink" xfId="2042" builtinId="8" hidden="true"/>
    <cellStyle name="Hyperlink" xfId="2044" builtinId="8" hidden="true"/>
    <cellStyle name="Hyperlink" xfId="2046" builtinId="8" hidden="true"/>
    <cellStyle name="Hyperlink" xfId="2048" builtinId="8" hidden="true"/>
    <cellStyle name="Hyperlink" xfId="2050" builtinId="8" hidden="true"/>
    <cellStyle name="Hyperlink" xfId="2052" builtinId="8" hidden="true"/>
    <cellStyle name="Hyperlink" xfId="2054" builtinId="8" hidden="true"/>
    <cellStyle name="Hyperlink" xfId="2056" builtinId="8" hidden="true"/>
    <cellStyle name="Hyperlink" xfId="2058" builtinId="8" hidden="true"/>
    <cellStyle name="Hyperlink" xfId="2060" builtinId="8" hidden="true"/>
    <cellStyle name="Hyperlink" xfId="2062" builtinId="8" hidden="true"/>
    <cellStyle name="Hyperlink" xfId="2064" builtinId="8" hidden="true"/>
    <cellStyle name="Hyperlink" xfId="2066" builtinId="8" hidden="true"/>
    <cellStyle name="Hyperlink" xfId="2068" builtinId="8" hidden="true"/>
    <cellStyle name="Hyperlink" xfId="2070" builtinId="8" hidden="true"/>
    <cellStyle name="Hyperlink" xfId="2072" builtinId="8" hidden="true"/>
    <cellStyle name="Hyperlink" xfId="2074" builtinId="8" hidden="true"/>
    <cellStyle name="Hyperlink" xfId="2076" builtinId="8" hidden="true"/>
    <cellStyle name="Hyperlink" xfId="2078" builtinId="8" hidden="true"/>
    <cellStyle name="Hyperlink" xfId="2080" builtinId="8" hidden="true"/>
    <cellStyle name="Hyperlink" xfId="2082" builtinId="8" hidden="true"/>
    <cellStyle name="Hyperlink" xfId="2084" builtinId="8" hidden="true"/>
    <cellStyle name="Hyperlink" xfId="2086" builtinId="8" hidden="true"/>
    <cellStyle name="Hyperlink" xfId="2088" builtinId="8" hidden="true"/>
    <cellStyle name="Hyperlink" xfId="2090" builtinId="8" hidden="true"/>
    <cellStyle name="Hyperlink" xfId="2092" builtinId="8" hidden="true"/>
    <cellStyle name="Hyperlink" xfId="2094" builtinId="8" hidden="true"/>
    <cellStyle name="Hyperlink" xfId="2096" builtinId="8" hidden="true"/>
    <cellStyle name="Hyperlink" xfId="2098" builtinId="8" hidden="true"/>
    <cellStyle name="Hyperlink" xfId="2100" builtinId="8" hidden="true"/>
    <cellStyle name="Hyperlink" xfId="2102" builtinId="8" hidden="true"/>
    <cellStyle name="Hyperlink" xfId="2104" builtinId="8" hidden="true"/>
    <cellStyle name="Hyperlink" xfId="2106" builtinId="8" hidden="true"/>
    <cellStyle name="Hyperlink" xfId="2108" builtinId="8" hidden="true"/>
    <cellStyle name="Hyperlink" xfId="2110" builtinId="8" hidden="true"/>
    <cellStyle name="Hyperlink" xfId="2112" builtinId="8" hidden="true"/>
    <cellStyle name="Hyperlink" xfId="2114" builtinId="8" hidden="true"/>
    <cellStyle name="Hyperlink" xfId="2116" builtinId="8" hidden="true"/>
    <cellStyle name="Hyperlink" xfId="2118" builtinId="8" hidden="true"/>
    <cellStyle name="Hyperlink" xfId="2120" builtinId="8" hidden="true"/>
    <cellStyle name="Hyperlink" xfId="2122" builtinId="8" hidden="true"/>
    <cellStyle name="Hyperlink" xfId="2124" builtinId="8" hidden="true"/>
    <cellStyle name="Hyperlink" xfId="2126" builtinId="8" hidden="true"/>
    <cellStyle name="Hyperlink" xfId="2128" builtinId="8" hidden="true"/>
    <cellStyle name="Hyperlink" xfId="2130" builtinId="8" hidden="true"/>
    <cellStyle name="Hyperlink" xfId="2132" builtinId="8" hidden="true"/>
    <cellStyle name="Hyperlink" xfId="2134" builtinId="8" hidden="true"/>
    <cellStyle name="Hyperlink" xfId="2136" builtinId="8" hidden="true"/>
    <cellStyle name="Hyperlink" xfId="2138" builtinId="8" hidden="true"/>
    <cellStyle name="Hyperlink" xfId="2140" builtinId="8" hidden="true"/>
    <cellStyle name="Hyperlink" xfId="2142" builtinId="8" hidden="true"/>
    <cellStyle name="Hyperlink" xfId="2144" builtinId="8" hidden="true"/>
    <cellStyle name="Hyperlink" xfId="2146" builtinId="8" hidden="true"/>
    <cellStyle name="Hyperlink" xfId="2148" builtinId="8" hidden="true"/>
    <cellStyle name="Hyperlink" xfId="2150" builtinId="8" hidden="true"/>
    <cellStyle name="Hyperlink" xfId="2152" builtinId="8" hidden="true"/>
    <cellStyle name="Hyperlink" xfId="2154" builtinId="8" hidden="true"/>
    <cellStyle name="Hyperlink" xfId="2156" builtinId="8" hidden="true"/>
    <cellStyle name="Hyperlink" xfId="2158" builtinId="8" hidden="true"/>
    <cellStyle name="Hyperlink" xfId="2160" builtinId="8" hidden="true"/>
    <cellStyle name="Hyperlink" xfId="2162" builtinId="8" hidden="true"/>
    <cellStyle name="Hyperlink" xfId="2164" builtinId="8" hidden="true"/>
    <cellStyle name="Hyperlink" xfId="2166" builtinId="8" hidden="true"/>
    <cellStyle name="Hyperlink" xfId="2168" builtinId="8" hidden="true"/>
    <cellStyle name="Hyperlink" xfId="2170" builtinId="8" hidden="true"/>
    <cellStyle name="Hyperlink" xfId="2172" builtinId="8" hidden="true"/>
    <cellStyle name="Hyperlink" xfId="2174" builtinId="8" hidden="true"/>
    <cellStyle name="Hyperlink" xfId="2176" builtinId="8" hidden="true"/>
    <cellStyle name="Hyperlink" xfId="2178" builtinId="8" hidden="true"/>
    <cellStyle name="Hyperlink" xfId="2180" builtinId="8" hidden="true"/>
    <cellStyle name="Hyperlink" xfId="2182" builtinId="8" hidden="true"/>
    <cellStyle name="Hyperlink" xfId="2184" builtinId="8" hidden="true"/>
    <cellStyle name="Hyperlink" xfId="2186" builtinId="8" hidden="true"/>
    <cellStyle name="Hyperlink" xfId="2188" builtinId="8" hidden="true"/>
    <cellStyle name="Hyperlink" xfId="2190" builtinId="8" hidden="true"/>
    <cellStyle name="Hyperlink" xfId="2192" builtinId="8" hidden="true"/>
    <cellStyle name="Hyperlink" xfId="2194" builtinId="8" hidden="true"/>
    <cellStyle name="Hyperlink" xfId="2196" builtinId="8" hidden="true"/>
    <cellStyle name="Hyperlink" xfId="2198" builtinId="8" hidden="true"/>
    <cellStyle name="Hyperlink" xfId="2200" builtinId="8" hidden="true"/>
    <cellStyle name="Hyperlink" xfId="2202" builtinId="8" hidden="true"/>
    <cellStyle name="Hyperlink" xfId="2204" builtinId="8" hidden="true"/>
    <cellStyle name="Hyperlink" xfId="2206" builtinId="8" hidden="true"/>
    <cellStyle name="Hyperlink" xfId="2208" builtinId="8" hidden="true"/>
    <cellStyle name="Hyperlink" xfId="2210" builtinId="8" hidden="true"/>
    <cellStyle name="Hyperlink" xfId="2212" builtinId="8" hidden="true"/>
    <cellStyle name="Hyperlink" xfId="2214" builtinId="8" hidden="true"/>
    <cellStyle name="Hyperlink" xfId="2216" builtinId="8" hidden="true"/>
    <cellStyle name="Hyperlink" xfId="2218" builtinId="8" hidden="true"/>
    <cellStyle name="Hyperlink" xfId="2220" builtinId="8" hidden="true"/>
    <cellStyle name="Hyperlink" xfId="2222" builtinId="8" hidden="true"/>
    <cellStyle name="Hyperlink" xfId="2224" builtinId="8" hidden="true"/>
    <cellStyle name="Hyperlink" xfId="2226" builtinId="8" hidden="true"/>
    <cellStyle name="Hyperlink" xfId="2228" builtinId="8" hidden="true"/>
    <cellStyle name="Hyperlink" xfId="2230" builtinId="8" hidden="true"/>
    <cellStyle name="Hyperlink" xfId="2232" builtinId="8" hidden="true"/>
    <cellStyle name="Hyperlink" xfId="2234" builtinId="8" hidden="true"/>
    <cellStyle name="Hyperlink" xfId="2236" builtinId="8" hidden="true"/>
    <cellStyle name="Hyperlink" xfId="2238" builtinId="8" hidden="true"/>
    <cellStyle name="Hyperlink" xfId="2240" builtinId="8" hidden="true"/>
    <cellStyle name="Hyperlink" xfId="2242" builtinId="8" hidden="true"/>
    <cellStyle name="Hyperlink" xfId="2244" builtinId="8" hidden="true"/>
    <cellStyle name="Hyperlink" xfId="2246" builtinId="8" hidden="true"/>
    <cellStyle name="Hyperlink" xfId="2248" builtinId="8" hidden="true"/>
    <cellStyle name="Hyperlink" xfId="2250" builtinId="8" hidden="true"/>
    <cellStyle name="Hyperlink" xfId="2252" builtinId="8" hidden="true"/>
    <cellStyle name="Hyperlink" xfId="2254" builtinId="8" hidden="true"/>
    <cellStyle name="Hyperlink" xfId="2256" builtinId="8" hidden="true"/>
    <cellStyle name="Hyperlink" xfId="2258" builtinId="8" hidden="true"/>
    <cellStyle name="Hyperlink" xfId="2260" builtinId="8" hidden="true"/>
    <cellStyle name="Hyperlink" xfId="2262" builtinId="8" hidden="true"/>
    <cellStyle name="Hyperlink" xfId="2264" builtinId="8" hidden="true"/>
    <cellStyle name="Hyperlink" xfId="2266" builtinId="8" hidden="true"/>
    <cellStyle name="Hyperlink" xfId="2268" builtinId="8" hidden="true"/>
    <cellStyle name="Hyperlink" xfId="2270" builtinId="8" hidden="true"/>
    <cellStyle name="Hyperlink" xfId="2272" builtinId="8" hidden="true"/>
    <cellStyle name="Hyperlink" xfId="2274" builtinId="8" hidden="true"/>
    <cellStyle name="Hyperlink" xfId="2276" builtinId="8" hidden="true"/>
    <cellStyle name="Hyperlink" xfId="2278" builtinId="8" hidden="true"/>
    <cellStyle name="Hyperlink" xfId="2280" builtinId="8" hidden="true"/>
    <cellStyle name="Hyperlink" xfId="2282" builtinId="8" hidden="true"/>
    <cellStyle name="Hyperlink" xfId="2284" builtinId="8" hidden="true"/>
    <cellStyle name="Hyperlink" xfId="2286" builtinId="8" hidden="true"/>
    <cellStyle name="Hyperlink" xfId="2288" builtinId="8" hidden="true"/>
    <cellStyle name="Hyperlink" xfId="2290" builtinId="8" hidden="true"/>
    <cellStyle name="Hyperlink" xfId="2292" builtinId="8" hidden="true"/>
    <cellStyle name="Hyperlink" xfId="2294" builtinId="8" hidden="true"/>
    <cellStyle name="Hyperlink" xfId="2296" builtinId="8" hidden="true"/>
    <cellStyle name="Hyperlink" xfId="2298" builtinId="8" hidden="true"/>
    <cellStyle name="Hyperlink" xfId="2300" builtinId="8" hidden="true"/>
    <cellStyle name="Hyperlink" xfId="2302" builtinId="8" hidden="true"/>
    <cellStyle name="Hyperlink" xfId="2304" builtinId="8" hidden="true"/>
    <cellStyle name="Hyperlink" xfId="2306" builtinId="8" hidden="true"/>
    <cellStyle name="Hyperlink" xfId="2308" builtinId="8" hidden="true"/>
    <cellStyle name="Hyperlink" xfId="2310" builtinId="8" hidden="true"/>
    <cellStyle name="Hyperlink" xfId="2312" builtinId="8" hidden="true"/>
    <cellStyle name="Hyperlink" xfId="2314" builtinId="8" hidden="true"/>
    <cellStyle name="Hyperlink" xfId="2316" builtinId="8" hidden="true"/>
    <cellStyle name="Hyperlink" xfId="2318" builtinId="8" hidden="true"/>
    <cellStyle name="Hyperlink" xfId="2320" builtinId="8" hidden="true"/>
    <cellStyle name="Hyperlink" xfId="2322" builtinId="8" hidden="true"/>
    <cellStyle name="Hyperlink" xfId="2324" builtinId="8" hidden="true"/>
    <cellStyle name="Hyperlink" xfId="2326" builtinId="8" hidden="true"/>
    <cellStyle name="Hyperlink" xfId="2328" builtinId="8" hidden="true"/>
    <cellStyle name="Hyperlink" xfId="2330" builtinId="8" hidden="true"/>
    <cellStyle name="Hyperlink" xfId="2332" builtinId="8" hidden="true"/>
    <cellStyle name="Hyperlink" xfId="2334" builtinId="8" hidden="true"/>
    <cellStyle name="Hyperlink" xfId="2336" builtinId="8" hidden="true"/>
    <cellStyle name="Hyperlink" xfId="2338" builtinId="8" hidden="true"/>
    <cellStyle name="Hyperlink" xfId="2340" builtinId="8" hidden="true"/>
    <cellStyle name="Hyperlink" xfId="2342" builtinId="8" hidden="true"/>
    <cellStyle name="Hyperlink" xfId="2344" builtinId="8" hidden="true"/>
    <cellStyle name="Hyperlink" xfId="2346" builtinId="8" hidden="true"/>
    <cellStyle name="Hyperlink" xfId="2348" builtinId="8" hidden="true"/>
    <cellStyle name="Hyperlink" xfId="2350" builtinId="8" hidden="true"/>
    <cellStyle name="Hyperlink" xfId="2352" builtinId="8" hidden="true"/>
    <cellStyle name="Hyperlink" xfId="2354" builtinId="8" hidden="true"/>
    <cellStyle name="Hyperlink" xfId="2356" builtinId="8" hidden="true"/>
    <cellStyle name="Hyperlink" xfId="2358" builtinId="8" hidden="true"/>
    <cellStyle name="Hyperlink" xfId="2360" builtinId="8" hidden="true"/>
    <cellStyle name="Hyperlink" xfId="2362" builtinId="8" hidden="true"/>
    <cellStyle name="Hyperlink" xfId="2364" builtinId="8" hidden="true"/>
    <cellStyle name="Hyperlink" xfId="2366" builtinId="8" hidden="true"/>
    <cellStyle name="Hyperlink" xfId="2368" builtinId="8" hidden="true"/>
    <cellStyle name="Hyperlink" xfId="2370" builtinId="8" hidden="true"/>
    <cellStyle name="Hyperlink" xfId="2372" builtinId="8" hidden="true"/>
    <cellStyle name="Hyperlink" xfId="2374" builtinId="8" hidden="true"/>
    <cellStyle name="Hyperlink" xfId="2376" builtinId="8" hidden="true"/>
    <cellStyle name="Hyperlink" xfId="2378" builtinId="8" hidden="true"/>
    <cellStyle name="Hyperlink" xfId="2380" builtinId="8" hidden="true"/>
    <cellStyle name="Hyperlink" xfId="2382" builtinId="8" hidden="true"/>
    <cellStyle name="Hyperlink" xfId="2384" builtinId="8" hidden="true"/>
    <cellStyle name="Hyperlink" xfId="2386" builtinId="8" hidden="true"/>
    <cellStyle name="Hyperlink" xfId="2388" builtinId="8" hidden="true"/>
    <cellStyle name="Hyperlink" xfId="2390" builtinId="8" hidden="true"/>
    <cellStyle name="Hyperlink" xfId="2392" builtinId="8" hidden="true"/>
    <cellStyle name="Hyperlink" xfId="2394" builtinId="8" hidden="true"/>
    <cellStyle name="Hyperlink" xfId="2396" builtinId="8" hidden="true"/>
    <cellStyle name="Hyperlink" xfId="2398" builtinId="8" hidden="true"/>
    <cellStyle name="Hyperlink" xfId="2400" builtinId="8" hidden="true"/>
    <cellStyle name="Hyperlink" xfId="2402" builtinId="8" hidden="true"/>
    <cellStyle name="Hyperlink" xfId="2404" builtinId="8" hidden="true"/>
    <cellStyle name="Hyperlink" xfId="2406" builtinId="8" hidden="true"/>
    <cellStyle name="Hyperlink" xfId="2408" builtinId="8" hidden="true"/>
    <cellStyle name="Hyperlink" xfId="2410" builtinId="8" hidden="true"/>
    <cellStyle name="Hyperlink" xfId="2412" builtinId="8" hidden="true"/>
    <cellStyle name="Hyperlink" xfId="2414" builtinId="8" hidden="true"/>
    <cellStyle name="Hyperlink" xfId="2416" builtinId="8" hidden="true"/>
    <cellStyle name="Hyperlink" xfId="2418" builtinId="8" hidden="true"/>
    <cellStyle name="Hyperlink" xfId="2420" builtinId="8" hidden="true"/>
    <cellStyle name="Hyperlink" xfId="2422" builtinId="8" hidden="true"/>
    <cellStyle name="Hyperlink" xfId="2424" builtinId="8" hidden="true"/>
    <cellStyle name="Hyperlink" xfId="2426" builtinId="8" hidden="true"/>
    <cellStyle name="Hyperlink" xfId="2428" builtinId="8" hidden="true"/>
    <cellStyle name="Hyperlink" xfId="2430" builtinId="8" hidden="true"/>
    <cellStyle name="Hyperlink" xfId="2432" builtinId="8" hidden="true"/>
    <cellStyle name="Hyperlink" xfId="2434" builtinId="8" hidden="true"/>
    <cellStyle name="Hyperlink" xfId="2436" builtinId="8" hidden="true"/>
    <cellStyle name="Hyperlink" xfId="2438" builtinId="8" hidden="true"/>
    <cellStyle name="Hyperlink" xfId="2440" builtinId="8" hidden="true"/>
    <cellStyle name="Hyperlink" xfId="2442" builtinId="8" hidden="true"/>
    <cellStyle name="Hyperlink" xfId="2444" builtinId="8" hidden="true"/>
    <cellStyle name="Hyperlink" xfId="2446" builtinId="8" hidden="true"/>
    <cellStyle name="Hyperlink" xfId="2448" builtinId="8" hidden="true"/>
    <cellStyle name="Hyperlink" xfId="2450" builtinId="8" hidden="true"/>
    <cellStyle name="Hyperlink" xfId="2452" builtinId="8" hidden="true"/>
    <cellStyle name="Hyperlink" xfId="2454" builtinId="8" hidden="true"/>
    <cellStyle name="Hyperlink" xfId="2456" builtinId="8" hidden="true"/>
    <cellStyle name="Hyperlink" xfId="2458" builtinId="8" hidden="true"/>
    <cellStyle name="Hyperlink" xfId="2460" builtinId="8" hidden="true"/>
    <cellStyle name="Hyperlink" xfId="2462" builtinId="8" hidden="true"/>
    <cellStyle name="Hyperlink" xfId="2464" builtinId="8" hidden="true"/>
    <cellStyle name="Hyperlink" xfId="2466" builtinId="8" hidden="true"/>
    <cellStyle name="Hyperlink" xfId="2468" builtinId="8" hidden="true"/>
    <cellStyle name="Hyperlink" xfId="2470" builtinId="8" hidden="true"/>
    <cellStyle name="Hyperlink" xfId="2472" builtinId="8" hidden="true"/>
    <cellStyle name="Hyperlink" xfId="2474" builtinId="8" hidden="true"/>
    <cellStyle name="Hyperlink" xfId="2476" builtinId="8" hidden="true"/>
    <cellStyle name="Hyperlink" xfId="2478" builtinId="8" hidden="true"/>
    <cellStyle name="Hyperlink" xfId="2480" builtinId="8" hidden="true"/>
    <cellStyle name="Hyperlink" xfId="2482" builtinId="8" hidden="true"/>
    <cellStyle name="Hyperlink" xfId="2484" builtinId="8" hidden="true"/>
    <cellStyle name="Hyperlink" xfId="2486" builtinId="8" hidden="true"/>
    <cellStyle name="Hyperlink" xfId="2488" builtinId="8" hidden="true"/>
    <cellStyle name="Hyperlink" xfId="2490" builtinId="8" hidden="true"/>
    <cellStyle name="Hyperlink" xfId="2492" builtinId="8" hidden="true"/>
    <cellStyle name="Hyperlink" xfId="2494" builtinId="8" hidden="true"/>
    <cellStyle name="Hyperlink" xfId="2496" builtinId="8" hidden="true"/>
    <cellStyle name="Hyperlink" xfId="2498" builtinId="8" hidden="true"/>
    <cellStyle name="Hyperlink" xfId="2500" builtinId="8" hidden="true"/>
    <cellStyle name="Hyperlink" xfId="2502" builtinId="8" hidden="true"/>
    <cellStyle name="Hyperlink" xfId="2504" builtinId="8" hidden="true"/>
    <cellStyle name="Hyperlink" xfId="2506" builtinId="8" hidden="true"/>
    <cellStyle name="Hyperlink" xfId="2508" builtinId="8" hidden="true"/>
    <cellStyle name="Hyperlink" xfId="2510" builtinId="8" hidden="true"/>
    <cellStyle name="Hyperlink" xfId="2512" builtinId="8" hidden="true"/>
    <cellStyle name="Hyperlink" xfId="2514" builtinId="8" hidden="true"/>
    <cellStyle name="Hyperlink" xfId="2516" builtinId="8" hidden="true"/>
    <cellStyle name="Hyperlink" xfId="2518" builtinId="8" hidden="true"/>
    <cellStyle name="Hyperlink" xfId="2520" builtinId="8" hidden="true"/>
    <cellStyle name="Hyperlink" xfId="2522" builtinId="8" hidden="true"/>
    <cellStyle name="Hyperlink" xfId="2524" builtinId="8" hidden="true"/>
    <cellStyle name="Hyperlink" xfId="2526" builtinId="8" hidden="true"/>
    <cellStyle name="Hyperlink" xfId="2528" builtinId="8" hidden="true"/>
    <cellStyle name="Hyperlink" xfId="2530" builtinId="8" hidden="true"/>
    <cellStyle name="Hyperlink" xfId="2532" builtinId="8" hidden="true"/>
    <cellStyle name="Hyperlink" xfId="2534" builtinId="8" hidden="true"/>
    <cellStyle name="Hyperlink" xfId="2536" builtinId="8" hidden="true"/>
    <cellStyle name="Hyperlink" xfId="2538" builtinId="8" hidden="true"/>
    <cellStyle name="Hyperlink" xfId="2540" builtinId="8" hidden="true"/>
    <cellStyle name="Hyperlink" xfId="2542" builtinId="8" hidden="true"/>
    <cellStyle name="Hyperlink" xfId="2544" builtinId="8" hidden="true"/>
    <cellStyle name="Hyperlink" xfId="2546" builtinId="8" hidden="true"/>
    <cellStyle name="Hyperlink" xfId="2548" builtinId="8" hidden="true"/>
    <cellStyle name="Hyperlink" xfId="2550" builtinId="8" hidden="true"/>
    <cellStyle name="Hyperlink" xfId="2552" builtinId="8" hidden="true"/>
    <cellStyle name="Hyperlink" xfId="2554" builtinId="8" hidden="true"/>
    <cellStyle name="Hyperlink" xfId="2556" builtinId="8" hidden="true"/>
    <cellStyle name="Hyperlink" xfId="2558" builtinId="8" hidden="true"/>
    <cellStyle name="Hyperlink" xfId="2560" builtinId="8" hidden="true"/>
    <cellStyle name="Hyperlink" xfId="2562" builtinId="8" hidden="true"/>
    <cellStyle name="Hyperlink" xfId="2564" builtinId="8" hidden="true"/>
    <cellStyle name="Hyperlink" xfId="2566" builtinId="8" hidden="true"/>
    <cellStyle name="Hyperlink" xfId="2568" builtinId="8" hidden="true"/>
    <cellStyle name="Hyperlink" xfId="2570" builtinId="8" hidden="true"/>
    <cellStyle name="Hyperlink" xfId="2572" builtinId="8" hidden="true"/>
    <cellStyle name="Hyperlink" xfId="2574" builtinId="8" hidden="true"/>
    <cellStyle name="Hyperlink" xfId="2576" builtinId="8" hidden="true"/>
    <cellStyle name="Hyperlink" xfId="2578" builtinId="8" hidden="true"/>
    <cellStyle name="Hyperlink" xfId="2580" builtinId="8" hidden="true"/>
    <cellStyle name="Hyperlink" xfId="2582" builtinId="8" hidden="true"/>
    <cellStyle name="Hyperlink" xfId="2584" builtinId="8" hidden="true"/>
    <cellStyle name="Hyperlink" xfId="2586" builtinId="8" hidden="true"/>
    <cellStyle name="Hyperlink" xfId="2588" builtinId="8" hidden="true"/>
    <cellStyle name="Hyperlink" xfId="2590" builtinId="8" hidden="true"/>
    <cellStyle name="Hyperlink" xfId="2592" builtinId="8" hidden="true"/>
    <cellStyle name="Hyperlink" xfId="2594" builtinId="8" hidden="true"/>
    <cellStyle name="Hyperlink" xfId="2596" builtinId="8" hidden="true"/>
    <cellStyle name="Hyperlink" xfId="2598" builtinId="8" hidden="true"/>
    <cellStyle name="Hyperlink" xfId="2600" builtinId="8" hidden="true"/>
    <cellStyle name="Hyperlink" xfId="2602" builtinId="8" hidden="true"/>
    <cellStyle name="Hyperlink" xfId="2604" builtinId="8" hidden="true"/>
    <cellStyle name="Hyperlink" xfId="2606" builtinId="8" hidden="true"/>
    <cellStyle name="Hyperlink" xfId="2608" builtinId="8" hidden="true"/>
    <cellStyle name="Hyperlink" xfId="2610" builtinId="8" hidden="true"/>
    <cellStyle name="Hyperlink" xfId="2612" builtinId="8" hidden="true"/>
    <cellStyle name="Hyperlink" xfId="2614" builtinId="8" hidden="true"/>
    <cellStyle name="Hyperlink" xfId="2616" builtinId="8" hidden="true"/>
    <cellStyle name="Hyperlink" xfId="2618" builtinId="8" hidden="true"/>
    <cellStyle name="Hyperlink" xfId="2620" builtinId="8" hidden="true"/>
    <cellStyle name="Hyperlink" xfId="2622" builtinId="8" hidden="true"/>
    <cellStyle name="Hyperlink" xfId="2624" builtinId="8" hidden="true"/>
    <cellStyle name="Hyperlink" xfId="2626" builtinId="8" hidden="true"/>
    <cellStyle name="Hyperlink" xfId="2628" builtinId="8" hidden="true"/>
    <cellStyle name="Hyperlink" xfId="2630" builtinId="8" hidden="true"/>
    <cellStyle name="Hyperlink" xfId="2632" builtinId="8" hidden="true"/>
    <cellStyle name="Hyperlink" xfId="2634" builtinId="8" hidden="true"/>
    <cellStyle name="Hyperlink" xfId="2636" builtinId="8" hidden="true"/>
    <cellStyle name="Hyperlink" xfId="2638" builtinId="8" hidden="true"/>
    <cellStyle name="Hyperlink" xfId="2640" builtinId="8" hidden="true"/>
    <cellStyle name="Hyperlink" xfId="2642" builtinId="8" hidden="true"/>
    <cellStyle name="Hyperlink" xfId="2644" builtinId="8" hidden="true"/>
    <cellStyle name="Hyperlink" xfId="2646" builtinId="8" hidden="true"/>
    <cellStyle name="Hyperlink" xfId="2648" builtinId="8" hidden="true"/>
    <cellStyle name="Hyperlink" xfId="2650" builtinId="8" hidden="true"/>
    <cellStyle name="Hyperlink" xfId="2652" builtinId="8" hidden="true"/>
    <cellStyle name="Hyperlink" xfId="2654" builtinId="8" hidden="true"/>
    <cellStyle name="Hyperlink" xfId="2656" builtinId="8" hidden="true"/>
    <cellStyle name="Hyperlink" xfId="2658" builtinId="8" hidden="true"/>
    <cellStyle name="Hyperlink" xfId="2660" builtinId="8" hidden="true"/>
    <cellStyle name="Hyperlink" xfId="2662" builtinId="8" hidden="true"/>
    <cellStyle name="Hyperlink" xfId="2664" builtinId="8" hidden="true"/>
    <cellStyle name="Hyperlink" xfId="2666" builtinId="8" hidden="true"/>
    <cellStyle name="Hyperlink" xfId="2668" builtinId="8" hidden="true"/>
    <cellStyle name="Hyperlink" xfId="2670" builtinId="8" hidden="true"/>
    <cellStyle name="Hyperlink" xfId="2672" builtinId="8" hidden="true"/>
    <cellStyle name="Hyperlink" xfId="2674" builtinId="8" hidden="true"/>
    <cellStyle name="Hyperlink" xfId="2676" builtinId="8" hidden="true"/>
    <cellStyle name="Hyperlink" xfId="2678" builtinId="8" hidden="true"/>
    <cellStyle name="Hyperlink" xfId="2680" builtinId="8" hidden="true"/>
    <cellStyle name="Hyperlink" xfId="2682" builtinId="8" hidden="true"/>
    <cellStyle name="Hyperlink" xfId="2684" builtinId="8" hidden="true"/>
    <cellStyle name="Hyperlink" xfId="2686" builtinId="8" hidden="true"/>
    <cellStyle name="Hyperlink" xfId="2688" builtinId="8" hidden="true"/>
    <cellStyle name="Hyperlink" xfId="2690" builtinId="8" hidden="true"/>
    <cellStyle name="Hyperlink" xfId="2692" builtinId="8" hidden="true"/>
    <cellStyle name="Hyperlink" xfId="2694" builtinId="8" hidden="true"/>
    <cellStyle name="Hyperlink" xfId="2696" builtinId="8" hidden="true"/>
    <cellStyle name="Hyperlink" xfId="2698" builtinId="8" hidden="true"/>
    <cellStyle name="Hyperlink" xfId="2700" builtinId="8" hidden="true"/>
    <cellStyle name="Hyperlink" xfId="2702" builtinId="8" hidden="true"/>
    <cellStyle name="Hyperlink" xfId="2704" builtinId="8" hidden="true"/>
    <cellStyle name="Hyperlink" xfId="2706" builtinId="8" hidden="true"/>
    <cellStyle name="Hyperlink" xfId="2708" builtinId="8" hidden="true"/>
    <cellStyle name="Hyperlink" xfId="2710" builtinId="8" hidden="true"/>
    <cellStyle name="Hyperlink" xfId="2712" builtinId="8" hidden="true"/>
    <cellStyle name="Hyperlink" xfId="2714" builtinId="8" hidden="true"/>
    <cellStyle name="Hyperlink" xfId="2716" builtinId="8" hidden="true"/>
    <cellStyle name="Hyperlink" xfId="2718" builtinId="8" hidden="true"/>
    <cellStyle name="Hyperlink" xfId="2720" builtinId="8" hidden="true"/>
    <cellStyle name="Hyperlink" xfId="2722" builtinId="8" hidden="true"/>
    <cellStyle name="Hyperlink" xfId="2724" builtinId="8" hidden="true"/>
    <cellStyle name="Hyperlink" xfId="2726" builtinId="8" hidden="true"/>
    <cellStyle name="Hyperlink" xfId="2728" builtinId="8" hidden="true"/>
    <cellStyle name="Hyperlink" xfId="2730" builtinId="8" hidden="true"/>
    <cellStyle name="Hyperlink" xfId="2732" builtinId="8" hidden="true"/>
    <cellStyle name="Hyperlink" xfId="2734" builtinId="8" hidden="true"/>
    <cellStyle name="Hyperlink" xfId="2736" builtinId="8" hidden="true"/>
    <cellStyle name="Hyperlink" xfId="2738" builtinId="8" hidden="true"/>
    <cellStyle name="Hyperlink" xfId="2740" builtinId="8" hidden="true"/>
    <cellStyle name="Hyperlink" xfId="2742" builtinId="8" hidden="true"/>
    <cellStyle name="Hyperlink" xfId="2744" builtinId="8" hidden="true"/>
    <cellStyle name="Hyperlink" xfId="2746" builtinId="8" hidden="true"/>
    <cellStyle name="Hyperlink" xfId="2748" builtinId="8" hidden="true"/>
    <cellStyle name="Hyperlink" xfId="2750" builtinId="8" hidden="true"/>
    <cellStyle name="Hyperlink" xfId="2752" builtinId="8" hidden="true"/>
    <cellStyle name="Hyperlink" xfId="2754" builtinId="8" hidden="true"/>
    <cellStyle name="Hyperlink" xfId="2756" builtinId="8" hidden="true"/>
    <cellStyle name="Hyperlink" xfId="2758" builtinId="8" hidden="true"/>
    <cellStyle name="Hyperlink" xfId="2760" builtinId="8" hidden="true"/>
    <cellStyle name="Hyperlink" xfId="2762" builtinId="8" hidden="true"/>
    <cellStyle name="Hyperlink" xfId="2764" builtinId="8" hidden="true"/>
    <cellStyle name="Hyperlink" xfId="2766" builtinId="8" hidden="true"/>
    <cellStyle name="Hyperlink" xfId="2768" builtinId="8" hidden="true"/>
    <cellStyle name="Hyperlink" xfId="2770" builtinId="8" hidden="true"/>
    <cellStyle name="Hyperlink" xfId="2772" builtinId="8" hidden="true"/>
    <cellStyle name="Hyperlink" xfId="2774" builtinId="8" hidden="true"/>
    <cellStyle name="Hyperlink" xfId="2776" builtinId="8" hidden="true"/>
    <cellStyle name="Hyperlink" xfId="2778" builtinId="8" hidden="true"/>
    <cellStyle name="Hyperlink" xfId="2780" builtinId="8" hidden="true"/>
    <cellStyle name="Hyperlink" xfId="2782" builtinId="8" hidden="true"/>
    <cellStyle name="Hyperlink" xfId="2784" builtinId="8" hidden="true"/>
    <cellStyle name="Hyperlink" xfId="2786" builtinId="8" hidden="true"/>
    <cellStyle name="Hyperlink" xfId="2788" builtinId="8" hidden="true"/>
    <cellStyle name="Hyperlink" xfId="2790" builtinId="8" hidden="true"/>
    <cellStyle name="Hyperlink" xfId="2792" builtinId="8" hidden="true"/>
    <cellStyle name="Hyperlink" xfId="2794" builtinId="8" hidden="true"/>
    <cellStyle name="Hyperlink" xfId="2796" builtinId="8" hidden="true"/>
    <cellStyle name="Hyperlink" xfId="2798" builtinId="8" hidden="true"/>
    <cellStyle name="Hyperlink" xfId="2800" builtinId="8" hidden="true"/>
    <cellStyle name="Hyperlink" xfId="2802" builtinId="8" hidden="true"/>
    <cellStyle name="Hyperlink" xfId="2804" builtinId="8" hidden="true"/>
    <cellStyle name="Hyperlink" xfId="2806" builtinId="8" hidden="true"/>
    <cellStyle name="Hyperlink" xfId="2808" builtinId="8" hidden="true"/>
    <cellStyle name="Hyperlink" xfId="2810" builtinId="8" hidden="true"/>
    <cellStyle name="Hyperlink" xfId="2812" builtinId="8" hidden="true"/>
    <cellStyle name="Hyperlink" xfId="2814" builtinId="8" hidden="true"/>
    <cellStyle name="Hyperlink" xfId="2816" builtinId="8" hidden="true"/>
    <cellStyle name="Hyperlink" xfId="2818" builtinId="8" hidden="true"/>
    <cellStyle name="Hyperlink" xfId="2820" builtinId="8" hidden="true"/>
    <cellStyle name="Hyperlink" xfId="2822" builtinId="8" hidden="true"/>
    <cellStyle name="Hyperlink" xfId="2824" builtinId="8" hidden="true"/>
    <cellStyle name="Hyperlink" xfId="2826" builtinId="8" hidden="true"/>
    <cellStyle name="Hyperlink" xfId="2828" builtinId="8" hidden="true"/>
    <cellStyle name="Hyperlink" xfId="2830" builtinId="8" hidden="true"/>
    <cellStyle name="Hyperlink" xfId="2832" builtinId="8" hidden="true"/>
    <cellStyle name="Hyperlink" xfId="2834" builtinId="8" hidden="true"/>
    <cellStyle name="Hyperlink" xfId="2836" builtinId="8" hidden="true"/>
    <cellStyle name="Hyperlink" xfId="2838" builtinId="8" hidden="true"/>
    <cellStyle name="Hyperlink" xfId="2840" builtinId="8" hidden="true"/>
    <cellStyle name="Hyperlink" xfId="2842" builtinId="8" hidden="true"/>
    <cellStyle name="Hyperlink" xfId="2844" builtinId="8" hidden="true"/>
    <cellStyle name="Hyperlink" xfId="2846" builtinId="8" hidden="true"/>
    <cellStyle name="Hyperlink" xfId="2848" builtinId="8" hidden="true"/>
    <cellStyle name="Hyperlink" xfId="2850" builtinId="8" hidden="true"/>
    <cellStyle name="Hyperlink" xfId="2852" builtinId="8" hidden="true"/>
    <cellStyle name="Hyperlink" xfId="2854" builtinId="8" hidden="true"/>
    <cellStyle name="Hyperlink" xfId="2856" builtinId="8" hidden="true"/>
    <cellStyle name="Hyperlink" xfId="2858" builtinId="8" hidden="true"/>
    <cellStyle name="Hyperlink" xfId="2860" builtinId="8" hidden="true"/>
    <cellStyle name="Hyperlink" xfId="2862" builtinId="8" hidden="true"/>
    <cellStyle name="Hyperlink" xfId="2864" builtinId="8" hidden="true"/>
    <cellStyle name="Hyperlink" xfId="2866" builtinId="8" hidden="true"/>
    <cellStyle name="Hyperlink" xfId="2868" builtinId="8" hidden="true"/>
    <cellStyle name="Hyperlink" xfId="2870" builtinId="8" hidden="true"/>
    <cellStyle name="Hyperlink" xfId="2872" builtinId="8" hidden="true"/>
    <cellStyle name="Hyperlink" xfId="2874" builtinId="8" hidden="true"/>
    <cellStyle name="Hyperlink" xfId="2876" builtinId="8" hidden="true"/>
    <cellStyle name="Hyperlink" xfId="2878" builtinId="8" hidden="true"/>
    <cellStyle name="Hyperlink" xfId="2880" builtinId="8" hidden="true"/>
    <cellStyle name="Hyperlink" xfId="2882" builtinId="8" hidden="true"/>
    <cellStyle name="Hyperlink" xfId="2884" builtinId="8" hidden="true"/>
    <cellStyle name="Hyperlink" xfId="2886" builtinId="8" hidden="true"/>
    <cellStyle name="Hyperlink" xfId="2888" builtinId="8" hidden="true"/>
    <cellStyle name="Hyperlink" xfId="2890" builtinId="8" hidden="true"/>
    <cellStyle name="Hyperlink" xfId="2892" builtinId="8" hidden="true"/>
    <cellStyle name="Hyperlink" xfId="2894" builtinId="8" hidden="true"/>
    <cellStyle name="Hyperlink" xfId="2896" builtinId="8" hidden="true"/>
    <cellStyle name="Hyperlink" xfId="2898" builtinId="8" hidden="true"/>
    <cellStyle name="Hyperlink" xfId="2900" builtinId="8" hidden="true"/>
    <cellStyle name="Hyperlink" xfId="2902" builtinId="8" hidden="true"/>
    <cellStyle name="Hyperlink" xfId="2904" builtinId="8" hidden="true"/>
    <cellStyle name="Hyperlink" xfId="2906" builtinId="8" hidden="true"/>
    <cellStyle name="Hyperlink" xfId="2908" builtinId="8" hidden="true"/>
    <cellStyle name="Hyperlink" xfId="2910" builtinId="8" hidden="true"/>
    <cellStyle name="Hyperlink" xfId="2912" builtinId="8" hidden="true"/>
    <cellStyle name="Hyperlink" xfId="2914" builtinId="8" hidden="true"/>
    <cellStyle name="Hyperlink" xfId="2916" builtinId="8" hidden="true"/>
    <cellStyle name="Hyperlink" xfId="2918" builtinId="8" hidden="true"/>
    <cellStyle name="Hyperlink" xfId="2920" builtinId="8" hidden="true"/>
    <cellStyle name="Hyperlink" xfId="2922" builtinId="8" hidden="true"/>
    <cellStyle name="Hyperlink" xfId="2924" builtinId="8" hidden="true"/>
    <cellStyle name="Hyperlink" xfId="2926" builtinId="8" hidden="true"/>
    <cellStyle name="Hyperlink" xfId="2928" builtinId="8" hidden="true"/>
    <cellStyle name="Hyperlink" xfId="2930" builtinId="8" hidden="true"/>
    <cellStyle name="Hyperlink" xfId="2932" builtinId="8" hidden="true"/>
    <cellStyle name="Hyperlink" xfId="2934" builtinId="8" hidden="true"/>
    <cellStyle name="Hyperlink" xfId="2936" builtinId="8" hidden="true"/>
    <cellStyle name="Hyperlink" xfId="2938" builtinId="8" hidden="true"/>
    <cellStyle name="Hyperlink" xfId="2940" builtinId="8" hidden="true"/>
    <cellStyle name="Hyperlink" xfId="2942" builtinId="8" hidden="true"/>
    <cellStyle name="Hyperlink" xfId="2944" builtinId="8" hidden="true"/>
    <cellStyle name="Hyperlink" xfId="2946" builtinId="8" hidden="true"/>
    <cellStyle name="Hyperlink" xfId="2948" builtinId="8" hidden="true"/>
    <cellStyle name="Hyperlink" xfId="2950" builtinId="8" hidden="true"/>
    <cellStyle name="Hyperlink" xfId="2952" builtinId="8" hidden="true"/>
    <cellStyle name="Hyperlink" xfId="2954" builtinId="8" hidden="true"/>
    <cellStyle name="Hyperlink" xfId="2956" builtinId="8" hidden="true"/>
    <cellStyle name="Hyperlink" xfId="2958" builtinId="8" hidden="true"/>
    <cellStyle name="Hyperlink" xfId="2960" builtinId="8" hidden="true"/>
    <cellStyle name="Hyperlink" xfId="2962" builtinId="8" hidden="true"/>
    <cellStyle name="Hyperlink" xfId="2964" builtinId="8" hidden="true"/>
    <cellStyle name="Hyperlink" xfId="2966" builtinId="8" hidden="true"/>
    <cellStyle name="Hyperlink" xfId="2968" builtinId="8" hidden="true"/>
    <cellStyle name="Hyperlink" xfId="2970" builtinId="8" hidden="true"/>
    <cellStyle name="Hyperlink" xfId="2972" builtinId="8" hidden="true"/>
    <cellStyle name="Hyperlink" xfId="2974" builtinId="8" hidden="true"/>
    <cellStyle name="Hyperlink" xfId="2976" builtinId="8" hidden="true"/>
    <cellStyle name="Hyperlink" xfId="2978" builtinId="8" hidden="true"/>
    <cellStyle name="Hyperlink" xfId="2980" builtinId="8" hidden="true"/>
    <cellStyle name="Hyperlink" xfId="2982" builtinId="8" hidden="true"/>
    <cellStyle name="Hyperlink" xfId="2984" builtinId="8" hidden="true"/>
    <cellStyle name="Hyperlink" xfId="2986" builtinId="8" hidden="true"/>
    <cellStyle name="Hyperlink" xfId="2988" builtinId="8" hidden="true"/>
    <cellStyle name="Hyperlink" xfId="2990" builtinId="8" hidden="true"/>
    <cellStyle name="Hyperlink" xfId="2992" builtinId="8" hidden="true"/>
    <cellStyle name="Hyperlink" xfId="2994" builtinId="8" hidden="true"/>
    <cellStyle name="Hyperlink" xfId="2996" builtinId="8" hidden="true"/>
    <cellStyle name="Hyperlink" xfId="2998" builtinId="8" hidden="true"/>
    <cellStyle name="Hyperlink" xfId="3000" builtinId="8" hidden="true"/>
    <cellStyle name="Hyperlink" xfId="3002" builtinId="8" hidden="true"/>
    <cellStyle name="Hyperlink" xfId="3004" builtinId="8" hidden="true"/>
    <cellStyle name="Hyperlink" xfId="3006" builtinId="8" hidden="true"/>
    <cellStyle name="Hyperlink" xfId="3008" builtinId="8" hidden="true"/>
    <cellStyle name="Hyperlink" xfId="3010" builtinId="8" hidden="true"/>
    <cellStyle name="Hyperlink" xfId="3012" builtinId="8" hidden="true"/>
    <cellStyle name="Hyperlink" xfId="3014" builtinId="8" hidden="true"/>
    <cellStyle name="Hyperlink" xfId="3016" builtinId="8" hidden="true"/>
    <cellStyle name="Hyperlink" xfId="3018" builtinId="8" hidden="true"/>
    <cellStyle name="Hyperlink" xfId="3020" builtinId="8" hidden="true"/>
    <cellStyle name="Hyperlink" xfId="3022" builtinId="8" hidden="true"/>
    <cellStyle name="Hyperlink" xfId="3024" builtinId="8" hidden="true"/>
    <cellStyle name="Hyperlink" xfId="3026" builtinId="8" hidden="true"/>
    <cellStyle name="Hyperlink" xfId="3028" builtinId="8" hidden="true"/>
    <cellStyle name="Hyperlink" xfId="3030" builtinId="8" hidden="true"/>
    <cellStyle name="Hyperlink" xfId="3032" builtinId="8" hidden="true"/>
    <cellStyle name="Hyperlink" xfId="3034" builtinId="8" hidden="true"/>
    <cellStyle name="Hyperlink" xfId="3036" builtinId="8" hidden="true"/>
    <cellStyle name="Hyperlink" xfId="3038" builtinId="8" hidden="true"/>
    <cellStyle name="Hyperlink" xfId="3040" builtinId="8" hidden="true"/>
    <cellStyle name="Hyperlink" xfId="3042" builtinId="8" hidden="true"/>
    <cellStyle name="Hyperlink" xfId="3044" builtinId="8" hidden="true"/>
    <cellStyle name="Hyperlink" xfId="3046" builtinId="8" hidden="true"/>
    <cellStyle name="Hyperlink" xfId="3048" builtinId="8" hidden="true"/>
    <cellStyle name="Hyperlink" xfId="3050" builtinId="8" hidden="true"/>
    <cellStyle name="Hyperlink" xfId="3052" builtinId="8" hidden="true"/>
    <cellStyle name="Hyperlink" xfId="3054" builtinId="8" hidden="true"/>
    <cellStyle name="Hyperlink" xfId="3056" builtinId="8" hidden="true"/>
    <cellStyle name="Hyperlink" xfId="3058" builtinId="8" hidden="true"/>
    <cellStyle name="Hyperlink" xfId="3060" builtinId="8" hidden="true"/>
    <cellStyle name="Hyperlink" xfId="3062" builtinId="8" hidden="true"/>
    <cellStyle name="Hyperlink" xfId="3064" builtinId="8" hidden="true"/>
    <cellStyle name="Hyperlink" xfId="3066" builtinId="8" hidden="true"/>
    <cellStyle name="Hyperlink" xfId="3068" builtinId="8" hidden="true"/>
    <cellStyle name="Hyperlink" xfId="3070" builtinId="8" hidden="true"/>
    <cellStyle name="Hyperlink" xfId="3072" builtinId="8" hidden="true"/>
    <cellStyle name="Hyperlink" xfId="3074" builtinId="8" hidden="true"/>
    <cellStyle name="Hyperlink" xfId="3076" builtinId="8" hidden="true"/>
    <cellStyle name="Hyperlink" xfId="3078" builtinId="8" hidden="true"/>
    <cellStyle name="Hyperlink" xfId="3080" builtinId="8" hidden="true"/>
    <cellStyle name="Hyperlink" xfId="3082" builtinId="8" hidden="true"/>
    <cellStyle name="Hyperlink" xfId="3084" builtinId="8" hidden="true"/>
    <cellStyle name="Hyperlink" xfId="3086" builtinId="8" hidden="true"/>
    <cellStyle name="Hyperlink" xfId="3088" builtinId="8" hidden="true"/>
    <cellStyle name="Hyperlink" xfId="3090" builtinId="8" hidden="true"/>
    <cellStyle name="Hyperlink" xfId="3092" builtinId="8" hidden="true"/>
    <cellStyle name="Hyperlink" xfId="3094" builtinId="8" hidden="true"/>
    <cellStyle name="Hyperlink" xfId="3096" builtinId="8" hidden="true"/>
    <cellStyle name="Hyperlink" xfId="3098" builtinId="8" hidden="true"/>
    <cellStyle name="Hyperlink" xfId="3100" builtinId="8" hidden="true"/>
    <cellStyle name="Hyperlink" xfId="3102" builtinId="8" hidden="true"/>
    <cellStyle name="Hyperlink" xfId="3104" builtinId="8" hidden="true"/>
    <cellStyle name="Hyperlink" xfId="3106" builtinId="8" hidden="true"/>
    <cellStyle name="Hyperlink" xfId="3108" builtinId="8" hidden="true"/>
    <cellStyle name="Hyperlink" xfId="3110" builtinId="8" hidden="true"/>
    <cellStyle name="Hyperlink" xfId="3112" builtinId="8" hidden="true"/>
    <cellStyle name="Hyperlink" xfId="3114" builtinId="8" hidden="true"/>
    <cellStyle name="Hyperlink" xfId="3116" builtinId="8" hidden="true"/>
    <cellStyle name="Hyperlink" xfId="3118" builtinId="8" hidden="true"/>
    <cellStyle name="Hyperlink" xfId="3120" builtinId="8" hidden="true"/>
    <cellStyle name="Hyperlink" xfId="3122" builtinId="8" hidden="true"/>
    <cellStyle name="Hyperlink" xfId="3124" builtinId="8" hidden="true"/>
    <cellStyle name="Hyperlink" xfId="3126" builtinId="8" hidden="true"/>
    <cellStyle name="Hyperlink" xfId="3128" builtinId="8" hidden="true"/>
    <cellStyle name="Hyperlink" xfId="3130" builtinId="8" hidden="true"/>
    <cellStyle name="Hyperlink" xfId="3132" builtinId="8" hidden="true"/>
    <cellStyle name="Hyperlink" xfId="3134" builtinId="8" hidden="true"/>
    <cellStyle name="Hyperlink" xfId="3136" builtinId="8" hidden="true"/>
    <cellStyle name="Hyperlink" xfId="3138" builtinId="8" hidden="true"/>
    <cellStyle name="Hyperlink" xfId="3140" builtinId="8" hidden="true"/>
    <cellStyle name="Hyperlink" xfId="3142" builtinId="8" hidden="true"/>
    <cellStyle name="Hyperlink" xfId="3144" builtinId="8" hidden="true"/>
    <cellStyle name="Hyperlink" xfId="3146" builtinId="8" hidden="true"/>
    <cellStyle name="Hyperlink" xfId="3148" builtinId="8" hidden="true"/>
    <cellStyle name="Hyperlink" xfId="3150" builtinId="8" hidden="true"/>
    <cellStyle name="Hyperlink" xfId="3152" builtinId="8" hidden="true"/>
    <cellStyle name="Hyperlink" xfId="3154" builtinId="8" hidden="true"/>
    <cellStyle name="Hyperlink" xfId="3156" builtinId="8" hidden="true"/>
    <cellStyle name="Hyperlink" xfId="3158" builtinId="8" hidden="true"/>
    <cellStyle name="Hyperlink" xfId="3160" builtinId="8" hidden="true"/>
    <cellStyle name="Hyperlink" xfId="3162" builtinId="8" hidden="true"/>
    <cellStyle name="Hyperlink" xfId="3164" builtinId="8" hidden="true"/>
    <cellStyle name="Hyperlink" xfId="3166" builtinId="8" hidden="true"/>
    <cellStyle name="Hyperlink" xfId="3168" builtinId="8" hidden="true"/>
    <cellStyle name="Hyperlink" xfId="3170" builtinId="8" hidden="true"/>
    <cellStyle name="Hyperlink" xfId="3172" builtinId="8" hidden="true"/>
    <cellStyle name="Hyperlink" xfId="3174" builtinId="8" hidden="true"/>
    <cellStyle name="Hyperlink" xfId="3176" builtinId="8" hidden="true"/>
    <cellStyle name="Hyperlink" xfId="3178" builtinId="8" hidden="true"/>
    <cellStyle name="Hyperlink" xfId="3180" builtinId="8" hidden="true"/>
    <cellStyle name="Hyperlink" xfId="3182" builtinId="8" hidden="true"/>
    <cellStyle name="Hyperlink" xfId="3184" builtinId="8" hidden="true"/>
    <cellStyle name="Hyperlink" xfId="3186" builtinId="8" hidden="true"/>
    <cellStyle name="Hyperlink" xfId="3188" builtinId="8" hidden="true"/>
    <cellStyle name="Hyperlink" xfId="3190" builtinId="8" hidden="true"/>
    <cellStyle name="Hyperlink" xfId="3192" builtinId="8" hidden="true"/>
    <cellStyle name="Hyperlink" xfId="3194" builtinId="8" hidden="true"/>
    <cellStyle name="Hyperlink" xfId="3196" builtinId="8" hidden="true"/>
    <cellStyle name="Hyperlink" xfId="3198" builtinId="8" hidden="true"/>
    <cellStyle name="Hyperlink" xfId="3200" builtinId="8" hidden="true"/>
    <cellStyle name="Hyperlink" xfId="3202" builtinId="8" hidden="true"/>
    <cellStyle name="Hyperlink" xfId="3204" builtinId="8" hidden="true"/>
    <cellStyle name="Hyperlink" xfId="3206" builtinId="8" hidden="true"/>
    <cellStyle name="Hyperlink" xfId="3208" builtinId="8" hidden="true"/>
    <cellStyle name="Hyperlink" xfId="3210" builtinId="8" hidden="true"/>
    <cellStyle name="Hyperlink" xfId="3212" builtinId="8" hidden="true"/>
    <cellStyle name="Hyperlink" xfId="3214" builtinId="8" hidden="true"/>
    <cellStyle name="Hyperlink" xfId="3216" builtinId="8" hidden="true"/>
    <cellStyle name="Hyperlink" xfId="3218" builtinId="8" hidden="true"/>
    <cellStyle name="Hyperlink" xfId="3220" builtinId="8" hidden="true"/>
    <cellStyle name="Hyperlink" xfId="3222" builtinId="8" hidden="true"/>
    <cellStyle name="Hyperlink" xfId="3224" builtinId="8" hidden="true"/>
    <cellStyle name="Hyperlink" xfId="3226" builtinId="8" hidden="true"/>
    <cellStyle name="Hyperlink" xfId="3228" builtinId="8" hidden="true"/>
    <cellStyle name="Hyperlink" xfId="3230" builtinId="8" hidden="true"/>
    <cellStyle name="Hyperlink" xfId="3232" builtinId="8" hidden="true"/>
    <cellStyle name="Hyperlink" xfId="3234" builtinId="8" hidden="true"/>
    <cellStyle name="Hyperlink" xfId="3236" builtinId="8" hidden="true"/>
    <cellStyle name="Hyperlink" xfId="3238" builtinId="8" hidden="true"/>
    <cellStyle name="Hyperlink" xfId="3240" builtinId="8" hidden="true"/>
    <cellStyle name="Hyperlink" xfId="3242" builtinId="8" hidden="true"/>
    <cellStyle name="Hyperlink" xfId="3244" builtinId="8" hidden="true"/>
    <cellStyle name="Hyperlink" xfId="3246" builtinId="8" hidden="true"/>
    <cellStyle name="Hyperlink" xfId="3248" builtinId="8" hidden="true"/>
    <cellStyle name="Hyperlink" xfId="3250" builtinId="8" hidden="true"/>
    <cellStyle name="Hyperlink" xfId="3252" builtinId="8" hidden="true"/>
    <cellStyle name="Hyperlink" xfId="3254" builtinId="8" hidden="true"/>
    <cellStyle name="Hyperlink" xfId="3256" builtinId="8" hidden="true"/>
    <cellStyle name="Hyperlink" xfId="3258" builtinId="8" hidden="true"/>
    <cellStyle name="Hyperlink" xfId="3260" builtinId="8" hidden="true"/>
    <cellStyle name="Hyperlink" xfId="3262" builtinId="8" hidden="true"/>
    <cellStyle name="Hyperlink" xfId="3264" builtinId="8" hidden="true"/>
    <cellStyle name="Hyperlink" xfId="3266" builtinId="8" hidden="true"/>
    <cellStyle name="Hyperlink" xfId="3268" builtinId="8" hidden="true"/>
    <cellStyle name="Hyperlink" xfId="3270" builtinId="8" hidden="true"/>
    <cellStyle name="Hyperlink" xfId="3272" builtinId="8" hidden="true"/>
    <cellStyle name="Hyperlink" xfId="3274" builtinId="8" hidden="true"/>
    <cellStyle name="Hyperlink" xfId="3276" builtinId="8" hidden="true"/>
    <cellStyle name="Hyperlink" xfId="3278" builtinId="8" hidden="true"/>
    <cellStyle name="Hyperlink" xfId="3280" builtinId="8" hidden="true"/>
    <cellStyle name="Hyperlink" xfId="3282" builtinId="8" hidden="true"/>
    <cellStyle name="Hyperlink" xfId="3284" builtinId="8" hidden="true"/>
    <cellStyle name="Hyperlink" xfId="3286" builtinId="8" hidden="true"/>
    <cellStyle name="Hyperlink" xfId="3288" builtinId="8" hidden="true"/>
    <cellStyle name="Hyperlink" xfId="3290" builtinId="8" hidden="true"/>
    <cellStyle name="Hyperlink" xfId="3292" builtinId="8" hidden="true"/>
    <cellStyle name="Hyperlink" xfId="3294" builtinId="8" hidden="true"/>
    <cellStyle name="Hyperlink" xfId="3296" builtinId="8" hidden="true"/>
    <cellStyle name="Hyperlink" xfId="3298" builtinId="8" hidden="true"/>
    <cellStyle name="Hyperlink" xfId="3300" builtinId="8" hidden="true"/>
    <cellStyle name="Hyperlink" xfId="3302" builtinId="8" hidden="true"/>
    <cellStyle name="Hyperlink" xfId="3304" builtinId="8" hidden="true"/>
    <cellStyle name="Hyperlink" xfId="3306" builtinId="8" hidden="true"/>
    <cellStyle name="Hyperlink" xfId="3308" builtinId="8" hidden="true"/>
    <cellStyle name="Hyperlink" xfId="3310" builtinId="8" hidden="true"/>
    <cellStyle name="Hyperlink" xfId="3312" builtinId="8" hidden="true"/>
    <cellStyle name="Hyperlink" xfId="3314" builtinId="8" hidden="true"/>
    <cellStyle name="Hyperlink" xfId="3316" builtinId="8" hidden="true"/>
    <cellStyle name="Hyperlink" xfId="3318" builtinId="8" hidden="true"/>
    <cellStyle name="Hyperlink" xfId="3320" builtinId="8" hidden="true"/>
    <cellStyle name="Hyperlink" xfId="3322" builtinId="8" hidden="true"/>
    <cellStyle name="Hyperlink" xfId="3324" builtinId="8" hidden="true"/>
    <cellStyle name="Hyperlink" xfId="3326" builtinId="8" hidden="true"/>
    <cellStyle name="Hyperlink" xfId="3328" builtinId="8" hidden="true"/>
    <cellStyle name="Hyperlink" xfId="3330" builtinId="8" hidden="true"/>
    <cellStyle name="Hyperlink" xfId="3332" builtinId="8" hidden="true"/>
    <cellStyle name="Hyperlink" xfId="3334" builtinId="8" hidden="true"/>
    <cellStyle name="Hyperlink" xfId="3336" builtinId="8" hidden="true"/>
    <cellStyle name="Hyperlink" xfId="3338" builtinId="8" hidden="true"/>
    <cellStyle name="Hyperlink" xfId="3340" builtinId="8" hidden="true"/>
    <cellStyle name="Hyperlink" xfId="3342" builtinId="8" hidden="true"/>
    <cellStyle name="Hyperlink" xfId="3344" builtinId="8" hidden="true"/>
    <cellStyle name="Hyperlink" xfId="3346" builtinId="8" hidden="true"/>
    <cellStyle name="Hyperlink" xfId="3348" builtinId="8" hidden="true"/>
    <cellStyle name="Hyperlink" xfId="3350" builtinId="8" hidden="true"/>
    <cellStyle name="Hyperlink" xfId="3352" builtinId="8" hidden="true"/>
    <cellStyle name="Hyperlink" xfId="3354" builtinId="8" hidden="true"/>
    <cellStyle name="Hyperlink" xfId="3356" builtinId="8" hidden="true"/>
    <cellStyle name="Hyperlink" xfId="3358" builtinId="8" hidden="true"/>
    <cellStyle name="Hyperlink" xfId="3360" builtinId="8" hidden="true"/>
    <cellStyle name="Hyperlink" xfId="3362" builtinId="8" hidden="true"/>
    <cellStyle name="Hyperlink" xfId="3364" builtinId="8" hidden="true"/>
    <cellStyle name="Hyperlink" xfId="3366" builtinId="8" hidden="true"/>
    <cellStyle name="Hyperlink" xfId="3368" builtinId="8" hidden="true"/>
    <cellStyle name="Hyperlink" xfId="3370" builtinId="8" hidden="true"/>
    <cellStyle name="Hyperlink" xfId="3372" builtinId="8" hidden="true"/>
    <cellStyle name="Hyperlink" xfId="3374" builtinId="8" hidden="true"/>
    <cellStyle name="Hyperlink" xfId="3376" builtinId="8" hidden="true"/>
    <cellStyle name="Hyperlink" xfId="3378" builtinId="8" hidden="true"/>
    <cellStyle name="Hyperlink" xfId="3380" builtinId="8" hidden="true"/>
    <cellStyle name="Hyperlink" xfId="3382" builtinId="8" hidden="true"/>
    <cellStyle name="Hyperlink" xfId="3384" builtinId="8" hidden="true"/>
    <cellStyle name="Hyperlink" xfId="3386" builtinId="8" hidden="true"/>
    <cellStyle name="Hyperlink" xfId="3388" builtinId="8" hidden="true"/>
    <cellStyle name="Hyperlink" xfId="3390" builtinId="8" hidden="true"/>
    <cellStyle name="Hyperlink" xfId="3392" builtinId="8" hidden="true"/>
    <cellStyle name="Hyperlink" xfId="3394" builtinId="8" hidden="true"/>
    <cellStyle name="Hyperlink" xfId="3396" builtinId="8" hidden="true"/>
    <cellStyle name="Hyperlink" xfId="3398" builtinId="8" hidden="true"/>
    <cellStyle name="Hyperlink" xfId="3400" builtinId="8" hidden="true"/>
    <cellStyle name="Hyperlink" xfId="3402" builtinId="8" hidden="true"/>
    <cellStyle name="Hyperlink" xfId="3404" builtinId="8" hidden="true"/>
    <cellStyle name="Hyperlink" xfId="3406" builtinId="8" hidden="true"/>
    <cellStyle name="Hyperlink" xfId="3408" builtinId="8" hidden="true"/>
    <cellStyle name="Hyperlink" xfId="3410" builtinId="8" hidden="true"/>
    <cellStyle name="Hyperlink" xfId="3412" builtinId="8" hidden="true"/>
    <cellStyle name="Hyperlink" xfId="3414" builtinId="8" hidden="true"/>
    <cellStyle name="Hyperlink" xfId="3416" builtinId="8" hidden="true"/>
    <cellStyle name="Hyperlink" xfId="3418" builtinId="8" hidden="true"/>
    <cellStyle name="Hyperlink" xfId="3420" builtinId="8" hidden="true"/>
    <cellStyle name="Hyperlink" xfId="3422" builtinId="8" hidden="true"/>
    <cellStyle name="Hyperlink" xfId="3424" builtinId="8" hidden="true"/>
    <cellStyle name="Hyperlink" xfId="3426" builtinId="8" hidden="true"/>
    <cellStyle name="Hyperlink" xfId="3428" builtinId="8" hidden="true"/>
    <cellStyle name="Hyperlink" xfId="3430" builtinId="8" hidden="true"/>
    <cellStyle name="Hyperlink" xfId="3432" builtinId="8" hidden="true"/>
    <cellStyle name="Hyperlink" xfId="3434" builtinId="8" hidden="true"/>
    <cellStyle name="Hyperlink" xfId="3436" builtinId="8" hidden="true"/>
    <cellStyle name="Hyperlink" xfId="3438" builtinId="8" hidden="true"/>
    <cellStyle name="Hyperlink" xfId="3440" builtinId="8" hidden="true"/>
    <cellStyle name="Hyperlink" xfId="3442" builtinId="8" hidden="true"/>
    <cellStyle name="Hyperlink" xfId="3444" builtinId="8" hidden="true"/>
    <cellStyle name="Hyperlink" xfId="3446" builtinId="8" hidden="true"/>
    <cellStyle name="Hyperlink" xfId="3448" builtinId="8" hidden="true"/>
    <cellStyle name="Hyperlink" xfId="3450" builtinId="8" hidden="true"/>
    <cellStyle name="Hyperlink" xfId="3452" builtinId="8" hidden="true"/>
    <cellStyle name="Hyperlink" xfId="3454" builtinId="8" hidden="true"/>
    <cellStyle name="Hyperlink" xfId="3456" builtinId="8" hidden="true"/>
    <cellStyle name="Hyperlink" xfId="3458" builtinId="8" hidden="true"/>
    <cellStyle name="Hyperlink" xfId="3460" builtinId="8" hidden="true"/>
    <cellStyle name="Hyperlink" xfId="3462" builtinId="8" hidden="true"/>
    <cellStyle name="Hyperlink" xfId="3464" builtinId="8" hidden="true"/>
    <cellStyle name="Hyperlink" xfId="3466" builtinId="8" hidden="true"/>
    <cellStyle name="Hyperlink" xfId="3468" builtinId="8" hidden="true"/>
    <cellStyle name="Hyperlink" xfId="3470" builtinId="8" hidden="true"/>
    <cellStyle name="Hyperlink" xfId="3472" builtinId="8" hidden="true"/>
    <cellStyle name="Hyperlink" xfId="3474" builtinId="8" hidden="true"/>
    <cellStyle name="Hyperlink" xfId="3476" builtinId="8" hidden="true"/>
    <cellStyle name="Hyperlink" xfId="3478" builtinId="8" hidden="true"/>
    <cellStyle name="Hyperlink" xfId="3480" builtinId="8" hidden="true"/>
    <cellStyle name="Hyperlink" xfId="3482" builtinId="8" hidden="true"/>
    <cellStyle name="Hyperlink" xfId="3484" builtinId="8" hidden="true"/>
    <cellStyle name="Hyperlink" xfId="3486" builtinId="8" hidden="true"/>
    <cellStyle name="Hyperlink" xfId="3488" builtinId="8" hidden="true"/>
    <cellStyle name="Hyperlink" xfId="3490" builtinId="8" hidden="true"/>
    <cellStyle name="Hyperlink" xfId="3492" builtinId="8" hidden="true"/>
    <cellStyle name="Hyperlink" xfId="3494" builtinId="8" hidden="true"/>
    <cellStyle name="Hyperlink" xfId="3496" builtinId="8" hidden="true"/>
    <cellStyle name="Hyperlink" xfId="3498" builtinId="8" hidden="true"/>
    <cellStyle name="Hyperlink" xfId="3500" builtinId="8" hidden="true"/>
    <cellStyle name="Hyperlink" xfId="3502" builtinId="8" hidden="true"/>
    <cellStyle name="Hyperlink" xfId="3504" builtinId="8" hidden="true"/>
    <cellStyle name="Hyperlink" xfId="3506" builtinId="8" hidden="true"/>
    <cellStyle name="Hyperlink" xfId="3508" builtinId="8" hidden="true"/>
    <cellStyle name="Hyperlink" xfId="3510" builtinId="8" hidden="true"/>
    <cellStyle name="Hyperlink" xfId="3512" builtinId="8" hidden="true"/>
    <cellStyle name="Hyperlink" xfId="3514" builtinId="8" hidden="true"/>
    <cellStyle name="Hyperlink" xfId="3516" builtinId="8" hidden="true"/>
    <cellStyle name="Hyperlink" xfId="3518" builtinId="8" hidden="true"/>
    <cellStyle name="Hyperlink" xfId="3520" builtinId="8" hidden="true"/>
    <cellStyle name="Hyperlink" xfId="3522" builtinId="8" hidden="true"/>
    <cellStyle name="Hyperlink" xfId="3524" builtinId="8" hidden="true"/>
    <cellStyle name="Hyperlink" xfId="3526" builtinId="8" hidden="true"/>
    <cellStyle name="Hyperlink" xfId="3528" builtinId="8" hidden="true"/>
    <cellStyle name="Hyperlink" xfId="3530" builtinId="8" hidden="true"/>
    <cellStyle name="Hyperlink" xfId="3532" builtinId="8" hidden="true"/>
    <cellStyle name="Hyperlink" xfId="3534" builtinId="8" hidden="true"/>
    <cellStyle name="Hyperlink" xfId="3536" builtinId="8" hidden="true"/>
    <cellStyle name="Hyperlink" xfId="3538" builtinId="8" hidden="true"/>
    <cellStyle name="Hyperlink" xfId="3540" builtinId="8" hidden="true"/>
    <cellStyle name="Hyperlink" xfId="3542" builtinId="8" hidden="true"/>
    <cellStyle name="Hyperlink" xfId="3544" builtinId="8" hidden="true"/>
    <cellStyle name="Hyperlink" xfId="3546" builtinId="8" hidden="true"/>
    <cellStyle name="Hyperlink" xfId="3548" builtinId="8" hidden="true"/>
    <cellStyle name="Hyperlink" xfId="3550" builtinId="8" hidden="true"/>
    <cellStyle name="Hyperlink" xfId="3552" builtinId="8" hidden="true"/>
    <cellStyle name="Hyperlink" xfId="3554" builtinId="8" hidden="true"/>
    <cellStyle name="Hyperlink" xfId="3556" builtinId="8" hidden="true"/>
    <cellStyle name="Hyperlink" xfId="3558" builtinId="8" hidden="true"/>
    <cellStyle name="Hyperlink" xfId="3560" builtinId="8" hidden="true"/>
    <cellStyle name="Hyperlink" xfId="3562" builtinId="8" hidden="true"/>
    <cellStyle name="Hyperlink" xfId="3564" builtinId="8" hidden="true"/>
    <cellStyle name="Hyperlink" xfId="3566" builtinId="8" hidden="true"/>
    <cellStyle name="Hyperlink" xfId="3568" builtinId="8" hidden="true"/>
    <cellStyle name="Hyperlink" xfId="3570" builtinId="8" hidden="true"/>
    <cellStyle name="Hyperlink" xfId="3572" builtinId="8" hidden="true"/>
    <cellStyle name="Hyperlink" xfId="3574" builtinId="8" hidden="true"/>
    <cellStyle name="Hyperlink" xfId="3576" builtinId="8" hidden="true"/>
    <cellStyle name="Hyperlink" xfId="3578" builtinId="8" hidden="true"/>
    <cellStyle name="Hyperlink" xfId="3580" builtinId="8" hidden="true"/>
    <cellStyle name="Hyperlink" xfId="3582" builtinId="8" hidden="true"/>
    <cellStyle name="Hyperlink" xfId="3584" builtinId="8" hidden="true"/>
    <cellStyle name="Hyperlink" xfId="3586" builtinId="8" hidden="true"/>
    <cellStyle name="Hyperlink" xfId="3588" builtinId="8" hidden="true"/>
    <cellStyle name="Hyperlink" xfId="3590" builtinId="8" hidden="true"/>
    <cellStyle name="Hyperlink" xfId="3592" builtinId="8" hidden="true"/>
    <cellStyle name="Hyperlink" xfId="3594" builtinId="8" hidden="true"/>
    <cellStyle name="Hyperlink" xfId="3596" builtinId="8" hidden="true"/>
    <cellStyle name="Hyperlink" xfId="3598" builtinId="8" hidden="true"/>
    <cellStyle name="Hyperlink" xfId="3600" builtinId="8" hidden="true"/>
    <cellStyle name="Hyperlink" xfId="3602" builtinId="8" hidden="true"/>
    <cellStyle name="Hyperlink" xfId="3604" builtinId="8" hidden="true"/>
    <cellStyle name="Hyperlink" xfId="3606" builtinId="8" hidden="true"/>
    <cellStyle name="Hyperlink" xfId="3608" builtinId="8" hidden="true"/>
    <cellStyle name="Hyperlink" xfId="3610" builtinId="8" hidden="true"/>
    <cellStyle name="Hyperlink" xfId="3612" builtinId="8" hidden="true"/>
    <cellStyle name="Hyperlink" xfId="3614" builtinId="8" hidden="true"/>
    <cellStyle name="Hyperlink" xfId="3616" builtinId="8" hidden="true"/>
    <cellStyle name="Hyperlink" xfId="3618" builtinId="8" hidden="true"/>
    <cellStyle name="Hyperlink" xfId="3620" builtinId="8" hidden="true"/>
    <cellStyle name="Hyperlink" xfId="3622" builtinId="8" hidden="true"/>
    <cellStyle name="Hyperlink" xfId="3624" builtinId="8" hidden="true"/>
    <cellStyle name="Hyperlink" xfId="3626" builtinId="8" hidden="true"/>
    <cellStyle name="Hyperlink" xfId="3628" builtinId="8" hidden="true"/>
    <cellStyle name="Hyperlink" xfId="3630" builtinId="8" hidden="true"/>
    <cellStyle name="Hyperlink" xfId="3632" builtinId="8" hidden="true"/>
    <cellStyle name="Hyperlink" xfId="3634" builtinId="8" hidden="true"/>
    <cellStyle name="Hyperlink" xfId="3636" builtinId="8" hidden="true"/>
    <cellStyle name="Hyperlink" xfId="3638" builtinId="8" hidden="true"/>
    <cellStyle name="Hyperlink" xfId="3640" builtinId="8" hidden="true"/>
    <cellStyle name="Hyperlink" xfId="3642" builtinId="8" hidden="true"/>
    <cellStyle name="Hyperlink" xfId="3644" builtinId="8" hidden="true"/>
    <cellStyle name="Hyperlink" xfId="3646" builtinId="8" hidden="true"/>
    <cellStyle name="Hyperlink" xfId="3648" builtinId="8" hidden="true"/>
    <cellStyle name="Hyperlink" xfId="3650" builtinId="8" hidden="true"/>
    <cellStyle name="Hyperlink" xfId="3652" builtinId="8" hidden="true"/>
    <cellStyle name="Normal" xfId="0" builtinId="0"/>
    <cellStyle name="Normal 2" xfId="971" xr:uid="{00000000-0005-0000-0000-0000450E0000}"/>
  </cellStyles>
  <dxfs count="7">
    <dxf>
      <font>
        <color rgb="FF9C0006"/>
      </font>
      <fill>
        <patternFill>
          <bgColor rgb="FFFFC7CE"/>
        </patternFill>
      </fill>
    </dxf>
    <dxf>
      <font>
        <color theme="0" tint="-0.49995422223579"/>
      </font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 tint="-0.49995422223579"/>
      </font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theme="0" tint="-0.49995422223579"/>
      </font>
      <numFmt numFmtId="1" formatCode="0"/>
    </dxf>
    <dxf>
      <font>
        <color theme="0" tint="-0.49995422223579"/>
      </font>
      <numFmt numFmtId="1" formatCode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worksheets/sheet13.xml" Type="http://schemas.openxmlformats.org/officeDocument/2006/relationships/worksheet" Id="rId13"/><Relationship Target="styles.xml" Type="http://schemas.openxmlformats.org/officeDocument/2006/relationships/styles" Id="rId18"/><Relationship Target="worksheets/sheet3.xml" Type="http://schemas.openxmlformats.org/officeDocument/2006/relationships/worksheet" Id="rId3"/><Relationship Target="vbaProject.bin" Type="http://schemas.microsoft.com/office/2006/relationships/vbaProject" Id="rId21"/><Relationship Target="worksheets/sheet7.xml" Type="http://schemas.openxmlformats.org/officeDocument/2006/relationships/worksheet" Id="rId7"/><Relationship Target="worksheets/sheet12.xml" Type="http://schemas.openxmlformats.org/officeDocument/2006/relationships/worksheet" Id="rId12"/><Relationship Target="theme/theme1.xml" Type="http://schemas.openxmlformats.org/officeDocument/2006/relationships/theme" Id="rId17"/><Relationship Target="worksheets/sheet2.xml" Type="http://schemas.openxmlformats.org/officeDocument/2006/relationships/worksheet" Id="rId2"/><Relationship Target="worksheets/sheet16.xml" Type="http://schemas.openxmlformats.org/officeDocument/2006/relationships/worksheet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worksheets/sheet11.xml" Type="http://schemas.openxmlformats.org/officeDocument/2006/relationships/worksheet" Id="rId11"/><Relationship Target="worksheets/sheet5.xml" Type="http://schemas.openxmlformats.org/officeDocument/2006/relationships/worksheet" Id="rId5"/><Relationship Target="worksheets/sheet15.xml" Type="http://schemas.openxmlformats.org/officeDocument/2006/relationships/worksheet" Id="rId15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9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Relationship Target="worksheets/sheet14.xml" Type="http://schemas.openxmlformats.org/officeDocument/2006/relationships/worksheet" Id="rId14"/></Relationships>
</file>

<file path=xl/drawings/_rels/drawing1.xml.rels><?xml version="1.0" encoding="UTF-8"?><Relationships xmlns="http://schemas.openxmlformats.org/package/2006/relationships"><Relationship Target="../media/image2.png" Type="http://schemas.openxmlformats.org/officeDocument/2006/relationships/image" Id="rId2"/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true">
          <a:extLst>
            <a:ext xmlns:a14="http://schemas.microsoft.com/office/drawing/2010/main" uri="{63B3BB69-23CF-44E3-9099-C40C66FF867C}">
              <a14:compatExt xmlns:a14="http://schemas.microsoft.com/office/drawing/2010/main" spid="_x0000_s5123"/>
            </a:ext>
            <a:ext xmlns:a16="http://schemas.microsoft.com/office/drawing/2014/main"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true"/>
        </xdr:cNvPicPr>
      </xdr:nvPicPr>
      <xdr:blipFill rotWithShape="true">
        <a:blip r:embed="rId1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 rotWithShape="true">
        <a:blip r:embed="rId2">
          <a:extLst>
            <a:ext xmlns:a14="http://schemas.microsoft.com/office/drawing/2010/main"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59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true">
          <a:extLst>
            <a:ext xmlns:a14="http://schemas.microsoft.com/office/drawing/2010/main" uri="{63B3BB69-23CF-44E3-9099-C40C66FF867C}">
              <a14:compatExt xmlns:a14="http://schemas.microsoft.com/office/drawing/2010/main" spid="_x0000_s19460"/>
            </a:ext>
            <a:ext xmlns:a16="http://schemas.microsoft.com/office/drawing/2014/main"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1"/></Relationships>
</file>

<file path=xl/worksheets/_rels/sheet1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51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34.83203125" customWidth="true"/>
  </cols>
  <sheetData>
    <row r="2" x14ac:dyDescent="0.15">
      <c r="B2" t="s">
        <v>146</v>
      </c>
    </row>
    <row r="3" x14ac:dyDescent="0.15">
      <c r="B3" t="s">
        <v>147</v>
      </c>
    </row>
    <row r="4" x14ac:dyDescent="0.15">
      <c r="B4" s="56" t="s">
        <v>169</v>
      </c>
    </row>
    <row r="6" ht="14" thickBot="true" x14ac:dyDescent="0.2">
      <c r="B6" s="43" t="s">
        <v>142</v>
      </c>
    </row>
    <row r="7" x14ac:dyDescent="0.15">
      <c r="B7" s="56" t="s">
        <v>144</v>
      </c>
    </row>
    <row r="8" x14ac:dyDescent="0.15">
      <c r="B8" s="56" t="s">
        <v>143</v>
      </c>
    </row>
    <row r="9" x14ac:dyDescent="0.15">
      <c r="B9" s="56" t="s">
        <v>145</v>
      </c>
    </row>
    <row r="10" x14ac:dyDescent="0.15">
      <c r="B10" s="56" t="s">
        <v>148</v>
      </c>
    </row>
    <row r="11" x14ac:dyDescent="0.15">
      <c r="B11" s="56" t="s">
        <v>152</v>
      </c>
    </row>
    <row r="12" x14ac:dyDescent="0.15">
      <c r="B12" s="56" t="s">
        <v>154</v>
      </c>
    </row>
    <row r="13" x14ac:dyDescent="0.15">
      <c r="B13" s="56" t="s">
        <v>170</v>
      </c>
    </row>
    <row r="15" ht="14" thickBot="true" x14ac:dyDescent="0.2"/>
    <row r="16" ht="14" thickBot="true" x14ac:dyDescent="0.2">
      <c r="B16" s="44" t="s">
        <v>138</v>
      </c>
      <c r="C16" s="45"/>
      <c r="D16" s="27">
        <v>41373</v>
      </c>
    </row>
    <row r="17" x14ac:dyDescent="0.15">
      <c r="B17" s="46" t="s">
        <v>58</v>
      </c>
      <c r="C17" s="30">
        <v>0</v>
      </c>
    </row>
    <row r="18" x14ac:dyDescent="0.15">
      <c r="B18" s="46" t="s">
        <v>59</v>
      </c>
      <c r="C18" s="30">
        <v>1</v>
      </c>
    </row>
    <row r="19" x14ac:dyDescent="0.15">
      <c r="B19" s="46" t="s">
        <v>60</v>
      </c>
      <c r="C19" s="30">
        <v>2</v>
      </c>
    </row>
    <row r="20" ht="14" thickBot="true" x14ac:dyDescent="0.2">
      <c r="B20" s="47" t="s">
        <v>44</v>
      </c>
      <c r="C20" s="31">
        <v>3</v>
      </c>
    </row>
    <row r="21" x14ac:dyDescent="0.15">
      <c r="B21" s="48" t="s">
        <v>141</v>
      </c>
    </row>
    <row r="22" ht="14" thickBot="true" x14ac:dyDescent="0.2"/>
    <row r="23" ht="14" thickBot="true" x14ac:dyDescent="0.2">
      <c r="B23" s="44" t="s">
        <v>66</v>
      </c>
      <c r="C23" s="45"/>
      <c r="D23" s="27" t="s">
        <v>149</v>
      </c>
    </row>
    <row r="24" x14ac:dyDescent="0.15">
      <c r="B24" s="49" t="s">
        <v>38</v>
      </c>
      <c r="C24" s="28">
        <v>1</v>
      </c>
    </row>
    <row r="25" x14ac:dyDescent="0.15">
      <c r="B25" s="46" t="s">
        <v>40</v>
      </c>
      <c r="C25" s="30">
        <v>1.1000000000000001</v>
      </c>
    </row>
    <row r="26" x14ac:dyDescent="0.15">
      <c r="B26" s="46" t="s">
        <v>41</v>
      </c>
      <c r="C26" s="30">
        <v>1.2</v>
      </c>
    </row>
    <row r="27" x14ac:dyDescent="0.15">
      <c r="B27" s="46"/>
      <c r="C27" s="30"/>
    </row>
    <row r="28" x14ac:dyDescent="0.15">
      <c r="B28" s="46" t="s">
        <v>42</v>
      </c>
      <c r="C28" s="30">
        <v>2.1</v>
      </c>
    </row>
    <row r="29" x14ac:dyDescent="0.15">
      <c r="B29" s="46" t="s">
        <v>43</v>
      </c>
      <c r="C29" s="30">
        <v>2.2000000000000002</v>
      </c>
    </row>
    <row r="30" x14ac:dyDescent="0.15">
      <c r="B30" s="46" t="s">
        <v>68</v>
      </c>
      <c r="C30" s="30">
        <v>2.2999999999999998</v>
      </c>
    </row>
    <row r="31" x14ac:dyDescent="0.15">
      <c r="B31" s="46"/>
      <c r="C31" s="30"/>
    </row>
    <row r="32" x14ac:dyDescent="0.15">
      <c r="B32" s="46" t="s">
        <v>63</v>
      </c>
      <c r="C32" s="30">
        <v>3.11</v>
      </c>
    </row>
    <row r="33" x14ac:dyDescent="0.15">
      <c r="B33" s="46" t="s">
        <v>62</v>
      </c>
      <c r="C33" s="30">
        <v>3.12</v>
      </c>
    </row>
    <row r="34" x14ac:dyDescent="0.15">
      <c r="B34" s="46" t="s">
        <v>69</v>
      </c>
      <c r="C34" s="30">
        <v>3.13</v>
      </c>
    </row>
    <row r="35" x14ac:dyDescent="0.15">
      <c r="B35" s="46"/>
      <c r="C35" s="30"/>
    </row>
    <row r="36" x14ac:dyDescent="0.15">
      <c r="B36" s="46" t="s">
        <v>67</v>
      </c>
      <c r="C36" s="30">
        <v>3.21</v>
      </c>
    </row>
    <row r="37" x14ac:dyDescent="0.15">
      <c r="B37" s="46" t="s">
        <v>64</v>
      </c>
      <c r="C37" s="30">
        <v>3.22</v>
      </c>
    </row>
    <row r="38" x14ac:dyDescent="0.15">
      <c r="B38" s="46" t="s">
        <v>70</v>
      </c>
      <c r="C38" s="30">
        <v>3.23</v>
      </c>
    </row>
    <row r="39" x14ac:dyDescent="0.15">
      <c r="B39" s="46"/>
      <c r="C39" s="30"/>
    </row>
    <row r="40" x14ac:dyDescent="0.15">
      <c r="B40" s="46" t="s">
        <v>65</v>
      </c>
      <c r="C40" s="30">
        <v>8</v>
      </c>
    </row>
    <row r="41" x14ac:dyDescent="0.15">
      <c r="B41" s="46"/>
      <c r="C41" s="30"/>
    </row>
    <row r="42" x14ac:dyDescent="0.15">
      <c r="B42" s="46" t="s">
        <v>72</v>
      </c>
      <c r="C42" s="30">
        <v>4.0999999999999996</v>
      </c>
    </row>
    <row r="43" x14ac:dyDescent="0.15">
      <c r="B43" s="46" t="s">
        <v>71</v>
      </c>
      <c r="C43" s="30">
        <v>4.2</v>
      </c>
    </row>
    <row r="44" x14ac:dyDescent="0.15">
      <c r="B44" s="46" t="s">
        <v>73</v>
      </c>
      <c r="C44" s="30">
        <v>4.3</v>
      </c>
    </row>
    <row r="45" x14ac:dyDescent="0.15">
      <c r="B45" s="29"/>
      <c r="C45" s="30"/>
    </row>
    <row r="46" x14ac:dyDescent="0.15">
      <c r="B46" s="46" t="s">
        <v>139</v>
      </c>
      <c r="C46" s="30">
        <v>6.1</v>
      </c>
    </row>
    <row r="47" x14ac:dyDescent="0.15">
      <c r="B47" s="46" t="s">
        <v>45</v>
      </c>
      <c r="C47" s="30">
        <v>6.2</v>
      </c>
    </row>
    <row r="48" x14ac:dyDescent="0.15">
      <c r="B48" s="46"/>
      <c r="C48" s="30"/>
    </row>
    <row r="49" x14ac:dyDescent="0.15">
      <c r="B49" s="46" t="s">
        <v>44</v>
      </c>
      <c r="C49" s="30">
        <v>5</v>
      </c>
    </row>
    <row r="50" x14ac:dyDescent="0.15">
      <c r="B50" s="46"/>
      <c r="C50" s="30"/>
    </row>
    <row r="51" ht="14" thickBot="true" x14ac:dyDescent="0.2">
      <c r="B51" s="47" t="s">
        <v>74</v>
      </c>
      <c r="C51" s="31">
        <v>7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W233"/>
  <sheetViews>
    <sheetView tabSelected="true" topLeftCell="E1" workbookViewId="0">
      <selection activeCell="Q14" sqref="Q14"/>
    </sheetView>
  </sheetViews>
  <sheetFormatPr baseColWidth="10" defaultColWidth="8.83203125" defaultRowHeight="15" customHeight="true" x14ac:dyDescent="0.2"/>
  <cols>
    <col min="1" max="1" width="22.5" style="71" customWidth="true"/>
    <col min="2" max="2" width="7.6640625" style="71" customWidth="true"/>
    <col min="3" max="3" width="8.83203125" style="71"/>
    <col min="4" max="4" width="14.33203125" style="71" customWidth="true"/>
    <col min="5" max="5" width="41.83203125" style="71" bestFit="true" customWidth="true"/>
    <col min="6" max="6" width="9.5" style="71" bestFit="true" customWidth="true"/>
    <col min="7" max="7" width="8.1640625" style="71" bestFit="true" customWidth="true"/>
    <col min="8" max="9" width="8.83203125" style="71"/>
    <col min="10" max="10" width="9.1640625" style="71" bestFit="true" customWidth="true"/>
    <col min="11" max="25" width="8.83203125" style="71"/>
    <col min="26" max="26" width="16.1640625" bestFit="true" customWidth="true"/>
    <col min="27" max="27" width="23.6640625" customWidth="true"/>
    <col min="28" max="28" width="18.83203125" bestFit="true" customWidth="true"/>
    <col min="29" max="29" width="18.83203125" customWidth="true"/>
    <col min="30" max="30" width="16.33203125" customWidth="true"/>
    <col min="32" max="32" width="8.83203125" customWidth="true"/>
    <col min="39" max="39" width="8.83203125" customWidth="true"/>
    <col min="50" max="16384" width="8.83203125" style="71"/>
  </cols>
  <sheetData>
    <row r="1" s="81" customFormat="true" ht="15" customHeight="true" x14ac:dyDescent="0.2">
      <c r="A1" s="80" t="s">
        <v>18</v>
      </c>
      <c r="C1" s="82" t="s">
        <v>8</v>
      </c>
      <c r="D1" s="80" t="s">
        <v>23</v>
      </c>
      <c r="E1" s="80" t="s">
        <v>0</v>
      </c>
      <c r="F1" s="80" t="s">
        <v>7</v>
      </c>
      <c r="G1" s="83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 s="71"/>
      <c r="P1" s="78" t="s">
        <v>176</v>
      </c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ht="15" customHeight="true" x14ac:dyDescent="0.2">
      <c r="C2">
        <v>1</v>
      </c>
      <c r="D2"/>
      <c r="E2" t="s">
        <v>182</v>
      </c>
      <c r="F2">
        <v>1</v>
      </c>
      <c r="G2" s="199">
        <v>34.088499999999996</v>
      </c>
      <c r="H2" s="200">
        <v>237.5</v>
      </c>
      <c r="I2" s="200"/>
      <c r="J2" s="3"/>
      <c r="K2" s="3"/>
      <c r="L2" s="3">
        <v>0</v>
      </c>
      <c r="M2" s="3">
        <v>0</v>
      </c>
      <c r="N2" s="3">
        <v>0</v>
      </c>
      <c r="O2" s="201"/>
      <c r="P2"/>
    </row>
    <row r="3" ht="15" customHeight="true" x14ac:dyDescent="0.2">
      <c r="A3" s="84" t="s">
        <v>9</v>
      </c>
      <c r="B3" s="70">
        <v>35</v>
      </c>
      <c r="C3">
        <v>2</v>
      </c>
      <c r="D3"/>
      <c r="E3" t="s">
        <v>183</v>
      </c>
      <c r="F3">
        <v>1</v>
      </c>
      <c r="G3" s="199">
        <v>13.376999999999999</v>
      </c>
      <c r="H3" s="200">
        <v>237.5</v>
      </c>
      <c r="I3" s="200"/>
      <c r="J3" s="3"/>
      <c r="K3" s="3"/>
      <c r="L3" s="3">
        <v>0</v>
      </c>
      <c r="M3" s="3">
        <v>0</v>
      </c>
      <c r="N3" s="3">
        <v>0</v>
      </c>
      <c r="O3" s="201"/>
      <c r="P3"/>
    </row>
    <row r="4" ht="15" customHeight="true" x14ac:dyDescent="0.2">
      <c r="A4" s="84" t="s">
        <v>10</v>
      </c>
      <c r="B4" s="70">
        <v>4</v>
      </c>
      <c r="C4">
        <v>3</v>
      </c>
      <c r="D4"/>
      <c r="E4" t="s">
        <v>184</v>
      </c>
      <c r="F4">
        <v>0</v>
      </c>
      <c r="G4" s="202">
        <v>13.5421365</v>
      </c>
      <c r="H4" s="200">
        <v>256</v>
      </c>
      <c r="I4" s="3"/>
      <c r="J4" s="200">
        <v>0.95</v>
      </c>
      <c r="K4" s="3">
        <v>0.25</v>
      </c>
      <c r="L4" s="3">
        <v>0</v>
      </c>
      <c r="M4" s="3">
        <v>0.2</v>
      </c>
      <c r="N4" s="3">
        <v>0</v>
      </c>
      <c r="O4" s="201"/>
      <c r="P4"/>
      <c r="V4" s="84" t="s">
        <v>29</v>
      </c>
    </row>
    <row r="5" ht="15" customHeight="true" thickBot="true" x14ac:dyDescent="0.25">
      <c r="A5" s="84" t="s">
        <v>11</v>
      </c>
      <c r="B5" s="70">
        <v>2</v>
      </c>
      <c r="C5">
        <v>4</v>
      </c>
      <c r="D5"/>
      <c r="E5" t="s">
        <v>185</v>
      </c>
      <c r="F5">
        <v>0</v>
      </c>
      <c r="G5" s="199">
        <v>24.082000000000001</v>
      </c>
      <c r="H5" s="200">
        <v>40</v>
      </c>
      <c r="I5" s="3"/>
      <c r="J5" s="3"/>
      <c r="K5" s="3">
        <v>0.32</v>
      </c>
      <c r="L5" s="3">
        <v>0</v>
      </c>
      <c r="M5" s="3">
        <v>0.35</v>
      </c>
      <c r="N5" s="3">
        <v>0</v>
      </c>
      <c r="O5" s="201"/>
      <c r="P5"/>
      <c r="Q5" s="77"/>
      <c r="R5" s="77"/>
    </row>
    <row r="6" ht="15" customHeight="true" thickBot="true" x14ac:dyDescent="0.25">
      <c r="B6" s="84"/>
      <c r="C6">
        <v>5</v>
      </c>
      <c r="D6"/>
      <c r="E6" t="s">
        <v>186</v>
      </c>
      <c r="F6">
        <v>0</v>
      </c>
      <c r="G6" s="3"/>
      <c r="H6" s="200">
        <v>19.0855</v>
      </c>
      <c r="I6" s="3">
        <v>46.55</v>
      </c>
      <c r="J6" s="200">
        <v>0.94999995000000004</v>
      </c>
      <c r="K6" s="3">
        <v>0.41</v>
      </c>
      <c r="L6" s="3">
        <v>0</v>
      </c>
      <c r="M6" s="3">
        <v>0.2</v>
      </c>
      <c r="N6" s="3">
        <v>0</v>
      </c>
      <c r="O6" s="201"/>
      <c r="P6"/>
      <c r="Q6" s="77"/>
      <c r="R6" s="77"/>
      <c r="W6" s="85" t="s">
        <v>31</v>
      </c>
      <c r="X6" s="86">
        <f>MAX(MainOutputs!G:G)</f>
        <v>0.99545878171920776</v>
      </c>
    </row>
    <row r="7" ht="15" customHeight="true" x14ac:dyDescent="0.2">
      <c r="A7" s="87" t="s">
        <v>27</v>
      </c>
      <c r="B7" s="71">
        <f ca="true">COUNTIF(OFFSET(cornerDiets,1,1,NumLiving+NumDead+1,NumLiving+NumDead),"&gt;0")+NumLiving+NumDead+1</f>
        <v>257</v>
      </c>
      <c r="C7">
        <v>6</v>
      </c>
      <c r="D7"/>
      <c r="E7" t="s">
        <v>187</v>
      </c>
      <c r="F7">
        <v>0</v>
      </c>
      <c r="G7" s="3"/>
      <c r="H7" s="200">
        <v>0.58399999999999996</v>
      </c>
      <c r="I7" s="3"/>
      <c r="J7" s="200">
        <v>0.94999995000000004</v>
      </c>
      <c r="K7" s="3">
        <v>0.2</v>
      </c>
      <c r="L7" s="3">
        <v>0</v>
      </c>
      <c r="M7" s="3">
        <v>0.35</v>
      </c>
      <c r="N7" s="3">
        <v>0</v>
      </c>
      <c r="O7"/>
      <c r="P7"/>
      <c r="Q7" s="77"/>
      <c r="R7" s="77"/>
    </row>
    <row r="8" ht="15" customHeight="true" x14ac:dyDescent="0.2">
      <c r="A8" s="87" t="s">
        <v>28</v>
      </c>
      <c r="B8" s="71">
        <f ca="true">COUNTIF(OFFSET(cornerFishing,1,2,NumLiving+NumDead,NumGears),"&gt;0")+NumDead*COUNTIF(OFFSET(cornerDiscards,1,2,NumLiving+NumDead,NumGears),"&gt;0")+NumLiving+NumDead+1</f>
        <v>129</v>
      </c>
      <c r="C8">
        <v>7</v>
      </c>
      <c r="D8"/>
      <c r="E8" s="202" t="s">
        <v>188</v>
      </c>
      <c r="F8">
        <v>0</v>
      </c>
      <c r="G8" s="203">
        <v>8.4642857142857153</v>
      </c>
      <c r="H8" s="204">
        <v>15</v>
      </c>
      <c r="I8" s="204">
        <v>56</v>
      </c>
      <c r="J8" s="3"/>
      <c r="K8" s="3">
        <v>0.25</v>
      </c>
      <c r="L8" s="3">
        <v>0</v>
      </c>
      <c r="M8" s="3">
        <v>0.35</v>
      </c>
      <c r="N8" s="3">
        <v>0</v>
      </c>
      <c r="O8" s="205" t="s">
        <v>189</v>
      </c>
      <c r="P8" s="204"/>
      <c r="Q8" s="77"/>
      <c r="R8" s="77"/>
    </row>
    <row r="9" ht="15" customHeight="true" x14ac:dyDescent="0.2">
      <c r="B9" s="84"/>
      <c r="C9">
        <v>8</v>
      </c>
      <c r="D9"/>
      <c r="E9" t="s">
        <v>190</v>
      </c>
      <c r="F9">
        <v>0</v>
      </c>
      <c r="G9" s="199">
        <v>23.167000000000002</v>
      </c>
      <c r="H9" s="200">
        <v>1.2</v>
      </c>
      <c r="I9" s="3"/>
      <c r="J9" s="206">
        <v>0.5</v>
      </c>
      <c r="K9" s="3">
        <v>0.12</v>
      </c>
      <c r="L9" s="3">
        <v>0</v>
      </c>
      <c r="M9" s="3">
        <v>0.2</v>
      </c>
      <c r="N9" s="3">
        <v>0</v>
      </c>
      <c r="O9" s="201"/>
      <c r="P9"/>
      <c r="Q9" s="77"/>
      <c r="R9" s="77"/>
    </row>
    <row r="10" ht="15" customHeight="true" x14ac:dyDescent="0.2">
      <c r="B10" s="84"/>
      <c r="C10">
        <v>9</v>
      </c>
      <c r="D10"/>
      <c r="E10" t="s">
        <v>191</v>
      </c>
      <c r="F10">
        <v>0</v>
      </c>
      <c r="G10" s="207">
        <v>10.738</v>
      </c>
      <c r="H10" s="200">
        <v>1.4</v>
      </c>
      <c r="I10" s="3">
        <v>12</v>
      </c>
      <c r="J10" s="3"/>
      <c r="K10" s="3">
        <v>0.1</v>
      </c>
      <c r="L10" s="3">
        <v>0</v>
      </c>
      <c r="M10" s="3">
        <v>0.35</v>
      </c>
      <c r="N10" s="3">
        <v>0</v>
      </c>
      <c r="O10"/>
      <c r="P10"/>
    </row>
    <row r="11" ht="15" customHeight="true" x14ac:dyDescent="0.2">
      <c r="C11">
        <v>10</v>
      </c>
      <c r="D11"/>
      <c r="E11" t="s">
        <v>192</v>
      </c>
      <c r="F11">
        <v>0</v>
      </c>
      <c r="G11" s="199">
        <v>58.316500000000005</v>
      </c>
      <c r="H11" s="200">
        <v>2</v>
      </c>
      <c r="I11" s="3">
        <v>15</v>
      </c>
      <c r="J11" s="3"/>
      <c r="K11" s="3">
        <v>0.1</v>
      </c>
      <c r="L11" s="3">
        <v>0</v>
      </c>
      <c r="M11" s="3">
        <v>0.35</v>
      </c>
      <c r="N11" s="3">
        <v>0</v>
      </c>
      <c r="O11" s="208" t="s">
        <v>193</v>
      </c>
      <c r="P11" s="209"/>
    </row>
    <row r="12" ht="15" customHeight="true" x14ac:dyDescent="0.2">
      <c r="C12">
        <v>11</v>
      </c>
      <c r="D12"/>
      <c r="E12" t="s">
        <v>194</v>
      </c>
      <c r="F12">
        <v>0</v>
      </c>
      <c r="G12" s="199">
        <v>14.628499999999999</v>
      </c>
      <c r="H12" s="200">
        <v>1.4</v>
      </c>
      <c r="I12" s="3"/>
      <c r="J12" s="3"/>
      <c r="K12" s="3">
        <v>0.1</v>
      </c>
      <c r="L12" s="3">
        <v>0</v>
      </c>
      <c r="M12" s="3">
        <v>0.35</v>
      </c>
      <c r="N12" s="3">
        <v>0</v>
      </c>
      <c r="O12"/>
      <c r="P12"/>
    </row>
    <row r="13" ht="15" customHeight="true" x14ac:dyDescent="0.2">
      <c r="C13">
        <v>12</v>
      </c>
      <c r="D13"/>
      <c r="E13" t="s">
        <v>195</v>
      </c>
      <c r="F13">
        <v>0</v>
      </c>
      <c r="G13" s="199">
        <v>0.38350000000000001</v>
      </c>
      <c r="H13" s="200">
        <v>8.91</v>
      </c>
      <c r="I13" s="3"/>
      <c r="J13" s="3"/>
      <c r="K13" s="3">
        <v>0.35</v>
      </c>
      <c r="L13" s="3">
        <v>0</v>
      </c>
      <c r="M13" s="3">
        <v>0.2</v>
      </c>
      <c r="N13" s="3">
        <v>0</v>
      </c>
      <c r="O13"/>
      <c r="P13"/>
    </row>
    <row r="14" ht="15" customHeight="true" x14ac:dyDescent="0.2">
      <c r="C14">
        <v>13</v>
      </c>
      <c r="D14"/>
      <c r="E14" t="s">
        <v>196</v>
      </c>
      <c r="F14">
        <v>0</v>
      </c>
      <c r="G14" s="3"/>
      <c r="H14" s="200">
        <v>4.3</v>
      </c>
      <c r="I14" s="3">
        <v>10</v>
      </c>
      <c r="J14" s="200">
        <v>0.95</v>
      </c>
      <c r="K14" s="3">
        <v>0.35</v>
      </c>
      <c r="L14" s="3">
        <v>0</v>
      </c>
      <c r="M14" s="3">
        <v>0.2</v>
      </c>
      <c r="N14" s="3">
        <v>0</v>
      </c>
      <c r="O14"/>
      <c r="P14"/>
    </row>
    <row r="15" ht="15" customHeight="true" x14ac:dyDescent="0.2">
      <c r="C15">
        <v>14</v>
      </c>
      <c r="D15"/>
      <c r="E15" t="s">
        <v>197</v>
      </c>
      <c r="F15">
        <v>0</v>
      </c>
      <c r="G15" s="199"/>
      <c r="H15" s="200">
        <v>1</v>
      </c>
      <c r="I15" s="3"/>
      <c r="J15" s="206">
        <v>0.9</v>
      </c>
      <c r="K15" s="3">
        <v>0.1</v>
      </c>
      <c r="L15" s="3">
        <v>0</v>
      </c>
      <c r="M15" s="3">
        <v>0.35</v>
      </c>
      <c r="N15" s="3">
        <v>0</v>
      </c>
      <c r="O15"/>
      <c r="P15"/>
    </row>
    <row r="16" ht="15" customHeight="true" x14ac:dyDescent="0.2">
      <c r="C16">
        <v>15</v>
      </c>
      <c r="D16"/>
      <c r="E16" t="s">
        <v>198</v>
      </c>
      <c r="F16">
        <v>0</v>
      </c>
      <c r="G16" s="199">
        <v>7.2990000000000004</v>
      </c>
      <c r="H16" s="200">
        <v>1.2</v>
      </c>
      <c r="I16" s="3">
        <v>10</v>
      </c>
      <c r="J16" s="3"/>
      <c r="K16" s="3">
        <v>0.1</v>
      </c>
      <c r="L16" s="3">
        <v>0</v>
      </c>
      <c r="M16" s="3">
        <v>0.35</v>
      </c>
      <c r="N16" s="3">
        <v>0</v>
      </c>
      <c r="O16"/>
      <c r="P16"/>
    </row>
    <row r="17" ht="15" customHeight="true" x14ac:dyDescent="0.2">
      <c r="C17">
        <v>16</v>
      </c>
      <c r="D17"/>
      <c r="E17" t="s">
        <v>199</v>
      </c>
      <c r="F17">
        <v>0</v>
      </c>
      <c r="G17" s="199">
        <v>7.69</v>
      </c>
      <c r="H17" s="200">
        <v>0.85</v>
      </c>
      <c r="I17" s="3">
        <v>10</v>
      </c>
      <c r="J17" s="3"/>
      <c r="K17" s="3">
        <v>0.1</v>
      </c>
      <c r="L17" s="3">
        <v>0</v>
      </c>
      <c r="M17" s="3">
        <v>0.25</v>
      </c>
      <c r="N17" s="3">
        <v>0</v>
      </c>
      <c r="O17" s="201"/>
      <c r="P17"/>
      <c r="V17" s="84" t="s">
        <v>30</v>
      </c>
    </row>
    <row r="18" ht="15" customHeight="true" x14ac:dyDescent="0.2">
      <c r="C18">
        <v>17</v>
      </c>
      <c r="D18"/>
      <c r="E18" t="s">
        <v>200</v>
      </c>
      <c r="F18">
        <v>0</v>
      </c>
      <c r="G18" s="199">
        <v>1.173</v>
      </c>
      <c r="H18" s="200">
        <v>0.625</v>
      </c>
      <c r="I18" s="3"/>
      <c r="J18" s="195">
        <v>0.1</v>
      </c>
      <c r="K18" s="3">
        <v>0.1</v>
      </c>
      <c r="L18" s="3">
        <v>0</v>
      </c>
      <c r="M18" s="3">
        <v>0.2</v>
      </c>
      <c r="N18" s="3">
        <v>0</v>
      </c>
      <c r="O18"/>
      <c r="P18"/>
      <c r="V18" s="84"/>
    </row>
    <row r="19" ht="15" customHeight="true" x14ac:dyDescent="0.2">
      <c r="C19">
        <v>18</v>
      </c>
      <c r="D19"/>
      <c r="E19" t="s">
        <v>201</v>
      </c>
      <c r="F19">
        <v>0</v>
      </c>
      <c r="G19" s="199">
        <v>2.008</v>
      </c>
      <c r="H19" s="200">
        <v>1.1225000000000001</v>
      </c>
      <c r="I19" s="3"/>
      <c r="J19" s="210">
        <v>0.9</v>
      </c>
      <c r="K19" s="3">
        <v>0.15</v>
      </c>
      <c r="L19" s="3">
        <v>0</v>
      </c>
      <c r="M19" s="3">
        <v>0.35</v>
      </c>
      <c r="N19" s="3">
        <v>0</v>
      </c>
      <c r="O19" s="201"/>
      <c r="P19"/>
    </row>
    <row r="20" ht="15" customHeight="true" thickBot="true" x14ac:dyDescent="0.25">
      <c r="C20">
        <v>19</v>
      </c>
      <c r="D20"/>
      <c r="E20" t="s">
        <v>202</v>
      </c>
      <c r="F20">
        <v>0</v>
      </c>
      <c r="G20" s="199">
        <v>0.28849999999999998</v>
      </c>
      <c r="H20" s="200">
        <v>1.7865</v>
      </c>
      <c r="I20" s="3"/>
      <c r="J20" s="195">
        <v>0.3</v>
      </c>
      <c r="K20" s="3">
        <v>0.15</v>
      </c>
      <c r="L20" s="3">
        <v>0</v>
      </c>
      <c r="M20" s="3">
        <v>0.2</v>
      </c>
      <c r="N20" s="3">
        <v>0</v>
      </c>
      <c r="O20" s="201"/>
      <c r="P20"/>
    </row>
    <row r="21" ht="15" customHeight="true" thickBot="true" x14ac:dyDescent="0.25">
      <c r="A21" s="88" t="s">
        <v>138</v>
      </c>
      <c r="B21" s="89"/>
      <c r="C21">
        <v>20</v>
      </c>
      <c r="D21"/>
      <c r="E21" t="s">
        <v>203</v>
      </c>
      <c r="F21">
        <v>0</v>
      </c>
      <c r="G21" s="203">
        <v>4.1500000000000002E-2</v>
      </c>
      <c r="H21" s="200">
        <v>1.28</v>
      </c>
      <c r="I21" s="3"/>
      <c r="J21" s="195">
        <v>0.1</v>
      </c>
      <c r="K21" s="3">
        <v>0.15</v>
      </c>
      <c r="L21" s="3">
        <v>0</v>
      </c>
      <c r="M21" s="3">
        <v>0.2</v>
      </c>
      <c r="N21" s="3">
        <v>0</v>
      </c>
      <c r="O21"/>
      <c r="P21"/>
    </row>
    <row r="22" ht="15" customHeight="true" x14ac:dyDescent="0.2">
      <c r="A22" s="90" t="s">
        <v>58</v>
      </c>
      <c r="B22" s="91">
        <v>0</v>
      </c>
      <c r="C22">
        <v>21</v>
      </c>
      <c r="D22"/>
      <c r="E22" t="s">
        <v>204</v>
      </c>
      <c r="F22">
        <v>0</v>
      </c>
      <c r="G22" s="199">
        <v>2.5000000000000001E-2</v>
      </c>
      <c r="H22" s="200">
        <v>0.30399999999999999</v>
      </c>
      <c r="I22" s="3"/>
      <c r="J22" s="3"/>
      <c r="K22" s="3">
        <v>0.15</v>
      </c>
      <c r="L22" s="3">
        <v>0</v>
      </c>
      <c r="M22" s="3">
        <v>0.2</v>
      </c>
      <c r="N22" s="3">
        <v>0</v>
      </c>
      <c r="O22" s="201"/>
      <c r="P22"/>
    </row>
    <row r="23" ht="15" customHeight="true" x14ac:dyDescent="0.2">
      <c r="A23" s="90" t="s">
        <v>59</v>
      </c>
      <c r="B23" s="91">
        <v>1</v>
      </c>
      <c r="C23">
        <v>22</v>
      </c>
      <c r="D23"/>
      <c r="E23" t="s">
        <v>205</v>
      </c>
      <c r="F23">
        <v>0</v>
      </c>
      <c r="G23" s="211">
        <v>5.23</v>
      </c>
      <c r="H23" s="200">
        <v>2.2999999999999998</v>
      </c>
      <c r="I23" s="200"/>
      <c r="J23" s="206">
        <v>0.9</v>
      </c>
      <c r="K23" s="3">
        <v>0.15</v>
      </c>
      <c r="L23" s="3">
        <v>0</v>
      </c>
      <c r="M23" s="3">
        <v>0.2</v>
      </c>
      <c r="N23" s="3">
        <v>0</v>
      </c>
      <c r="O23" s="210" t="s">
        <v>206</v>
      </c>
      <c r="P23" s="195"/>
    </row>
    <row r="24" ht="15" customHeight="true" x14ac:dyDescent="0.2">
      <c r="A24" s="90" t="s">
        <v>60</v>
      </c>
      <c r="B24" s="91">
        <v>2</v>
      </c>
      <c r="C24">
        <v>23</v>
      </c>
      <c r="D24"/>
      <c r="E24" t="s">
        <v>207</v>
      </c>
      <c r="F24">
        <v>0</v>
      </c>
      <c r="G24" s="199">
        <v>6.1499999999999999E-2</v>
      </c>
      <c r="H24" s="200">
        <v>1</v>
      </c>
      <c r="I24" s="3"/>
      <c r="J24" s="195">
        <v>0.05</v>
      </c>
      <c r="K24" s="3">
        <v>0.15</v>
      </c>
      <c r="L24" s="3">
        <v>0</v>
      </c>
      <c r="M24" s="3">
        <v>0.2</v>
      </c>
      <c r="N24" s="3">
        <v>0</v>
      </c>
      <c r="O24"/>
      <c r="P24"/>
    </row>
    <row r="25" ht="15" customHeight="true" thickBot="true" x14ac:dyDescent="0.25">
      <c r="A25" s="92" t="s">
        <v>44</v>
      </c>
      <c r="B25" s="93">
        <v>3</v>
      </c>
      <c r="C25">
        <v>24</v>
      </c>
      <c r="D25"/>
      <c r="E25" t="s">
        <v>208</v>
      </c>
      <c r="F25">
        <v>0</v>
      </c>
      <c r="G25" s="199">
        <v>1.9E-2</v>
      </c>
      <c r="H25" s="200">
        <v>0.8</v>
      </c>
      <c r="I25" s="3"/>
      <c r="J25" s="195"/>
      <c r="K25" s="3">
        <v>0.2</v>
      </c>
      <c r="L25" s="3">
        <v>0</v>
      </c>
      <c r="M25" s="3">
        <v>0.2</v>
      </c>
      <c r="N25" s="3">
        <v>0</v>
      </c>
      <c r="O25" s="201"/>
      <c r="P25"/>
    </row>
    <row r="26" ht="15" customHeight="true" x14ac:dyDescent="0.2">
      <c r="A26" s="94" t="s">
        <v>141</v>
      </c>
      <c r="C26">
        <v>25</v>
      </c>
      <c r="D26"/>
      <c r="E26" t="s">
        <v>209</v>
      </c>
      <c r="F26">
        <v>0</v>
      </c>
      <c r="G26" s="199">
        <v>1.15E-2</v>
      </c>
      <c r="H26" s="200">
        <v>0.75</v>
      </c>
      <c r="I26" s="3"/>
      <c r="J26" s="3"/>
      <c r="K26" s="3">
        <v>0.15</v>
      </c>
      <c r="L26" s="3">
        <v>0</v>
      </c>
      <c r="M26" s="3">
        <v>0.2</v>
      </c>
      <c r="N26" s="3">
        <v>0</v>
      </c>
      <c r="O26" s="201"/>
      <c r="P26"/>
    </row>
    <row r="27" ht="15" customHeight="true" x14ac:dyDescent="0.2">
      <c r="C27">
        <v>26</v>
      </c>
      <c r="D27"/>
      <c r="E27" t="s">
        <v>210</v>
      </c>
      <c r="F27">
        <v>0</v>
      </c>
      <c r="G27" s="199">
        <v>0.20550000000000002</v>
      </c>
      <c r="H27" s="200">
        <v>1.9</v>
      </c>
      <c r="I27" s="3"/>
      <c r="J27" s="195">
        <v>0.3</v>
      </c>
      <c r="K27" s="3">
        <v>0.15</v>
      </c>
      <c r="L27" s="3">
        <v>0</v>
      </c>
      <c r="M27" s="3">
        <v>0.2</v>
      </c>
      <c r="N27" s="3">
        <v>0</v>
      </c>
      <c r="O27"/>
      <c r="P27"/>
    </row>
    <row r="28" ht="15" customHeight="true" x14ac:dyDescent="0.2">
      <c r="C28">
        <v>27</v>
      </c>
      <c r="D28"/>
      <c r="E28" t="s">
        <v>211</v>
      </c>
      <c r="F28">
        <v>0</v>
      </c>
      <c r="G28" s="199">
        <v>0.29349999999999998</v>
      </c>
      <c r="H28" s="200">
        <v>0.91549999999999998</v>
      </c>
      <c r="I28" s="3"/>
      <c r="J28" s="3"/>
      <c r="K28" s="3">
        <v>0.15</v>
      </c>
      <c r="L28" s="3">
        <v>0</v>
      </c>
      <c r="M28" s="3">
        <v>0.2</v>
      </c>
      <c r="N28" s="3">
        <v>0</v>
      </c>
      <c r="O28"/>
      <c r="P28"/>
    </row>
    <row r="29" ht="15" customHeight="true" x14ac:dyDescent="0.2">
      <c r="C29">
        <v>28</v>
      </c>
      <c r="D29"/>
      <c r="E29" t="s">
        <v>212</v>
      </c>
      <c r="F29">
        <v>0</v>
      </c>
      <c r="G29" s="199">
        <v>0.55400000000000005</v>
      </c>
      <c r="H29" s="200">
        <v>3.31</v>
      </c>
      <c r="I29" s="3"/>
      <c r="J29" s="3"/>
      <c r="K29" s="3">
        <v>0.2</v>
      </c>
      <c r="L29" s="3">
        <v>0</v>
      </c>
      <c r="M29" s="3">
        <v>0.2</v>
      </c>
      <c r="N29" s="3">
        <v>0</v>
      </c>
      <c r="O29" s="201"/>
      <c r="P29"/>
    </row>
    <row r="30" ht="15" customHeight="true" x14ac:dyDescent="0.2">
      <c r="C30">
        <v>29</v>
      </c>
      <c r="D30"/>
      <c r="E30" t="s">
        <v>213</v>
      </c>
      <c r="F30">
        <v>0</v>
      </c>
      <c r="G30" s="199">
        <v>0.61349999999999993</v>
      </c>
      <c r="H30" s="200">
        <v>0.9</v>
      </c>
      <c r="I30" s="3"/>
      <c r="J30" s="3"/>
      <c r="K30" s="3">
        <v>0.15</v>
      </c>
      <c r="L30" s="3">
        <v>0</v>
      </c>
      <c r="M30" s="3">
        <v>0.2</v>
      </c>
      <c r="N30" s="3">
        <v>0</v>
      </c>
      <c r="O30" s="201"/>
      <c r="P30"/>
    </row>
    <row r="31" ht="15" customHeight="true" x14ac:dyDescent="0.2">
      <c r="C31">
        <v>30</v>
      </c>
      <c r="D31"/>
      <c r="E31" t="s">
        <v>214</v>
      </c>
      <c r="F31">
        <v>0</v>
      </c>
      <c r="G31" s="199">
        <v>5.2499999999999998E-2</v>
      </c>
      <c r="H31" s="200">
        <v>0.48599999999999999</v>
      </c>
      <c r="I31" s="3"/>
      <c r="J31" s="195">
        <v>0.1</v>
      </c>
      <c r="K31" s="3">
        <v>0.15</v>
      </c>
      <c r="L31" s="3">
        <v>0</v>
      </c>
      <c r="M31" s="3">
        <v>0.2</v>
      </c>
      <c r="N31" s="3">
        <v>0</v>
      </c>
      <c r="O31" s="201"/>
      <c r="P31"/>
    </row>
    <row r="32" ht="15" customHeight="true" x14ac:dyDescent="0.2">
      <c r="C32">
        <v>31</v>
      </c>
      <c r="D32"/>
      <c r="E32" t="s">
        <v>215</v>
      </c>
      <c r="F32">
        <v>0</v>
      </c>
      <c r="G32" s="199">
        <v>3.85E-2</v>
      </c>
      <c r="H32" s="200">
        <v>0.04</v>
      </c>
      <c r="I32" s="202">
        <v>61</v>
      </c>
      <c r="J32" s="206">
        <v>0</v>
      </c>
      <c r="K32" s="3">
        <v>6.6666670000000003E-4</v>
      </c>
      <c r="L32" s="3">
        <v>0</v>
      </c>
      <c r="M32" s="3">
        <v>0.2</v>
      </c>
      <c r="N32" s="3">
        <v>0</v>
      </c>
      <c r="O32"/>
      <c r="P32"/>
    </row>
    <row r="33" ht="15" customHeight="true" x14ac:dyDescent="0.2">
      <c r="C33">
        <v>32</v>
      </c>
      <c r="D33"/>
      <c r="E33" t="s">
        <v>216</v>
      </c>
      <c r="F33">
        <v>0</v>
      </c>
      <c r="G33" s="199">
        <v>6.25E-2</v>
      </c>
      <c r="H33" s="200">
        <v>0.1</v>
      </c>
      <c r="I33" s="3">
        <v>36.950000000000003</v>
      </c>
      <c r="J33" s="200"/>
      <c r="K33" s="3">
        <v>2.178649E-3</v>
      </c>
      <c r="L33" s="3">
        <v>0</v>
      </c>
      <c r="M33" s="3">
        <v>0.26</v>
      </c>
      <c r="N33" s="3">
        <v>0</v>
      </c>
      <c r="O33"/>
      <c r="P33"/>
    </row>
    <row r="34" ht="15" customHeight="true" x14ac:dyDescent="0.2">
      <c r="C34">
        <v>33</v>
      </c>
      <c r="D34"/>
      <c r="E34" t="s">
        <v>217</v>
      </c>
      <c r="F34">
        <v>0</v>
      </c>
      <c r="G34" s="199">
        <v>6.4500000000000002E-2</v>
      </c>
      <c r="H34" s="200">
        <v>0.1</v>
      </c>
      <c r="I34" s="3">
        <v>20</v>
      </c>
      <c r="J34" s="200"/>
      <c r="K34" s="3">
        <v>5.0000000000000001E-3</v>
      </c>
      <c r="L34" s="3">
        <v>0</v>
      </c>
      <c r="M34" s="3">
        <v>0.2</v>
      </c>
      <c r="N34" s="3">
        <v>0</v>
      </c>
      <c r="O34"/>
      <c r="P34"/>
    </row>
    <row r="35" ht="15" customHeight="true" x14ac:dyDescent="0.2">
      <c r="C35">
        <v>34</v>
      </c>
      <c r="D35"/>
      <c r="E35" s="202" t="s">
        <v>218</v>
      </c>
      <c r="F35" s="3">
        <v>0</v>
      </c>
      <c r="G35" s="212">
        <v>3.4299999999999999E-4</v>
      </c>
      <c r="H35" s="213">
        <v>0.192</v>
      </c>
      <c r="I35" s="194">
        <v>3.5</v>
      </c>
      <c r="J35" s="200"/>
      <c r="K35" s="3"/>
      <c r="L35" s="3">
        <v>0</v>
      </c>
      <c r="M35" s="3">
        <v>0.2</v>
      </c>
      <c r="N35" s="3">
        <v>0</v>
      </c>
      <c r="O35" s="201"/>
      <c r="P35"/>
    </row>
    <row r="36" ht="15" customHeight="true" x14ac:dyDescent="0.2">
      <c r="C36">
        <v>35</v>
      </c>
      <c r="D36"/>
      <c r="E36" s="202" t="s">
        <v>219</v>
      </c>
      <c r="F36" s="3">
        <v>0</v>
      </c>
      <c r="G36" s="212">
        <v>1.6200000000000001E-4</v>
      </c>
      <c r="H36" s="213">
        <v>0.192</v>
      </c>
      <c r="I36" s="194">
        <v>3.5</v>
      </c>
      <c r="J36" s="3"/>
      <c r="K36" s="3"/>
      <c r="L36" s="3">
        <v>0</v>
      </c>
      <c r="M36" s="3">
        <v>0.2</v>
      </c>
      <c r="N36" s="3">
        <v>0</v>
      </c>
      <c r="O36" s="214" t="s">
        <v>220</v>
      </c>
      <c r="P36" s="194"/>
    </row>
    <row r="37" ht="15" customHeight="true" x14ac:dyDescent="0.2">
      <c r="C37">
        <v>36</v>
      </c>
      <c r="D37"/>
      <c r="E37" t="s">
        <v>221</v>
      </c>
      <c r="F37" s="3">
        <v>2</v>
      </c>
      <c r="G37" s="199">
        <v>0.436</v>
      </c>
      <c r="H37" s="200">
        <v>0</v>
      </c>
      <c r="I37" s="200">
        <v>0</v>
      </c>
      <c r="J37" s="200"/>
      <c r="K37" s="3"/>
      <c r="L37" s="3">
        <v>0</v>
      </c>
      <c r="M37" s="3">
        <v>0</v>
      </c>
      <c r="N37" s="3">
        <v>0</v>
      </c>
      <c r="O37"/>
      <c r="P37"/>
    </row>
    <row r="38" ht="15" customHeight="true" x14ac:dyDescent="0.2">
      <c r="C38">
        <v>37</v>
      </c>
      <c r="D38"/>
      <c r="E38" t="s">
        <v>71</v>
      </c>
      <c r="F38" s="3">
        <v>2</v>
      </c>
      <c r="G38" s="199">
        <v>0.05</v>
      </c>
      <c r="H38" s="200">
        <v>0</v>
      </c>
      <c r="I38" s="200">
        <v>0</v>
      </c>
      <c r="J38" s="200"/>
      <c r="K38" s="3"/>
      <c r="L38" s="3">
        <v>0</v>
      </c>
      <c r="M38" s="3">
        <v>0</v>
      </c>
      <c r="N38" s="3">
        <v>0</v>
      </c>
      <c r="O38"/>
      <c r="P38"/>
    </row>
    <row r="39" ht="15" customHeight="true" x14ac:dyDescent="0.2">
      <c r="C39">
        <v>38</v>
      </c>
      <c r="D39"/>
      <c r="E39" s="201" t="s">
        <v>72</v>
      </c>
      <c r="F39" s="3">
        <v>2</v>
      </c>
      <c r="G39" s="203">
        <v>20</v>
      </c>
      <c r="H39" s="200">
        <v>0</v>
      </c>
      <c r="I39" s="200">
        <v>0</v>
      </c>
      <c r="J39" s="200"/>
      <c r="K39" s="3"/>
      <c r="L39" s="3">
        <v>0</v>
      </c>
      <c r="M39" s="3">
        <v>0</v>
      </c>
      <c r="N39" s="3">
        <v>0</v>
      </c>
      <c r="O39"/>
      <c r="P39"/>
    </row>
    <row r="40" ht="15" customHeight="true" x14ac:dyDescent="0.2">
      <c r="C40">
        <v>39</v>
      </c>
      <c r="D40"/>
      <c r="E40" t="s">
        <v>73</v>
      </c>
      <c r="F40" s="3">
        <v>2</v>
      </c>
      <c r="G40" s="199">
        <v>60</v>
      </c>
      <c r="H40" s="200">
        <v>0</v>
      </c>
      <c r="I40" s="200">
        <v>0</v>
      </c>
      <c r="J40" s="200"/>
      <c r="K40" s="3"/>
      <c r="L40" s="3">
        <v>0</v>
      </c>
      <c r="M40" s="3">
        <v>0</v>
      </c>
      <c r="N40" s="3">
        <v>0</v>
      </c>
      <c r="O40"/>
      <c r="P40"/>
    </row>
    <row r="41" customFormat="true" ht="15" customHeight="true" x14ac:dyDescent="0.15">
      <c r="C41">
        <v>40</v>
      </c>
      <c r="E41" s="201" t="s">
        <v>222</v>
      </c>
      <c r="F41" s="3">
        <v>3</v>
      </c>
      <c r="G41" s="199">
        <v>0</v>
      </c>
      <c r="H41" s="200">
        <v>0</v>
      </c>
      <c r="I41" s="200">
        <v>0</v>
      </c>
      <c r="J41" s="3"/>
      <c r="K41" s="3"/>
      <c r="L41" s="3">
        <v>0</v>
      </c>
      <c r="M41" s="3">
        <v>0</v>
      </c>
      <c r="N41" s="3">
        <v>0</v>
      </c>
    </row>
    <row r="42" customFormat="true" ht="15" customHeight="true" x14ac:dyDescent="0.15">
      <c r="C42">
        <v>41</v>
      </c>
      <c r="E42" s="201" t="s">
        <v>223</v>
      </c>
      <c r="F42" s="3">
        <v>3</v>
      </c>
      <c r="G42" s="199">
        <v>0</v>
      </c>
      <c r="H42" s="200">
        <v>0</v>
      </c>
      <c r="I42" s="200">
        <v>0</v>
      </c>
      <c r="J42" s="3"/>
      <c r="K42" s="215"/>
      <c r="L42" s="3">
        <v>0</v>
      </c>
      <c r="M42" s="3">
        <v>0</v>
      </c>
      <c r="N42" s="3">
        <v>0</v>
      </c>
      <c r="O42" s="201"/>
    </row>
    <row r="43" customFormat="true" ht="15" customHeight="true" x14ac:dyDescent="0.15"/>
    <row r="44" customFormat="true" ht="15" customHeight="true" x14ac:dyDescent="0.15"/>
    <row r="45" customFormat="true" ht="15" customHeight="true" x14ac:dyDescent="0.15"/>
    <row r="46" customFormat="true" ht="15" customHeight="true" x14ac:dyDescent="0.15"/>
    <row r="47" customFormat="true" ht="15" customHeight="true" x14ac:dyDescent="0.15"/>
    <row r="48" customFormat="true" ht="15" customHeight="true" x14ac:dyDescent="0.15"/>
    <row r="49" customFormat="true" ht="15" customHeight="true" x14ac:dyDescent="0.15"/>
    <row r="50" customFormat="true" ht="15" customHeight="true" x14ac:dyDescent="0.15"/>
    <row r="51" customFormat="true" ht="15" customHeight="true" x14ac:dyDescent="0.15"/>
    <row r="52" customFormat="true" ht="15" customHeight="true" x14ac:dyDescent="0.15"/>
    <row r="53" customFormat="true" ht="15" customHeight="true" x14ac:dyDescent="0.15"/>
    <row r="54" customFormat="true" ht="15" customHeight="true" x14ac:dyDescent="0.15"/>
    <row r="55" customFormat="true" ht="15" customHeight="true" x14ac:dyDescent="0.15"/>
    <row r="56" customFormat="true" ht="15" customHeight="true" x14ac:dyDescent="0.15"/>
    <row r="57" customFormat="true" ht="15" customHeight="true" x14ac:dyDescent="0.15"/>
    <row r="58" customFormat="true" ht="15" customHeight="true" x14ac:dyDescent="0.15"/>
    <row r="59" customFormat="true" ht="15" customHeight="true" x14ac:dyDescent="0.15"/>
    <row r="60" customFormat="true" ht="15" customHeight="true" x14ac:dyDescent="0.15"/>
    <row r="61" customFormat="true" ht="15" customHeight="true" x14ac:dyDescent="0.15"/>
    <row r="62" customFormat="true" ht="15" customHeight="true" x14ac:dyDescent="0.15"/>
    <row r="63" customFormat="true" ht="15" customHeight="true" x14ac:dyDescent="0.15"/>
    <row r="64" customFormat="true" ht="15" customHeight="true" x14ac:dyDescent="0.15"/>
    <row r="65" customFormat="true" ht="15" customHeight="true" x14ac:dyDescent="0.15"/>
    <row r="66" customFormat="true" ht="15" customHeight="true" x14ac:dyDescent="0.15"/>
    <row r="67" customFormat="true" ht="15" customHeight="true" x14ac:dyDescent="0.15"/>
    <row r="68" customFormat="true" ht="15" customHeight="true" x14ac:dyDescent="0.15"/>
    <row r="69" customFormat="true" ht="15" customHeight="true" x14ac:dyDescent="0.15"/>
    <row r="70" customFormat="true" ht="15" customHeight="true" x14ac:dyDescent="0.15"/>
    <row r="71" customFormat="true" ht="15" customHeight="true" x14ac:dyDescent="0.15"/>
    <row r="72" customFormat="true" ht="15" customHeight="true" x14ac:dyDescent="0.15"/>
    <row r="73" customFormat="true" ht="15" customHeight="true" x14ac:dyDescent="0.15"/>
    <row r="74" customFormat="true" ht="15" customHeight="true" x14ac:dyDescent="0.15"/>
    <row r="75" customFormat="true" ht="15" customHeight="true" x14ac:dyDescent="0.15"/>
    <row r="76" customFormat="true" ht="15" customHeight="true" x14ac:dyDescent="0.15"/>
    <row r="77" customFormat="true" ht="15" customHeight="true" x14ac:dyDescent="0.15"/>
    <row r="78" customFormat="true" ht="15" customHeight="true" x14ac:dyDescent="0.15"/>
    <row r="79" customFormat="true" ht="15" customHeight="true" x14ac:dyDescent="0.15"/>
    <row r="80" customFormat="true" ht="15" customHeight="true" x14ac:dyDescent="0.15"/>
    <row r="81" customFormat="true" ht="15" customHeight="true" x14ac:dyDescent="0.15"/>
    <row r="82" customFormat="true" ht="15" customHeight="true" x14ac:dyDescent="0.15"/>
    <row r="83" customFormat="true" ht="15" customHeight="true" x14ac:dyDescent="0.15"/>
    <row r="84" customFormat="true" ht="15" customHeight="true" x14ac:dyDescent="0.15"/>
    <row r="85" customFormat="true" ht="15" customHeight="true" x14ac:dyDescent="0.15"/>
    <row r="86" customFormat="true" ht="15" customHeight="true" x14ac:dyDescent="0.15"/>
    <row r="87" customFormat="true" ht="15" customHeight="true" x14ac:dyDescent="0.15"/>
    <row r="88" customFormat="true" ht="15" customHeight="true" x14ac:dyDescent="0.15"/>
    <row r="89" customFormat="true" ht="15" customHeight="true" x14ac:dyDescent="0.15"/>
    <row r="90" customFormat="true" ht="15" customHeight="true" x14ac:dyDescent="0.15"/>
    <row r="91" customFormat="true" ht="15" customHeight="true" x14ac:dyDescent="0.15"/>
    <row r="92" customFormat="true" ht="15" customHeight="true" x14ac:dyDescent="0.15"/>
    <row r="93" customFormat="true" ht="15" customHeight="true" x14ac:dyDescent="0.15"/>
    <row r="94" customFormat="true" ht="15" customHeight="true" x14ac:dyDescent="0.15"/>
    <row r="95" customFormat="true" ht="15" customHeight="true" x14ac:dyDescent="0.15"/>
    <row r="96" customFormat="true" ht="15" customHeight="true" x14ac:dyDescent="0.15"/>
    <row r="97" customFormat="true" ht="15" customHeight="true" x14ac:dyDescent="0.15"/>
    <row r="98" customFormat="true" ht="15" customHeight="true" x14ac:dyDescent="0.15"/>
    <row r="99" customFormat="true" ht="15" customHeight="true" x14ac:dyDescent="0.15"/>
    <row r="100" customFormat="true" ht="15" customHeight="true" x14ac:dyDescent="0.15"/>
    <row r="101" customFormat="true" ht="15" customHeight="true" x14ac:dyDescent="0.15"/>
    <row r="102" customFormat="true" ht="15" customHeight="true" x14ac:dyDescent="0.15"/>
    <row r="103" customFormat="true" ht="15" customHeight="true" x14ac:dyDescent="0.15"/>
    <row r="104" customFormat="true" ht="15" customHeight="true" x14ac:dyDescent="0.15"/>
    <row r="105" customFormat="true" ht="15" customHeight="true" x14ac:dyDescent="0.15"/>
    <row r="106" customFormat="true" ht="15" customHeight="true" x14ac:dyDescent="0.15"/>
    <row r="107" customFormat="true" ht="15" customHeight="true" x14ac:dyDescent="0.15"/>
    <row r="108" customFormat="true" ht="15" customHeight="true" x14ac:dyDescent="0.15"/>
    <row r="109" customFormat="true" ht="15" customHeight="true" x14ac:dyDescent="0.15"/>
    <row r="110" customFormat="true" ht="15" customHeight="true" x14ac:dyDescent="0.15"/>
    <row r="111" customFormat="true" ht="15" customHeight="true" x14ac:dyDescent="0.15"/>
    <row r="112" customFormat="true" ht="15" customHeight="true" x14ac:dyDescent="0.15"/>
    <row r="113" customFormat="true" ht="15" customHeight="true" x14ac:dyDescent="0.15"/>
    <row r="114" customFormat="true" ht="15" customHeight="true" x14ac:dyDescent="0.15"/>
    <row r="115" customFormat="true" ht="15" customHeight="true" x14ac:dyDescent="0.15"/>
    <row r="116" customFormat="true" ht="15" customHeight="true" x14ac:dyDescent="0.15"/>
    <row r="117" customFormat="true" ht="15" customHeight="true" x14ac:dyDescent="0.15"/>
    <row r="118" customFormat="true" ht="15" customHeight="true" x14ac:dyDescent="0.15"/>
    <row r="119" customFormat="true" ht="15" customHeight="true" x14ac:dyDescent="0.15"/>
    <row r="120" customFormat="true" ht="15" customHeight="true" x14ac:dyDescent="0.15"/>
    <row r="121" customFormat="true" ht="15" customHeight="true" x14ac:dyDescent="0.15"/>
    <row r="122" customFormat="true" ht="15" customHeight="true" x14ac:dyDescent="0.15"/>
    <row r="123" customFormat="true" ht="15" customHeight="true" x14ac:dyDescent="0.15"/>
    <row r="124" customFormat="true" ht="15" customHeight="true" x14ac:dyDescent="0.15"/>
    <row r="125" customFormat="true" ht="15" customHeight="true" x14ac:dyDescent="0.15"/>
    <row r="126" customFormat="true" ht="15" customHeight="true" x14ac:dyDescent="0.15"/>
    <row r="127" customFormat="true" ht="15" customHeight="true" x14ac:dyDescent="0.15"/>
    <row r="128" customFormat="true" ht="15" customHeight="true" x14ac:dyDescent="0.15"/>
    <row r="129" customFormat="true" ht="15" customHeight="true" x14ac:dyDescent="0.15"/>
    <row r="130" customFormat="true" ht="15" customHeight="true" x14ac:dyDescent="0.15"/>
    <row r="131" customFormat="true" ht="15" customHeight="true" x14ac:dyDescent="0.15"/>
    <row r="132" customFormat="true" ht="15" customHeight="true" x14ac:dyDescent="0.15"/>
    <row r="133" customFormat="true" ht="15" customHeight="true" x14ac:dyDescent="0.15"/>
    <row r="134" customFormat="true" ht="15" customHeight="true" x14ac:dyDescent="0.15"/>
    <row r="135" customFormat="true" ht="15" customHeight="true" x14ac:dyDescent="0.15"/>
    <row r="136" customFormat="true" ht="15" customHeight="true" x14ac:dyDescent="0.15"/>
    <row r="137" customFormat="true" ht="15" customHeight="true" x14ac:dyDescent="0.15"/>
    <row r="138" customFormat="true" ht="15" customHeight="true" x14ac:dyDescent="0.15"/>
    <row r="139" customFormat="true" ht="15" customHeight="true" x14ac:dyDescent="0.15"/>
    <row r="140" customFormat="true" ht="15" customHeight="true" x14ac:dyDescent="0.15"/>
    <row r="141" customFormat="true" ht="15" customHeight="true" x14ac:dyDescent="0.15"/>
    <row r="142" customFormat="true" ht="15" customHeight="true" x14ac:dyDescent="0.15"/>
    <row r="143" customFormat="true" ht="15" customHeight="true" x14ac:dyDescent="0.15"/>
    <row r="144" customFormat="true" ht="15" customHeight="true" x14ac:dyDescent="0.15"/>
    <row r="145" customFormat="true" ht="15" customHeight="true" x14ac:dyDescent="0.15"/>
    <row r="146" customFormat="true" ht="15" customHeight="true" x14ac:dyDescent="0.15"/>
    <row r="147" customFormat="true" ht="15" customHeight="true" x14ac:dyDescent="0.15"/>
    <row r="148" customFormat="true" ht="15" customHeight="true" x14ac:dyDescent="0.15"/>
    <row r="149" customFormat="true" ht="15" customHeight="true" x14ac:dyDescent="0.15"/>
    <row r="150" customFormat="true" ht="15" customHeight="true" x14ac:dyDescent="0.15"/>
    <row r="151" customFormat="true" ht="15" customHeight="true" x14ac:dyDescent="0.15"/>
    <row r="152" customFormat="true" ht="15" customHeight="true" x14ac:dyDescent="0.15"/>
    <row r="153" customFormat="true" ht="15" customHeight="true" x14ac:dyDescent="0.15"/>
    <row r="154" customFormat="true" ht="15" customHeight="true" x14ac:dyDescent="0.15"/>
    <row r="155" customFormat="true" ht="15" customHeight="true" x14ac:dyDescent="0.15"/>
    <row r="156" customFormat="true" ht="15" customHeight="true" x14ac:dyDescent="0.15"/>
    <row r="157" customFormat="true" ht="15" customHeight="true" x14ac:dyDescent="0.15"/>
    <row r="158" customFormat="true" ht="15" customHeight="true" x14ac:dyDescent="0.15"/>
    <row r="159" customFormat="true" ht="15" customHeight="true" x14ac:dyDescent="0.15"/>
    <row r="160" customFormat="true" ht="15" customHeight="true" x14ac:dyDescent="0.15"/>
    <row r="161" customFormat="true" ht="15" customHeight="true" x14ac:dyDescent="0.15"/>
    <row r="162" customFormat="true" ht="15" customHeight="true" x14ac:dyDescent="0.15"/>
    <row r="163" customFormat="true" ht="15" customHeight="true" x14ac:dyDescent="0.15"/>
    <row r="164" customFormat="true" ht="15" customHeight="true" x14ac:dyDescent="0.15"/>
    <row r="165" customFormat="true" ht="15" customHeight="true" x14ac:dyDescent="0.15"/>
    <row r="166" customFormat="true" ht="15" customHeight="true" x14ac:dyDescent="0.15"/>
    <row r="167" customFormat="true" ht="15" customHeight="true" x14ac:dyDescent="0.15"/>
    <row r="168" customFormat="true" ht="15" customHeight="true" x14ac:dyDescent="0.15"/>
    <row r="169" customFormat="true" ht="15" customHeight="true" x14ac:dyDescent="0.15"/>
    <row r="170" customFormat="true" ht="15" customHeight="true" x14ac:dyDescent="0.15"/>
    <row r="171" customFormat="true" ht="15" customHeight="true" x14ac:dyDescent="0.15"/>
    <row r="172" customFormat="true" ht="15" customHeight="true" x14ac:dyDescent="0.15"/>
    <row r="173" customFormat="true" ht="15" customHeight="true" x14ac:dyDescent="0.15"/>
    <row r="174" customFormat="true" ht="15" customHeight="true" x14ac:dyDescent="0.15"/>
    <row r="175" customFormat="true" ht="15" customHeight="true" x14ac:dyDescent="0.15"/>
    <row r="176" customFormat="true" ht="15" customHeight="true" x14ac:dyDescent="0.15"/>
    <row r="177" customFormat="true" ht="15" customHeight="true" x14ac:dyDescent="0.15"/>
    <row r="178" customFormat="true" ht="15" customHeight="true" x14ac:dyDescent="0.15"/>
    <row r="179" customFormat="true" ht="15" customHeight="true" x14ac:dyDescent="0.15"/>
    <row r="180" customFormat="true" ht="15" customHeight="true" x14ac:dyDescent="0.15"/>
    <row r="181" customFormat="true" ht="15" customHeight="true" x14ac:dyDescent="0.15"/>
    <row r="182" customFormat="true" ht="15" customHeight="true" x14ac:dyDescent="0.15"/>
    <row r="183" customFormat="true" ht="15" customHeight="true" x14ac:dyDescent="0.15"/>
    <row r="184" customFormat="true" ht="15" customHeight="true" x14ac:dyDescent="0.15"/>
    <row r="185" customFormat="true" ht="15" customHeight="true" x14ac:dyDescent="0.15"/>
    <row r="186" customFormat="true" ht="15" customHeight="true" x14ac:dyDescent="0.15"/>
    <row r="187" customFormat="true" ht="15" customHeight="true" x14ac:dyDescent="0.15"/>
    <row r="188" customFormat="true" ht="15" customHeight="true" x14ac:dyDescent="0.15"/>
    <row r="189" customFormat="true" ht="15" customHeight="true" x14ac:dyDescent="0.15"/>
    <row r="190" customFormat="true" ht="15" customHeight="true" x14ac:dyDescent="0.15"/>
    <row r="191" customFormat="true" ht="15" customHeight="true" x14ac:dyDescent="0.15"/>
    <row r="192" customFormat="true" ht="15" customHeight="true" x14ac:dyDescent="0.15"/>
    <row r="193" customFormat="true" ht="15" customHeight="true" x14ac:dyDescent="0.15"/>
    <row r="194" customFormat="true" ht="15" customHeight="true" x14ac:dyDescent="0.15"/>
    <row r="195" customFormat="true" ht="15" customHeight="true" x14ac:dyDescent="0.15"/>
    <row r="196" customFormat="true" ht="15" customHeight="true" x14ac:dyDescent="0.15"/>
    <row r="197" customFormat="true" ht="15" customHeight="true" x14ac:dyDescent="0.15"/>
    <row r="198" customFormat="true" ht="15" customHeight="true" x14ac:dyDescent="0.15"/>
    <row r="199" customFormat="true" ht="15" customHeight="true" x14ac:dyDescent="0.15"/>
    <row r="200" customFormat="true" ht="15" customHeight="true" x14ac:dyDescent="0.15"/>
    <row r="201" customFormat="true" ht="15" customHeight="true" x14ac:dyDescent="0.15"/>
    <row r="202" customFormat="true" ht="15" customHeight="true" x14ac:dyDescent="0.15"/>
    <row r="203" customFormat="true" ht="15" customHeight="true" x14ac:dyDescent="0.15"/>
    <row r="204" customFormat="true" ht="15" customHeight="true" x14ac:dyDescent="0.15"/>
    <row r="205" customFormat="true" ht="15" customHeight="true" x14ac:dyDescent="0.15"/>
    <row r="206" customFormat="true" ht="15" customHeight="true" x14ac:dyDescent="0.15"/>
    <row r="207" ht="15" customHeight="true" x14ac:dyDescent="0.2"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ht="15" customHeight="true" x14ac:dyDescent="0.2"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ht="15" customHeight="true" x14ac:dyDescent="0.2"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ht="15" customHeight="true" x14ac:dyDescent="0.2"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ht="15" customHeight="true" x14ac:dyDescent="0.2"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ht="15" customHeight="true" x14ac:dyDescent="0.2"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ht="15" customHeight="true" x14ac:dyDescent="0.2"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ht="15" customHeight="true" x14ac:dyDescent="0.2"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ht="15" customHeight="true" x14ac:dyDescent="0.2"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ht="15" customHeight="true" x14ac:dyDescent="0.2"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ht="15" customHeight="true" x14ac:dyDescent="0.2"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ht="15" customHeight="true" x14ac:dyDescent="0.2"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ht="15" customHeight="true" x14ac:dyDescent="0.2"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ht="15" customHeight="true" x14ac:dyDescent="0.2"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ht="15" customHeight="true" x14ac:dyDescent="0.2"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ht="15" customHeight="true" x14ac:dyDescent="0.2"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ht="15" customHeight="true" x14ac:dyDescent="0.2"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ht="15" customHeight="true" x14ac:dyDescent="0.2"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ht="15" customHeight="true" x14ac:dyDescent="0.2"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ht="15" customHeight="true" x14ac:dyDescent="0.2"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ht="15" customHeight="true" x14ac:dyDescent="0.2"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ht="15" customHeight="true" x14ac:dyDescent="0.2"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ht="15" customHeight="true" x14ac:dyDescent="0.2"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ht="15" customHeight="true" x14ac:dyDescent="0.2"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ht="15" customHeight="true" x14ac:dyDescent="0.2"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ht="15" customHeight="true" x14ac:dyDescent="0.2"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ht="15" customHeight="true" x14ac:dyDescent="0.2"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V38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baseColWidth="10" defaultColWidth="8.83203125" defaultRowHeight="13" x14ac:dyDescent="0.15"/>
  <cols>
    <col min="1" max="1" width="18.33203125" style="217" bestFit="true" customWidth="true"/>
    <col min="2" max="2" width="7.83203125" style="217" bestFit="true" customWidth="true"/>
    <col min="3" max="3" width="13" style="217" bestFit="true" customWidth="true"/>
    <col min="4" max="5" width="15.6640625" style="217" bestFit="true" customWidth="true"/>
    <col min="6" max="6" width="16.33203125" style="217" bestFit="true" customWidth="true"/>
    <col min="7" max="7" width="14.5" style="217" bestFit="true" customWidth="true"/>
    <col min="8" max="8" width="10.83203125" style="217" bestFit="true" customWidth="true"/>
    <col min="9" max="9" width="12.83203125" style="217" bestFit="true" customWidth="true"/>
    <col min="10" max="10" width="14.6640625" style="217" bestFit="true" customWidth="true"/>
    <col min="11" max="11" width="15.33203125" style="217" bestFit="true" customWidth="true"/>
    <col min="12" max="12" width="12.5" style="217" bestFit="true" customWidth="true"/>
    <col min="13" max="13" width="15.6640625" style="217" bestFit="true" customWidth="true"/>
    <col min="14" max="14" width="17.1640625" style="217" bestFit="true" customWidth="true"/>
    <col min="15" max="15" width="18.33203125" style="217" bestFit="true" customWidth="true"/>
    <col min="16" max="16" width="14.1640625" style="217" bestFit="true" customWidth="true"/>
    <col min="17" max="17" width="13.6640625" style="217" bestFit="true" customWidth="true"/>
    <col min="18" max="18" width="18" style="217" bestFit="true" customWidth="true"/>
    <col min="19" max="19" width="14.5" style="217" bestFit="true" customWidth="true"/>
    <col min="20" max="20" width="12.1640625" style="217" bestFit="true" customWidth="true"/>
    <col min="21" max="21" width="14.6640625" style="217" bestFit="true" customWidth="true"/>
    <col min="22" max="22" width="7" style="217" bestFit="true" customWidth="true"/>
    <col min="23" max="24" width="15" style="217" bestFit="true" customWidth="true"/>
    <col min="25" max="25" width="9.5" style="217" bestFit="true" customWidth="true"/>
    <col min="26" max="26" width="7.33203125" style="217" bestFit="true" customWidth="true"/>
    <col min="27" max="27" width="15.83203125" style="217" bestFit="true" customWidth="true"/>
    <col min="28" max="28" width="15.33203125" style="217" bestFit="true" customWidth="true"/>
    <col min="29" max="29" width="14.1640625" style="217" bestFit="true" customWidth="true"/>
    <col min="30" max="30" width="6.83203125" style="217" bestFit="true" customWidth="true"/>
    <col min="31" max="31" width="15.33203125" style="217" bestFit="true" customWidth="true"/>
    <col min="32" max="32" width="8.5" style="217" bestFit="true" customWidth="true"/>
    <col min="33" max="33" width="9.33203125" style="217" bestFit="true" customWidth="true"/>
    <col min="34" max="34" width="10" style="217" bestFit="true" customWidth="true"/>
    <col min="35" max="35" width="9" style="217" bestFit="true" customWidth="true"/>
    <col min="36" max="36" width="10.6640625" style="217" bestFit="true" customWidth="true"/>
    <col min="37" max="37" width="12.83203125" style="217" bestFit="true" customWidth="true"/>
    <col min="38" max="38" width="5.6640625" style="217" bestFit="true" customWidth="true"/>
    <col min="39" max="39" width="13.6640625" style="217" bestFit="true" customWidth="true"/>
    <col min="40" max="40" width="13.83203125" style="217" bestFit="true" customWidth="true"/>
    <col min="41" max="42" width="8.83203125" style="217"/>
    <col min="43" max="43" width="11" style="217" customWidth="true"/>
    <col min="44" max="44" width="8.83203125" style="217"/>
    <col min="45" max="48" width="8.83203125" style="218"/>
    <col min="49" max="16384" width="8.83203125" style="217"/>
  </cols>
  <sheetData>
    <row r="1" x14ac:dyDescent="0.15">
      <c r="A1" s="216" t="s">
        <v>19</v>
      </c>
      <c r="B1" s="217" t="s">
        <v>182</v>
      </c>
      <c r="C1" s="217" t="s">
        <v>183</v>
      </c>
      <c r="D1" s="217" t="s">
        <v>184</v>
      </c>
      <c r="E1" s="217" t="s">
        <v>185</v>
      </c>
      <c r="F1" s="217" t="s">
        <v>186</v>
      </c>
      <c r="G1" s="217" t="s">
        <v>187</v>
      </c>
      <c r="H1" s="217" t="s">
        <v>188</v>
      </c>
      <c r="I1" s="217" t="s">
        <v>190</v>
      </c>
      <c r="J1" s="217" t="s">
        <v>191</v>
      </c>
      <c r="K1" s="217" t="s">
        <v>192</v>
      </c>
      <c r="L1" s="217" t="s">
        <v>194</v>
      </c>
      <c r="M1" s="217" t="s">
        <v>195</v>
      </c>
      <c r="N1" s="217" t="s">
        <v>196</v>
      </c>
      <c r="O1" s="217" t="s">
        <v>197</v>
      </c>
      <c r="P1" s="217" t="s">
        <v>198</v>
      </c>
      <c r="Q1" s="217" t="s">
        <v>199</v>
      </c>
      <c r="R1" s="217" t="s">
        <v>200</v>
      </c>
      <c r="S1" s="217" t="s">
        <v>201</v>
      </c>
      <c r="T1" s="217" t="s">
        <v>202</v>
      </c>
      <c r="U1" s="217" t="s">
        <v>203</v>
      </c>
      <c r="V1" s="217" t="s">
        <v>204</v>
      </c>
      <c r="W1" s="217" t="s">
        <v>205</v>
      </c>
      <c r="X1" s="217" t="s">
        <v>207</v>
      </c>
      <c r="Y1" s="217" t="s">
        <v>208</v>
      </c>
      <c r="Z1" s="217" t="s">
        <v>209</v>
      </c>
      <c r="AA1" s="217" t="s">
        <v>210</v>
      </c>
      <c r="AB1" s="217" t="s">
        <v>211</v>
      </c>
      <c r="AC1" s="217" t="s">
        <v>212</v>
      </c>
      <c r="AD1" s="217" t="s">
        <v>213</v>
      </c>
      <c r="AE1" s="217" t="s">
        <v>214</v>
      </c>
      <c r="AF1" s="217" t="s">
        <v>215</v>
      </c>
      <c r="AG1" s="217" t="s">
        <v>216</v>
      </c>
      <c r="AH1" s="217" t="s">
        <v>217</v>
      </c>
      <c r="AI1" s="217" t="s">
        <v>218</v>
      </c>
      <c r="AJ1" s="217" t="s">
        <v>219</v>
      </c>
      <c r="AK1" s="217" t="s">
        <v>221</v>
      </c>
      <c r="AL1" s="217" t="s">
        <v>71</v>
      </c>
      <c r="AM1" s="217" t="s">
        <v>72</v>
      </c>
      <c r="AN1" s="217" t="s">
        <v>73</v>
      </c>
    </row>
    <row r="2" x14ac:dyDescent="0.15">
      <c r="A2" s="219" t="s">
        <v>182</v>
      </c>
      <c r="B2" s="220">
        <v>0</v>
      </c>
      <c r="C2" s="220">
        <v>0</v>
      </c>
      <c r="D2" s="220">
        <v>0.27</v>
      </c>
      <c r="E2" s="220">
        <v>0.57499999999999996</v>
      </c>
      <c r="F2" s="220">
        <v>0.5</v>
      </c>
      <c r="G2" s="220">
        <v>0</v>
      </c>
      <c r="H2" s="220">
        <v>0</v>
      </c>
      <c r="I2" s="220">
        <v>0</v>
      </c>
      <c r="J2" s="220">
        <v>8.2299999999999998E-2</v>
      </c>
      <c r="K2" s="220">
        <v>0.24303334761991899</v>
      </c>
      <c r="L2" s="220">
        <v>0</v>
      </c>
      <c r="M2" s="220">
        <v>0</v>
      </c>
      <c r="N2" s="220">
        <v>0</v>
      </c>
      <c r="O2" s="220">
        <v>0.3</v>
      </c>
      <c r="P2" s="220">
        <v>0</v>
      </c>
      <c r="Q2" s="221">
        <v>2.5615000000000002E-2</v>
      </c>
      <c r="R2" s="220">
        <v>0</v>
      </c>
      <c r="S2" s="220">
        <v>0</v>
      </c>
      <c r="T2" s="220">
        <v>0</v>
      </c>
      <c r="U2" s="222">
        <v>0</v>
      </c>
      <c r="V2" s="220">
        <v>0</v>
      </c>
      <c r="W2" s="220">
        <v>0.6</v>
      </c>
      <c r="X2" s="220">
        <v>0</v>
      </c>
      <c r="Y2" s="220">
        <v>0.40500000000000003</v>
      </c>
      <c r="Z2" s="220">
        <v>0</v>
      </c>
      <c r="AA2" s="220">
        <v>0</v>
      </c>
      <c r="AB2" s="220">
        <v>0</v>
      </c>
      <c r="AC2" s="220">
        <v>0</v>
      </c>
      <c r="AD2" s="220">
        <v>0</v>
      </c>
      <c r="AE2" s="220">
        <v>0</v>
      </c>
      <c r="AF2" s="220">
        <v>0</v>
      </c>
      <c r="AG2" s="220">
        <v>0</v>
      </c>
      <c r="AH2" s="220">
        <v>0</v>
      </c>
      <c r="AI2" s="220">
        <v>0</v>
      </c>
      <c r="AJ2" s="220">
        <v>0</v>
      </c>
      <c r="AK2" s="220">
        <v>0</v>
      </c>
      <c r="AL2" s="220">
        <v>0</v>
      </c>
      <c r="AM2" s="220">
        <v>0</v>
      </c>
      <c r="AN2" s="220">
        <v>0</v>
      </c>
    </row>
    <row r="3" x14ac:dyDescent="0.15">
      <c r="A3" s="217" t="s">
        <v>183</v>
      </c>
      <c r="B3" s="220">
        <v>0</v>
      </c>
      <c r="C3" s="220">
        <v>0</v>
      </c>
      <c r="D3" s="220">
        <v>0.13</v>
      </c>
      <c r="E3" s="220">
        <v>0.27500000000000002</v>
      </c>
      <c r="F3" s="220">
        <v>0.25</v>
      </c>
      <c r="G3" s="220">
        <v>0</v>
      </c>
      <c r="H3" s="220">
        <v>0</v>
      </c>
      <c r="I3" s="220">
        <v>0</v>
      </c>
      <c r="J3" s="220">
        <v>2.6765000000000001E-2</v>
      </c>
      <c r="K3" s="220">
        <v>2.66666666666667E-3</v>
      </c>
      <c r="L3" s="220">
        <v>0</v>
      </c>
      <c r="M3" s="220">
        <v>0</v>
      </c>
      <c r="N3" s="220">
        <v>0</v>
      </c>
      <c r="O3" s="220">
        <v>0</v>
      </c>
      <c r="P3" s="220">
        <v>0</v>
      </c>
      <c r="Q3" s="221">
        <v>0</v>
      </c>
      <c r="R3" s="220">
        <v>0</v>
      </c>
      <c r="S3" s="220">
        <v>0</v>
      </c>
      <c r="T3" s="220">
        <v>0</v>
      </c>
      <c r="U3" s="222">
        <v>0</v>
      </c>
      <c r="V3" s="220">
        <v>0</v>
      </c>
      <c r="W3" s="220">
        <v>0</v>
      </c>
      <c r="X3" s="220">
        <v>0</v>
      </c>
      <c r="Y3" s="220">
        <v>0</v>
      </c>
      <c r="Z3" s="220">
        <v>0</v>
      </c>
      <c r="AA3" s="220">
        <v>0</v>
      </c>
      <c r="AB3" s="220">
        <v>0</v>
      </c>
      <c r="AC3" s="220">
        <v>0</v>
      </c>
      <c r="AD3" s="220">
        <v>0</v>
      </c>
      <c r="AE3" s="220">
        <v>0</v>
      </c>
      <c r="AF3" s="220">
        <v>0</v>
      </c>
      <c r="AG3" s="220">
        <v>0</v>
      </c>
      <c r="AH3" s="220">
        <v>0</v>
      </c>
      <c r="AI3" s="220">
        <v>0</v>
      </c>
      <c r="AJ3" s="220">
        <v>0</v>
      </c>
      <c r="AK3" s="220">
        <v>0</v>
      </c>
      <c r="AL3" s="220">
        <v>0</v>
      </c>
      <c r="AM3" s="220">
        <v>0</v>
      </c>
      <c r="AN3" s="220">
        <v>0</v>
      </c>
    </row>
    <row r="4" x14ac:dyDescent="0.15">
      <c r="A4" s="217" t="s">
        <v>184</v>
      </c>
      <c r="B4" s="220">
        <v>0</v>
      </c>
      <c r="C4" s="220">
        <v>0</v>
      </c>
      <c r="D4" s="220">
        <v>0.17499999999999999</v>
      </c>
      <c r="E4" s="220">
        <v>0.15000000000000002</v>
      </c>
      <c r="F4" s="220">
        <v>0.25</v>
      </c>
      <c r="G4" s="220">
        <v>0</v>
      </c>
      <c r="H4" s="220">
        <v>0</v>
      </c>
      <c r="I4" s="220">
        <v>0</v>
      </c>
      <c r="J4" s="220">
        <v>2.1000000000000001E-2</v>
      </c>
      <c r="K4" s="220">
        <v>3.49217494148967E-4</v>
      </c>
      <c r="L4" s="220">
        <v>0</v>
      </c>
      <c r="M4" s="220">
        <v>0</v>
      </c>
      <c r="N4" s="220">
        <v>0</v>
      </c>
      <c r="O4" s="220">
        <v>0</v>
      </c>
      <c r="P4" s="220">
        <v>0</v>
      </c>
      <c r="Q4" s="221">
        <v>2.4550000000000001E-8</v>
      </c>
      <c r="R4" s="220">
        <v>0</v>
      </c>
      <c r="S4" s="220">
        <v>0</v>
      </c>
      <c r="T4" s="220">
        <v>0</v>
      </c>
      <c r="U4" s="222">
        <v>0</v>
      </c>
      <c r="V4" s="220">
        <v>0</v>
      </c>
      <c r="W4" s="220">
        <v>0</v>
      </c>
      <c r="X4" s="220">
        <v>0</v>
      </c>
      <c r="Y4" s="220">
        <v>0</v>
      </c>
      <c r="Z4" s="220">
        <v>0</v>
      </c>
      <c r="AA4" s="220">
        <v>0</v>
      </c>
      <c r="AB4" s="220">
        <v>0</v>
      </c>
      <c r="AC4" s="220">
        <v>0</v>
      </c>
      <c r="AD4" s="220">
        <v>0</v>
      </c>
      <c r="AE4" s="220">
        <v>0</v>
      </c>
      <c r="AF4" s="220">
        <v>0</v>
      </c>
      <c r="AG4" s="220">
        <v>0</v>
      </c>
      <c r="AH4" s="220">
        <v>0</v>
      </c>
      <c r="AI4" s="220">
        <v>0</v>
      </c>
      <c r="AJ4" s="220">
        <v>0</v>
      </c>
      <c r="AK4" s="220">
        <v>0</v>
      </c>
      <c r="AL4" s="220">
        <v>0</v>
      </c>
      <c r="AM4" s="220">
        <v>0</v>
      </c>
      <c r="AN4" s="220">
        <v>0</v>
      </c>
    </row>
    <row r="5" x14ac:dyDescent="0.15">
      <c r="A5" s="217" t="s">
        <v>185</v>
      </c>
      <c r="B5" s="220">
        <v>0</v>
      </c>
      <c r="C5" s="220">
        <v>0</v>
      </c>
      <c r="D5" s="220">
        <v>0</v>
      </c>
      <c r="E5" s="220">
        <v>0</v>
      </c>
      <c r="F5" s="220">
        <v>0</v>
      </c>
      <c r="G5" s="220">
        <v>0.64</v>
      </c>
      <c r="H5" s="220">
        <v>0.68</v>
      </c>
      <c r="I5" s="220">
        <v>0</v>
      </c>
      <c r="J5" s="220">
        <v>0.629</v>
      </c>
      <c r="K5" s="220">
        <v>0.38833768495287102</v>
      </c>
      <c r="L5" s="220">
        <v>0.15</v>
      </c>
      <c r="M5" s="220">
        <v>6.5500000000000003E-2</v>
      </c>
      <c r="N5" s="220">
        <v>0</v>
      </c>
      <c r="O5" s="220">
        <v>0.65</v>
      </c>
      <c r="P5" s="220">
        <v>5.5500000000000001E-2</v>
      </c>
      <c r="Q5" s="221">
        <v>0.13297500000000001</v>
      </c>
      <c r="R5" s="220">
        <v>0</v>
      </c>
      <c r="S5" s="220">
        <v>0</v>
      </c>
      <c r="T5" s="220">
        <v>0</v>
      </c>
      <c r="U5" s="222">
        <v>0</v>
      </c>
      <c r="V5" s="220">
        <v>0</v>
      </c>
      <c r="W5" s="220">
        <v>0.4</v>
      </c>
      <c r="X5" s="220">
        <v>0</v>
      </c>
      <c r="Y5" s="220">
        <v>0.08</v>
      </c>
      <c r="Z5" s="220">
        <v>0</v>
      </c>
      <c r="AA5" s="220">
        <v>0</v>
      </c>
      <c r="AB5" s="220">
        <v>0</v>
      </c>
      <c r="AC5" s="220">
        <v>0</v>
      </c>
      <c r="AD5" s="220">
        <v>2.1299999999999999E-3</v>
      </c>
      <c r="AE5" s="220">
        <v>0</v>
      </c>
      <c r="AF5" s="220">
        <v>0</v>
      </c>
      <c r="AG5" s="220">
        <v>0</v>
      </c>
      <c r="AH5" s="220">
        <v>0</v>
      </c>
      <c r="AI5" s="220">
        <v>0</v>
      </c>
      <c r="AJ5" s="220">
        <v>0</v>
      </c>
      <c r="AK5" s="220">
        <v>0</v>
      </c>
      <c r="AL5" s="220">
        <v>0</v>
      </c>
      <c r="AM5" s="220">
        <v>0</v>
      </c>
      <c r="AN5" s="220">
        <v>0</v>
      </c>
    </row>
    <row r="6" x14ac:dyDescent="0.15">
      <c r="A6" s="217" t="s">
        <v>186</v>
      </c>
      <c r="B6" s="220">
        <v>0</v>
      </c>
      <c r="C6" s="220">
        <v>0</v>
      </c>
      <c r="D6" s="220">
        <v>0</v>
      </c>
      <c r="E6" s="220">
        <v>0</v>
      </c>
      <c r="F6" s="220">
        <v>0</v>
      </c>
      <c r="G6" s="220">
        <v>0.12</v>
      </c>
      <c r="H6" s="220">
        <v>0.17</v>
      </c>
      <c r="I6" s="220">
        <v>0</v>
      </c>
      <c r="J6" s="220">
        <v>0.24</v>
      </c>
      <c r="K6" s="220">
        <v>0.36459743678883499</v>
      </c>
      <c r="L6" s="220">
        <v>0.85</v>
      </c>
      <c r="M6" s="220">
        <v>0.20300000000000001</v>
      </c>
      <c r="N6" s="220">
        <v>0.89</v>
      </c>
      <c r="O6" s="220">
        <v>0</v>
      </c>
      <c r="P6" s="220">
        <v>0.32730000000000004</v>
      </c>
      <c r="Q6" s="221">
        <v>0.28149999999999997</v>
      </c>
      <c r="R6" s="220">
        <v>1E-3</v>
      </c>
      <c r="S6" s="220">
        <v>0.14000000000000001</v>
      </c>
      <c r="T6" s="220">
        <v>7.0000000000000001E-3</v>
      </c>
      <c r="U6" s="222">
        <v>6.6049999999999998E-2</v>
      </c>
      <c r="V6" s="220">
        <v>0</v>
      </c>
      <c r="W6" s="220">
        <v>0</v>
      </c>
      <c r="X6" s="220">
        <v>3.9899999999999998E-2</v>
      </c>
      <c r="Y6" s="220">
        <v>1.315E-2</v>
      </c>
      <c r="Z6" s="220">
        <v>0</v>
      </c>
      <c r="AA6" s="220">
        <v>0.16600000000000001</v>
      </c>
      <c r="AB6" s="220">
        <v>3.815E-4</v>
      </c>
      <c r="AC6" s="220">
        <v>0.79299999999999993</v>
      </c>
      <c r="AD6" s="220">
        <v>5.3999999999999999E-2</v>
      </c>
      <c r="AE6" s="220">
        <v>1.0500000000000001E-2</v>
      </c>
      <c r="AF6" s="220">
        <v>0</v>
      </c>
      <c r="AG6" s="220">
        <v>0</v>
      </c>
      <c r="AH6" s="220">
        <v>0.3</v>
      </c>
      <c r="AI6" s="220">
        <v>3.9E-2</v>
      </c>
      <c r="AJ6" s="220">
        <v>0</v>
      </c>
      <c r="AK6" s="220">
        <v>0</v>
      </c>
      <c r="AL6" s="220">
        <v>0</v>
      </c>
      <c r="AM6" s="220">
        <v>0</v>
      </c>
      <c r="AN6" s="220">
        <v>0</v>
      </c>
    </row>
    <row r="7" x14ac:dyDescent="0.15">
      <c r="A7" s="217" t="s">
        <v>187</v>
      </c>
      <c r="B7" s="220">
        <v>0</v>
      </c>
      <c r="C7" s="220">
        <v>0</v>
      </c>
      <c r="D7" s="220">
        <v>0</v>
      </c>
      <c r="E7" s="220">
        <v>0</v>
      </c>
      <c r="F7" s="220">
        <v>0</v>
      </c>
      <c r="G7" s="220">
        <v>0.04</v>
      </c>
      <c r="H7" s="220">
        <v>0</v>
      </c>
      <c r="I7" s="220">
        <v>0</v>
      </c>
      <c r="J7" s="220">
        <v>0</v>
      </c>
      <c r="K7" s="220">
        <v>0</v>
      </c>
      <c r="L7" s="220">
        <v>0</v>
      </c>
      <c r="M7" s="220">
        <v>0</v>
      </c>
      <c r="N7" s="220">
        <v>0</v>
      </c>
      <c r="O7" s="220">
        <v>0</v>
      </c>
      <c r="P7" s="220">
        <v>0</v>
      </c>
      <c r="Q7" s="221">
        <v>0</v>
      </c>
      <c r="R7" s="220">
        <v>0</v>
      </c>
      <c r="S7" s="220">
        <v>0</v>
      </c>
      <c r="T7" s="220">
        <v>0</v>
      </c>
      <c r="U7" s="222">
        <v>0</v>
      </c>
      <c r="V7" s="220">
        <v>0</v>
      </c>
      <c r="W7" s="220">
        <v>0</v>
      </c>
      <c r="X7" s="220">
        <v>0</v>
      </c>
      <c r="Y7" s="220">
        <v>0</v>
      </c>
      <c r="Z7" s="220">
        <v>0</v>
      </c>
      <c r="AA7" s="220">
        <v>0</v>
      </c>
      <c r="AB7" s="220">
        <v>2.14E-3</v>
      </c>
      <c r="AC7" s="220">
        <v>0</v>
      </c>
      <c r="AD7" s="220">
        <v>0</v>
      </c>
      <c r="AE7" s="220">
        <v>0</v>
      </c>
      <c r="AF7" s="220">
        <v>0</v>
      </c>
      <c r="AG7" s="220">
        <v>0</v>
      </c>
      <c r="AH7" s="220">
        <v>0</v>
      </c>
      <c r="AI7" s="220">
        <v>0</v>
      </c>
      <c r="AJ7" s="220">
        <v>0.25</v>
      </c>
      <c r="AK7" s="220">
        <v>0</v>
      </c>
      <c r="AL7" s="220">
        <v>0</v>
      </c>
      <c r="AM7" s="220">
        <v>0</v>
      </c>
      <c r="AN7" s="220">
        <v>0</v>
      </c>
    </row>
    <row r="8" x14ac:dyDescent="0.15">
      <c r="A8" s="217" t="s">
        <v>188</v>
      </c>
      <c r="B8" s="220">
        <v>0</v>
      </c>
      <c r="C8" s="220">
        <v>0</v>
      </c>
      <c r="D8" s="220">
        <v>0</v>
      </c>
      <c r="E8" s="220">
        <v>0</v>
      </c>
      <c r="F8" s="220">
        <v>0</v>
      </c>
      <c r="G8" s="220">
        <v>0</v>
      </c>
      <c r="H8" s="220">
        <v>0</v>
      </c>
      <c r="I8" s="220">
        <v>0</v>
      </c>
      <c r="J8" s="220">
        <v>0</v>
      </c>
      <c r="K8" s="220">
        <v>0</v>
      </c>
      <c r="L8" s="220">
        <v>0</v>
      </c>
      <c r="M8" s="220">
        <v>0</v>
      </c>
      <c r="N8" s="220">
        <v>0</v>
      </c>
      <c r="O8" s="220">
        <v>0</v>
      </c>
      <c r="P8" s="220">
        <v>0</v>
      </c>
      <c r="Q8" s="221">
        <v>0</v>
      </c>
      <c r="R8" s="220">
        <v>0</v>
      </c>
      <c r="S8" s="220">
        <v>0</v>
      </c>
      <c r="T8" s="220">
        <v>0</v>
      </c>
      <c r="U8" s="222">
        <v>0</v>
      </c>
      <c r="V8" s="220">
        <v>0</v>
      </c>
      <c r="W8" s="220">
        <v>0</v>
      </c>
      <c r="X8" s="220">
        <v>0</v>
      </c>
      <c r="Y8" s="220">
        <v>0.09</v>
      </c>
      <c r="Z8" s="220">
        <v>0</v>
      </c>
      <c r="AA8" s="220">
        <v>0</v>
      </c>
      <c r="AB8" s="220">
        <v>0</v>
      </c>
      <c r="AC8" s="220">
        <v>0</v>
      </c>
      <c r="AD8" s="220">
        <v>0</v>
      </c>
      <c r="AE8" s="220">
        <v>0</v>
      </c>
      <c r="AF8" s="220">
        <v>0</v>
      </c>
      <c r="AG8" s="220">
        <v>0</v>
      </c>
      <c r="AH8" s="220">
        <v>0</v>
      </c>
      <c r="AI8" s="220">
        <v>0.42</v>
      </c>
      <c r="AJ8" s="220">
        <v>0.75</v>
      </c>
      <c r="AK8" s="220">
        <v>0</v>
      </c>
      <c r="AL8" s="220">
        <v>0</v>
      </c>
      <c r="AM8" s="220">
        <v>0</v>
      </c>
      <c r="AN8" s="220">
        <v>0</v>
      </c>
    </row>
    <row r="9" x14ac:dyDescent="0.15">
      <c r="A9" s="217" t="s">
        <v>190</v>
      </c>
      <c r="B9" s="220">
        <v>0</v>
      </c>
      <c r="C9" s="220">
        <v>0</v>
      </c>
      <c r="D9" s="220">
        <v>0</v>
      </c>
      <c r="E9" s="220">
        <v>0</v>
      </c>
      <c r="F9" s="220">
        <v>0</v>
      </c>
      <c r="G9" s="220">
        <v>0</v>
      </c>
      <c r="H9" s="220">
        <v>0</v>
      </c>
      <c r="I9" s="220">
        <v>0.05</v>
      </c>
      <c r="J9" s="220">
        <v>0</v>
      </c>
      <c r="K9" s="220">
        <v>0</v>
      </c>
      <c r="L9" s="220">
        <v>0</v>
      </c>
      <c r="M9" s="220">
        <v>0</v>
      </c>
      <c r="N9" s="220">
        <v>0</v>
      </c>
      <c r="O9" s="220">
        <v>0</v>
      </c>
      <c r="P9" s="220">
        <v>1.2500000000000001E-2</v>
      </c>
      <c r="Q9" s="221">
        <v>5.0000000000000001E-3</v>
      </c>
      <c r="R9" s="220">
        <v>0</v>
      </c>
      <c r="S9" s="220">
        <v>0.154</v>
      </c>
      <c r="T9" s="220">
        <v>3.5000000000000003E-2</v>
      </c>
      <c r="U9" s="222">
        <v>2.5000000000000001E-3</v>
      </c>
      <c r="V9" s="220">
        <v>0.14000000000000001</v>
      </c>
      <c r="W9" s="220">
        <v>0</v>
      </c>
      <c r="X9" s="220">
        <v>0.5585</v>
      </c>
      <c r="Y9" s="220">
        <v>0.32</v>
      </c>
      <c r="Z9" s="220">
        <v>0.114</v>
      </c>
      <c r="AA9" s="220">
        <v>0.62149999999999994</v>
      </c>
      <c r="AB9" s="220">
        <v>0.55695000000000006</v>
      </c>
      <c r="AC9" s="220">
        <v>9.8150000000000001E-2</v>
      </c>
      <c r="AD9" s="220">
        <v>0.77800000000000002</v>
      </c>
      <c r="AE9" s="220">
        <v>4.1500000000000002E-2</v>
      </c>
      <c r="AF9" s="220">
        <v>0</v>
      </c>
      <c r="AG9" s="220">
        <v>0</v>
      </c>
      <c r="AH9" s="220">
        <v>0</v>
      </c>
      <c r="AI9" s="220">
        <v>0.54</v>
      </c>
      <c r="AJ9" s="220">
        <v>0</v>
      </c>
      <c r="AK9" s="220">
        <v>0</v>
      </c>
      <c r="AL9" s="220">
        <v>0</v>
      </c>
      <c r="AM9" s="220">
        <v>0</v>
      </c>
      <c r="AN9" s="220">
        <v>0</v>
      </c>
    </row>
    <row r="10" x14ac:dyDescent="0.15">
      <c r="A10" s="217" t="s">
        <v>191</v>
      </c>
      <c r="B10" s="220">
        <v>0</v>
      </c>
      <c r="C10" s="220">
        <v>0</v>
      </c>
      <c r="D10" s="220">
        <v>0</v>
      </c>
      <c r="E10" s="220">
        <v>0</v>
      </c>
      <c r="F10" s="220">
        <v>0</v>
      </c>
      <c r="G10" s="220">
        <v>0</v>
      </c>
      <c r="H10" s="220">
        <v>0</v>
      </c>
      <c r="I10" s="220">
        <v>0</v>
      </c>
      <c r="J10" s="220">
        <v>0</v>
      </c>
      <c r="K10" s="220">
        <v>0</v>
      </c>
      <c r="L10" s="220">
        <v>0</v>
      </c>
      <c r="M10" s="220">
        <v>0</v>
      </c>
      <c r="N10" s="220">
        <v>0</v>
      </c>
      <c r="O10" s="220">
        <v>0</v>
      </c>
      <c r="P10" s="220">
        <v>0.05</v>
      </c>
      <c r="Q10" s="221">
        <v>4.9250000000000002E-2</v>
      </c>
      <c r="R10" s="220">
        <v>0</v>
      </c>
      <c r="S10" s="220">
        <v>0.05</v>
      </c>
      <c r="T10" s="220">
        <v>0</v>
      </c>
      <c r="U10" s="222">
        <v>0</v>
      </c>
      <c r="V10" s="220">
        <v>0</v>
      </c>
      <c r="W10" s="220">
        <v>0</v>
      </c>
      <c r="X10" s="220">
        <v>2.3800000000000002E-2</v>
      </c>
      <c r="Y10" s="220">
        <v>0</v>
      </c>
      <c r="Z10" s="220">
        <v>0</v>
      </c>
      <c r="AA10" s="220">
        <v>0</v>
      </c>
      <c r="AB10" s="220">
        <v>8.6499999999999997E-3</v>
      </c>
      <c r="AC10" s="220">
        <v>0</v>
      </c>
      <c r="AD10" s="220">
        <v>0</v>
      </c>
      <c r="AE10" s="220">
        <v>0</v>
      </c>
      <c r="AF10" s="220">
        <v>0.2235</v>
      </c>
      <c r="AG10" s="220">
        <v>0</v>
      </c>
      <c r="AH10" s="220">
        <v>0</v>
      </c>
      <c r="AI10" s="220">
        <v>0</v>
      </c>
      <c r="AJ10" s="220">
        <v>0</v>
      </c>
      <c r="AK10" s="220">
        <v>0</v>
      </c>
      <c r="AL10" s="220">
        <v>0</v>
      </c>
      <c r="AM10" s="220">
        <v>0</v>
      </c>
      <c r="AN10" s="220">
        <v>0</v>
      </c>
    </row>
    <row r="11" x14ac:dyDescent="0.15">
      <c r="A11" s="217" t="s">
        <v>192</v>
      </c>
      <c r="B11" s="220">
        <v>0</v>
      </c>
      <c r="C11" s="220">
        <v>0</v>
      </c>
      <c r="D11" s="220">
        <v>0</v>
      </c>
      <c r="E11" s="220">
        <v>0</v>
      </c>
      <c r="F11" s="220">
        <v>0</v>
      </c>
      <c r="G11" s="220">
        <v>0</v>
      </c>
      <c r="H11" s="220">
        <v>0</v>
      </c>
      <c r="I11" s="220">
        <v>0</v>
      </c>
      <c r="J11" s="220">
        <v>0</v>
      </c>
      <c r="K11" s="220">
        <v>0</v>
      </c>
      <c r="L11" s="220">
        <v>0</v>
      </c>
      <c r="M11" s="220">
        <v>6.8000000000000005E-2</v>
      </c>
      <c r="N11" s="220">
        <v>0</v>
      </c>
      <c r="O11" s="220">
        <v>0</v>
      </c>
      <c r="P11" s="220">
        <v>0.375</v>
      </c>
      <c r="Q11" s="221">
        <v>0.40034999999999998</v>
      </c>
      <c r="R11" s="220">
        <v>0.66049999999999998</v>
      </c>
      <c r="S11" s="220">
        <v>0.2135</v>
      </c>
      <c r="T11" s="220">
        <v>0.36</v>
      </c>
      <c r="U11" s="222">
        <v>1.4E-2</v>
      </c>
      <c r="V11" s="220">
        <v>0.5</v>
      </c>
      <c r="W11" s="220">
        <v>0</v>
      </c>
      <c r="X11" s="220">
        <v>0.08</v>
      </c>
      <c r="Y11" s="220">
        <v>0</v>
      </c>
      <c r="Z11" s="220">
        <v>0</v>
      </c>
      <c r="AA11" s="220">
        <v>5.9000000000000004E-2</v>
      </c>
      <c r="AB11" s="220">
        <v>0.187</v>
      </c>
      <c r="AC11" s="220">
        <v>0</v>
      </c>
      <c r="AD11" s="220">
        <v>9.9000000000000005E-2</v>
      </c>
      <c r="AE11" s="220">
        <v>0.21199999999999999</v>
      </c>
      <c r="AF11" s="220">
        <v>0.62749999999999995</v>
      </c>
      <c r="AG11" s="220">
        <v>0.45800000000000002</v>
      </c>
      <c r="AH11" s="220">
        <v>0.1</v>
      </c>
      <c r="AI11" s="220">
        <v>3.0000000000000001E-3</v>
      </c>
      <c r="AJ11" s="220">
        <v>0</v>
      </c>
      <c r="AK11" s="220">
        <v>0</v>
      </c>
      <c r="AL11" s="220">
        <v>0</v>
      </c>
      <c r="AM11" s="220">
        <v>0</v>
      </c>
      <c r="AN11" s="220">
        <v>0</v>
      </c>
    </row>
    <row r="12" x14ac:dyDescent="0.15">
      <c r="A12" s="217" t="s">
        <v>194</v>
      </c>
      <c r="B12" s="220">
        <v>0</v>
      </c>
      <c r="C12" s="220">
        <v>0</v>
      </c>
      <c r="D12" s="220">
        <v>0</v>
      </c>
      <c r="E12" s="220">
        <v>0</v>
      </c>
      <c r="F12" s="220">
        <v>0</v>
      </c>
      <c r="G12" s="220">
        <v>0</v>
      </c>
      <c r="H12" s="220">
        <v>0</v>
      </c>
      <c r="I12" s="220">
        <v>0</v>
      </c>
      <c r="J12" s="220">
        <v>0</v>
      </c>
      <c r="K12" s="220">
        <v>0</v>
      </c>
      <c r="L12" s="220">
        <v>0</v>
      </c>
      <c r="M12" s="220">
        <v>0.38</v>
      </c>
      <c r="N12" s="220">
        <v>0</v>
      </c>
      <c r="O12" s="220">
        <v>0</v>
      </c>
      <c r="P12" s="220">
        <v>0</v>
      </c>
      <c r="Q12" s="221">
        <v>1.6175E-3</v>
      </c>
      <c r="R12" s="220">
        <v>0</v>
      </c>
      <c r="S12" s="220">
        <v>0.08</v>
      </c>
      <c r="T12" s="220">
        <v>8.4000000000000005E-2</v>
      </c>
      <c r="U12" s="222">
        <v>1.55E-2</v>
      </c>
      <c r="V12" s="220">
        <v>0</v>
      </c>
      <c r="W12" s="220">
        <v>0</v>
      </c>
      <c r="X12" s="220">
        <v>0</v>
      </c>
      <c r="Y12" s="220">
        <v>0</v>
      </c>
      <c r="Z12" s="220">
        <v>0</v>
      </c>
      <c r="AA12" s="220">
        <v>0</v>
      </c>
      <c r="AB12" s="220">
        <v>4.8700000000000002E-4</v>
      </c>
      <c r="AC12" s="220">
        <v>0</v>
      </c>
      <c r="AD12" s="220">
        <v>0</v>
      </c>
      <c r="AE12" s="220">
        <v>0</v>
      </c>
      <c r="AF12" s="220">
        <v>0</v>
      </c>
      <c r="AG12" s="220">
        <v>3.0975000000000003E-2</v>
      </c>
      <c r="AH12" s="220">
        <v>0</v>
      </c>
      <c r="AI12" s="220">
        <v>0</v>
      </c>
      <c r="AJ12" s="220">
        <v>0</v>
      </c>
      <c r="AK12" s="220">
        <v>0</v>
      </c>
      <c r="AL12" s="220">
        <v>0</v>
      </c>
      <c r="AM12" s="220">
        <v>0</v>
      </c>
      <c r="AN12" s="220">
        <v>0</v>
      </c>
    </row>
    <row r="13" x14ac:dyDescent="0.15">
      <c r="A13" s="217" t="s">
        <v>195</v>
      </c>
      <c r="B13" s="220">
        <v>0</v>
      </c>
      <c r="C13" s="220">
        <v>0</v>
      </c>
      <c r="D13" s="220">
        <v>0</v>
      </c>
      <c r="E13" s="220">
        <v>0</v>
      </c>
      <c r="F13" s="220">
        <v>0</v>
      </c>
      <c r="G13" s="220">
        <v>0</v>
      </c>
      <c r="H13" s="220">
        <v>0</v>
      </c>
      <c r="I13" s="220">
        <v>0</v>
      </c>
      <c r="J13" s="220">
        <v>0</v>
      </c>
      <c r="K13" s="220">
        <v>0</v>
      </c>
      <c r="L13" s="220">
        <v>0</v>
      </c>
      <c r="M13" s="220">
        <v>0.14000000000000001</v>
      </c>
      <c r="N13" s="220">
        <v>0</v>
      </c>
      <c r="O13" s="220">
        <v>0</v>
      </c>
      <c r="P13" s="220">
        <v>0</v>
      </c>
      <c r="Q13" s="221">
        <v>0</v>
      </c>
      <c r="R13" s="220">
        <v>3.5700000000000003E-2</v>
      </c>
      <c r="S13" s="220">
        <v>4.2000000000000003E-2</v>
      </c>
      <c r="T13" s="220">
        <v>6.0000000000000001E-3</v>
      </c>
      <c r="U13" s="222">
        <v>5.5500000000000001E-2</v>
      </c>
      <c r="V13" s="220">
        <v>0</v>
      </c>
      <c r="W13" s="220">
        <v>0</v>
      </c>
      <c r="X13" s="220">
        <v>1.3350000000000001E-2</v>
      </c>
      <c r="Y13" s="220">
        <v>0</v>
      </c>
      <c r="Z13" s="220">
        <v>0</v>
      </c>
      <c r="AA13" s="220">
        <v>0</v>
      </c>
      <c r="AB13" s="220">
        <v>2.32E-3</v>
      </c>
      <c r="AC13" s="220">
        <v>0</v>
      </c>
      <c r="AD13" s="220">
        <v>0</v>
      </c>
      <c r="AE13" s="220">
        <v>0.35449999999999998</v>
      </c>
      <c r="AF13" s="220">
        <v>0</v>
      </c>
      <c r="AG13" s="220">
        <v>0</v>
      </c>
      <c r="AH13" s="220">
        <v>0.2</v>
      </c>
      <c r="AI13" s="220">
        <v>0</v>
      </c>
      <c r="AJ13" s="220">
        <v>0</v>
      </c>
      <c r="AK13" s="220">
        <v>0</v>
      </c>
      <c r="AL13" s="220">
        <v>0</v>
      </c>
      <c r="AM13" s="220">
        <v>0</v>
      </c>
      <c r="AN13" s="220">
        <v>0</v>
      </c>
    </row>
    <row r="14" x14ac:dyDescent="0.15">
      <c r="A14" s="217" t="s">
        <v>196</v>
      </c>
      <c r="B14" s="220">
        <v>0</v>
      </c>
      <c r="C14" s="220">
        <v>0</v>
      </c>
      <c r="D14" s="220">
        <v>0</v>
      </c>
      <c r="E14" s="220">
        <v>0</v>
      </c>
      <c r="F14" s="220">
        <v>0</v>
      </c>
      <c r="G14" s="220">
        <v>0</v>
      </c>
      <c r="H14" s="220">
        <v>0</v>
      </c>
      <c r="I14" s="220">
        <v>0</v>
      </c>
      <c r="J14" s="220">
        <v>0</v>
      </c>
      <c r="K14" s="220">
        <v>0</v>
      </c>
      <c r="L14" s="220">
        <v>0</v>
      </c>
      <c r="M14" s="220">
        <v>7.0000000000000007E-2</v>
      </c>
      <c r="N14" s="220">
        <v>0</v>
      </c>
      <c r="O14" s="220">
        <v>0</v>
      </c>
      <c r="P14" s="220">
        <v>0.03</v>
      </c>
      <c r="Q14" s="221">
        <v>4.0500000000000001E-2</v>
      </c>
      <c r="R14" s="220">
        <v>4.4249999999999998E-2</v>
      </c>
      <c r="S14" s="220">
        <v>5.7500000000000002E-2</v>
      </c>
      <c r="T14" s="220">
        <v>4.0000000000000001E-3</v>
      </c>
      <c r="U14" s="222">
        <v>3.5000000000000001E-3</v>
      </c>
      <c r="V14" s="220">
        <v>0</v>
      </c>
      <c r="W14" s="220">
        <v>0</v>
      </c>
      <c r="X14" s="220">
        <v>6.4500000000000002E-2</v>
      </c>
      <c r="Y14" s="220">
        <v>0</v>
      </c>
      <c r="Z14" s="220">
        <v>3.7099999999999994E-2</v>
      </c>
      <c r="AA14" s="220">
        <v>2.2499999999999999E-2</v>
      </c>
      <c r="AB14" s="220">
        <v>1.9465E-2</v>
      </c>
      <c r="AC14" s="220">
        <v>0</v>
      </c>
      <c r="AD14" s="220">
        <v>0</v>
      </c>
      <c r="AE14" s="220">
        <v>0.09</v>
      </c>
      <c r="AF14" s="220">
        <v>0</v>
      </c>
      <c r="AG14" s="220">
        <v>0</v>
      </c>
      <c r="AH14" s="220">
        <v>0</v>
      </c>
      <c r="AI14" s="220">
        <v>0</v>
      </c>
      <c r="AJ14" s="220">
        <v>0</v>
      </c>
      <c r="AK14" s="220">
        <v>0</v>
      </c>
      <c r="AL14" s="220">
        <v>0</v>
      </c>
      <c r="AM14" s="220">
        <v>0</v>
      </c>
      <c r="AN14" s="220">
        <v>0</v>
      </c>
    </row>
    <row r="15" x14ac:dyDescent="0.15">
      <c r="A15" s="217" t="s">
        <v>197</v>
      </c>
      <c r="B15" s="220">
        <v>0</v>
      </c>
      <c r="C15" s="220">
        <v>0</v>
      </c>
      <c r="D15" s="220">
        <v>0</v>
      </c>
      <c r="E15" s="220">
        <v>0</v>
      </c>
      <c r="F15" s="220">
        <v>0</v>
      </c>
      <c r="G15" s="220">
        <v>0</v>
      </c>
      <c r="H15" s="220">
        <v>0</v>
      </c>
      <c r="I15" s="220">
        <v>0</v>
      </c>
      <c r="J15" s="220">
        <v>0</v>
      </c>
      <c r="K15" s="220">
        <v>0</v>
      </c>
      <c r="L15" s="220">
        <v>0</v>
      </c>
      <c r="M15" s="220">
        <v>4.1300000000000003E-2</v>
      </c>
      <c r="N15" s="220">
        <v>0</v>
      </c>
      <c r="O15" s="220">
        <v>0</v>
      </c>
      <c r="P15" s="220">
        <v>1.7250000000000001E-2</v>
      </c>
      <c r="Q15" s="221">
        <v>3.5000000000000003E-2</v>
      </c>
      <c r="R15" s="220">
        <v>0.10564</v>
      </c>
      <c r="S15" s="220">
        <v>8.4000000000000005E-2</v>
      </c>
      <c r="T15" s="220">
        <v>0.14000000000000001</v>
      </c>
      <c r="U15" s="222">
        <v>0.01</v>
      </c>
      <c r="V15" s="220">
        <v>0</v>
      </c>
      <c r="W15" s="220">
        <v>0</v>
      </c>
      <c r="X15" s="220">
        <v>3.4150000000000001E-3</v>
      </c>
      <c r="Y15" s="220">
        <v>0</v>
      </c>
      <c r="Z15" s="220">
        <v>0</v>
      </c>
      <c r="AA15" s="220">
        <v>6.1849999999999995E-3</v>
      </c>
      <c r="AB15" s="220">
        <v>0.05</v>
      </c>
      <c r="AC15" s="220">
        <v>0.109</v>
      </c>
      <c r="AD15" s="220">
        <v>6.1499999999999999E-4</v>
      </c>
      <c r="AE15" s="220">
        <v>0</v>
      </c>
      <c r="AF15" s="220">
        <v>8.09E-2</v>
      </c>
      <c r="AG15" s="220">
        <v>8.3550000000000013E-3</v>
      </c>
      <c r="AH15" s="220">
        <v>0</v>
      </c>
      <c r="AI15" s="220">
        <v>0</v>
      </c>
      <c r="AJ15" s="220">
        <v>0</v>
      </c>
      <c r="AK15" s="220">
        <v>0</v>
      </c>
      <c r="AL15" s="220">
        <v>0</v>
      </c>
      <c r="AM15" s="220">
        <v>0</v>
      </c>
      <c r="AN15" s="220">
        <v>0</v>
      </c>
    </row>
    <row r="16" x14ac:dyDescent="0.15">
      <c r="A16" s="217" t="s">
        <v>198</v>
      </c>
      <c r="B16" s="220">
        <v>0</v>
      </c>
      <c r="C16" s="220">
        <v>0</v>
      </c>
      <c r="D16" s="220">
        <v>0</v>
      </c>
      <c r="E16" s="220">
        <v>0</v>
      </c>
      <c r="F16" s="220">
        <v>0</v>
      </c>
      <c r="G16" s="220">
        <v>0</v>
      </c>
      <c r="H16" s="220">
        <v>0</v>
      </c>
      <c r="I16" s="220">
        <v>0</v>
      </c>
      <c r="J16" s="220">
        <v>0</v>
      </c>
      <c r="K16" s="220">
        <v>0</v>
      </c>
      <c r="L16" s="220">
        <v>0</v>
      </c>
      <c r="M16" s="220">
        <v>0</v>
      </c>
      <c r="N16" s="220">
        <v>0</v>
      </c>
      <c r="O16" s="220">
        <v>0</v>
      </c>
      <c r="P16" s="220">
        <v>0</v>
      </c>
      <c r="Q16" s="221">
        <v>0</v>
      </c>
      <c r="R16" s="220">
        <v>0</v>
      </c>
      <c r="S16" s="220">
        <v>0</v>
      </c>
      <c r="T16" s="220">
        <v>0</v>
      </c>
      <c r="U16" s="222">
        <v>2.5000000000000001E-3</v>
      </c>
      <c r="V16" s="220">
        <v>0</v>
      </c>
      <c r="W16" s="220">
        <v>0</v>
      </c>
      <c r="X16" s="220">
        <v>2.9850000000000002E-3</v>
      </c>
      <c r="Y16" s="220">
        <v>0</v>
      </c>
      <c r="Z16" s="220">
        <v>0</v>
      </c>
      <c r="AA16" s="220">
        <v>0</v>
      </c>
      <c r="AB16" s="220">
        <v>0</v>
      </c>
      <c r="AC16" s="220">
        <v>0</v>
      </c>
      <c r="AD16" s="220">
        <v>0</v>
      </c>
      <c r="AE16" s="220">
        <v>1.0500000000000001E-2</v>
      </c>
      <c r="AF16" s="220">
        <v>7.4999999999999997E-3</v>
      </c>
      <c r="AG16" s="220">
        <v>1.5949999999999999E-2</v>
      </c>
      <c r="AH16" s="220">
        <v>0.2</v>
      </c>
      <c r="AI16" s="220">
        <v>0</v>
      </c>
      <c r="AJ16" s="220">
        <v>0</v>
      </c>
      <c r="AK16" s="220">
        <v>0</v>
      </c>
      <c r="AL16" s="220">
        <v>0</v>
      </c>
      <c r="AM16" s="220">
        <v>0</v>
      </c>
      <c r="AN16" s="220">
        <v>0</v>
      </c>
    </row>
    <row r="17" x14ac:dyDescent="0.15">
      <c r="A17" s="217" t="s">
        <v>199</v>
      </c>
      <c r="B17" s="220">
        <v>0</v>
      </c>
      <c r="C17" s="220">
        <v>0</v>
      </c>
      <c r="D17" s="220">
        <v>0</v>
      </c>
      <c r="E17" s="220">
        <v>0</v>
      </c>
      <c r="F17" s="220">
        <v>0</v>
      </c>
      <c r="G17" s="220">
        <v>0</v>
      </c>
      <c r="H17" s="220">
        <v>0</v>
      </c>
      <c r="I17" s="220">
        <v>0</v>
      </c>
      <c r="J17" s="220">
        <v>0</v>
      </c>
      <c r="K17" s="220">
        <v>0</v>
      </c>
      <c r="L17" s="220">
        <v>0</v>
      </c>
      <c r="M17" s="220">
        <v>0</v>
      </c>
      <c r="N17" s="220">
        <v>0</v>
      </c>
      <c r="O17" s="220">
        <v>0</v>
      </c>
      <c r="P17" s="220">
        <v>0</v>
      </c>
      <c r="Q17" s="221">
        <v>0</v>
      </c>
      <c r="R17" s="220">
        <v>0</v>
      </c>
      <c r="S17" s="220">
        <v>0</v>
      </c>
      <c r="T17" s="220">
        <v>0</v>
      </c>
      <c r="U17" s="222">
        <v>3.7999999999999999E-2</v>
      </c>
      <c r="V17" s="220">
        <v>0</v>
      </c>
      <c r="W17" s="220">
        <v>0</v>
      </c>
      <c r="X17" s="220">
        <v>0</v>
      </c>
      <c r="Y17" s="220">
        <v>0</v>
      </c>
      <c r="Z17" s="220">
        <v>0</v>
      </c>
      <c r="AA17" s="220">
        <v>0</v>
      </c>
      <c r="AB17" s="220">
        <v>0</v>
      </c>
      <c r="AC17" s="220">
        <v>0</v>
      </c>
      <c r="AD17" s="220">
        <v>0</v>
      </c>
      <c r="AE17" s="220">
        <v>0</v>
      </c>
      <c r="AF17" s="220">
        <v>0</v>
      </c>
      <c r="AG17" s="220">
        <v>0</v>
      </c>
      <c r="AH17" s="220">
        <v>0.2</v>
      </c>
      <c r="AI17" s="220">
        <v>0</v>
      </c>
      <c r="AJ17" s="220">
        <v>0</v>
      </c>
      <c r="AK17" s="220">
        <v>0</v>
      </c>
      <c r="AL17" s="220">
        <v>0</v>
      </c>
      <c r="AM17" s="220">
        <v>0</v>
      </c>
      <c r="AN17" s="220">
        <v>0</v>
      </c>
    </row>
    <row r="18" x14ac:dyDescent="0.15">
      <c r="A18" s="217" t="s">
        <v>200</v>
      </c>
      <c r="B18" s="220">
        <v>0</v>
      </c>
      <c r="C18" s="220">
        <v>0</v>
      </c>
      <c r="D18" s="220">
        <v>0</v>
      </c>
      <c r="E18" s="220">
        <v>0</v>
      </c>
      <c r="F18" s="220">
        <v>0</v>
      </c>
      <c r="G18" s="220">
        <v>0</v>
      </c>
      <c r="H18" s="220">
        <v>0</v>
      </c>
      <c r="I18" s="220">
        <v>0</v>
      </c>
      <c r="J18" s="220">
        <v>0</v>
      </c>
      <c r="K18" s="220">
        <v>0</v>
      </c>
      <c r="L18" s="220">
        <v>0</v>
      </c>
      <c r="M18" s="220">
        <v>0</v>
      </c>
      <c r="N18" s="220">
        <v>0</v>
      </c>
      <c r="O18" s="220">
        <v>0</v>
      </c>
      <c r="P18" s="220">
        <v>0</v>
      </c>
      <c r="Q18" s="221">
        <v>0</v>
      </c>
      <c r="R18" s="220">
        <v>0</v>
      </c>
      <c r="S18" s="220">
        <v>1.5E-3</v>
      </c>
      <c r="T18" s="220">
        <v>0</v>
      </c>
      <c r="U18" s="222">
        <v>0</v>
      </c>
      <c r="V18" s="220">
        <v>0</v>
      </c>
      <c r="W18" s="220">
        <v>0</v>
      </c>
      <c r="X18" s="220">
        <v>2.5000000000000001E-3</v>
      </c>
      <c r="Y18" s="220">
        <v>0</v>
      </c>
      <c r="Z18" s="220">
        <v>0</v>
      </c>
      <c r="AA18" s="220">
        <v>0</v>
      </c>
      <c r="AB18" s="220">
        <v>1.5349999999999999E-3</v>
      </c>
      <c r="AC18" s="220">
        <v>0</v>
      </c>
      <c r="AD18" s="220">
        <v>0</v>
      </c>
      <c r="AE18" s="220">
        <v>0.1842</v>
      </c>
      <c r="AF18" s="220">
        <v>0</v>
      </c>
      <c r="AG18" s="220">
        <v>0</v>
      </c>
      <c r="AH18" s="220">
        <v>0</v>
      </c>
      <c r="AI18" s="220">
        <v>0</v>
      </c>
      <c r="AJ18" s="220">
        <v>0</v>
      </c>
      <c r="AK18" s="220">
        <v>0</v>
      </c>
      <c r="AL18" s="220">
        <v>0</v>
      </c>
      <c r="AM18" s="220">
        <v>0</v>
      </c>
      <c r="AN18" s="220">
        <v>0</v>
      </c>
    </row>
    <row r="19" x14ac:dyDescent="0.15">
      <c r="A19" s="217" t="s">
        <v>201</v>
      </c>
      <c r="B19" s="220">
        <v>0</v>
      </c>
      <c r="C19" s="220">
        <v>0</v>
      </c>
      <c r="D19" s="220">
        <v>0</v>
      </c>
      <c r="E19" s="220">
        <v>0</v>
      </c>
      <c r="F19" s="220">
        <v>0</v>
      </c>
      <c r="G19" s="220">
        <v>0</v>
      </c>
      <c r="H19" s="220">
        <v>0</v>
      </c>
      <c r="I19" s="220">
        <v>0</v>
      </c>
      <c r="J19" s="220">
        <v>0</v>
      </c>
      <c r="K19" s="220">
        <v>0</v>
      </c>
      <c r="L19" s="220">
        <v>0</v>
      </c>
      <c r="M19" s="220">
        <v>3.1899999999999998E-2</v>
      </c>
      <c r="N19" s="220">
        <v>0</v>
      </c>
      <c r="O19" s="220">
        <v>0</v>
      </c>
      <c r="P19" s="220">
        <v>0</v>
      </c>
      <c r="Q19" s="221">
        <v>0</v>
      </c>
      <c r="R19" s="220">
        <v>0</v>
      </c>
      <c r="S19" s="220">
        <v>0</v>
      </c>
      <c r="T19" s="220">
        <v>0</v>
      </c>
      <c r="U19" s="222">
        <v>0.39600000000000002</v>
      </c>
      <c r="V19" s="220">
        <v>0</v>
      </c>
      <c r="W19" s="220">
        <v>0</v>
      </c>
      <c r="X19" s="220">
        <v>0</v>
      </c>
      <c r="Y19" s="220">
        <v>0</v>
      </c>
      <c r="Z19" s="220">
        <v>0</v>
      </c>
      <c r="AA19" s="220">
        <v>0</v>
      </c>
      <c r="AB19" s="220">
        <v>0</v>
      </c>
      <c r="AC19" s="220">
        <v>0</v>
      </c>
      <c r="AD19" s="220">
        <v>0</v>
      </c>
      <c r="AE19" s="220">
        <v>5.6000000000000001E-2</v>
      </c>
      <c r="AF19" s="220">
        <v>0</v>
      </c>
      <c r="AG19" s="220">
        <v>0</v>
      </c>
      <c r="AH19" s="220">
        <v>0</v>
      </c>
      <c r="AI19" s="220">
        <v>0</v>
      </c>
      <c r="AJ19" s="220">
        <v>0</v>
      </c>
      <c r="AK19" s="220">
        <v>0</v>
      </c>
      <c r="AL19" s="220">
        <v>0</v>
      </c>
      <c r="AM19" s="220">
        <v>0</v>
      </c>
      <c r="AN19" s="220">
        <v>0</v>
      </c>
      <c r="AQ19" s="217" t="s">
        <v>224</v>
      </c>
    </row>
    <row r="20" x14ac:dyDescent="0.15">
      <c r="A20" s="217" t="s">
        <v>202</v>
      </c>
      <c r="B20" s="220">
        <v>0</v>
      </c>
      <c r="C20" s="220">
        <v>0</v>
      </c>
      <c r="D20" s="220">
        <v>0</v>
      </c>
      <c r="E20" s="220">
        <v>0</v>
      </c>
      <c r="F20" s="220">
        <v>0</v>
      </c>
      <c r="G20" s="220">
        <v>0</v>
      </c>
      <c r="H20" s="220">
        <v>0</v>
      </c>
      <c r="I20" s="220">
        <v>0</v>
      </c>
      <c r="J20" s="220">
        <v>0</v>
      </c>
      <c r="K20" s="220">
        <v>0</v>
      </c>
      <c r="L20" s="220">
        <v>0</v>
      </c>
      <c r="M20" s="220">
        <v>0</v>
      </c>
      <c r="N20" s="220">
        <v>0</v>
      </c>
      <c r="O20" s="220">
        <v>0</v>
      </c>
      <c r="P20" s="220">
        <v>0</v>
      </c>
      <c r="Q20" s="221">
        <v>0</v>
      </c>
      <c r="R20" s="220">
        <v>0</v>
      </c>
      <c r="S20" s="220">
        <v>0</v>
      </c>
      <c r="T20" s="220">
        <v>0</v>
      </c>
      <c r="U20" s="222">
        <v>0</v>
      </c>
      <c r="V20" s="220">
        <v>0</v>
      </c>
      <c r="W20" s="220">
        <v>0</v>
      </c>
      <c r="X20" s="220">
        <v>2.4549999999999999E-2</v>
      </c>
      <c r="Y20" s="220">
        <v>0</v>
      </c>
      <c r="Z20" s="220">
        <v>0.216</v>
      </c>
      <c r="AA20" s="220">
        <v>0</v>
      </c>
      <c r="AB20" s="220">
        <v>0</v>
      </c>
      <c r="AC20" s="220">
        <v>0</v>
      </c>
      <c r="AD20" s="220">
        <v>0</v>
      </c>
      <c r="AE20" s="220">
        <v>8.094500000000001E-3</v>
      </c>
      <c r="AF20" s="220">
        <v>0</v>
      </c>
      <c r="AG20" s="220">
        <v>0</v>
      </c>
      <c r="AH20" s="220">
        <v>0</v>
      </c>
      <c r="AI20" s="220">
        <v>0</v>
      </c>
      <c r="AJ20" s="220">
        <v>0</v>
      </c>
      <c r="AK20" s="220">
        <v>0</v>
      </c>
      <c r="AL20" s="220">
        <v>0</v>
      </c>
      <c r="AM20" s="220">
        <v>0</v>
      </c>
      <c r="AN20" s="220">
        <v>0</v>
      </c>
    </row>
    <row r="21" x14ac:dyDescent="0.15">
      <c r="A21" s="217" t="s">
        <v>203</v>
      </c>
      <c r="B21" s="220">
        <v>0</v>
      </c>
      <c r="C21" s="220">
        <v>0</v>
      </c>
      <c r="D21" s="220">
        <v>0</v>
      </c>
      <c r="E21" s="220">
        <v>0</v>
      </c>
      <c r="F21" s="220">
        <v>0</v>
      </c>
      <c r="G21" s="220">
        <v>0</v>
      </c>
      <c r="H21" s="220">
        <v>0</v>
      </c>
      <c r="I21" s="220">
        <v>0</v>
      </c>
      <c r="J21" s="220">
        <v>0</v>
      </c>
      <c r="K21" s="220">
        <v>0</v>
      </c>
      <c r="L21" s="220">
        <v>0</v>
      </c>
      <c r="M21" s="220">
        <v>0</v>
      </c>
      <c r="N21" s="220">
        <v>0</v>
      </c>
      <c r="O21" s="220">
        <v>0</v>
      </c>
      <c r="P21" s="220">
        <v>0</v>
      </c>
      <c r="Q21" s="221">
        <v>0</v>
      </c>
      <c r="R21" s="220">
        <v>0</v>
      </c>
      <c r="S21" s="220">
        <v>0</v>
      </c>
      <c r="T21" s="220">
        <v>0</v>
      </c>
      <c r="U21" s="222">
        <v>0</v>
      </c>
      <c r="V21" s="220">
        <v>0</v>
      </c>
      <c r="W21" s="220">
        <v>0</v>
      </c>
      <c r="X21" s="220">
        <v>0</v>
      </c>
      <c r="Y21" s="220">
        <v>0</v>
      </c>
      <c r="Z21" s="220">
        <v>0</v>
      </c>
      <c r="AA21" s="220">
        <v>0</v>
      </c>
      <c r="AB21" s="220">
        <v>0</v>
      </c>
      <c r="AC21" s="220">
        <v>0</v>
      </c>
      <c r="AD21" s="220">
        <v>0</v>
      </c>
      <c r="AE21" s="220">
        <v>5.0000000000000001E-4</v>
      </c>
      <c r="AF21" s="220">
        <v>0</v>
      </c>
      <c r="AG21" s="220">
        <v>0</v>
      </c>
      <c r="AH21" s="220">
        <v>0</v>
      </c>
      <c r="AI21" s="220">
        <v>0</v>
      </c>
      <c r="AJ21" s="220">
        <v>0</v>
      </c>
      <c r="AK21" s="220">
        <v>0</v>
      </c>
      <c r="AL21" s="220">
        <v>0</v>
      </c>
      <c r="AM21" s="220">
        <v>0</v>
      </c>
      <c r="AN21" s="220">
        <v>0</v>
      </c>
    </row>
    <row r="22" x14ac:dyDescent="0.15">
      <c r="A22" s="217" t="s">
        <v>204</v>
      </c>
      <c r="B22" s="220">
        <v>0</v>
      </c>
      <c r="C22" s="220">
        <v>0</v>
      </c>
      <c r="D22" s="220">
        <v>0</v>
      </c>
      <c r="E22" s="220">
        <v>0</v>
      </c>
      <c r="F22" s="220">
        <v>0</v>
      </c>
      <c r="G22" s="220">
        <v>0</v>
      </c>
      <c r="H22" s="220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1">
        <v>0</v>
      </c>
      <c r="R22" s="220">
        <v>0</v>
      </c>
      <c r="S22" s="220">
        <v>0</v>
      </c>
      <c r="T22" s="220">
        <v>0</v>
      </c>
      <c r="U22" s="222">
        <v>0</v>
      </c>
      <c r="V22" s="220">
        <v>0</v>
      </c>
      <c r="W22" s="220">
        <v>0</v>
      </c>
      <c r="X22" s="220">
        <v>3.6750000000000003E-3</v>
      </c>
      <c r="Y22" s="220">
        <v>0</v>
      </c>
      <c r="Z22" s="220">
        <v>9.2049999999999996E-3</v>
      </c>
      <c r="AA22" s="220">
        <v>5.6499999999999996E-4</v>
      </c>
      <c r="AB22" s="220">
        <v>0</v>
      </c>
      <c r="AC22" s="220">
        <v>0</v>
      </c>
      <c r="AD22" s="220">
        <v>0</v>
      </c>
      <c r="AE22" s="220">
        <v>0</v>
      </c>
      <c r="AF22" s="220">
        <v>0</v>
      </c>
      <c r="AG22" s="220">
        <v>0</v>
      </c>
      <c r="AH22" s="220">
        <v>0</v>
      </c>
      <c r="AI22" s="220">
        <v>0</v>
      </c>
      <c r="AJ22" s="220">
        <v>0</v>
      </c>
      <c r="AK22" s="220">
        <v>0</v>
      </c>
      <c r="AL22" s="220">
        <v>0</v>
      </c>
      <c r="AM22" s="220">
        <v>0</v>
      </c>
      <c r="AN22" s="220">
        <v>0</v>
      </c>
    </row>
    <row r="23" x14ac:dyDescent="0.15">
      <c r="A23" s="217" t="s">
        <v>205</v>
      </c>
      <c r="B23" s="220">
        <v>0</v>
      </c>
      <c r="C23" s="220">
        <v>0</v>
      </c>
      <c r="D23" s="220">
        <v>0</v>
      </c>
      <c r="E23" s="220">
        <v>0</v>
      </c>
      <c r="F23" s="220">
        <v>0</v>
      </c>
      <c r="G23" s="220">
        <v>0</v>
      </c>
      <c r="H23" s="220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0.01</v>
      </c>
      <c r="O23" s="220">
        <v>0</v>
      </c>
      <c r="P23" s="220">
        <v>1.02075E-2</v>
      </c>
      <c r="Q23" s="221">
        <v>2.3271375E-2</v>
      </c>
      <c r="R23" s="220">
        <v>0.153</v>
      </c>
      <c r="S23" s="220">
        <v>0.1575</v>
      </c>
      <c r="T23" s="220">
        <v>0.22</v>
      </c>
      <c r="U23" s="222">
        <v>9.1999999999999998E-2</v>
      </c>
      <c r="V23" s="220">
        <v>0</v>
      </c>
      <c r="W23" s="220">
        <v>0</v>
      </c>
      <c r="X23" s="220">
        <v>0.10815</v>
      </c>
      <c r="Y23" s="220">
        <v>0</v>
      </c>
      <c r="Z23" s="220">
        <v>3.1099999999999999E-2</v>
      </c>
      <c r="AA23" s="220">
        <v>0.108</v>
      </c>
      <c r="AB23" s="220">
        <v>0.13</v>
      </c>
      <c r="AC23" s="220">
        <v>0</v>
      </c>
      <c r="AD23" s="220">
        <v>0</v>
      </c>
      <c r="AE23" s="220">
        <v>1.1050000000000001E-2</v>
      </c>
      <c r="AF23" s="220">
        <v>6.08E-2</v>
      </c>
      <c r="AG23" s="220">
        <v>0.46</v>
      </c>
      <c r="AH23" s="220">
        <v>0</v>
      </c>
      <c r="AI23" s="220">
        <v>0</v>
      </c>
      <c r="AJ23" s="220">
        <v>0</v>
      </c>
      <c r="AK23" s="220">
        <v>0</v>
      </c>
      <c r="AL23" s="220">
        <v>0</v>
      </c>
      <c r="AM23" s="220">
        <v>0</v>
      </c>
      <c r="AN23" s="220">
        <v>0</v>
      </c>
    </row>
    <row r="24" x14ac:dyDescent="0.15">
      <c r="A24" s="217" t="s">
        <v>207</v>
      </c>
      <c r="B24" s="220">
        <v>0</v>
      </c>
      <c r="C24" s="220">
        <v>0</v>
      </c>
      <c r="D24" s="220">
        <v>0</v>
      </c>
      <c r="E24" s="220">
        <v>0</v>
      </c>
      <c r="F24" s="220">
        <v>0</v>
      </c>
      <c r="G24" s="220">
        <v>0</v>
      </c>
      <c r="H24" s="220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1">
        <v>0</v>
      </c>
      <c r="R24" s="220">
        <v>0</v>
      </c>
      <c r="S24" s="220">
        <v>0</v>
      </c>
      <c r="T24" s="220">
        <v>0</v>
      </c>
      <c r="U24" s="222">
        <v>0</v>
      </c>
      <c r="V24" s="220">
        <v>0</v>
      </c>
      <c r="W24" s="220">
        <v>0</v>
      </c>
      <c r="X24" s="220">
        <v>0</v>
      </c>
      <c r="Y24" s="220">
        <v>0</v>
      </c>
      <c r="Z24" s="220">
        <v>0</v>
      </c>
      <c r="AA24" s="220">
        <v>0</v>
      </c>
      <c r="AB24" s="220">
        <v>0</v>
      </c>
      <c r="AC24" s="220">
        <v>0</v>
      </c>
      <c r="AD24" s="220">
        <v>0</v>
      </c>
      <c r="AE24" s="220">
        <v>0</v>
      </c>
      <c r="AF24" s="220">
        <v>0</v>
      </c>
      <c r="AG24" s="220">
        <v>0</v>
      </c>
      <c r="AH24" s="220">
        <v>0</v>
      </c>
      <c r="AI24" s="220">
        <v>0</v>
      </c>
      <c r="AJ24" s="220">
        <v>0</v>
      </c>
      <c r="AK24" s="220">
        <v>0</v>
      </c>
      <c r="AL24" s="220">
        <v>0</v>
      </c>
      <c r="AM24" s="220">
        <v>0</v>
      </c>
      <c r="AN24" s="220">
        <v>0</v>
      </c>
    </row>
    <row r="25" x14ac:dyDescent="0.15">
      <c r="A25" s="217" t="s">
        <v>208</v>
      </c>
      <c r="B25" s="220">
        <v>0</v>
      </c>
      <c r="C25" s="220">
        <v>0</v>
      </c>
      <c r="D25" s="220">
        <v>0</v>
      </c>
      <c r="E25" s="220">
        <v>0</v>
      </c>
      <c r="F25" s="220">
        <v>0</v>
      </c>
      <c r="G25" s="220">
        <v>0</v>
      </c>
      <c r="H25" s="220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1">
        <v>0</v>
      </c>
      <c r="R25" s="220">
        <v>0</v>
      </c>
      <c r="S25" s="220">
        <v>0</v>
      </c>
      <c r="T25" s="220">
        <v>0</v>
      </c>
      <c r="U25" s="222">
        <v>1.4999999999999999E-2</v>
      </c>
      <c r="V25" s="220">
        <v>0</v>
      </c>
      <c r="W25" s="220">
        <v>0</v>
      </c>
      <c r="X25" s="220">
        <v>1.5E-3</v>
      </c>
      <c r="Y25" s="220">
        <v>0</v>
      </c>
      <c r="Z25" s="220">
        <v>0</v>
      </c>
      <c r="AA25" s="220">
        <v>0</v>
      </c>
      <c r="AB25" s="220">
        <v>1.2734999999999999E-3</v>
      </c>
      <c r="AC25" s="220">
        <v>0</v>
      </c>
      <c r="AD25" s="220">
        <v>0</v>
      </c>
      <c r="AE25" s="220">
        <v>0</v>
      </c>
      <c r="AF25" s="220">
        <v>0</v>
      </c>
      <c r="AG25" s="220">
        <v>0</v>
      </c>
      <c r="AH25" s="220">
        <v>0</v>
      </c>
      <c r="AI25" s="220">
        <v>0</v>
      </c>
      <c r="AJ25" s="220">
        <v>0</v>
      </c>
      <c r="AK25" s="220">
        <v>0</v>
      </c>
      <c r="AL25" s="220">
        <v>0</v>
      </c>
      <c r="AM25" s="220">
        <v>0</v>
      </c>
      <c r="AN25" s="220">
        <v>0</v>
      </c>
    </row>
    <row r="26" x14ac:dyDescent="0.15">
      <c r="A26" s="217" t="s">
        <v>209</v>
      </c>
      <c r="B26" s="220">
        <v>0</v>
      </c>
      <c r="C26" s="220">
        <v>0</v>
      </c>
      <c r="D26" s="220">
        <v>0</v>
      </c>
      <c r="E26" s="220">
        <v>0</v>
      </c>
      <c r="F26" s="220">
        <v>0</v>
      </c>
      <c r="G26" s="220">
        <v>0</v>
      </c>
      <c r="H26" s="220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1">
        <v>0</v>
      </c>
      <c r="R26" s="220">
        <v>0</v>
      </c>
      <c r="S26" s="220">
        <v>0</v>
      </c>
      <c r="T26" s="220">
        <v>0</v>
      </c>
      <c r="U26" s="222">
        <v>0</v>
      </c>
      <c r="V26" s="220">
        <v>0</v>
      </c>
      <c r="W26" s="220">
        <v>0</v>
      </c>
      <c r="X26" s="220">
        <v>2.375E-4</v>
      </c>
      <c r="Y26" s="220">
        <v>0</v>
      </c>
      <c r="Z26" s="220">
        <v>0</v>
      </c>
      <c r="AA26" s="220">
        <v>0</v>
      </c>
      <c r="AB26" s="220">
        <v>0</v>
      </c>
      <c r="AC26" s="220">
        <v>0</v>
      </c>
      <c r="AD26" s="220">
        <v>0</v>
      </c>
      <c r="AE26" s="220">
        <v>0</v>
      </c>
      <c r="AF26" s="220">
        <v>0</v>
      </c>
      <c r="AG26" s="220">
        <v>0</v>
      </c>
      <c r="AH26" s="220">
        <v>0</v>
      </c>
      <c r="AI26" s="220">
        <v>0</v>
      </c>
      <c r="AJ26" s="220">
        <v>0</v>
      </c>
      <c r="AK26" s="220">
        <v>0</v>
      </c>
      <c r="AL26" s="220">
        <v>0</v>
      </c>
      <c r="AM26" s="220">
        <v>0</v>
      </c>
      <c r="AN26" s="220">
        <v>0</v>
      </c>
    </row>
    <row r="27" x14ac:dyDescent="0.15">
      <c r="A27" s="217" t="s">
        <v>210</v>
      </c>
      <c r="B27" s="220">
        <v>0</v>
      </c>
      <c r="C27" s="220">
        <v>0</v>
      </c>
      <c r="D27" s="220">
        <v>0</v>
      </c>
      <c r="E27" s="220">
        <v>0</v>
      </c>
      <c r="F27" s="220">
        <v>0</v>
      </c>
      <c r="G27" s="220">
        <v>0</v>
      </c>
      <c r="H27" s="220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1">
        <v>0</v>
      </c>
      <c r="R27" s="220">
        <v>0</v>
      </c>
      <c r="S27" s="220">
        <v>0</v>
      </c>
      <c r="T27" s="220">
        <v>4.0000000000000001E-3</v>
      </c>
      <c r="U27" s="222">
        <v>7.0000000000000001E-3</v>
      </c>
      <c r="V27" s="220">
        <v>0.36</v>
      </c>
      <c r="W27" s="220">
        <v>0</v>
      </c>
      <c r="X27" s="220">
        <v>2.435E-2</v>
      </c>
      <c r="Y27" s="220">
        <v>0</v>
      </c>
      <c r="Z27" s="220">
        <v>0.32550000000000001</v>
      </c>
      <c r="AA27" s="220">
        <v>1.6E-2</v>
      </c>
      <c r="AB27" s="220">
        <v>0.01</v>
      </c>
      <c r="AC27" s="220">
        <v>0</v>
      </c>
      <c r="AD27" s="220">
        <v>0</v>
      </c>
      <c r="AE27" s="220">
        <v>1.0500000000000001E-2</v>
      </c>
      <c r="AF27" s="220">
        <v>0</v>
      </c>
      <c r="AG27" s="220">
        <v>0.02</v>
      </c>
      <c r="AH27" s="220">
        <v>0</v>
      </c>
      <c r="AI27" s="220">
        <v>0</v>
      </c>
      <c r="AJ27" s="220">
        <v>0</v>
      </c>
      <c r="AK27" s="220">
        <v>0</v>
      </c>
      <c r="AL27" s="220">
        <v>0</v>
      </c>
      <c r="AM27" s="220">
        <v>0</v>
      </c>
      <c r="AN27" s="220">
        <v>0</v>
      </c>
    </row>
    <row r="28" x14ac:dyDescent="0.15">
      <c r="A28" s="217" t="s">
        <v>211</v>
      </c>
      <c r="B28" s="220">
        <v>0</v>
      </c>
      <c r="C28" s="220">
        <v>0</v>
      </c>
      <c r="D28" s="220">
        <v>0</v>
      </c>
      <c r="E28" s="220">
        <v>0</v>
      </c>
      <c r="F28" s="220">
        <v>0</v>
      </c>
      <c r="G28" s="220">
        <v>0</v>
      </c>
      <c r="H28" s="220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1">
        <v>0</v>
      </c>
      <c r="R28" s="220">
        <v>0</v>
      </c>
      <c r="S28" s="220">
        <v>0</v>
      </c>
      <c r="T28" s="220">
        <v>0</v>
      </c>
      <c r="U28" s="222">
        <v>0.2</v>
      </c>
      <c r="V28" s="220">
        <v>0</v>
      </c>
      <c r="W28" s="220">
        <v>0</v>
      </c>
      <c r="X28" s="220">
        <v>1.8065000000000001E-2</v>
      </c>
      <c r="Y28" s="220">
        <v>0</v>
      </c>
      <c r="Z28" s="220">
        <v>0</v>
      </c>
      <c r="AA28" s="220">
        <v>0</v>
      </c>
      <c r="AB28" s="220">
        <v>0.02</v>
      </c>
      <c r="AC28" s="220">
        <v>0</v>
      </c>
      <c r="AD28" s="220">
        <v>0</v>
      </c>
      <c r="AE28" s="220">
        <v>0</v>
      </c>
      <c r="AF28" s="220">
        <v>0</v>
      </c>
      <c r="AG28" s="220">
        <v>6.9449999999999998E-3</v>
      </c>
      <c r="AH28" s="220">
        <v>0</v>
      </c>
      <c r="AI28" s="220">
        <v>0</v>
      </c>
      <c r="AJ28" s="220">
        <v>0</v>
      </c>
      <c r="AK28" s="220">
        <v>0</v>
      </c>
      <c r="AL28" s="220">
        <v>0</v>
      </c>
      <c r="AM28" s="220">
        <v>0</v>
      </c>
      <c r="AN28" s="220">
        <v>0</v>
      </c>
    </row>
    <row r="29" x14ac:dyDescent="0.15">
      <c r="A29" s="217" t="s">
        <v>212</v>
      </c>
      <c r="B29" s="220">
        <v>0</v>
      </c>
      <c r="C29" s="220">
        <v>0</v>
      </c>
      <c r="D29" s="220">
        <v>0</v>
      </c>
      <c r="E29" s="220">
        <v>0</v>
      </c>
      <c r="F29" s="220">
        <v>0</v>
      </c>
      <c r="G29" s="220">
        <v>0</v>
      </c>
      <c r="H29" s="220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1">
        <v>1.55E-4</v>
      </c>
      <c r="R29" s="220">
        <v>0</v>
      </c>
      <c r="S29" s="220">
        <v>0.02</v>
      </c>
      <c r="T29" s="220">
        <v>0.14000000000000001</v>
      </c>
      <c r="U29" s="222">
        <v>9.1499999999999998E-2</v>
      </c>
      <c r="V29" s="220">
        <v>0</v>
      </c>
      <c r="W29" s="220">
        <v>0</v>
      </c>
      <c r="X29" s="220">
        <v>0</v>
      </c>
      <c r="Y29" s="220">
        <v>0</v>
      </c>
      <c r="Z29" s="220">
        <v>0.23300000000000001</v>
      </c>
      <c r="AA29" s="220">
        <v>0</v>
      </c>
      <c r="AB29" s="220">
        <v>0</v>
      </c>
      <c r="AC29" s="220">
        <v>0</v>
      </c>
      <c r="AD29" s="220">
        <v>0</v>
      </c>
      <c r="AE29" s="220">
        <v>1.0500000000000001E-2</v>
      </c>
      <c r="AF29" s="220">
        <v>0</v>
      </c>
      <c r="AG29" s="220">
        <v>0</v>
      </c>
      <c r="AH29" s="220">
        <v>0</v>
      </c>
      <c r="AI29" s="220">
        <v>0</v>
      </c>
      <c r="AJ29" s="220">
        <v>0</v>
      </c>
      <c r="AK29" s="220">
        <v>0</v>
      </c>
      <c r="AL29" s="220">
        <v>0</v>
      </c>
      <c r="AM29" s="220">
        <v>0</v>
      </c>
      <c r="AN29" s="220">
        <v>0</v>
      </c>
    </row>
    <row r="30" x14ac:dyDescent="0.15">
      <c r="A30" s="217" t="s">
        <v>213</v>
      </c>
      <c r="B30" s="220">
        <v>0</v>
      </c>
      <c r="C30" s="220">
        <v>0</v>
      </c>
      <c r="D30" s="220">
        <v>0</v>
      </c>
      <c r="E30" s="220">
        <v>0</v>
      </c>
      <c r="F30" s="220">
        <v>0</v>
      </c>
      <c r="G30" s="220">
        <v>0</v>
      </c>
      <c r="H30" s="220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1">
        <v>0</v>
      </c>
      <c r="R30" s="220">
        <v>0</v>
      </c>
      <c r="S30" s="220">
        <v>0</v>
      </c>
      <c r="T30" s="220">
        <v>0</v>
      </c>
      <c r="U30" s="222">
        <v>0</v>
      </c>
      <c r="V30" s="220">
        <v>0</v>
      </c>
      <c r="W30" s="220">
        <v>0</v>
      </c>
      <c r="X30" s="220">
        <v>7.9500000000000005E-3</v>
      </c>
      <c r="Y30" s="220">
        <v>0</v>
      </c>
      <c r="Z30" s="220">
        <v>0</v>
      </c>
      <c r="AA30" s="220">
        <v>0</v>
      </c>
      <c r="AB30" s="220">
        <v>0</v>
      </c>
      <c r="AC30" s="220">
        <v>0</v>
      </c>
      <c r="AD30" s="220">
        <v>0.03</v>
      </c>
      <c r="AE30" s="220">
        <v>0</v>
      </c>
      <c r="AF30" s="220">
        <v>0</v>
      </c>
      <c r="AG30" s="220">
        <v>0</v>
      </c>
      <c r="AH30" s="220">
        <v>0</v>
      </c>
      <c r="AI30" s="220">
        <v>0</v>
      </c>
      <c r="AJ30" s="220">
        <v>0</v>
      </c>
      <c r="AK30" s="220">
        <v>0</v>
      </c>
      <c r="AL30" s="220">
        <v>0</v>
      </c>
      <c r="AM30" s="220">
        <v>0</v>
      </c>
      <c r="AN30" s="220">
        <v>0</v>
      </c>
    </row>
    <row r="31" x14ac:dyDescent="0.15">
      <c r="A31" s="217" t="s">
        <v>214</v>
      </c>
      <c r="B31" s="220">
        <v>0</v>
      </c>
      <c r="C31" s="220">
        <v>0</v>
      </c>
      <c r="D31" s="220">
        <v>0</v>
      </c>
      <c r="E31" s="220">
        <v>0</v>
      </c>
      <c r="F31" s="220">
        <v>0</v>
      </c>
      <c r="G31" s="220">
        <v>0</v>
      </c>
      <c r="H31" s="220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1">
        <v>0</v>
      </c>
      <c r="R31" s="220">
        <v>0</v>
      </c>
      <c r="S31" s="220">
        <v>0</v>
      </c>
      <c r="T31" s="220">
        <v>0</v>
      </c>
      <c r="U31" s="222">
        <v>0</v>
      </c>
      <c r="V31" s="220">
        <v>0</v>
      </c>
      <c r="W31" s="220">
        <v>0</v>
      </c>
      <c r="X31" s="220">
        <v>0</v>
      </c>
      <c r="Y31" s="220">
        <v>0</v>
      </c>
      <c r="Z31" s="220">
        <v>0</v>
      </c>
      <c r="AA31" s="220">
        <v>0</v>
      </c>
      <c r="AB31" s="220">
        <v>0</v>
      </c>
      <c r="AC31" s="220">
        <v>0</v>
      </c>
      <c r="AD31" s="220">
        <v>0</v>
      </c>
      <c r="AE31" s="220">
        <v>0</v>
      </c>
      <c r="AF31" s="220">
        <v>0</v>
      </c>
      <c r="AG31" s="220">
        <v>0</v>
      </c>
      <c r="AH31" s="220">
        <v>0</v>
      </c>
      <c r="AI31" s="220">
        <v>0</v>
      </c>
      <c r="AJ31" s="220">
        <v>0</v>
      </c>
      <c r="AK31" s="220">
        <v>0</v>
      </c>
      <c r="AL31" s="220">
        <v>0</v>
      </c>
      <c r="AM31" s="220">
        <v>0</v>
      </c>
      <c r="AN31" s="220">
        <v>0</v>
      </c>
    </row>
    <row r="32" x14ac:dyDescent="0.15">
      <c r="A32" s="217" t="s">
        <v>215</v>
      </c>
      <c r="B32" s="220">
        <v>0</v>
      </c>
      <c r="C32" s="220">
        <v>0</v>
      </c>
      <c r="D32" s="220">
        <v>0</v>
      </c>
      <c r="E32" s="220">
        <v>0</v>
      </c>
      <c r="F32" s="220">
        <v>0</v>
      </c>
      <c r="G32" s="220">
        <v>0</v>
      </c>
      <c r="H32" s="220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1">
        <v>0</v>
      </c>
      <c r="R32" s="220">
        <v>0</v>
      </c>
      <c r="S32" s="220">
        <v>0</v>
      </c>
      <c r="T32" s="220">
        <v>0</v>
      </c>
      <c r="U32" s="222">
        <v>0</v>
      </c>
      <c r="V32" s="220">
        <v>0</v>
      </c>
      <c r="W32" s="220">
        <v>0</v>
      </c>
      <c r="X32" s="220">
        <v>0</v>
      </c>
      <c r="Y32" s="220">
        <v>0</v>
      </c>
      <c r="Z32" s="220">
        <v>0</v>
      </c>
      <c r="AA32" s="220">
        <v>0</v>
      </c>
      <c r="AB32" s="220">
        <v>0</v>
      </c>
      <c r="AC32" s="220">
        <v>0</v>
      </c>
      <c r="AD32" s="220">
        <v>0</v>
      </c>
      <c r="AE32" s="220">
        <v>0</v>
      </c>
      <c r="AF32" s="220">
        <v>0</v>
      </c>
      <c r="AG32" s="220">
        <v>0</v>
      </c>
      <c r="AH32" s="220">
        <v>0</v>
      </c>
      <c r="AI32" s="220">
        <v>0</v>
      </c>
      <c r="AJ32" s="220">
        <v>0</v>
      </c>
      <c r="AK32" s="220">
        <v>0</v>
      </c>
      <c r="AL32" s="220">
        <v>0</v>
      </c>
      <c r="AM32" s="220">
        <v>0</v>
      </c>
      <c r="AN32" s="220">
        <v>0</v>
      </c>
    </row>
    <row r="33" x14ac:dyDescent="0.15">
      <c r="A33" s="217" t="s">
        <v>216</v>
      </c>
      <c r="B33" s="220">
        <v>0</v>
      </c>
      <c r="C33" s="220">
        <v>0</v>
      </c>
      <c r="D33" s="220">
        <v>0</v>
      </c>
      <c r="E33" s="220">
        <v>0</v>
      </c>
      <c r="F33" s="220">
        <v>0</v>
      </c>
      <c r="G33" s="220">
        <v>0</v>
      </c>
      <c r="H33" s="220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1">
        <v>0</v>
      </c>
      <c r="R33" s="220">
        <v>0</v>
      </c>
      <c r="S33" s="220">
        <v>0</v>
      </c>
      <c r="T33" s="220">
        <v>0</v>
      </c>
      <c r="U33" s="222">
        <v>0</v>
      </c>
      <c r="V33" s="220">
        <v>0</v>
      </c>
      <c r="W33" s="220">
        <v>0</v>
      </c>
      <c r="X33" s="220">
        <v>0</v>
      </c>
      <c r="Y33" s="220">
        <v>0</v>
      </c>
      <c r="Z33" s="220">
        <v>0</v>
      </c>
      <c r="AA33" s="220">
        <v>0</v>
      </c>
      <c r="AB33" s="220">
        <v>0</v>
      </c>
      <c r="AC33" s="220">
        <v>0</v>
      </c>
      <c r="AD33" s="220">
        <v>0</v>
      </c>
      <c r="AE33" s="220">
        <v>0</v>
      </c>
      <c r="AF33" s="220">
        <v>0</v>
      </c>
      <c r="AG33" s="220">
        <v>0</v>
      </c>
      <c r="AH33" s="220">
        <v>0</v>
      </c>
      <c r="AI33" s="220">
        <v>0</v>
      </c>
      <c r="AJ33" s="220">
        <v>0</v>
      </c>
      <c r="AK33" s="220">
        <v>0</v>
      </c>
      <c r="AL33" s="220">
        <v>0</v>
      </c>
      <c r="AM33" s="220">
        <v>0</v>
      </c>
      <c r="AN33" s="220">
        <v>0</v>
      </c>
    </row>
    <row r="34" x14ac:dyDescent="0.15">
      <c r="A34" s="217" t="s">
        <v>217</v>
      </c>
      <c r="B34" s="220">
        <v>0</v>
      </c>
      <c r="C34" s="220">
        <v>0</v>
      </c>
      <c r="D34" s="220">
        <v>0</v>
      </c>
      <c r="E34" s="220">
        <v>0</v>
      </c>
      <c r="F34" s="220">
        <v>0</v>
      </c>
      <c r="G34" s="220">
        <v>0</v>
      </c>
      <c r="H34" s="220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1">
        <v>0</v>
      </c>
      <c r="R34" s="220">
        <v>0</v>
      </c>
      <c r="S34" s="220">
        <v>0</v>
      </c>
      <c r="T34" s="220">
        <v>0</v>
      </c>
      <c r="U34" s="222">
        <v>0</v>
      </c>
      <c r="V34" s="220">
        <v>0</v>
      </c>
      <c r="W34" s="220">
        <v>0</v>
      </c>
      <c r="X34" s="220">
        <v>0</v>
      </c>
      <c r="Y34" s="220">
        <v>0</v>
      </c>
      <c r="Z34" s="220">
        <v>0</v>
      </c>
      <c r="AA34" s="220">
        <v>0</v>
      </c>
      <c r="AB34" s="220">
        <v>0</v>
      </c>
      <c r="AC34" s="220">
        <v>0</v>
      </c>
      <c r="AD34" s="220">
        <v>0</v>
      </c>
      <c r="AE34" s="220">
        <v>0</v>
      </c>
      <c r="AF34" s="220">
        <v>0</v>
      </c>
      <c r="AG34" s="220">
        <v>0</v>
      </c>
      <c r="AH34" s="220">
        <v>0</v>
      </c>
      <c r="AI34" s="220">
        <v>0</v>
      </c>
      <c r="AJ34" s="220">
        <v>0</v>
      </c>
      <c r="AK34" s="220">
        <v>0</v>
      </c>
      <c r="AL34" s="220">
        <v>0</v>
      </c>
      <c r="AM34" s="220">
        <v>0</v>
      </c>
      <c r="AN34" s="220">
        <v>0</v>
      </c>
    </row>
    <row r="35" x14ac:dyDescent="0.15">
      <c r="A35" s="217" t="s">
        <v>218</v>
      </c>
      <c r="B35" s="220">
        <v>0</v>
      </c>
      <c r="C35" s="220">
        <v>0</v>
      </c>
      <c r="D35" s="220">
        <v>0</v>
      </c>
      <c r="E35" s="220">
        <v>0</v>
      </c>
      <c r="F35" s="220">
        <v>0</v>
      </c>
      <c r="G35" s="220">
        <v>0</v>
      </c>
      <c r="H35" s="220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1">
        <v>0</v>
      </c>
      <c r="R35" s="220">
        <v>0</v>
      </c>
      <c r="S35" s="220">
        <v>0</v>
      </c>
      <c r="T35" s="220">
        <v>0</v>
      </c>
      <c r="U35" s="220">
        <v>0</v>
      </c>
      <c r="V35" s="220">
        <v>0</v>
      </c>
      <c r="W35" s="220">
        <v>0</v>
      </c>
      <c r="X35" s="220">
        <v>0</v>
      </c>
      <c r="Y35" s="220">
        <v>0</v>
      </c>
      <c r="Z35" s="220">
        <v>0</v>
      </c>
      <c r="AA35" s="220">
        <v>0</v>
      </c>
      <c r="AB35" s="220">
        <v>0</v>
      </c>
      <c r="AC35" s="220">
        <v>0</v>
      </c>
      <c r="AD35" s="220">
        <v>0</v>
      </c>
      <c r="AE35" s="220">
        <v>0</v>
      </c>
      <c r="AF35" s="220">
        <v>0</v>
      </c>
      <c r="AG35" s="220">
        <v>0</v>
      </c>
      <c r="AH35" s="220">
        <v>0</v>
      </c>
      <c r="AI35" s="220">
        <v>0</v>
      </c>
      <c r="AJ35" s="220">
        <v>0</v>
      </c>
      <c r="AK35" s="220">
        <v>0</v>
      </c>
      <c r="AL35" s="220">
        <v>0</v>
      </c>
      <c r="AM35" s="220">
        <v>0</v>
      </c>
      <c r="AN35" s="220">
        <v>0</v>
      </c>
    </row>
    <row r="36" x14ac:dyDescent="0.15">
      <c r="A36" s="217" t="s">
        <v>219</v>
      </c>
      <c r="B36" s="220">
        <v>0</v>
      </c>
      <c r="C36" s="220">
        <v>0</v>
      </c>
      <c r="D36" s="220">
        <v>0</v>
      </c>
      <c r="E36" s="220">
        <v>0</v>
      </c>
      <c r="F36" s="220">
        <v>0</v>
      </c>
      <c r="G36" s="220">
        <v>0</v>
      </c>
      <c r="H36" s="220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1">
        <v>0</v>
      </c>
      <c r="R36" s="220">
        <v>0</v>
      </c>
      <c r="S36" s="220">
        <v>0</v>
      </c>
      <c r="T36" s="220">
        <v>0</v>
      </c>
      <c r="U36" s="220">
        <v>0</v>
      </c>
      <c r="V36" s="220">
        <v>0</v>
      </c>
      <c r="W36" s="220">
        <v>0</v>
      </c>
      <c r="X36" s="220">
        <v>0</v>
      </c>
      <c r="Y36" s="220">
        <v>0</v>
      </c>
      <c r="Z36" s="220">
        <v>0</v>
      </c>
      <c r="AA36" s="220">
        <v>0</v>
      </c>
      <c r="AB36" s="220">
        <v>0</v>
      </c>
      <c r="AC36" s="220">
        <v>0</v>
      </c>
      <c r="AD36" s="220">
        <v>0</v>
      </c>
      <c r="AE36" s="220">
        <v>0</v>
      </c>
      <c r="AF36" s="220">
        <v>0</v>
      </c>
      <c r="AG36" s="220">
        <v>0</v>
      </c>
      <c r="AH36" s="220">
        <v>0</v>
      </c>
      <c r="AI36" s="220">
        <v>0</v>
      </c>
      <c r="AJ36" s="220">
        <v>0</v>
      </c>
      <c r="AK36" s="220">
        <v>0</v>
      </c>
      <c r="AL36" s="220">
        <v>0</v>
      </c>
      <c r="AM36" s="220">
        <v>0</v>
      </c>
      <c r="AN36" s="220">
        <v>0</v>
      </c>
    </row>
    <row r="37" x14ac:dyDescent="0.15">
      <c r="A37" s="217" t="s">
        <v>221</v>
      </c>
      <c r="B37" s="220">
        <v>0</v>
      </c>
      <c r="C37" s="220">
        <v>0</v>
      </c>
      <c r="D37" s="220">
        <v>0</v>
      </c>
      <c r="E37" s="220">
        <v>0</v>
      </c>
      <c r="F37" s="220">
        <v>0</v>
      </c>
      <c r="G37" s="220">
        <v>0</v>
      </c>
      <c r="H37" s="220">
        <v>0.15</v>
      </c>
      <c r="I37" s="220">
        <v>0</v>
      </c>
      <c r="J37" s="220">
        <v>1E-3</v>
      </c>
      <c r="K37" s="220">
        <v>1.4096094593552099E-3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1">
        <v>0</v>
      </c>
      <c r="R37" s="220">
        <v>0</v>
      </c>
      <c r="S37" s="220">
        <v>0</v>
      </c>
      <c r="T37" s="220">
        <v>0</v>
      </c>
      <c r="U37" s="220">
        <v>0</v>
      </c>
      <c r="V37" s="220">
        <v>0</v>
      </c>
      <c r="W37" s="220">
        <v>0</v>
      </c>
      <c r="X37" s="220">
        <v>0</v>
      </c>
      <c r="Y37" s="220">
        <v>0</v>
      </c>
      <c r="Z37" s="220">
        <v>0</v>
      </c>
      <c r="AA37" s="220">
        <v>0</v>
      </c>
      <c r="AB37" s="220">
        <v>0</v>
      </c>
      <c r="AC37" s="220">
        <v>0</v>
      </c>
      <c r="AD37" s="220">
        <v>0</v>
      </c>
      <c r="AE37" s="220">
        <v>0</v>
      </c>
      <c r="AF37" s="220">
        <v>0</v>
      </c>
      <c r="AG37" s="220">
        <v>0</v>
      </c>
      <c r="AH37" s="220">
        <v>0</v>
      </c>
      <c r="AI37" s="220">
        <v>0</v>
      </c>
      <c r="AJ37" s="220">
        <v>0</v>
      </c>
      <c r="AK37" s="220">
        <v>0</v>
      </c>
      <c r="AL37" s="220">
        <v>0</v>
      </c>
      <c r="AM37" s="220">
        <v>0</v>
      </c>
      <c r="AN37" s="220">
        <v>0</v>
      </c>
      <c r="AS37" s="217"/>
      <c r="AT37" s="217"/>
      <c r="AU37" s="217"/>
      <c r="AV37" s="217"/>
    </row>
    <row r="38" x14ac:dyDescent="0.15">
      <c r="A38" s="217" t="s">
        <v>71</v>
      </c>
      <c r="B38" s="220">
        <v>0</v>
      </c>
      <c r="C38" s="220">
        <v>0</v>
      </c>
      <c r="D38" s="220">
        <v>0</v>
      </c>
      <c r="E38" s="220">
        <v>0</v>
      </c>
      <c r="F38" s="220">
        <v>0</v>
      </c>
      <c r="G38" s="220">
        <v>0</v>
      </c>
      <c r="H38" s="220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1">
        <v>0</v>
      </c>
      <c r="R38" s="220">
        <v>0</v>
      </c>
      <c r="S38" s="220">
        <v>0</v>
      </c>
      <c r="T38" s="220">
        <v>0</v>
      </c>
      <c r="U38" s="220">
        <v>0</v>
      </c>
      <c r="V38" s="220">
        <v>0</v>
      </c>
      <c r="W38" s="220">
        <v>0</v>
      </c>
      <c r="X38" s="220">
        <v>0</v>
      </c>
      <c r="Y38" s="220">
        <v>0</v>
      </c>
      <c r="Z38" s="220">
        <v>0</v>
      </c>
      <c r="AA38" s="220">
        <v>0</v>
      </c>
      <c r="AB38" s="220">
        <v>0</v>
      </c>
      <c r="AC38" s="220">
        <v>0</v>
      </c>
      <c r="AD38" s="220">
        <v>0</v>
      </c>
      <c r="AE38" s="220">
        <v>0</v>
      </c>
      <c r="AF38" s="220">
        <v>0</v>
      </c>
      <c r="AG38" s="220">
        <v>0</v>
      </c>
      <c r="AH38" s="220">
        <v>0</v>
      </c>
      <c r="AI38" s="220">
        <v>0</v>
      </c>
      <c r="AJ38" s="220">
        <v>0</v>
      </c>
      <c r="AK38" s="220">
        <v>0</v>
      </c>
      <c r="AL38" s="220">
        <v>0</v>
      </c>
      <c r="AM38" s="220">
        <v>0</v>
      </c>
      <c r="AN38" s="220">
        <v>0</v>
      </c>
      <c r="AS38" s="217"/>
      <c r="AT38" s="217"/>
      <c r="AU38" s="217"/>
      <c r="AV38" s="217"/>
    </row>
    <row r="39" x14ac:dyDescent="0.15">
      <c r="A39" s="217" t="s">
        <v>72</v>
      </c>
      <c r="B39" s="220">
        <v>0</v>
      </c>
      <c r="C39" s="220">
        <v>0</v>
      </c>
      <c r="D39" s="220">
        <v>0</v>
      </c>
      <c r="E39" s="220">
        <v>0</v>
      </c>
      <c r="F39" s="220">
        <v>0</v>
      </c>
      <c r="G39" s="220">
        <v>0</v>
      </c>
      <c r="H39" s="220">
        <v>0</v>
      </c>
      <c r="I39" s="220">
        <v>0</v>
      </c>
      <c r="J39" s="220">
        <v>0</v>
      </c>
      <c r="K39" s="220">
        <v>0</v>
      </c>
      <c r="L39" s="220">
        <v>0</v>
      </c>
      <c r="M39" s="220">
        <v>0</v>
      </c>
      <c r="N39" s="220">
        <v>0</v>
      </c>
      <c r="O39" s="220">
        <v>0</v>
      </c>
      <c r="P39" s="220">
        <v>0</v>
      </c>
      <c r="Q39" s="221">
        <v>0</v>
      </c>
      <c r="R39" s="220">
        <v>0</v>
      </c>
      <c r="S39" s="220">
        <v>0</v>
      </c>
      <c r="T39" s="220">
        <v>0</v>
      </c>
      <c r="U39" s="220">
        <v>0</v>
      </c>
      <c r="V39" s="220">
        <v>0</v>
      </c>
      <c r="W39" s="220">
        <v>0</v>
      </c>
      <c r="X39" s="220">
        <v>0</v>
      </c>
      <c r="Y39" s="220">
        <v>0</v>
      </c>
      <c r="Z39" s="220">
        <v>0</v>
      </c>
      <c r="AA39" s="220">
        <v>0</v>
      </c>
      <c r="AB39" s="220">
        <v>0</v>
      </c>
      <c r="AC39" s="220">
        <v>0</v>
      </c>
      <c r="AD39" s="220">
        <v>0</v>
      </c>
      <c r="AE39" s="220">
        <v>0</v>
      </c>
      <c r="AF39" s="220">
        <v>0</v>
      </c>
      <c r="AG39" s="220">
        <v>0</v>
      </c>
      <c r="AH39" s="220">
        <v>0</v>
      </c>
      <c r="AI39" s="220">
        <v>0</v>
      </c>
      <c r="AJ39" s="220">
        <v>0</v>
      </c>
      <c r="AK39" s="220">
        <v>0</v>
      </c>
      <c r="AL39" s="220">
        <v>0</v>
      </c>
      <c r="AM39" s="220">
        <v>0</v>
      </c>
      <c r="AN39" s="220">
        <v>0</v>
      </c>
      <c r="AS39" s="217"/>
      <c r="AT39" s="217"/>
      <c r="AU39" s="217"/>
      <c r="AV39" s="217"/>
    </row>
    <row r="40" x14ac:dyDescent="0.15">
      <c r="A40" s="217" t="s">
        <v>73</v>
      </c>
      <c r="B40" s="220">
        <v>0</v>
      </c>
      <c r="C40" s="220">
        <v>0</v>
      </c>
      <c r="D40" s="220">
        <v>0.42500000000000004</v>
      </c>
      <c r="E40" s="220">
        <v>0</v>
      </c>
      <c r="F40" s="220">
        <v>0</v>
      </c>
      <c r="G40" s="220">
        <v>0.2</v>
      </c>
      <c r="H40" s="220">
        <v>0</v>
      </c>
      <c r="I40" s="220">
        <v>0.82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0.12225</v>
      </c>
      <c r="Q40" s="221">
        <v>0</v>
      </c>
      <c r="R40" s="220">
        <v>0</v>
      </c>
      <c r="S40" s="220">
        <v>0</v>
      </c>
      <c r="T40" s="220">
        <v>0</v>
      </c>
      <c r="U40" s="220">
        <v>0</v>
      </c>
      <c r="V40" s="220">
        <v>0</v>
      </c>
      <c r="W40" s="220">
        <v>0</v>
      </c>
      <c r="X40" s="220">
        <v>2.2499999999999999E-2</v>
      </c>
      <c r="Y40" s="220">
        <v>9.1999999999999998E-2</v>
      </c>
      <c r="Z40" s="220">
        <v>3.4000000000000002E-2</v>
      </c>
      <c r="AA40" s="220">
        <v>0</v>
      </c>
      <c r="AB40" s="220">
        <v>1.065E-2</v>
      </c>
      <c r="AC40" s="220">
        <v>0</v>
      </c>
      <c r="AD40" s="220">
        <v>3.6319999999999998E-2</v>
      </c>
      <c r="AE40" s="220">
        <v>0</v>
      </c>
      <c r="AF40" s="220">
        <v>0</v>
      </c>
      <c r="AG40" s="220">
        <v>0</v>
      </c>
      <c r="AH40" s="220">
        <v>0</v>
      </c>
      <c r="AI40" s="220">
        <v>0</v>
      </c>
      <c r="AJ40" s="220">
        <v>0</v>
      </c>
      <c r="AK40" s="220">
        <v>0</v>
      </c>
      <c r="AL40" s="220">
        <v>0</v>
      </c>
      <c r="AM40" s="220">
        <v>0</v>
      </c>
      <c r="AN40" s="220">
        <v>0</v>
      </c>
      <c r="AS40" s="217"/>
      <c r="AT40" s="217"/>
      <c r="AU40" s="217"/>
      <c r="AV40" s="217"/>
    </row>
    <row r="41" x14ac:dyDescent="0.15">
      <c r="A41" s="217" t="s">
        <v>225</v>
      </c>
      <c r="B41" s="220">
        <v>0</v>
      </c>
      <c r="C41" s="220">
        <v>0</v>
      </c>
      <c r="D41" s="220">
        <v>0</v>
      </c>
      <c r="E41" s="220">
        <v>0</v>
      </c>
      <c r="F41" s="220">
        <v>0</v>
      </c>
      <c r="G41" s="220">
        <v>0</v>
      </c>
      <c r="H41" s="220">
        <v>0</v>
      </c>
      <c r="I41" s="220">
        <v>0.13</v>
      </c>
      <c r="J41" s="220">
        <v>0</v>
      </c>
      <c r="K41" s="220">
        <v>0</v>
      </c>
      <c r="L41" s="220">
        <v>0</v>
      </c>
      <c r="M41" s="220">
        <v>0</v>
      </c>
      <c r="N41" s="220">
        <v>0.1</v>
      </c>
      <c r="O41" s="220">
        <v>0.05</v>
      </c>
      <c r="P41" s="220">
        <v>0</v>
      </c>
      <c r="Q41" s="221">
        <v>0</v>
      </c>
      <c r="R41" s="220">
        <v>0</v>
      </c>
      <c r="S41" s="220">
        <v>0</v>
      </c>
      <c r="T41" s="220">
        <v>0</v>
      </c>
      <c r="U41" s="220">
        <v>0</v>
      </c>
      <c r="V41" s="220">
        <v>0</v>
      </c>
      <c r="W41" s="220">
        <v>0</v>
      </c>
      <c r="X41" s="220">
        <v>0</v>
      </c>
      <c r="Y41" s="220">
        <v>0</v>
      </c>
      <c r="Z41" s="220">
        <v>0</v>
      </c>
      <c r="AA41" s="220">
        <v>0</v>
      </c>
      <c r="AB41" s="220">
        <v>0</v>
      </c>
      <c r="AC41" s="220">
        <v>0</v>
      </c>
      <c r="AD41" s="220">
        <v>0</v>
      </c>
      <c r="AE41" s="220">
        <v>0</v>
      </c>
      <c r="AF41" s="220">
        <v>0</v>
      </c>
      <c r="AG41" s="220">
        <v>0</v>
      </c>
      <c r="AH41" s="220">
        <v>0</v>
      </c>
      <c r="AI41" s="220">
        <v>0</v>
      </c>
      <c r="AJ41" s="220">
        <v>0</v>
      </c>
      <c r="AK41" s="220">
        <v>0</v>
      </c>
      <c r="AL41" s="220">
        <v>0</v>
      </c>
      <c r="AM41" s="220">
        <v>0</v>
      </c>
      <c r="AN41" s="220">
        <v>0</v>
      </c>
      <c r="AS41" s="217"/>
      <c r="AT41" s="217"/>
      <c r="AU41" s="217"/>
      <c r="AV41" s="217"/>
    </row>
    <row r="42" ht="12" x14ac:dyDescent="0.15"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  <c r="O42" s="220"/>
      <c r="P42" s="220"/>
      <c r="Q42" s="220"/>
      <c r="R42" s="220"/>
      <c r="S42" s="220"/>
      <c r="T42" s="220"/>
      <c r="U42" s="220"/>
      <c r="V42" s="220"/>
      <c r="W42" s="220"/>
      <c r="X42" s="220"/>
      <c r="Y42" s="220"/>
      <c r="Z42" s="220"/>
      <c r="AA42" s="220"/>
      <c r="AB42" s="220"/>
      <c r="AC42" s="220"/>
      <c r="AD42" s="220"/>
      <c r="AE42" s="220"/>
      <c r="AF42" s="220"/>
      <c r="AG42" s="220"/>
      <c r="AH42" s="220"/>
      <c r="AI42" s="220"/>
      <c r="AJ42" s="220"/>
      <c r="AK42" s="220"/>
      <c r="AL42" s="220"/>
      <c r="AM42" s="220"/>
      <c r="AN42" s="220"/>
      <c r="AS42" s="217"/>
      <c r="AT42" s="217"/>
      <c r="AU42" s="217"/>
      <c r="AV42" s="217"/>
    </row>
    <row r="43" ht="12" x14ac:dyDescent="0.15"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S43" s="217"/>
      <c r="AT43" s="217"/>
      <c r="AU43" s="217"/>
      <c r="AV43" s="217"/>
    </row>
    <row r="44" ht="12" x14ac:dyDescent="0.15">
      <c r="A44" s="216" t="s">
        <v>61</v>
      </c>
      <c r="B44" s="223">
        <f>SUM(B2:B41)</f>
        <v>0</v>
      </c>
      <c r="C44" s="223">
        <f t="shared" ref="C44:AJ44" si="0">SUM(C2:C41)</f>
        <v>0</v>
      </c>
      <c r="D44" s="223">
        <f t="shared" si="0"/>
        <v>1</v>
      </c>
      <c r="E44" s="223">
        <f t="shared" si="0"/>
        <v>1</v>
      </c>
      <c r="F44" s="223">
        <f t="shared" si="0"/>
        <v>1</v>
      </c>
      <c r="G44" s="223">
        <f t="shared" si="0"/>
        <v>1</v>
      </c>
      <c r="H44" s="223">
        <f t="shared" si="0"/>
        <v>1</v>
      </c>
      <c r="I44" s="223">
        <f t="shared" si="0"/>
        <v>1</v>
      </c>
      <c r="J44" s="223">
        <f t="shared" si="0"/>
        <v>1.000065</v>
      </c>
      <c r="K44" s="223">
        <f t="shared" si="0"/>
        <v>1.0003939629817957</v>
      </c>
      <c r="L44" s="223">
        <f t="shared" si="0"/>
        <v>1</v>
      </c>
      <c r="M44" s="223">
        <f t="shared" si="0"/>
        <v>0.99970000000000014</v>
      </c>
      <c r="N44" s="223">
        <f t="shared" si="0"/>
        <v>1</v>
      </c>
      <c r="O44" s="223">
        <f t="shared" si="0"/>
        <v>1</v>
      </c>
      <c r="P44" s="223">
        <f t="shared" si="0"/>
        <v>1.0000075000000002</v>
      </c>
      <c r="Q44" s="223">
        <f t="shared" si="0"/>
        <v>0.99523389955000008</v>
      </c>
      <c r="R44" s="223">
        <f t="shared" si="0"/>
        <v>1.0000899999999999</v>
      </c>
      <c r="S44" s="223">
        <f t="shared" si="0"/>
        <v>0.99999999999999989</v>
      </c>
      <c r="T44" s="223">
        <f t="shared" si="0"/>
        <v>1</v>
      </c>
      <c r="U44" s="223">
        <f t="shared" si="0"/>
        <v>1.00905</v>
      </c>
      <c r="V44" s="223">
        <f t="shared" si="0"/>
        <v>1</v>
      </c>
      <c r="W44" s="223">
        <f t="shared" si="0"/>
        <v>1</v>
      </c>
      <c r="X44" s="223">
        <f t="shared" si="0"/>
        <v>0.99992749999999975</v>
      </c>
      <c r="Y44" s="223">
        <f t="shared" si="0"/>
        <v>1.0001500000000001</v>
      </c>
      <c r="Z44" s="223">
        <f t="shared" si="0"/>
        <v>0.99990500000000004</v>
      </c>
      <c r="AA44" s="223">
        <f t="shared" si="0"/>
        <v>0.99975000000000003</v>
      </c>
      <c r="AB44" s="223">
        <f t="shared" si="0"/>
        <v>1.0008520000000001</v>
      </c>
      <c r="AC44" s="223">
        <f t="shared" si="0"/>
        <v>1.0001499999999999</v>
      </c>
      <c r="AD44" s="223">
        <f t="shared" si="0"/>
        <v>1.000065</v>
      </c>
      <c r="AE44" s="223">
        <f t="shared" si="0"/>
        <v>0.99984449999999991</v>
      </c>
      <c r="AF44" s="223">
        <f t="shared" si="0"/>
        <v>1.0002</v>
      </c>
      <c r="AG44" s="223">
        <f t="shared" si="0"/>
        <v>1.0002250000000001</v>
      </c>
      <c r="AH44" s="223">
        <f t="shared" si="0"/>
        <v>1</v>
      </c>
      <c r="AI44" s="223">
        <f t="shared" si="0"/>
        <v>1.002</v>
      </c>
      <c r="AJ44" s="223">
        <f t="shared" si="0"/>
        <v>1</v>
      </c>
      <c r="AK44" s="223">
        <f>SUM(AK2:AK41)</f>
        <v>0</v>
      </c>
      <c r="AL44" s="223">
        <f>SUM(AL2:AL41)</f>
        <v>0</v>
      </c>
      <c r="AM44" s="223">
        <f>SUM(AM2:AM41)</f>
        <v>0</v>
      </c>
      <c r="AN44" s="223">
        <f>SUM(AN2:AN41)</f>
        <v>0</v>
      </c>
      <c r="AS44" s="217"/>
      <c r="AT44" s="217"/>
      <c r="AU44" s="217"/>
      <c r="AV44" s="217"/>
    </row>
    <row r="45" ht="12" x14ac:dyDescent="0.15">
      <c r="AS45" s="217"/>
      <c r="AT45" s="217"/>
      <c r="AU45" s="217"/>
      <c r="AV45" s="217"/>
    </row>
    <row r="46" ht="12" x14ac:dyDescent="0.15">
      <c r="AS46" s="217"/>
      <c r="AT46" s="217"/>
      <c r="AU46" s="217"/>
      <c r="AV46" s="217"/>
    </row>
    <row r="47" ht="12" x14ac:dyDescent="0.15">
      <c r="AS47" s="217"/>
      <c r="AT47" s="217"/>
      <c r="AU47" s="217"/>
      <c r="AV47" s="217"/>
    </row>
    <row r="48" ht="12" x14ac:dyDescent="0.15">
      <c r="AS48" s="217"/>
      <c r="AT48" s="217"/>
      <c r="AU48" s="217"/>
      <c r="AV48" s="217"/>
    </row>
    <row r="49" ht="12" x14ac:dyDescent="0.15">
      <c r="AS49" s="217"/>
      <c r="AT49" s="217"/>
      <c r="AU49" s="217"/>
      <c r="AV49" s="217"/>
    </row>
    <row r="50" ht="12" x14ac:dyDescent="0.15">
      <c r="AS50" s="217"/>
      <c r="AT50" s="217"/>
      <c r="AU50" s="217"/>
      <c r="AV50" s="217"/>
    </row>
    <row r="51" ht="12" x14ac:dyDescent="0.15">
      <c r="AS51" s="217"/>
      <c r="AT51" s="217"/>
      <c r="AU51" s="217"/>
      <c r="AV51" s="217"/>
    </row>
    <row r="52" ht="12" x14ac:dyDescent="0.15">
      <c r="AS52" s="217"/>
      <c r="AT52" s="217"/>
      <c r="AU52" s="217"/>
      <c r="AV52" s="217"/>
    </row>
    <row r="53" ht="12" x14ac:dyDescent="0.15">
      <c r="AS53" s="217"/>
      <c r="AT53" s="217"/>
      <c r="AU53" s="217"/>
      <c r="AV53" s="217"/>
    </row>
    <row r="193" ht="15" customHeight="true" x14ac:dyDescent="0.15"/>
    <row r="194" ht="15" customHeight="true" x14ac:dyDescent="0.15"/>
    <row r="195" ht="15" customHeight="true" x14ac:dyDescent="0.15"/>
    <row r="196" ht="15" customHeight="true" x14ac:dyDescent="0.15"/>
    <row r="197" ht="15" customHeight="true" x14ac:dyDescent="0.15"/>
    <row r="198" ht="15" customHeight="true" x14ac:dyDescent="0.15"/>
    <row r="199" ht="15" customHeight="true" x14ac:dyDescent="0.15"/>
    <row r="200" ht="15" customHeight="true" x14ac:dyDescent="0.15"/>
    <row r="201" ht="15" customHeight="true" x14ac:dyDescent="0.15"/>
    <row r="202" ht="15" customHeight="true" x14ac:dyDescent="0.15"/>
    <row r="203" ht="15" customHeight="true" x14ac:dyDescent="0.15"/>
    <row r="204" ht="15" customHeight="true" x14ac:dyDescent="0.15"/>
    <row r="205" ht="15" customHeight="true" x14ac:dyDescent="0.15"/>
    <row r="206" ht="15" customHeight="true" x14ac:dyDescent="0.15"/>
    <row r="207" ht="15" customHeight="true" x14ac:dyDescent="0.15"/>
    <row r="208" ht="15" customHeight="true" x14ac:dyDescent="0.15"/>
    <row r="209" ht="15" customHeight="true" x14ac:dyDescent="0.15"/>
    <row r="210" ht="15" customHeight="true" x14ac:dyDescent="0.15"/>
    <row r="211" ht="15" customHeight="true" x14ac:dyDescent="0.15"/>
    <row r="212" ht="15" customHeight="true" x14ac:dyDescent="0.15"/>
    <row r="213" ht="15" customHeight="true" x14ac:dyDescent="0.15"/>
    <row r="214" ht="15" customHeight="true" x14ac:dyDescent="0.15"/>
    <row r="215" ht="15" customHeight="true" x14ac:dyDescent="0.15"/>
    <row r="216" ht="15" customHeight="true" x14ac:dyDescent="0.15"/>
    <row r="217" ht="15" customHeight="true" x14ac:dyDescent="0.15"/>
    <row r="218" ht="15" customHeight="true" x14ac:dyDescent="0.15"/>
    <row r="219" ht="15" customHeight="true" x14ac:dyDescent="0.15"/>
    <row r="220" ht="15" customHeight="true" x14ac:dyDescent="0.15"/>
    <row r="221" ht="15" customHeight="true" x14ac:dyDescent="0.15"/>
    <row r="222" ht="15" customHeight="true" x14ac:dyDescent="0.15"/>
    <row r="223" ht="15" customHeight="true" x14ac:dyDescent="0.15"/>
    <row r="224" ht="15" customHeight="true" x14ac:dyDescent="0.15"/>
    <row r="225" ht="15" customHeight="true" x14ac:dyDescent="0.15"/>
    <row r="226" ht="15" customHeight="true" x14ac:dyDescent="0.15"/>
    <row r="227" ht="15" customHeight="true" x14ac:dyDescent="0.15"/>
    <row r="228" ht="15" customHeight="true" x14ac:dyDescent="0.15"/>
    <row r="229" ht="15" customHeight="true" x14ac:dyDescent="0.15"/>
    <row r="230" ht="15" customHeight="true" x14ac:dyDescent="0.15"/>
    <row r="231" ht="15" customHeight="true" x14ac:dyDescent="0.15"/>
    <row r="232" ht="15" customHeight="true" x14ac:dyDescent="0.15"/>
    <row r="233" ht="15" customHeight="true" x14ac:dyDescent="0.15"/>
    <row r="234" ht="15" customHeight="true" x14ac:dyDescent="0.15"/>
    <row r="235" ht="15" customHeight="true" x14ac:dyDescent="0.15"/>
    <row r="236" ht="15" customHeight="true" x14ac:dyDescent="0.15"/>
    <row r="237" ht="15" customHeight="true" x14ac:dyDescent="0.15"/>
    <row r="238" ht="15" customHeight="true" x14ac:dyDescent="0.15"/>
    <row r="239" ht="15" customHeight="true" x14ac:dyDescent="0.15"/>
    <row r="240" ht="15" customHeight="true" x14ac:dyDescent="0.15"/>
    <row r="241" ht="15" customHeight="true" x14ac:dyDescent="0.15"/>
    <row r="242" ht="15" customHeight="true" x14ac:dyDescent="0.15"/>
    <row r="243" ht="15" customHeight="true" x14ac:dyDescent="0.15"/>
    <row r="244" ht="15" customHeight="true" x14ac:dyDescent="0.15"/>
    <row r="245" ht="15" customHeight="true" x14ac:dyDescent="0.15"/>
    <row r="246" ht="15" customHeight="true" x14ac:dyDescent="0.15"/>
    <row r="247" ht="15" customHeight="true" x14ac:dyDescent="0.15"/>
    <row r="248" ht="15" customHeight="true" x14ac:dyDescent="0.15"/>
    <row r="249" ht="15" customHeight="true" x14ac:dyDescent="0.15"/>
    <row r="250" ht="15" customHeight="true" x14ac:dyDescent="0.15"/>
    <row r="251" ht="15" customHeight="true" x14ac:dyDescent="0.15"/>
    <row r="252" ht="15" customHeight="true" x14ac:dyDescent="0.15"/>
    <row r="253" ht="15" customHeight="true" x14ac:dyDescent="0.15"/>
    <row r="254" ht="15" customHeight="true" x14ac:dyDescent="0.15"/>
    <row r="255" ht="15" customHeight="true" x14ac:dyDescent="0.15"/>
    <row r="256" ht="15" customHeight="true" x14ac:dyDescent="0.15"/>
    <row r="257" ht="15" customHeight="true" x14ac:dyDescent="0.15"/>
    <row r="258" ht="15" customHeight="true" x14ac:dyDescent="0.15"/>
    <row r="259" ht="15" customHeight="true" x14ac:dyDescent="0.15"/>
    <row r="260" ht="15" customHeight="true" x14ac:dyDescent="0.15"/>
    <row r="261" ht="15" customHeight="true" x14ac:dyDescent="0.15"/>
    <row r="262" ht="15" customHeight="true" x14ac:dyDescent="0.15"/>
    <row r="263" ht="15" customHeight="true" x14ac:dyDescent="0.15"/>
    <row r="264" ht="15" customHeight="true" x14ac:dyDescent="0.15"/>
    <row r="265" ht="15" customHeight="true" x14ac:dyDescent="0.15"/>
    <row r="266" ht="15" customHeight="true" x14ac:dyDescent="0.15"/>
    <row r="267" ht="15" customHeight="true" x14ac:dyDescent="0.15"/>
    <row r="268" ht="15" customHeight="true" x14ac:dyDescent="0.15"/>
    <row r="269" ht="15" customHeight="true" x14ac:dyDescent="0.15"/>
    <row r="270" ht="15" customHeight="true" x14ac:dyDescent="0.15"/>
    <row r="271" ht="15" customHeight="true" x14ac:dyDescent="0.15"/>
    <row r="272" ht="15" customHeight="true" x14ac:dyDescent="0.15"/>
    <row r="273" ht="15" customHeight="true" x14ac:dyDescent="0.15"/>
    <row r="274" ht="15" customHeight="true" x14ac:dyDescent="0.15"/>
    <row r="275" ht="15" customHeight="true" x14ac:dyDescent="0.15"/>
    <row r="276" ht="15" customHeight="true" x14ac:dyDescent="0.15"/>
    <row r="277" ht="15" customHeight="true" x14ac:dyDescent="0.15"/>
    <row r="278" ht="15" customHeight="true" x14ac:dyDescent="0.15"/>
    <row r="279" ht="15" customHeight="true" x14ac:dyDescent="0.15"/>
    <row r="280" ht="15" customHeight="true" x14ac:dyDescent="0.15"/>
    <row r="281" ht="15" customHeight="true" x14ac:dyDescent="0.15"/>
    <row r="282" ht="15" customHeight="true" x14ac:dyDescent="0.15"/>
    <row r="283" ht="15" customHeight="true" x14ac:dyDescent="0.15"/>
    <row r="284" ht="15" customHeight="true" x14ac:dyDescent="0.15"/>
    <row r="285" ht="15" customHeight="true" x14ac:dyDescent="0.15"/>
    <row r="286" ht="15" customHeight="true" x14ac:dyDescent="0.15"/>
    <row r="287" ht="15" customHeight="true" x14ac:dyDescent="0.15"/>
    <row r="288" ht="15" customHeight="true" x14ac:dyDescent="0.15"/>
    <row r="289" ht="15" customHeight="true" x14ac:dyDescent="0.15"/>
    <row r="290" ht="15" customHeight="true" x14ac:dyDescent="0.15"/>
    <row r="291" ht="15" customHeight="true" x14ac:dyDescent="0.15"/>
    <row r="292" ht="15" customHeight="true" x14ac:dyDescent="0.15"/>
    <row r="293" ht="15" customHeight="true" x14ac:dyDescent="0.15"/>
    <row r="294" ht="15" customHeight="true" x14ac:dyDescent="0.15"/>
    <row r="295" ht="15" customHeight="true" x14ac:dyDescent="0.15"/>
    <row r="296" ht="15" customHeight="true" x14ac:dyDescent="0.15"/>
    <row r="297" ht="15" customHeight="true" x14ac:dyDescent="0.15"/>
    <row r="298" ht="15" customHeight="true" x14ac:dyDescent="0.15"/>
    <row r="299" ht="15" customHeight="true" x14ac:dyDescent="0.15"/>
    <row r="300" ht="15" customHeight="true" x14ac:dyDescent="0.15"/>
    <row r="301" ht="15" customHeight="true" x14ac:dyDescent="0.15"/>
    <row r="302" ht="15" customHeight="true" x14ac:dyDescent="0.15"/>
    <row r="303" ht="15" customHeight="true" x14ac:dyDescent="0.15"/>
    <row r="304" ht="15" customHeight="true" x14ac:dyDescent="0.15"/>
    <row r="305" ht="15" customHeight="true" x14ac:dyDescent="0.15"/>
    <row r="306" ht="15" customHeight="true" x14ac:dyDescent="0.15"/>
    <row r="307" ht="15" customHeight="true" x14ac:dyDescent="0.15"/>
    <row r="308" ht="15" customHeight="true" x14ac:dyDescent="0.15"/>
    <row r="309" ht="15" customHeight="true" x14ac:dyDescent="0.15"/>
    <row r="310" ht="15" customHeight="true" x14ac:dyDescent="0.15"/>
    <row r="311" ht="15" customHeight="true" x14ac:dyDescent="0.15"/>
    <row r="312" ht="15" customHeight="true" x14ac:dyDescent="0.15"/>
    <row r="313" ht="15" customHeight="true" x14ac:dyDescent="0.15"/>
    <row r="314" ht="15" customHeight="true" x14ac:dyDescent="0.15"/>
    <row r="315" ht="15" customHeight="true" x14ac:dyDescent="0.15"/>
    <row r="316" ht="15" customHeight="true" x14ac:dyDescent="0.15"/>
    <row r="317" ht="15" customHeight="true" x14ac:dyDescent="0.15"/>
    <row r="318" ht="15" customHeight="true" x14ac:dyDescent="0.15"/>
    <row r="319" ht="15" customHeight="true" x14ac:dyDescent="0.15"/>
    <row r="320" ht="15" customHeight="true" x14ac:dyDescent="0.15"/>
    <row r="321" ht="15" customHeight="true" x14ac:dyDescent="0.15"/>
    <row r="322" ht="15" customHeight="true" x14ac:dyDescent="0.15"/>
    <row r="323" ht="15" customHeight="true" x14ac:dyDescent="0.15"/>
    <row r="324" ht="15" customHeight="true" x14ac:dyDescent="0.15"/>
    <row r="325" ht="15" customHeight="true" x14ac:dyDescent="0.15"/>
    <row r="326" ht="15" customHeight="true" x14ac:dyDescent="0.15"/>
    <row r="327" ht="15" customHeight="true" x14ac:dyDescent="0.15"/>
    <row r="328" ht="15" customHeight="true" x14ac:dyDescent="0.15"/>
    <row r="329" ht="15" customHeight="true" x14ac:dyDescent="0.15"/>
    <row r="330" ht="15" customHeight="true" x14ac:dyDescent="0.15"/>
    <row r="331" ht="15" customHeight="true" x14ac:dyDescent="0.15"/>
    <row r="332" ht="15" customHeight="true" x14ac:dyDescent="0.15"/>
    <row r="333" ht="15" customHeight="true" x14ac:dyDescent="0.15"/>
    <row r="334" ht="15" customHeight="true" x14ac:dyDescent="0.15"/>
    <row r="335" ht="15" customHeight="true" x14ac:dyDescent="0.15"/>
    <row r="336" ht="15" customHeight="true" x14ac:dyDescent="0.15"/>
    <row r="337" ht="15" customHeight="true" x14ac:dyDescent="0.15"/>
    <row r="338" ht="15" customHeight="true" x14ac:dyDescent="0.15"/>
    <row r="339" ht="15" customHeight="true" x14ac:dyDescent="0.15"/>
    <row r="340" ht="15" customHeight="true" x14ac:dyDescent="0.15"/>
    <row r="341" ht="15" customHeight="true" x14ac:dyDescent="0.15"/>
    <row r="342" ht="15" customHeight="true" x14ac:dyDescent="0.15"/>
    <row r="343" ht="15" customHeight="true" x14ac:dyDescent="0.15"/>
    <row r="344" ht="15" customHeight="true" x14ac:dyDescent="0.15"/>
    <row r="345" ht="15" customHeight="true" x14ac:dyDescent="0.15"/>
    <row r="346" ht="15" customHeight="true" x14ac:dyDescent="0.15"/>
    <row r="347" ht="15" customHeight="true" x14ac:dyDescent="0.15"/>
    <row r="348" ht="15" customHeight="true" x14ac:dyDescent="0.15"/>
    <row r="349" ht="15" customHeight="true" x14ac:dyDescent="0.15"/>
    <row r="350" ht="15" customHeight="true" x14ac:dyDescent="0.15"/>
    <row r="351" ht="15" customHeight="true" x14ac:dyDescent="0.15"/>
    <row r="352" ht="15" customHeight="true" x14ac:dyDescent="0.15"/>
    <row r="353" ht="15" customHeight="true" x14ac:dyDescent="0.15"/>
    <row r="354" ht="15" customHeight="true" x14ac:dyDescent="0.15"/>
    <row r="355" ht="15" customHeight="true" x14ac:dyDescent="0.15"/>
    <row r="356" ht="15" customHeight="true" x14ac:dyDescent="0.15"/>
    <row r="357" ht="15" customHeight="true" x14ac:dyDescent="0.15"/>
    <row r="358" ht="15" customHeight="true" x14ac:dyDescent="0.15"/>
    <row r="359" ht="15" customHeight="true" x14ac:dyDescent="0.15"/>
    <row r="360" ht="15" customHeight="true" x14ac:dyDescent="0.15"/>
    <row r="361" ht="15" customHeight="true" x14ac:dyDescent="0.15"/>
    <row r="362" ht="15" customHeight="true" x14ac:dyDescent="0.15"/>
    <row r="363" ht="15" customHeight="true" x14ac:dyDescent="0.15"/>
    <row r="364" ht="15" customHeight="true" x14ac:dyDescent="0.15"/>
    <row r="365" ht="15" customHeight="true" x14ac:dyDescent="0.15"/>
    <row r="366" ht="15" customHeight="true" x14ac:dyDescent="0.15"/>
    <row r="367" ht="15" customHeight="true" x14ac:dyDescent="0.15"/>
    <row r="368" ht="15" customHeight="true" x14ac:dyDescent="0.15"/>
    <row r="369" ht="15" customHeight="true" x14ac:dyDescent="0.15"/>
    <row r="370" ht="15" customHeight="true" x14ac:dyDescent="0.15"/>
    <row r="371" ht="15" customHeight="true" x14ac:dyDescent="0.15"/>
    <row r="372" ht="15" customHeight="true" x14ac:dyDescent="0.15"/>
    <row r="373" ht="15" customHeight="true" x14ac:dyDescent="0.15"/>
    <row r="374" ht="15" customHeight="true" x14ac:dyDescent="0.15"/>
    <row r="375" ht="15" customHeight="true" x14ac:dyDescent="0.15"/>
    <row r="376" ht="15" customHeight="true" x14ac:dyDescent="0.15"/>
    <row r="377" ht="15" customHeight="true" x14ac:dyDescent="0.15"/>
    <row r="378" ht="15" customHeight="true" x14ac:dyDescent="0.15"/>
    <row r="379" ht="15" customHeight="true" x14ac:dyDescent="0.15"/>
    <row r="380" ht="15" customHeight="true" x14ac:dyDescent="0.15"/>
    <row r="381" ht="15" customHeight="true" x14ac:dyDescent="0.15"/>
    <row r="382" ht="15" customHeight="true" x14ac:dyDescent="0.15"/>
    <row r="383" ht="15" customHeight="true" x14ac:dyDescent="0.15"/>
    <row r="384" ht="15" customHeight="true" x14ac:dyDescent="0.15"/>
    <row r="385" ht="15" customHeight="true" x14ac:dyDescent="0.15"/>
    <row r="386" ht="15" customHeight="true" x14ac:dyDescent="0.15"/>
  </sheetData>
  <phoneticPr fontId="2" type="noConversion"/>
  <conditionalFormatting sqref="R40:AH41 R2:T34 J38:K38 J2:K35 B2:I34 L2:P34 B36:P37 R36:AH37 B40:P41 P35 P38:P39">
    <cfRule type="cellIs" dxfId="6" priority="2" operator="equal">
      <formula>0</formula>
    </cfRule>
  </conditionalFormatting>
  <conditionalFormatting sqref="AI41 AL2:AL37 AL40:AL41 V2:AH34">
    <cfRule type="cellIs" dxfId="5" priority="3" operator="equal">
      <formula>0</formula>
    </cfRule>
  </conditionalFormatting>
  <conditionalFormatting sqref="U35:U36 R2:T36 B2:P41 V2:AJ36 R37:AJ41 AK2:AN41">
    <cfRule type="cellIs" dxfId="4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I18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12.83203125" customWidth="true"/>
    <col min="2" max="2" width="27.6640625" bestFit="true" customWidth="true"/>
    <col min="3" max="8" width="14.5" customWidth="true"/>
  </cols>
  <sheetData>
    <row r="1" ht="14" x14ac:dyDescent="0.15">
      <c r="A1" s="130" t="s">
        <v>20</v>
      </c>
      <c r="B1" s="1" t="s">
        <v>0</v>
      </c>
      <c r="C1" s="224" t="s">
        <v>221</v>
      </c>
      <c r="D1" s="224" t="s">
        <v>71</v>
      </c>
      <c r="E1" s="224" t="s">
        <v>72</v>
      </c>
      <c r="F1" s="146" t="s">
        <v>73</v>
      </c>
      <c r="G1" s="145" t="s">
        <v>178</v>
      </c>
      <c r="H1" s="192" t="s">
        <v>61</v>
      </c>
    </row>
    <row r="2" x14ac:dyDescent="0.15">
      <c r="A2">
        <v>1</v>
      </c>
      <c r="B2" t="s">
        <v>182</v>
      </c>
      <c r="C2" s="146">
        <v>0</v>
      </c>
      <c r="D2" s="146">
        <v>0</v>
      </c>
      <c r="E2" s="146">
        <v>1</v>
      </c>
      <c r="F2" s="146">
        <v>0</v>
      </c>
      <c r="G2" s="145">
        <v>0</v>
      </c>
      <c r="H2" s="193">
        <f>SUM(C2:G2)</f>
        <v>1</v>
      </c>
    </row>
    <row r="3" x14ac:dyDescent="0.15">
      <c r="A3">
        <v>2</v>
      </c>
      <c r="B3" t="s">
        <v>183</v>
      </c>
      <c r="C3" s="146">
        <v>0</v>
      </c>
      <c r="D3" s="146">
        <v>0</v>
      </c>
      <c r="E3" s="146">
        <v>1</v>
      </c>
      <c r="F3" s="146">
        <v>0</v>
      </c>
      <c r="G3" s="145">
        <v>0</v>
      </c>
      <c r="H3" s="193">
        <f t="shared" ref="H3:H42" si="0">SUM(C3:G3)</f>
        <v>1</v>
      </c>
    </row>
    <row r="4" x14ac:dyDescent="0.15">
      <c r="A4">
        <v>3</v>
      </c>
      <c r="B4" t="s">
        <v>226</v>
      </c>
      <c r="C4" s="146">
        <v>0</v>
      </c>
      <c r="D4" s="146">
        <v>0</v>
      </c>
      <c r="E4" s="146">
        <v>1</v>
      </c>
      <c r="F4" s="146">
        <v>0</v>
      </c>
      <c r="G4" s="145">
        <v>0</v>
      </c>
      <c r="H4" s="193">
        <f t="shared" si="0"/>
        <v>1</v>
      </c>
    </row>
    <row r="5" x14ac:dyDescent="0.15">
      <c r="A5">
        <f>A4+1</f>
        <v>4</v>
      </c>
      <c r="B5" t="s">
        <v>185</v>
      </c>
      <c r="C5" s="146">
        <v>0</v>
      </c>
      <c r="D5" s="146">
        <v>0</v>
      </c>
      <c r="E5" s="146">
        <v>0.2</v>
      </c>
      <c r="F5" s="146">
        <v>0.8</v>
      </c>
      <c r="G5" s="145">
        <v>0</v>
      </c>
      <c r="H5" s="193">
        <f t="shared" si="0"/>
        <v>1</v>
      </c>
    </row>
    <row r="6" x14ac:dyDescent="0.15">
      <c r="A6">
        <f t="shared" ref="A6:A34" si="1">A5+1</f>
        <v>5</v>
      </c>
      <c r="B6" t="s">
        <v>227</v>
      </c>
      <c r="C6" s="146">
        <v>0</v>
      </c>
      <c r="D6" s="146">
        <v>0</v>
      </c>
      <c r="E6" s="146">
        <v>0.2</v>
      </c>
      <c r="F6" s="146">
        <v>0.8</v>
      </c>
      <c r="G6" s="145">
        <v>0</v>
      </c>
      <c r="H6" s="193">
        <f t="shared" si="0"/>
        <v>1</v>
      </c>
    </row>
    <row r="7" x14ac:dyDescent="0.15">
      <c r="A7">
        <f t="shared" si="1"/>
        <v>6</v>
      </c>
      <c r="B7" s="3" t="s">
        <v>187</v>
      </c>
      <c r="C7" s="146">
        <v>0</v>
      </c>
      <c r="D7" s="146">
        <v>0</v>
      </c>
      <c r="E7" s="146">
        <v>0.95</v>
      </c>
      <c r="F7" s="146">
        <v>0.05</v>
      </c>
      <c r="G7" s="146">
        <v>0</v>
      </c>
      <c r="H7" s="193">
        <f t="shared" si="0"/>
        <v>1</v>
      </c>
    </row>
    <row r="8" x14ac:dyDescent="0.15">
      <c r="A8">
        <f t="shared" si="1"/>
        <v>7</v>
      </c>
      <c r="B8" s="202" t="s">
        <v>188</v>
      </c>
      <c r="C8" s="146">
        <v>0</v>
      </c>
      <c r="D8" s="146">
        <v>0</v>
      </c>
      <c r="E8" s="146">
        <v>0.95</v>
      </c>
      <c r="F8" s="146">
        <v>0.05</v>
      </c>
      <c r="G8" s="146">
        <v>0</v>
      </c>
      <c r="H8" s="193">
        <f t="shared" si="0"/>
        <v>1</v>
      </c>
    </row>
    <row r="9" x14ac:dyDescent="0.15">
      <c r="A9">
        <f t="shared" si="1"/>
        <v>8</v>
      </c>
      <c r="B9" t="s">
        <v>190</v>
      </c>
      <c r="C9" s="146">
        <v>0</v>
      </c>
      <c r="D9" s="146">
        <v>0</v>
      </c>
      <c r="E9" s="146">
        <v>0</v>
      </c>
      <c r="F9" s="146">
        <v>1</v>
      </c>
      <c r="G9" s="145">
        <v>0</v>
      </c>
      <c r="H9" s="193">
        <f t="shared" si="0"/>
        <v>1</v>
      </c>
    </row>
    <row r="10" x14ac:dyDescent="0.15">
      <c r="A10">
        <f t="shared" si="1"/>
        <v>9</v>
      </c>
      <c r="B10" t="s">
        <v>191</v>
      </c>
      <c r="C10" s="146">
        <v>0</v>
      </c>
      <c r="D10" s="146">
        <v>0</v>
      </c>
      <c r="E10" s="146">
        <v>0</v>
      </c>
      <c r="F10" s="146">
        <v>1</v>
      </c>
      <c r="G10" s="145">
        <v>0</v>
      </c>
      <c r="H10" s="193">
        <f t="shared" si="0"/>
        <v>1</v>
      </c>
    </row>
    <row r="11" x14ac:dyDescent="0.15">
      <c r="A11">
        <f t="shared" si="1"/>
        <v>10</v>
      </c>
      <c r="B11" t="s">
        <v>192</v>
      </c>
      <c r="C11" s="146">
        <v>0.25</v>
      </c>
      <c r="D11" s="146">
        <v>0</v>
      </c>
      <c r="E11" s="146">
        <v>0</v>
      </c>
      <c r="F11" s="146">
        <v>0.75</v>
      </c>
      <c r="G11" s="145">
        <v>0</v>
      </c>
      <c r="H11" s="193">
        <f t="shared" si="0"/>
        <v>1</v>
      </c>
    </row>
    <row r="12" x14ac:dyDescent="0.15">
      <c r="A12">
        <f t="shared" si="1"/>
        <v>11</v>
      </c>
      <c r="B12" t="s">
        <v>194</v>
      </c>
      <c r="C12" s="146">
        <v>0</v>
      </c>
      <c r="D12" s="146">
        <v>0</v>
      </c>
      <c r="E12" s="146">
        <v>0.25</v>
      </c>
      <c r="F12" s="146">
        <v>0.75</v>
      </c>
      <c r="G12" s="145">
        <v>0</v>
      </c>
      <c r="H12" s="193">
        <f t="shared" si="0"/>
        <v>1</v>
      </c>
    </row>
    <row r="13" x14ac:dyDescent="0.15">
      <c r="A13">
        <f t="shared" si="1"/>
        <v>12</v>
      </c>
      <c r="B13" t="s">
        <v>195</v>
      </c>
      <c r="C13" s="146">
        <v>0</v>
      </c>
      <c r="D13" s="146">
        <v>0</v>
      </c>
      <c r="E13" s="146">
        <v>0</v>
      </c>
      <c r="F13" s="146">
        <v>1</v>
      </c>
      <c r="G13" s="145">
        <v>0</v>
      </c>
      <c r="H13" s="193">
        <f t="shared" si="0"/>
        <v>1</v>
      </c>
    </row>
    <row r="14" x14ac:dyDescent="0.15">
      <c r="A14">
        <f t="shared" si="1"/>
        <v>13</v>
      </c>
      <c r="B14" t="s">
        <v>196</v>
      </c>
      <c r="C14" s="146">
        <v>0</v>
      </c>
      <c r="D14" s="146">
        <v>0</v>
      </c>
      <c r="E14" s="146">
        <v>0.25</v>
      </c>
      <c r="F14" s="146">
        <v>0.75</v>
      </c>
      <c r="G14" s="145">
        <v>0</v>
      </c>
      <c r="H14" s="193">
        <f t="shared" si="0"/>
        <v>1</v>
      </c>
    </row>
    <row r="15" x14ac:dyDescent="0.15">
      <c r="A15">
        <f t="shared" si="1"/>
        <v>14</v>
      </c>
      <c r="B15" t="s">
        <v>197</v>
      </c>
      <c r="C15" s="146">
        <v>0</v>
      </c>
      <c r="D15" s="146">
        <v>0</v>
      </c>
      <c r="E15" s="146">
        <v>0.25</v>
      </c>
      <c r="F15" s="146">
        <v>0.75</v>
      </c>
      <c r="G15" s="145">
        <v>0</v>
      </c>
      <c r="H15" s="193">
        <f t="shared" si="0"/>
        <v>1</v>
      </c>
    </row>
    <row r="16" x14ac:dyDescent="0.15">
      <c r="A16">
        <f t="shared" si="1"/>
        <v>15</v>
      </c>
      <c r="B16" t="s">
        <v>198</v>
      </c>
      <c r="C16" s="146">
        <v>0</v>
      </c>
      <c r="D16" s="146">
        <v>0</v>
      </c>
      <c r="E16" s="146">
        <v>0</v>
      </c>
      <c r="F16" s="146">
        <v>1</v>
      </c>
      <c r="G16" s="145">
        <v>0</v>
      </c>
      <c r="H16" s="193">
        <f t="shared" si="0"/>
        <v>1</v>
      </c>
    </row>
    <row r="17" x14ac:dyDescent="0.15">
      <c r="A17">
        <f t="shared" si="1"/>
        <v>16</v>
      </c>
      <c r="B17" t="s">
        <v>199</v>
      </c>
      <c r="C17" s="146">
        <v>0</v>
      </c>
      <c r="D17" s="146">
        <v>0</v>
      </c>
      <c r="E17" s="146">
        <v>0</v>
      </c>
      <c r="F17" s="146">
        <v>1</v>
      </c>
      <c r="G17" s="145">
        <v>0</v>
      </c>
      <c r="H17" s="193">
        <f t="shared" si="0"/>
        <v>1</v>
      </c>
    </row>
    <row r="18" x14ac:dyDescent="0.15">
      <c r="A18">
        <f t="shared" si="1"/>
        <v>17</v>
      </c>
      <c r="B18" t="s">
        <v>200</v>
      </c>
      <c r="C18" s="146">
        <v>0</v>
      </c>
      <c r="D18" s="146">
        <v>0</v>
      </c>
      <c r="E18" s="146">
        <v>0</v>
      </c>
      <c r="F18" s="146">
        <v>1</v>
      </c>
      <c r="G18" s="145">
        <v>0</v>
      </c>
      <c r="H18" s="193">
        <f t="shared" si="0"/>
        <v>1</v>
      </c>
    </row>
    <row r="19" x14ac:dyDescent="0.15">
      <c r="A19">
        <f t="shared" si="1"/>
        <v>18</v>
      </c>
      <c r="B19" t="s">
        <v>201</v>
      </c>
      <c r="C19" s="146">
        <v>0</v>
      </c>
      <c r="D19" s="146">
        <v>0</v>
      </c>
      <c r="E19" s="146">
        <v>0.1</v>
      </c>
      <c r="F19" s="146">
        <v>0.9</v>
      </c>
      <c r="G19" s="145">
        <v>0</v>
      </c>
      <c r="H19" s="193">
        <f t="shared" si="0"/>
        <v>1</v>
      </c>
    </row>
    <row r="20" x14ac:dyDescent="0.15">
      <c r="A20">
        <f t="shared" si="1"/>
        <v>19</v>
      </c>
      <c r="B20" t="s">
        <v>202</v>
      </c>
      <c r="C20" s="146">
        <v>0</v>
      </c>
      <c r="D20" s="146">
        <v>0</v>
      </c>
      <c r="E20" s="146">
        <v>0</v>
      </c>
      <c r="F20" s="146">
        <v>1</v>
      </c>
      <c r="G20" s="145">
        <v>0</v>
      </c>
      <c r="H20" s="193">
        <f t="shared" si="0"/>
        <v>1</v>
      </c>
    </row>
    <row r="21" x14ac:dyDescent="0.15">
      <c r="A21">
        <f t="shared" si="1"/>
        <v>20</v>
      </c>
      <c r="B21" t="s">
        <v>203</v>
      </c>
      <c r="C21" s="146">
        <v>0</v>
      </c>
      <c r="D21" s="146">
        <v>0</v>
      </c>
      <c r="E21" s="146">
        <v>0</v>
      </c>
      <c r="F21" s="146">
        <v>1</v>
      </c>
      <c r="G21" s="145">
        <v>0</v>
      </c>
      <c r="H21" s="193">
        <f t="shared" si="0"/>
        <v>1</v>
      </c>
    </row>
    <row r="22" x14ac:dyDescent="0.15">
      <c r="A22">
        <f t="shared" si="1"/>
        <v>21</v>
      </c>
      <c r="B22" t="s">
        <v>204</v>
      </c>
      <c r="C22" s="146">
        <v>0</v>
      </c>
      <c r="D22" s="146">
        <v>0</v>
      </c>
      <c r="E22" s="146">
        <v>0.25</v>
      </c>
      <c r="F22" s="146">
        <v>0.75</v>
      </c>
      <c r="G22" s="145">
        <v>0</v>
      </c>
      <c r="H22" s="193">
        <f t="shared" si="0"/>
        <v>1</v>
      </c>
    </row>
    <row r="23" x14ac:dyDescent="0.15">
      <c r="A23">
        <f t="shared" si="1"/>
        <v>22</v>
      </c>
      <c r="B23" t="s">
        <v>205</v>
      </c>
      <c r="C23" s="146">
        <v>0</v>
      </c>
      <c r="D23" s="146">
        <v>0</v>
      </c>
      <c r="E23" s="146">
        <v>0.25</v>
      </c>
      <c r="F23" s="146">
        <v>0.75</v>
      </c>
      <c r="G23" s="145">
        <v>0</v>
      </c>
      <c r="H23" s="193">
        <f t="shared" si="0"/>
        <v>1</v>
      </c>
    </row>
    <row r="24" x14ac:dyDescent="0.15">
      <c r="A24">
        <f t="shared" si="1"/>
        <v>23</v>
      </c>
      <c r="B24" t="s">
        <v>207</v>
      </c>
      <c r="C24" s="146">
        <v>0</v>
      </c>
      <c r="D24" s="146">
        <v>0</v>
      </c>
      <c r="E24" s="146">
        <v>0</v>
      </c>
      <c r="F24" s="146">
        <v>1</v>
      </c>
      <c r="G24" s="145">
        <v>0</v>
      </c>
      <c r="H24" s="193">
        <f t="shared" si="0"/>
        <v>1</v>
      </c>
    </row>
    <row r="25" x14ac:dyDescent="0.15">
      <c r="A25">
        <f t="shared" si="1"/>
        <v>24</v>
      </c>
      <c r="B25" t="s">
        <v>208</v>
      </c>
      <c r="C25" s="146">
        <v>0</v>
      </c>
      <c r="D25" s="146">
        <v>0</v>
      </c>
      <c r="E25" s="146">
        <v>0</v>
      </c>
      <c r="F25" s="146">
        <v>1</v>
      </c>
      <c r="G25" s="145">
        <v>0</v>
      </c>
      <c r="H25" s="193">
        <f t="shared" si="0"/>
        <v>1</v>
      </c>
    </row>
    <row r="26" x14ac:dyDescent="0.15">
      <c r="A26">
        <f t="shared" si="1"/>
        <v>25</v>
      </c>
      <c r="B26" t="s">
        <v>209</v>
      </c>
      <c r="C26" s="146">
        <v>0</v>
      </c>
      <c r="D26" s="146">
        <v>0</v>
      </c>
      <c r="E26" s="146">
        <v>0</v>
      </c>
      <c r="F26" s="146">
        <v>1</v>
      </c>
      <c r="G26" s="145">
        <v>0</v>
      </c>
      <c r="H26" s="193">
        <f t="shared" si="0"/>
        <v>1</v>
      </c>
    </row>
    <row r="27" x14ac:dyDescent="0.15">
      <c r="A27">
        <f t="shared" si="1"/>
        <v>26</v>
      </c>
      <c r="B27" t="s">
        <v>210</v>
      </c>
      <c r="C27" s="146">
        <v>0</v>
      </c>
      <c r="D27" s="146">
        <v>0</v>
      </c>
      <c r="E27" s="146">
        <v>0</v>
      </c>
      <c r="F27" s="146">
        <v>1</v>
      </c>
      <c r="G27" s="145">
        <v>0</v>
      </c>
      <c r="H27" s="193">
        <f t="shared" si="0"/>
        <v>1</v>
      </c>
    </row>
    <row r="28" x14ac:dyDescent="0.15">
      <c r="A28">
        <f t="shared" si="1"/>
        <v>27</v>
      </c>
      <c r="B28" t="s">
        <v>211</v>
      </c>
      <c r="C28" s="146">
        <v>0</v>
      </c>
      <c r="D28" s="146">
        <v>0</v>
      </c>
      <c r="E28" s="146">
        <v>0</v>
      </c>
      <c r="F28" s="146">
        <v>1</v>
      </c>
      <c r="G28" s="145">
        <v>0</v>
      </c>
      <c r="H28" s="193">
        <f t="shared" si="0"/>
        <v>1</v>
      </c>
    </row>
    <row r="29" x14ac:dyDescent="0.15">
      <c r="A29">
        <f t="shared" si="1"/>
        <v>28</v>
      </c>
      <c r="B29" t="s">
        <v>212</v>
      </c>
      <c r="C29" s="146">
        <v>0</v>
      </c>
      <c r="D29" s="146">
        <v>0</v>
      </c>
      <c r="E29" s="146">
        <v>0</v>
      </c>
      <c r="F29" s="146">
        <v>1</v>
      </c>
      <c r="G29" s="145">
        <v>0</v>
      </c>
      <c r="H29" s="193">
        <f t="shared" si="0"/>
        <v>1</v>
      </c>
    </row>
    <row r="30" x14ac:dyDescent="0.15">
      <c r="A30">
        <f t="shared" si="1"/>
        <v>29</v>
      </c>
      <c r="B30" t="s">
        <v>213</v>
      </c>
      <c r="C30" s="146">
        <v>0</v>
      </c>
      <c r="D30" s="146">
        <v>0</v>
      </c>
      <c r="E30" s="146">
        <v>0</v>
      </c>
      <c r="F30" s="146">
        <v>1</v>
      </c>
      <c r="G30" s="145">
        <v>0</v>
      </c>
      <c r="H30" s="193">
        <f t="shared" si="0"/>
        <v>1</v>
      </c>
    </row>
    <row r="31" x14ac:dyDescent="0.15">
      <c r="A31">
        <f t="shared" si="1"/>
        <v>30</v>
      </c>
      <c r="B31" t="s">
        <v>214</v>
      </c>
      <c r="C31" s="146">
        <v>0</v>
      </c>
      <c r="D31" s="146">
        <v>0</v>
      </c>
      <c r="E31" s="146">
        <v>0</v>
      </c>
      <c r="F31" s="146">
        <v>1</v>
      </c>
      <c r="G31" s="145">
        <v>0</v>
      </c>
      <c r="H31" s="193">
        <f t="shared" si="0"/>
        <v>1</v>
      </c>
    </row>
    <row r="32" x14ac:dyDescent="0.15">
      <c r="A32">
        <f t="shared" si="1"/>
        <v>31</v>
      </c>
      <c r="B32" t="s">
        <v>215</v>
      </c>
      <c r="C32" s="146">
        <v>0</v>
      </c>
      <c r="D32" s="146">
        <v>0</v>
      </c>
      <c r="E32" s="146">
        <v>0</v>
      </c>
      <c r="F32" s="146">
        <v>1</v>
      </c>
      <c r="G32" s="145">
        <v>0</v>
      </c>
      <c r="H32" s="193">
        <f t="shared" si="0"/>
        <v>1</v>
      </c>
    </row>
    <row r="33" x14ac:dyDescent="0.15">
      <c r="A33">
        <f t="shared" si="1"/>
        <v>32</v>
      </c>
      <c r="B33" t="s">
        <v>216</v>
      </c>
      <c r="C33" s="146">
        <v>0</v>
      </c>
      <c r="D33" s="146">
        <v>0</v>
      </c>
      <c r="E33" s="146">
        <v>0</v>
      </c>
      <c r="F33" s="146">
        <v>1</v>
      </c>
      <c r="G33" s="145">
        <v>0</v>
      </c>
      <c r="H33" s="193">
        <f t="shared" si="0"/>
        <v>1</v>
      </c>
    </row>
    <row r="34" x14ac:dyDescent="0.15">
      <c r="A34">
        <f t="shared" si="1"/>
        <v>33</v>
      </c>
      <c r="B34" t="s">
        <v>217</v>
      </c>
      <c r="C34" s="146">
        <v>0</v>
      </c>
      <c r="D34" s="146">
        <v>0</v>
      </c>
      <c r="E34" s="146">
        <v>0</v>
      </c>
      <c r="F34" s="146">
        <v>1</v>
      </c>
      <c r="G34" s="145">
        <v>0</v>
      </c>
      <c r="H34" s="193">
        <f t="shared" si="0"/>
        <v>1</v>
      </c>
    </row>
    <row r="35" x14ac:dyDescent="0.15">
      <c r="A35">
        <v>34</v>
      </c>
      <c r="B35" s="202" t="s">
        <v>218</v>
      </c>
      <c r="C35" s="146">
        <v>0</v>
      </c>
      <c r="D35" s="146">
        <v>0</v>
      </c>
      <c r="E35" s="146">
        <v>0.7</v>
      </c>
      <c r="F35" s="146">
        <v>0.3</v>
      </c>
      <c r="G35" s="146">
        <v>0</v>
      </c>
      <c r="H35" s="193">
        <f t="shared" si="0"/>
        <v>1</v>
      </c>
      <c r="I35" s="3"/>
    </row>
    <row r="36" x14ac:dyDescent="0.15">
      <c r="A36">
        <v>35</v>
      </c>
      <c r="B36" s="202" t="s">
        <v>219</v>
      </c>
      <c r="C36" s="146">
        <v>0</v>
      </c>
      <c r="D36" s="146">
        <v>0</v>
      </c>
      <c r="E36" s="146">
        <v>0.7</v>
      </c>
      <c r="F36" s="146">
        <v>0.3</v>
      </c>
      <c r="G36" s="146">
        <v>0</v>
      </c>
      <c r="H36" s="193">
        <f t="shared" si="0"/>
        <v>1</v>
      </c>
      <c r="I36" s="3"/>
    </row>
    <row r="37" x14ac:dyDescent="0.15">
      <c r="A37">
        <v>36</v>
      </c>
      <c r="B37" t="s">
        <v>221</v>
      </c>
      <c r="C37" s="146">
        <v>0</v>
      </c>
      <c r="D37" s="146">
        <v>0</v>
      </c>
      <c r="E37" s="146">
        <v>0</v>
      </c>
      <c r="F37" s="146">
        <v>1</v>
      </c>
      <c r="G37" s="146">
        <v>0</v>
      </c>
      <c r="H37" s="193">
        <f t="shared" si="0"/>
        <v>1</v>
      </c>
      <c r="I37" s="3"/>
    </row>
    <row r="38" x14ac:dyDescent="0.15">
      <c r="A38">
        <f t="shared" ref="A38:A42" si="2">A37+1</f>
        <v>37</v>
      </c>
      <c r="B38" t="s">
        <v>71</v>
      </c>
      <c r="C38" s="146">
        <v>0</v>
      </c>
      <c r="D38" s="146">
        <v>0</v>
      </c>
      <c r="E38" s="146">
        <v>0.1</v>
      </c>
      <c r="F38" s="146">
        <v>0.9</v>
      </c>
      <c r="G38" s="146">
        <v>0</v>
      </c>
      <c r="H38" s="193">
        <f t="shared" si="0"/>
        <v>1</v>
      </c>
      <c r="I38" s="3"/>
    </row>
    <row r="39" x14ac:dyDescent="0.15">
      <c r="A39">
        <f t="shared" si="2"/>
        <v>38</v>
      </c>
      <c r="B39" s="201" t="s">
        <v>72</v>
      </c>
      <c r="C39" s="146">
        <v>0</v>
      </c>
      <c r="D39" s="146">
        <v>0</v>
      </c>
      <c r="E39" s="146">
        <v>0</v>
      </c>
      <c r="F39" s="146">
        <v>1</v>
      </c>
      <c r="G39" s="146">
        <v>0</v>
      </c>
      <c r="H39" s="193">
        <f t="shared" si="0"/>
        <v>1</v>
      </c>
      <c r="I39" s="3"/>
    </row>
    <row r="40" x14ac:dyDescent="0.15">
      <c r="A40">
        <f t="shared" si="2"/>
        <v>39</v>
      </c>
      <c r="B40" t="s">
        <v>73</v>
      </c>
      <c r="C40" s="146">
        <v>0</v>
      </c>
      <c r="D40" s="146">
        <v>0</v>
      </c>
      <c r="E40" s="146">
        <v>0</v>
      </c>
      <c r="F40" s="146">
        <v>0</v>
      </c>
      <c r="G40" s="146">
        <v>1</v>
      </c>
      <c r="H40" s="193">
        <f t="shared" si="0"/>
        <v>1</v>
      </c>
      <c r="I40" s="3"/>
    </row>
    <row r="41" x14ac:dyDescent="0.15">
      <c r="A41">
        <f t="shared" si="2"/>
        <v>40</v>
      </c>
      <c r="B41" s="201" t="s">
        <v>222</v>
      </c>
      <c r="C41" s="146">
        <v>0</v>
      </c>
      <c r="D41" s="146">
        <v>1</v>
      </c>
      <c r="E41" s="146">
        <v>0</v>
      </c>
      <c r="F41" s="146">
        <v>0</v>
      </c>
      <c r="G41" s="146">
        <v>0</v>
      </c>
      <c r="H41" s="193">
        <f t="shared" si="0"/>
        <v>1</v>
      </c>
      <c r="I41" s="3"/>
    </row>
    <row r="42" x14ac:dyDescent="0.15">
      <c r="A42">
        <f t="shared" si="2"/>
        <v>41</v>
      </c>
      <c r="B42" s="201" t="s">
        <v>223</v>
      </c>
      <c r="C42" s="146">
        <v>0</v>
      </c>
      <c r="D42" s="146">
        <v>1</v>
      </c>
      <c r="E42" s="146">
        <v>0</v>
      </c>
      <c r="F42" s="146">
        <v>0</v>
      </c>
      <c r="G42" s="146">
        <v>0</v>
      </c>
      <c r="H42" s="193">
        <f t="shared" si="0"/>
        <v>1</v>
      </c>
      <c r="I42" s="3"/>
    </row>
    <row r="43" x14ac:dyDescent="0.15">
      <c r="B43" s="132"/>
    </row>
    <row r="138" ht="12" customHeight="true" x14ac:dyDescent="0.15"/>
    <row r="139" ht="12" customHeight="true" x14ac:dyDescent="0.15"/>
    <row r="140" ht="12" customHeight="true" x14ac:dyDescent="0.15"/>
    <row r="141" ht="12" customHeight="true" x14ac:dyDescent="0.15"/>
    <row r="142" ht="12" customHeight="true" x14ac:dyDescent="0.15"/>
    <row r="143" ht="12" customHeight="true" x14ac:dyDescent="0.15"/>
    <row r="144" ht="12" customHeight="true" x14ac:dyDescent="0.15"/>
    <row r="145" ht="12" customHeight="true" x14ac:dyDescent="0.15"/>
    <row r="146" ht="12" customHeight="true" x14ac:dyDescent="0.15"/>
    <row r="147" ht="12" customHeight="true" x14ac:dyDescent="0.15"/>
    <row r="148" ht="12" customHeight="true" x14ac:dyDescent="0.15"/>
    <row r="149" ht="12" customHeight="true" x14ac:dyDescent="0.15"/>
    <row r="150" ht="12" customHeight="true" x14ac:dyDescent="0.15"/>
    <row r="151" ht="12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7" sqref="B7"/>
    </sheetView>
  </sheetViews>
  <sheetFormatPr baseColWidth="10" defaultColWidth="8.83203125" defaultRowHeight="13" x14ac:dyDescent="0.15"/>
  <cols>
    <col min="1" max="1" width="8.33203125" bestFit="true" customWidth="true"/>
    <col min="2" max="2" width="34.33203125" bestFit="true" customWidth="true"/>
    <col min="3" max="3" width="19" style="218" bestFit="true" customWidth="true"/>
    <col min="4" max="4" width="18.5" style="218" bestFit="true" customWidth="true"/>
    <col min="5" max="5" width="8.83203125" style="218"/>
  </cols>
  <sheetData>
    <row r="1" s="131" customFormat="true" ht="56" x14ac:dyDescent="0.15">
      <c r="A1" s="225" t="s">
        <v>21</v>
      </c>
      <c r="B1" s="226" t="s">
        <v>0</v>
      </c>
      <c r="C1" s="227" t="s">
        <v>222</v>
      </c>
      <c r="D1" s="227" t="s">
        <v>228</v>
      </c>
      <c r="E1" s="228" t="s">
        <v>61</v>
      </c>
    </row>
    <row r="2" x14ac:dyDescent="0.15">
      <c r="A2" s="196">
        <v>1</v>
      </c>
      <c r="B2" t="s">
        <v>182</v>
      </c>
      <c r="C2" s="221">
        <v>0</v>
      </c>
      <c r="D2" s="221">
        <v>0</v>
      </c>
      <c r="E2" s="229">
        <f>SUM(C2:D2)</f>
        <v>0</v>
      </c>
    </row>
    <row r="3" x14ac:dyDescent="0.15">
      <c r="A3" s="196">
        <f>A2+1</f>
        <v>2</v>
      </c>
      <c r="B3" t="s">
        <v>183</v>
      </c>
      <c r="C3" s="221">
        <v>0</v>
      </c>
      <c r="D3" s="221">
        <v>0</v>
      </c>
      <c r="E3" s="229">
        <f t="shared" ref="E3:E36" si="0">SUM(C3:D3)</f>
        <v>0</v>
      </c>
    </row>
    <row r="4" x14ac:dyDescent="0.15">
      <c r="A4" s="196">
        <f t="shared" ref="A4:A34" si="1">A3+1</f>
        <v>3</v>
      </c>
      <c r="B4" t="s">
        <v>226</v>
      </c>
      <c r="C4" s="221">
        <v>0</v>
      </c>
      <c r="D4" s="221">
        <v>0</v>
      </c>
      <c r="E4" s="229">
        <f t="shared" si="0"/>
        <v>0</v>
      </c>
    </row>
    <row r="5" x14ac:dyDescent="0.15">
      <c r="A5" s="196">
        <f t="shared" si="1"/>
        <v>4</v>
      </c>
      <c r="B5" t="s">
        <v>185</v>
      </c>
      <c r="C5" s="221">
        <v>0</v>
      </c>
      <c r="D5" s="221">
        <v>0</v>
      </c>
      <c r="E5" s="229">
        <f t="shared" si="0"/>
        <v>0</v>
      </c>
    </row>
    <row r="6" x14ac:dyDescent="0.15">
      <c r="A6" s="196">
        <f t="shared" si="1"/>
        <v>5</v>
      </c>
      <c r="B6" t="s">
        <v>227</v>
      </c>
      <c r="C6" s="221">
        <v>0</v>
      </c>
      <c r="D6" s="221">
        <v>0</v>
      </c>
      <c r="E6" s="229">
        <f t="shared" si="0"/>
        <v>0</v>
      </c>
    </row>
    <row r="7" x14ac:dyDescent="0.15">
      <c r="A7" s="196">
        <f>A6+1</f>
        <v>6</v>
      </c>
      <c r="B7" t="s">
        <v>187</v>
      </c>
      <c r="C7" s="221">
        <v>0</v>
      </c>
      <c r="D7" s="221">
        <v>0</v>
      </c>
      <c r="E7" s="229">
        <f t="shared" si="0"/>
        <v>0</v>
      </c>
    </row>
    <row r="8" x14ac:dyDescent="0.15">
      <c r="A8" s="196">
        <f t="shared" ref="A8:A10" si="2">A7+1</f>
        <v>7</v>
      </c>
      <c r="B8" s="202" t="s">
        <v>188</v>
      </c>
      <c r="C8" s="221">
        <v>0</v>
      </c>
      <c r="D8" s="221">
        <v>0</v>
      </c>
      <c r="E8" s="229">
        <f t="shared" si="0"/>
        <v>0</v>
      </c>
    </row>
    <row r="9" x14ac:dyDescent="0.15">
      <c r="A9" s="196">
        <f t="shared" si="2"/>
        <v>8</v>
      </c>
      <c r="B9" t="s">
        <v>190</v>
      </c>
      <c r="C9" s="221">
        <v>0</v>
      </c>
      <c r="D9" s="221">
        <v>0</v>
      </c>
      <c r="E9" s="229">
        <f t="shared" si="0"/>
        <v>0</v>
      </c>
    </row>
    <row r="10" x14ac:dyDescent="0.15">
      <c r="A10" s="196">
        <f t="shared" si="2"/>
        <v>9</v>
      </c>
      <c r="B10" t="s">
        <v>191</v>
      </c>
      <c r="C10" s="221">
        <v>0</v>
      </c>
      <c r="D10" s="221">
        <v>5.6513425000000002</v>
      </c>
      <c r="E10" s="229">
        <f t="shared" si="0"/>
        <v>5.6513425000000002</v>
      </c>
    </row>
    <row r="11" x14ac:dyDescent="0.15">
      <c r="A11" s="196">
        <f t="shared" si="1"/>
        <v>10</v>
      </c>
      <c r="B11" t="s">
        <v>192</v>
      </c>
      <c r="C11" s="221">
        <v>0</v>
      </c>
      <c r="D11" s="221">
        <v>22.475494999999999</v>
      </c>
      <c r="E11" s="229">
        <f>SUM(C11:D11)</f>
        <v>22.475494999999999</v>
      </c>
    </row>
    <row r="12" x14ac:dyDescent="0.15">
      <c r="A12" s="196">
        <f t="shared" si="1"/>
        <v>11</v>
      </c>
      <c r="B12" t="s">
        <v>194</v>
      </c>
      <c r="C12" s="221">
        <v>0</v>
      </c>
      <c r="D12" s="221">
        <v>0</v>
      </c>
      <c r="E12" s="229">
        <f t="shared" si="0"/>
        <v>0</v>
      </c>
    </row>
    <row r="13" x14ac:dyDescent="0.15">
      <c r="A13" s="196">
        <f t="shared" si="1"/>
        <v>12</v>
      </c>
      <c r="B13" t="s">
        <v>195</v>
      </c>
      <c r="C13" s="221">
        <v>0</v>
      </c>
      <c r="D13" s="221">
        <v>0.10020266</v>
      </c>
      <c r="E13" s="229">
        <f t="shared" si="0"/>
        <v>0.10020266</v>
      </c>
    </row>
    <row r="14" x14ac:dyDescent="0.15">
      <c r="A14" s="196">
        <f t="shared" si="1"/>
        <v>13</v>
      </c>
      <c r="B14" t="s">
        <v>196</v>
      </c>
      <c r="C14" s="221">
        <v>3.3701515000000001E-2</v>
      </c>
      <c r="D14" s="221">
        <v>0</v>
      </c>
      <c r="E14" s="229">
        <f t="shared" si="0"/>
        <v>3.3701515000000001E-2</v>
      </c>
    </row>
    <row r="15" x14ac:dyDescent="0.15">
      <c r="A15" s="196">
        <f t="shared" si="1"/>
        <v>14</v>
      </c>
      <c r="B15" t="s">
        <v>197</v>
      </c>
      <c r="C15" s="221">
        <v>0</v>
      </c>
      <c r="D15" s="221">
        <v>1.5223365</v>
      </c>
      <c r="E15" s="229">
        <f t="shared" si="0"/>
        <v>1.5223365</v>
      </c>
    </row>
    <row r="16" x14ac:dyDescent="0.15">
      <c r="A16" s="196">
        <f t="shared" si="1"/>
        <v>15</v>
      </c>
      <c r="B16" t="s">
        <v>198</v>
      </c>
      <c r="C16" s="221">
        <v>0</v>
      </c>
      <c r="D16" s="221">
        <v>1.6941729999999999</v>
      </c>
      <c r="E16" s="229">
        <f t="shared" si="0"/>
        <v>1.6941729999999999</v>
      </c>
    </row>
    <row r="17" x14ac:dyDescent="0.15">
      <c r="A17" s="196">
        <f t="shared" si="1"/>
        <v>16</v>
      </c>
      <c r="B17" t="s">
        <v>199</v>
      </c>
      <c r="C17" s="221">
        <v>0</v>
      </c>
      <c r="D17" s="221">
        <v>0.72039400000000009</v>
      </c>
      <c r="E17" s="229">
        <f>SUM(C17:D17)</f>
        <v>0.72039400000000009</v>
      </c>
    </row>
    <row r="18" x14ac:dyDescent="0.15">
      <c r="A18" s="196">
        <f t="shared" si="1"/>
        <v>17</v>
      </c>
      <c r="B18" t="s">
        <v>200</v>
      </c>
      <c r="C18" s="221">
        <v>0</v>
      </c>
      <c r="D18" s="221">
        <v>0.30073784999999997</v>
      </c>
      <c r="E18" s="229">
        <f t="shared" si="0"/>
        <v>0.30073784999999997</v>
      </c>
    </row>
    <row r="19" x14ac:dyDescent="0.15">
      <c r="A19" s="196">
        <f t="shared" si="1"/>
        <v>18</v>
      </c>
      <c r="B19" t="s">
        <v>201</v>
      </c>
      <c r="C19" s="221">
        <v>0</v>
      </c>
      <c r="D19" s="221">
        <v>1.0277810000000001</v>
      </c>
      <c r="E19" s="229">
        <f t="shared" si="0"/>
        <v>1.0277810000000001</v>
      </c>
    </row>
    <row r="20" x14ac:dyDescent="0.15">
      <c r="A20" s="196">
        <f t="shared" si="1"/>
        <v>19</v>
      </c>
      <c r="B20" t="s">
        <v>202</v>
      </c>
      <c r="C20" s="221">
        <v>0</v>
      </c>
      <c r="D20" s="230">
        <v>2.6499999999999999E-2</v>
      </c>
      <c r="E20" s="229">
        <f t="shared" si="0"/>
        <v>2.6499999999999999E-2</v>
      </c>
    </row>
    <row r="21" x14ac:dyDescent="0.15">
      <c r="A21" s="196">
        <f t="shared" si="1"/>
        <v>20</v>
      </c>
      <c r="B21" t="s">
        <v>203</v>
      </c>
      <c r="C21" s="221">
        <v>0</v>
      </c>
      <c r="D21" s="221">
        <v>0</v>
      </c>
      <c r="E21" s="229">
        <f t="shared" si="0"/>
        <v>0</v>
      </c>
    </row>
    <row r="22" x14ac:dyDescent="0.15">
      <c r="A22" s="196">
        <f t="shared" si="1"/>
        <v>21</v>
      </c>
      <c r="B22" t="s">
        <v>204</v>
      </c>
      <c r="C22" s="221">
        <v>3.6560605000000002E-3</v>
      </c>
      <c r="D22" s="221">
        <v>0</v>
      </c>
      <c r="E22" s="229">
        <f t="shared" si="0"/>
        <v>3.6560605000000002E-3</v>
      </c>
    </row>
    <row r="23" x14ac:dyDescent="0.15">
      <c r="A23" s="196">
        <f t="shared" si="1"/>
        <v>22</v>
      </c>
      <c r="B23" t="s">
        <v>205</v>
      </c>
      <c r="C23" s="221">
        <v>1.7422729999999997E-2</v>
      </c>
      <c r="D23" s="221">
        <v>0</v>
      </c>
      <c r="E23" s="229">
        <f t="shared" si="0"/>
        <v>1.7422729999999997E-2</v>
      </c>
    </row>
    <row r="24" x14ac:dyDescent="0.15">
      <c r="A24" s="196">
        <f t="shared" si="1"/>
        <v>23</v>
      </c>
      <c r="B24" t="s">
        <v>207</v>
      </c>
      <c r="C24" s="221">
        <v>3.6496970000000004E-2</v>
      </c>
      <c r="D24" s="221">
        <v>0</v>
      </c>
      <c r="E24" s="229">
        <f t="shared" si="0"/>
        <v>3.6496970000000004E-2</v>
      </c>
    </row>
    <row r="25" x14ac:dyDescent="0.15">
      <c r="A25" s="196">
        <f t="shared" si="1"/>
        <v>24</v>
      </c>
      <c r="B25" t="s">
        <v>208</v>
      </c>
      <c r="C25" s="221">
        <v>0</v>
      </c>
      <c r="D25" s="221">
        <v>0</v>
      </c>
      <c r="E25" s="229">
        <f t="shared" si="0"/>
        <v>0</v>
      </c>
    </row>
    <row r="26" x14ac:dyDescent="0.15">
      <c r="A26" s="196">
        <f t="shared" si="1"/>
        <v>25</v>
      </c>
      <c r="B26" t="s">
        <v>209</v>
      </c>
      <c r="C26" s="221">
        <v>0</v>
      </c>
      <c r="D26" s="221">
        <v>0</v>
      </c>
      <c r="E26" s="229">
        <f t="shared" si="0"/>
        <v>0</v>
      </c>
    </row>
    <row r="27" x14ac:dyDescent="0.15">
      <c r="A27" s="196">
        <f t="shared" si="1"/>
        <v>26</v>
      </c>
      <c r="B27" t="s">
        <v>210</v>
      </c>
      <c r="C27" s="221">
        <v>0.13474544999999999</v>
      </c>
      <c r="D27" s="221">
        <v>0</v>
      </c>
      <c r="E27" s="229">
        <f t="shared" si="0"/>
        <v>0.13474544999999999</v>
      </c>
    </row>
    <row r="28" x14ac:dyDescent="0.15">
      <c r="A28" s="196">
        <f t="shared" si="1"/>
        <v>27</v>
      </c>
      <c r="B28" t="s">
        <v>211</v>
      </c>
      <c r="C28" s="221">
        <v>5.5224245000000005E-2</v>
      </c>
      <c r="D28" s="221">
        <v>0</v>
      </c>
      <c r="E28" s="229">
        <f t="shared" si="0"/>
        <v>5.5224245000000005E-2</v>
      </c>
    </row>
    <row r="29" x14ac:dyDescent="0.15">
      <c r="A29" s="196">
        <f t="shared" si="1"/>
        <v>28</v>
      </c>
      <c r="B29" t="s">
        <v>212</v>
      </c>
      <c r="C29" s="221">
        <v>0</v>
      </c>
      <c r="D29" s="221">
        <v>0</v>
      </c>
      <c r="E29" s="229">
        <f t="shared" si="0"/>
        <v>0</v>
      </c>
    </row>
    <row r="30" x14ac:dyDescent="0.15">
      <c r="A30" s="196">
        <f t="shared" si="1"/>
        <v>29</v>
      </c>
      <c r="B30" t="s">
        <v>213</v>
      </c>
      <c r="C30" s="221">
        <v>0.30610000000000004</v>
      </c>
      <c r="D30" s="221">
        <v>0</v>
      </c>
      <c r="E30" s="229">
        <f t="shared" si="0"/>
        <v>0.30610000000000004</v>
      </c>
    </row>
    <row r="31" x14ac:dyDescent="0.15">
      <c r="A31" s="196">
        <f t="shared" si="1"/>
        <v>30</v>
      </c>
      <c r="B31" t="s">
        <v>214</v>
      </c>
      <c r="C31" s="221">
        <v>0</v>
      </c>
      <c r="D31" s="227">
        <v>1.2969695E-2</v>
      </c>
      <c r="E31" s="229">
        <f t="shared" si="0"/>
        <v>1.2969695E-2</v>
      </c>
    </row>
    <row r="32" x14ac:dyDescent="0.15">
      <c r="A32" s="196">
        <f t="shared" si="1"/>
        <v>31</v>
      </c>
      <c r="B32" t="s">
        <v>215</v>
      </c>
      <c r="C32" s="221">
        <v>0</v>
      </c>
      <c r="D32" s="221">
        <v>0</v>
      </c>
      <c r="E32" s="229">
        <f t="shared" si="0"/>
        <v>0</v>
      </c>
    </row>
    <row r="33" x14ac:dyDescent="0.15">
      <c r="A33" s="196">
        <f t="shared" si="1"/>
        <v>32</v>
      </c>
      <c r="B33" t="s">
        <v>216</v>
      </c>
      <c r="C33" s="221">
        <v>0</v>
      </c>
      <c r="D33" s="221">
        <v>0</v>
      </c>
      <c r="E33" s="229">
        <f t="shared" si="0"/>
        <v>0</v>
      </c>
    </row>
    <row r="34" x14ac:dyDescent="0.15">
      <c r="A34" s="196">
        <f t="shared" si="1"/>
        <v>33</v>
      </c>
      <c r="B34" t="s">
        <v>217</v>
      </c>
      <c r="C34" s="221">
        <v>0</v>
      </c>
      <c r="D34" s="221">
        <v>0</v>
      </c>
      <c r="E34" s="229">
        <f t="shared" si="0"/>
        <v>0</v>
      </c>
    </row>
    <row r="35" x14ac:dyDescent="0.15">
      <c r="A35" s="196">
        <v>34</v>
      </c>
      <c r="B35" s="202" t="s">
        <v>218</v>
      </c>
      <c r="C35" s="221">
        <v>0</v>
      </c>
      <c r="D35" s="221">
        <v>0</v>
      </c>
      <c r="E35" s="229">
        <f t="shared" si="0"/>
        <v>0</v>
      </c>
    </row>
    <row r="36" x14ac:dyDescent="0.15">
      <c r="A36" s="196">
        <v>35</v>
      </c>
      <c r="B36" s="202" t="s">
        <v>219</v>
      </c>
      <c r="C36" s="221">
        <v>0</v>
      </c>
      <c r="D36" s="221">
        <v>0</v>
      </c>
      <c r="E36" s="229">
        <f t="shared" si="0"/>
        <v>0</v>
      </c>
    </row>
    <row r="37" x14ac:dyDescent="0.15">
      <c r="A37" s="196">
        <v>36</v>
      </c>
      <c r="B37" t="s">
        <v>221</v>
      </c>
      <c r="C37" s="221">
        <v>0</v>
      </c>
      <c r="D37" s="221">
        <v>0</v>
      </c>
      <c r="E37" s="229">
        <v>0</v>
      </c>
    </row>
    <row r="38" x14ac:dyDescent="0.15">
      <c r="A38" s="196">
        <v>37</v>
      </c>
      <c r="B38" t="s">
        <v>71</v>
      </c>
      <c r="C38" s="221">
        <v>0</v>
      </c>
      <c r="D38" s="221">
        <v>0</v>
      </c>
      <c r="E38" s="229">
        <v>0</v>
      </c>
    </row>
    <row r="39" x14ac:dyDescent="0.15">
      <c r="A39" s="196">
        <f t="shared" ref="A39:A40" si="3">A38+1</f>
        <v>38</v>
      </c>
      <c r="B39" t="s">
        <v>72</v>
      </c>
      <c r="C39" s="221">
        <v>0</v>
      </c>
      <c r="D39" s="221">
        <v>0</v>
      </c>
      <c r="E39" s="229">
        <f>SUM(C39:D39)</f>
        <v>0</v>
      </c>
    </row>
    <row r="40" x14ac:dyDescent="0.15">
      <c r="A40" s="196">
        <f t="shared" si="3"/>
        <v>39</v>
      </c>
      <c r="B40" s="196" t="s">
        <v>73</v>
      </c>
      <c r="C40" s="221">
        <v>0</v>
      </c>
      <c r="D40" s="221">
        <v>0</v>
      </c>
      <c r="E40" s="229">
        <v>0</v>
      </c>
    </row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5" ht="15" customHeight="true" x14ac:dyDescent="0.15"/>
    <row r="176" ht="15" customHeight="true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4" sqref="B4"/>
    </sheetView>
  </sheetViews>
  <sheetFormatPr baseColWidth="10" defaultColWidth="8.83203125" defaultRowHeight="13" x14ac:dyDescent="0.15"/>
  <cols>
    <col min="1" max="1" width="8.6640625" bestFit="true" customWidth="true"/>
    <col min="2" max="2" width="34.33203125" bestFit="true" customWidth="true"/>
    <col min="3" max="3" width="18.6640625" style="218" bestFit="true" customWidth="true"/>
    <col min="4" max="4" width="18.5" style="218" bestFit="true" customWidth="true"/>
    <col min="5" max="5" width="11" style="218" bestFit="true" customWidth="true"/>
  </cols>
  <sheetData>
    <row r="1" s="131" customFormat="true" ht="42" x14ac:dyDescent="0.15">
      <c r="A1" s="225" t="s">
        <v>22</v>
      </c>
      <c r="B1" s="226" t="s">
        <v>0</v>
      </c>
      <c r="C1" s="227" t="s">
        <v>222</v>
      </c>
      <c r="D1" s="227" t="s">
        <v>223</v>
      </c>
      <c r="E1" s="228" t="s">
        <v>61</v>
      </c>
    </row>
    <row r="2" x14ac:dyDescent="0.15">
      <c r="A2" s="196">
        <v>1</v>
      </c>
      <c r="B2" t="s">
        <v>182</v>
      </c>
      <c r="C2" s="221">
        <v>0</v>
      </c>
      <c r="D2" s="221">
        <v>0</v>
      </c>
      <c r="E2" s="229">
        <f>SUM(C2:D2)</f>
        <v>0</v>
      </c>
    </row>
    <row r="3" x14ac:dyDescent="0.15">
      <c r="A3" s="196">
        <f>A2+1</f>
        <v>2</v>
      </c>
      <c r="B3" t="s">
        <v>183</v>
      </c>
      <c r="C3" s="221">
        <v>0</v>
      </c>
      <c r="D3" s="221">
        <v>0</v>
      </c>
      <c r="E3" s="229">
        <f t="shared" ref="E3:E36" si="0">SUM(C3:D3)</f>
        <v>0</v>
      </c>
    </row>
    <row r="4" x14ac:dyDescent="0.15">
      <c r="A4" s="196">
        <f t="shared" ref="A4:A34" si="1">A3+1</f>
        <v>3</v>
      </c>
      <c r="B4" t="s">
        <v>226</v>
      </c>
      <c r="C4" s="221">
        <v>0</v>
      </c>
      <c r="D4" s="221">
        <v>0</v>
      </c>
      <c r="E4" s="229">
        <f t="shared" si="0"/>
        <v>0</v>
      </c>
    </row>
    <row r="5" x14ac:dyDescent="0.15">
      <c r="A5" s="196">
        <f t="shared" si="1"/>
        <v>4</v>
      </c>
      <c r="B5" t="s">
        <v>185</v>
      </c>
      <c r="C5" s="221">
        <v>0</v>
      </c>
      <c r="D5" s="221">
        <v>0</v>
      </c>
      <c r="E5" s="229">
        <f t="shared" si="0"/>
        <v>0</v>
      </c>
    </row>
    <row r="6" x14ac:dyDescent="0.15">
      <c r="A6" s="196">
        <f t="shared" si="1"/>
        <v>5</v>
      </c>
      <c r="B6" t="s">
        <v>227</v>
      </c>
      <c r="C6" s="221">
        <v>0</v>
      </c>
      <c r="D6" s="221">
        <v>0</v>
      </c>
      <c r="E6" s="229">
        <f t="shared" si="0"/>
        <v>0</v>
      </c>
    </row>
    <row r="7" x14ac:dyDescent="0.15">
      <c r="A7" s="196">
        <f t="shared" si="1"/>
        <v>6</v>
      </c>
      <c r="B7" t="s">
        <v>187</v>
      </c>
      <c r="C7" s="221">
        <v>0</v>
      </c>
      <c r="D7" s="221">
        <v>0</v>
      </c>
      <c r="E7" s="229">
        <f t="shared" si="0"/>
        <v>0</v>
      </c>
    </row>
    <row r="8" x14ac:dyDescent="0.15">
      <c r="A8" s="196">
        <f t="shared" si="1"/>
        <v>7</v>
      </c>
      <c r="B8" s="202" t="s">
        <v>188</v>
      </c>
      <c r="C8" s="221">
        <v>0</v>
      </c>
      <c r="D8" s="221">
        <v>0</v>
      </c>
      <c r="E8" s="229">
        <f t="shared" si="0"/>
        <v>0</v>
      </c>
    </row>
    <row r="9" x14ac:dyDescent="0.15">
      <c r="A9" s="196">
        <f t="shared" si="1"/>
        <v>8</v>
      </c>
      <c r="B9" t="s">
        <v>190</v>
      </c>
      <c r="C9" s="221">
        <v>0</v>
      </c>
      <c r="D9" s="221">
        <v>0</v>
      </c>
      <c r="E9" s="229">
        <f t="shared" si="0"/>
        <v>0</v>
      </c>
    </row>
    <row r="10" x14ac:dyDescent="0.15">
      <c r="A10" s="196">
        <f t="shared" si="1"/>
        <v>9</v>
      </c>
      <c r="B10" t="s">
        <v>191</v>
      </c>
      <c r="C10" s="221">
        <v>0</v>
      </c>
      <c r="D10" s="221">
        <v>0.17462648325000002</v>
      </c>
      <c r="E10" s="229">
        <f t="shared" si="0"/>
        <v>0.17462648325000002</v>
      </c>
    </row>
    <row r="11" x14ac:dyDescent="0.15">
      <c r="A11" s="196">
        <f t="shared" si="1"/>
        <v>10</v>
      </c>
      <c r="B11" t="s">
        <v>192</v>
      </c>
      <c r="C11" s="221">
        <v>0</v>
      </c>
      <c r="D11" s="221">
        <v>0.69449279549999987</v>
      </c>
      <c r="E11" s="229">
        <f t="shared" si="0"/>
        <v>0.69449279549999987</v>
      </c>
    </row>
    <row r="12" x14ac:dyDescent="0.15">
      <c r="A12" s="196">
        <f t="shared" si="1"/>
        <v>11</v>
      </c>
      <c r="B12" t="s">
        <v>194</v>
      </c>
      <c r="C12" s="221">
        <v>0</v>
      </c>
      <c r="D12" s="221">
        <v>0</v>
      </c>
      <c r="E12" s="229">
        <f t="shared" si="0"/>
        <v>0</v>
      </c>
    </row>
    <row r="13" x14ac:dyDescent="0.15">
      <c r="A13" s="196">
        <f t="shared" si="1"/>
        <v>12</v>
      </c>
      <c r="B13" t="s">
        <v>195</v>
      </c>
      <c r="C13" s="221">
        <v>0</v>
      </c>
      <c r="D13" s="221">
        <v>5.260639650000001E-3</v>
      </c>
      <c r="E13" s="229">
        <f t="shared" si="0"/>
        <v>5.260639650000001E-3</v>
      </c>
    </row>
    <row r="14" x14ac:dyDescent="0.15">
      <c r="A14" s="196">
        <f t="shared" si="1"/>
        <v>13</v>
      </c>
      <c r="B14" t="s">
        <v>196</v>
      </c>
      <c r="C14" s="221">
        <v>1.7693295375000003E-3</v>
      </c>
      <c r="D14" s="221">
        <v>0</v>
      </c>
      <c r="E14" s="229">
        <f t="shared" si="0"/>
        <v>1.7693295375000003E-3</v>
      </c>
    </row>
    <row r="15" x14ac:dyDescent="0.15">
      <c r="A15" s="196">
        <f t="shared" si="1"/>
        <v>14</v>
      </c>
      <c r="B15" t="s">
        <v>197</v>
      </c>
      <c r="C15" s="221">
        <v>0</v>
      </c>
      <c r="D15" s="221">
        <v>0.16745701499999999</v>
      </c>
      <c r="E15" s="229">
        <f t="shared" si="0"/>
        <v>0.16745701499999999</v>
      </c>
    </row>
    <row r="16" x14ac:dyDescent="0.15">
      <c r="A16" s="196">
        <f t="shared" si="1"/>
        <v>15</v>
      </c>
      <c r="B16" t="s">
        <v>198</v>
      </c>
      <c r="C16" s="221">
        <v>0</v>
      </c>
      <c r="D16" s="221">
        <v>5.2349945699999997E-2</v>
      </c>
      <c r="E16" s="229">
        <f t="shared" si="0"/>
        <v>5.2349945699999997E-2</v>
      </c>
    </row>
    <row r="17" x14ac:dyDescent="0.15">
      <c r="A17" s="196">
        <f t="shared" si="1"/>
        <v>16</v>
      </c>
      <c r="B17" t="s">
        <v>199</v>
      </c>
      <c r="C17" s="221">
        <v>0</v>
      </c>
      <c r="D17" s="221">
        <v>2.2260174600000002E-2</v>
      </c>
      <c r="E17" s="229">
        <f t="shared" si="0"/>
        <v>2.2260174600000002E-2</v>
      </c>
    </row>
    <row r="18" x14ac:dyDescent="0.15">
      <c r="A18" s="196">
        <f t="shared" si="1"/>
        <v>17</v>
      </c>
      <c r="B18" t="s">
        <v>200</v>
      </c>
      <c r="C18" s="221">
        <v>0</v>
      </c>
      <c r="D18" s="221">
        <v>3.308116349999999E-2</v>
      </c>
      <c r="E18" s="229">
        <f t="shared" si="0"/>
        <v>3.308116349999999E-2</v>
      </c>
    </row>
    <row r="19" x14ac:dyDescent="0.15">
      <c r="A19" s="196">
        <f t="shared" si="1"/>
        <v>18</v>
      </c>
      <c r="B19" t="s">
        <v>201</v>
      </c>
      <c r="C19" s="221">
        <v>0</v>
      </c>
      <c r="D19" s="221">
        <v>0.13813376640000002</v>
      </c>
      <c r="E19" s="229">
        <f t="shared" si="0"/>
        <v>0.13813376640000002</v>
      </c>
    </row>
    <row r="20" x14ac:dyDescent="0.15">
      <c r="A20" s="196">
        <f t="shared" si="1"/>
        <v>19</v>
      </c>
      <c r="B20" t="s">
        <v>202</v>
      </c>
      <c r="C20" s="221">
        <v>0</v>
      </c>
      <c r="D20" s="221">
        <v>2.2176000000000001E-2</v>
      </c>
      <c r="E20" s="229">
        <f t="shared" si="0"/>
        <v>2.2176000000000001E-2</v>
      </c>
    </row>
    <row r="21" x14ac:dyDescent="0.15">
      <c r="A21" s="196">
        <f t="shared" si="1"/>
        <v>20</v>
      </c>
      <c r="B21" t="s">
        <v>203</v>
      </c>
      <c r="C21" s="221">
        <v>0</v>
      </c>
      <c r="D21" s="221">
        <v>4.6334762879999991E-2</v>
      </c>
      <c r="E21" s="229">
        <f t="shared" si="0"/>
        <v>4.6334762879999991E-2</v>
      </c>
    </row>
    <row r="22" x14ac:dyDescent="0.15">
      <c r="A22" s="196">
        <f t="shared" si="1"/>
        <v>21</v>
      </c>
      <c r="B22" t="s">
        <v>204</v>
      </c>
      <c r="C22" s="221">
        <v>4.0216665500000006E-4</v>
      </c>
      <c r="D22" s="221">
        <v>0</v>
      </c>
      <c r="E22" s="229">
        <f t="shared" si="0"/>
        <v>4.0216665500000006E-4</v>
      </c>
    </row>
    <row r="23" x14ac:dyDescent="0.15">
      <c r="A23" s="196">
        <f t="shared" si="1"/>
        <v>22</v>
      </c>
      <c r="B23" t="s">
        <v>205</v>
      </c>
      <c r="C23" s="221">
        <v>1.9165002999999997E-3</v>
      </c>
      <c r="D23" s="221">
        <v>0</v>
      </c>
      <c r="E23" s="229">
        <f t="shared" si="0"/>
        <v>1.9165002999999997E-3</v>
      </c>
    </row>
    <row r="24" x14ac:dyDescent="0.15">
      <c r="A24" s="196">
        <f t="shared" si="1"/>
        <v>23</v>
      </c>
      <c r="B24" t="s">
        <v>207</v>
      </c>
      <c r="C24" s="221">
        <v>4.0146667000000007E-3</v>
      </c>
      <c r="D24" s="221">
        <v>0</v>
      </c>
      <c r="E24" s="229">
        <f t="shared" si="0"/>
        <v>4.0146667000000007E-3</v>
      </c>
    </row>
    <row r="25" x14ac:dyDescent="0.15">
      <c r="A25" s="196">
        <f t="shared" si="1"/>
        <v>24</v>
      </c>
      <c r="B25" t="s">
        <v>208</v>
      </c>
      <c r="C25" s="221">
        <v>0</v>
      </c>
      <c r="D25" s="221">
        <v>0</v>
      </c>
      <c r="E25" s="229">
        <f t="shared" si="0"/>
        <v>0</v>
      </c>
    </row>
    <row r="26" x14ac:dyDescent="0.15">
      <c r="A26" s="196">
        <f t="shared" si="1"/>
        <v>25</v>
      </c>
      <c r="B26" t="s">
        <v>209</v>
      </c>
      <c r="C26" s="221">
        <v>0</v>
      </c>
      <c r="D26" s="221">
        <v>0</v>
      </c>
      <c r="E26" s="229">
        <f t="shared" si="0"/>
        <v>0</v>
      </c>
    </row>
    <row r="27" x14ac:dyDescent="0.15">
      <c r="A27" s="196">
        <f t="shared" si="1"/>
        <v>26</v>
      </c>
      <c r="B27" t="s">
        <v>210</v>
      </c>
      <c r="C27" s="221">
        <v>1.4821999499999997E-2</v>
      </c>
      <c r="D27" s="221">
        <v>0</v>
      </c>
      <c r="E27" s="229">
        <f t="shared" si="0"/>
        <v>1.4821999499999997E-2</v>
      </c>
    </row>
    <row r="28" x14ac:dyDescent="0.15">
      <c r="A28" s="196">
        <f t="shared" si="1"/>
        <v>27</v>
      </c>
      <c r="B28" t="s">
        <v>211</v>
      </c>
      <c r="C28" s="221">
        <v>6.0746669500000008E-3</v>
      </c>
      <c r="D28" s="221">
        <v>0</v>
      </c>
      <c r="E28" s="229">
        <f t="shared" si="0"/>
        <v>6.0746669500000008E-3</v>
      </c>
    </row>
    <row r="29" x14ac:dyDescent="0.15">
      <c r="A29" s="196">
        <f t="shared" si="1"/>
        <v>28</v>
      </c>
      <c r="B29" t="s">
        <v>212</v>
      </c>
      <c r="C29" s="221">
        <v>0</v>
      </c>
      <c r="D29" s="221">
        <v>0</v>
      </c>
      <c r="E29" s="229">
        <f t="shared" si="0"/>
        <v>0</v>
      </c>
    </row>
    <row r="30" x14ac:dyDescent="0.15">
      <c r="A30" s="196">
        <f t="shared" si="1"/>
        <v>29</v>
      </c>
      <c r="B30" t="s">
        <v>213</v>
      </c>
      <c r="C30" s="221">
        <v>3.3671000000000006E-2</v>
      </c>
      <c r="D30" s="221">
        <v>0</v>
      </c>
      <c r="E30" s="229">
        <f t="shared" si="0"/>
        <v>3.3671000000000006E-2</v>
      </c>
    </row>
    <row r="31" x14ac:dyDescent="0.15">
      <c r="A31" s="196">
        <f t="shared" si="1"/>
        <v>30</v>
      </c>
      <c r="B31" t="s">
        <v>214</v>
      </c>
      <c r="C31" s="221">
        <v>1.42666645E-3</v>
      </c>
      <c r="D31" s="221">
        <v>0</v>
      </c>
      <c r="E31" s="229">
        <f t="shared" si="0"/>
        <v>1.42666645E-3</v>
      </c>
    </row>
    <row r="32" x14ac:dyDescent="0.15">
      <c r="A32" s="196">
        <f t="shared" si="1"/>
        <v>31</v>
      </c>
      <c r="B32" t="s">
        <v>215</v>
      </c>
      <c r="C32" s="221">
        <v>0</v>
      </c>
      <c r="D32" s="221">
        <v>0</v>
      </c>
      <c r="E32" s="229">
        <f t="shared" si="0"/>
        <v>0</v>
      </c>
    </row>
    <row r="33" x14ac:dyDescent="0.15">
      <c r="A33" s="196">
        <f t="shared" si="1"/>
        <v>32</v>
      </c>
      <c r="B33" t="s">
        <v>216</v>
      </c>
      <c r="C33" s="221">
        <v>0</v>
      </c>
      <c r="D33" s="221">
        <v>0</v>
      </c>
      <c r="E33" s="229">
        <f t="shared" si="0"/>
        <v>0</v>
      </c>
    </row>
    <row r="34" x14ac:dyDescent="0.15">
      <c r="A34" s="196">
        <f t="shared" si="1"/>
        <v>33</v>
      </c>
      <c r="B34" t="s">
        <v>217</v>
      </c>
      <c r="C34" s="221">
        <v>0</v>
      </c>
      <c r="D34" s="221">
        <v>0</v>
      </c>
      <c r="E34" s="229">
        <f t="shared" si="0"/>
        <v>0</v>
      </c>
    </row>
    <row r="35" x14ac:dyDescent="0.15">
      <c r="A35" s="196">
        <v>34</v>
      </c>
      <c r="B35" s="202" t="s">
        <v>218</v>
      </c>
      <c r="C35" s="221">
        <v>0</v>
      </c>
      <c r="D35" s="221">
        <v>0</v>
      </c>
      <c r="E35" s="229">
        <f t="shared" si="0"/>
        <v>0</v>
      </c>
    </row>
    <row r="36" x14ac:dyDescent="0.15">
      <c r="A36" s="196">
        <v>35</v>
      </c>
      <c r="B36" s="202" t="s">
        <v>219</v>
      </c>
      <c r="C36" s="221">
        <v>0</v>
      </c>
      <c r="D36" s="221">
        <v>0</v>
      </c>
      <c r="E36" s="229">
        <f t="shared" si="0"/>
        <v>0</v>
      </c>
    </row>
    <row r="37" x14ac:dyDescent="0.15">
      <c r="A37" s="196">
        <v>36</v>
      </c>
      <c r="B37" t="s">
        <v>221</v>
      </c>
      <c r="C37" s="221">
        <v>0</v>
      </c>
      <c r="D37" s="221">
        <v>0</v>
      </c>
      <c r="E37" s="229">
        <f>SUM(C37:D37)</f>
        <v>0</v>
      </c>
    </row>
    <row r="38" x14ac:dyDescent="0.15">
      <c r="A38" s="196">
        <v>37</v>
      </c>
      <c r="B38" t="s">
        <v>71</v>
      </c>
      <c r="C38" s="221">
        <v>0</v>
      </c>
      <c r="D38" s="221">
        <v>0</v>
      </c>
      <c r="E38" s="229">
        <f>SUM(C38:D38)</f>
        <v>0</v>
      </c>
    </row>
    <row r="39" x14ac:dyDescent="0.15">
      <c r="A39" s="196">
        <v>38</v>
      </c>
      <c r="B39" t="s">
        <v>72</v>
      </c>
      <c r="C39" s="221">
        <v>0</v>
      </c>
      <c r="D39" s="221">
        <v>0</v>
      </c>
      <c r="E39" s="229">
        <f>SUM(C39:D39)</f>
        <v>0</v>
      </c>
    </row>
    <row r="40" x14ac:dyDescent="0.15">
      <c r="A40" s="196">
        <v>39</v>
      </c>
      <c r="B40" s="196" t="s">
        <v>73</v>
      </c>
      <c r="C40" s="221">
        <v>0</v>
      </c>
      <c r="D40" s="221">
        <v>0</v>
      </c>
      <c r="E40" s="229">
        <f>SUM(C40:D40)</f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7"/>
  <sheetViews>
    <sheetView workbookViewId="0">
      <selection activeCell="B16" sqref="B16"/>
    </sheetView>
  </sheetViews>
  <sheetFormatPr baseColWidth="10" defaultColWidth="11.5" defaultRowHeight="13" x14ac:dyDescent="0.15"/>
  <cols>
    <col min="1" max="1" width="17.33203125" bestFit="true" customWidth="true"/>
    <col min="5" max="5" width="39.83203125" bestFit="true" customWidth="true"/>
    <col min="6" max="6" width="10.5" customWidth="true"/>
    <col min="7" max="7" width="8.6640625" bestFit="true" customWidth="true"/>
    <col min="8" max="8" width="8.83203125" bestFit="true" customWidth="true"/>
    <col min="9" max="9" width="8.83203125" style="145" bestFit="true" customWidth="true"/>
    <col min="10" max="10" width="8.6640625" style="145" bestFit="true" customWidth="true"/>
    <col min="11" max="11" width="14.6640625" customWidth="true"/>
    <col min="12" max="12" width="16.33203125" customWidth="true"/>
    <col min="13" max="13" width="13.83203125" bestFit="true" customWidth="true"/>
    <col min="14" max="14" width="13.6640625" bestFit="true" customWidth="true"/>
    <col min="15" max="15" width="13.5" bestFit="true" customWidth="true"/>
    <col min="16" max="16" width="12.83203125" bestFit="true" customWidth="true"/>
    <col min="17" max="17" width="14" bestFit="true" customWidth="true"/>
    <col min="18" max="19" width="14.1640625" bestFit="true" customWidth="true"/>
    <col min="20" max="20" width="14" bestFit="true" customWidth="true"/>
    <col min="21" max="21" width="8.6640625" bestFit="true" customWidth="true"/>
    <col min="22" max="22" width="8.83203125" bestFit="true" customWidth="true"/>
    <col min="23" max="23" width="14" bestFit="true" customWidth="true"/>
    <col min="24" max="24" width="21.33203125" style="3" bestFit="true" customWidth="true"/>
    <col min="25" max="25" width="13.6640625" bestFit="true" customWidth="true"/>
    <col min="26" max="26" width="13.83203125" bestFit="true" customWidth="true"/>
    <col min="27" max="27" width="19" bestFit="true" customWidth="true"/>
    <col min="28" max="28" width="26.33203125" style="3" bestFit="true" customWidth="true"/>
    <col min="29" max="29" width="14.1640625" bestFit="true" customWidth="true"/>
    <col min="30" max="30" width="14.33203125" bestFit="true" customWidth="true"/>
    <col min="31" max="31" width="19.5" bestFit="true" customWidth="true"/>
    <col min="32" max="32" width="26.83203125" style="3" bestFit="true" customWidth="true"/>
    <col min="33" max="33" width="24" bestFit="true" customWidth="true"/>
    <col min="34" max="34" width="30" bestFit="true" customWidth="true"/>
    <col min="35" max="35" width="19.1640625" bestFit="true" customWidth="true"/>
    <col min="36" max="36" width="25.5" bestFit="true" customWidth="true"/>
    <col min="37" max="37" width="31.5" bestFit="true" customWidth="true"/>
    <col min="38" max="38" width="20.6640625" bestFit="true" customWidth="true"/>
    <col min="39" max="39" width="25" bestFit="true" customWidth="true"/>
    <col min="40" max="40" width="31" bestFit="true" customWidth="true"/>
    <col min="41" max="41" width="20.1640625" bestFit="true" customWidth="true"/>
  </cols>
  <sheetData>
    <row r="1" s="134" customFormat="true" ht="14" thickBot="true" x14ac:dyDescent="0.2">
      <c r="D1" s="135" t="s">
        <v>8</v>
      </c>
      <c r="E1" s="135" t="s">
        <v>0</v>
      </c>
      <c r="F1" s="136" t="s">
        <v>100</v>
      </c>
      <c r="G1" s="137" t="s">
        <v>85</v>
      </c>
      <c r="H1" s="137" t="s">
        <v>86</v>
      </c>
      <c r="I1" s="137" t="s">
        <v>87</v>
      </c>
      <c r="J1" s="137" t="s">
        <v>88</v>
      </c>
      <c r="K1" s="137" t="s">
        <v>89</v>
      </c>
      <c r="L1" s="138" t="s">
        <v>90</v>
      </c>
      <c r="M1" s="138" t="s">
        <v>94</v>
      </c>
      <c r="N1" s="138" t="s">
        <v>93</v>
      </c>
      <c r="O1" s="138" t="s">
        <v>91</v>
      </c>
      <c r="P1" s="138" t="s">
        <v>92</v>
      </c>
      <c r="Q1" s="139" t="s">
        <v>95</v>
      </c>
      <c r="R1" s="139" t="s">
        <v>96</v>
      </c>
      <c r="S1" s="139" t="s">
        <v>97</v>
      </c>
      <c r="T1" s="139" t="s">
        <v>98</v>
      </c>
      <c r="U1" s="139" t="s">
        <v>99</v>
      </c>
      <c r="V1" s="137" t="s">
        <v>101</v>
      </c>
      <c r="W1" s="137" t="s">
        <v>102</v>
      </c>
      <c r="X1" s="137" t="s">
        <v>103</v>
      </c>
      <c r="Y1" s="137" t="s">
        <v>135</v>
      </c>
      <c r="Z1" s="138" t="s">
        <v>104</v>
      </c>
      <c r="AA1" s="138" t="s">
        <v>105</v>
      </c>
      <c r="AB1" s="138" t="s">
        <v>106</v>
      </c>
      <c r="AC1" s="140" t="s">
        <v>136</v>
      </c>
      <c r="AD1" s="139" t="s">
        <v>107</v>
      </c>
      <c r="AE1" s="139" t="s">
        <v>108</v>
      </c>
      <c r="AF1" s="139" t="s">
        <v>109</v>
      </c>
      <c r="AG1" s="139" t="s">
        <v>137</v>
      </c>
      <c r="AH1" s="137" t="s">
        <v>110</v>
      </c>
      <c r="AI1" s="137" t="s">
        <v>112</v>
      </c>
      <c r="AJ1" s="137" t="s">
        <v>111</v>
      </c>
      <c r="AK1" s="138" t="s">
        <v>116</v>
      </c>
      <c r="AL1" s="138" t="s">
        <v>117</v>
      </c>
      <c r="AM1" s="138" t="s">
        <v>118</v>
      </c>
      <c r="AN1" s="139" t="s">
        <v>113</v>
      </c>
      <c r="AO1" s="139" t="s">
        <v>114</v>
      </c>
      <c r="AP1" s="139" t="s">
        <v>115</v>
      </c>
    </row>
    <row r="2" ht="15" x14ac:dyDescent="0.2">
      <c r="A2" s="141" t="s">
        <v>75</v>
      </c>
      <c r="B2" s="142">
        <v>1</v>
      </c>
      <c r="D2">
        <v>1</v>
      </c>
      <c r="E2" t="s">
        <v>182</v>
      </c>
      <c r="F2" s="231">
        <v>0.995</v>
      </c>
      <c r="G2" s="35">
        <v>0.3</v>
      </c>
      <c r="H2" s="232">
        <v>0.5</v>
      </c>
      <c r="I2" s="232">
        <v>0.5</v>
      </c>
      <c r="J2" s="233">
        <v>0.70710678118654746</v>
      </c>
      <c r="K2" s="234">
        <v>0</v>
      </c>
      <c r="X2"/>
      <c r="Y2" s="3"/>
      <c r="AB2"/>
      <c r="AC2" s="3"/>
      <c r="AF2"/>
      <c r="AG2" s="3"/>
    </row>
    <row r="3" ht="15" x14ac:dyDescent="0.2">
      <c r="A3" s="141" t="s">
        <v>76</v>
      </c>
      <c r="B3" s="143">
        <v>1</v>
      </c>
      <c r="D3">
        <v>2</v>
      </c>
      <c r="E3" t="s">
        <v>183</v>
      </c>
      <c r="F3" s="231">
        <v>0.995</v>
      </c>
      <c r="G3" s="35">
        <v>0.3</v>
      </c>
      <c r="H3" s="232">
        <v>0.5</v>
      </c>
      <c r="I3" s="232">
        <v>0.5</v>
      </c>
      <c r="J3" s="233">
        <v>0.70710678118654746</v>
      </c>
      <c r="K3" s="234">
        <v>0</v>
      </c>
      <c r="X3"/>
      <c r="Y3" s="3"/>
      <c r="AB3"/>
      <c r="AC3" s="3"/>
      <c r="AF3"/>
      <c r="AG3" s="3"/>
    </row>
    <row r="4" ht="15" x14ac:dyDescent="0.2">
      <c r="A4" s="141" t="s">
        <v>77</v>
      </c>
      <c r="B4" s="143">
        <v>1</v>
      </c>
      <c r="D4">
        <v>3</v>
      </c>
      <c r="E4" t="s">
        <v>226</v>
      </c>
      <c r="F4" s="231">
        <v>0.995</v>
      </c>
      <c r="G4" s="232">
        <v>0.8</v>
      </c>
      <c r="H4" s="232">
        <v>0.4</v>
      </c>
      <c r="I4" s="232">
        <v>0.4</v>
      </c>
      <c r="J4" s="233">
        <v>0.56568542494923812</v>
      </c>
      <c r="K4" s="235">
        <v>0.2</v>
      </c>
      <c r="X4"/>
      <c r="Y4" s="3"/>
      <c r="AB4"/>
      <c r="AC4" s="3"/>
      <c r="AF4"/>
      <c r="AG4" s="3"/>
    </row>
    <row r="5" ht="15" x14ac:dyDescent="0.2">
      <c r="A5" s="141" t="s">
        <v>78</v>
      </c>
      <c r="B5" s="143">
        <v>1</v>
      </c>
      <c r="D5">
        <v>4</v>
      </c>
      <c r="E5" t="s">
        <v>185</v>
      </c>
      <c r="F5" s="231">
        <v>0.995</v>
      </c>
      <c r="G5" s="35">
        <v>0.3</v>
      </c>
      <c r="H5" s="232">
        <v>0.4</v>
      </c>
      <c r="I5" s="232">
        <v>0.4</v>
      </c>
      <c r="J5" s="233">
        <v>0.56568542494923801</v>
      </c>
      <c r="K5" s="235">
        <v>0.2</v>
      </c>
      <c r="X5"/>
      <c r="Y5" s="3"/>
      <c r="AB5"/>
      <c r="AC5" s="3"/>
      <c r="AF5"/>
      <c r="AG5" s="3"/>
    </row>
    <row r="6" ht="15" x14ac:dyDescent="0.2">
      <c r="A6" s="141" t="s">
        <v>79</v>
      </c>
      <c r="B6" s="143">
        <v>0</v>
      </c>
      <c r="D6">
        <v>5</v>
      </c>
      <c r="E6" t="s">
        <v>227</v>
      </c>
      <c r="F6" s="231">
        <v>0.995</v>
      </c>
      <c r="G6" s="35">
        <v>0.3</v>
      </c>
      <c r="H6" s="232">
        <v>0.4</v>
      </c>
      <c r="I6" s="232">
        <v>0.4</v>
      </c>
      <c r="J6" s="233">
        <v>0.56568542494923801</v>
      </c>
      <c r="K6" s="235">
        <v>0.2</v>
      </c>
      <c r="X6"/>
      <c r="Y6" s="3"/>
      <c r="AB6"/>
      <c r="AC6" s="3"/>
      <c r="AF6"/>
      <c r="AG6" s="3"/>
    </row>
    <row r="7" ht="15" x14ac:dyDescent="0.2">
      <c r="A7" s="141" t="s">
        <v>80</v>
      </c>
      <c r="B7" s="143">
        <v>0</v>
      </c>
      <c r="D7">
        <v>6</v>
      </c>
      <c r="E7" t="s">
        <v>187</v>
      </c>
      <c r="F7" s="231">
        <v>0.995</v>
      </c>
      <c r="G7" s="232">
        <v>0.8</v>
      </c>
      <c r="H7" s="232">
        <v>0.6</v>
      </c>
      <c r="I7" s="232">
        <v>0.4</v>
      </c>
      <c r="J7" s="233">
        <v>0.7211102550927978</v>
      </c>
      <c r="K7" s="235">
        <v>0.2</v>
      </c>
      <c r="X7"/>
      <c r="Y7" s="3"/>
      <c r="AB7"/>
      <c r="AC7" s="3"/>
      <c r="AF7"/>
      <c r="AG7" s="3"/>
    </row>
    <row r="8" ht="15" x14ac:dyDescent="0.2">
      <c r="A8" s="141" t="s">
        <v>81</v>
      </c>
      <c r="B8" s="143">
        <v>1</v>
      </c>
      <c r="D8">
        <v>7</v>
      </c>
      <c r="E8" s="202" t="s">
        <v>188</v>
      </c>
      <c r="F8" s="231">
        <v>0.995</v>
      </c>
      <c r="G8" s="232">
        <v>0.15</v>
      </c>
      <c r="H8" s="236">
        <v>0.5</v>
      </c>
      <c r="I8" s="236">
        <v>0.5</v>
      </c>
      <c r="J8" s="233">
        <v>0.70710678118654757</v>
      </c>
      <c r="K8" s="235">
        <v>0.2</v>
      </c>
      <c r="X8"/>
      <c r="Y8" s="3"/>
      <c r="AB8"/>
      <c r="AC8" s="3"/>
      <c r="AF8"/>
      <c r="AG8" s="3"/>
    </row>
    <row r="9" ht="15" x14ac:dyDescent="0.2">
      <c r="A9" s="141" t="s">
        <v>82</v>
      </c>
      <c r="B9" s="143">
        <v>0.1</v>
      </c>
      <c r="C9" s="132" t="s">
        <v>151</v>
      </c>
      <c r="D9">
        <v>8</v>
      </c>
      <c r="E9" t="s">
        <v>190</v>
      </c>
      <c r="F9" s="231">
        <v>0.995</v>
      </c>
      <c r="G9" s="35">
        <v>0.3</v>
      </c>
      <c r="H9" s="232">
        <v>0.6</v>
      </c>
      <c r="I9" s="232">
        <v>0.4</v>
      </c>
      <c r="J9" s="233">
        <v>0.72111025509279791</v>
      </c>
      <c r="K9" s="235">
        <v>0.2</v>
      </c>
      <c r="X9"/>
      <c r="Y9" s="3"/>
      <c r="AB9"/>
      <c r="AC9" s="3"/>
      <c r="AF9"/>
      <c r="AG9" s="3"/>
    </row>
    <row r="10" ht="16" thickBot="true" x14ac:dyDescent="0.25">
      <c r="A10" s="141" t="s">
        <v>150</v>
      </c>
      <c r="B10" s="144">
        <f>1/3</f>
        <v>0.33333333333333331</v>
      </c>
      <c r="C10" s="132" t="s">
        <v>151</v>
      </c>
      <c r="D10">
        <v>9</v>
      </c>
      <c r="E10" t="s">
        <v>191</v>
      </c>
      <c r="F10" s="231">
        <v>0.995</v>
      </c>
      <c r="G10" s="232">
        <v>0.5</v>
      </c>
      <c r="H10" s="232">
        <v>0.1</v>
      </c>
      <c r="I10" s="232">
        <v>0.4</v>
      </c>
      <c r="J10" s="233">
        <v>0.41231056256176607</v>
      </c>
      <c r="K10" s="235">
        <v>0.2</v>
      </c>
      <c r="X10"/>
      <c r="Y10" s="3"/>
      <c r="AB10"/>
      <c r="AC10" s="3"/>
      <c r="AF10"/>
      <c r="AG10" s="3"/>
    </row>
    <row r="11" ht="15" x14ac:dyDescent="0.2">
      <c r="D11">
        <v>10</v>
      </c>
      <c r="E11" t="s">
        <v>192</v>
      </c>
      <c r="F11" s="231">
        <v>0.995</v>
      </c>
      <c r="G11" s="232">
        <v>0.5</v>
      </c>
      <c r="H11" s="232">
        <v>0.1</v>
      </c>
      <c r="I11" s="232">
        <v>0.4</v>
      </c>
      <c r="J11" s="233">
        <v>0.41231056256176601</v>
      </c>
      <c r="K11" s="235">
        <v>0.2</v>
      </c>
      <c r="X11"/>
      <c r="Y11" s="3"/>
      <c r="AB11"/>
      <c r="AC11" s="3"/>
      <c r="AF11"/>
      <c r="AG11" s="3"/>
    </row>
    <row r="12" ht="15" x14ac:dyDescent="0.2">
      <c r="D12">
        <v>11</v>
      </c>
      <c r="E12" t="s">
        <v>194</v>
      </c>
      <c r="F12" s="231">
        <v>0.995</v>
      </c>
      <c r="G12" s="232">
        <v>0.5</v>
      </c>
      <c r="H12" s="232">
        <v>0.7</v>
      </c>
      <c r="I12" s="232">
        <v>0.4</v>
      </c>
      <c r="J12" s="233">
        <v>0.80622577482985502</v>
      </c>
      <c r="K12" s="235">
        <v>0.2</v>
      </c>
      <c r="X12"/>
      <c r="Y12" s="3"/>
      <c r="AB12"/>
      <c r="AC12" s="3"/>
      <c r="AF12"/>
      <c r="AG12" s="3"/>
    </row>
    <row r="13" ht="15" x14ac:dyDescent="0.2">
      <c r="D13">
        <v>12</v>
      </c>
      <c r="E13" t="s">
        <v>195</v>
      </c>
      <c r="F13" s="231">
        <v>0.995</v>
      </c>
      <c r="G13" s="232">
        <v>0.5</v>
      </c>
      <c r="H13" s="232">
        <v>0.1</v>
      </c>
      <c r="I13" s="232">
        <v>0.4</v>
      </c>
      <c r="J13" s="233">
        <v>0.41231056256176613</v>
      </c>
      <c r="K13" s="235">
        <v>0.2</v>
      </c>
      <c r="X13"/>
      <c r="Y13" s="3"/>
      <c r="AB13"/>
      <c r="AC13" s="3"/>
      <c r="AF13"/>
      <c r="AG13" s="3"/>
    </row>
    <row r="14" ht="15" x14ac:dyDescent="0.2">
      <c r="D14">
        <v>13</v>
      </c>
      <c r="E14" t="s">
        <v>196</v>
      </c>
      <c r="F14" s="231">
        <v>0.995</v>
      </c>
      <c r="G14" s="232">
        <v>0.5</v>
      </c>
      <c r="H14" s="232">
        <v>0.3</v>
      </c>
      <c r="I14" s="232">
        <v>0.4</v>
      </c>
      <c r="J14" s="233">
        <v>0.5</v>
      </c>
      <c r="K14" s="235">
        <v>0.2</v>
      </c>
      <c r="X14"/>
      <c r="Y14" s="3"/>
      <c r="AB14"/>
      <c r="AC14" s="3"/>
      <c r="AF14"/>
      <c r="AG14" s="3"/>
    </row>
    <row r="15" ht="15" x14ac:dyDescent="0.2">
      <c r="D15">
        <v>14</v>
      </c>
      <c r="E15" t="s">
        <v>197</v>
      </c>
      <c r="F15" s="231">
        <v>0.995</v>
      </c>
      <c r="G15" s="232">
        <v>0.8</v>
      </c>
      <c r="H15" s="232">
        <v>0.3</v>
      </c>
      <c r="I15" s="232">
        <v>0.4</v>
      </c>
      <c r="J15" s="233">
        <v>0.5</v>
      </c>
      <c r="K15" s="235">
        <v>0.2</v>
      </c>
      <c r="X15"/>
      <c r="Y15" s="3"/>
      <c r="AB15"/>
      <c r="AC15" s="3"/>
      <c r="AF15"/>
      <c r="AG15" s="3"/>
    </row>
    <row r="16" ht="15" x14ac:dyDescent="0.2">
      <c r="D16">
        <v>15</v>
      </c>
      <c r="E16" t="s">
        <v>198</v>
      </c>
      <c r="F16" s="231">
        <v>0.995</v>
      </c>
      <c r="G16" s="232">
        <v>0.1</v>
      </c>
      <c r="H16" s="232">
        <v>0.3</v>
      </c>
      <c r="I16" s="232">
        <v>0.4</v>
      </c>
      <c r="J16" s="233">
        <v>0.5</v>
      </c>
      <c r="K16" s="235">
        <v>0.2</v>
      </c>
      <c r="X16"/>
      <c r="Y16" s="3"/>
      <c r="AB16"/>
      <c r="AC16" s="3"/>
      <c r="AF16"/>
      <c r="AG16" s="3"/>
    </row>
    <row r="17" ht="15" x14ac:dyDescent="0.2">
      <c r="D17">
        <v>16</v>
      </c>
      <c r="E17" t="s">
        <v>229</v>
      </c>
      <c r="F17" s="231">
        <v>0.995</v>
      </c>
      <c r="G17" s="232">
        <v>0.1</v>
      </c>
      <c r="H17" s="232">
        <v>0.3</v>
      </c>
      <c r="I17" s="232">
        <v>0.1</v>
      </c>
      <c r="J17" s="233">
        <v>0.31622776601683794</v>
      </c>
      <c r="K17" s="235">
        <v>0.2</v>
      </c>
      <c r="X17"/>
      <c r="Y17" s="3"/>
      <c r="AB17"/>
      <c r="AC17" s="3"/>
      <c r="AF17"/>
      <c r="AG17" s="3"/>
    </row>
    <row r="18" ht="15" x14ac:dyDescent="0.2">
      <c r="D18">
        <v>17</v>
      </c>
      <c r="E18" t="s">
        <v>200</v>
      </c>
      <c r="F18" s="231">
        <v>0.995</v>
      </c>
      <c r="G18" s="232">
        <v>0.1</v>
      </c>
      <c r="H18" s="232">
        <v>0.3</v>
      </c>
      <c r="I18" s="232">
        <v>0.4</v>
      </c>
      <c r="J18" s="233">
        <v>0.49999999999999994</v>
      </c>
      <c r="K18" s="235">
        <v>0.2</v>
      </c>
      <c r="X18"/>
      <c r="Y18" s="3"/>
      <c r="AB18"/>
      <c r="AC18" s="3"/>
      <c r="AF18"/>
      <c r="AG18" s="3"/>
    </row>
    <row r="19" ht="15" x14ac:dyDescent="0.2">
      <c r="D19">
        <v>18</v>
      </c>
      <c r="E19" t="s">
        <v>201</v>
      </c>
      <c r="F19" s="231">
        <v>0.995</v>
      </c>
      <c r="G19" s="232">
        <v>0.1</v>
      </c>
      <c r="H19" s="232">
        <v>0.1</v>
      </c>
      <c r="I19" s="232">
        <v>0.4</v>
      </c>
      <c r="J19" s="233">
        <v>0.41231056256176607</v>
      </c>
      <c r="K19" s="235">
        <v>0.2</v>
      </c>
      <c r="X19"/>
      <c r="Y19" s="3"/>
      <c r="AB19"/>
      <c r="AC19" s="3"/>
      <c r="AF19"/>
      <c r="AG19" s="3"/>
    </row>
    <row r="20" ht="15" x14ac:dyDescent="0.2">
      <c r="D20">
        <v>19</v>
      </c>
      <c r="E20" t="s">
        <v>202</v>
      </c>
      <c r="F20" s="231">
        <v>0.995</v>
      </c>
      <c r="G20" s="232">
        <v>0.1</v>
      </c>
      <c r="H20" s="232">
        <v>0.1</v>
      </c>
      <c r="I20" s="232">
        <v>0.4</v>
      </c>
      <c r="J20" s="233">
        <v>0.41231056256176601</v>
      </c>
      <c r="K20" s="235">
        <v>0.2</v>
      </c>
      <c r="X20"/>
      <c r="Y20" s="3"/>
      <c r="AB20"/>
      <c r="AC20" s="3"/>
      <c r="AF20"/>
      <c r="AG20" s="3"/>
    </row>
    <row r="21" ht="15" x14ac:dyDescent="0.2">
      <c r="D21">
        <v>20</v>
      </c>
      <c r="E21" t="s">
        <v>203</v>
      </c>
      <c r="F21" s="231">
        <v>0.995</v>
      </c>
      <c r="G21" s="232">
        <v>0.1</v>
      </c>
      <c r="H21" s="232">
        <v>0.1</v>
      </c>
      <c r="I21" s="232">
        <v>0.4</v>
      </c>
      <c r="J21" s="233">
        <v>0.41231056256176613</v>
      </c>
      <c r="K21" s="235">
        <v>0.2</v>
      </c>
      <c r="X21"/>
      <c r="Y21" s="3"/>
      <c r="AB21"/>
      <c r="AC21" s="3"/>
      <c r="AF21"/>
      <c r="AG21" s="3"/>
    </row>
    <row r="22" ht="15" x14ac:dyDescent="0.2">
      <c r="D22">
        <v>21</v>
      </c>
      <c r="E22" t="s">
        <v>204</v>
      </c>
      <c r="F22" s="231">
        <v>0.995</v>
      </c>
      <c r="G22" s="232">
        <v>0.5</v>
      </c>
      <c r="H22" s="232">
        <v>0.2</v>
      </c>
      <c r="I22" s="232">
        <v>0.4</v>
      </c>
      <c r="J22" s="233">
        <v>0.44721359549995793</v>
      </c>
      <c r="K22" s="235">
        <v>0.2</v>
      </c>
      <c r="X22"/>
      <c r="Y22" s="3"/>
      <c r="AB22"/>
      <c r="AC22" s="3"/>
      <c r="AF22"/>
      <c r="AG22" s="3"/>
    </row>
    <row r="23" ht="15" x14ac:dyDescent="0.2">
      <c r="D23">
        <v>22</v>
      </c>
      <c r="E23" t="s">
        <v>205</v>
      </c>
      <c r="F23" s="231">
        <v>0.995</v>
      </c>
      <c r="G23" s="232">
        <v>0.5</v>
      </c>
      <c r="H23" s="232">
        <v>0.6</v>
      </c>
      <c r="I23" s="232">
        <v>0.4</v>
      </c>
      <c r="J23" s="233">
        <v>0.72111025509279791</v>
      </c>
      <c r="K23" s="235">
        <v>0.2</v>
      </c>
      <c r="X23"/>
      <c r="Y23" s="3"/>
      <c r="AB23"/>
      <c r="AC23" s="3"/>
      <c r="AF23"/>
      <c r="AG23" s="3"/>
    </row>
    <row r="24" ht="15" x14ac:dyDescent="0.2">
      <c r="D24">
        <v>23</v>
      </c>
      <c r="E24" t="s">
        <v>207</v>
      </c>
      <c r="F24" s="231">
        <v>0.995</v>
      </c>
      <c r="G24" s="232">
        <v>0.5</v>
      </c>
      <c r="H24" s="232">
        <v>0.6</v>
      </c>
      <c r="I24" s="232">
        <v>0.4</v>
      </c>
      <c r="J24" s="233">
        <v>0.72111025509279802</v>
      </c>
      <c r="K24" s="235">
        <v>0.2</v>
      </c>
      <c r="X24"/>
      <c r="Y24" s="3"/>
      <c r="AB24"/>
      <c r="AC24" s="3"/>
      <c r="AF24"/>
      <c r="AG24" s="3"/>
    </row>
    <row r="25" ht="15" x14ac:dyDescent="0.2">
      <c r="D25">
        <v>24</v>
      </c>
      <c r="E25" t="s">
        <v>208</v>
      </c>
      <c r="F25" s="231">
        <v>0.995</v>
      </c>
      <c r="G25" s="232">
        <v>0.5</v>
      </c>
      <c r="H25" s="232">
        <v>0.6</v>
      </c>
      <c r="I25" s="232">
        <v>0.4</v>
      </c>
      <c r="J25" s="233">
        <v>0.72111025509279791</v>
      </c>
      <c r="K25" s="235">
        <v>0.2</v>
      </c>
      <c r="V25" s="198"/>
      <c r="W25" s="198"/>
      <c r="X25"/>
      <c r="AB25"/>
      <c r="AF25"/>
    </row>
    <row r="26" ht="15" x14ac:dyDescent="0.2">
      <c r="D26">
        <v>25</v>
      </c>
      <c r="E26" t="s">
        <v>209</v>
      </c>
      <c r="F26" s="231">
        <v>0.995</v>
      </c>
      <c r="G26" s="232">
        <v>0.5</v>
      </c>
      <c r="H26" s="232">
        <v>0.4</v>
      </c>
      <c r="I26" s="232">
        <v>0.4</v>
      </c>
      <c r="J26" s="233">
        <v>0.56568542494923801</v>
      </c>
      <c r="K26" s="235">
        <v>0.2</v>
      </c>
      <c r="V26" s="198"/>
      <c r="W26" s="198"/>
      <c r="X26"/>
      <c r="AB26"/>
      <c r="AF26"/>
    </row>
    <row r="27" ht="15" x14ac:dyDescent="0.2">
      <c r="D27">
        <v>26</v>
      </c>
      <c r="E27" t="s">
        <v>210</v>
      </c>
      <c r="F27" s="231">
        <v>0.995</v>
      </c>
      <c r="G27" s="232">
        <v>0.5</v>
      </c>
      <c r="H27" s="232">
        <v>0.2</v>
      </c>
      <c r="I27" s="232">
        <v>0.4</v>
      </c>
      <c r="J27" s="233">
        <v>0.44721359549995793</v>
      </c>
      <c r="K27" s="235">
        <v>0.2</v>
      </c>
      <c r="X27"/>
      <c r="AB27"/>
      <c r="AF27"/>
    </row>
    <row r="28" ht="15" x14ac:dyDescent="0.2">
      <c r="D28">
        <v>27</v>
      </c>
      <c r="E28" t="s">
        <v>211</v>
      </c>
      <c r="F28" s="231">
        <v>0.995</v>
      </c>
      <c r="G28" s="35">
        <v>0.3</v>
      </c>
      <c r="H28" s="232">
        <v>0.2</v>
      </c>
      <c r="I28" s="232">
        <v>0.4</v>
      </c>
      <c r="J28" s="233">
        <v>0.44721359549995798</v>
      </c>
      <c r="K28" s="235">
        <v>0.2</v>
      </c>
      <c r="X28"/>
      <c r="AB28"/>
      <c r="AF28"/>
    </row>
    <row r="29" ht="15" x14ac:dyDescent="0.2">
      <c r="D29">
        <v>28</v>
      </c>
      <c r="E29" t="s">
        <v>212</v>
      </c>
      <c r="F29" s="231">
        <v>0.995</v>
      </c>
      <c r="G29" s="35">
        <v>0.3</v>
      </c>
      <c r="H29" s="232">
        <v>0.2</v>
      </c>
      <c r="I29" s="232">
        <v>0.4</v>
      </c>
      <c r="J29" s="233">
        <v>0.44721359549995798</v>
      </c>
      <c r="K29" s="235">
        <v>0.2</v>
      </c>
      <c r="X29"/>
      <c r="AB29"/>
      <c r="AF29"/>
    </row>
    <row r="30" ht="15" x14ac:dyDescent="0.2">
      <c r="D30">
        <v>29</v>
      </c>
      <c r="E30" t="s">
        <v>213</v>
      </c>
      <c r="F30" s="231">
        <v>0.995</v>
      </c>
      <c r="G30" s="232">
        <v>0.5</v>
      </c>
      <c r="H30" s="232">
        <v>0.7</v>
      </c>
      <c r="I30" s="232">
        <v>0.4</v>
      </c>
      <c r="J30" s="233">
        <v>0.80622577482985491</v>
      </c>
      <c r="K30" s="235">
        <v>0.2</v>
      </c>
      <c r="X30"/>
      <c r="AB30"/>
      <c r="AF30"/>
    </row>
    <row r="31" ht="15" x14ac:dyDescent="0.2">
      <c r="D31">
        <v>30</v>
      </c>
      <c r="E31" t="s">
        <v>214</v>
      </c>
      <c r="F31" s="231">
        <v>0.995</v>
      </c>
      <c r="G31" s="232">
        <v>0.8</v>
      </c>
      <c r="H31" s="232">
        <v>0.5</v>
      </c>
      <c r="I31" s="232">
        <v>0.4</v>
      </c>
      <c r="J31" s="233">
        <v>0.6403124237432849</v>
      </c>
      <c r="K31" s="235">
        <v>0.2</v>
      </c>
      <c r="X31"/>
      <c r="AB31"/>
      <c r="AF31"/>
    </row>
    <row r="32" ht="15" x14ac:dyDescent="0.2">
      <c r="D32">
        <v>31</v>
      </c>
      <c r="E32" t="s">
        <v>215</v>
      </c>
      <c r="F32" s="231">
        <v>0.995</v>
      </c>
      <c r="G32" s="232">
        <v>0.1</v>
      </c>
      <c r="H32" s="232">
        <v>0.1</v>
      </c>
      <c r="I32" s="232">
        <v>0.4</v>
      </c>
      <c r="J32" s="233">
        <v>0.41231056256176618</v>
      </c>
      <c r="K32" s="235">
        <v>0.2</v>
      </c>
      <c r="X32"/>
      <c r="AB32"/>
      <c r="AF32"/>
    </row>
    <row r="33" ht="15" x14ac:dyDescent="0.2">
      <c r="D33">
        <v>32</v>
      </c>
      <c r="E33" t="s">
        <v>216</v>
      </c>
      <c r="F33" s="231">
        <v>0.995</v>
      </c>
      <c r="G33" s="232">
        <v>0.1</v>
      </c>
      <c r="H33" s="232">
        <v>0.1</v>
      </c>
      <c r="I33" s="232">
        <v>0.4</v>
      </c>
      <c r="J33" s="233">
        <v>0.41231056256176613</v>
      </c>
      <c r="K33" s="235">
        <v>0.2</v>
      </c>
      <c r="X33"/>
      <c r="AB33"/>
      <c r="AF33"/>
    </row>
    <row r="34" ht="15" x14ac:dyDescent="0.2">
      <c r="D34">
        <v>33</v>
      </c>
      <c r="E34" t="s">
        <v>217</v>
      </c>
      <c r="F34" s="231">
        <v>0.995</v>
      </c>
      <c r="G34" s="232">
        <v>0.5</v>
      </c>
      <c r="H34" s="232">
        <v>0.4</v>
      </c>
      <c r="I34" s="232">
        <v>0.4</v>
      </c>
      <c r="J34" s="233">
        <v>0.56568542494923801</v>
      </c>
      <c r="K34" s="235">
        <v>0.2</v>
      </c>
      <c r="X34"/>
      <c r="AB34"/>
      <c r="AF34"/>
    </row>
    <row r="35" ht="15" x14ac:dyDescent="0.2">
      <c r="D35">
        <v>34</v>
      </c>
      <c r="E35" s="202" t="s">
        <v>218</v>
      </c>
      <c r="F35" s="231">
        <v>0.995</v>
      </c>
      <c r="G35" s="232">
        <v>0.25</v>
      </c>
      <c r="H35" s="232">
        <v>0.6</v>
      </c>
      <c r="I35" s="232">
        <v>0.4</v>
      </c>
      <c r="J35" s="233">
        <v>0.72111025509279791</v>
      </c>
      <c r="K35" s="235">
        <v>0.2</v>
      </c>
      <c r="X35"/>
      <c r="AB35"/>
      <c r="AF35"/>
    </row>
    <row r="36" ht="15" x14ac:dyDescent="0.2">
      <c r="D36">
        <v>35</v>
      </c>
      <c r="E36" s="202" t="s">
        <v>219</v>
      </c>
      <c r="F36" s="231">
        <v>0.995</v>
      </c>
      <c r="G36" s="232">
        <v>0.25</v>
      </c>
      <c r="H36" s="232">
        <v>0.6</v>
      </c>
      <c r="I36" s="232">
        <v>0.4</v>
      </c>
      <c r="J36" s="233">
        <v>0.72111025509279791</v>
      </c>
      <c r="K36" s="235">
        <v>0.2</v>
      </c>
      <c r="X36"/>
      <c r="AB36"/>
      <c r="AF36"/>
    </row>
    <row r="37" ht="15" x14ac:dyDescent="0.2">
      <c r="D37">
        <v>36</v>
      </c>
      <c r="E37" t="s">
        <v>221</v>
      </c>
      <c r="F37" s="231">
        <v>0.995</v>
      </c>
      <c r="G37" s="232">
        <v>0.25</v>
      </c>
      <c r="H37" s="232">
        <v>0.6</v>
      </c>
      <c r="I37" s="232">
        <v>0.6</v>
      </c>
      <c r="J37" s="237">
        <v>0.8</v>
      </c>
      <c r="K37" s="234">
        <v>0</v>
      </c>
      <c r="X37"/>
      <c r="Y37" s="3"/>
      <c r="AB37"/>
      <c r="AC37" s="3"/>
      <c r="AF37"/>
      <c r="AG37" s="3"/>
    </row>
    <row r="38" ht="15" x14ac:dyDescent="0.2">
      <c r="D38">
        <v>37</v>
      </c>
      <c r="E38" t="s">
        <v>71</v>
      </c>
      <c r="F38" s="231">
        <v>0.995</v>
      </c>
      <c r="G38" s="232">
        <v>0.1</v>
      </c>
      <c r="H38" s="232">
        <v>0.6</v>
      </c>
      <c r="I38" s="232">
        <v>0.6</v>
      </c>
      <c r="J38" s="237">
        <v>0.8</v>
      </c>
      <c r="K38" s="234">
        <v>0</v>
      </c>
      <c r="X38"/>
      <c r="AB38"/>
      <c r="AF38"/>
    </row>
    <row r="39" ht="15" x14ac:dyDescent="0.2">
      <c r="D39">
        <v>38</v>
      </c>
      <c r="E39" t="s">
        <v>72</v>
      </c>
      <c r="F39" s="231">
        <v>0.995</v>
      </c>
      <c r="G39" s="232">
        <v>0.25</v>
      </c>
      <c r="H39" s="238">
        <v>0.8</v>
      </c>
      <c r="I39" s="238">
        <v>0.8</v>
      </c>
      <c r="J39" s="237">
        <v>0.8</v>
      </c>
      <c r="K39" s="234">
        <v>0</v>
      </c>
      <c r="X39"/>
      <c r="AB39"/>
      <c r="AF39"/>
    </row>
    <row r="40" ht="15" x14ac:dyDescent="0.2">
      <c r="D40">
        <v>39</v>
      </c>
      <c r="E40" s="196" t="s">
        <v>73</v>
      </c>
      <c r="F40" s="231">
        <v>0.995</v>
      </c>
      <c r="G40" s="232">
        <v>0.1</v>
      </c>
      <c r="H40" s="232">
        <v>0.6</v>
      </c>
      <c r="I40" s="232">
        <v>0.6</v>
      </c>
      <c r="J40" s="237">
        <v>0.8</v>
      </c>
      <c r="K40" s="234">
        <v>0</v>
      </c>
      <c r="X40"/>
      <c r="AB40"/>
      <c r="AF40"/>
    </row>
    <row r="41" x14ac:dyDescent="0.15">
      <c r="F41" s="3"/>
      <c r="G41" s="3"/>
      <c r="H41" s="3"/>
      <c r="I41" s="146"/>
      <c r="K41" s="3"/>
      <c r="X41"/>
      <c r="AB41"/>
      <c r="AF41"/>
    </row>
    <row r="42" x14ac:dyDescent="0.15">
      <c r="X42"/>
      <c r="AB42"/>
      <c r="AF42"/>
    </row>
    <row r="43" x14ac:dyDescent="0.15">
      <c r="I43"/>
      <c r="J43"/>
      <c r="X43"/>
      <c r="AB43"/>
      <c r="AF43"/>
    </row>
    <row r="44" x14ac:dyDescent="0.15">
      <c r="I44"/>
      <c r="J44" s="237" t="s">
        <v>230</v>
      </c>
      <c r="K44" s="237" t="s">
        <v>230</v>
      </c>
      <c r="X44"/>
      <c r="AB44"/>
      <c r="AF44"/>
    </row>
    <row r="45" x14ac:dyDescent="0.15">
      <c r="I45"/>
      <c r="J45" s="233" t="s">
        <v>231</v>
      </c>
      <c r="X45"/>
      <c r="AB45"/>
      <c r="AF45"/>
    </row>
    <row r="46" x14ac:dyDescent="0.15">
      <c r="I46"/>
      <c r="J46"/>
      <c r="X46"/>
      <c r="AB46"/>
      <c r="AF46"/>
    </row>
    <row r="47" x14ac:dyDescent="0.15">
      <c r="X47"/>
      <c r="AB47"/>
      <c r="AF47"/>
    </row>
    <row r="48" x14ac:dyDescent="0.15">
      <c r="X48"/>
      <c r="AB48"/>
      <c r="AF48"/>
    </row>
    <row r="49" x14ac:dyDescent="0.15">
      <c r="X49"/>
      <c r="AB49"/>
      <c r="AF49"/>
    </row>
    <row r="50" x14ac:dyDescent="0.15">
      <c r="X50"/>
      <c r="AB50"/>
      <c r="AF50"/>
    </row>
    <row r="51" x14ac:dyDescent="0.15">
      <c r="X51"/>
      <c r="AB51"/>
      <c r="AF51"/>
    </row>
    <row r="52" x14ac:dyDescent="0.15">
      <c r="X52"/>
      <c r="AB52"/>
      <c r="AF52"/>
    </row>
    <row r="53" x14ac:dyDescent="0.15">
      <c r="X53"/>
      <c r="AB53"/>
      <c r="AF53"/>
    </row>
    <row r="54" x14ac:dyDescent="0.15">
      <c r="X54"/>
      <c r="AB54"/>
      <c r="AF54"/>
    </row>
    <row r="55" x14ac:dyDescent="0.15">
      <c r="X55"/>
      <c r="AB55"/>
      <c r="AF55"/>
    </row>
    <row r="56" x14ac:dyDescent="0.15">
      <c r="X56"/>
      <c r="AB56"/>
      <c r="AF56"/>
    </row>
    <row r="57" x14ac:dyDescent="0.15">
      <c r="X57"/>
      <c r="AB57"/>
      <c r="AF57"/>
    </row>
    <row r="58" x14ac:dyDescent="0.15">
      <c r="X58"/>
      <c r="AB58"/>
      <c r="AF58"/>
    </row>
    <row r="59" x14ac:dyDescent="0.15">
      <c r="X59"/>
      <c r="AB59"/>
      <c r="AF59"/>
    </row>
    <row r="60" x14ac:dyDescent="0.15">
      <c r="X60"/>
      <c r="AB60"/>
      <c r="AF60"/>
    </row>
    <row r="61" x14ac:dyDescent="0.15">
      <c r="X61"/>
      <c r="AB61"/>
      <c r="AF61"/>
    </row>
    <row r="62" x14ac:dyDescent="0.15">
      <c r="X62"/>
      <c r="AB62"/>
      <c r="AF62"/>
    </row>
    <row r="63" x14ac:dyDescent="0.15">
      <c r="X63"/>
      <c r="AB63"/>
      <c r="AF63"/>
    </row>
    <row r="64" x14ac:dyDescent="0.15">
      <c r="X64"/>
      <c r="AB64"/>
      <c r="AF64"/>
    </row>
    <row r="65" x14ac:dyDescent="0.15">
      <c r="X65"/>
      <c r="AB65"/>
      <c r="AF65"/>
    </row>
    <row r="66" x14ac:dyDescent="0.15">
      <c r="X66"/>
      <c r="AB66"/>
      <c r="AF66"/>
    </row>
    <row r="67" x14ac:dyDescent="0.15">
      <c r="X67"/>
      <c r="AB67"/>
      <c r="AF67"/>
    </row>
    <row r="68" x14ac:dyDescent="0.15">
      <c r="X68"/>
      <c r="AB68"/>
      <c r="AF68"/>
    </row>
    <row r="69" x14ac:dyDescent="0.15">
      <c r="X69"/>
      <c r="AB69"/>
      <c r="AF69"/>
    </row>
    <row r="70" x14ac:dyDescent="0.15">
      <c r="X70"/>
      <c r="AB70"/>
      <c r="AF70"/>
    </row>
    <row r="71" x14ac:dyDescent="0.15">
      <c r="X71"/>
      <c r="AB71"/>
      <c r="AF71"/>
    </row>
    <row r="72" x14ac:dyDescent="0.15">
      <c r="X72"/>
      <c r="AB72"/>
      <c r="AF72"/>
    </row>
    <row r="73" x14ac:dyDescent="0.15">
      <c r="X73"/>
      <c r="AB73"/>
      <c r="AF73"/>
    </row>
    <row r="142" ht="15" customHeight="true" x14ac:dyDescent="0.15"/>
    <row r="143" ht="15" customHeight="true" x14ac:dyDescent="0.15"/>
    <row r="144" ht="15" customHeight="true" x14ac:dyDescent="0.15"/>
    <row r="145" ht="15" customHeight="true" x14ac:dyDescent="0.15"/>
    <row r="146" ht="15" customHeight="true" x14ac:dyDescent="0.15"/>
    <row r="147" ht="15" customHeight="true" x14ac:dyDescent="0.15"/>
    <row r="148" ht="15" customHeight="true" x14ac:dyDescent="0.15"/>
    <row r="149" ht="15" customHeight="true" x14ac:dyDescent="0.15"/>
    <row r="150" ht="15" customHeight="true" x14ac:dyDescent="0.15"/>
    <row r="151" ht="15" customHeight="true" x14ac:dyDescent="0.15"/>
    <row r="152" ht="15" customHeight="true" x14ac:dyDescent="0.15"/>
    <row r="153" ht="15" customHeight="true" x14ac:dyDescent="0.15"/>
    <row r="154" ht="15" customHeight="true" x14ac:dyDescent="0.15"/>
    <row r="155" ht="15" customHeight="true" x14ac:dyDescent="0.15"/>
    <row r="156" ht="15" customHeight="true" x14ac:dyDescent="0.15"/>
    <row r="157" ht="15" customHeight="true" x14ac:dyDescent="0.15"/>
    <row r="158" ht="15" customHeight="true" x14ac:dyDescent="0.15"/>
    <row r="159" ht="15" customHeight="true" x14ac:dyDescent="0.15"/>
    <row r="160" ht="15" customHeight="true" x14ac:dyDescent="0.15"/>
    <row r="161" ht="15" customHeight="true" x14ac:dyDescent="0.15"/>
    <row r="162" ht="15" customHeight="true" x14ac:dyDescent="0.15"/>
    <row r="163" ht="15" customHeight="true" x14ac:dyDescent="0.15"/>
    <row r="164" ht="15" customHeight="true" x14ac:dyDescent="0.15"/>
    <row r="165" ht="15" customHeight="true" x14ac:dyDescent="0.15"/>
    <row r="166" ht="15" customHeight="true" x14ac:dyDescent="0.15"/>
    <row r="167" ht="15" customHeight="true" x14ac:dyDescent="0.15"/>
    <row r="168" ht="15" customHeight="true" x14ac:dyDescent="0.15"/>
    <row r="169" ht="15" customHeight="true" x14ac:dyDescent="0.15"/>
    <row r="170" ht="15" customHeight="true" x14ac:dyDescent="0.15"/>
    <row r="171" ht="15" customHeight="true" x14ac:dyDescent="0.15"/>
    <row r="172" ht="15" customHeight="true" x14ac:dyDescent="0.15"/>
    <row r="173" ht="15" customHeight="true" x14ac:dyDescent="0.15"/>
    <row r="174" ht="15" customHeight="true" x14ac:dyDescent="0.15"/>
    <row r="175" ht="15" customHeight="true" x14ac:dyDescent="0.15"/>
    <row r="176" ht="15" customHeight="true" x14ac:dyDescent="0.15"/>
    <row r="177" ht="15" customHeight="true" x14ac:dyDescent="0.15"/>
    <row r="178" ht="15" customHeight="true" x14ac:dyDescent="0.15"/>
    <row r="179" ht="15" customHeight="true" x14ac:dyDescent="0.15"/>
    <row r="180" ht="15" customHeight="true" x14ac:dyDescent="0.15"/>
    <row r="181" ht="15" customHeight="true" x14ac:dyDescent="0.15"/>
    <row r="182" ht="15" customHeight="true" x14ac:dyDescent="0.15"/>
    <row r="183" ht="15" customHeight="true" x14ac:dyDescent="0.15"/>
    <row r="184" ht="15" customHeight="true" x14ac:dyDescent="0.15"/>
    <row r="185" ht="15" customHeight="true" x14ac:dyDescent="0.15"/>
    <row r="186" ht="15" customHeight="true" x14ac:dyDescent="0.15"/>
    <row r="187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M43"/>
  <sheetViews>
    <sheetView workbookViewId="0">
      <selection activeCell="A9" sqref="A9"/>
    </sheetView>
  </sheetViews>
  <sheetFormatPr baseColWidth="10" defaultColWidth="8.83203125" defaultRowHeight="13" x14ac:dyDescent="0.15"/>
  <cols>
    <col min="1" max="1" width="18.33203125" bestFit="true" customWidth="true"/>
    <col min="2" max="2" width="7.83203125" bestFit="true" customWidth="true"/>
    <col min="3" max="3" width="12.6640625" bestFit="true" customWidth="true"/>
    <col min="4" max="5" width="15.6640625" bestFit="true" customWidth="true"/>
    <col min="6" max="6" width="16.33203125" bestFit="true" customWidth="true"/>
    <col min="7" max="7" width="14.5" bestFit="true" customWidth="true"/>
    <col min="8" max="8" width="10.6640625" bestFit="true" customWidth="true"/>
    <col min="9" max="9" width="12.6640625" bestFit="true" customWidth="true"/>
    <col min="10" max="10" width="14.33203125" bestFit="true" customWidth="true"/>
    <col min="11" max="11" width="15" bestFit="true" customWidth="true"/>
    <col min="12" max="12" width="12.5" bestFit="true" customWidth="true"/>
    <col min="13" max="13" width="15.5" bestFit="true" customWidth="true"/>
    <col min="14" max="14" width="17" bestFit="true" customWidth="true"/>
    <col min="15" max="15" width="18.33203125" bestFit="true" customWidth="true"/>
    <col min="16" max="16" width="14.1640625" bestFit="true" customWidth="true"/>
    <col min="17" max="17" width="13.5" bestFit="true" customWidth="true"/>
    <col min="18" max="18" width="17.83203125" bestFit="true" customWidth="true"/>
    <col min="19" max="19" width="14.5" bestFit="true" customWidth="true"/>
    <col min="20" max="20" width="12.1640625" bestFit="true" customWidth="true"/>
    <col min="21" max="21" width="14.5" bestFit="true" customWidth="true"/>
    <col min="22" max="22" width="7" bestFit="true" customWidth="true"/>
    <col min="23" max="24" width="15" bestFit="true" customWidth="true"/>
    <col min="25" max="25" width="9.5" bestFit="true" customWidth="true"/>
    <col min="26" max="26" width="6.83203125" bestFit="true" customWidth="true"/>
    <col min="27" max="27" width="15.83203125" bestFit="true" customWidth="true"/>
    <col min="28" max="28" width="15.1640625" bestFit="true" customWidth="true"/>
    <col min="29" max="29" width="14.1640625" bestFit="true" customWidth="true"/>
    <col min="30" max="30" width="6.6640625" bestFit="true" customWidth="true"/>
    <col min="31" max="31" width="15" bestFit="true" customWidth="true"/>
    <col min="32" max="32" width="8.33203125" bestFit="true" customWidth="true"/>
    <col min="33" max="33" width="9.1640625" bestFit="true" customWidth="true"/>
    <col min="34" max="34" width="9.83203125" bestFit="true" customWidth="true"/>
    <col min="35" max="35" width="9.5" bestFit="true" customWidth="true"/>
    <col min="36" max="36" width="10.33203125" bestFit="true" customWidth="true"/>
    <col min="37" max="37" width="12.5" bestFit="true" customWidth="true"/>
    <col min="38" max="38" width="4.33203125" bestFit="true" customWidth="true"/>
    <col min="39" max="39" width="13.6640625" bestFit="true" customWidth="true"/>
    <col min="40" max="40" width="13.83203125" bestFit="true" customWidth="true"/>
  </cols>
  <sheetData>
    <row r="1" x14ac:dyDescent="0.15">
      <c r="A1" s="2" t="s">
        <v>119</v>
      </c>
      <c r="B1" t="s">
        <v>182</v>
      </c>
      <c r="C1" t="s">
        <v>183</v>
      </c>
      <c r="D1" s="201" t="s">
        <v>184</v>
      </c>
      <c r="E1" t="s">
        <v>185</v>
      </c>
      <c r="F1" s="201" t="s">
        <v>186</v>
      </c>
      <c r="G1" t="s">
        <v>187</v>
      </c>
      <c r="H1" t="s">
        <v>188</v>
      </c>
      <c r="I1" t="s">
        <v>190</v>
      </c>
      <c r="J1" t="s">
        <v>191</v>
      </c>
      <c r="K1" t="s">
        <v>192</v>
      </c>
      <c r="L1" t="s">
        <v>194</v>
      </c>
      <c r="M1" t="s">
        <v>195</v>
      </c>
      <c r="N1" t="s">
        <v>196</v>
      </c>
      <c r="O1" t="s">
        <v>197</v>
      </c>
      <c r="P1" t="s">
        <v>198</v>
      </c>
      <c r="Q1" t="s">
        <v>229</v>
      </c>
      <c r="R1" t="s">
        <v>200</v>
      </c>
      <c r="S1" t="s">
        <v>201</v>
      </c>
      <c r="T1" t="s">
        <v>202</v>
      </c>
      <c r="U1" t="s">
        <v>203</v>
      </c>
      <c r="V1" t="s">
        <v>204</v>
      </c>
      <c r="W1" t="s">
        <v>205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232</v>
      </c>
      <c r="AJ1" t="s">
        <v>219</v>
      </c>
      <c r="AK1" t="s">
        <v>221</v>
      </c>
      <c r="AL1" t="s">
        <v>71</v>
      </c>
      <c r="AM1" t="s">
        <v>72</v>
      </c>
      <c r="AN1" t="s">
        <v>73</v>
      </c>
    </row>
    <row r="2" x14ac:dyDescent="0.15">
      <c r="A2" t="s">
        <v>182</v>
      </c>
      <c r="B2" s="239">
        <v>0</v>
      </c>
      <c r="C2" s="239">
        <v>0</v>
      </c>
      <c r="D2" s="240">
        <v>0.6</v>
      </c>
      <c r="E2" s="240">
        <v>0.6</v>
      </c>
      <c r="F2" s="240">
        <v>0.6</v>
      </c>
      <c r="G2" s="240">
        <v>0.6</v>
      </c>
      <c r="H2" s="241">
        <v>0.3</v>
      </c>
      <c r="I2" s="240">
        <v>0.6</v>
      </c>
      <c r="J2" s="240">
        <v>0.1</v>
      </c>
      <c r="K2" s="240">
        <v>0.1</v>
      </c>
      <c r="L2" s="240">
        <v>0.6</v>
      </c>
      <c r="M2" s="240">
        <v>0.5</v>
      </c>
      <c r="N2" s="240">
        <v>0.8</v>
      </c>
      <c r="O2" s="240">
        <v>0.8</v>
      </c>
      <c r="P2" s="240">
        <v>0.5</v>
      </c>
      <c r="Q2" s="240">
        <v>0.5</v>
      </c>
      <c r="R2" s="240">
        <v>0.5</v>
      </c>
      <c r="S2" s="240">
        <v>0.1</v>
      </c>
      <c r="T2" s="240">
        <v>0.1</v>
      </c>
      <c r="U2" s="240">
        <v>0.1</v>
      </c>
      <c r="V2" s="240">
        <v>0.3</v>
      </c>
      <c r="W2" s="240">
        <v>0.8</v>
      </c>
      <c r="X2" s="240">
        <v>0.3</v>
      </c>
      <c r="Y2" s="240">
        <v>0.3</v>
      </c>
      <c r="Z2" s="240">
        <v>0.3</v>
      </c>
      <c r="AA2" s="240">
        <v>0.3</v>
      </c>
      <c r="AB2" s="240">
        <v>0.3</v>
      </c>
      <c r="AC2" s="240">
        <v>0.3</v>
      </c>
      <c r="AD2" s="240">
        <v>0.3</v>
      </c>
      <c r="AE2" s="240">
        <v>0.3</v>
      </c>
      <c r="AF2" s="240">
        <v>0.1</v>
      </c>
      <c r="AG2" s="240">
        <v>0.1</v>
      </c>
      <c r="AH2" s="240">
        <v>0.8</v>
      </c>
      <c r="AI2" s="242">
        <v>0.8</v>
      </c>
      <c r="AJ2" s="242">
        <v>0.8</v>
      </c>
      <c r="AK2" s="239">
        <v>0</v>
      </c>
      <c r="AL2" s="239">
        <v>0</v>
      </c>
      <c r="AM2" s="239">
        <v>0</v>
      </c>
      <c r="AN2" s="239">
        <v>0</v>
      </c>
      <c r="AS2" s="3"/>
      <c r="BI2" s="191"/>
      <c r="BJ2" s="191"/>
      <c r="BK2" s="191"/>
      <c r="BL2" s="191"/>
      <c r="BM2" s="191"/>
    </row>
    <row r="3" x14ac:dyDescent="0.15">
      <c r="A3" t="s">
        <v>183</v>
      </c>
      <c r="B3" s="239">
        <v>0</v>
      </c>
      <c r="C3" s="239">
        <v>0</v>
      </c>
      <c r="D3" s="240">
        <v>0.6</v>
      </c>
      <c r="E3" s="240">
        <v>0.6</v>
      </c>
      <c r="F3" s="240">
        <v>0.6</v>
      </c>
      <c r="G3" s="240">
        <v>0.6</v>
      </c>
      <c r="H3" s="241">
        <v>0.3</v>
      </c>
      <c r="I3" s="240">
        <v>0.6</v>
      </c>
      <c r="J3" s="240">
        <v>0.1</v>
      </c>
      <c r="K3" s="240">
        <v>0.1</v>
      </c>
      <c r="L3" s="240">
        <v>0.6</v>
      </c>
      <c r="M3" s="240">
        <v>0.5</v>
      </c>
      <c r="N3" s="240">
        <v>0.8</v>
      </c>
      <c r="O3" s="240">
        <v>0.8</v>
      </c>
      <c r="P3" s="240">
        <v>0.5</v>
      </c>
      <c r="Q3" s="240">
        <v>0.5</v>
      </c>
      <c r="R3" s="240">
        <v>0.5</v>
      </c>
      <c r="S3" s="240">
        <v>0.1</v>
      </c>
      <c r="T3" s="240">
        <v>0.1</v>
      </c>
      <c r="U3" s="240">
        <v>0.1</v>
      </c>
      <c r="V3" s="240">
        <v>0.3</v>
      </c>
      <c r="W3" s="240">
        <v>0.8</v>
      </c>
      <c r="X3" s="240">
        <v>0.3</v>
      </c>
      <c r="Y3" s="240">
        <v>0.3</v>
      </c>
      <c r="Z3" s="240">
        <v>0.3</v>
      </c>
      <c r="AA3" s="240">
        <v>0.3</v>
      </c>
      <c r="AB3" s="240">
        <v>0.3</v>
      </c>
      <c r="AC3" s="240">
        <v>0.3</v>
      </c>
      <c r="AD3" s="240">
        <v>0.3</v>
      </c>
      <c r="AE3" s="240">
        <v>0.3</v>
      </c>
      <c r="AF3" s="240">
        <v>0.1</v>
      </c>
      <c r="AG3" s="240">
        <v>0.1</v>
      </c>
      <c r="AH3" s="240">
        <v>0.8</v>
      </c>
      <c r="AI3" s="242">
        <v>0.8</v>
      </c>
      <c r="AJ3" s="242">
        <v>0.8</v>
      </c>
      <c r="AK3" s="239">
        <v>0</v>
      </c>
      <c r="AL3" s="239">
        <v>0</v>
      </c>
      <c r="AM3" s="239">
        <v>0</v>
      </c>
      <c r="AN3" s="239">
        <v>0</v>
      </c>
      <c r="AS3" s="3"/>
      <c r="BI3" s="191"/>
      <c r="BJ3" s="191"/>
      <c r="BK3" s="191"/>
      <c r="BL3" s="191"/>
      <c r="BM3" s="191"/>
    </row>
    <row r="4" x14ac:dyDescent="0.15">
      <c r="A4" t="s">
        <v>226</v>
      </c>
      <c r="B4" s="239">
        <v>0</v>
      </c>
      <c r="C4" s="239">
        <v>0</v>
      </c>
      <c r="D4" s="240">
        <v>0.6</v>
      </c>
      <c r="E4" s="240">
        <v>0.6</v>
      </c>
      <c r="F4" s="240">
        <v>0.6</v>
      </c>
      <c r="G4" s="240">
        <v>0.6</v>
      </c>
      <c r="H4" s="241">
        <v>0.3</v>
      </c>
      <c r="I4" s="240">
        <v>0.6</v>
      </c>
      <c r="J4" s="240">
        <v>0.1</v>
      </c>
      <c r="K4" s="240">
        <v>0.1</v>
      </c>
      <c r="L4" s="240">
        <v>0.6</v>
      </c>
      <c r="M4" s="240">
        <v>0.5</v>
      </c>
      <c r="N4" s="240">
        <v>0.8</v>
      </c>
      <c r="O4" s="240">
        <v>0.8</v>
      </c>
      <c r="P4" s="240">
        <v>0.5</v>
      </c>
      <c r="Q4" s="240">
        <v>0.5</v>
      </c>
      <c r="R4" s="240">
        <v>0.5</v>
      </c>
      <c r="S4" s="240">
        <v>0.1</v>
      </c>
      <c r="T4" s="240">
        <v>0.1</v>
      </c>
      <c r="U4" s="240">
        <v>0.1</v>
      </c>
      <c r="V4" s="240">
        <v>0.3</v>
      </c>
      <c r="W4" s="240">
        <v>0.8</v>
      </c>
      <c r="X4" s="240">
        <v>0.3</v>
      </c>
      <c r="Y4" s="240">
        <v>0.3</v>
      </c>
      <c r="Z4" s="240">
        <v>0.3</v>
      </c>
      <c r="AA4" s="240">
        <v>0.3</v>
      </c>
      <c r="AB4" s="240">
        <v>0.3</v>
      </c>
      <c r="AC4" s="240">
        <v>0.3</v>
      </c>
      <c r="AD4" s="240">
        <v>0.3</v>
      </c>
      <c r="AE4" s="240">
        <v>0.3</v>
      </c>
      <c r="AF4" s="240">
        <v>0.1</v>
      </c>
      <c r="AG4" s="240">
        <v>0.1</v>
      </c>
      <c r="AH4" s="240">
        <v>0.8</v>
      </c>
      <c r="AI4" s="242">
        <v>0.8</v>
      </c>
      <c r="AJ4" s="242">
        <v>0.8</v>
      </c>
      <c r="AK4" s="239">
        <v>0</v>
      </c>
      <c r="AL4" s="239">
        <v>0</v>
      </c>
      <c r="AM4" s="239">
        <v>0</v>
      </c>
      <c r="AN4" s="239">
        <v>0</v>
      </c>
      <c r="AS4" s="3"/>
      <c r="BI4" s="191"/>
      <c r="BJ4" s="191"/>
      <c r="BK4" s="191"/>
      <c r="BL4" s="191"/>
      <c r="BM4" s="191"/>
    </row>
    <row r="5" x14ac:dyDescent="0.15">
      <c r="A5" t="s">
        <v>185</v>
      </c>
      <c r="B5" s="239">
        <v>0</v>
      </c>
      <c r="C5" s="239">
        <v>0</v>
      </c>
      <c r="D5" s="240">
        <v>0.6</v>
      </c>
      <c r="E5" s="240">
        <v>0.6</v>
      </c>
      <c r="F5" s="240">
        <v>0.6</v>
      </c>
      <c r="G5" s="240">
        <v>0.6</v>
      </c>
      <c r="H5" s="241">
        <v>0.3</v>
      </c>
      <c r="I5" s="240">
        <v>0.6</v>
      </c>
      <c r="J5" s="240">
        <v>0.1</v>
      </c>
      <c r="K5" s="240">
        <v>0.1</v>
      </c>
      <c r="L5" s="240">
        <v>0.6</v>
      </c>
      <c r="M5" s="240">
        <v>0.5</v>
      </c>
      <c r="N5" s="240">
        <v>0.8</v>
      </c>
      <c r="O5" s="240">
        <v>0.8</v>
      </c>
      <c r="P5" s="240">
        <v>0.5</v>
      </c>
      <c r="Q5" s="240">
        <v>0.5</v>
      </c>
      <c r="R5" s="240">
        <v>0.5</v>
      </c>
      <c r="S5" s="240">
        <v>0.1</v>
      </c>
      <c r="T5" s="240">
        <v>0.1</v>
      </c>
      <c r="U5" s="240">
        <v>0.1</v>
      </c>
      <c r="V5" s="240">
        <v>0.3</v>
      </c>
      <c r="W5" s="240">
        <v>0.8</v>
      </c>
      <c r="X5" s="240">
        <v>0.3</v>
      </c>
      <c r="Y5" s="240">
        <v>0.3</v>
      </c>
      <c r="Z5" s="240">
        <v>0.3</v>
      </c>
      <c r="AA5" s="240">
        <v>0.3</v>
      </c>
      <c r="AB5" s="240">
        <v>0.3</v>
      </c>
      <c r="AC5" s="240">
        <v>0.3</v>
      </c>
      <c r="AD5" s="240">
        <v>0.3</v>
      </c>
      <c r="AE5" s="240">
        <v>0.3</v>
      </c>
      <c r="AF5" s="240">
        <v>0.1</v>
      </c>
      <c r="AG5" s="240">
        <v>0.1</v>
      </c>
      <c r="AH5" s="240">
        <v>0.8</v>
      </c>
      <c r="AI5" s="242">
        <v>0.8</v>
      </c>
      <c r="AJ5" s="242">
        <v>0.8</v>
      </c>
      <c r="AK5" s="239">
        <v>0</v>
      </c>
      <c r="AL5" s="239">
        <v>0</v>
      </c>
      <c r="AM5" s="239">
        <v>0</v>
      </c>
      <c r="AN5" s="239">
        <v>0</v>
      </c>
      <c r="AS5" s="3"/>
      <c r="BI5" s="191"/>
      <c r="BJ5" s="191"/>
      <c r="BK5" s="191"/>
      <c r="BL5" s="191"/>
      <c r="BM5" s="191"/>
    </row>
    <row r="6" x14ac:dyDescent="0.15">
      <c r="A6" t="s">
        <v>227</v>
      </c>
      <c r="B6" s="239">
        <v>0</v>
      </c>
      <c r="C6" s="239">
        <v>0</v>
      </c>
      <c r="D6" s="240">
        <v>0.6</v>
      </c>
      <c r="E6" s="240">
        <v>0.6</v>
      </c>
      <c r="F6" s="240">
        <v>0.6</v>
      </c>
      <c r="G6" s="240">
        <v>0.6</v>
      </c>
      <c r="H6" s="241">
        <v>0.3</v>
      </c>
      <c r="I6" s="240">
        <v>0.6</v>
      </c>
      <c r="J6" s="240">
        <v>0.1</v>
      </c>
      <c r="K6" s="240">
        <v>0.1</v>
      </c>
      <c r="L6" s="240">
        <v>0.6</v>
      </c>
      <c r="M6" s="240">
        <v>0.5</v>
      </c>
      <c r="N6" s="240">
        <v>0.8</v>
      </c>
      <c r="O6" s="240">
        <v>0.8</v>
      </c>
      <c r="P6" s="240">
        <v>0.5</v>
      </c>
      <c r="Q6" s="240">
        <v>0.5</v>
      </c>
      <c r="R6" s="240">
        <v>0.5</v>
      </c>
      <c r="S6" s="240">
        <v>0.1</v>
      </c>
      <c r="T6" s="240">
        <v>0.1</v>
      </c>
      <c r="U6" s="240">
        <v>0.1</v>
      </c>
      <c r="V6" s="240">
        <v>0.3</v>
      </c>
      <c r="W6" s="240">
        <v>0.8</v>
      </c>
      <c r="X6" s="240">
        <v>0.3</v>
      </c>
      <c r="Y6" s="240">
        <v>0.3</v>
      </c>
      <c r="Z6" s="240">
        <v>0.3</v>
      </c>
      <c r="AA6" s="240">
        <v>0.3</v>
      </c>
      <c r="AB6" s="240">
        <v>0.3</v>
      </c>
      <c r="AC6" s="240">
        <v>0.3</v>
      </c>
      <c r="AD6" s="240">
        <v>0.3</v>
      </c>
      <c r="AE6" s="240">
        <v>0.3</v>
      </c>
      <c r="AF6" s="240">
        <v>0.1</v>
      </c>
      <c r="AG6" s="240">
        <v>0.1</v>
      </c>
      <c r="AH6" s="240">
        <v>0.8</v>
      </c>
      <c r="AI6" s="242">
        <v>0.8</v>
      </c>
      <c r="AJ6" s="242">
        <v>0.8</v>
      </c>
      <c r="AK6" s="239">
        <v>0</v>
      </c>
      <c r="AL6" s="239">
        <v>0</v>
      </c>
      <c r="AM6" s="239">
        <v>0</v>
      </c>
      <c r="AN6" s="239">
        <v>0</v>
      </c>
      <c r="AS6" s="3"/>
      <c r="BI6" s="191"/>
      <c r="BJ6" s="191"/>
      <c r="BK6" s="191"/>
      <c r="BL6" s="191"/>
      <c r="BM6" s="191"/>
    </row>
    <row r="7" x14ac:dyDescent="0.15">
      <c r="A7" t="s">
        <v>187</v>
      </c>
      <c r="B7" s="239">
        <v>0</v>
      </c>
      <c r="C7" s="239">
        <v>0</v>
      </c>
      <c r="D7" s="240">
        <v>0.6</v>
      </c>
      <c r="E7" s="240">
        <v>0.6</v>
      </c>
      <c r="F7" s="240">
        <v>0.6</v>
      </c>
      <c r="G7" s="240">
        <v>0.6</v>
      </c>
      <c r="H7" s="241">
        <v>0.3</v>
      </c>
      <c r="I7" s="240">
        <v>0.6</v>
      </c>
      <c r="J7" s="240">
        <v>0.1</v>
      </c>
      <c r="K7" s="240">
        <v>0.1</v>
      </c>
      <c r="L7" s="240">
        <v>0.6</v>
      </c>
      <c r="M7" s="240">
        <v>0.5</v>
      </c>
      <c r="N7" s="240">
        <v>0.8</v>
      </c>
      <c r="O7" s="240">
        <v>0.8</v>
      </c>
      <c r="P7" s="240">
        <v>0.5</v>
      </c>
      <c r="Q7" s="240">
        <v>0.5</v>
      </c>
      <c r="R7" s="240">
        <v>0.5</v>
      </c>
      <c r="S7" s="240">
        <v>0.1</v>
      </c>
      <c r="T7" s="240">
        <v>0.1</v>
      </c>
      <c r="U7" s="240">
        <v>0.1</v>
      </c>
      <c r="V7" s="240">
        <v>0.3</v>
      </c>
      <c r="W7" s="240">
        <v>0.8</v>
      </c>
      <c r="X7" s="240">
        <v>0.3</v>
      </c>
      <c r="Y7" s="240">
        <v>0.3</v>
      </c>
      <c r="Z7" s="240">
        <v>0.3</v>
      </c>
      <c r="AA7" s="240">
        <v>0.3</v>
      </c>
      <c r="AB7" s="240">
        <v>0.3</v>
      </c>
      <c r="AC7" s="240">
        <v>0.3</v>
      </c>
      <c r="AD7" s="240">
        <v>0.3</v>
      </c>
      <c r="AE7" s="240">
        <v>0.3</v>
      </c>
      <c r="AF7" s="240">
        <v>0.1</v>
      </c>
      <c r="AG7" s="240">
        <v>0.1</v>
      </c>
      <c r="AH7" s="240">
        <v>0.8</v>
      </c>
      <c r="AI7" s="242">
        <v>0.8</v>
      </c>
      <c r="AJ7" s="242">
        <v>0.8</v>
      </c>
      <c r="AK7" s="239">
        <v>0</v>
      </c>
      <c r="AL7" s="239">
        <v>0</v>
      </c>
      <c r="AM7" s="239">
        <v>0</v>
      </c>
      <c r="AN7" s="239">
        <v>0</v>
      </c>
      <c r="AS7" s="3"/>
      <c r="BI7" s="191"/>
      <c r="BJ7" s="191"/>
      <c r="BK7" s="191"/>
      <c r="BL7" s="191"/>
      <c r="BM7" s="191"/>
    </row>
    <row r="8" x14ac:dyDescent="0.15">
      <c r="A8" s="202" t="s">
        <v>188</v>
      </c>
      <c r="B8" s="239">
        <v>0</v>
      </c>
      <c r="C8" s="239">
        <v>0</v>
      </c>
      <c r="D8" s="240">
        <v>0.6</v>
      </c>
      <c r="E8" s="240">
        <v>0.6</v>
      </c>
      <c r="F8" s="240">
        <v>0.6</v>
      </c>
      <c r="G8" s="240">
        <v>0.6</v>
      </c>
      <c r="H8" s="241">
        <v>0.3</v>
      </c>
      <c r="I8" s="240">
        <v>0.6</v>
      </c>
      <c r="J8" s="240">
        <v>0.1</v>
      </c>
      <c r="K8" s="240">
        <v>0.1</v>
      </c>
      <c r="L8" s="240">
        <v>0.6</v>
      </c>
      <c r="M8" s="240">
        <v>0.5</v>
      </c>
      <c r="N8" s="240">
        <v>0.8</v>
      </c>
      <c r="O8" s="240">
        <v>0.8</v>
      </c>
      <c r="P8" s="240">
        <v>0.5</v>
      </c>
      <c r="Q8" s="240">
        <v>0.5</v>
      </c>
      <c r="R8" s="240">
        <v>0.5</v>
      </c>
      <c r="S8" s="240">
        <v>0.1</v>
      </c>
      <c r="T8" s="240">
        <v>0.1</v>
      </c>
      <c r="U8" s="240">
        <v>0.1</v>
      </c>
      <c r="V8" s="240">
        <v>0.3</v>
      </c>
      <c r="W8" s="240">
        <v>0.8</v>
      </c>
      <c r="X8" s="240">
        <v>0.3</v>
      </c>
      <c r="Y8" s="240">
        <v>0.3</v>
      </c>
      <c r="Z8" s="240">
        <v>0.3</v>
      </c>
      <c r="AA8" s="240">
        <v>0.3</v>
      </c>
      <c r="AB8" s="240">
        <v>0.3</v>
      </c>
      <c r="AC8" s="240">
        <v>0.3</v>
      </c>
      <c r="AD8" s="240">
        <v>0.3</v>
      </c>
      <c r="AE8" s="240">
        <v>0.3</v>
      </c>
      <c r="AF8" s="240">
        <v>0.1</v>
      </c>
      <c r="AG8" s="240">
        <v>0.1</v>
      </c>
      <c r="AH8" s="240">
        <v>0.8</v>
      </c>
      <c r="AI8" s="242">
        <v>0.8</v>
      </c>
      <c r="AJ8" s="242">
        <v>0.8</v>
      </c>
      <c r="AK8" s="239">
        <v>0</v>
      </c>
      <c r="AL8" s="239">
        <v>0</v>
      </c>
      <c r="AM8" s="239">
        <v>0</v>
      </c>
      <c r="AN8" s="239">
        <v>0</v>
      </c>
      <c r="AS8" s="3"/>
      <c r="BI8" s="191"/>
      <c r="BJ8" s="191"/>
      <c r="BK8" s="191"/>
      <c r="BL8" s="191"/>
      <c r="BM8" s="191"/>
    </row>
    <row r="9" x14ac:dyDescent="0.15">
      <c r="A9" t="s">
        <v>190</v>
      </c>
      <c r="B9" s="239">
        <v>0</v>
      </c>
      <c r="C9" s="239">
        <v>0</v>
      </c>
      <c r="D9" s="240">
        <v>0.6</v>
      </c>
      <c r="E9" s="240">
        <v>0.6</v>
      </c>
      <c r="F9" s="240">
        <v>0.6</v>
      </c>
      <c r="G9" s="240">
        <v>0.6</v>
      </c>
      <c r="H9" s="241">
        <v>0.3</v>
      </c>
      <c r="I9" s="240">
        <v>0.6</v>
      </c>
      <c r="J9" s="240">
        <v>0.1</v>
      </c>
      <c r="K9" s="240">
        <v>0.1</v>
      </c>
      <c r="L9" s="240">
        <v>0.6</v>
      </c>
      <c r="M9" s="240">
        <v>0.5</v>
      </c>
      <c r="N9" s="240">
        <v>0.8</v>
      </c>
      <c r="O9" s="240">
        <v>0.8</v>
      </c>
      <c r="P9" s="240">
        <v>0.5</v>
      </c>
      <c r="Q9" s="240">
        <v>0.5</v>
      </c>
      <c r="R9" s="240">
        <v>0.5</v>
      </c>
      <c r="S9" s="240">
        <v>0.1</v>
      </c>
      <c r="T9" s="240">
        <v>0.1</v>
      </c>
      <c r="U9" s="240">
        <v>0.1</v>
      </c>
      <c r="V9" s="240">
        <v>0.3</v>
      </c>
      <c r="W9" s="240">
        <v>0.8</v>
      </c>
      <c r="X9" s="240">
        <v>0.3</v>
      </c>
      <c r="Y9" s="240">
        <v>0.3</v>
      </c>
      <c r="Z9" s="240">
        <v>0.3</v>
      </c>
      <c r="AA9" s="240">
        <v>0.3</v>
      </c>
      <c r="AB9" s="240">
        <v>0.3</v>
      </c>
      <c r="AC9" s="240">
        <v>0.3</v>
      </c>
      <c r="AD9" s="240">
        <v>0.3</v>
      </c>
      <c r="AE9" s="240">
        <v>0.3</v>
      </c>
      <c r="AF9" s="240">
        <v>0.1</v>
      </c>
      <c r="AG9" s="240">
        <v>0.1</v>
      </c>
      <c r="AH9" s="240">
        <v>0.8</v>
      </c>
      <c r="AI9" s="242">
        <v>0.8</v>
      </c>
      <c r="AJ9" s="242">
        <v>0.8</v>
      </c>
      <c r="AK9" s="239">
        <v>0</v>
      </c>
      <c r="AL9" s="239">
        <v>0</v>
      </c>
      <c r="AM9" s="239">
        <v>0</v>
      </c>
      <c r="AN9" s="239">
        <v>0</v>
      </c>
      <c r="AS9" s="3"/>
      <c r="BI9" s="191"/>
      <c r="BJ9" s="191"/>
      <c r="BK9" s="191"/>
      <c r="BL9" s="191"/>
      <c r="BM9" s="191"/>
    </row>
    <row r="10" x14ac:dyDescent="0.15">
      <c r="A10" t="s">
        <v>191</v>
      </c>
      <c r="B10" s="239">
        <v>0</v>
      </c>
      <c r="C10" s="239">
        <v>0</v>
      </c>
      <c r="D10" s="240">
        <v>0.6</v>
      </c>
      <c r="E10" s="240">
        <v>0.6</v>
      </c>
      <c r="F10" s="240">
        <v>0.6</v>
      </c>
      <c r="G10" s="240">
        <v>0.6</v>
      </c>
      <c r="H10" s="241">
        <v>0.3</v>
      </c>
      <c r="I10" s="240">
        <v>0.6</v>
      </c>
      <c r="J10" s="240">
        <v>0.1</v>
      </c>
      <c r="K10" s="240">
        <v>0.1</v>
      </c>
      <c r="L10" s="240">
        <v>0.6</v>
      </c>
      <c r="M10" s="240">
        <v>0.5</v>
      </c>
      <c r="N10" s="240">
        <v>0.8</v>
      </c>
      <c r="O10" s="240">
        <v>0.8</v>
      </c>
      <c r="P10" s="240">
        <v>0.5</v>
      </c>
      <c r="Q10" s="240">
        <v>0.5</v>
      </c>
      <c r="R10" s="240">
        <v>0.5</v>
      </c>
      <c r="S10" s="240">
        <v>0.1</v>
      </c>
      <c r="T10" s="240">
        <v>0.1</v>
      </c>
      <c r="U10" s="240">
        <v>0.1</v>
      </c>
      <c r="V10" s="240">
        <v>0.3</v>
      </c>
      <c r="W10" s="240">
        <v>0.8</v>
      </c>
      <c r="X10" s="240">
        <v>0.3</v>
      </c>
      <c r="Y10" s="240">
        <v>0.3</v>
      </c>
      <c r="Z10" s="240">
        <v>0.3</v>
      </c>
      <c r="AA10" s="240">
        <v>0.3</v>
      </c>
      <c r="AB10" s="240">
        <v>0.3</v>
      </c>
      <c r="AC10" s="240">
        <v>0.3</v>
      </c>
      <c r="AD10" s="240">
        <v>0.3</v>
      </c>
      <c r="AE10" s="240">
        <v>0.3</v>
      </c>
      <c r="AF10" s="240">
        <v>0.1</v>
      </c>
      <c r="AG10" s="240">
        <v>0.1</v>
      </c>
      <c r="AH10" s="240">
        <v>0.8</v>
      </c>
      <c r="AI10" s="242">
        <v>0.8</v>
      </c>
      <c r="AJ10" s="242">
        <v>0.8</v>
      </c>
      <c r="AK10" s="239">
        <v>0</v>
      </c>
      <c r="AL10" s="239">
        <v>0</v>
      </c>
      <c r="AM10" s="239">
        <v>0</v>
      </c>
      <c r="AN10" s="239">
        <v>0</v>
      </c>
      <c r="AS10" s="3"/>
      <c r="BI10" s="191"/>
      <c r="BJ10" s="191"/>
      <c r="BK10" s="191"/>
      <c r="BL10" s="191"/>
      <c r="BM10" s="191"/>
    </row>
    <row r="11" x14ac:dyDescent="0.15">
      <c r="A11" t="s">
        <v>192</v>
      </c>
      <c r="B11" s="239">
        <v>0</v>
      </c>
      <c r="C11" s="239">
        <v>0</v>
      </c>
      <c r="D11" s="240">
        <v>0.6</v>
      </c>
      <c r="E11" s="240">
        <v>0.6</v>
      </c>
      <c r="F11" s="240">
        <v>0.6</v>
      </c>
      <c r="G11" s="240">
        <v>0.6</v>
      </c>
      <c r="H11" s="241">
        <v>0.3</v>
      </c>
      <c r="I11" s="240">
        <v>0.6</v>
      </c>
      <c r="J11" s="240">
        <v>0.1</v>
      </c>
      <c r="K11" s="240">
        <v>0.1</v>
      </c>
      <c r="L11" s="240">
        <v>0.6</v>
      </c>
      <c r="M11" s="240">
        <v>0.5</v>
      </c>
      <c r="N11" s="240">
        <v>0.8</v>
      </c>
      <c r="O11" s="240">
        <v>0.8</v>
      </c>
      <c r="P11" s="240">
        <v>0.5</v>
      </c>
      <c r="Q11" s="240">
        <v>0.5</v>
      </c>
      <c r="R11" s="240">
        <v>0.5</v>
      </c>
      <c r="S11" s="240">
        <v>0.1</v>
      </c>
      <c r="T11" s="240">
        <v>0.1</v>
      </c>
      <c r="U11" s="240">
        <v>0.1</v>
      </c>
      <c r="V11" s="240">
        <v>0.3</v>
      </c>
      <c r="W11" s="240">
        <v>0.8</v>
      </c>
      <c r="X11" s="240">
        <v>0.3</v>
      </c>
      <c r="Y11" s="240">
        <v>0.3</v>
      </c>
      <c r="Z11" s="240">
        <v>0.3</v>
      </c>
      <c r="AA11" s="240">
        <v>0.3</v>
      </c>
      <c r="AB11" s="240">
        <v>0.3</v>
      </c>
      <c r="AC11" s="240">
        <v>0.3</v>
      </c>
      <c r="AD11" s="240">
        <v>0.3</v>
      </c>
      <c r="AE11" s="240">
        <v>0.3</v>
      </c>
      <c r="AF11" s="240">
        <v>0.1</v>
      </c>
      <c r="AG11" s="240">
        <v>0.1</v>
      </c>
      <c r="AH11" s="240">
        <v>0.8</v>
      </c>
      <c r="AI11" s="242">
        <v>0.8</v>
      </c>
      <c r="AJ11" s="242">
        <v>0.8</v>
      </c>
      <c r="AK11" s="239">
        <v>0</v>
      </c>
      <c r="AL11" s="239">
        <v>0</v>
      </c>
      <c r="AM11" s="239">
        <v>0</v>
      </c>
      <c r="AN11" s="239">
        <v>0</v>
      </c>
      <c r="AS11" s="3"/>
      <c r="BI11" s="191"/>
      <c r="BJ11" s="191"/>
      <c r="BK11" s="191"/>
      <c r="BL11" s="191"/>
      <c r="BM11" s="191"/>
    </row>
    <row r="12" x14ac:dyDescent="0.15">
      <c r="A12" t="s">
        <v>194</v>
      </c>
      <c r="B12" s="239">
        <v>0</v>
      </c>
      <c r="C12" s="239">
        <v>0</v>
      </c>
      <c r="D12" s="240">
        <v>0.6</v>
      </c>
      <c r="E12" s="240">
        <v>0.6</v>
      </c>
      <c r="F12" s="240">
        <v>0.6</v>
      </c>
      <c r="G12" s="240">
        <v>0.6</v>
      </c>
      <c r="H12" s="241">
        <v>0.3</v>
      </c>
      <c r="I12" s="240">
        <v>0.6</v>
      </c>
      <c r="J12" s="240">
        <v>0.1</v>
      </c>
      <c r="K12" s="240">
        <v>0.1</v>
      </c>
      <c r="L12" s="240">
        <v>0.6</v>
      </c>
      <c r="M12" s="240">
        <v>0.5</v>
      </c>
      <c r="N12" s="240">
        <v>0.8</v>
      </c>
      <c r="O12" s="240">
        <v>0.8</v>
      </c>
      <c r="P12" s="240">
        <v>0.5</v>
      </c>
      <c r="Q12" s="240">
        <v>0.5</v>
      </c>
      <c r="R12" s="240">
        <v>0.5</v>
      </c>
      <c r="S12" s="240">
        <v>0.1</v>
      </c>
      <c r="T12" s="240">
        <v>0.1</v>
      </c>
      <c r="U12" s="240">
        <v>0.1</v>
      </c>
      <c r="V12" s="240">
        <v>0.3</v>
      </c>
      <c r="W12" s="240">
        <v>0.8</v>
      </c>
      <c r="X12" s="240">
        <v>0.3</v>
      </c>
      <c r="Y12" s="240">
        <v>0.3</v>
      </c>
      <c r="Z12" s="240">
        <v>0.3</v>
      </c>
      <c r="AA12" s="240">
        <v>0.3</v>
      </c>
      <c r="AB12" s="240">
        <v>0.3</v>
      </c>
      <c r="AC12" s="240">
        <v>0.3</v>
      </c>
      <c r="AD12" s="240">
        <v>0.3</v>
      </c>
      <c r="AE12" s="240">
        <v>0.3</v>
      </c>
      <c r="AF12" s="240">
        <v>0.1</v>
      </c>
      <c r="AG12" s="240">
        <v>0.1</v>
      </c>
      <c r="AH12" s="240">
        <v>0.8</v>
      </c>
      <c r="AI12" s="242">
        <v>0.8</v>
      </c>
      <c r="AJ12" s="242">
        <v>0.8</v>
      </c>
      <c r="AK12" s="239">
        <v>0</v>
      </c>
      <c r="AL12" s="239">
        <v>0</v>
      </c>
      <c r="AM12" s="239">
        <v>0</v>
      </c>
      <c r="AN12" s="239">
        <v>0</v>
      </c>
      <c r="AS12" s="3"/>
      <c r="BI12" s="191"/>
      <c r="BJ12" s="191"/>
      <c r="BK12" s="191"/>
      <c r="BL12" s="191"/>
      <c r="BM12" s="191"/>
    </row>
    <row r="13" x14ac:dyDescent="0.15">
      <c r="A13" t="s">
        <v>195</v>
      </c>
      <c r="B13" s="239">
        <v>0</v>
      </c>
      <c r="C13" s="239">
        <v>0</v>
      </c>
      <c r="D13" s="240">
        <v>0.6</v>
      </c>
      <c r="E13" s="240">
        <v>0.6</v>
      </c>
      <c r="F13" s="240">
        <v>0.6</v>
      </c>
      <c r="G13" s="240">
        <v>0.6</v>
      </c>
      <c r="H13" s="241">
        <v>0.3</v>
      </c>
      <c r="I13" s="240">
        <v>0.6</v>
      </c>
      <c r="J13" s="240">
        <v>0.1</v>
      </c>
      <c r="K13" s="240">
        <v>0.1</v>
      </c>
      <c r="L13" s="240">
        <v>0.6</v>
      </c>
      <c r="M13" s="240">
        <v>0.5</v>
      </c>
      <c r="N13" s="240">
        <v>0.8</v>
      </c>
      <c r="O13" s="240">
        <v>0.8</v>
      </c>
      <c r="P13" s="240">
        <v>0.5</v>
      </c>
      <c r="Q13" s="240">
        <v>0.5</v>
      </c>
      <c r="R13" s="240">
        <v>0.5</v>
      </c>
      <c r="S13" s="240">
        <v>0.1</v>
      </c>
      <c r="T13" s="240">
        <v>0.1</v>
      </c>
      <c r="U13" s="240">
        <v>0.1</v>
      </c>
      <c r="V13" s="240">
        <v>0.3</v>
      </c>
      <c r="W13" s="240">
        <v>0.8</v>
      </c>
      <c r="X13" s="240">
        <v>0.3</v>
      </c>
      <c r="Y13" s="240">
        <v>0.3</v>
      </c>
      <c r="Z13" s="240">
        <v>0.3</v>
      </c>
      <c r="AA13" s="240">
        <v>0.3</v>
      </c>
      <c r="AB13" s="240">
        <v>0.3</v>
      </c>
      <c r="AC13" s="240">
        <v>0.3</v>
      </c>
      <c r="AD13" s="240">
        <v>0.3</v>
      </c>
      <c r="AE13" s="240">
        <v>0.3</v>
      </c>
      <c r="AF13" s="240">
        <v>0.1</v>
      </c>
      <c r="AG13" s="240">
        <v>0.1</v>
      </c>
      <c r="AH13" s="240">
        <v>0.8</v>
      </c>
      <c r="AI13" s="242">
        <v>0.8</v>
      </c>
      <c r="AJ13" s="242">
        <v>0.8</v>
      </c>
      <c r="AK13" s="239">
        <v>0</v>
      </c>
      <c r="AL13" s="239">
        <v>0</v>
      </c>
      <c r="AM13" s="239">
        <v>0</v>
      </c>
      <c r="AN13" s="239">
        <v>0</v>
      </c>
      <c r="AS13" s="3"/>
      <c r="BI13" s="191"/>
      <c r="BJ13" s="191"/>
      <c r="BK13" s="191"/>
      <c r="BL13" s="191"/>
      <c r="BM13" s="191"/>
    </row>
    <row r="14" x14ac:dyDescent="0.15">
      <c r="A14" t="s">
        <v>196</v>
      </c>
      <c r="B14" s="239">
        <v>0</v>
      </c>
      <c r="C14" s="239">
        <v>0</v>
      </c>
      <c r="D14" s="240">
        <v>0.6</v>
      </c>
      <c r="E14" s="240">
        <v>0.6</v>
      </c>
      <c r="F14" s="240">
        <v>0.6</v>
      </c>
      <c r="G14" s="240">
        <v>0.6</v>
      </c>
      <c r="H14" s="241">
        <v>0.3</v>
      </c>
      <c r="I14" s="240">
        <v>0.6</v>
      </c>
      <c r="J14" s="240">
        <v>0.1</v>
      </c>
      <c r="K14" s="240">
        <v>0.1</v>
      </c>
      <c r="L14" s="240">
        <v>0.6</v>
      </c>
      <c r="M14" s="240">
        <v>0.5</v>
      </c>
      <c r="N14" s="240">
        <v>0.8</v>
      </c>
      <c r="O14" s="240">
        <v>0.8</v>
      </c>
      <c r="P14" s="240">
        <v>0.5</v>
      </c>
      <c r="Q14" s="240">
        <v>0.5</v>
      </c>
      <c r="R14" s="240">
        <v>0.5</v>
      </c>
      <c r="S14" s="240">
        <v>0.1</v>
      </c>
      <c r="T14" s="240">
        <v>0.1</v>
      </c>
      <c r="U14" s="240">
        <v>0.1</v>
      </c>
      <c r="V14" s="240">
        <v>0.3</v>
      </c>
      <c r="W14" s="240">
        <v>0.8</v>
      </c>
      <c r="X14" s="240">
        <v>0.3</v>
      </c>
      <c r="Y14" s="240">
        <v>0.3</v>
      </c>
      <c r="Z14" s="240">
        <v>0.3</v>
      </c>
      <c r="AA14" s="240">
        <v>0.3</v>
      </c>
      <c r="AB14" s="240">
        <v>0.3</v>
      </c>
      <c r="AC14" s="240">
        <v>0.3</v>
      </c>
      <c r="AD14" s="240">
        <v>0.3</v>
      </c>
      <c r="AE14" s="240">
        <v>0.3</v>
      </c>
      <c r="AF14" s="240">
        <v>0.1</v>
      </c>
      <c r="AG14" s="240">
        <v>0.1</v>
      </c>
      <c r="AH14" s="240">
        <v>0.8</v>
      </c>
      <c r="AI14" s="242">
        <v>0.8</v>
      </c>
      <c r="AJ14" s="242">
        <v>0.8</v>
      </c>
      <c r="AK14" s="239">
        <v>0</v>
      </c>
      <c r="AL14" s="239">
        <v>0</v>
      </c>
      <c r="AM14" s="239">
        <v>0</v>
      </c>
      <c r="AN14" s="239">
        <v>0</v>
      </c>
      <c r="AS14" s="3"/>
      <c r="BI14" s="191"/>
      <c r="BJ14" s="191"/>
      <c r="BK14" s="191"/>
      <c r="BL14" s="191"/>
      <c r="BM14" s="191"/>
    </row>
    <row r="15" x14ac:dyDescent="0.15">
      <c r="A15" t="s">
        <v>197</v>
      </c>
      <c r="B15" s="239">
        <v>0</v>
      </c>
      <c r="C15" s="239">
        <v>0</v>
      </c>
      <c r="D15" s="240">
        <v>0.6</v>
      </c>
      <c r="E15" s="240">
        <v>0.6</v>
      </c>
      <c r="F15" s="240">
        <v>0.6</v>
      </c>
      <c r="G15" s="240">
        <v>0.6</v>
      </c>
      <c r="H15" s="241">
        <v>0.3</v>
      </c>
      <c r="I15" s="240">
        <v>0.6</v>
      </c>
      <c r="J15" s="240">
        <v>0.1</v>
      </c>
      <c r="K15" s="240">
        <v>0.1</v>
      </c>
      <c r="L15" s="240">
        <v>0.6</v>
      </c>
      <c r="M15" s="240">
        <v>0.5</v>
      </c>
      <c r="N15" s="240">
        <v>0.8</v>
      </c>
      <c r="O15" s="240">
        <v>0.8</v>
      </c>
      <c r="P15" s="240">
        <v>0.5</v>
      </c>
      <c r="Q15" s="240">
        <v>0.5</v>
      </c>
      <c r="R15" s="240">
        <v>0.5</v>
      </c>
      <c r="S15" s="240">
        <v>0.1</v>
      </c>
      <c r="T15" s="240">
        <v>0.1</v>
      </c>
      <c r="U15" s="240">
        <v>0.1</v>
      </c>
      <c r="V15" s="240">
        <v>0.3</v>
      </c>
      <c r="W15" s="240">
        <v>0.8</v>
      </c>
      <c r="X15" s="240">
        <v>0.3</v>
      </c>
      <c r="Y15" s="240">
        <v>0.3</v>
      </c>
      <c r="Z15" s="240">
        <v>0.3</v>
      </c>
      <c r="AA15" s="240">
        <v>0.3</v>
      </c>
      <c r="AB15" s="240">
        <v>0.3</v>
      </c>
      <c r="AC15" s="240">
        <v>0.3</v>
      </c>
      <c r="AD15" s="240">
        <v>0.3</v>
      </c>
      <c r="AE15" s="240">
        <v>0.3</v>
      </c>
      <c r="AF15" s="240">
        <v>0.1</v>
      </c>
      <c r="AG15" s="240">
        <v>0.1</v>
      </c>
      <c r="AH15" s="240">
        <v>0.8</v>
      </c>
      <c r="AI15" s="242">
        <v>0.8</v>
      </c>
      <c r="AJ15" s="242">
        <v>0.8</v>
      </c>
      <c r="AK15" s="239">
        <v>0</v>
      </c>
      <c r="AL15" s="239">
        <v>0</v>
      </c>
      <c r="AM15" s="239">
        <v>0</v>
      </c>
      <c r="AN15" s="239">
        <v>0</v>
      </c>
      <c r="AS15" s="3"/>
      <c r="BI15" s="191"/>
      <c r="BJ15" s="191"/>
      <c r="BK15" s="191"/>
      <c r="BL15" s="191"/>
      <c r="BM15" s="191"/>
    </row>
    <row r="16" x14ac:dyDescent="0.15">
      <c r="A16" t="s">
        <v>198</v>
      </c>
      <c r="B16" s="239">
        <v>0</v>
      </c>
      <c r="C16" s="239">
        <v>0</v>
      </c>
      <c r="D16" s="240">
        <v>0.6</v>
      </c>
      <c r="E16" s="240">
        <v>0.6</v>
      </c>
      <c r="F16" s="240">
        <v>0.6</v>
      </c>
      <c r="G16" s="240">
        <v>0.6</v>
      </c>
      <c r="H16" s="241">
        <v>0.3</v>
      </c>
      <c r="I16" s="240">
        <v>0.6</v>
      </c>
      <c r="J16" s="240">
        <v>0.1</v>
      </c>
      <c r="K16" s="240">
        <v>0.1</v>
      </c>
      <c r="L16" s="240">
        <v>0.6</v>
      </c>
      <c r="M16" s="240">
        <v>0.5</v>
      </c>
      <c r="N16" s="240">
        <v>0.8</v>
      </c>
      <c r="O16" s="240">
        <v>0.8</v>
      </c>
      <c r="P16" s="240">
        <v>0.5</v>
      </c>
      <c r="Q16" s="240">
        <v>0.5</v>
      </c>
      <c r="R16" s="240">
        <v>0.5</v>
      </c>
      <c r="S16" s="240">
        <v>0.1</v>
      </c>
      <c r="T16" s="240">
        <v>0.1</v>
      </c>
      <c r="U16" s="240">
        <v>0.1</v>
      </c>
      <c r="V16" s="240">
        <v>0.3</v>
      </c>
      <c r="W16" s="240">
        <v>0.8</v>
      </c>
      <c r="X16" s="240">
        <v>0.3</v>
      </c>
      <c r="Y16" s="240">
        <v>0.3</v>
      </c>
      <c r="Z16" s="240">
        <v>0.3</v>
      </c>
      <c r="AA16" s="240">
        <v>0.3</v>
      </c>
      <c r="AB16" s="240">
        <v>0.3</v>
      </c>
      <c r="AC16" s="240">
        <v>0.3</v>
      </c>
      <c r="AD16" s="240">
        <v>0.3</v>
      </c>
      <c r="AE16" s="240">
        <v>0.3</v>
      </c>
      <c r="AF16" s="240">
        <v>0.1</v>
      </c>
      <c r="AG16" s="240">
        <v>0.1</v>
      </c>
      <c r="AH16" s="240">
        <v>0.8</v>
      </c>
      <c r="AI16" s="242">
        <v>0.8</v>
      </c>
      <c r="AJ16" s="242">
        <v>0.8</v>
      </c>
      <c r="AK16" s="239">
        <v>0</v>
      </c>
      <c r="AL16" s="239">
        <v>0</v>
      </c>
      <c r="AM16" s="239">
        <v>0</v>
      </c>
      <c r="AN16" s="239">
        <v>0</v>
      </c>
      <c r="AS16" s="3"/>
      <c r="BI16" s="191"/>
      <c r="BJ16" s="191"/>
      <c r="BK16" s="191"/>
      <c r="BL16" s="191"/>
      <c r="BM16" s="191"/>
    </row>
    <row r="17" x14ac:dyDescent="0.15">
      <c r="A17" t="s">
        <v>229</v>
      </c>
      <c r="B17" s="239">
        <v>0</v>
      </c>
      <c r="C17" s="239">
        <v>0</v>
      </c>
      <c r="D17" s="240">
        <v>0.6</v>
      </c>
      <c r="E17" s="240">
        <v>0.6</v>
      </c>
      <c r="F17" s="240">
        <v>0.6</v>
      </c>
      <c r="G17" s="240">
        <v>0.6</v>
      </c>
      <c r="H17" s="241">
        <v>0.3</v>
      </c>
      <c r="I17" s="240">
        <v>0.6</v>
      </c>
      <c r="J17" s="240">
        <v>0.1</v>
      </c>
      <c r="K17" s="240">
        <v>0.1</v>
      </c>
      <c r="L17" s="240">
        <v>0.6</v>
      </c>
      <c r="M17" s="240">
        <v>0.5</v>
      </c>
      <c r="N17" s="240">
        <v>0.8</v>
      </c>
      <c r="O17" s="240">
        <v>0.8</v>
      </c>
      <c r="P17" s="240">
        <v>0.5</v>
      </c>
      <c r="Q17" s="240">
        <v>0.5</v>
      </c>
      <c r="R17" s="240">
        <v>0.5</v>
      </c>
      <c r="S17" s="240">
        <v>0.1</v>
      </c>
      <c r="T17" s="240">
        <v>0.1</v>
      </c>
      <c r="U17" s="240">
        <v>0.1</v>
      </c>
      <c r="V17" s="240">
        <v>0.3</v>
      </c>
      <c r="W17" s="240">
        <v>0.8</v>
      </c>
      <c r="X17" s="240">
        <v>0.3</v>
      </c>
      <c r="Y17" s="240">
        <v>0.3</v>
      </c>
      <c r="Z17" s="240">
        <v>0.3</v>
      </c>
      <c r="AA17" s="240">
        <v>0.3</v>
      </c>
      <c r="AB17" s="240">
        <v>0.3</v>
      </c>
      <c r="AC17" s="240">
        <v>0.3</v>
      </c>
      <c r="AD17" s="240">
        <v>0.3</v>
      </c>
      <c r="AE17" s="240">
        <v>0.3</v>
      </c>
      <c r="AF17" s="240">
        <v>0.1</v>
      </c>
      <c r="AG17" s="240">
        <v>0.1</v>
      </c>
      <c r="AH17" s="240">
        <v>0.8</v>
      </c>
      <c r="AI17" s="242">
        <v>0.8</v>
      </c>
      <c r="AJ17" s="242">
        <v>0.8</v>
      </c>
      <c r="AK17" s="239">
        <v>0</v>
      </c>
      <c r="AL17" s="239">
        <v>0</v>
      </c>
      <c r="AM17" s="239">
        <v>0</v>
      </c>
      <c r="AN17" s="239">
        <v>0</v>
      </c>
      <c r="AS17" s="3"/>
      <c r="BI17" s="191"/>
      <c r="BJ17" s="191"/>
      <c r="BK17" s="191"/>
      <c r="BL17" s="191"/>
      <c r="BM17" s="191"/>
    </row>
    <row r="18" x14ac:dyDescent="0.15">
      <c r="A18" t="s">
        <v>200</v>
      </c>
      <c r="B18" s="239">
        <v>0</v>
      </c>
      <c r="C18" s="239">
        <v>0</v>
      </c>
      <c r="D18" s="240">
        <v>0.6</v>
      </c>
      <c r="E18" s="240">
        <v>0.6</v>
      </c>
      <c r="F18" s="240">
        <v>0.6</v>
      </c>
      <c r="G18" s="240">
        <v>0.6</v>
      </c>
      <c r="H18" s="241">
        <v>0.3</v>
      </c>
      <c r="I18" s="240">
        <v>0.6</v>
      </c>
      <c r="J18" s="240">
        <v>0.1</v>
      </c>
      <c r="K18" s="240">
        <v>0.1</v>
      </c>
      <c r="L18" s="240">
        <v>0.6</v>
      </c>
      <c r="M18" s="240">
        <v>0.5</v>
      </c>
      <c r="N18" s="240">
        <v>0.8</v>
      </c>
      <c r="O18" s="240">
        <v>0.8</v>
      </c>
      <c r="P18" s="240">
        <v>0.5</v>
      </c>
      <c r="Q18" s="240">
        <v>0.5</v>
      </c>
      <c r="R18" s="240">
        <v>0.5</v>
      </c>
      <c r="S18" s="240">
        <v>0.1</v>
      </c>
      <c r="T18" s="240">
        <v>0.1</v>
      </c>
      <c r="U18" s="240">
        <v>0.1</v>
      </c>
      <c r="V18" s="240">
        <v>0.3</v>
      </c>
      <c r="W18" s="240">
        <v>0.8</v>
      </c>
      <c r="X18" s="240">
        <v>0.3</v>
      </c>
      <c r="Y18" s="240">
        <v>0.3</v>
      </c>
      <c r="Z18" s="240">
        <v>0.3</v>
      </c>
      <c r="AA18" s="240">
        <v>0.3</v>
      </c>
      <c r="AB18" s="240">
        <v>0.3</v>
      </c>
      <c r="AC18" s="240">
        <v>0.3</v>
      </c>
      <c r="AD18" s="240">
        <v>0.3</v>
      </c>
      <c r="AE18" s="240">
        <v>0.3</v>
      </c>
      <c r="AF18" s="240">
        <v>0.1</v>
      </c>
      <c r="AG18" s="240">
        <v>0.1</v>
      </c>
      <c r="AH18" s="240">
        <v>0.8</v>
      </c>
      <c r="AI18" s="242">
        <v>0.8</v>
      </c>
      <c r="AJ18" s="242">
        <v>0.8</v>
      </c>
      <c r="AK18" s="239">
        <v>0</v>
      </c>
      <c r="AL18" s="239">
        <v>0</v>
      </c>
      <c r="AM18" s="239">
        <v>0</v>
      </c>
      <c r="AN18" s="239">
        <v>0</v>
      </c>
      <c r="AS18" s="3"/>
      <c r="BI18" s="191"/>
      <c r="BJ18" s="191"/>
      <c r="BK18" s="191"/>
      <c r="BL18" s="191"/>
      <c r="BM18" s="191"/>
    </row>
    <row r="19" x14ac:dyDescent="0.15">
      <c r="A19" t="s">
        <v>201</v>
      </c>
      <c r="B19" s="239">
        <v>0</v>
      </c>
      <c r="C19" s="239">
        <v>0</v>
      </c>
      <c r="D19" s="240">
        <v>0.6</v>
      </c>
      <c r="E19" s="240">
        <v>0.6</v>
      </c>
      <c r="F19" s="240">
        <v>0.6</v>
      </c>
      <c r="G19" s="240">
        <v>0.6</v>
      </c>
      <c r="H19" s="241">
        <v>0.3</v>
      </c>
      <c r="I19" s="240">
        <v>0.6</v>
      </c>
      <c r="J19" s="240">
        <v>0.1</v>
      </c>
      <c r="K19" s="240">
        <v>0.1</v>
      </c>
      <c r="L19" s="240">
        <v>0.6</v>
      </c>
      <c r="M19" s="240">
        <v>0.5</v>
      </c>
      <c r="N19" s="240">
        <v>0.8</v>
      </c>
      <c r="O19" s="240">
        <v>0.8</v>
      </c>
      <c r="P19" s="240">
        <v>0.5</v>
      </c>
      <c r="Q19" s="240">
        <v>0.5</v>
      </c>
      <c r="R19" s="240">
        <v>0.5</v>
      </c>
      <c r="S19" s="240">
        <v>0.1</v>
      </c>
      <c r="T19" s="240">
        <v>0.1</v>
      </c>
      <c r="U19" s="240">
        <v>0.1</v>
      </c>
      <c r="V19" s="240">
        <v>0.3</v>
      </c>
      <c r="W19" s="240">
        <v>0.8</v>
      </c>
      <c r="X19" s="240">
        <v>0.3</v>
      </c>
      <c r="Y19" s="240">
        <v>0.3</v>
      </c>
      <c r="Z19" s="240">
        <v>0.3</v>
      </c>
      <c r="AA19" s="240">
        <v>0.3</v>
      </c>
      <c r="AB19" s="240">
        <v>0.3</v>
      </c>
      <c r="AC19" s="240">
        <v>0.3</v>
      </c>
      <c r="AD19" s="240">
        <v>0.3</v>
      </c>
      <c r="AE19" s="240">
        <v>0.3</v>
      </c>
      <c r="AF19" s="240">
        <v>0.1</v>
      </c>
      <c r="AG19" s="240">
        <v>0.1</v>
      </c>
      <c r="AH19" s="240">
        <v>0.8</v>
      </c>
      <c r="AI19" s="242">
        <v>0.8</v>
      </c>
      <c r="AJ19" s="242">
        <v>0.8</v>
      </c>
      <c r="AK19" s="239">
        <v>0</v>
      </c>
      <c r="AL19" s="239">
        <v>0</v>
      </c>
      <c r="AM19" s="239">
        <v>0</v>
      </c>
      <c r="AN19" s="239">
        <v>0</v>
      </c>
      <c r="AS19" s="3"/>
      <c r="BI19" s="191"/>
      <c r="BJ19" s="191"/>
      <c r="BK19" s="191"/>
      <c r="BL19" s="191"/>
      <c r="BM19" s="191"/>
    </row>
    <row r="20" x14ac:dyDescent="0.15">
      <c r="A20" t="s">
        <v>202</v>
      </c>
      <c r="B20" s="239">
        <v>0</v>
      </c>
      <c r="C20" s="239">
        <v>0</v>
      </c>
      <c r="D20" s="240">
        <v>0.6</v>
      </c>
      <c r="E20" s="240">
        <v>0.6</v>
      </c>
      <c r="F20" s="240">
        <v>0.6</v>
      </c>
      <c r="G20" s="240">
        <v>0.6</v>
      </c>
      <c r="H20" s="241">
        <v>0.3</v>
      </c>
      <c r="I20" s="240">
        <v>0.6</v>
      </c>
      <c r="J20" s="240">
        <v>0.1</v>
      </c>
      <c r="K20" s="240">
        <v>0.1</v>
      </c>
      <c r="L20" s="240">
        <v>0.6</v>
      </c>
      <c r="M20" s="240">
        <v>0.5</v>
      </c>
      <c r="N20" s="240">
        <v>0.8</v>
      </c>
      <c r="O20" s="240">
        <v>0.8</v>
      </c>
      <c r="P20" s="240">
        <v>0.5</v>
      </c>
      <c r="Q20" s="240">
        <v>0.5</v>
      </c>
      <c r="R20" s="240">
        <v>0.5</v>
      </c>
      <c r="S20" s="240">
        <v>0.1</v>
      </c>
      <c r="T20" s="240">
        <v>0.1</v>
      </c>
      <c r="U20" s="240">
        <v>0.1</v>
      </c>
      <c r="V20" s="240">
        <v>0.3</v>
      </c>
      <c r="W20" s="240">
        <v>0.8</v>
      </c>
      <c r="X20" s="240">
        <v>0.3</v>
      </c>
      <c r="Y20" s="240">
        <v>0.3</v>
      </c>
      <c r="Z20" s="240">
        <v>0.3</v>
      </c>
      <c r="AA20" s="240">
        <v>0.3</v>
      </c>
      <c r="AB20" s="240">
        <v>0.3</v>
      </c>
      <c r="AC20" s="240">
        <v>0.3</v>
      </c>
      <c r="AD20" s="240">
        <v>0.3</v>
      </c>
      <c r="AE20" s="240">
        <v>0.3</v>
      </c>
      <c r="AF20" s="240">
        <v>0.1</v>
      </c>
      <c r="AG20" s="240">
        <v>0.1</v>
      </c>
      <c r="AH20" s="240">
        <v>0.8</v>
      </c>
      <c r="AI20" s="242">
        <v>0.8</v>
      </c>
      <c r="AJ20" s="242">
        <v>0.8</v>
      </c>
      <c r="AK20" s="239">
        <v>0</v>
      </c>
      <c r="AL20" s="239">
        <v>0</v>
      </c>
      <c r="AM20" s="239">
        <v>0</v>
      </c>
      <c r="AN20" s="239">
        <v>0</v>
      </c>
      <c r="AS20" s="3"/>
      <c r="BI20" s="191"/>
      <c r="BJ20" s="191"/>
      <c r="BK20" s="191"/>
      <c r="BL20" s="191"/>
      <c r="BM20" s="191"/>
    </row>
    <row r="21" x14ac:dyDescent="0.15">
      <c r="A21" t="s">
        <v>203</v>
      </c>
      <c r="B21" s="239">
        <v>0</v>
      </c>
      <c r="C21" s="239">
        <v>0</v>
      </c>
      <c r="D21" s="240">
        <v>0.6</v>
      </c>
      <c r="E21" s="240">
        <v>0.6</v>
      </c>
      <c r="F21" s="240">
        <v>0.6</v>
      </c>
      <c r="G21" s="240">
        <v>0.6</v>
      </c>
      <c r="H21" s="241">
        <v>0.3</v>
      </c>
      <c r="I21" s="240">
        <v>0.6</v>
      </c>
      <c r="J21" s="240">
        <v>0.1</v>
      </c>
      <c r="K21" s="240">
        <v>0.1</v>
      </c>
      <c r="L21" s="240">
        <v>0.6</v>
      </c>
      <c r="M21" s="240">
        <v>0.5</v>
      </c>
      <c r="N21" s="240">
        <v>0.8</v>
      </c>
      <c r="O21" s="240">
        <v>0.8</v>
      </c>
      <c r="P21" s="240">
        <v>0.5</v>
      </c>
      <c r="Q21" s="240">
        <v>0.5</v>
      </c>
      <c r="R21" s="240">
        <v>0.5</v>
      </c>
      <c r="S21" s="240">
        <v>0.1</v>
      </c>
      <c r="T21" s="240">
        <v>0.1</v>
      </c>
      <c r="U21" s="240">
        <v>0.1</v>
      </c>
      <c r="V21" s="240">
        <v>0.3</v>
      </c>
      <c r="W21" s="240">
        <v>0.8</v>
      </c>
      <c r="X21" s="240">
        <v>0.3</v>
      </c>
      <c r="Y21" s="240">
        <v>0.3</v>
      </c>
      <c r="Z21" s="240">
        <v>0.3</v>
      </c>
      <c r="AA21" s="240">
        <v>0.3</v>
      </c>
      <c r="AB21" s="240">
        <v>0.3</v>
      </c>
      <c r="AC21" s="240">
        <v>0.3</v>
      </c>
      <c r="AD21" s="240">
        <v>0.3</v>
      </c>
      <c r="AE21" s="240">
        <v>0.3</v>
      </c>
      <c r="AF21" s="240">
        <v>0.1</v>
      </c>
      <c r="AG21" s="240">
        <v>0.1</v>
      </c>
      <c r="AH21" s="240">
        <v>0.8</v>
      </c>
      <c r="AI21" s="242">
        <v>0.8</v>
      </c>
      <c r="AJ21" s="242">
        <v>0.8</v>
      </c>
      <c r="AK21" s="239">
        <v>0</v>
      </c>
      <c r="AL21" s="239">
        <v>0</v>
      </c>
      <c r="AM21" s="239">
        <v>0</v>
      </c>
      <c r="AN21" s="239">
        <v>0</v>
      </c>
      <c r="AS21" s="3"/>
      <c r="BI21" s="191"/>
      <c r="BJ21" s="191"/>
      <c r="BK21" s="191"/>
      <c r="BL21" s="191"/>
      <c r="BM21" s="191"/>
    </row>
    <row r="22" x14ac:dyDescent="0.15">
      <c r="A22" t="s">
        <v>204</v>
      </c>
      <c r="B22" s="239">
        <v>0</v>
      </c>
      <c r="C22" s="239">
        <v>0</v>
      </c>
      <c r="D22" s="240">
        <v>0.6</v>
      </c>
      <c r="E22" s="240">
        <v>0.6</v>
      </c>
      <c r="F22" s="240">
        <v>0.6</v>
      </c>
      <c r="G22" s="240">
        <v>0.6</v>
      </c>
      <c r="H22" s="241">
        <v>0.3</v>
      </c>
      <c r="I22" s="240">
        <v>0.6</v>
      </c>
      <c r="J22" s="240">
        <v>0.1</v>
      </c>
      <c r="K22" s="240">
        <v>0.1</v>
      </c>
      <c r="L22" s="240">
        <v>0.6</v>
      </c>
      <c r="M22" s="240">
        <v>0.5</v>
      </c>
      <c r="N22" s="240">
        <v>0.8</v>
      </c>
      <c r="O22" s="240">
        <v>0.8</v>
      </c>
      <c r="P22" s="240">
        <v>0.5</v>
      </c>
      <c r="Q22" s="240">
        <v>0.5</v>
      </c>
      <c r="R22" s="240">
        <v>0.5</v>
      </c>
      <c r="S22" s="240">
        <v>0.1</v>
      </c>
      <c r="T22" s="240">
        <v>0.1</v>
      </c>
      <c r="U22" s="240">
        <v>0.1</v>
      </c>
      <c r="V22" s="240">
        <v>0.3</v>
      </c>
      <c r="W22" s="240">
        <v>0.8</v>
      </c>
      <c r="X22" s="240">
        <v>0.3</v>
      </c>
      <c r="Y22" s="240">
        <v>0.3</v>
      </c>
      <c r="Z22" s="240">
        <v>0.3</v>
      </c>
      <c r="AA22" s="240">
        <v>0.3</v>
      </c>
      <c r="AB22" s="240">
        <v>0.3</v>
      </c>
      <c r="AC22" s="240">
        <v>0.3</v>
      </c>
      <c r="AD22" s="240">
        <v>0.3</v>
      </c>
      <c r="AE22" s="240">
        <v>0.3</v>
      </c>
      <c r="AF22" s="240">
        <v>0.1</v>
      </c>
      <c r="AG22" s="240">
        <v>0.1</v>
      </c>
      <c r="AH22" s="240">
        <v>0.8</v>
      </c>
      <c r="AI22" s="242">
        <v>0.8</v>
      </c>
      <c r="AJ22" s="242">
        <v>0.8</v>
      </c>
      <c r="AK22" s="239">
        <v>0</v>
      </c>
      <c r="AL22" s="239">
        <v>0</v>
      </c>
      <c r="AM22" s="239">
        <v>0</v>
      </c>
      <c r="AN22" s="239">
        <v>0</v>
      </c>
      <c r="AS22" s="3"/>
      <c r="BI22" s="191"/>
      <c r="BJ22" s="191"/>
      <c r="BK22" s="191"/>
      <c r="BL22" s="191"/>
      <c r="BM22" s="191"/>
    </row>
    <row r="23" x14ac:dyDescent="0.15">
      <c r="A23" t="s">
        <v>205</v>
      </c>
      <c r="B23" s="239">
        <v>0</v>
      </c>
      <c r="C23" s="239">
        <v>0</v>
      </c>
      <c r="D23" s="240">
        <v>0.6</v>
      </c>
      <c r="E23" s="240">
        <v>0.6</v>
      </c>
      <c r="F23" s="240">
        <v>0.6</v>
      </c>
      <c r="G23" s="240">
        <v>0.6</v>
      </c>
      <c r="H23" s="241">
        <v>0.3</v>
      </c>
      <c r="I23" s="240">
        <v>0.6</v>
      </c>
      <c r="J23" s="240">
        <v>0.1</v>
      </c>
      <c r="K23" s="240">
        <v>0.1</v>
      </c>
      <c r="L23" s="240">
        <v>0.6</v>
      </c>
      <c r="M23" s="240">
        <v>0.5</v>
      </c>
      <c r="N23" s="240">
        <v>0.8</v>
      </c>
      <c r="O23" s="240">
        <v>0.8</v>
      </c>
      <c r="P23" s="240">
        <v>0.5</v>
      </c>
      <c r="Q23" s="240">
        <v>0.5</v>
      </c>
      <c r="R23" s="240">
        <v>0.5</v>
      </c>
      <c r="S23" s="240">
        <v>0.1</v>
      </c>
      <c r="T23" s="240">
        <v>0.1</v>
      </c>
      <c r="U23" s="240">
        <v>0.1</v>
      </c>
      <c r="V23" s="240">
        <v>0.3</v>
      </c>
      <c r="W23" s="240">
        <v>0.8</v>
      </c>
      <c r="X23" s="240">
        <v>0.3</v>
      </c>
      <c r="Y23" s="240">
        <v>0.3</v>
      </c>
      <c r="Z23" s="240">
        <v>0.3</v>
      </c>
      <c r="AA23" s="240">
        <v>0.3</v>
      </c>
      <c r="AB23" s="240">
        <v>0.3</v>
      </c>
      <c r="AC23" s="240">
        <v>0.3</v>
      </c>
      <c r="AD23" s="240">
        <v>0.3</v>
      </c>
      <c r="AE23" s="240">
        <v>0.3</v>
      </c>
      <c r="AF23" s="240">
        <v>0.1</v>
      </c>
      <c r="AG23" s="240">
        <v>0.1</v>
      </c>
      <c r="AH23" s="240">
        <v>0.8</v>
      </c>
      <c r="AI23" s="242">
        <v>0.8</v>
      </c>
      <c r="AJ23" s="242">
        <v>0.8</v>
      </c>
      <c r="AK23" s="239">
        <v>0</v>
      </c>
      <c r="AL23" s="239">
        <v>0</v>
      </c>
      <c r="AM23" s="239">
        <v>0</v>
      </c>
      <c r="AN23" s="239">
        <v>0</v>
      </c>
      <c r="AS23" s="3"/>
      <c r="BI23" s="191"/>
      <c r="BJ23" s="191"/>
      <c r="BK23" s="191"/>
      <c r="BL23" s="191"/>
      <c r="BM23" s="191"/>
    </row>
    <row r="24" x14ac:dyDescent="0.15">
      <c r="A24" t="s">
        <v>207</v>
      </c>
      <c r="B24" s="239">
        <v>0</v>
      </c>
      <c r="C24" s="239">
        <v>0</v>
      </c>
      <c r="D24" s="240">
        <v>0.6</v>
      </c>
      <c r="E24" s="240">
        <v>0.6</v>
      </c>
      <c r="F24" s="240">
        <v>0.6</v>
      </c>
      <c r="G24" s="240">
        <v>0.6</v>
      </c>
      <c r="H24" s="241">
        <v>0.3</v>
      </c>
      <c r="I24" s="240">
        <v>0.6</v>
      </c>
      <c r="J24" s="240">
        <v>0.1</v>
      </c>
      <c r="K24" s="240">
        <v>0.1</v>
      </c>
      <c r="L24" s="240">
        <v>0.6</v>
      </c>
      <c r="M24" s="240">
        <v>0.5</v>
      </c>
      <c r="N24" s="240">
        <v>0.8</v>
      </c>
      <c r="O24" s="240">
        <v>0.8</v>
      </c>
      <c r="P24" s="240">
        <v>0.5</v>
      </c>
      <c r="Q24" s="240">
        <v>0.5</v>
      </c>
      <c r="R24" s="240">
        <v>0.5</v>
      </c>
      <c r="S24" s="240">
        <v>0.1</v>
      </c>
      <c r="T24" s="240">
        <v>0.1</v>
      </c>
      <c r="U24" s="240">
        <v>0.1</v>
      </c>
      <c r="V24" s="240">
        <v>0.3</v>
      </c>
      <c r="W24" s="240">
        <v>0.8</v>
      </c>
      <c r="X24" s="240">
        <v>0.3</v>
      </c>
      <c r="Y24" s="240">
        <v>0.3</v>
      </c>
      <c r="Z24" s="240">
        <v>0.3</v>
      </c>
      <c r="AA24" s="240">
        <v>0.3</v>
      </c>
      <c r="AB24" s="240">
        <v>0.3</v>
      </c>
      <c r="AC24" s="240">
        <v>0.3</v>
      </c>
      <c r="AD24" s="240">
        <v>0.3</v>
      </c>
      <c r="AE24" s="240">
        <v>0.3</v>
      </c>
      <c r="AF24" s="240">
        <v>0.1</v>
      </c>
      <c r="AG24" s="240">
        <v>0.1</v>
      </c>
      <c r="AH24" s="240">
        <v>0.8</v>
      </c>
      <c r="AI24" s="242">
        <v>0.8</v>
      </c>
      <c r="AJ24" s="242">
        <v>0.8</v>
      </c>
      <c r="AK24" s="239">
        <v>0</v>
      </c>
      <c r="AL24" s="239">
        <v>0</v>
      </c>
      <c r="AM24" s="239">
        <v>0</v>
      </c>
      <c r="AN24" s="239">
        <v>0</v>
      </c>
      <c r="AS24" s="3"/>
      <c r="BI24" s="191"/>
      <c r="BJ24" s="191"/>
      <c r="BK24" s="191"/>
      <c r="BL24" s="191"/>
      <c r="BM24" s="191"/>
    </row>
    <row r="25" x14ac:dyDescent="0.15">
      <c r="A25" t="s">
        <v>208</v>
      </c>
      <c r="B25" s="239">
        <v>0</v>
      </c>
      <c r="C25" s="239">
        <v>0</v>
      </c>
      <c r="D25" s="240">
        <v>0.6</v>
      </c>
      <c r="E25" s="240">
        <v>0.6</v>
      </c>
      <c r="F25" s="240">
        <v>0.6</v>
      </c>
      <c r="G25" s="240">
        <v>0.6</v>
      </c>
      <c r="H25" s="241">
        <v>0.3</v>
      </c>
      <c r="I25" s="240">
        <v>0.6</v>
      </c>
      <c r="J25" s="240">
        <v>0.1</v>
      </c>
      <c r="K25" s="240">
        <v>0.1</v>
      </c>
      <c r="L25" s="240">
        <v>0.6</v>
      </c>
      <c r="M25" s="240">
        <v>0.5</v>
      </c>
      <c r="N25" s="240">
        <v>0.8</v>
      </c>
      <c r="O25" s="240">
        <v>0.8</v>
      </c>
      <c r="P25" s="240">
        <v>0.5</v>
      </c>
      <c r="Q25" s="240">
        <v>0.5</v>
      </c>
      <c r="R25" s="240">
        <v>0.5</v>
      </c>
      <c r="S25" s="240">
        <v>0.1</v>
      </c>
      <c r="T25" s="240">
        <v>0.1</v>
      </c>
      <c r="U25" s="240">
        <v>0.1</v>
      </c>
      <c r="V25" s="240">
        <v>0.3</v>
      </c>
      <c r="W25" s="240">
        <v>0.8</v>
      </c>
      <c r="X25" s="240">
        <v>0.3</v>
      </c>
      <c r="Y25" s="240">
        <v>0.3</v>
      </c>
      <c r="Z25" s="240">
        <v>0.3</v>
      </c>
      <c r="AA25" s="240">
        <v>0.3</v>
      </c>
      <c r="AB25" s="240">
        <v>0.3</v>
      </c>
      <c r="AC25" s="240">
        <v>0.3</v>
      </c>
      <c r="AD25" s="240">
        <v>0.3</v>
      </c>
      <c r="AE25" s="240">
        <v>0.3</v>
      </c>
      <c r="AF25" s="240">
        <v>0.1</v>
      </c>
      <c r="AG25" s="240">
        <v>0.1</v>
      </c>
      <c r="AH25" s="240">
        <v>0.8</v>
      </c>
      <c r="AI25" s="242">
        <v>0.8</v>
      </c>
      <c r="AJ25" s="242">
        <v>0.8</v>
      </c>
      <c r="AK25" s="239">
        <v>0</v>
      </c>
      <c r="AL25" s="239">
        <v>0</v>
      </c>
      <c r="AM25" s="239">
        <v>0</v>
      </c>
      <c r="AN25" s="239">
        <v>0</v>
      </c>
      <c r="AS25" s="3"/>
      <c r="BI25" s="191"/>
      <c r="BJ25" s="191"/>
      <c r="BK25" s="191"/>
      <c r="BL25" s="191"/>
      <c r="BM25" s="191"/>
    </row>
    <row r="26" x14ac:dyDescent="0.15">
      <c r="A26" t="s">
        <v>209</v>
      </c>
      <c r="B26" s="239">
        <v>0</v>
      </c>
      <c r="C26" s="239">
        <v>0</v>
      </c>
      <c r="D26" s="240">
        <v>0.6</v>
      </c>
      <c r="E26" s="240">
        <v>0.6</v>
      </c>
      <c r="F26" s="240">
        <v>0.6</v>
      </c>
      <c r="G26" s="240">
        <v>0.6</v>
      </c>
      <c r="H26" s="241">
        <v>0.3</v>
      </c>
      <c r="I26" s="240">
        <v>0.6</v>
      </c>
      <c r="J26" s="240">
        <v>0.1</v>
      </c>
      <c r="K26" s="240">
        <v>0.1</v>
      </c>
      <c r="L26" s="240">
        <v>0.6</v>
      </c>
      <c r="M26" s="240">
        <v>0.5</v>
      </c>
      <c r="N26" s="240">
        <v>0.8</v>
      </c>
      <c r="O26" s="240">
        <v>0.8</v>
      </c>
      <c r="P26" s="240">
        <v>0.5</v>
      </c>
      <c r="Q26" s="240">
        <v>0.5</v>
      </c>
      <c r="R26" s="240">
        <v>0.5</v>
      </c>
      <c r="S26" s="240">
        <v>0.1</v>
      </c>
      <c r="T26" s="240">
        <v>0.1</v>
      </c>
      <c r="U26" s="240">
        <v>0.1</v>
      </c>
      <c r="V26" s="240">
        <v>0.3</v>
      </c>
      <c r="W26" s="240">
        <v>0.8</v>
      </c>
      <c r="X26" s="240">
        <v>0.3</v>
      </c>
      <c r="Y26" s="240">
        <v>0.3</v>
      </c>
      <c r="Z26" s="240">
        <v>0.3</v>
      </c>
      <c r="AA26" s="240">
        <v>0.3</v>
      </c>
      <c r="AB26" s="240">
        <v>0.3</v>
      </c>
      <c r="AC26" s="240">
        <v>0.3</v>
      </c>
      <c r="AD26" s="240">
        <v>0.3</v>
      </c>
      <c r="AE26" s="240">
        <v>0.3</v>
      </c>
      <c r="AF26" s="240">
        <v>0.1</v>
      </c>
      <c r="AG26" s="240">
        <v>0.1</v>
      </c>
      <c r="AH26" s="240">
        <v>0.8</v>
      </c>
      <c r="AI26" s="242">
        <v>0.8</v>
      </c>
      <c r="AJ26" s="242">
        <v>0.8</v>
      </c>
      <c r="AK26" s="239">
        <v>0</v>
      </c>
      <c r="AL26" s="239">
        <v>0</v>
      </c>
      <c r="AM26" s="239">
        <v>0</v>
      </c>
      <c r="AN26" s="239">
        <v>0</v>
      </c>
      <c r="AS26" s="3"/>
      <c r="BI26" s="191"/>
      <c r="BJ26" s="191"/>
      <c r="BK26" s="191"/>
      <c r="BL26" s="191"/>
      <c r="BM26" s="191"/>
    </row>
    <row r="27" x14ac:dyDescent="0.15">
      <c r="A27" t="s">
        <v>210</v>
      </c>
      <c r="B27" s="239">
        <v>0</v>
      </c>
      <c r="C27" s="239">
        <v>0</v>
      </c>
      <c r="D27" s="240">
        <v>0.6</v>
      </c>
      <c r="E27" s="240">
        <v>0.6</v>
      </c>
      <c r="F27" s="240">
        <v>0.6</v>
      </c>
      <c r="G27" s="240">
        <v>0.6</v>
      </c>
      <c r="H27" s="241">
        <v>0.3</v>
      </c>
      <c r="I27" s="240">
        <v>0.6</v>
      </c>
      <c r="J27" s="240">
        <v>0.1</v>
      </c>
      <c r="K27" s="240">
        <v>0.1</v>
      </c>
      <c r="L27" s="240">
        <v>0.6</v>
      </c>
      <c r="M27" s="240">
        <v>0.5</v>
      </c>
      <c r="N27" s="240">
        <v>0.8</v>
      </c>
      <c r="O27" s="240">
        <v>0.8</v>
      </c>
      <c r="P27" s="240">
        <v>0.5</v>
      </c>
      <c r="Q27" s="240">
        <v>0.5</v>
      </c>
      <c r="R27" s="240">
        <v>0.5</v>
      </c>
      <c r="S27" s="240">
        <v>0.1</v>
      </c>
      <c r="T27" s="240">
        <v>0.1</v>
      </c>
      <c r="U27" s="240">
        <v>0.1</v>
      </c>
      <c r="V27" s="240">
        <v>0.3</v>
      </c>
      <c r="W27" s="240">
        <v>0.8</v>
      </c>
      <c r="X27" s="240">
        <v>0.3</v>
      </c>
      <c r="Y27" s="240">
        <v>0.3</v>
      </c>
      <c r="Z27" s="240">
        <v>0.3</v>
      </c>
      <c r="AA27" s="240">
        <v>0.3</v>
      </c>
      <c r="AB27" s="240">
        <v>0.3</v>
      </c>
      <c r="AC27" s="240">
        <v>0.3</v>
      </c>
      <c r="AD27" s="240">
        <v>0.3</v>
      </c>
      <c r="AE27" s="240">
        <v>0.3</v>
      </c>
      <c r="AF27" s="240">
        <v>0.1</v>
      </c>
      <c r="AG27" s="240">
        <v>0.1</v>
      </c>
      <c r="AH27" s="240">
        <v>0.8</v>
      </c>
      <c r="AI27" s="242">
        <v>0.8</v>
      </c>
      <c r="AJ27" s="242">
        <v>0.8</v>
      </c>
      <c r="AK27" s="239">
        <v>0</v>
      </c>
      <c r="AL27" s="239">
        <v>0</v>
      </c>
      <c r="AM27" s="239">
        <v>0</v>
      </c>
      <c r="AN27" s="239">
        <v>0</v>
      </c>
      <c r="AS27" s="3"/>
      <c r="BI27" s="191"/>
      <c r="BJ27" s="191"/>
      <c r="BK27" s="191"/>
      <c r="BL27" s="191"/>
      <c r="BM27" s="191"/>
    </row>
    <row r="28" x14ac:dyDescent="0.15">
      <c r="A28" t="s">
        <v>211</v>
      </c>
      <c r="B28" s="239">
        <v>0</v>
      </c>
      <c r="C28" s="239">
        <v>0</v>
      </c>
      <c r="D28" s="240">
        <v>0.6</v>
      </c>
      <c r="E28" s="240">
        <v>0.6</v>
      </c>
      <c r="F28" s="240">
        <v>0.6</v>
      </c>
      <c r="G28" s="240">
        <v>0.6</v>
      </c>
      <c r="H28" s="241">
        <v>0.3</v>
      </c>
      <c r="I28" s="240">
        <v>0.6</v>
      </c>
      <c r="J28" s="240">
        <v>0.1</v>
      </c>
      <c r="K28" s="240">
        <v>0.1</v>
      </c>
      <c r="L28" s="240">
        <v>0.6</v>
      </c>
      <c r="M28" s="240">
        <v>0.5</v>
      </c>
      <c r="N28" s="240">
        <v>0.8</v>
      </c>
      <c r="O28" s="240">
        <v>0.8</v>
      </c>
      <c r="P28" s="240">
        <v>0.5</v>
      </c>
      <c r="Q28" s="240">
        <v>0.5</v>
      </c>
      <c r="R28" s="240">
        <v>0.5</v>
      </c>
      <c r="S28" s="240">
        <v>0.1</v>
      </c>
      <c r="T28" s="240">
        <v>0.1</v>
      </c>
      <c r="U28" s="240">
        <v>0.1</v>
      </c>
      <c r="V28" s="240">
        <v>0.3</v>
      </c>
      <c r="W28" s="240">
        <v>0.8</v>
      </c>
      <c r="X28" s="240">
        <v>0.3</v>
      </c>
      <c r="Y28" s="240">
        <v>0.3</v>
      </c>
      <c r="Z28" s="240">
        <v>0.3</v>
      </c>
      <c r="AA28" s="240">
        <v>0.3</v>
      </c>
      <c r="AB28" s="240">
        <v>0.3</v>
      </c>
      <c r="AC28" s="240">
        <v>0.3</v>
      </c>
      <c r="AD28" s="240">
        <v>0.3</v>
      </c>
      <c r="AE28" s="240">
        <v>0.3</v>
      </c>
      <c r="AF28" s="240">
        <v>0.1</v>
      </c>
      <c r="AG28" s="240">
        <v>0.1</v>
      </c>
      <c r="AH28" s="240">
        <v>0.8</v>
      </c>
      <c r="AI28" s="242">
        <v>0.8</v>
      </c>
      <c r="AJ28" s="242">
        <v>0.8</v>
      </c>
      <c r="AK28" s="239">
        <v>0</v>
      </c>
      <c r="AL28" s="239">
        <v>0</v>
      </c>
      <c r="AM28" s="239">
        <v>0</v>
      </c>
      <c r="AN28" s="239">
        <v>0</v>
      </c>
      <c r="AS28" s="3"/>
      <c r="BI28" s="191"/>
      <c r="BJ28" s="191"/>
      <c r="BK28" s="191"/>
      <c r="BL28" s="191"/>
      <c r="BM28" s="191"/>
    </row>
    <row r="29" x14ac:dyDescent="0.15">
      <c r="A29" t="s">
        <v>212</v>
      </c>
      <c r="B29" s="239">
        <v>0</v>
      </c>
      <c r="C29" s="239">
        <v>0</v>
      </c>
      <c r="D29" s="240">
        <v>0.6</v>
      </c>
      <c r="E29" s="240">
        <v>0.6</v>
      </c>
      <c r="F29" s="240">
        <v>0.6</v>
      </c>
      <c r="G29" s="240">
        <v>0.6</v>
      </c>
      <c r="H29" s="241">
        <v>0.3</v>
      </c>
      <c r="I29" s="240">
        <v>0.6</v>
      </c>
      <c r="J29" s="240">
        <v>0.1</v>
      </c>
      <c r="K29" s="240">
        <v>0.1</v>
      </c>
      <c r="L29" s="240">
        <v>0.6</v>
      </c>
      <c r="M29" s="240">
        <v>0.5</v>
      </c>
      <c r="N29" s="240">
        <v>0.8</v>
      </c>
      <c r="O29" s="240">
        <v>0.8</v>
      </c>
      <c r="P29" s="240">
        <v>0.5</v>
      </c>
      <c r="Q29" s="240">
        <v>0.5</v>
      </c>
      <c r="R29" s="240">
        <v>0.5</v>
      </c>
      <c r="S29" s="240">
        <v>0.1</v>
      </c>
      <c r="T29" s="240">
        <v>0.1</v>
      </c>
      <c r="U29" s="240">
        <v>0.1</v>
      </c>
      <c r="V29" s="240">
        <v>0.3</v>
      </c>
      <c r="W29" s="240">
        <v>0.8</v>
      </c>
      <c r="X29" s="240">
        <v>0.3</v>
      </c>
      <c r="Y29" s="240">
        <v>0.3</v>
      </c>
      <c r="Z29" s="240">
        <v>0.3</v>
      </c>
      <c r="AA29" s="240">
        <v>0.3</v>
      </c>
      <c r="AB29" s="240">
        <v>0.3</v>
      </c>
      <c r="AC29" s="240">
        <v>0.3</v>
      </c>
      <c r="AD29" s="240">
        <v>0.3</v>
      </c>
      <c r="AE29" s="240">
        <v>0.3</v>
      </c>
      <c r="AF29" s="240">
        <v>0.1</v>
      </c>
      <c r="AG29" s="240">
        <v>0.1</v>
      </c>
      <c r="AH29" s="240">
        <v>0.8</v>
      </c>
      <c r="AI29" s="242">
        <v>0.8</v>
      </c>
      <c r="AJ29" s="242">
        <v>0.8</v>
      </c>
      <c r="AK29" s="239">
        <v>0</v>
      </c>
      <c r="AL29" s="239">
        <v>0</v>
      </c>
      <c r="AM29" s="239">
        <v>0</v>
      </c>
      <c r="AN29" s="239">
        <v>0</v>
      </c>
      <c r="AS29" s="3"/>
      <c r="BI29" s="191"/>
      <c r="BJ29" s="191"/>
      <c r="BK29" s="191"/>
      <c r="BL29" s="191"/>
      <c r="BM29" s="191"/>
    </row>
    <row r="30" x14ac:dyDescent="0.15">
      <c r="A30" t="s">
        <v>213</v>
      </c>
      <c r="B30" s="239">
        <v>0</v>
      </c>
      <c r="C30" s="239">
        <v>0</v>
      </c>
      <c r="D30" s="240">
        <v>0.6</v>
      </c>
      <c r="E30" s="240">
        <v>0.6</v>
      </c>
      <c r="F30" s="240">
        <v>0.6</v>
      </c>
      <c r="G30" s="240">
        <v>0.6</v>
      </c>
      <c r="H30" s="241">
        <v>0.3</v>
      </c>
      <c r="I30" s="240">
        <v>0.6</v>
      </c>
      <c r="J30" s="240">
        <v>0.1</v>
      </c>
      <c r="K30" s="240">
        <v>0.1</v>
      </c>
      <c r="L30" s="240">
        <v>0.6</v>
      </c>
      <c r="M30" s="240">
        <v>0.5</v>
      </c>
      <c r="N30" s="240">
        <v>0.8</v>
      </c>
      <c r="O30" s="240">
        <v>0.8</v>
      </c>
      <c r="P30" s="240">
        <v>0.5</v>
      </c>
      <c r="Q30" s="240">
        <v>0.5</v>
      </c>
      <c r="R30" s="240">
        <v>0.5</v>
      </c>
      <c r="S30" s="240">
        <v>0.1</v>
      </c>
      <c r="T30" s="240">
        <v>0.1</v>
      </c>
      <c r="U30" s="240">
        <v>0.1</v>
      </c>
      <c r="V30" s="240">
        <v>0.3</v>
      </c>
      <c r="W30" s="240">
        <v>0.8</v>
      </c>
      <c r="X30" s="240">
        <v>0.3</v>
      </c>
      <c r="Y30" s="240">
        <v>0.3</v>
      </c>
      <c r="Z30" s="240">
        <v>0.3</v>
      </c>
      <c r="AA30" s="240">
        <v>0.3</v>
      </c>
      <c r="AB30" s="240">
        <v>0.3</v>
      </c>
      <c r="AC30" s="240">
        <v>0.3</v>
      </c>
      <c r="AD30" s="240">
        <v>0.3</v>
      </c>
      <c r="AE30" s="240">
        <v>0.3</v>
      </c>
      <c r="AF30" s="240">
        <v>0.1</v>
      </c>
      <c r="AG30" s="240">
        <v>0.1</v>
      </c>
      <c r="AH30" s="240">
        <v>0.8</v>
      </c>
      <c r="AI30" s="242">
        <v>0.8</v>
      </c>
      <c r="AJ30" s="242">
        <v>0.8</v>
      </c>
      <c r="AK30" s="239">
        <v>0</v>
      </c>
      <c r="AL30" s="239">
        <v>0</v>
      </c>
      <c r="AM30" s="239">
        <v>0</v>
      </c>
      <c r="AN30" s="239">
        <v>0</v>
      </c>
      <c r="AS30" s="3"/>
      <c r="BI30" s="191"/>
      <c r="BJ30" s="191"/>
      <c r="BK30" s="191"/>
      <c r="BL30" s="191"/>
      <c r="BM30" s="191"/>
    </row>
    <row r="31" x14ac:dyDescent="0.15">
      <c r="A31" t="s">
        <v>214</v>
      </c>
      <c r="B31" s="239">
        <v>0</v>
      </c>
      <c r="C31" s="239">
        <v>0</v>
      </c>
      <c r="D31" s="240">
        <v>0.6</v>
      </c>
      <c r="E31" s="240">
        <v>0.6</v>
      </c>
      <c r="F31" s="240">
        <v>0.6</v>
      </c>
      <c r="G31" s="240">
        <v>0.6</v>
      </c>
      <c r="H31" s="241">
        <v>0.3</v>
      </c>
      <c r="I31" s="240">
        <v>0.6</v>
      </c>
      <c r="J31" s="240">
        <v>0.1</v>
      </c>
      <c r="K31" s="240">
        <v>0.1</v>
      </c>
      <c r="L31" s="240">
        <v>0.6</v>
      </c>
      <c r="M31" s="240">
        <v>0.5</v>
      </c>
      <c r="N31" s="240">
        <v>0.8</v>
      </c>
      <c r="O31" s="240">
        <v>0.8</v>
      </c>
      <c r="P31" s="240">
        <v>0.5</v>
      </c>
      <c r="Q31" s="240">
        <v>0.5</v>
      </c>
      <c r="R31" s="240">
        <v>0.5</v>
      </c>
      <c r="S31" s="240">
        <v>0.1</v>
      </c>
      <c r="T31" s="240">
        <v>0.1</v>
      </c>
      <c r="U31" s="240">
        <v>0.1</v>
      </c>
      <c r="V31" s="240">
        <v>0.3</v>
      </c>
      <c r="W31" s="240">
        <v>0.8</v>
      </c>
      <c r="X31" s="240">
        <v>0.3</v>
      </c>
      <c r="Y31" s="240">
        <v>0.3</v>
      </c>
      <c r="Z31" s="240">
        <v>0.3</v>
      </c>
      <c r="AA31" s="240">
        <v>0.3</v>
      </c>
      <c r="AB31" s="240">
        <v>0.3</v>
      </c>
      <c r="AC31" s="240">
        <v>0.3</v>
      </c>
      <c r="AD31" s="240">
        <v>0.3</v>
      </c>
      <c r="AE31" s="240">
        <v>0.3</v>
      </c>
      <c r="AF31" s="240">
        <v>0.1</v>
      </c>
      <c r="AG31" s="240">
        <v>0.1</v>
      </c>
      <c r="AH31" s="240">
        <v>0.8</v>
      </c>
      <c r="AI31" s="242">
        <v>0.8</v>
      </c>
      <c r="AJ31" s="242">
        <v>0.8</v>
      </c>
      <c r="AK31" s="239">
        <v>0</v>
      </c>
      <c r="AL31" s="239">
        <v>0</v>
      </c>
      <c r="AM31" s="239">
        <v>0</v>
      </c>
      <c r="AN31" s="239">
        <v>0</v>
      </c>
      <c r="AS31" s="3"/>
      <c r="BI31" s="191"/>
      <c r="BJ31" s="191"/>
      <c r="BK31" s="191"/>
      <c r="BL31" s="191"/>
      <c r="BM31" s="191"/>
    </row>
    <row r="32" x14ac:dyDescent="0.15">
      <c r="A32" t="s">
        <v>215</v>
      </c>
      <c r="B32" s="239">
        <v>0</v>
      </c>
      <c r="C32" s="239">
        <v>0</v>
      </c>
      <c r="D32" s="240">
        <v>0.6</v>
      </c>
      <c r="E32" s="240">
        <v>0.6</v>
      </c>
      <c r="F32" s="240">
        <v>0.6</v>
      </c>
      <c r="G32" s="240">
        <v>0.6</v>
      </c>
      <c r="H32" s="241">
        <v>0.3</v>
      </c>
      <c r="I32" s="240">
        <v>0.6</v>
      </c>
      <c r="J32" s="240">
        <v>0.1</v>
      </c>
      <c r="K32" s="240">
        <v>0.1</v>
      </c>
      <c r="L32" s="240">
        <v>0.6</v>
      </c>
      <c r="M32" s="240">
        <v>0.5</v>
      </c>
      <c r="N32" s="240">
        <v>0.8</v>
      </c>
      <c r="O32" s="240">
        <v>0.8</v>
      </c>
      <c r="P32" s="240">
        <v>0.5</v>
      </c>
      <c r="Q32" s="240">
        <v>0.5</v>
      </c>
      <c r="R32" s="240">
        <v>0.5</v>
      </c>
      <c r="S32" s="240">
        <v>0.1</v>
      </c>
      <c r="T32" s="240">
        <v>0.1</v>
      </c>
      <c r="U32" s="240">
        <v>0.1</v>
      </c>
      <c r="V32" s="240">
        <v>0.3</v>
      </c>
      <c r="W32" s="240">
        <v>0.8</v>
      </c>
      <c r="X32" s="240">
        <v>0.3</v>
      </c>
      <c r="Y32" s="240">
        <v>0.3</v>
      </c>
      <c r="Z32" s="240">
        <v>0.3</v>
      </c>
      <c r="AA32" s="240">
        <v>0.3</v>
      </c>
      <c r="AB32" s="240">
        <v>0.3</v>
      </c>
      <c r="AC32" s="240">
        <v>0.3</v>
      </c>
      <c r="AD32" s="240">
        <v>0.3</v>
      </c>
      <c r="AE32" s="240">
        <v>0.3</v>
      </c>
      <c r="AF32" s="240">
        <v>0.1</v>
      </c>
      <c r="AG32" s="240">
        <v>0.1</v>
      </c>
      <c r="AH32" s="240">
        <v>0.8</v>
      </c>
      <c r="AI32" s="242">
        <v>0.8</v>
      </c>
      <c r="AJ32" s="242">
        <v>0.8</v>
      </c>
      <c r="AK32" s="239">
        <v>0</v>
      </c>
      <c r="AL32" s="239">
        <v>0</v>
      </c>
      <c r="AM32" s="239">
        <v>0</v>
      </c>
      <c r="AN32" s="239">
        <v>0</v>
      </c>
      <c r="AS32" s="3"/>
      <c r="BI32" s="191"/>
      <c r="BJ32" s="191"/>
      <c r="BK32" s="191"/>
      <c r="BL32" s="191"/>
      <c r="BM32" s="191"/>
    </row>
    <row r="33" x14ac:dyDescent="0.15">
      <c r="A33" t="s">
        <v>216</v>
      </c>
      <c r="B33" s="239">
        <v>0</v>
      </c>
      <c r="C33" s="239">
        <v>0</v>
      </c>
      <c r="D33" s="240">
        <v>0.6</v>
      </c>
      <c r="E33" s="240">
        <v>0.6</v>
      </c>
      <c r="F33" s="240">
        <v>0.6</v>
      </c>
      <c r="G33" s="240">
        <v>0.6</v>
      </c>
      <c r="H33" s="241">
        <v>0.3</v>
      </c>
      <c r="I33" s="240">
        <v>0.6</v>
      </c>
      <c r="J33" s="240">
        <v>0.1</v>
      </c>
      <c r="K33" s="240">
        <v>0.1</v>
      </c>
      <c r="L33" s="240">
        <v>0.6</v>
      </c>
      <c r="M33" s="240">
        <v>0.5</v>
      </c>
      <c r="N33" s="240">
        <v>0.8</v>
      </c>
      <c r="O33" s="240">
        <v>0.8</v>
      </c>
      <c r="P33" s="240">
        <v>0.5</v>
      </c>
      <c r="Q33" s="240">
        <v>0.5</v>
      </c>
      <c r="R33" s="240">
        <v>0.5</v>
      </c>
      <c r="S33" s="240">
        <v>0.1</v>
      </c>
      <c r="T33" s="240">
        <v>0.1</v>
      </c>
      <c r="U33" s="240">
        <v>0.1</v>
      </c>
      <c r="V33" s="240">
        <v>0.3</v>
      </c>
      <c r="W33" s="240">
        <v>0.8</v>
      </c>
      <c r="X33" s="240">
        <v>0.3</v>
      </c>
      <c r="Y33" s="240">
        <v>0.3</v>
      </c>
      <c r="Z33" s="240">
        <v>0.3</v>
      </c>
      <c r="AA33" s="240">
        <v>0.3</v>
      </c>
      <c r="AB33" s="240">
        <v>0.3</v>
      </c>
      <c r="AC33" s="240">
        <v>0.3</v>
      </c>
      <c r="AD33" s="240">
        <v>0.3</v>
      </c>
      <c r="AE33" s="240">
        <v>0.3</v>
      </c>
      <c r="AF33" s="240">
        <v>0.1</v>
      </c>
      <c r="AG33" s="240">
        <v>0.1</v>
      </c>
      <c r="AH33" s="240">
        <v>0.8</v>
      </c>
      <c r="AI33" s="242">
        <v>0.8</v>
      </c>
      <c r="AJ33" s="242">
        <v>0.8</v>
      </c>
      <c r="AK33" s="239">
        <v>0</v>
      </c>
      <c r="AL33" s="239">
        <v>0</v>
      </c>
      <c r="AM33" s="239">
        <v>0</v>
      </c>
      <c r="AN33" s="239">
        <v>0</v>
      </c>
      <c r="AS33" s="3"/>
      <c r="BI33" s="191"/>
      <c r="BJ33" s="191"/>
      <c r="BK33" s="191"/>
      <c r="BL33" s="191"/>
      <c r="BM33" s="191"/>
    </row>
    <row r="34" x14ac:dyDescent="0.15">
      <c r="A34" t="s">
        <v>217</v>
      </c>
      <c r="B34" s="239">
        <v>0</v>
      </c>
      <c r="C34" s="239">
        <v>0</v>
      </c>
      <c r="D34" s="240">
        <v>0.6</v>
      </c>
      <c r="E34" s="240">
        <v>0.6</v>
      </c>
      <c r="F34" s="240">
        <v>0.6</v>
      </c>
      <c r="G34" s="240">
        <v>0.6</v>
      </c>
      <c r="H34" s="241">
        <v>0.3</v>
      </c>
      <c r="I34" s="240">
        <v>0.6</v>
      </c>
      <c r="J34" s="240">
        <v>0.1</v>
      </c>
      <c r="K34" s="240">
        <v>0.1</v>
      </c>
      <c r="L34" s="240">
        <v>0.6</v>
      </c>
      <c r="M34" s="240">
        <v>0.5</v>
      </c>
      <c r="N34" s="240">
        <v>0.8</v>
      </c>
      <c r="O34" s="240">
        <v>0.8</v>
      </c>
      <c r="P34" s="240">
        <v>0.5</v>
      </c>
      <c r="Q34" s="240">
        <v>0.5</v>
      </c>
      <c r="R34" s="240">
        <v>0.5</v>
      </c>
      <c r="S34" s="240">
        <v>0.1</v>
      </c>
      <c r="T34" s="240">
        <v>0.1</v>
      </c>
      <c r="U34" s="240">
        <v>0.1</v>
      </c>
      <c r="V34" s="240">
        <v>0.3</v>
      </c>
      <c r="W34" s="240">
        <v>0.8</v>
      </c>
      <c r="X34" s="240">
        <v>0.3</v>
      </c>
      <c r="Y34" s="240">
        <v>0.3</v>
      </c>
      <c r="Z34" s="240">
        <v>0.3</v>
      </c>
      <c r="AA34" s="240">
        <v>0.3</v>
      </c>
      <c r="AB34" s="240">
        <v>0.3</v>
      </c>
      <c r="AC34" s="240">
        <v>0.3</v>
      </c>
      <c r="AD34" s="240">
        <v>0.3</v>
      </c>
      <c r="AE34" s="240">
        <v>0.3</v>
      </c>
      <c r="AF34" s="240">
        <v>0.1</v>
      </c>
      <c r="AG34" s="240">
        <v>0.1</v>
      </c>
      <c r="AH34" s="240">
        <v>0.8</v>
      </c>
      <c r="AI34" s="242">
        <v>0.8</v>
      </c>
      <c r="AJ34" s="242">
        <v>0.8</v>
      </c>
      <c r="AK34" s="239">
        <v>0</v>
      </c>
      <c r="AL34" s="239">
        <v>0</v>
      </c>
      <c r="AM34" s="239">
        <v>0</v>
      </c>
      <c r="AN34" s="239">
        <v>0</v>
      </c>
      <c r="AS34" s="3"/>
      <c r="BI34" s="191"/>
      <c r="BJ34" s="191"/>
      <c r="BK34" s="191"/>
      <c r="BL34" s="191"/>
      <c r="BM34" s="191"/>
    </row>
    <row r="35" x14ac:dyDescent="0.15">
      <c r="A35" s="201" t="s">
        <v>232</v>
      </c>
      <c r="B35" s="239">
        <v>0</v>
      </c>
      <c r="C35" s="239">
        <v>0</v>
      </c>
      <c r="D35" s="240">
        <v>0.6</v>
      </c>
      <c r="E35" s="240">
        <v>0.6</v>
      </c>
      <c r="F35" s="240">
        <v>0.6</v>
      </c>
      <c r="G35" s="240">
        <v>0.6</v>
      </c>
      <c r="H35" s="241">
        <v>0.3</v>
      </c>
      <c r="I35" s="240">
        <v>0.6</v>
      </c>
      <c r="J35" s="240">
        <v>0.1</v>
      </c>
      <c r="K35" s="240">
        <v>0.1</v>
      </c>
      <c r="L35" s="240">
        <v>0.6</v>
      </c>
      <c r="M35" s="240">
        <v>0.5</v>
      </c>
      <c r="N35" s="240">
        <v>0.8</v>
      </c>
      <c r="O35" s="240">
        <v>0.8</v>
      </c>
      <c r="P35" s="240">
        <v>0.5</v>
      </c>
      <c r="Q35" s="240">
        <v>0.5</v>
      </c>
      <c r="R35" s="240">
        <v>0.5</v>
      </c>
      <c r="S35" s="240">
        <v>0.1</v>
      </c>
      <c r="T35" s="240">
        <v>0.1</v>
      </c>
      <c r="U35" s="240">
        <v>0.1</v>
      </c>
      <c r="V35" s="240">
        <v>0.3</v>
      </c>
      <c r="W35" s="240">
        <v>0.8</v>
      </c>
      <c r="X35" s="240">
        <v>0.3</v>
      </c>
      <c r="Y35" s="240">
        <v>0.3</v>
      </c>
      <c r="Z35" s="240">
        <v>0.3</v>
      </c>
      <c r="AA35" s="240">
        <v>0.3</v>
      </c>
      <c r="AB35" s="240">
        <v>0.3</v>
      </c>
      <c r="AC35" s="240">
        <v>0.3</v>
      </c>
      <c r="AD35" s="240">
        <v>0.3</v>
      </c>
      <c r="AE35" s="240">
        <v>0.3</v>
      </c>
      <c r="AF35" s="240">
        <v>0.1</v>
      </c>
      <c r="AG35" s="240">
        <v>0.1</v>
      </c>
      <c r="AH35" s="240">
        <v>0.8</v>
      </c>
      <c r="AI35" s="242">
        <v>0.8</v>
      </c>
      <c r="AJ35" s="242">
        <v>0.8</v>
      </c>
      <c r="AK35" s="239">
        <v>0</v>
      </c>
      <c r="AL35" s="239">
        <v>0</v>
      </c>
      <c r="AM35" s="239">
        <v>0</v>
      </c>
      <c r="AN35" s="239">
        <v>0</v>
      </c>
      <c r="AS35" s="3"/>
      <c r="BI35" s="191"/>
      <c r="BJ35" s="191"/>
      <c r="BK35" s="191"/>
      <c r="BL35" s="191"/>
      <c r="BM35" s="191"/>
    </row>
    <row r="36" x14ac:dyDescent="0.15">
      <c r="A36" s="201" t="s">
        <v>219</v>
      </c>
      <c r="B36" s="239">
        <v>0</v>
      </c>
      <c r="C36" s="239">
        <v>0</v>
      </c>
      <c r="D36" s="240">
        <v>0.6</v>
      </c>
      <c r="E36" s="240">
        <v>0.6</v>
      </c>
      <c r="F36" s="240">
        <v>0.6</v>
      </c>
      <c r="G36" s="240">
        <v>0.6</v>
      </c>
      <c r="H36" s="241">
        <v>0.3</v>
      </c>
      <c r="I36" s="240">
        <v>0.6</v>
      </c>
      <c r="J36" s="240">
        <v>0.1</v>
      </c>
      <c r="K36" s="240">
        <v>0.1</v>
      </c>
      <c r="L36" s="240">
        <v>0.6</v>
      </c>
      <c r="M36" s="240">
        <v>0.5</v>
      </c>
      <c r="N36" s="240">
        <v>0.8</v>
      </c>
      <c r="O36" s="240">
        <v>0.8</v>
      </c>
      <c r="P36" s="240">
        <v>0.5</v>
      </c>
      <c r="Q36" s="240">
        <v>0.5</v>
      </c>
      <c r="R36" s="240">
        <v>0.5</v>
      </c>
      <c r="S36" s="240">
        <v>0.1</v>
      </c>
      <c r="T36" s="240">
        <v>0.1</v>
      </c>
      <c r="U36" s="240">
        <v>0.1</v>
      </c>
      <c r="V36" s="240">
        <v>0.3</v>
      </c>
      <c r="W36" s="240">
        <v>0.8</v>
      </c>
      <c r="X36" s="240">
        <v>0.3</v>
      </c>
      <c r="Y36" s="240">
        <v>0.3</v>
      </c>
      <c r="Z36" s="240">
        <v>0.3</v>
      </c>
      <c r="AA36" s="240">
        <v>0.3</v>
      </c>
      <c r="AB36" s="240">
        <v>0.3</v>
      </c>
      <c r="AC36" s="240">
        <v>0.3</v>
      </c>
      <c r="AD36" s="240">
        <v>0.3</v>
      </c>
      <c r="AE36" s="240">
        <v>0.3</v>
      </c>
      <c r="AF36" s="240">
        <v>0.1</v>
      </c>
      <c r="AG36" s="240">
        <v>0.1</v>
      </c>
      <c r="AH36" s="240">
        <v>0.8</v>
      </c>
      <c r="AI36" s="242">
        <v>0.8</v>
      </c>
      <c r="AJ36" s="242">
        <v>0.8</v>
      </c>
      <c r="AK36" s="239">
        <v>0</v>
      </c>
      <c r="AL36" s="239">
        <v>0</v>
      </c>
      <c r="AM36" s="239">
        <v>0</v>
      </c>
      <c r="AN36" s="239">
        <v>0</v>
      </c>
      <c r="AS36" s="3"/>
      <c r="BI36" s="191"/>
      <c r="BJ36" s="191"/>
      <c r="BK36" s="191"/>
      <c r="BL36" s="191"/>
      <c r="BM36" s="191"/>
    </row>
    <row r="37" x14ac:dyDescent="0.15">
      <c r="A37" t="s">
        <v>221</v>
      </c>
      <c r="B37" s="239">
        <v>0</v>
      </c>
      <c r="C37" s="239">
        <v>0</v>
      </c>
      <c r="D37" s="240">
        <v>0.6</v>
      </c>
      <c r="E37" s="240">
        <v>0.6</v>
      </c>
      <c r="F37" s="240">
        <v>0.6</v>
      </c>
      <c r="G37" s="240">
        <v>0.6</v>
      </c>
      <c r="H37" s="241">
        <v>0.3</v>
      </c>
      <c r="I37" s="240">
        <v>0.6</v>
      </c>
      <c r="J37" s="240">
        <v>0.1</v>
      </c>
      <c r="K37" s="240">
        <v>0.1</v>
      </c>
      <c r="L37" s="240">
        <v>0.6</v>
      </c>
      <c r="M37" s="240">
        <v>0.5</v>
      </c>
      <c r="N37" s="240">
        <v>0.8</v>
      </c>
      <c r="O37" s="240">
        <v>0.8</v>
      </c>
      <c r="P37" s="240">
        <v>0.5</v>
      </c>
      <c r="Q37" s="240">
        <v>0.5</v>
      </c>
      <c r="R37" s="240">
        <v>0.5</v>
      </c>
      <c r="S37" s="240">
        <v>0.1</v>
      </c>
      <c r="T37" s="240">
        <v>0.1</v>
      </c>
      <c r="U37" s="240">
        <v>0.1</v>
      </c>
      <c r="V37" s="240">
        <v>0.3</v>
      </c>
      <c r="W37" s="240">
        <v>0.8</v>
      </c>
      <c r="X37" s="240">
        <v>0.3</v>
      </c>
      <c r="Y37" s="240">
        <v>0.3</v>
      </c>
      <c r="Z37" s="240">
        <v>0.3</v>
      </c>
      <c r="AA37" s="240">
        <v>0.3</v>
      </c>
      <c r="AB37" s="240">
        <v>0.3</v>
      </c>
      <c r="AC37" s="240">
        <v>0.3</v>
      </c>
      <c r="AD37" s="240">
        <v>0.3</v>
      </c>
      <c r="AE37" s="240">
        <v>0.3</v>
      </c>
      <c r="AF37" s="240">
        <v>0.1</v>
      </c>
      <c r="AG37" s="240">
        <v>0.1</v>
      </c>
      <c r="AH37" s="240">
        <v>0.8</v>
      </c>
      <c r="AI37" s="242">
        <v>0.8</v>
      </c>
      <c r="AJ37" s="242">
        <v>0.8</v>
      </c>
      <c r="AK37" s="239">
        <v>0</v>
      </c>
      <c r="AL37" s="239">
        <v>0</v>
      </c>
      <c r="AM37" s="239">
        <v>0</v>
      </c>
      <c r="AN37" s="239">
        <v>0</v>
      </c>
      <c r="AS37" s="3"/>
      <c r="BI37" s="191"/>
      <c r="BJ37" s="191"/>
      <c r="BK37" s="191"/>
      <c r="BL37" s="191"/>
      <c r="BM37" s="191"/>
    </row>
    <row r="38" x14ac:dyDescent="0.15">
      <c r="A38" s="3" t="s">
        <v>71</v>
      </c>
      <c r="B38" s="239">
        <v>0</v>
      </c>
      <c r="C38" s="239">
        <v>0</v>
      </c>
      <c r="D38" s="240">
        <v>0.6</v>
      </c>
      <c r="E38" s="240">
        <v>0.6</v>
      </c>
      <c r="F38" s="240">
        <v>0.6</v>
      </c>
      <c r="G38" s="240">
        <v>0.6</v>
      </c>
      <c r="H38" s="241">
        <v>0.3</v>
      </c>
      <c r="I38" s="240">
        <v>0.6</v>
      </c>
      <c r="J38" s="240">
        <v>0.1</v>
      </c>
      <c r="K38" s="240">
        <v>0.1</v>
      </c>
      <c r="L38" s="240">
        <v>0.6</v>
      </c>
      <c r="M38" s="240">
        <v>0.5</v>
      </c>
      <c r="N38" s="240">
        <v>0.8</v>
      </c>
      <c r="O38" s="240">
        <v>0.8</v>
      </c>
      <c r="P38" s="240">
        <v>0.5</v>
      </c>
      <c r="Q38" s="240">
        <v>0.5</v>
      </c>
      <c r="R38" s="240">
        <v>0.5</v>
      </c>
      <c r="S38" s="240">
        <v>0.1</v>
      </c>
      <c r="T38" s="240">
        <v>0.1</v>
      </c>
      <c r="U38" s="240">
        <v>0.1</v>
      </c>
      <c r="V38" s="240">
        <v>0.3</v>
      </c>
      <c r="W38" s="240">
        <v>0.8</v>
      </c>
      <c r="X38" s="240">
        <v>0.3</v>
      </c>
      <c r="Y38" s="240">
        <v>0.3</v>
      </c>
      <c r="Z38" s="240">
        <v>0.3</v>
      </c>
      <c r="AA38" s="240">
        <v>0.3</v>
      </c>
      <c r="AB38" s="240">
        <v>0.3</v>
      </c>
      <c r="AC38" s="240">
        <v>0.3</v>
      </c>
      <c r="AD38" s="240">
        <v>0.3</v>
      </c>
      <c r="AE38" s="240">
        <v>0.3</v>
      </c>
      <c r="AF38" s="240">
        <v>0.1</v>
      </c>
      <c r="AG38" s="240">
        <v>0.1</v>
      </c>
      <c r="AH38" s="240">
        <v>0.8</v>
      </c>
      <c r="AI38" s="242">
        <v>0.8</v>
      </c>
      <c r="AJ38" s="242">
        <v>0.8</v>
      </c>
      <c r="AK38" s="239">
        <v>0</v>
      </c>
      <c r="AL38" s="239">
        <v>0</v>
      </c>
      <c r="AM38" s="239">
        <v>0</v>
      </c>
      <c r="AN38" s="239">
        <v>0</v>
      </c>
    </row>
    <row r="39" x14ac:dyDescent="0.15">
      <c r="A39" s="202" t="s">
        <v>72</v>
      </c>
      <c r="B39" s="239">
        <v>0</v>
      </c>
      <c r="C39" s="239">
        <v>0</v>
      </c>
      <c r="D39" s="240">
        <v>0.6</v>
      </c>
      <c r="E39" s="240">
        <v>0.6</v>
      </c>
      <c r="F39" s="240">
        <v>0.6</v>
      </c>
      <c r="G39" s="240">
        <v>0.6</v>
      </c>
      <c r="H39" s="241">
        <v>0.3</v>
      </c>
      <c r="I39" s="240">
        <v>0.6</v>
      </c>
      <c r="J39" s="240">
        <v>0.1</v>
      </c>
      <c r="K39" s="240">
        <v>0.1</v>
      </c>
      <c r="L39" s="240">
        <v>0.6</v>
      </c>
      <c r="M39" s="240">
        <v>0.5</v>
      </c>
      <c r="N39" s="240">
        <v>0.8</v>
      </c>
      <c r="O39" s="240">
        <v>0.8</v>
      </c>
      <c r="P39" s="240">
        <v>0.5</v>
      </c>
      <c r="Q39" s="240">
        <v>0.5</v>
      </c>
      <c r="R39" s="240">
        <v>0.5</v>
      </c>
      <c r="S39" s="240">
        <v>0.1</v>
      </c>
      <c r="T39" s="240">
        <v>0.1</v>
      </c>
      <c r="U39" s="240">
        <v>0.1</v>
      </c>
      <c r="V39" s="240">
        <v>0.3</v>
      </c>
      <c r="W39" s="240">
        <v>0.8</v>
      </c>
      <c r="X39" s="240">
        <v>0.3</v>
      </c>
      <c r="Y39" s="240">
        <v>0.3</v>
      </c>
      <c r="Z39" s="240">
        <v>0.3</v>
      </c>
      <c r="AA39" s="240">
        <v>0.3</v>
      </c>
      <c r="AB39" s="240">
        <v>0.3</v>
      </c>
      <c r="AC39" s="240">
        <v>0.3</v>
      </c>
      <c r="AD39" s="240">
        <v>0.3</v>
      </c>
      <c r="AE39" s="240">
        <v>0.3</v>
      </c>
      <c r="AF39" s="240">
        <v>0.1</v>
      </c>
      <c r="AG39" s="240">
        <v>0.1</v>
      </c>
      <c r="AH39" s="240">
        <v>0.8</v>
      </c>
      <c r="AI39" s="242">
        <v>0.8</v>
      </c>
      <c r="AJ39" s="242">
        <v>0.8</v>
      </c>
      <c r="AK39" s="239">
        <v>0</v>
      </c>
      <c r="AL39" s="239">
        <v>0</v>
      </c>
      <c r="AM39" s="239">
        <v>0</v>
      </c>
      <c r="AN39" s="239">
        <v>0</v>
      </c>
      <c r="AS39" s="3"/>
      <c r="BI39" s="191"/>
      <c r="BJ39" s="191"/>
      <c r="BK39" s="191"/>
      <c r="BL39" s="191"/>
      <c r="BM39" s="191"/>
    </row>
    <row r="40" s="198" customFormat="true" x14ac:dyDescent="0.15">
      <c r="A40" t="s">
        <v>73</v>
      </c>
      <c r="B40" s="239">
        <v>0</v>
      </c>
      <c r="C40" s="239">
        <v>0</v>
      </c>
      <c r="D40" s="240">
        <v>0.6</v>
      </c>
      <c r="E40" s="240">
        <v>0.6</v>
      </c>
      <c r="F40" s="240">
        <v>0.6</v>
      </c>
      <c r="G40" s="240">
        <v>0.6</v>
      </c>
      <c r="H40" s="241">
        <v>0.3</v>
      </c>
      <c r="I40" s="240">
        <v>0.6</v>
      </c>
      <c r="J40" s="240">
        <v>0.1</v>
      </c>
      <c r="K40" s="240">
        <v>0.1</v>
      </c>
      <c r="L40" s="240">
        <v>0.6</v>
      </c>
      <c r="M40" s="240">
        <v>0.5</v>
      </c>
      <c r="N40" s="240">
        <v>0.8</v>
      </c>
      <c r="O40" s="240">
        <v>0.8</v>
      </c>
      <c r="P40" s="240">
        <v>0.5</v>
      </c>
      <c r="Q40" s="240">
        <v>0.5</v>
      </c>
      <c r="R40" s="240">
        <v>0.5</v>
      </c>
      <c r="S40" s="240">
        <v>0.1</v>
      </c>
      <c r="T40" s="240">
        <v>0.1</v>
      </c>
      <c r="U40" s="240">
        <v>0.1</v>
      </c>
      <c r="V40" s="240">
        <v>0.3</v>
      </c>
      <c r="W40" s="240">
        <v>0.8</v>
      </c>
      <c r="X40" s="240">
        <v>0.3</v>
      </c>
      <c r="Y40" s="240">
        <v>0.3</v>
      </c>
      <c r="Z40" s="240">
        <v>0.3</v>
      </c>
      <c r="AA40" s="240">
        <v>0.3</v>
      </c>
      <c r="AB40" s="240">
        <v>0.3</v>
      </c>
      <c r="AC40" s="240">
        <v>0.3</v>
      </c>
      <c r="AD40" s="240">
        <v>0.3</v>
      </c>
      <c r="AE40" s="240">
        <v>0.3</v>
      </c>
      <c r="AF40" s="240">
        <v>0.1</v>
      </c>
      <c r="AG40" s="240">
        <v>0.1</v>
      </c>
      <c r="AH40" s="240">
        <v>0.8</v>
      </c>
      <c r="AI40" s="242">
        <v>0.8</v>
      </c>
      <c r="AJ40" s="242">
        <v>0.8</v>
      </c>
      <c r="AK40" s="239">
        <v>0</v>
      </c>
      <c r="AL40" s="239">
        <v>0</v>
      </c>
      <c r="AM40" s="239">
        <v>0</v>
      </c>
      <c r="AN40" s="239">
        <v>0</v>
      </c>
      <c r="AS40" s="197"/>
      <c r="BI40" s="243"/>
      <c r="BJ40" s="243"/>
      <c r="BK40" s="243"/>
      <c r="BL40" s="243"/>
      <c r="BM40" s="243"/>
    </row>
    <row r="41" x14ac:dyDescent="0.15">
      <c r="A41" s="244" t="s">
        <v>177</v>
      </c>
      <c r="B41" s="239">
        <v>0</v>
      </c>
      <c r="C41" s="239">
        <v>0</v>
      </c>
      <c r="D41" s="240">
        <v>0.6</v>
      </c>
      <c r="E41" s="240">
        <v>0.6</v>
      </c>
      <c r="F41" s="240">
        <v>0.6</v>
      </c>
      <c r="G41" s="240">
        <v>0.6</v>
      </c>
      <c r="H41" s="241">
        <v>0.3</v>
      </c>
      <c r="I41" s="240">
        <v>0.6</v>
      </c>
      <c r="J41" s="240">
        <v>0.1</v>
      </c>
      <c r="K41" s="240">
        <v>0.1</v>
      </c>
      <c r="L41" s="240">
        <v>0.6</v>
      </c>
      <c r="M41" s="240">
        <v>0.5</v>
      </c>
      <c r="N41" s="240">
        <v>0.8</v>
      </c>
      <c r="O41" s="240">
        <v>0.8</v>
      </c>
      <c r="P41" s="240">
        <v>0.5</v>
      </c>
      <c r="Q41" s="240">
        <v>0.5</v>
      </c>
      <c r="R41" s="240">
        <v>0.5</v>
      </c>
      <c r="S41" s="240">
        <v>0.1</v>
      </c>
      <c r="T41" s="240">
        <v>0.1</v>
      </c>
      <c r="U41" s="240">
        <v>0.1</v>
      </c>
      <c r="V41" s="240">
        <v>0.3</v>
      </c>
      <c r="W41" s="240">
        <v>0.8</v>
      </c>
      <c r="X41" s="240">
        <v>0.3</v>
      </c>
      <c r="Y41" s="240">
        <v>0.3</v>
      </c>
      <c r="Z41" s="240">
        <v>0.3</v>
      </c>
      <c r="AA41" s="240">
        <v>0.3</v>
      </c>
      <c r="AB41" s="240">
        <v>0.3</v>
      </c>
      <c r="AC41" s="240">
        <v>0.3</v>
      </c>
      <c r="AD41" s="240">
        <v>0.3</v>
      </c>
      <c r="AE41" s="240">
        <v>0.3</v>
      </c>
      <c r="AF41" s="240">
        <v>0.1</v>
      </c>
      <c r="AG41" s="240">
        <v>0.1</v>
      </c>
      <c r="AH41" s="240">
        <v>0.8</v>
      </c>
      <c r="AI41" s="242">
        <v>0.8</v>
      </c>
      <c r="AJ41" s="242">
        <v>0.8</v>
      </c>
      <c r="AK41" s="239">
        <v>0</v>
      </c>
      <c r="AL41" s="239">
        <v>0</v>
      </c>
      <c r="AM41" s="239">
        <v>0</v>
      </c>
      <c r="AN41" s="239">
        <v>0</v>
      </c>
      <c r="AS41" s="3"/>
      <c r="BI41" s="191"/>
      <c r="BJ41" s="191"/>
      <c r="BK41" s="191"/>
      <c r="BL41" s="191"/>
      <c r="BM41" s="191"/>
    </row>
    <row r="43" x14ac:dyDescent="0.15">
      <c r="AI43" s="237" t="s">
        <v>230</v>
      </c>
      <c r="AJ43" s="237" t="s">
        <v>230</v>
      </c>
    </row>
  </sheetData>
  <conditionalFormatting sqref="D2:AJ41">
    <cfRule type="cellIs" dxfId="3" priority="2" operator="equal">
      <formula>0</formula>
    </cfRule>
  </conditionalFormatting>
  <conditionalFormatting sqref="J37:J38 K38 J40:K41 AI2:AJ41">
    <cfRule type="cellIs" dxfId="2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V131"/>
  <sheetViews>
    <sheetView workbookViewId="0">
      <selection activeCell="A4" sqref="A4"/>
    </sheetView>
  </sheetViews>
  <sheetFormatPr baseColWidth="10" defaultColWidth="8.83203125" defaultRowHeight="14" customHeight="true" x14ac:dyDescent="0.15"/>
  <cols>
    <col min="1" max="1" width="31.1640625" bestFit="true" customWidth="true"/>
    <col min="2" max="2" width="6.83203125" bestFit="true" customWidth="true"/>
    <col min="3" max="3" width="10.83203125" bestFit="true" customWidth="true"/>
    <col min="4" max="5" width="13.1640625" bestFit="true" customWidth="true"/>
    <col min="6" max="6" width="13.6640625" bestFit="true" customWidth="true"/>
    <col min="7" max="7" width="12.1640625" bestFit="true" customWidth="true"/>
    <col min="8" max="8" width="9.33203125" bestFit="true" customWidth="true"/>
    <col min="9" max="9" width="10.83203125" bestFit="true" customWidth="true"/>
    <col min="10" max="10" width="12.1640625" bestFit="true" customWidth="true"/>
    <col min="11" max="11" width="12.83203125" bestFit="true" customWidth="true"/>
    <col min="12" max="12" width="10.5" bestFit="true" customWidth="true"/>
    <col min="13" max="13" width="13" bestFit="true" customWidth="true"/>
    <col min="14" max="14" width="14.5" bestFit="true" customWidth="true"/>
    <col min="15" max="15" width="15" bestFit="true" customWidth="true"/>
    <col min="16" max="16" width="12" bestFit="true" customWidth="true"/>
    <col min="17" max="17" width="11.5" bestFit="true" customWidth="true"/>
    <col min="18" max="18" width="14.83203125" bestFit="true" customWidth="true"/>
    <col min="19" max="19" width="12.1640625" bestFit="true" customWidth="true"/>
    <col min="20" max="20" width="10.33203125" bestFit="true" customWidth="true"/>
    <col min="21" max="21" width="12.1640625" bestFit="true" customWidth="true"/>
    <col min="22" max="22" width="6.1640625" bestFit="true" customWidth="true"/>
    <col min="23" max="24" width="12.5" bestFit="true" customWidth="true"/>
    <col min="25" max="25" width="8.1640625" bestFit="true" customWidth="true"/>
    <col min="26" max="26" width="6.1640625" bestFit="true" customWidth="true"/>
    <col min="27" max="27" width="13.33203125" bestFit="true" customWidth="true"/>
    <col min="28" max="28" width="12.6640625" bestFit="true" customWidth="true"/>
    <col min="29" max="29" width="11.83203125" bestFit="true" customWidth="true"/>
    <col min="30" max="30" width="6" bestFit="true" customWidth="true"/>
    <col min="31" max="31" width="12.6640625" bestFit="true" customWidth="true"/>
    <col min="32" max="32" width="7.1640625" bestFit="true" customWidth="true"/>
    <col min="33" max="33" width="8" bestFit="true" customWidth="true"/>
    <col min="34" max="34" width="8.5" bestFit="true" customWidth="true"/>
    <col min="35" max="35" width="7.6640625" bestFit="true" customWidth="true"/>
    <col min="36" max="36" width="9" bestFit="true" customWidth="true"/>
    <col min="37" max="37" width="10.83203125" bestFit="true" customWidth="true"/>
    <col min="38" max="38" width="4.1640625" bestFit="true" customWidth="true"/>
    <col min="39" max="40" width="11.5" bestFit="true" customWidth="true"/>
  </cols>
  <sheetData>
    <row r="1" ht="13" x14ac:dyDescent="0.15">
      <c r="A1" s="2" t="s">
        <v>140</v>
      </c>
      <c r="B1" s="245" t="s">
        <v>182</v>
      </c>
      <c r="C1" s="245" t="s">
        <v>183</v>
      </c>
      <c r="D1" s="245" t="s">
        <v>184</v>
      </c>
      <c r="E1" s="245" t="s">
        <v>185</v>
      </c>
      <c r="F1" s="245" t="s">
        <v>186</v>
      </c>
      <c r="G1" s="245" t="s">
        <v>187</v>
      </c>
      <c r="H1" s="245" t="s">
        <v>188</v>
      </c>
      <c r="I1" s="245" t="s">
        <v>190</v>
      </c>
      <c r="J1" s="245" t="s">
        <v>191</v>
      </c>
      <c r="K1" s="245" t="s">
        <v>192</v>
      </c>
      <c r="L1" s="245" t="s">
        <v>194</v>
      </c>
      <c r="M1" s="245" t="s">
        <v>195</v>
      </c>
      <c r="N1" s="245" t="s">
        <v>196</v>
      </c>
      <c r="O1" s="245" t="s">
        <v>197</v>
      </c>
      <c r="P1" s="245" t="s">
        <v>198</v>
      </c>
      <c r="Q1" s="246" t="s">
        <v>199</v>
      </c>
      <c r="R1" s="245" t="s">
        <v>200</v>
      </c>
      <c r="S1" s="245" t="s">
        <v>201</v>
      </c>
      <c r="T1" s="245" t="s">
        <v>202</v>
      </c>
      <c r="U1" s="245" t="s">
        <v>203</v>
      </c>
      <c r="V1" s="245" t="s">
        <v>204</v>
      </c>
      <c r="W1" s="245" t="s">
        <v>205</v>
      </c>
      <c r="X1" s="245" t="s">
        <v>207</v>
      </c>
      <c r="Y1" s="245" t="s">
        <v>208</v>
      </c>
      <c r="Z1" s="245" t="s">
        <v>209</v>
      </c>
      <c r="AA1" s="245" t="s">
        <v>210</v>
      </c>
      <c r="AB1" s="245" t="s">
        <v>211</v>
      </c>
      <c r="AC1" s="245" t="s">
        <v>212</v>
      </c>
      <c r="AD1" s="245" t="s">
        <v>213</v>
      </c>
      <c r="AE1" s="245" t="s">
        <v>214</v>
      </c>
      <c r="AF1" s="245" t="s">
        <v>215</v>
      </c>
      <c r="AG1" s="245" t="s">
        <v>216</v>
      </c>
      <c r="AH1" s="245" t="s">
        <v>217</v>
      </c>
      <c r="AI1" s="245" t="s">
        <v>218</v>
      </c>
      <c r="AJ1" s="245" t="s">
        <v>219</v>
      </c>
      <c r="AK1" s="245" t="s">
        <v>221</v>
      </c>
      <c r="AL1" s="245" t="s">
        <v>71</v>
      </c>
      <c r="AM1" s="245" t="s">
        <v>72</v>
      </c>
      <c r="AN1" s="245" t="s">
        <v>73</v>
      </c>
    </row>
    <row r="2" s="245" customFormat="true" ht="13" x14ac:dyDescent="0.15">
      <c r="A2" s="247" t="s">
        <v>182</v>
      </c>
      <c r="B2" s="248">
        <v>0</v>
      </c>
      <c r="C2" s="248">
        <v>0</v>
      </c>
      <c r="D2" s="248">
        <v>0</v>
      </c>
      <c r="E2" s="248">
        <v>0</v>
      </c>
      <c r="F2" s="248">
        <v>0</v>
      </c>
      <c r="G2" s="248">
        <v>0</v>
      </c>
      <c r="H2" s="248">
        <v>0</v>
      </c>
      <c r="I2" s="248">
        <v>0</v>
      </c>
      <c r="J2" s="248">
        <v>0</v>
      </c>
      <c r="K2" s="248">
        <v>0</v>
      </c>
      <c r="L2" s="248">
        <v>0</v>
      </c>
      <c r="M2" s="248">
        <v>0</v>
      </c>
      <c r="N2" s="248">
        <v>0</v>
      </c>
      <c r="O2" s="248">
        <v>0</v>
      </c>
      <c r="P2" s="248">
        <v>0</v>
      </c>
      <c r="Q2" s="248">
        <v>0</v>
      </c>
      <c r="R2" s="248">
        <v>0</v>
      </c>
      <c r="S2" s="248">
        <v>0</v>
      </c>
      <c r="T2" s="248">
        <v>0</v>
      </c>
      <c r="U2" s="248">
        <v>0</v>
      </c>
      <c r="V2" s="248">
        <v>0</v>
      </c>
      <c r="W2" s="248">
        <v>0</v>
      </c>
      <c r="X2" s="248">
        <v>0</v>
      </c>
      <c r="Y2" s="248">
        <v>0</v>
      </c>
      <c r="Z2" s="248">
        <v>0</v>
      </c>
      <c r="AA2" s="248">
        <v>0</v>
      </c>
      <c r="AB2" s="248">
        <v>0</v>
      </c>
      <c r="AC2" s="248">
        <v>0</v>
      </c>
      <c r="AD2" s="248">
        <v>0</v>
      </c>
      <c r="AE2" s="248">
        <v>0</v>
      </c>
      <c r="AF2" s="248">
        <v>0</v>
      </c>
      <c r="AG2" s="248">
        <v>0</v>
      </c>
      <c r="AH2" s="248">
        <v>0</v>
      </c>
      <c r="AI2" s="248">
        <v>0</v>
      </c>
      <c r="AJ2" s="248">
        <v>0</v>
      </c>
      <c r="AK2" s="248">
        <v>0</v>
      </c>
      <c r="AL2" s="248">
        <v>0</v>
      </c>
      <c r="AM2" s="248">
        <v>0</v>
      </c>
      <c r="AN2" s="248">
        <v>0</v>
      </c>
      <c r="AS2"/>
      <c r="AT2"/>
      <c r="AU2"/>
      <c r="AV2"/>
    </row>
    <row r="3" s="245" customFormat="true" ht="13" x14ac:dyDescent="0.15">
      <c r="A3" s="245" t="s">
        <v>183</v>
      </c>
      <c r="B3" s="248">
        <v>0</v>
      </c>
      <c r="C3" s="248">
        <v>0</v>
      </c>
      <c r="D3" s="248">
        <v>0</v>
      </c>
      <c r="E3" s="248">
        <v>0</v>
      </c>
      <c r="F3" s="248">
        <v>0</v>
      </c>
      <c r="G3" s="248">
        <v>0</v>
      </c>
      <c r="H3" s="248">
        <v>0</v>
      </c>
      <c r="I3" s="248">
        <v>0</v>
      </c>
      <c r="J3" s="248">
        <v>0</v>
      </c>
      <c r="K3" s="248">
        <v>0</v>
      </c>
      <c r="L3" s="248">
        <v>0</v>
      </c>
      <c r="M3" s="248">
        <v>0</v>
      </c>
      <c r="N3" s="248">
        <v>0</v>
      </c>
      <c r="O3" s="248">
        <v>0</v>
      </c>
      <c r="P3" s="248">
        <v>0</v>
      </c>
      <c r="Q3" s="248">
        <v>0</v>
      </c>
      <c r="R3" s="248">
        <v>0</v>
      </c>
      <c r="S3" s="248">
        <v>0</v>
      </c>
      <c r="T3" s="248">
        <v>0</v>
      </c>
      <c r="U3" s="248">
        <v>0</v>
      </c>
      <c r="V3" s="248">
        <v>0</v>
      </c>
      <c r="W3" s="248">
        <v>0</v>
      </c>
      <c r="X3" s="248">
        <v>0</v>
      </c>
      <c r="Y3" s="248">
        <v>0</v>
      </c>
      <c r="Z3" s="248">
        <v>0</v>
      </c>
      <c r="AA3" s="248">
        <v>0</v>
      </c>
      <c r="AB3" s="248">
        <v>0</v>
      </c>
      <c r="AC3" s="248">
        <v>0</v>
      </c>
      <c r="AD3" s="248">
        <v>0</v>
      </c>
      <c r="AE3" s="248">
        <v>0</v>
      </c>
      <c r="AF3" s="248">
        <v>0</v>
      </c>
      <c r="AG3" s="248">
        <v>0</v>
      </c>
      <c r="AH3" s="248">
        <v>0</v>
      </c>
      <c r="AI3" s="248">
        <v>0</v>
      </c>
      <c r="AJ3" s="248">
        <v>0</v>
      </c>
      <c r="AK3" s="248">
        <v>0</v>
      </c>
      <c r="AL3" s="248">
        <v>0</v>
      </c>
      <c r="AM3" s="248">
        <v>0</v>
      </c>
      <c r="AN3" s="248">
        <v>0</v>
      </c>
      <c r="AS3"/>
      <c r="AT3"/>
      <c r="AU3"/>
      <c r="AV3"/>
    </row>
    <row r="4" s="245" customFormat="true" ht="13" x14ac:dyDescent="0.15">
      <c r="A4" s="245" t="s">
        <v>184</v>
      </c>
      <c r="B4" s="248">
        <v>0</v>
      </c>
      <c r="C4" s="248">
        <v>0</v>
      </c>
      <c r="D4" s="248">
        <v>0</v>
      </c>
      <c r="E4" s="248">
        <v>0</v>
      </c>
      <c r="F4" s="248">
        <v>0</v>
      </c>
      <c r="G4" s="248">
        <v>0</v>
      </c>
      <c r="H4" s="248">
        <v>0</v>
      </c>
      <c r="I4" s="248">
        <v>0</v>
      </c>
      <c r="J4" s="248">
        <v>0</v>
      </c>
      <c r="K4" s="248">
        <v>0</v>
      </c>
      <c r="L4" s="248">
        <v>0</v>
      </c>
      <c r="M4" s="248">
        <v>0</v>
      </c>
      <c r="N4" s="248">
        <v>0</v>
      </c>
      <c r="O4" s="248">
        <v>0</v>
      </c>
      <c r="P4" s="248">
        <v>0</v>
      </c>
      <c r="Q4" s="248">
        <v>0</v>
      </c>
      <c r="R4" s="248">
        <v>0</v>
      </c>
      <c r="S4" s="248">
        <v>0</v>
      </c>
      <c r="T4" s="248">
        <v>0</v>
      </c>
      <c r="U4" s="248">
        <v>0</v>
      </c>
      <c r="V4" s="248">
        <v>0</v>
      </c>
      <c r="W4" s="248">
        <v>0</v>
      </c>
      <c r="X4" s="248">
        <v>0</v>
      </c>
      <c r="Y4" s="248">
        <v>0</v>
      </c>
      <c r="Z4" s="248">
        <v>0</v>
      </c>
      <c r="AA4" s="248">
        <v>0</v>
      </c>
      <c r="AB4" s="248">
        <v>0</v>
      </c>
      <c r="AC4" s="248">
        <v>0</v>
      </c>
      <c r="AD4" s="248">
        <v>0</v>
      </c>
      <c r="AE4" s="248">
        <v>0</v>
      </c>
      <c r="AF4" s="248">
        <v>0</v>
      </c>
      <c r="AG4" s="248">
        <v>0</v>
      </c>
      <c r="AH4" s="248">
        <v>0</v>
      </c>
      <c r="AI4" s="248">
        <v>0</v>
      </c>
      <c r="AJ4" s="248">
        <v>0</v>
      </c>
      <c r="AK4" s="248">
        <v>0</v>
      </c>
      <c r="AL4" s="248">
        <v>0</v>
      </c>
      <c r="AM4" s="248">
        <v>0</v>
      </c>
      <c r="AN4" s="248">
        <v>0</v>
      </c>
      <c r="AS4"/>
      <c r="AT4"/>
      <c r="AU4"/>
      <c r="AV4"/>
    </row>
    <row r="5" s="245" customFormat="true" ht="13" x14ac:dyDescent="0.15">
      <c r="A5" s="245" t="s">
        <v>185</v>
      </c>
      <c r="B5" s="248">
        <v>0</v>
      </c>
      <c r="C5" s="248">
        <v>0</v>
      </c>
      <c r="D5" s="248">
        <v>0</v>
      </c>
      <c r="E5" s="248">
        <v>0</v>
      </c>
      <c r="F5" s="248">
        <v>0</v>
      </c>
      <c r="G5" s="248">
        <v>0</v>
      </c>
      <c r="H5" s="248">
        <v>0</v>
      </c>
      <c r="I5" s="248">
        <v>0</v>
      </c>
      <c r="J5" s="248">
        <v>0</v>
      </c>
      <c r="K5" s="248">
        <v>0</v>
      </c>
      <c r="L5" s="248">
        <v>0</v>
      </c>
      <c r="M5" s="248">
        <v>0</v>
      </c>
      <c r="N5" s="248">
        <v>0</v>
      </c>
      <c r="O5" s="248">
        <v>0</v>
      </c>
      <c r="P5" s="248">
        <v>0</v>
      </c>
      <c r="Q5" s="248">
        <v>0</v>
      </c>
      <c r="R5" s="248">
        <v>0</v>
      </c>
      <c r="S5" s="248">
        <v>0</v>
      </c>
      <c r="T5" s="248">
        <v>0</v>
      </c>
      <c r="U5" s="248">
        <v>0</v>
      </c>
      <c r="V5" s="248">
        <v>0</v>
      </c>
      <c r="W5" s="248">
        <v>0</v>
      </c>
      <c r="X5" s="248">
        <v>0</v>
      </c>
      <c r="Y5" s="248">
        <v>0</v>
      </c>
      <c r="Z5" s="248">
        <v>0</v>
      </c>
      <c r="AA5" s="248">
        <v>0</v>
      </c>
      <c r="AB5" s="248">
        <v>0</v>
      </c>
      <c r="AC5" s="248">
        <v>0</v>
      </c>
      <c r="AD5" s="248">
        <v>0</v>
      </c>
      <c r="AE5" s="248">
        <v>0</v>
      </c>
      <c r="AF5" s="248">
        <v>0</v>
      </c>
      <c r="AG5" s="248">
        <v>0</v>
      </c>
      <c r="AH5" s="248">
        <v>0</v>
      </c>
      <c r="AI5" s="248">
        <v>0</v>
      </c>
      <c r="AJ5" s="248">
        <v>0</v>
      </c>
      <c r="AK5" s="248">
        <v>0</v>
      </c>
      <c r="AL5" s="248">
        <v>0</v>
      </c>
      <c r="AM5" s="248">
        <v>0</v>
      </c>
      <c r="AN5" s="248">
        <v>0</v>
      </c>
      <c r="AS5"/>
      <c r="AT5"/>
      <c r="AU5"/>
      <c r="AV5"/>
    </row>
    <row r="6" s="245" customFormat="true" ht="13" x14ac:dyDescent="0.15">
      <c r="A6" s="245" t="s">
        <v>186</v>
      </c>
      <c r="B6" s="248">
        <v>0</v>
      </c>
      <c r="C6" s="248">
        <v>0</v>
      </c>
      <c r="D6" s="248">
        <v>0</v>
      </c>
      <c r="E6" s="248">
        <v>0</v>
      </c>
      <c r="F6" s="248">
        <v>0</v>
      </c>
      <c r="G6" s="248">
        <v>0</v>
      </c>
      <c r="H6" s="248">
        <v>0</v>
      </c>
      <c r="I6" s="248">
        <v>0</v>
      </c>
      <c r="J6" s="248">
        <v>0</v>
      </c>
      <c r="K6" s="248">
        <v>0</v>
      </c>
      <c r="L6" s="248">
        <v>0</v>
      </c>
      <c r="M6" s="248">
        <v>0</v>
      </c>
      <c r="N6" s="248">
        <v>0</v>
      </c>
      <c r="O6" s="248">
        <v>0</v>
      </c>
      <c r="P6" s="248">
        <v>0</v>
      </c>
      <c r="Q6" s="248">
        <v>0</v>
      </c>
      <c r="R6" s="248">
        <v>0</v>
      </c>
      <c r="S6" s="248">
        <v>0</v>
      </c>
      <c r="T6" s="248">
        <v>0</v>
      </c>
      <c r="U6" s="248">
        <v>0</v>
      </c>
      <c r="V6" s="248">
        <v>0</v>
      </c>
      <c r="W6" s="248">
        <v>0</v>
      </c>
      <c r="X6" s="248">
        <v>0</v>
      </c>
      <c r="Y6" s="248">
        <v>0</v>
      </c>
      <c r="Z6" s="248">
        <v>0</v>
      </c>
      <c r="AA6" s="248">
        <v>0</v>
      </c>
      <c r="AB6" s="248">
        <v>0</v>
      </c>
      <c r="AC6" s="248">
        <v>0</v>
      </c>
      <c r="AD6" s="248">
        <v>0</v>
      </c>
      <c r="AE6" s="248">
        <v>0</v>
      </c>
      <c r="AF6" s="248">
        <v>0</v>
      </c>
      <c r="AG6" s="248">
        <v>0</v>
      </c>
      <c r="AH6" s="248">
        <v>0</v>
      </c>
      <c r="AI6" s="248">
        <v>0</v>
      </c>
      <c r="AJ6" s="248">
        <v>0</v>
      </c>
      <c r="AK6" s="248">
        <v>0</v>
      </c>
      <c r="AL6" s="248">
        <v>0</v>
      </c>
      <c r="AM6" s="248">
        <v>0</v>
      </c>
      <c r="AN6" s="248">
        <v>0</v>
      </c>
      <c r="AS6"/>
      <c r="AT6"/>
      <c r="AU6"/>
      <c r="AV6"/>
    </row>
    <row r="7" s="245" customFormat="true" ht="13" x14ac:dyDescent="0.15">
      <c r="A7" s="245" t="s">
        <v>187</v>
      </c>
      <c r="B7" s="248">
        <v>0</v>
      </c>
      <c r="C7" s="248">
        <v>0</v>
      </c>
      <c r="D7" s="248">
        <v>0</v>
      </c>
      <c r="E7" s="248">
        <v>0</v>
      </c>
      <c r="F7" s="248">
        <v>0</v>
      </c>
      <c r="G7" s="248">
        <v>0</v>
      </c>
      <c r="H7" s="248">
        <v>0</v>
      </c>
      <c r="I7" s="248">
        <v>0</v>
      </c>
      <c r="J7" s="248">
        <v>0</v>
      </c>
      <c r="K7" s="248">
        <v>0</v>
      </c>
      <c r="L7" s="248">
        <v>0</v>
      </c>
      <c r="M7" s="248">
        <v>0</v>
      </c>
      <c r="N7" s="248">
        <v>0</v>
      </c>
      <c r="O7" s="248">
        <v>0</v>
      </c>
      <c r="P7" s="248">
        <v>0</v>
      </c>
      <c r="Q7" s="248">
        <v>0</v>
      </c>
      <c r="R7" s="248">
        <v>0</v>
      </c>
      <c r="S7" s="248">
        <v>0</v>
      </c>
      <c r="T7" s="248">
        <v>0</v>
      </c>
      <c r="U7" s="248">
        <v>0</v>
      </c>
      <c r="V7" s="248">
        <v>0</v>
      </c>
      <c r="W7" s="248">
        <v>0</v>
      </c>
      <c r="X7" s="248">
        <v>0</v>
      </c>
      <c r="Y7" s="248">
        <v>0</v>
      </c>
      <c r="Z7" s="248">
        <v>0</v>
      </c>
      <c r="AA7" s="248">
        <v>0</v>
      </c>
      <c r="AB7" s="248">
        <v>0</v>
      </c>
      <c r="AC7" s="248">
        <v>0</v>
      </c>
      <c r="AD7" s="248">
        <v>0</v>
      </c>
      <c r="AE7" s="248">
        <v>0</v>
      </c>
      <c r="AF7" s="248">
        <v>0</v>
      </c>
      <c r="AG7" s="248">
        <v>0</v>
      </c>
      <c r="AH7" s="248">
        <v>0</v>
      </c>
      <c r="AI7" s="248">
        <v>0</v>
      </c>
      <c r="AJ7" s="248">
        <v>0</v>
      </c>
      <c r="AK7" s="248">
        <v>0</v>
      </c>
      <c r="AL7" s="248">
        <v>0</v>
      </c>
      <c r="AM7" s="248">
        <v>0</v>
      </c>
      <c r="AN7" s="248">
        <v>0</v>
      </c>
      <c r="AS7"/>
      <c r="AT7"/>
      <c r="AU7"/>
      <c r="AV7"/>
    </row>
    <row r="8" s="245" customFormat="true" ht="13" x14ac:dyDescent="0.15">
      <c r="A8" s="245" t="s">
        <v>188</v>
      </c>
      <c r="B8" s="248">
        <v>0</v>
      </c>
      <c r="C8" s="248">
        <v>0</v>
      </c>
      <c r="D8" s="248">
        <v>0</v>
      </c>
      <c r="E8" s="248">
        <v>0</v>
      </c>
      <c r="F8" s="248">
        <v>0</v>
      </c>
      <c r="G8" s="248">
        <v>0</v>
      </c>
      <c r="H8" s="248">
        <v>0</v>
      </c>
      <c r="I8" s="248">
        <v>0</v>
      </c>
      <c r="J8" s="248">
        <v>0</v>
      </c>
      <c r="K8" s="248">
        <v>0</v>
      </c>
      <c r="L8" s="248">
        <v>0</v>
      </c>
      <c r="M8" s="248">
        <v>0</v>
      </c>
      <c r="N8" s="248">
        <v>0</v>
      </c>
      <c r="O8" s="248">
        <v>0</v>
      </c>
      <c r="P8" s="248">
        <v>0</v>
      </c>
      <c r="Q8" s="248">
        <v>0</v>
      </c>
      <c r="R8" s="248">
        <v>0</v>
      </c>
      <c r="S8" s="248">
        <v>0</v>
      </c>
      <c r="T8" s="248">
        <v>0</v>
      </c>
      <c r="U8" s="248">
        <v>0</v>
      </c>
      <c r="V8" s="248">
        <v>0</v>
      </c>
      <c r="W8" s="248">
        <v>0</v>
      </c>
      <c r="X8" s="248">
        <v>0</v>
      </c>
      <c r="Y8" s="248">
        <v>0</v>
      </c>
      <c r="Z8" s="248">
        <v>0</v>
      </c>
      <c r="AA8" s="248">
        <v>0</v>
      </c>
      <c r="AB8" s="248">
        <v>0</v>
      </c>
      <c r="AC8" s="248">
        <v>0</v>
      </c>
      <c r="AD8" s="248">
        <v>0</v>
      </c>
      <c r="AE8" s="248">
        <v>0</v>
      </c>
      <c r="AF8" s="248">
        <v>0</v>
      </c>
      <c r="AG8" s="248">
        <v>0</v>
      </c>
      <c r="AH8" s="248">
        <v>0</v>
      </c>
      <c r="AI8" s="248">
        <v>0</v>
      </c>
      <c r="AJ8" s="248">
        <v>0</v>
      </c>
      <c r="AK8" s="248">
        <v>0</v>
      </c>
      <c r="AL8" s="248">
        <v>0</v>
      </c>
      <c r="AM8" s="248">
        <v>0</v>
      </c>
      <c r="AN8" s="248">
        <v>0</v>
      </c>
      <c r="AS8"/>
      <c r="AT8"/>
      <c r="AU8"/>
      <c r="AV8"/>
    </row>
    <row r="9" s="245" customFormat="true" ht="13" x14ac:dyDescent="0.15">
      <c r="A9" s="245" t="s">
        <v>190</v>
      </c>
      <c r="B9" s="248">
        <v>0</v>
      </c>
      <c r="C9" s="248">
        <v>0</v>
      </c>
      <c r="D9" s="248">
        <v>0</v>
      </c>
      <c r="E9" s="248">
        <v>0</v>
      </c>
      <c r="F9" s="248">
        <v>0</v>
      </c>
      <c r="G9" s="248">
        <v>0</v>
      </c>
      <c r="H9" s="248">
        <v>0</v>
      </c>
      <c r="I9" s="248">
        <v>0</v>
      </c>
      <c r="J9" s="248">
        <v>0</v>
      </c>
      <c r="K9" s="248">
        <v>0</v>
      </c>
      <c r="L9" s="248">
        <v>0</v>
      </c>
      <c r="M9" s="248">
        <v>0</v>
      </c>
      <c r="N9" s="248">
        <v>0</v>
      </c>
      <c r="O9" s="248">
        <v>0</v>
      </c>
      <c r="P9" s="248">
        <v>0</v>
      </c>
      <c r="Q9" s="248">
        <v>0</v>
      </c>
      <c r="R9" s="248">
        <v>0</v>
      </c>
      <c r="S9" s="248">
        <v>0</v>
      </c>
      <c r="T9" s="248">
        <v>0</v>
      </c>
      <c r="U9" s="248">
        <v>0</v>
      </c>
      <c r="V9" s="248">
        <v>0</v>
      </c>
      <c r="W9" s="248">
        <v>0</v>
      </c>
      <c r="X9" s="248">
        <v>0</v>
      </c>
      <c r="Y9" s="248">
        <v>0</v>
      </c>
      <c r="Z9" s="248">
        <v>0</v>
      </c>
      <c r="AA9" s="248">
        <v>0</v>
      </c>
      <c r="AB9" s="248">
        <v>0</v>
      </c>
      <c r="AC9" s="248">
        <v>0</v>
      </c>
      <c r="AD9" s="248">
        <v>0</v>
      </c>
      <c r="AE9" s="248">
        <v>0</v>
      </c>
      <c r="AF9" s="248">
        <v>0</v>
      </c>
      <c r="AG9" s="248">
        <v>0</v>
      </c>
      <c r="AH9" s="248">
        <v>0</v>
      </c>
      <c r="AI9" s="248">
        <v>0</v>
      </c>
      <c r="AJ9" s="248">
        <v>0</v>
      </c>
      <c r="AK9" s="248">
        <v>0</v>
      </c>
      <c r="AL9" s="248">
        <v>0</v>
      </c>
      <c r="AM9" s="248">
        <v>0</v>
      </c>
      <c r="AN9" s="248">
        <v>0</v>
      </c>
      <c r="AS9"/>
      <c r="AT9"/>
      <c r="AU9"/>
      <c r="AV9"/>
    </row>
    <row r="10" s="245" customFormat="true" ht="13" x14ac:dyDescent="0.15">
      <c r="A10" s="245" t="s">
        <v>191</v>
      </c>
      <c r="B10" s="248">
        <v>0</v>
      </c>
      <c r="C10" s="248">
        <v>0</v>
      </c>
      <c r="D10" s="248">
        <v>0</v>
      </c>
      <c r="E10" s="248">
        <v>0</v>
      </c>
      <c r="F10" s="248">
        <v>0</v>
      </c>
      <c r="G10" s="248">
        <v>0</v>
      </c>
      <c r="H10" s="248">
        <v>0</v>
      </c>
      <c r="I10" s="248">
        <v>0</v>
      </c>
      <c r="J10" s="248">
        <v>0</v>
      </c>
      <c r="K10" s="248">
        <v>0</v>
      </c>
      <c r="L10" s="248">
        <v>0</v>
      </c>
      <c r="M10" s="248">
        <v>0</v>
      </c>
      <c r="N10" s="248">
        <v>0</v>
      </c>
      <c r="O10" s="248">
        <v>0</v>
      </c>
      <c r="P10" s="248">
        <v>0</v>
      </c>
      <c r="Q10" s="248">
        <v>0</v>
      </c>
      <c r="R10" s="248">
        <v>0</v>
      </c>
      <c r="S10" s="248">
        <v>0</v>
      </c>
      <c r="T10" s="248">
        <v>0</v>
      </c>
      <c r="U10" s="248">
        <v>0</v>
      </c>
      <c r="V10" s="248">
        <v>0</v>
      </c>
      <c r="W10" s="248">
        <v>0</v>
      </c>
      <c r="X10" s="248">
        <v>0</v>
      </c>
      <c r="Y10" s="248">
        <v>0</v>
      </c>
      <c r="Z10" s="248">
        <v>0</v>
      </c>
      <c r="AA10" s="248">
        <v>0</v>
      </c>
      <c r="AB10" s="248">
        <v>0</v>
      </c>
      <c r="AC10" s="248">
        <v>0</v>
      </c>
      <c r="AD10" s="248">
        <v>0</v>
      </c>
      <c r="AE10" s="248">
        <v>0</v>
      </c>
      <c r="AF10" s="248">
        <v>0</v>
      </c>
      <c r="AG10" s="248">
        <v>0</v>
      </c>
      <c r="AH10" s="248">
        <v>0</v>
      </c>
      <c r="AI10" s="248">
        <v>0</v>
      </c>
      <c r="AJ10" s="248">
        <v>0</v>
      </c>
      <c r="AK10" s="248">
        <v>0</v>
      </c>
      <c r="AL10" s="248">
        <v>0</v>
      </c>
      <c r="AM10" s="248">
        <v>0</v>
      </c>
      <c r="AN10" s="248">
        <v>0</v>
      </c>
      <c r="AS10"/>
      <c r="AT10"/>
      <c r="AU10"/>
      <c r="AV10"/>
    </row>
    <row r="11" s="245" customFormat="true" ht="13" x14ac:dyDescent="0.15">
      <c r="A11" s="245" t="s">
        <v>192</v>
      </c>
      <c r="B11" s="248">
        <v>0</v>
      </c>
      <c r="C11" s="248">
        <v>0</v>
      </c>
      <c r="D11" s="248">
        <v>0</v>
      </c>
      <c r="E11" s="248">
        <v>0</v>
      </c>
      <c r="F11" s="248">
        <v>0</v>
      </c>
      <c r="G11" s="248">
        <v>0</v>
      </c>
      <c r="H11" s="248">
        <v>0</v>
      </c>
      <c r="I11" s="248">
        <v>0</v>
      </c>
      <c r="J11" s="248">
        <v>0</v>
      </c>
      <c r="K11" s="248">
        <v>0</v>
      </c>
      <c r="L11" s="248">
        <v>0</v>
      </c>
      <c r="M11" s="248">
        <v>0</v>
      </c>
      <c r="N11" s="248">
        <v>0</v>
      </c>
      <c r="O11" s="248">
        <v>0</v>
      </c>
      <c r="P11" s="248">
        <v>0</v>
      </c>
      <c r="Q11" s="248">
        <v>0</v>
      </c>
      <c r="R11" s="248">
        <v>0</v>
      </c>
      <c r="S11" s="248">
        <v>0</v>
      </c>
      <c r="T11" s="248">
        <v>0</v>
      </c>
      <c r="U11" s="248">
        <v>0</v>
      </c>
      <c r="V11" s="248">
        <v>0</v>
      </c>
      <c r="W11" s="248">
        <v>0</v>
      </c>
      <c r="X11" s="248">
        <v>0</v>
      </c>
      <c r="Y11" s="248">
        <v>0</v>
      </c>
      <c r="Z11" s="248">
        <v>0</v>
      </c>
      <c r="AA11" s="248">
        <v>0</v>
      </c>
      <c r="AB11" s="248">
        <v>0</v>
      </c>
      <c r="AC11" s="248">
        <v>0</v>
      </c>
      <c r="AD11" s="248">
        <v>0</v>
      </c>
      <c r="AE11" s="248">
        <v>0</v>
      </c>
      <c r="AF11" s="248">
        <v>0</v>
      </c>
      <c r="AG11" s="248">
        <v>0</v>
      </c>
      <c r="AH11" s="248">
        <v>0</v>
      </c>
      <c r="AI11" s="248">
        <v>0</v>
      </c>
      <c r="AJ11" s="248">
        <v>0</v>
      </c>
      <c r="AK11" s="248">
        <v>0</v>
      </c>
      <c r="AL11" s="248">
        <v>0</v>
      </c>
      <c r="AM11" s="248">
        <v>0</v>
      </c>
      <c r="AN11" s="248">
        <v>0</v>
      </c>
      <c r="AS11"/>
      <c r="AT11"/>
      <c r="AU11"/>
      <c r="AV11"/>
    </row>
    <row r="12" s="245" customFormat="true" ht="13" x14ac:dyDescent="0.15">
      <c r="A12" s="245" t="s">
        <v>194</v>
      </c>
      <c r="B12" s="248">
        <v>0</v>
      </c>
      <c r="C12" s="248">
        <v>0</v>
      </c>
      <c r="D12" s="248">
        <v>0</v>
      </c>
      <c r="E12" s="248">
        <v>0</v>
      </c>
      <c r="F12" s="248">
        <v>0</v>
      </c>
      <c r="G12" s="248">
        <v>0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>
        <v>0</v>
      </c>
      <c r="P12" s="248">
        <v>0</v>
      </c>
      <c r="Q12" s="248">
        <v>0</v>
      </c>
      <c r="R12" s="248">
        <v>0</v>
      </c>
      <c r="S12" s="248">
        <v>0</v>
      </c>
      <c r="T12" s="248">
        <v>0</v>
      </c>
      <c r="U12" s="248">
        <v>0</v>
      </c>
      <c r="V12" s="248">
        <v>0</v>
      </c>
      <c r="W12" s="248">
        <v>0</v>
      </c>
      <c r="X12" s="248">
        <v>0</v>
      </c>
      <c r="Y12" s="248">
        <v>0</v>
      </c>
      <c r="Z12" s="248">
        <v>0</v>
      </c>
      <c r="AA12" s="248">
        <v>0</v>
      </c>
      <c r="AB12" s="248">
        <v>0</v>
      </c>
      <c r="AC12" s="248">
        <v>0</v>
      </c>
      <c r="AD12" s="248">
        <v>0</v>
      </c>
      <c r="AE12" s="248">
        <v>0</v>
      </c>
      <c r="AF12" s="248">
        <v>0</v>
      </c>
      <c r="AG12" s="248">
        <v>0</v>
      </c>
      <c r="AH12" s="248">
        <v>0</v>
      </c>
      <c r="AI12" s="248">
        <v>0</v>
      </c>
      <c r="AJ12" s="248">
        <v>0</v>
      </c>
      <c r="AK12" s="248">
        <v>0</v>
      </c>
      <c r="AL12" s="248">
        <v>0</v>
      </c>
      <c r="AM12" s="248">
        <v>0</v>
      </c>
      <c r="AN12" s="248">
        <v>0</v>
      </c>
      <c r="AS12"/>
      <c r="AT12"/>
      <c r="AU12"/>
      <c r="AV12"/>
    </row>
    <row r="13" s="245" customFormat="true" ht="13" x14ac:dyDescent="0.15">
      <c r="A13" s="245" t="s">
        <v>195</v>
      </c>
      <c r="B13" s="248">
        <v>0</v>
      </c>
      <c r="C13" s="248">
        <v>0</v>
      </c>
      <c r="D13" s="248">
        <v>0</v>
      </c>
      <c r="E13" s="248">
        <v>0</v>
      </c>
      <c r="F13" s="248">
        <v>0</v>
      </c>
      <c r="G13" s="248">
        <v>0</v>
      </c>
      <c r="H13" s="248">
        <v>0</v>
      </c>
      <c r="I13" s="248">
        <v>0</v>
      </c>
      <c r="J13" s="248">
        <v>0</v>
      </c>
      <c r="K13" s="248">
        <v>0</v>
      </c>
      <c r="L13" s="248">
        <v>0</v>
      </c>
      <c r="M13" s="248">
        <v>0</v>
      </c>
      <c r="N13" s="248">
        <v>0</v>
      </c>
      <c r="O13" s="248">
        <v>0</v>
      </c>
      <c r="P13" s="248">
        <v>0</v>
      </c>
      <c r="Q13" s="248">
        <v>0</v>
      </c>
      <c r="R13" s="248">
        <v>0</v>
      </c>
      <c r="S13" s="248">
        <v>0</v>
      </c>
      <c r="T13" s="248">
        <v>0</v>
      </c>
      <c r="U13" s="248">
        <v>0</v>
      </c>
      <c r="V13" s="248">
        <v>0</v>
      </c>
      <c r="W13" s="248">
        <v>0</v>
      </c>
      <c r="X13" s="248">
        <v>0</v>
      </c>
      <c r="Y13" s="248">
        <v>0</v>
      </c>
      <c r="Z13" s="248">
        <v>0</v>
      </c>
      <c r="AA13" s="248">
        <v>0</v>
      </c>
      <c r="AB13" s="248">
        <v>0</v>
      </c>
      <c r="AC13" s="248">
        <v>0</v>
      </c>
      <c r="AD13" s="248">
        <v>0</v>
      </c>
      <c r="AE13" s="248">
        <v>0</v>
      </c>
      <c r="AF13" s="248">
        <v>0</v>
      </c>
      <c r="AG13" s="248">
        <v>0</v>
      </c>
      <c r="AH13" s="248">
        <v>0</v>
      </c>
      <c r="AI13" s="248">
        <v>0</v>
      </c>
      <c r="AJ13" s="248">
        <v>0</v>
      </c>
      <c r="AK13" s="248">
        <v>0</v>
      </c>
      <c r="AL13" s="248">
        <v>0</v>
      </c>
      <c r="AM13" s="248">
        <v>0</v>
      </c>
      <c r="AN13" s="248">
        <v>0</v>
      </c>
      <c r="AS13"/>
      <c r="AT13"/>
      <c r="AU13"/>
      <c r="AV13"/>
    </row>
    <row r="14" s="245" customFormat="true" ht="13" x14ac:dyDescent="0.15">
      <c r="A14" s="245" t="s">
        <v>196</v>
      </c>
      <c r="B14" s="248">
        <v>0</v>
      </c>
      <c r="C14" s="248">
        <v>0</v>
      </c>
      <c r="D14" s="248">
        <v>0</v>
      </c>
      <c r="E14" s="248">
        <v>0</v>
      </c>
      <c r="F14" s="248">
        <v>0</v>
      </c>
      <c r="G14" s="248">
        <v>0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>
        <v>0</v>
      </c>
      <c r="P14" s="248">
        <v>0</v>
      </c>
      <c r="Q14" s="248">
        <v>0</v>
      </c>
      <c r="R14" s="248">
        <v>0</v>
      </c>
      <c r="S14" s="248">
        <v>0</v>
      </c>
      <c r="T14" s="248">
        <v>0</v>
      </c>
      <c r="U14" s="248">
        <v>0</v>
      </c>
      <c r="V14" s="248">
        <v>0</v>
      </c>
      <c r="W14" s="248">
        <v>0</v>
      </c>
      <c r="X14" s="248">
        <v>0</v>
      </c>
      <c r="Y14" s="248">
        <v>0</v>
      </c>
      <c r="Z14" s="248">
        <v>0</v>
      </c>
      <c r="AA14" s="248">
        <v>0</v>
      </c>
      <c r="AB14" s="248">
        <v>0</v>
      </c>
      <c r="AC14" s="248">
        <v>0</v>
      </c>
      <c r="AD14" s="248">
        <v>0</v>
      </c>
      <c r="AE14" s="248">
        <v>0</v>
      </c>
      <c r="AF14" s="248">
        <v>0</v>
      </c>
      <c r="AG14" s="248">
        <v>0</v>
      </c>
      <c r="AH14" s="248">
        <v>0</v>
      </c>
      <c r="AI14" s="248">
        <v>0</v>
      </c>
      <c r="AJ14" s="248">
        <v>0</v>
      </c>
      <c r="AK14" s="248">
        <v>0</v>
      </c>
      <c r="AL14" s="248">
        <v>0</v>
      </c>
      <c r="AM14" s="248">
        <v>0</v>
      </c>
      <c r="AN14" s="248">
        <v>0</v>
      </c>
      <c r="AS14"/>
      <c r="AT14"/>
      <c r="AU14"/>
      <c r="AV14"/>
    </row>
    <row r="15" s="245" customFormat="true" ht="13" x14ac:dyDescent="0.15">
      <c r="A15" s="245" t="s">
        <v>197</v>
      </c>
      <c r="B15" s="248">
        <v>0</v>
      </c>
      <c r="C15" s="248">
        <v>0</v>
      </c>
      <c r="D15" s="248">
        <v>0</v>
      </c>
      <c r="E15" s="248">
        <v>0</v>
      </c>
      <c r="F15" s="248">
        <v>0</v>
      </c>
      <c r="G15" s="248">
        <v>0</v>
      </c>
      <c r="H15" s="248">
        <v>0</v>
      </c>
      <c r="I15" s="248">
        <v>0</v>
      </c>
      <c r="J15" s="248">
        <v>0</v>
      </c>
      <c r="K15" s="248">
        <v>0</v>
      </c>
      <c r="L15" s="248">
        <v>0</v>
      </c>
      <c r="M15" s="248">
        <v>0</v>
      </c>
      <c r="N15" s="248">
        <v>0</v>
      </c>
      <c r="O15" s="248">
        <v>0</v>
      </c>
      <c r="P15" s="248">
        <v>0</v>
      </c>
      <c r="Q15" s="248">
        <v>0</v>
      </c>
      <c r="R15" s="248">
        <v>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8">
        <v>0</v>
      </c>
      <c r="Z15" s="248">
        <v>0</v>
      </c>
      <c r="AA15" s="248">
        <v>0</v>
      </c>
      <c r="AB15" s="248">
        <v>0</v>
      </c>
      <c r="AC15" s="248">
        <v>0</v>
      </c>
      <c r="AD15" s="248">
        <v>0</v>
      </c>
      <c r="AE15" s="248">
        <v>0</v>
      </c>
      <c r="AF15" s="248">
        <v>0</v>
      </c>
      <c r="AG15" s="248">
        <v>0</v>
      </c>
      <c r="AH15" s="248">
        <v>0</v>
      </c>
      <c r="AI15" s="248">
        <v>0</v>
      </c>
      <c r="AJ15" s="248">
        <v>0</v>
      </c>
      <c r="AK15" s="248">
        <v>0</v>
      </c>
      <c r="AL15" s="248">
        <v>0</v>
      </c>
      <c r="AM15" s="248">
        <v>0</v>
      </c>
      <c r="AN15" s="248">
        <v>0</v>
      </c>
      <c r="AS15"/>
      <c r="AT15"/>
      <c r="AU15"/>
      <c r="AV15"/>
    </row>
    <row r="16" s="245" customFormat="true" ht="13" x14ac:dyDescent="0.15">
      <c r="A16" s="245" t="s">
        <v>198</v>
      </c>
      <c r="B16" s="248">
        <v>0</v>
      </c>
      <c r="C16" s="248">
        <v>0</v>
      </c>
      <c r="D16" s="248">
        <v>0</v>
      </c>
      <c r="E16" s="248">
        <v>0</v>
      </c>
      <c r="F16" s="248">
        <v>0</v>
      </c>
      <c r="G16" s="248">
        <v>0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>
        <v>0</v>
      </c>
      <c r="P16" s="248">
        <v>0</v>
      </c>
      <c r="Q16" s="248">
        <v>0</v>
      </c>
      <c r="R16" s="248">
        <v>0</v>
      </c>
      <c r="S16" s="248">
        <v>0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8">
        <v>0</v>
      </c>
      <c r="Z16" s="248">
        <v>0</v>
      </c>
      <c r="AA16" s="248">
        <v>0</v>
      </c>
      <c r="AB16" s="248">
        <v>0</v>
      </c>
      <c r="AC16" s="248">
        <v>0</v>
      </c>
      <c r="AD16" s="248">
        <v>0</v>
      </c>
      <c r="AE16" s="248">
        <v>0</v>
      </c>
      <c r="AF16" s="248">
        <v>0</v>
      </c>
      <c r="AG16" s="248">
        <v>0</v>
      </c>
      <c r="AH16" s="248">
        <v>0</v>
      </c>
      <c r="AI16" s="248">
        <v>0</v>
      </c>
      <c r="AJ16" s="248">
        <v>0</v>
      </c>
      <c r="AK16" s="248">
        <v>0</v>
      </c>
      <c r="AL16" s="248">
        <v>0</v>
      </c>
      <c r="AM16" s="248">
        <v>0</v>
      </c>
      <c r="AN16" s="248">
        <v>0</v>
      </c>
      <c r="AS16"/>
      <c r="AT16"/>
      <c r="AU16"/>
      <c r="AV16"/>
    </row>
    <row r="17" s="245" customFormat="true" ht="13" x14ac:dyDescent="0.15">
      <c r="A17" s="245" t="s">
        <v>199</v>
      </c>
      <c r="B17" s="248">
        <v>0</v>
      </c>
      <c r="C17" s="248">
        <v>0</v>
      </c>
      <c r="D17" s="248">
        <v>0</v>
      </c>
      <c r="E17" s="248">
        <v>0</v>
      </c>
      <c r="F17" s="248">
        <v>0</v>
      </c>
      <c r="G17" s="248">
        <v>0</v>
      </c>
      <c r="H17" s="248">
        <v>0</v>
      </c>
      <c r="I17" s="248">
        <v>0</v>
      </c>
      <c r="J17" s="248">
        <v>0</v>
      </c>
      <c r="K17" s="248">
        <v>0</v>
      </c>
      <c r="L17" s="248">
        <v>0</v>
      </c>
      <c r="M17" s="248">
        <v>0</v>
      </c>
      <c r="N17" s="248">
        <v>0</v>
      </c>
      <c r="O17" s="248">
        <v>0</v>
      </c>
      <c r="P17" s="248">
        <v>0</v>
      </c>
      <c r="Q17" s="248">
        <v>0</v>
      </c>
      <c r="R17" s="248">
        <v>0</v>
      </c>
      <c r="S17" s="248">
        <v>0</v>
      </c>
      <c r="T17" s="248">
        <v>0</v>
      </c>
      <c r="U17" s="248">
        <v>0</v>
      </c>
      <c r="V17" s="248">
        <v>0</v>
      </c>
      <c r="W17" s="248">
        <v>0</v>
      </c>
      <c r="X17" s="248">
        <v>0</v>
      </c>
      <c r="Y17" s="248">
        <v>0</v>
      </c>
      <c r="Z17" s="248">
        <v>0</v>
      </c>
      <c r="AA17" s="248">
        <v>0</v>
      </c>
      <c r="AB17" s="248">
        <v>0</v>
      </c>
      <c r="AC17" s="248">
        <v>0</v>
      </c>
      <c r="AD17" s="248">
        <v>0</v>
      </c>
      <c r="AE17" s="248">
        <v>0</v>
      </c>
      <c r="AF17" s="248">
        <v>0</v>
      </c>
      <c r="AG17" s="248">
        <v>0</v>
      </c>
      <c r="AH17" s="248">
        <v>0</v>
      </c>
      <c r="AI17" s="248">
        <v>0</v>
      </c>
      <c r="AJ17" s="248">
        <v>0</v>
      </c>
      <c r="AK17" s="248">
        <v>0</v>
      </c>
      <c r="AL17" s="248">
        <v>0</v>
      </c>
      <c r="AM17" s="248">
        <v>0</v>
      </c>
      <c r="AN17" s="248">
        <v>0</v>
      </c>
      <c r="AS17"/>
      <c r="AT17"/>
      <c r="AU17"/>
      <c r="AV17"/>
    </row>
    <row r="18" s="245" customFormat="true" ht="13" x14ac:dyDescent="0.15">
      <c r="A18" s="245" t="s">
        <v>200</v>
      </c>
      <c r="B18" s="248">
        <v>0</v>
      </c>
      <c r="C18" s="248">
        <v>0</v>
      </c>
      <c r="D18" s="248">
        <v>0</v>
      </c>
      <c r="E18" s="248">
        <v>0</v>
      </c>
      <c r="F18" s="248">
        <v>0</v>
      </c>
      <c r="G18" s="248">
        <v>0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>
        <v>0</v>
      </c>
      <c r="P18" s="248">
        <v>0</v>
      </c>
      <c r="Q18" s="248">
        <v>0</v>
      </c>
      <c r="R18" s="248">
        <v>0</v>
      </c>
      <c r="S18" s="248">
        <v>0</v>
      </c>
      <c r="T18" s="248">
        <v>0</v>
      </c>
      <c r="U18" s="248">
        <v>0</v>
      </c>
      <c r="V18" s="248">
        <v>0</v>
      </c>
      <c r="W18" s="248">
        <v>0</v>
      </c>
      <c r="X18" s="248">
        <v>0</v>
      </c>
      <c r="Y18" s="248">
        <v>0</v>
      </c>
      <c r="Z18" s="248">
        <v>0</v>
      </c>
      <c r="AA18" s="248">
        <v>0</v>
      </c>
      <c r="AB18" s="248">
        <v>0</v>
      </c>
      <c r="AC18" s="248">
        <v>0</v>
      </c>
      <c r="AD18" s="248">
        <v>0</v>
      </c>
      <c r="AE18" s="248">
        <v>0</v>
      </c>
      <c r="AF18" s="248">
        <v>0</v>
      </c>
      <c r="AG18" s="248">
        <v>0</v>
      </c>
      <c r="AH18" s="248">
        <v>0</v>
      </c>
      <c r="AI18" s="248">
        <v>0</v>
      </c>
      <c r="AJ18" s="248">
        <v>0</v>
      </c>
      <c r="AK18" s="248">
        <v>0</v>
      </c>
      <c r="AL18" s="248">
        <v>0</v>
      </c>
      <c r="AM18" s="248">
        <v>0</v>
      </c>
      <c r="AN18" s="248">
        <v>0</v>
      </c>
      <c r="AS18"/>
      <c r="AT18"/>
      <c r="AU18"/>
      <c r="AV18"/>
    </row>
    <row r="19" s="245" customFormat="true" ht="13" x14ac:dyDescent="0.15">
      <c r="A19" s="245" t="s">
        <v>201</v>
      </c>
      <c r="B19" s="248">
        <v>0</v>
      </c>
      <c r="C19" s="248">
        <v>0</v>
      </c>
      <c r="D19" s="248">
        <v>0</v>
      </c>
      <c r="E19" s="248">
        <v>0</v>
      </c>
      <c r="F19" s="248">
        <v>0</v>
      </c>
      <c r="G19" s="248">
        <v>0</v>
      </c>
      <c r="H19" s="248">
        <v>0</v>
      </c>
      <c r="I19" s="248">
        <v>0</v>
      </c>
      <c r="J19" s="248">
        <v>0</v>
      </c>
      <c r="K19" s="248">
        <v>0</v>
      </c>
      <c r="L19" s="248">
        <v>0</v>
      </c>
      <c r="M19" s="248">
        <v>0</v>
      </c>
      <c r="N19" s="248">
        <v>0</v>
      </c>
      <c r="O19" s="248">
        <v>0</v>
      </c>
      <c r="P19" s="248">
        <v>0</v>
      </c>
      <c r="Q19" s="248">
        <v>0</v>
      </c>
      <c r="R19" s="248">
        <v>0</v>
      </c>
      <c r="S19" s="248">
        <v>0</v>
      </c>
      <c r="T19" s="248">
        <v>0</v>
      </c>
      <c r="U19" s="248">
        <v>0</v>
      </c>
      <c r="V19" s="248">
        <v>0</v>
      </c>
      <c r="W19" s="248">
        <v>0</v>
      </c>
      <c r="X19" s="248">
        <v>0</v>
      </c>
      <c r="Y19" s="248">
        <v>0</v>
      </c>
      <c r="Z19" s="248">
        <v>0</v>
      </c>
      <c r="AA19" s="248">
        <v>0</v>
      </c>
      <c r="AB19" s="248">
        <v>0</v>
      </c>
      <c r="AC19" s="248">
        <v>0</v>
      </c>
      <c r="AD19" s="248">
        <v>0</v>
      </c>
      <c r="AE19" s="248">
        <v>0</v>
      </c>
      <c r="AF19" s="248">
        <v>0</v>
      </c>
      <c r="AG19" s="248">
        <v>0</v>
      </c>
      <c r="AH19" s="248">
        <v>0</v>
      </c>
      <c r="AI19" s="248">
        <v>0</v>
      </c>
      <c r="AJ19" s="248">
        <v>0</v>
      </c>
      <c r="AK19" s="248">
        <v>0</v>
      </c>
      <c r="AL19" s="248">
        <v>0</v>
      </c>
      <c r="AM19" s="248">
        <v>0</v>
      </c>
      <c r="AN19" s="248">
        <v>0</v>
      </c>
      <c r="AQ19" s="245" t="s">
        <v>224</v>
      </c>
      <c r="AS19"/>
      <c r="AT19"/>
      <c r="AU19"/>
      <c r="AV19"/>
    </row>
    <row r="20" s="245" customFormat="true" ht="13" x14ac:dyDescent="0.15">
      <c r="A20" s="245" t="s">
        <v>202</v>
      </c>
      <c r="B20" s="248">
        <v>0</v>
      </c>
      <c r="C20" s="248">
        <v>0</v>
      </c>
      <c r="D20" s="248">
        <v>0</v>
      </c>
      <c r="E20" s="248">
        <v>0</v>
      </c>
      <c r="F20" s="248">
        <v>0</v>
      </c>
      <c r="G20" s="248">
        <v>0</v>
      </c>
      <c r="H20" s="248">
        <v>0</v>
      </c>
      <c r="I20" s="248">
        <v>0</v>
      </c>
      <c r="J20" s="248">
        <v>0</v>
      </c>
      <c r="K20" s="248">
        <v>0</v>
      </c>
      <c r="L20" s="248">
        <v>0</v>
      </c>
      <c r="M20" s="248">
        <v>0</v>
      </c>
      <c r="N20" s="248">
        <v>0</v>
      </c>
      <c r="O20" s="248">
        <v>0</v>
      </c>
      <c r="P20" s="248">
        <v>0</v>
      </c>
      <c r="Q20" s="248">
        <v>0</v>
      </c>
      <c r="R20" s="248">
        <v>0</v>
      </c>
      <c r="S20" s="248">
        <v>0</v>
      </c>
      <c r="T20" s="248">
        <v>0</v>
      </c>
      <c r="U20" s="248">
        <v>0</v>
      </c>
      <c r="V20" s="248">
        <v>0</v>
      </c>
      <c r="W20" s="248">
        <v>0</v>
      </c>
      <c r="X20" s="248">
        <v>0</v>
      </c>
      <c r="Y20" s="248">
        <v>0</v>
      </c>
      <c r="Z20" s="248">
        <v>0</v>
      </c>
      <c r="AA20" s="248">
        <v>0</v>
      </c>
      <c r="AB20" s="248">
        <v>0</v>
      </c>
      <c r="AC20" s="248">
        <v>0</v>
      </c>
      <c r="AD20" s="248">
        <v>0</v>
      </c>
      <c r="AE20" s="248">
        <v>0</v>
      </c>
      <c r="AF20" s="248">
        <v>0</v>
      </c>
      <c r="AG20" s="248">
        <v>0</v>
      </c>
      <c r="AH20" s="248">
        <v>0</v>
      </c>
      <c r="AI20" s="248">
        <v>0</v>
      </c>
      <c r="AJ20" s="248">
        <v>0</v>
      </c>
      <c r="AK20" s="248">
        <v>0</v>
      </c>
      <c r="AL20" s="248">
        <v>0</v>
      </c>
      <c r="AM20" s="248">
        <v>0</v>
      </c>
      <c r="AN20" s="248">
        <v>0</v>
      </c>
      <c r="AS20"/>
      <c r="AT20"/>
      <c r="AU20"/>
      <c r="AV20"/>
    </row>
    <row r="21" s="245" customFormat="true" ht="13" x14ac:dyDescent="0.15">
      <c r="A21" s="245" t="s">
        <v>203</v>
      </c>
      <c r="B21" s="248">
        <v>0</v>
      </c>
      <c r="C21" s="248">
        <v>0</v>
      </c>
      <c r="D21" s="248">
        <v>0</v>
      </c>
      <c r="E21" s="248">
        <v>0</v>
      </c>
      <c r="F21" s="248">
        <v>0</v>
      </c>
      <c r="G21" s="248">
        <v>0</v>
      </c>
      <c r="H21" s="248">
        <v>0</v>
      </c>
      <c r="I21" s="248">
        <v>0</v>
      </c>
      <c r="J21" s="248">
        <v>0</v>
      </c>
      <c r="K21" s="248">
        <v>0</v>
      </c>
      <c r="L21" s="248">
        <v>0</v>
      </c>
      <c r="M21" s="248">
        <v>0</v>
      </c>
      <c r="N21" s="248">
        <v>0</v>
      </c>
      <c r="O21" s="248">
        <v>0</v>
      </c>
      <c r="P21" s="248">
        <v>0</v>
      </c>
      <c r="Q21" s="248">
        <v>0</v>
      </c>
      <c r="R21" s="248">
        <v>0</v>
      </c>
      <c r="S21" s="248">
        <v>0</v>
      </c>
      <c r="T21" s="248">
        <v>0</v>
      </c>
      <c r="U21" s="248">
        <v>0</v>
      </c>
      <c r="V21" s="248">
        <v>0</v>
      </c>
      <c r="W21" s="248">
        <v>0</v>
      </c>
      <c r="X21" s="248">
        <v>0</v>
      </c>
      <c r="Y21" s="248">
        <v>0</v>
      </c>
      <c r="Z21" s="248">
        <v>0</v>
      </c>
      <c r="AA21" s="248">
        <v>0</v>
      </c>
      <c r="AB21" s="248">
        <v>0</v>
      </c>
      <c r="AC21" s="248">
        <v>0</v>
      </c>
      <c r="AD21" s="248">
        <v>0</v>
      </c>
      <c r="AE21" s="248">
        <v>0</v>
      </c>
      <c r="AF21" s="248">
        <v>0</v>
      </c>
      <c r="AG21" s="248">
        <v>0</v>
      </c>
      <c r="AH21" s="248">
        <v>0</v>
      </c>
      <c r="AI21" s="248">
        <v>0</v>
      </c>
      <c r="AJ21" s="248">
        <v>0</v>
      </c>
      <c r="AK21" s="248">
        <v>0</v>
      </c>
      <c r="AL21" s="248">
        <v>0</v>
      </c>
      <c r="AM21" s="248">
        <v>0</v>
      </c>
      <c r="AN21" s="248">
        <v>0</v>
      </c>
      <c r="AS21"/>
      <c r="AT21"/>
      <c r="AU21"/>
      <c r="AV21"/>
    </row>
    <row r="22" s="245" customFormat="true" ht="13" x14ac:dyDescent="0.15">
      <c r="A22" s="245" t="s">
        <v>204</v>
      </c>
      <c r="B22" s="248">
        <v>0</v>
      </c>
      <c r="C22" s="248">
        <v>0</v>
      </c>
      <c r="D22" s="248">
        <v>0</v>
      </c>
      <c r="E22" s="248">
        <v>0</v>
      </c>
      <c r="F22" s="248">
        <v>0</v>
      </c>
      <c r="G22" s="248">
        <v>0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>
        <v>0</v>
      </c>
      <c r="P22" s="248">
        <v>0</v>
      </c>
      <c r="Q22" s="248">
        <v>0</v>
      </c>
      <c r="R22" s="248">
        <v>0</v>
      </c>
      <c r="S22" s="248">
        <v>0</v>
      </c>
      <c r="T22" s="248">
        <v>0</v>
      </c>
      <c r="U22" s="248">
        <v>0</v>
      </c>
      <c r="V22" s="248">
        <v>0</v>
      </c>
      <c r="W22" s="248">
        <v>0</v>
      </c>
      <c r="X22" s="248">
        <v>0</v>
      </c>
      <c r="Y22" s="248">
        <v>0</v>
      </c>
      <c r="Z22" s="248">
        <v>0</v>
      </c>
      <c r="AA22" s="248">
        <v>0</v>
      </c>
      <c r="AB22" s="248">
        <v>0</v>
      </c>
      <c r="AC22" s="248">
        <v>0</v>
      </c>
      <c r="AD22" s="248">
        <v>0</v>
      </c>
      <c r="AE22" s="248">
        <v>0</v>
      </c>
      <c r="AF22" s="248">
        <v>0</v>
      </c>
      <c r="AG22" s="248">
        <v>0</v>
      </c>
      <c r="AH22" s="248">
        <v>0</v>
      </c>
      <c r="AI22" s="248">
        <v>0</v>
      </c>
      <c r="AJ22" s="248">
        <v>0</v>
      </c>
      <c r="AK22" s="248">
        <v>0</v>
      </c>
      <c r="AL22" s="248">
        <v>0</v>
      </c>
      <c r="AM22" s="248">
        <v>0</v>
      </c>
      <c r="AN22" s="248">
        <v>0</v>
      </c>
      <c r="AS22"/>
      <c r="AT22"/>
      <c r="AU22"/>
      <c r="AV22"/>
    </row>
    <row r="23" s="245" customFormat="true" ht="13" x14ac:dyDescent="0.15">
      <c r="A23" s="245" t="s">
        <v>205</v>
      </c>
      <c r="B23" s="248">
        <v>0</v>
      </c>
      <c r="C23" s="248">
        <v>0</v>
      </c>
      <c r="D23" s="248">
        <v>0</v>
      </c>
      <c r="E23" s="248">
        <v>0</v>
      </c>
      <c r="F23" s="248">
        <v>0</v>
      </c>
      <c r="G23" s="248">
        <v>0</v>
      </c>
      <c r="H23" s="248">
        <v>0</v>
      </c>
      <c r="I23" s="248">
        <v>0</v>
      </c>
      <c r="J23" s="248">
        <v>0</v>
      </c>
      <c r="K23" s="248">
        <v>0</v>
      </c>
      <c r="L23" s="248">
        <v>0</v>
      </c>
      <c r="M23" s="248">
        <v>0</v>
      </c>
      <c r="N23" s="248">
        <v>0</v>
      </c>
      <c r="O23" s="248">
        <v>0</v>
      </c>
      <c r="P23" s="248">
        <v>0</v>
      </c>
      <c r="Q23" s="248">
        <v>0</v>
      </c>
      <c r="R23" s="248">
        <v>0</v>
      </c>
      <c r="S23" s="248">
        <v>0</v>
      </c>
      <c r="T23" s="248">
        <v>0</v>
      </c>
      <c r="U23" s="248">
        <v>0</v>
      </c>
      <c r="V23" s="248">
        <v>0</v>
      </c>
      <c r="W23" s="248">
        <v>0</v>
      </c>
      <c r="X23" s="248">
        <v>0</v>
      </c>
      <c r="Y23" s="248">
        <v>0</v>
      </c>
      <c r="Z23" s="248">
        <v>0</v>
      </c>
      <c r="AA23" s="248">
        <v>0</v>
      </c>
      <c r="AB23" s="248">
        <v>0</v>
      </c>
      <c r="AC23" s="248">
        <v>0</v>
      </c>
      <c r="AD23" s="248">
        <v>0</v>
      </c>
      <c r="AE23" s="248">
        <v>0</v>
      </c>
      <c r="AF23" s="248">
        <v>0</v>
      </c>
      <c r="AG23" s="248">
        <v>0</v>
      </c>
      <c r="AH23" s="248">
        <v>0</v>
      </c>
      <c r="AI23" s="248">
        <v>0</v>
      </c>
      <c r="AJ23" s="248">
        <v>0</v>
      </c>
      <c r="AK23" s="248">
        <v>0</v>
      </c>
      <c r="AL23" s="248">
        <v>0</v>
      </c>
      <c r="AM23" s="248">
        <v>0</v>
      </c>
      <c r="AN23" s="248">
        <v>0</v>
      </c>
      <c r="AS23"/>
      <c r="AT23"/>
      <c r="AU23"/>
      <c r="AV23"/>
    </row>
    <row r="24" s="245" customFormat="true" ht="13" x14ac:dyDescent="0.15">
      <c r="A24" s="245" t="s">
        <v>207</v>
      </c>
      <c r="B24" s="248">
        <v>0</v>
      </c>
      <c r="C24" s="248">
        <v>0</v>
      </c>
      <c r="D24" s="248">
        <v>0</v>
      </c>
      <c r="E24" s="248">
        <v>0</v>
      </c>
      <c r="F24" s="248">
        <v>0</v>
      </c>
      <c r="G24" s="248">
        <v>0</v>
      </c>
      <c r="H24" s="248">
        <v>0</v>
      </c>
      <c r="I24" s="248">
        <v>0</v>
      </c>
      <c r="J24" s="248">
        <v>0</v>
      </c>
      <c r="K24" s="248">
        <v>0</v>
      </c>
      <c r="L24" s="248">
        <v>0</v>
      </c>
      <c r="M24" s="248">
        <v>0</v>
      </c>
      <c r="N24" s="248">
        <v>0</v>
      </c>
      <c r="O24" s="248">
        <v>0</v>
      </c>
      <c r="P24" s="248">
        <v>0</v>
      </c>
      <c r="Q24" s="248">
        <v>0</v>
      </c>
      <c r="R24" s="248">
        <v>0</v>
      </c>
      <c r="S24" s="248">
        <v>0</v>
      </c>
      <c r="T24" s="248">
        <v>0</v>
      </c>
      <c r="U24" s="248">
        <v>0</v>
      </c>
      <c r="V24" s="248">
        <v>0</v>
      </c>
      <c r="W24" s="248">
        <v>0</v>
      </c>
      <c r="X24" s="248">
        <v>0</v>
      </c>
      <c r="Y24" s="248">
        <v>0</v>
      </c>
      <c r="Z24" s="248">
        <v>0</v>
      </c>
      <c r="AA24" s="248">
        <v>0</v>
      </c>
      <c r="AB24" s="248">
        <v>0</v>
      </c>
      <c r="AC24" s="248">
        <v>0</v>
      </c>
      <c r="AD24" s="248">
        <v>0</v>
      </c>
      <c r="AE24" s="248">
        <v>0</v>
      </c>
      <c r="AF24" s="248">
        <v>0</v>
      </c>
      <c r="AG24" s="248">
        <v>0</v>
      </c>
      <c r="AH24" s="248">
        <v>0</v>
      </c>
      <c r="AI24" s="248">
        <v>0</v>
      </c>
      <c r="AJ24" s="248">
        <v>0</v>
      </c>
      <c r="AK24" s="248">
        <v>0</v>
      </c>
      <c r="AL24" s="248">
        <v>0</v>
      </c>
      <c r="AM24" s="248">
        <v>0</v>
      </c>
      <c r="AN24" s="248">
        <v>0</v>
      </c>
      <c r="AS24"/>
      <c r="AT24"/>
      <c r="AU24"/>
      <c r="AV24"/>
    </row>
    <row r="25" s="245" customFormat="true" ht="13" x14ac:dyDescent="0.15">
      <c r="A25" s="245" t="s">
        <v>208</v>
      </c>
      <c r="B25" s="248">
        <v>0</v>
      </c>
      <c r="C25" s="248">
        <v>0</v>
      </c>
      <c r="D25" s="248">
        <v>0</v>
      </c>
      <c r="E25" s="248">
        <v>0</v>
      </c>
      <c r="F25" s="248">
        <v>0</v>
      </c>
      <c r="G25" s="248">
        <v>0</v>
      </c>
      <c r="H25" s="248">
        <v>0</v>
      </c>
      <c r="I25" s="248">
        <v>0</v>
      </c>
      <c r="J25" s="248">
        <v>0</v>
      </c>
      <c r="K25" s="248">
        <v>0</v>
      </c>
      <c r="L25" s="248">
        <v>0</v>
      </c>
      <c r="M25" s="248">
        <v>0</v>
      </c>
      <c r="N25" s="248">
        <v>0</v>
      </c>
      <c r="O25" s="248">
        <v>0</v>
      </c>
      <c r="P25" s="248">
        <v>0</v>
      </c>
      <c r="Q25" s="248">
        <v>0</v>
      </c>
      <c r="R25" s="248">
        <v>0</v>
      </c>
      <c r="S25" s="248">
        <v>0</v>
      </c>
      <c r="T25" s="248">
        <v>0</v>
      </c>
      <c r="U25" s="248">
        <v>0</v>
      </c>
      <c r="V25" s="248">
        <v>0</v>
      </c>
      <c r="W25" s="248">
        <v>0</v>
      </c>
      <c r="X25" s="248">
        <v>0</v>
      </c>
      <c r="Y25" s="248">
        <v>0</v>
      </c>
      <c r="Z25" s="248">
        <v>0</v>
      </c>
      <c r="AA25" s="248">
        <v>0</v>
      </c>
      <c r="AB25" s="248">
        <v>0</v>
      </c>
      <c r="AC25" s="248">
        <v>0</v>
      </c>
      <c r="AD25" s="248">
        <v>0</v>
      </c>
      <c r="AE25" s="248">
        <v>0</v>
      </c>
      <c r="AF25" s="248">
        <v>0</v>
      </c>
      <c r="AG25" s="248">
        <v>0</v>
      </c>
      <c r="AH25" s="248">
        <v>0</v>
      </c>
      <c r="AI25" s="248">
        <v>0</v>
      </c>
      <c r="AJ25" s="248">
        <v>0</v>
      </c>
      <c r="AK25" s="248">
        <v>0</v>
      </c>
      <c r="AL25" s="248">
        <v>0</v>
      </c>
      <c r="AM25" s="248">
        <v>0</v>
      </c>
      <c r="AN25" s="248">
        <v>0</v>
      </c>
      <c r="AS25"/>
      <c r="AT25"/>
      <c r="AU25"/>
      <c r="AV25"/>
    </row>
    <row r="26" s="245" customFormat="true" ht="13" x14ac:dyDescent="0.15">
      <c r="A26" s="245" t="s">
        <v>209</v>
      </c>
      <c r="B26" s="248">
        <v>0</v>
      </c>
      <c r="C26" s="248">
        <v>0</v>
      </c>
      <c r="D26" s="248">
        <v>0</v>
      </c>
      <c r="E26" s="248">
        <v>0</v>
      </c>
      <c r="F26" s="248">
        <v>0</v>
      </c>
      <c r="G26" s="248">
        <v>0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>
        <v>0</v>
      </c>
      <c r="P26" s="248">
        <v>0</v>
      </c>
      <c r="Q26" s="248">
        <v>0</v>
      </c>
      <c r="R26" s="248">
        <v>0</v>
      </c>
      <c r="S26" s="248">
        <v>0</v>
      </c>
      <c r="T26" s="248">
        <v>0</v>
      </c>
      <c r="U26" s="248">
        <v>0</v>
      </c>
      <c r="V26" s="248">
        <v>0</v>
      </c>
      <c r="W26" s="248">
        <v>0</v>
      </c>
      <c r="X26" s="248">
        <v>0</v>
      </c>
      <c r="Y26" s="248">
        <v>0</v>
      </c>
      <c r="Z26" s="248">
        <v>0</v>
      </c>
      <c r="AA26" s="248">
        <v>0</v>
      </c>
      <c r="AB26" s="248">
        <v>0</v>
      </c>
      <c r="AC26" s="248">
        <v>0</v>
      </c>
      <c r="AD26" s="248">
        <v>0</v>
      </c>
      <c r="AE26" s="248">
        <v>0</v>
      </c>
      <c r="AF26" s="248">
        <v>0</v>
      </c>
      <c r="AG26" s="248">
        <v>0</v>
      </c>
      <c r="AH26" s="248">
        <v>0</v>
      </c>
      <c r="AI26" s="248">
        <v>0</v>
      </c>
      <c r="AJ26" s="248">
        <v>0</v>
      </c>
      <c r="AK26" s="248">
        <v>0</v>
      </c>
      <c r="AL26" s="248">
        <v>0</v>
      </c>
      <c r="AM26" s="248">
        <v>0</v>
      </c>
      <c r="AN26" s="248">
        <v>0</v>
      </c>
      <c r="AS26"/>
      <c r="AT26"/>
      <c r="AU26"/>
      <c r="AV26"/>
    </row>
    <row r="27" s="245" customFormat="true" ht="13" x14ac:dyDescent="0.15">
      <c r="A27" s="245" t="s">
        <v>210</v>
      </c>
      <c r="B27" s="248">
        <v>0</v>
      </c>
      <c r="C27" s="248">
        <v>0</v>
      </c>
      <c r="D27" s="248">
        <v>0</v>
      </c>
      <c r="E27" s="248">
        <v>0</v>
      </c>
      <c r="F27" s="248">
        <v>0</v>
      </c>
      <c r="G27" s="248">
        <v>0</v>
      </c>
      <c r="H27" s="248">
        <v>0</v>
      </c>
      <c r="I27" s="248">
        <v>0</v>
      </c>
      <c r="J27" s="248">
        <v>0</v>
      </c>
      <c r="K27" s="248">
        <v>0</v>
      </c>
      <c r="L27" s="248">
        <v>0</v>
      </c>
      <c r="M27" s="248">
        <v>0</v>
      </c>
      <c r="N27" s="248">
        <v>0</v>
      </c>
      <c r="O27" s="248">
        <v>0</v>
      </c>
      <c r="P27" s="248">
        <v>0</v>
      </c>
      <c r="Q27" s="248">
        <v>0</v>
      </c>
      <c r="R27" s="248">
        <v>0</v>
      </c>
      <c r="S27" s="248">
        <v>0</v>
      </c>
      <c r="T27" s="248">
        <v>0</v>
      </c>
      <c r="U27" s="248">
        <v>0</v>
      </c>
      <c r="V27" s="248">
        <v>0</v>
      </c>
      <c r="W27" s="248">
        <v>0</v>
      </c>
      <c r="X27" s="248">
        <v>0</v>
      </c>
      <c r="Y27" s="248">
        <v>0</v>
      </c>
      <c r="Z27" s="248">
        <v>0</v>
      </c>
      <c r="AA27" s="248">
        <v>0</v>
      </c>
      <c r="AB27" s="248">
        <v>0</v>
      </c>
      <c r="AC27" s="248">
        <v>0</v>
      </c>
      <c r="AD27" s="248">
        <v>0</v>
      </c>
      <c r="AE27" s="248">
        <v>0</v>
      </c>
      <c r="AF27" s="248">
        <v>0</v>
      </c>
      <c r="AG27" s="248">
        <v>0</v>
      </c>
      <c r="AH27" s="248">
        <v>0</v>
      </c>
      <c r="AI27" s="248">
        <v>0</v>
      </c>
      <c r="AJ27" s="248">
        <v>0</v>
      </c>
      <c r="AK27" s="248">
        <v>0</v>
      </c>
      <c r="AL27" s="248">
        <v>0</v>
      </c>
      <c r="AM27" s="248">
        <v>0</v>
      </c>
      <c r="AN27" s="248">
        <v>0</v>
      </c>
      <c r="AS27"/>
      <c r="AT27"/>
      <c r="AU27"/>
      <c r="AV27"/>
    </row>
    <row r="28" s="245" customFormat="true" ht="13" x14ac:dyDescent="0.15">
      <c r="A28" s="245" t="s">
        <v>211</v>
      </c>
      <c r="B28" s="248">
        <v>0</v>
      </c>
      <c r="C28" s="248">
        <v>0</v>
      </c>
      <c r="D28" s="248">
        <v>0</v>
      </c>
      <c r="E28" s="248">
        <v>0</v>
      </c>
      <c r="F28" s="248">
        <v>0</v>
      </c>
      <c r="G28" s="248">
        <v>0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>
        <v>0</v>
      </c>
      <c r="P28" s="248">
        <v>0</v>
      </c>
      <c r="Q28" s="248">
        <v>0</v>
      </c>
      <c r="R28" s="248">
        <v>0</v>
      </c>
      <c r="S28" s="248">
        <v>0</v>
      </c>
      <c r="T28" s="248">
        <v>0</v>
      </c>
      <c r="U28" s="248">
        <v>0</v>
      </c>
      <c r="V28" s="248">
        <v>0</v>
      </c>
      <c r="W28" s="248">
        <v>0</v>
      </c>
      <c r="X28" s="248">
        <v>0</v>
      </c>
      <c r="Y28" s="248">
        <v>0</v>
      </c>
      <c r="Z28" s="248">
        <v>0</v>
      </c>
      <c r="AA28" s="248">
        <v>0</v>
      </c>
      <c r="AB28" s="248">
        <v>0</v>
      </c>
      <c r="AC28" s="248">
        <v>0</v>
      </c>
      <c r="AD28" s="248">
        <v>0</v>
      </c>
      <c r="AE28" s="248">
        <v>0</v>
      </c>
      <c r="AF28" s="248">
        <v>0</v>
      </c>
      <c r="AG28" s="248">
        <v>0</v>
      </c>
      <c r="AH28" s="248">
        <v>0</v>
      </c>
      <c r="AI28" s="248">
        <v>0</v>
      </c>
      <c r="AJ28" s="248">
        <v>0</v>
      </c>
      <c r="AK28" s="248">
        <v>0</v>
      </c>
      <c r="AL28" s="248">
        <v>0</v>
      </c>
      <c r="AM28" s="248">
        <v>0</v>
      </c>
      <c r="AN28" s="248">
        <v>0</v>
      </c>
      <c r="AS28"/>
      <c r="AT28"/>
      <c r="AU28"/>
      <c r="AV28"/>
    </row>
    <row r="29" s="245" customFormat="true" ht="13" x14ac:dyDescent="0.15">
      <c r="A29" s="245" t="s">
        <v>212</v>
      </c>
      <c r="B29" s="248">
        <v>0</v>
      </c>
      <c r="C29" s="248">
        <v>0</v>
      </c>
      <c r="D29" s="248">
        <v>0</v>
      </c>
      <c r="E29" s="248">
        <v>0</v>
      </c>
      <c r="F29" s="248">
        <v>0</v>
      </c>
      <c r="G29" s="248">
        <v>0</v>
      </c>
      <c r="H29" s="248">
        <v>0</v>
      </c>
      <c r="I29" s="248">
        <v>0</v>
      </c>
      <c r="J29" s="248">
        <v>0</v>
      </c>
      <c r="K29" s="248">
        <v>0</v>
      </c>
      <c r="L29" s="248">
        <v>0</v>
      </c>
      <c r="M29" s="248">
        <v>0</v>
      </c>
      <c r="N29" s="248">
        <v>0</v>
      </c>
      <c r="O29" s="248">
        <v>0</v>
      </c>
      <c r="P29" s="248">
        <v>0</v>
      </c>
      <c r="Q29" s="248">
        <v>0</v>
      </c>
      <c r="R29" s="248">
        <v>0</v>
      </c>
      <c r="S29" s="248">
        <v>0</v>
      </c>
      <c r="T29" s="248">
        <v>0</v>
      </c>
      <c r="U29" s="248">
        <v>0</v>
      </c>
      <c r="V29" s="248">
        <v>0</v>
      </c>
      <c r="W29" s="248">
        <v>0</v>
      </c>
      <c r="X29" s="248">
        <v>0</v>
      </c>
      <c r="Y29" s="248">
        <v>0</v>
      </c>
      <c r="Z29" s="248">
        <v>0</v>
      </c>
      <c r="AA29" s="248">
        <v>0</v>
      </c>
      <c r="AB29" s="248">
        <v>0</v>
      </c>
      <c r="AC29" s="248">
        <v>0</v>
      </c>
      <c r="AD29" s="248">
        <v>0</v>
      </c>
      <c r="AE29" s="248">
        <v>0</v>
      </c>
      <c r="AF29" s="248">
        <v>0</v>
      </c>
      <c r="AG29" s="248">
        <v>0</v>
      </c>
      <c r="AH29" s="248">
        <v>0</v>
      </c>
      <c r="AI29" s="248">
        <v>0</v>
      </c>
      <c r="AJ29" s="248">
        <v>0</v>
      </c>
      <c r="AK29" s="248">
        <v>0</v>
      </c>
      <c r="AL29" s="248">
        <v>0</v>
      </c>
      <c r="AM29" s="248">
        <v>0</v>
      </c>
      <c r="AN29" s="248">
        <v>0</v>
      </c>
      <c r="AS29"/>
      <c r="AT29"/>
      <c r="AU29"/>
      <c r="AV29"/>
    </row>
    <row r="30" s="245" customFormat="true" ht="13" x14ac:dyDescent="0.15">
      <c r="A30" s="245" t="s">
        <v>213</v>
      </c>
      <c r="B30" s="248">
        <v>0</v>
      </c>
      <c r="C30" s="248">
        <v>0</v>
      </c>
      <c r="D30" s="248">
        <v>0</v>
      </c>
      <c r="E30" s="248">
        <v>0</v>
      </c>
      <c r="F30" s="248">
        <v>0</v>
      </c>
      <c r="G30" s="248">
        <v>0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>
        <v>0</v>
      </c>
      <c r="P30" s="248">
        <v>0</v>
      </c>
      <c r="Q30" s="248">
        <v>0</v>
      </c>
      <c r="R30" s="248">
        <v>0</v>
      </c>
      <c r="S30" s="248">
        <v>0</v>
      </c>
      <c r="T30" s="248">
        <v>0</v>
      </c>
      <c r="U30" s="248">
        <v>0</v>
      </c>
      <c r="V30" s="248">
        <v>0</v>
      </c>
      <c r="W30" s="248">
        <v>0</v>
      </c>
      <c r="X30" s="248">
        <v>0</v>
      </c>
      <c r="Y30" s="248">
        <v>0</v>
      </c>
      <c r="Z30" s="248">
        <v>0</v>
      </c>
      <c r="AA30" s="248">
        <v>0</v>
      </c>
      <c r="AB30" s="248">
        <v>0</v>
      </c>
      <c r="AC30" s="248">
        <v>0</v>
      </c>
      <c r="AD30" s="248">
        <v>0</v>
      </c>
      <c r="AE30" s="248">
        <v>0</v>
      </c>
      <c r="AF30" s="248">
        <v>0</v>
      </c>
      <c r="AG30" s="248">
        <v>0</v>
      </c>
      <c r="AH30" s="248">
        <v>0</v>
      </c>
      <c r="AI30" s="248">
        <v>0</v>
      </c>
      <c r="AJ30" s="248">
        <v>0</v>
      </c>
      <c r="AK30" s="248">
        <v>0</v>
      </c>
      <c r="AL30" s="248">
        <v>0</v>
      </c>
      <c r="AM30" s="248">
        <v>0</v>
      </c>
      <c r="AN30" s="248">
        <v>0</v>
      </c>
      <c r="AS30"/>
      <c r="AT30"/>
      <c r="AU30"/>
      <c r="AV30"/>
    </row>
    <row r="31" s="245" customFormat="true" ht="13" x14ac:dyDescent="0.15">
      <c r="A31" s="245" t="s">
        <v>214</v>
      </c>
      <c r="B31" s="248">
        <v>0</v>
      </c>
      <c r="C31" s="248">
        <v>0</v>
      </c>
      <c r="D31" s="248">
        <v>0</v>
      </c>
      <c r="E31" s="248">
        <v>0</v>
      </c>
      <c r="F31" s="248">
        <v>0</v>
      </c>
      <c r="G31" s="248">
        <v>0</v>
      </c>
      <c r="H31" s="248">
        <v>0</v>
      </c>
      <c r="I31" s="248">
        <v>0</v>
      </c>
      <c r="J31" s="248">
        <v>0</v>
      </c>
      <c r="K31" s="248">
        <v>0</v>
      </c>
      <c r="L31" s="248">
        <v>0</v>
      </c>
      <c r="M31" s="248">
        <v>0</v>
      </c>
      <c r="N31" s="248">
        <v>0</v>
      </c>
      <c r="O31" s="248">
        <v>0</v>
      </c>
      <c r="P31" s="248">
        <v>0</v>
      </c>
      <c r="Q31" s="248">
        <v>0</v>
      </c>
      <c r="R31" s="248">
        <v>0</v>
      </c>
      <c r="S31" s="248">
        <v>0</v>
      </c>
      <c r="T31" s="248">
        <v>0</v>
      </c>
      <c r="U31" s="248">
        <v>0</v>
      </c>
      <c r="V31" s="248">
        <v>0</v>
      </c>
      <c r="W31" s="248">
        <v>0</v>
      </c>
      <c r="X31" s="248">
        <v>0</v>
      </c>
      <c r="Y31" s="248">
        <v>0</v>
      </c>
      <c r="Z31" s="248">
        <v>0</v>
      </c>
      <c r="AA31" s="248">
        <v>0</v>
      </c>
      <c r="AB31" s="248">
        <v>0</v>
      </c>
      <c r="AC31" s="248">
        <v>0</v>
      </c>
      <c r="AD31" s="248">
        <v>0</v>
      </c>
      <c r="AE31" s="248">
        <v>0</v>
      </c>
      <c r="AF31" s="248">
        <v>0</v>
      </c>
      <c r="AG31" s="248">
        <v>0</v>
      </c>
      <c r="AH31" s="248">
        <v>0</v>
      </c>
      <c r="AI31" s="248">
        <v>0</v>
      </c>
      <c r="AJ31" s="248">
        <v>0</v>
      </c>
      <c r="AK31" s="248">
        <v>0</v>
      </c>
      <c r="AL31" s="248">
        <v>0</v>
      </c>
      <c r="AM31" s="248">
        <v>0</v>
      </c>
      <c r="AN31" s="248">
        <v>0</v>
      </c>
      <c r="AS31"/>
      <c r="AT31"/>
      <c r="AU31"/>
      <c r="AV31"/>
    </row>
    <row r="32" s="245" customFormat="true" ht="13" x14ac:dyDescent="0.15">
      <c r="A32" s="245" t="s">
        <v>215</v>
      </c>
      <c r="B32" s="248">
        <v>0</v>
      </c>
      <c r="C32" s="248">
        <v>0</v>
      </c>
      <c r="D32" s="248">
        <v>0</v>
      </c>
      <c r="E32" s="248">
        <v>0</v>
      </c>
      <c r="F32" s="248">
        <v>0</v>
      </c>
      <c r="G32" s="248">
        <v>0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>
        <v>0</v>
      </c>
      <c r="P32" s="248">
        <v>0</v>
      </c>
      <c r="Q32" s="248">
        <v>0</v>
      </c>
      <c r="R32" s="248">
        <v>0</v>
      </c>
      <c r="S32" s="248">
        <v>0</v>
      </c>
      <c r="T32" s="248">
        <v>0</v>
      </c>
      <c r="U32" s="248">
        <v>0</v>
      </c>
      <c r="V32" s="248">
        <v>0</v>
      </c>
      <c r="W32" s="248">
        <v>0</v>
      </c>
      <c r="X32" s="248">
        <v>0</v>
      </c>
      <c r="Y32" s="248">
        <v>0</v>
      </c>
      <c r="Z32" s="248">
        <v>0</v>
      </c>
      <c r="AA32" s="248">
        <v>0</v>
      </c>
      <c r="AB32" s="248">
        <v>0</v>
      </c>
      <c r="AC32" s="248">
        <v>0</v>
      </c>
      <c r="AD32" s="248">
        <v>0</v>
      </c>
      <c r="AE32" s="248">
        <v>0</v>
      </c>
      <c r="AF32" s="248">
        <v>0</v>
      </c>
      <c r="AG32" s="248">
        <v>0</v>
      </c>
      <c r="AH32" s="248">
        <v>0</v>
      </c>
      <c r="AI32" s="248">
        <v>0</v>
      </c>
      <c r="AJ32" s="248">
        <v>0</v>
      </c>
      <c r="AK32" s="248">
        <v>0</v>
      </c>
      <c r="AL32" s="248">
        <v>0</v>
      </c>
      <c r="AM32" s="248">
        <v>0</v>
      </c>
      <c r="AN32" s="248">
        <v>0</v>
      </c>
      <c r="AS32"/>
      <c r="AT32"/>
      <c r="AU32"/>
      <c r="AV32"/>
    </row>
    <row r="33" s="245" customFormat="true" ht="13" x14ac:dyDescent="0.15">
      <c r="A33" s="245" t="s">
        <v>216</v>
      </c>
      <c r="B33" s="248">
        <v>0</v>
      </c>
      <c r="C33" s="248">
        <v>0</v>
      </c>
      <c r="D33" s="248">
        <v>0</v>
      </c>
      <c r="E33" s="248">
        <v>0</v>
      </c>
      <c r="F33" s="248">
        <v>0</v>
      </c>
      <c r="G33" s="248">
        <v>0</v>
      </c>
      <c r="H33" s="248">
        <v>0</v>
      </c>
      <c r="I33" s="248">
        <v>0</v>
      </c>
      <c r="J33" s="248">
        <v>0</v>
      </c>
      <c r="K33" s="248">
        <v>0</v>
      </c>
      <c r="L33" s="248">
        <v>0</v>
      </c>
      <c r="M33" s="248">
        <v>0</v>
      </c>
      <c r="N33" s="248">
        <v>0</v>
      </c>
      <c r="O33" s="248">
        <v>0</v>
      </c>
      <c r="P33" s="248">
        <v>0</v>
      </c>
      <c r="Q33" s="248">
        <v>0</v>
      </c>
      <c r="R33" s="248">
        <v>0</v>
      </c>
      <c r="S33" s="248">
        <v>0</v>
      </c>
      <c r="T33" s="248">
        <v>0</v>
      </c>
      <c r="U33" s="248">
        <v>0</v>
      </c>
      <c r="V33" s="248">
        <v>0</v>
      </c>
      <c r="W33" s="248">
        <v>0</v>
      </c>
      <c r="X33" s="248">
        <v>0</v>
      </c>
      <c r="Y33" s="248">
        <v>0</v>
      </c>
      <c r="Z33" s="248">
        <v>0</v>
      </c>
      <c r="AA33" s="248">
        <v>0</v>
      </c>
      <c r="AB33" s="248">
        <v>0</v>
      </c>
      <c r="AC33" s="248">
        <v>0</v>
      </c>
      <c r="AD33" s="248">
        <v>0</v>
      </c>
      <c r="AE33" s="248">
        <v>0</v>
      </c>
      <c r="AF33" s="248">
        <v>0</v>
      </c>
      <c r="AG33" s="248">
        <v>0</v>
      </c>
      <c r="AH33" s="248">
        <v>0</v>
      </c>
      <c r="AI33" s="248">
        <v>0</v>
      </c>
      <c r="AJ33" s="248">
        <v>0</v>
      </c>
      <c r="AK33" s="248">
        <v>0</v>
      </c>
      <c r="AL33" s="248">
        <v>0</v>
      </c>
      <c r="AM33" s="248">
        <v>0</v>
      </c>
      <c r="AN33" s="248">
        <v>0</v>
      </c>
      <c r="AS33"/>
      <c r="AT33"/>
      <c r="AU33"/>
      <c r="AV33"/>
    </row>
    <row r="34" s="245" customFormat="true" ht="13" x14ac:dyDescent="0.15">
      <c r="A34" s="245" t="s">
        <v>217</v>
      </c>
      <c r="B34" s="248">
        <v>0</v>
      </c>
      <c r="C34" s="248">
        <v>0</v>
      </c>
      <c r="D34" s="248">
        <v>0</v>
      </c>
      <c r="E34" s="248">
        <v>0</v>
      </c>
      <c r="F34" s="248">
        <v>0</v>
      </c>
      <c r="G34" s="248">
        <v>0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>
        <v>0</v>
      </c>
      <c r="P34" s="248">
        <v>0</v>
      </c>
      <c r="Q34" s="248">
        <v>0</v>
      </c>
      <c r="R34" s="248">
        <v>0</v>
      </c>
      <c r="S34" s="248">
        <v>0</v>
      </c>
      <c r="T34" s="248">
        <v>0</v>
      </c>
      <c r="U34" s="248">
        <v>0</v>
      </c>
      <c r="V34" s="248">
        <v>0</v>
      </c>
      <c r="W34" s="248">
        <v>0</v>
      </c>
      <c r="X34" s="248">
        <v>0</v>
      </c>
      <c r="Y34" s="248">
        <v>0</v>
      </c>
      <c r="Z34" s="248">
        <v>0</v>
      </c>
      <c r="AA34" s="248">
        <v>0</v>
      </c>
      <c r="AB34" s="248">
        <v>0</v>
      </c>
      <c r="AC34" s="248">
        <v>0</v>
      </c>
      <c r="AD34" s="248">
        <v>0</v>
      </c>
      <c r="AE34" s="248">
        <v>0</v>
      </c>
      <c r="AF34" s="248">
        <v>0</v>
      </c>
      <c r="AG34" s="248">
        <v>0</v>
      </c>
      <c r="AH34" s="248">
        <v>0</v>
      </c>
      <c r="AI34" s="248">
        <v>0</v>
      </c>
      <c r="AJ34" s="248">
        <v>0</v>
      </c>
      <c r="AK34" s="248">
        <v>0</v>
      </c>
      <c r="AL34" s="248">
        <v>0</v>
      </c>
      <c r="AM34" s="248">
        <v>0</v>
      </c>
      <c r="AN34" s="248">
        <v>0</v>
      </c>
      <c r="AS34"/>
      <c r="AT34"/>
      <c r="AU34"/>
      <c r="AV34"/>
    </row>
    <row r="35" s="245" customFormat="true" ht="13" x14ac:dyDescent="0.15">
      <c r="A35" s="245" t="s">
        <v>218</v>
      </c>
      <c r="B35" s="248">
        <v>0</v>
      </c>
      <c r="C35" s="248">
        <v>0</v>
      </c>
      <c r="D35" s="248">
        <v>0</v>
      </c>
      <c r="E35" s="248">
        <v>0</v>
      </c>
      <c r="F35" s="248">
        <v>0</v>
      </c>
      <c r="G35" s="248">
        <v>0</v>
      </c>
      <c r="H35" s="248">
        <v>0</v>
      </c>
      <c r="I35" s="248">
        <v>0</v>
      </c>
      <c r="J35" s="248">
        <v>0</v>
      </c>
      <c r="K35" s="248">
        <v>0</v>
      </c>
      <c r="L35" s="248">
        <v>0</v>
      </c>
      <c r="M35" s="248">
        <v>0</v>
      </c>
      <c r="N35" s="248">
        <v>0</v>
      </c>
      <c r="O35" s="248">
        <v>0</v>
      </c>
      <c r="P35" s="248">
        <v>0</v>
      </c>
      <c r="Q35" s="248">
        <v>0</v>
      </c>
      <c r="R35" s="248">
        <v>0</v>
      </c>
      <c r="S35" s="248">
        <v>0</v>
      </c>
      <c r="T35" s="248">
        <v>0</v>
      </c>
      <c r="U35" s="248">
        <v>0</v>
      </c>
      <c r="V35" s="248">
        <v>0</v>
      </c>
      <c r="W35" s="248">
        <v>0</v>
      </c>
      <c r="X35" s="248">
        <v>0</v>
      </c>
      <c r="Y35" s="248">
        <v>0</v>
      </c>
      <c r="Z35" s="248">
        <v>0</v>
      </c>
      <c r="AA35" s="248">
        <v>0</v>
      </c>
      <c r="AB35" s="248">
        <v>0</v>
      </c>
      <c r="AC35" s="248">
        <v>0</v>
      </c>
      <c r="AD35" s="248">
        <v>0</v>
      </c>
      <c r="AE35" s="248">
        <v>0</v>
      </c>
      <c r="AF35" s="248">
        <v>0</v>
      </c>
      <c r="AG35" s="248">
        <v>0</v>
      </c>
      <c r="AH35" s="248">
        <v>0</v>
      </c>
      <c r="AI35" s="248">
        <v>0</v>
      </c>
      <c r="AJ35" s="248">
        <v>0</v>
      </c>
      <c r="AK35" s="248">
        <v>0</v>
      </c>
      <c r="AL35" s="248">
        <v>0</v>
      </c>
      <c r="AM35" s="248">
        <v>0</v>
      </c>
      <c r="AN35" s="248">
        <v>0</v>
      </c>
      <c r="AS35"/>
      <c r="AT35"/>
      <c r="AU35"/>
      <c r="AV35"/>
    </row>
    <row r="36" s="245" customFormat="true" ht="13" x14ac:dyDescent="0.15">
      <c r="A36" s="245" t="s">
        <v>219</v>
      </c>
      <c r="B36" s="248">
        <v>0</v>
      </c>
      <c r="C36" s="248">
        <v>0</v>
      </c>
      <c r="D36" s="248">
        <v>0</v>
      </c>
      <c r="E36" s="248">
        <v>0</v>
      </c>
      <c r="F36" s="248">
        <v>0</v>
      </c>
      <c r="G36" s="248">
        <v>0</v>
      </c>
      <c r="H36" s="248">
        <v>0</v>
      </c>
      <c r="I36" s="248">
        <v>0</v>
      </c>
      <c r="J36" s="248">
        <v>0</v>
      </c>
      <c r="K36" s="248">
        <v>0</v>
      </c>
      <c r="L36" s="248">
        <v>0</v>
      </c>
      <c r="M36" s="248">
        <v>0</v>
      </c>
      <c r="N36" s="248">
        <v>0</v>
      </c>
      <c r="O36" s="248">
        <v>0</v>
      </c>
      <c r="P36" s="248">
        <v>0</v>
      </c>
      <c r="Q36" s="248">
        <v>0</v>
      </c>
      <c r="R36" s="248">
        <v>0</v>
      </c>
      <c r="S36" s="248">
        <v>0</v>
      </c>
      <c r="T36" s="248">
        <v>0</v>
      </c>
      <c r="U36" s="248">
        <v>0</v>
      </c>
      <c r="V36" s="248">
        <v>0</v>
      </c>
      <c r="W36" s="248">
        <v>0</v>
      </c>
      <c r="X36" s="248">
        <v>0</v>
      </c>
      <c r="Y36" s="248">
        <v>0</v>
      </c>
      <c r="Z36" s="248">
        <v>0</v>
      </c>
      <c r="AA36" s="248">
        <v>0</v>
      </c>
      <c r="AB36" s="248">
        <v>0</v>
      </c>
      <c r="AC36" s="248">
        <v>0</v>
      </c>
      <c r="AD36" s="248">
        <v>0</v>
      </c>
      <c r="AE36" s="248">
        <v>0</v>
      </c>
      <c r="AF36" s="248">
        <v>0</v>
      </c>
      <c r="AG36" s="248">
        <v>0</v>
      </c>
      <c r="AH36" s="248">
        <v>0</v>
      </c>
      <c r="AI36" s="248">
        <v>0</v>
      </c>
      <c r="AJ36" s="248">
        <v>0</v>
      </c>
      <c r="AK36" s="248">
        <v>0</v>
      </c>
      <c r="AL36" s="248">
        <v>0</v>
      </c>
      <c r="AM36" s="248">
        <v>0</v>
      </c>
      <c r="AN36" s="248">
        <v>0</v>
      </c>
      <c r="AS36"/>
      <c r="AT36"/>
      <c r="AU36"/>
      <c r="AV36"/>
    </row>
    <row r="37" s="245" customFormat="true" ht="12" x14ac:dyDescent="0.15">
      <c r="A37" s="245" t="s">
        <v>221</v>
      </c>
      <c r="B37" s="248">
        <v>0</v>
      </c>
      <c r="C37" s="248">
        <v>0</v>
      </c>
      <c r="D37" s="248">
        <v>0</v>
      </c>
      <c r="E37" s="248">
        <v>0</v>
      </c>
      <c r="F37" s="248">
        <v>0</v>
      </c>
      <c r="G37" s="248">
        <v>0</v>
      </c>
      <c r="H37" s="248">
        <v>0</v>
      </c>
      <c r="I37" s="248">
        <v>0</v>
      </c>
      <c r="J37" s="248">
        <v>0</v>
      </c>
      <c r="K37" s="248">
        <v>0</v>
      </c>
      <c r="L37" s="248">
        <v>0</v>
      </c>
      <c r="M37" s="248">
        <v>0</v>
      </c>
      <c r="N37" s="248">
        <v>0</v>
      </c>
      <c r="O37" s="248">
        <v>0</v>
      </c>
      <c r="P37" s="248">
        <v>0</v>
      </c>
      <c r="Q37" s="248">
        <v>0</v>
      </c>
      <c r="R37" s="248">
        <v>0</v>
      </c>
      <c r="S37" s="248">
        <v>0</v>
      </c>
      <c r="T37" s="248">
        <v>0</v>
      </c>
      <c r="U37" s="248">
        <v>0</v>
      </c>
      <c r="V37" s="248">
        <v>0</v>
      </c>
      <c r="W37" s="248">
        <v>0</v>
      </c>
      <c r="X37" s="248">
        <v>0</v>
      </c>
      <c r="Y37" s="248">
        <v>0</v>
      </c>
      <c r="Z37" s="248">
        <v>0</v>
      </c>
      <c r="AA37" s="248">
        <v>0</v>
      </c>
      <c r="AB37" s="248">
        <v>0</v>
      </c>
      <c r="AC37" s="248">
        <v>0</v>
      </c>
      <c r="AD37" s="248">
        <v>0</v>
      </c>
      <c r="AE37" s="248">
        <v>0</v>
      </c>
      <c r="AF37" s="248">
        <v>0</v>
      </c>
      <c r="AG37" s="248">
        <v>0</v>
      </c>
      <c r="AH37" s="248">
        <v>0</v>
      </c>
      <c r="AI37" s="248">
        <v>0</v>
      </c>
      <c r="AJ37" s="248">
        <v>0</v>
      </c>
      <c r="AK37" s="248">
        <v>0</v>
      </c>
      <c r="AL37" s="248">
        <v>0</v>
      </c>
      <c r="AM37" s="248">
        <v>0</v>
      </c>
      <c r="AN37" s="248">
        <v>0</v>
      </c>
    </row>
    <row r="38" s="245" customFormat="true" ht="12" x14ac:dyDescent="0.15">
      <c r="A38" s="245" t="s">
        <v>71</v>
      </c>
      <c r="B38" s="248">
        <v>0</v>
      </c>
      <c r="C38" s="248">
        <v>0</v>
      </c>
      <c r="D38" s="248">
        <v>0</v>
      </c>
      <c r="E38" s="248">
        <v>0</v>
      </c>
      <c r="F38" s="248">
        <v>0</v>
      </c>
      <c r="G38" s="248">
        <v>0</v>
      </c>
      <c r="H38" s="248">
        <v>0</v>
      </c>
      <c r="I38" s="248">
        <v>0</v>
      </c>
      <c r="J38" s="248">
        <v>0</v>
      </c>
      <c r="K38" s="248">
        <v>0</v>
      </c>
      <c r="L38" s="248">
        <v>0</v>
      </c>
      <c r="M38" s="248">
        <v>0</v>
      </c>
      <c r="N38" s="248">
        <v>0</v>
      </c>
      <c r="O38" s="248">
        <v>0</v>
      </c>
      <c r="P38" s="248">
        <v>0</v>
      </c>
      <c r="Q38" s="248">
        <v>0</v>
      </c>
      <c r="R38" s="248">
        <v>0</v>
      </c>
      <c r="S38" s="248">
        <v>0</v>
      </c>
      <c r="T38" s="248">
        <v>0</v>
      </c>
      <c r="U38" s="248">
        <v>0</v>
      </c>
      <c r="V38" s="248">
        <v>0</v>
      </c>
      <c r="W38" s="248">
        <v>0</v>
      </c>
      <c r="X38" s="248">
        <v>0</v>
      </c>
      <c r="Y38" s="248">
        <v>0</v>
      </c>
      <c r="Z38" s="248">
        <v>0</v>
      </c>
      <c r="AA38" s="248">
        <v>0</v>
      </c>
      <c r="AB38" s="248">
        <v>0</v>
      </c>
      <c r="AC38" s="248">
        <v>0</v>
      </c>
      <c r="AD38" s="248">
        <v>0</v>
      </c>
      <c r="AE38" s="248">
        <v>0</v>
      </c>
      <c r="AF38" s="248">
        <v>0</v>
      </c>
      <c r="AG38" s="248">
        <v>0</v>
      </c>
      <c r="AH38" s="248">
        <v>0</v>
      </c>
      <c r="AI38" s="248">
        <v>0</v>
      </c>
      <c r="AJ38" s="248">
        <v>0</v>
      </c>
      <c r="AK38" s="248">
        <v>0</v>
      </c>
      <c r="AL38" s="248">
        <v>0</v>
      </c>
      <c r="AM38" s="248">
        <v>0</v>
      </c>
      <c r="AN38" s="248">
        <v>0</v>
      </c>
    </row>
    <row r="39" s="245" customFormat="true" ht="12" x14ac:dyDescent="0.15">
      <c r="A39" s="245" t="s">
        <v>72</v>
      </c>
      <c r="B39" s="248">
        <v>0</v>
      </c>
      <c r="C39" s="248">
        <v>0</v>
      </c>
      <c r="D39" s="248">
        <v>0</v>
      </c>
      <c r="E39" s="248">
        <v>0</v>
      </c>
      <c r="F39" s="248">
        <v>0</v>
      </c>
      <c r="G39" s="248">
        <v>0</v>
      </c>
      <c r="H39" s="248">
        <v>0</v>
      </c>
      <c r="I39" s="248">
        <v>0</v>
      </c>
      <c r="J39" s="248">
        <v>0</v>
      </c>
      <c r="K39" s="248">
        <v>0</v>
      </c>
      <c r="L39" s="248">
        <v>0</v>
      </c>
      <c r="M39" s="248">
        <v>0</v>
      </c>
      <c r="N39" s="248">
        <v>0</v>
      </c>
      <c r="O39" s="248">
        <v>0</v>
      </c>
      <c r="P39" s="248">
        <v>0</v>
      </c>
      <c r="Q39" s="248">
        <v>0</v>
      </c>
      <c r="R39" s="248">
        <v>0</v>
      </c>
      <c r="S39" s="248">
        <v>0</v>
      </c>
      <c r="T39" s="248">
        <v>0</v>
      </c>
      <c r="U39" s="248">
        <v>0</v>
      </c>
      <c r="V39" s="248">
        <v>0</v>
      </c>
      <c r="W39" s="248">
        <v>0</v>
      </c>
      <c r="X39" s="248">
        <v>0</v>
      </c>
      <c r="Y39" s="248">
        <v>0</v>
      </c>
      <c r="Z39" s="248">
        <v>0</v>
      </c>
      <c r="AA39" s="248">
        <v>0</v>
      </c>
      <c r="AB39" s="248">
        <v>0</v>
      </c>
      <c r="AC39" s="248">
        <v>0</v>
      </c>
      <c r="AD39" s="248">
        <v>0</v>
      </c>
      <c r="AE39" s="248">
        <v>0</v>
      </c>
      <c r="AF39" s="248">
        <v>0</v>
      </c>
      <c r="AG39" s="248">
        <v>0</v>
      </c>
      <c r="AH39" s="248">
        <v>0</v>
      </c>
      <c r="AI39" s="248">
        <v>0</v>
      </c>
      <c r="AJ39" s="248">
        <v>0</v>
      </c>
      <c r="AK39" s="248">
        <v>0</v>
      </c>
      <c r="AL39" s="248">
        <v>0</v>
      </c>
      <c r="AM39" s="248">
        <v>0</v>
      </c>
      <c r="AN39" s="248">
        <v>0</v>
      </c>
    </row>
    <row r="40" s="245" customFormat="true" ht="12" x14ac:dyDescent="0.15">
      <c r="A40" s="245" t="s">
        <v>73</v>
      </c>
      <c r="B40" s="248">
        <v>0</v>
      </c>
      <c r="C40" s="248">
        <v>0</v>
      </c>
      <c r="D40" s="248">
        <v>0</v>
      </c>
      <c r="E40" s="248">
        <v>0</v>
      </c>
      <c r="F40" s="248">
        <v>0</v>
      </c>
      <c r="G40" s="248">
        <v>0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>
        <v>0</v>
      </c>
      <c r="P40" s="248">
        <v>0</v>
      </c>
      <c r="Q40" s="248">
        <v>0</v>
      </c>
      <c r="R40" s="248">
        <v>0</v>
      </c>
      <c r="S40" s="248">
        <v>0</v>
      </c>
      <c r="T40" s="248">
        <v>0</v>
      </c>
      <c r="U40" s="248">
        <v>0</v>
      </c>
      <c r="V40" s="248">
        <v>0</v>
      </c>
      <c r="W40" s="248">
        <v>0</v>
      </c>
      <c r="X40" s="248">
        <v>0</v>
      </c>
      <c r="Y40" s="248">
        <v>0</v>
      </c>
      <c r="Z40" s="248">
        <v>0</v>
      </c>
      <c r="AA40" s="248">
        <v>0</v>
      </c>
      <c r="AB40" s="248">
        <v>0</v>
      </c>
      <c r="AC40" s="248">
        <v>0</v>
      </c>
      <c r="AD40" s="248">
        <v>0</v>
      </c>
      <c r="AE40" s="248">
        <v>0</v>
      </c>
      <c r="AF40" s="248">
        <v>0</v>
      </c>
      <c r="AG40" s="248">
        <v>0</v>
      </c>
      <c r="AH40" s="248">
        <v>0</v>
      </c>
      <c r="AI40" s="248">
        <v>0</v>
      </c>
      <c r="AJ40" s="248">
        <v>0</v>
      </c>
      <c r="AK40" s="248">
        <v>0</v>
      </c>
      <c r="AL40" s="248">
        <v>0</v>
      </c>
      <c r="AM40" s="248">
        <v>0</v>
      </c>
      <c r="AN40" s="248">
        <v>0</v>
      </c>
    </row>
    <row r="41" s="245" customFormat="true" ht="12" x14ac:dyDescent="0.15">
      <c r="A41" s="245" t="s">
        <v>225</v>
      </c>
      <c r="B41" s="248">
        <v>0</v>
      </c>
      <c r="C41" s="248">
        <v>0</v>
      </c>
      <c r="D41" s="248">
        <v>0</v>
      </c>
      <c r="E41" s="248">
        <v>0</v>
      </c>
      <c r="F41" s="248">
        <v>0</v>
      </c>
      <c r="G41" s="248">
        <v>0</v>
      </c>
      <c r="H41" s="248">
        <v>0</v>
      </c>
      <c r="I41" s="248">
        <v>0</v>
      </c>
      <c r="J41" s="248">
        <v>0</v>
      </c>
      <c r="K41" s="248">
        <v>0</v>
      </c>
      <c r="L41" s="248">
        <v>0</v>
      </c>
      <c r="M41" s="248">
        <v>0</v>
      </c>
      <c r="N41" s="248">
        <v>0</v>
      </c>
      <c r="O41" s="248">
        <v>0</v>
      </c>
      <c r="P41" s="248">
        <v>0</v>
      </c>
      <c r="Q41" s="248">
        <v>0</v>
      </c>
      <c r="R41" s="248">
        <v>0</v>
      </c>
      <c r="S41" s="248">
        <v>0</v>
      </c>
      <c r="T41" s="248">
        <v>0</v>
      </c>
      <c r="U41" s="248">
        <v>0</v>
      </c>
      <c r="V41" s="248">
        <v>0</v>
      </c>
      <c r="W41" s="248">
        <v>0</v>
      </c>
      <c r="X41" s="248">
        <v>0</v>
      </c>
      <c r="Y41" s="248">
        <v>0</v>
      </c>
      <c r="Z41" s="248">
        <v>0</v>
      </c>
      <c r="AA41" s="248">
        <v>0</v>
      </c>
      <c r="AB41" s="248">
        <v>0</v>
      </c>
      <c r="AC41" s="248">
        <v>0</v>
      </c>
      <c r="AD41" s="248">
        <v>0</v>
      </c>
      <c r="AE41" s="248">
        <v>0</v>
      </c>
      <c r="AF41" s="248">
        <v>0</v>
      </c>
      <c r="AG41" s="248">
        <v>0</v>
      </c>
      <c r="AH41" s="248">
        <v>0</v>
      </c>
      <c r="AI41" s="248">
        <v>0</v>
      </c>
      <c r="AJ41" s="248">
        <v>0</v>
      </c>
      <c r="AK41" s="248">
        <v>0</v>
      </c>
      <c r="AL41" s="248">
        <v>0</v>
      </c>
      <c r="AM41" s="248">
        <v>0</v>
      </c>
      <c r="AN41" s="248">
        <v>0</v>
      </c>
    </row>
    <row r="42" ht="13" x14ac:dyDescent="0.15"/>
    <row r="43" ht="13" x14ac:dyDescent="0.15"/>
    <row r="44" ht="13" x14ac:dyDescent="0.15"/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  <row r="131" ht="13" x14ac:dyDescent="0.15"/>
  </sheetData>
  <conditionalFormatting sqref="B2:AN41">
    <cfRule type="cellIs" dxfId="1" priority="2" operator="equal">
      <formula>0</formula>
    </cfRule>
  </conditionalFormatting>
  <conditionalFormatting sqref="B2:AN41">
    <cfRule type="cellIs" dxfId="0" priority="1" operator="lessThan">
      <formula>0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30"/>
  <sheetViews>
    <sheetView workbookViewId="0">
      <selection activeCell="A3" sqref="A3"/>
    </sheetView>
  </sheetViews>
  <sheetFormatPr baseColWidth="10" defaultColWidth="11.5" defaultRowHeight="14" customHeight="true" x14ac:dyDescent="0.15"/>
  <cols>
    <col min="1" max="1" width="12.6640625" customWidth="true"/>
    <col min="2" max="2" width="34.33203125" bestFit="true" customWidth="true"/>
    <col min="3" max="3" width="16.5" style="221" bestFit="true" customWidth="true"/>
    <col min="4" max="4" width="16.6640625" style="221" bestFit="true" customWidth="true"/>
  </cols>
  <sheetData>
    <row r="1" ht="28" x14ac:dyDescent="0.15">
      <c r="A1" s="130" t="s">
        <v>84</v>
      </c>
      <c r="B1" s="133" t="s">
        <v>0</v>
      </c>
      <c r="C1" s="227" t="s">
        <v>223</v>
      </c>
      <c r="D1" s="227" t="s">
        <v>222</v>
      </c>
    </row>
    <row r="2" ht="13" x14ac:dyDescent="0.15">
      <c r="A2">
        <v>1</v>
      </c>
      <c r="B2" t="s">
        <v>182</v>
      </c>
      <c r="C2" s="230">
        <v>0</v>
      </c>
      <c r="D2" s="221">
        <v>0</v>
      </c>
    </row>
    <row r="3" ht="13" x14ac:dyDescent="0.15">
      <c r="A3">
        <v>2</v>
      </c>
      <c r="B3" t="s">
        <v>183</v>
      </c>
      <c r="C3" s="230">
        <v>0</v>
      </c>
      <c r="D3" s="221">
        <v>0</v>
      </c>
    </row>
    <row r="4" ht="13" x14ac:dyDescent="0.15">
      <c r="A4">
        <v>3</v>
      </c>
      <c r="B4" t="s">
        <v>184</v>
      </c>
      <c r="C4" s="230">
        <v>0</v>
      </c>
      <c r="D4" s="221">
        <v>0</v>
      </c>
    </row>
    <row r="5" ht="13" x14ac:dyDescent="0.15">
      <c r="A5">
        <v>4</v>
      </c>
      <c r="B5" t="s">
        <v>185</v>
      </c>
      <c r="C5" s="230">
        <v>0</v>
      </c>
      <c r="D5" s="221">
        <v>0</v>
      </c>
    </row>
    <row r="6" ht="13" x14ac:dyDescent="0.15">
      <c r="A6">
        <v>5</v>
      </c>
      <c r="B6" t="s">
        <v>186</v>
      </c>
      <c r="C6" s="230">
        <v>0</v>
      </c>
      <c r="D6" s="221">
        <v>0</v>
      </c>
    </row>
    <row r="7" ht="13" x14ac:dyDescent="0.15">
      <c r="A7">
        <v>6</v>
      </c>
      <c r="B7" t="s">
        <v>187</v>
      </c>
      <c r="C7" s="230">
        <v>0</v>
      </c>
      <c r="D7" s="221">
        <v>0</v>
      </c>
    </row>
    <row r="8" ht="13" x14ac:dyDescent="0.15">
      <c r="A8">
        <v>7</v>
      </c>
      <c r="B8" s="202" t="s">
        <v>188</v>
      </c>
      <c r="C8" s="230">
        <v>0</v>
      </c>
      <c r="D8" s="221">
        <v>0</v>
      </c>
    </row>
    <row r="9" ht="13" x14ac:dyDescent="0.15">
      <c r="A9">
        <v>8</v>
      </c>
      <c r="B9" t="s">
        <v>190</v>
      </c>
      <c r="C9" s="230">
        <v>0</v>
      </c>
      <c r="D9" s="221">
        <v>0</v>
      </c>
    </row>
    <row r="10" ht="13" x14ac:dyDescent="0.15">
      <c r="A10">
        <v>9</v>
      </c>
      <c r="B10" t="s">
        <v>191</v>
      </c>
      <c r="C10" s="230">
        <v>0.1</v>
      </c>
      <c r="D10" s="230">
        <v>0.1</v>
      </c>
    </row>
    <row r="11" ht="13" x14ac:dyDescent="0.15">
      <c r="A11">
        <v>10</v>
      </c>
      <c r="B11" t="s">
        <v>192</v>
      </c>
      <c r="C11" s="230">
        <v>0.1</v>
      </c>
      <c r="D11" s="230">
        <v>0.1</v>
      </c>
    </row>
    <row r="12" ht="13" x14ac:dyDescent="0.15">
      <c r="A12">
        <v>11</v>
      </c>
      <c r="B12" t="s">
        <v>194</v>
      </c>
      <c r="C12" s="230">
        <v>0</v>
      </c>
      <c r="D12" s="221">
        <v>0</v>
      </c>
    </row>
    <row r="13" ht="13" x14ac:dyDescent="0.15">
      <c r="A13">
        <v>12</v>
      </c>
      <c r="B13" t="s">
        <v>195</v>
      </c>
      <c r="C13" s="230">
        <v>0.1</v>
      </c>
      <c r="D13" s="230">
        <v>0.1</v>
      </c>
    </row>
    <row r="14" ht="13" x14ac:dyDescent="0.15">
      <c r="A14">
        <v>13</v>
      </c>
      <c r="B14" t="s">
        <v>196</v>
      </c>
      <c r="C14" s="230">
        <v>0.1</v>
      </c>
      <c r="D14" s="230">
        <v>0.1</v>
      </c>
    </row>
    <row r="15" ht="13" x14ac:dyDescent="0.15">
      <c r="A15">
        <v>14</v>
      </c>
      <c r="B15" t="s">
        <v>197</v>
      </c>
      <c r="C15" s="230">
        <v>0.1</v>
      </c>
      <c r="D15" s="230">
        <v>0.1</v>
      </c>
    </row>
    <row r="16" ht="13" x14ac:dyDescent="0.15">
      <c r="A16">
        <v>15</v>
      </c>
      <c r="B16" t="s">
        <v>198</v>
      </c>
      <c r="C16" s="230">
        <v>0.1</v>
      </c>
      <c r="D16" s="230">
        <v>0.1</v>
      </c>
    </row>
    <row r="17" ht="13" x14ac:dyDescent="0.15">
      <c r="A17">
        <v>16</v>
      </c>
      <c r="B17" t="s">
        <v>199</v>
      </c>
      <c r="C17" s="230">
        <v>0.1</v>
      </c>
      <c r="D17" s="230">
        <v>0.1</v>
      </c>
    </row>
    <row r="18" ht="13" x14ac:dyDescent="0.15">
      <c r="A18">
        <v>17</v>
      </c>
      <c r="B18" t="s">
        <v>200</v>
      </c>
      <c r="C18" s="230">
        <v>0.1</v>
      </c>
      <c r="D18" s="230">
        <v>0.1</v>
      </c>
    </row>
    <row r="19" ht="13" x14ac:dyDescent="0.15">
      <c r="A19">
        <v>18</v>
      </c>
      <c r="B19" t="s">
        <v>201</v>
      </c>
      <c r="C19" s="230">
        <v>0.1</v>
      </c>
      <c r="D19" s="230">
        <v>0.1</v>
      </c>
    </row>
    <row r="20" ht="13" x14ac:dyDescent="0.15">
      <c r="A20">
        <v>19</v>
      </c>
      <c r="B20" t="s">
        <v>202</v>
      </c>
      <c r="C20" s="230">
        <v>0.1</v>
      </c>
      <c r="D20" s="230">
        <v>0.1</v>
      </c>
    </row>
    <row r="21" ht="13" x14ac:dyDescent="0.15">
      <c r="A21">
        <v>20</v>
      </c>
      <c r="B21" t="s">
        <v>203</v>
      </c>
      <c r="C21" s="230">
        <v>0.1</v>
      </c>
      <c r="D21" s="230">
        <v>0.1</v>
      </c>
    </row>
    <row r="22" ht="13" x14ac:dyDescent="0.15">
      <c r="A22">
        <v>21</v>
      </c>
      <c r="B22" t="s">
        <v>204</v>
      </c>
      <c r="C22" s="230">
        <v>0.1</v>
      </c>
      <c r="D22" s="230">
        <v>0.1</v>
      </c>
    </row>
    <row r="23" ht="13" x14ac:dyDescent="0.15">
      <c r="A23">
        <v>22</v>
      </c>
      <c r="B23" t="s">
        <v>205</v>
      </c>
      <c r="C23" s="249">
        <v>0.1</v>
      </c>
      <c r="D23" s="250">
        <v>0.1</v>
      </c>
    </row>
    <row r="24" ht="13" x14ac:dyDescent="0.15">
      <c r="A24">
        <v>23</v>
      </c>
      <c r="B24" t="s">
        <v>207</v>
      </c>
      <c r="C24" s="230">
        <v>0.1</v>
      </c>
      <c r="D24" s="230">
        <v>0.1</v>
      </c>
    </row>
    <row r="25" ht="13" x14ac:dyDescent="0.15">
      <c r="A25">
        <v>24</v>
      </c>
      <c r="B25" t="s">
        <v>208</v>
      </c>
      <c r="C25" s="230">
        <v>0</v>
      </c>
      <c r="D25" s="221">
        <v>0</v>
      </c>
    </row>
    <row r="26" ht="13" x14ac:dyDescent="0.15">
      <c r="A26">
        <v>25</v>
      </c>
      <c r="B26" t="s">
        <v>209</v>
      </c>
      <c r="C26" s="230">
        <v>0</v>
      </c>
      <c r="D26" s="221">
        <v>0</v>
      </c>
    </row>
    <row r="27" ht="13" x14ac:dyDescent="0.15">
      <c r="A27">
        <v>26</v>
      </c>
      <c r="B27" t="s">
        <v>210</v>
      </c>
      <c r="C27" s="230">
        <v>0.1</v>
      </c>
      <c r="D27" s="230">
        <v>0.1</v>
      </c>
    </row>
    <row r="28" ht="13" x14ac:dyDescent="0.15">
      <c r="A28">
        <v>27</v>
      </c>
      <c r="B28" t="s">
        <v>211</v>
      </c>
      <c r="C28" s="230">
        <v>0.1</v>
      </c>
      <c r="D28" s="230">
        <v>0.1</v>
      </c>
    </row>
    <row r="29" ht="13" x14ac:dyDescent="0.15">
      <c r="A29">
        <v>28</v>
      </c>
      <c r="B29" t="s">
        <v>212</v>
      </c>
      <c r="C29" s="230">
        <v>0</v>
      </c>
      <c r="D29" s="221">
        <v>0</v>
      </c>
    </row>
    <row r="30" ht="13" x14ac:dyDescent="0.15">
      <c r="A30">
        <v>29</v>
      </c>
      <c r="B30" t="s">
        <v>213</v>
      </c>
      <c r="C30" s="230">
        <v>0.1</v>
      </c>
      <c r="D30" s="230">
        <v>0.1</v>
      </c>
    </row>
    <row r="31" ht="13" x14ac:dyDescent="0.15">
      <c r="A31">
        <v>30</v>
      </c>
      <c r="B31" t="s">
        <v>214</v>
      </c>
      <c r="C31" s="230">
        <v>0.1</v>
      </c>
      <c r="D31" s="230">
        <v>0.1</v>
      </c>
    </row>
    <row r="32" ht="13" x14ac:dyDescent="0.15">
      <c r="A32">
        <v>31</v>
      </c>
      <c r="B32" t="s">
        <v>215</v>
      </c>
      <c r="C32" s="230">
        <v>0</v>
      </c>
      <c r="D32" s="221">
        <v>0</v>
      </c>
    </row>
    <row r="33" ht="13" x14ac:dyDescent="0.15">
      <c r="A33">
        <v>32</v>
      </c>
      <c r="B33" t="s">
        <v>216</v>
      </c>
      <c r="C33" s="230">
        <v>0</v>
      </c>
      <c r="D33" s="221">
        <v>0</v>
      </c>
    </row>
    <row r="34" ht="13" x14ac:dyDescent="0.15">
      <c r="A34">
        <v>33</v>
      </c>
      <c r="B34" t="s">
        <v>217</v>
      </c>
      <c r="C34" s="230">
        <v>0</v>
      </c>
      <c r="D34" s="221">
        <v>0</v>
      </c>
    </row>
    <row r="35" ht="13" x14ac:dyDescent="0.15">
      <c r="A35">
        <v>34</v>
      </c>
      <c r="B35" t="s">
        <v>218</v>
      </c>
      <c r="C35" s="230">
        <v>0</v>
      </c>
      <c r="D35" s="221">
        <v>0</v>
      </c>
    </row>
    <row r="36" ht="13" x14ac:dyDescent="0.15">
      <c r="A36">
        <v>35</v>
      </c>
      <c r="B36" t="s">
        <v>219</v>
      </c>
      <c r="C36" s="230">
        <v>0</v>
      </c>
      <c r="D36" s="221">
        <v>0</v>
      </c>
    </row>
    <row r="37" ht="13" x14ac:dyDescent="0.15">
      <c r="A37">
        <v>36</v>
      </c>
      <c r="B37" t="s">
        <v>221</v>
      </c>
      <c r="C37" s="230">
        <v>0</v>
      </c>
      <c r="D37" s="221">
        <v>0</v>
      </c>
    </row>
    <row r="38" ht="13" x14ac:dyDescent="0.15">
      <c r="A38">
        <v>37</v>
      </c>
      <c r="B38" s="3" t="s">
        <v>71</v>
      </c>
      <c r="C38" s="230">
        <v>0</v>
      </c>
      <c r="D38" s="221">
        <v>0</v>
      </c>
    </row>
    <row r="39" ht="13" x14ac:dyDescent="0.15">
      <c r="A39">
        <v>38</v>
      </c>
      <c r="B39" s="202" t="s">
        <v>72</v>
      </c>
      <c r="C39" s="230">
        <v>0</v>
      </c>
      <c r="D39" s="221">
        <v>0</v>
      </c>
    </row>
    <row r="40" ht="13" x14ac:dyDescent="0.15">
      <c r="A40">
        <v>39</v>
      </c>
      <c r="B40" t="s">
        <v>73</v>
      </c>
      <c r="C40" s="230">
        <v>0</v>
      </c>
      <c r="D40" s="221">
        <v>0</v>
      </c>
    </row>
    <row r="41" ht="13" x14ac:dyDescent="0.15"/>
    <row r="42" ht="13" x14ac:dyDescent="0.15"/>
    <row r="43" ht="13" x14ac:dyDescent="0.15"/>
    <row r="44" ht="13" x14ac:dyDescent="0.15">
      <c r="C44" s="237" t="s">
        <v>230</v>
      </c>
      <c r="D44" s="237" t="s">
        <v>230</v>
      </c>
    </row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130"/>
  <sheetViews>
    <sheetView workbookViewId="0">
      <selection activeCell="A5" sqref="A5"/>
    </sheetView>
  </sheetViews>
  <sheetFormatPr baseColWidth="10" defaultColWidth="11.5" defaultRowHeight="14" customHeight="true" x14ac:dyDescent="0.15"/>
  <cols>
    <col min="1" max="1" width="12.6640625" customWidth="true"/>
    <col min="2" max="2" width="34.33203125" bestFit="true" customWidth="true"/>
    <col min="3" max="3" width="16.5" style="221" bestFit="true" customWidth="true"/>
    <col min="4" max="4" width="16.6640625" style="221" bestFit="true" customWidth="true"/>
  </cols>
  <sheetData>
    <row r="1" ht="28" x14ac:dyDescent="0.15">
      <c r="A1" s="130" t="s">
        <v>83</v>
      </c>
      <c r="B1" s="133" t="s">
        <v>0</v>
      </c>
      <c r="C1" s="227" t="s">
        <v>223</v>
      </c>
      <c r="D1" s="227" t="s">
        <v>222</v>
      </c>
    </row>
    <row r="2" ht="13" x14ac:dyDescent="0.15">
      <c r="A2">
        <v>1</v>
      </c>
      <c r="B2" t="s">
        <v>182</v>
      </c>
      <c r="C2" s="230">
        <v>0</v>
      </c>
      <c r="D2" s="221">
        <v>0</v>
      </c>
    </row>
    <row r="3" ht="13" x14ac:dyDescent="0.15">
      <c r="A3">
        <v>2</v>
      </c>
      <c r="B3" t="s">
        <v>183</v>
      </c>
      <c r="C3" s="230">
        <v>0</v>
      </c>
      <c r="D3" s="221">
        <v>0</v>
      </c>
    </row>
    <row r="4" ht="13" x14ac:dyDescent="0.15">
      <c r="A4">
        <v>3</v>
      </c>
      <c r="B4" t="s">
        <v>184</v>
      </c>
      <c r="C4" s="230">
        <v>0</v>
      </c>
      <c r="D4" s="221">
        <v>0</v>
      </c>
    </row>
    <row r="5" ht="13" x14ac:dyDescent="0.15">
      <c r="A5">
        <v>4</v>
      </c>
      <c r="B5" t="s">
        <v>185</v>
      </c>
      <c r="C5" s="230">
        <v>0</v>
      </c>
      <c r="D5" s="221">
        <v>0</v>
      </c>
    </row>
    <row r="6" ht="13" x14ac:dyDescent="0.15">
      <c r="A6">
        <v>5</v>
      </c>
      <c r="B6" t="s">
        <v>186</v>
      </c>
      <c r="C6" s="230">
        <v>0</v>
      </c>
      <c r="D6" s="221">
        <v>0</v>
      </c>
    </row>
    <row r="7" ht="13" x14ac:dyDescent="0.15">
      <c r="A7">
        <v>6</v>
      </c>
      <c r="B7" t="s">
        <v>187</v>
      </c>
      <c r="C7" s="230">
        <v>0</v>
      </c>
      <c r="D7" s="221">
        <v>0</v>
      </c>
    </row>
    <row r="8" ht="13" x14ac:dyDescent="0.15">
      <c r="A8">
        <v>7</v>
      </c>
      <c r="B8" s="202" t="s">
        <v>188</v>
      </c>
      <c r="C8" s="230">
        <v>0</v>
      </c>
      <c r="D8" s="221">
        <v>0</v>
      </c>
    </row>
    <row r="9" ht="13" x14ac:dyDescent="0.15">
      <c r="A9">
        <v>8</v>
      </c>
      <c r="B9" t="s">
        <v>190</v>
      </c>
      <c r="C9" s="230">
        <v>0</v>
      </c>
      <c r="D9" s="221">
        <v>0</v>
      </c>
    </row>
    <row r="10" ht="13" x14ac:dyDescent="0.15">
      <c r="A10">
        <v>9</v>
      </c>
      <c r="B10" t="s">
        <v>191</v>
      </c>
      <c r="C10" s="230">
        <v>0.1</v>
      </c>
      <c r="D10" s="230">
        <v>0.1</v>
      </c>
    </row>
    <row r="11" ht="13" x14ac:dyDescent="0.15">
      <c r="A11">
        <v>10</v>
      </c>
      <c r="B11" t="s">
        <v>192</v>
      </c>
      <c r="C11" s="230">
        <v>0.1</v>
      </c>
      <c r="D11" s="230">
        <v>0.1</v>
      </c>
    </row>
    <row r="12" ht="13" x14ac:dyDescent="0.15">
      <c r="A12">
        <v>11</v>
      </c>
      <c r="B12" t="s">
        <v>194</v>
      </c>
      <c r="C12" s="230">
        <v>0</v>
      </c>
      <c r="D12" s="221">
        <v>0</v>
      </c>
    </row>
    <row r="13" ht="13" x14ac:dyDescent="0.15">
      <c r="A13">
        <v>12</v>
      </c>
      <c r="B13" t="s">
        <v>195</v>
      </c>
      <c r="C13" s="230">
        <v>0.1</v>
      </c>
      <c r="D13" s="230">
        <v>0.1</v>
      </c>
    </row>
    <row r="14" ht="13" x14ac:dyDescent="0.15">
      <c r="A14">
        <v>13</v>
      </c>
      <c r="B14" t="s">
        <v>196</v>
      </c>
      <c r="C14" s="230">
        <v>0.1</v>
      </c>
      <c r="D14" s="230">
        <v>0.1</v>
      </c>
    </row>
    <row r="15" ht="13" x14ac:dyDescent="0.15">
      <c r="A15">
        <v>14</v>
      </c>
      <c r="B15" t="s">
        <v>197</v>
      </c>
      <c r="C15" s="230">
        <v>0.1</v>
      </c>
      <c r="D15" s="230">
        <v>0.1</v>
      </c>
    </row>
    <row r="16" ht="13" x14ac:dyDescent="0.15">
      <c r="A16">
        <v>15</v>
      </c>
      <c r="B16" t="s">
        <v>198</v>
      </c>
      <c r="C16" s="230">
        <v>0.1</v>
      </c>
      <c r="D16" s="230">
        <v>0.1</v>
      </c>
    </row>
    <row r="17" ht="13" x14ac:dyDescent="0.15">
      <c r="A17">
        <v>16</v>
      </c>
      <c r="B17" t="s">
        <v>199</v>
      </c>
      <c r="C17" s="230">
        <v>0.1</v>
      </c>
      <c r="D17" s="230">
        <v>0.1</v>
      </c>
    </row>
    <row r="18" ht="13" x14ac:dyDescent="0.15">
      <c r="A18">
        <v>17</v>
      </c>
      <c r="B18" t="s">
        <v>200</v>
      </c>
      <c r="C18" s="230">
        <v>0.1</v>
      </c>
      <c r="D18" s="230">
        <v>0.1</v>
      </c>
    </row>
    <row r="19" ht="13" x14ac:dyDescent="0.15">
      <c r="A19">
        <v>18</v>
      </c>
      <c r="B19" t="s">
        <v>201</v>
      </c>
      <c r="C19" s="230">
        <v>0.1</v>
      </c>
      <c r="D19" s="230">
        <v>0.1</v>
      </c>
    </row>
    <row r="20" ht="13" x14ac:dyDescent="0.15">
      <c r="A20">
        <v>19</v>
      </c>
      <c r="B20" t="s">
        <v>202</v>
      </c>
      <c r="C20" s="230">
        <v>0.1</v>
      </c>
      <c r="D20" s="230">
        <v>0.1</v>
      </c>
    </row>
    <row r="21" ht="13" x14ac:dyDescent="0.15">
      <c r="A21">
        <v>20</v>
      </c>
      <c r="B21" t="s">
        <v>203</v>
      </c>
      <c r="C21" s="230">
        <v>0.1</v>
      </c>
      <c r="D21" s="230">
        <v>0.1</v>
      </c>
    </row>
    <row r="22" ht="13" x14ac:dyDescent="0.15">
      <c r="A22">
        <v>21</v>
      </c>
      <c r="B22" t="s">
        <v>204</v>
      </c>
      <c r="C22" s="230">
        <v>0.1</v>
      </c>
      <c r="D22" s="230">
        <v>0.1</v>
      </c>
    </row>
    <row r="23" ht="13" x14ac:dyDescent="0.15">
      <c r="A23">
        <v>22</v>
      </c>
      <c r="B23" t="s">
        <v>205</v>
      </c>
      <c r="C23" s="249">
        <v>0.1</v>
      </c>
      <c r="D23" s="250">
        <v>0.1</v>
      </c>
    </row>
    <row r="24" ht="13" x14ac:dyDescent="0.15">
      <c r="A24">
        <v>23</v>
      </c>
      <c r="B24" t="s">
        <v>207</v>
      </c>
      <c r="C24" s="230">
        <v>0.1</v>
      </c>
      <c r="D24" s="230">
        <v>0.1</v>
      </c>
    </row>
    <row r="25" ht="13" x14ac:dyDescent="0.15">
      <c r="A25">
        <v>24</v>
      </c>
      <c r="B25" t="s">
        <v>208</v>
      </c>
      <c r="C25" s="230">
        <v>0</v>
      </c>
      <c r="D25" s="221">
        <v>0</v>
      </c>
    </row>
    <row r="26" ht="13" x14ac:dyDescent="0.15">
      <c r="A26">
        <v>25</v>
      </c>
      <c r="B26" t="s">
        <v>209</v>
      </c>
      <c r="C26" s="230">
        <v>0</v>
      </c>
      <c r="D26" s="221">
        <v>0</v>
      </c>
    </row>
    <row r="27" ht="13" x14ac:dyDescent="0.15">
      <c r="A27">
        <v>26</v>
      </c>
      <c r="B27" t="s">
        <v>210</v>
      </c>
      <c r="C27" s="230">
        <v>0.1</v>
      </c>
      <c r="D27" s="230">
        <v>0.1</v>
      </c>
    </row>
    <row r="28" ht="13" x14ac:dyDescent="0.15">
      <c r="A28">
        <v>27</v>
      </c>
      <c r="B28" t="s">
        <v>211</v>
      </c>
      <c r="C28" s="230">
        <v>0.1</v>
      </c>
      <c r="D28" s="230">
        <v>0.1</v>
      </c>
    </row>
    <row r="29" ht="13" x14ac:dyDescent="0.15">
      <c r="A29">
        <v>28</v>
      </c>
      <c r="B29" t="s">
        <v>212</v>
      </c>
      <c r="C29" s="230">
        <v>0</v>
      </c>
      <c r="D29" s="221">
        <v>0</v>
      </c>
    </row>
    <row r="30" ht="13" x14ac:dyDescent="0.15">
      <c r="A30">
        <v>29</v>
      </c>
      <c r="B30" t="s">
        <v>213</v>
      </c>
      <c r="C30" s="230">
        <v>0.1</v>
      </c>
      <c r="D30" s="230">
        <v>0.1</v>
      </c>
    </row>
    <row r="31" ht="13" x14ac:dyDescent="0.15">
      <c r="A31">
        <v>30</v>
      </c>
      <c r="B31" t="s">
        <v>214</v>
      </c>
      <c r="C31" s="230">
        <v>0.1</v>
      </c>
      <c r="D31" s="230">
        <v>0.1</v>
      </c>
    </row>
    <row r="32" ht="13" x14ac:dyDescent="0.15">
      <c r="A32">
        <v>31</v>
      </c>
      <c r="B32" t="s">
        <v>215</v>
      </c>
      <c r="C32" s="230">
        <v>0</v>
      </c>
      <c r="D32" s="221">
        <v>0</v>
      </c>
    </row>
    <row r="33" ht="13" x14ac:dyDescent="0.15">
      <c r="A33">
        <v>32</v>
      </c>
      <c r="B33" t="s">
        <v>216</v>
      </c>
      <c r="C33" s="230">
        <v>0</v>
      </c>
      <c r="D33" s="221">
        <v>0</v>
      </c>
    </row>
    <row r="34" ht="13" x14ac:dyDescent="0.15">
      <c r="A34">
        <v>33</v>
      </c>
      <c r="B34" t="s">
        <v>217</v>
      </c>
      <c r="C34" s="230">
        <v>0</v>
      </c>
      <c r="D34" s="221">
        <v>0</v>
      </c>
    </row>
    <row r="35" ht="13" x14ac:dyDescent="0.15">
      <c r="A35">
        <v>34</v>
      </c>
      <c r="B35" t="s">
        <v>218</v>
      </c>
      <c r="C35" s="230">
        <v>0</v>
      </c>
      <c r="D35" s="221">
        <v>0</v>
      </c>
    </row>
    <row r="36" ht="13" x14ac:dyDescent="0.15">
      <c r="A36">
        <v>35</v>
      </c>
      <c r="B36" t="s">
        <v>219</v>
      </c>
      <c r="C36" s="230">
        <v>0</v>
      </c>
      <c r="D36" s="221">
        <v>0</v>
      </c>
    </row>
    <row r="37" ht="13" x14ac:dyDescent="0.15">
      <c r="A37">
        <v>36</v>
      </c>
      <c r="B37" t="s">
        <v>221</v>
      </c>
      <c r="C37" s="230">
        <v>0</v>
      </c>
      <c r="D37" s="221">
        <v>0</v>
      </c>
    </row>
    <row r="38" ht="13" x14ac:dyDescent="0.15">
      <c r="A38">
        <v>37</v>
      </c>
      <c r="B38" s="3" t="s">
        <v>71</v>
      </c>
      <c r="C38" s="230">
        <v>0</v>
      </c>
      <c r="D38" s="221">
        <v>0</v>
      </c>
    </row>
    <row r="39" ht="13" x14ac:dyDescent="0.15">
      <c r="A39">
        <v>38</v>
      </c>
      <c r="B39" s="202" t="s">
        <v>72</v>
      </c>
      <c r="C39" s="230">
        <v>0</v>
      </c>
      <c r="D39" s="221">
        <v>0</v>
      </c>
    </row>
    <row r="40" ht="13" x14ac:dyDescent="0.15">
      <c r="A40">
        <v>39</v>
      </c>
      <c r="B40" t="s">
        <v>73</v>
      </c>
      <c r="C40" s="230">
        <v>0</v>
      </c>
      <c r="D40" s="221">
        <v>0</v>
      </c>
    </row>
    <row r="41" ht="13" x14ac:dyDescent="0.15"/>
    <row r="42" ht="13" x14ac:dyDescent="0.15"/>
    <row r="43" ht="13" x14ac:dyDescent="0.15"/>
    <row r="44" ht="13" x14ac:dyDescent="0.15">
      <c r="C44" s="237" t="s">
        <v>230</v>
      </c>
      <c r="D44" s="237" t="s">
        <v>230</v>
      </c>
    </row>
    <row r="45" ht="13" x14ac:dyDescent="0.15"/>
    <row r="46" ht="13" x14ac:dyDescent="0.15"/>
    <row r="47" ht="13" x14ac:dyDescent="0.15"/>
    <row r="48" ht="13" x14ac:dyDescent="0.15"/>
    <row r="49" ht="13" x14ac:dyDescent="0.15"/>
    <row r="50" ht="13" x14ac:dyDescent="0.15"/>
    <row r="51" ht="13" x14ac:dyDescent="0.15"/>
    <row r="52" ht="13" x14ac:dyDescent="0.15"/>
    <row r="53" ht="13" x14ac:dyDescent="0.15"/>
    <row r="54" ht="13" x14ac:dyDescent="0.15"/>
    <row r="55" ht="13" x14ac:dyDescent="0.15"/>
    <row r="56" ht="13" x14ac:dyDescent="0.15"/>
    <row r="57" ht="13" x14ac:dyDescent="0.15"/>
    <row r="58" ht="13" x14ac:dyDescent="0.15"/>
    <row r="59" ht="13" x14ac:dyDescent="0.15"/>
    <row r="60" ht="13" x14ac:dyDescent="0.15"/>
    <row r="61" ht="13" x14ac:dyDescent="0.15"/>
    <row r="62" ht="13" x14ac:dyDescent="0.15"/>
    <row r="63" ht="13" x14ac:dyDescent="0.15"/>
    <row r="64" ht="13" x14ac:dyDescent="0.15"/>
    <row r="65" ht="13" x14ac:dyDescent="0.15"/>
    <row r="66" ht="13" x14ac:dyDescent="0.15"/>
    <row r="67" ht="13" x14ac:dyDescent="0.15"/>
    <row r="68" ht="13" x14ac:dyDescent="0.15"/>
    <row r="69" ht="13" x14ac:dyDescent="0.15"/>
    <row r="70" ht="13" x14ac:dyDescent="0.15"/>
    <row r="71" ht="13" x14ac:dyDescent="0.15"/>
    <row r="72" ht="13" x14ac:dyDescent="0.15"/>
    <row r="73" ht="13" x14ac:dyDescent="0.15"/>
    <row r="74" ht="13" x14ac:dyDescent="0.15"/>
    <row r="75" ht="13" x14ac:dyDescent="0.15"/>
    <row r="76" ht="13" x14ac:dyDescent="0.15"/>
    <row r="77" ht="13" x14ac:dyDescent="0.15"/>
    <row r="78" ht="13" x14ac:dyDescent="0.15"/>
    <row r="79" ht="13" x14ac:dyDescent="0.15"/>
    <row r="80" ht="13" x14ac:dyDescent="0.15"/>
    <row r="81" ht="13" x14ac:dyDescent="0.15"/>
    <row r="82" ht="13" x14ac:dyDescent="0.15"/>
    <row r="83" ht="13" x14ac:dyDescent="0.15"/>
    <row r="84" ht="13" x14ac:dyDescent="0.15"/>
    <row r="85" ht="13" x14ac:dyDescent="0.15"/>
    <row r="86" ht="13" x14ac:dyDescent="0.15"/>
    <row r="87" ht="13" x14ac:dyDescent="0.15"/>
    <row r="88" ht="13" x14ac:dyDescent="0.15"/>
    <row r="89" ht="13" x14ac:dyDescent="0.15"/>
    <row r="90" ht="13" x14ac:dyDescent="0.15"/>
    <row r="91" ht="13" x14ac:dyDescent="0.15"/>
    <row r="92" ht="13" x14ac:dyDescent="0.15"/>
    <row r="93" ht="13" x14ac:dyDescent="0.15"/>
    <row r="94" ht="13" x14ac:dyDescent="0.15"/>
    <row r="95" ht="13" x14ac:dyDescent="0.15"/>
    <row r="96" ht="13" x14ac:dyDescent="0.15"/>
    <row r="97" ht="13" x14ac:dyDescent="0.15"/>
    <row r="98" ht="13" x14ac:dyDescent="0.15"/>
    <row r="99" ht="13" x14ac:dyDescent="0.15"/>
    <row r="100" ht="13" x14ac:dyDescent="0.15"/>
    <row r="101" ht="13" x14ac:dyDescent="0.15"/>
    <row r="102" ht="13" x14ac:dyDescent="0.15"/>
    <row r="103" ht="13" x14ac:dyDescent="0.15"/>
    <row r="104" ht="13" x14ac:dyDescent="0.15"/>
    <row r="105" ht="13" x14ac:dyDescent="0.15"/>
    <row r="106" ht="13" x14ac:dyDescent="0.15"/>
    <row r="107" ht="13" x14ac:dyDescent="0.15"/>
    <row r="108" ht="13" x14ac:dyDescent="0.15"/>
    <row r="109" ht="13" x14ac:dyDescent="0.15"/>
    <row r="110" ht="13" x14ac:dyDescent="0.15"/>
    <row r="111" ht="13" x14ac:dyDescent="0.15"/>
    <row r="112" ht="13" x14ac:dyDescent="0.15"/>
    <row r="113" ht="13" x14ac:dyDescent="0.15"/>
    <row r="114" ht="13" x14ac:dyDescent="0.15"/>
    <row r="115" ht="13" x14ac:dyDescent="0.15"/>
    <row r="116" ht="13" x14ac:dyDescent="0.15"/>
    <row r="117" ht="13" x14ac:dyDescent="0.15"/>
    <row r="118" ht="13" x14ac:dyDescent="0.15"/>
    <row r="119" ht="13" x14ac:dyDescent="0.15"/>
    <row r="120" ht="13" x14ac:dyDescent="0.15"/>
    <row r="121" ht="13" x14ac:dyDescent="0.15"/>
    <row r="122" ht="13" x14ac:dyDescent="0.15"/>
    <row r="123" ht="13" x14ac:dyDescent="0.15"/>
    <row r="124" ht="13" x14ac:dyDescent="0.15"/>
    <row r="125" ht="13" x14ac:dyDescent="0.15"/>
    <row r="126" ht="13" x14ac:dyDescent="0.15"/>
    <row r="127" ht="13" x14ac:dyDescent="0.15"/>
    <row r="128" ht="13" x14ac:dyDescent="0.15"/>
    <row r="129" ht="13" x14ac:dyDescent="0.15"/>
    <row r="130" ht="13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J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2" sqref="B2"/>
    </sheetView>
  </sheetViews>
  <sheetFormatPr baseColWidth="10" defaultColWidth="8.83203125" defaultRowHeight="15" customHeight="true" x14ac:dyDescent="0.15"/>
  <cols>
    <col min="1" max="1" width="8.83203125" style="58"/>
    <col min="2" max="2" width="41.83203125" style="58" bestFit="true" customWidth="true"/>
    <col min="3" max="3" width="9.33203125" style="58" bestFit="true" customWidth="true"/>
    <col min="4" max="4" width="13" style="58" bestFit="true" customWidth="true"/>
    <col min="5" max="6" width="9.33203125" style="58" bestFit="true" customWidth="true"/>
    <col min="7" max="7" width="9.33203125" style="59" bestFit="true" customWidth="true"/>
    <col min="8" max="8" width="9.33203125" style="58" bestFit="true" customWidth="true"/>
    <col min="9" max="9" width="11" style="58" customWidth="true"/>
    <col min="10" max="10" width="8.83203125" style="58"/>
    <col min="15" max="16384" width="8.83203125" style="58"/>
  </cols>
  <sheetData>
    <row r="1" ht="15" customHeight="true" x14ac:dyDescent="0.15">
      <c r="A1" s="2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ht="15" customHeight="true" x14ac:dyDescent="0.15">
      <c r="A2" s="148">
        <v>1</v>
      </c>
      <c r="B2" s="148" t="s">
        <v>182</v>
      </c>
      <c r="C2" s="5">
        <v>1</v>
      </c>
      <c r="D2" s="6">
        <v>34.0885009765625</v>
      </c>
      <c r="E2" s="6">
        <v>237.5</v>
      </c>
      <c r="F2" s="7"/>
      <c r="G2" s="4">
        <v>0.82167637348175049</v>
      </c>
      <c r="H2" s="7"/>
      <c r="I2">
        <v>0</v>
      </c>
      <c r="J2"/>
    </row>
    <row r="3" ht="15" customHeight="true" x14ac:dyDescent="0.15">
      <c r="A3" s="149">
        <v>2</v>
      </c>
      <c r="B3" s="149" t="s">
        <v>183</v>
      </c>
      <c r="C3" s="5">
        <v>1</v>
      </c>
      <c r="D3" s="6">
        <v>13.376999855041504</v>
      </c>
      <c r="E3" s="6">
        <v>237.5</v>
      </c>
      <c r="F3" s="7"/>
      <c r="G3" s="4">
        <v>0.96689391136169434</v>
      </c>
      <c r="H3" s="7"/>
      <c r="I3">
        <v>0</v>
      </c>
      <c r="J3"/>
    </row>
    <row r="4" ht="15" customHeight="true" x14ac:dyDescent="0.15">
      <c r="A4" s="150">
        <v>3</v>
      </c>
      <c r="B4" s="150" t="s">
        <v>184</v>
      </c>
      <c r="C4" s="5">
        <v>2.2121212482452393</v>
      </c>
      <c r="D4" s="6">
        <v>13.542136192321777</v>
      </c>
      <c r="E4" s="6">
        <v>256</v>
      </c>
      <c r="F4" s="4">
        <v>1024</v>
      </c>
      <c r="G4" s="6">
        <v>0.95674461126327515</v>
      </c>
      <c r="H4" s="6">
        <v>0.25</v>
      </c>
      <c r="I4">
        <v>0</v>
      </c>
      <c r="J4"/>
    </row>
    <row r="5" ht="15" customHeight="true" x14ac:dyDescent="0.15">
      <c r="A5" s="151">
        <v>4</v>
      </c>
      <c r="B5" s="151" t="s">
        <v>185</v>
      </c>
      <c r="C5" s="5">
        <v>2.1818182468414307</v>
      </c>
      <c r="D5" s="6">
        <v>24.082000732421875</v>
      </c>
      <c r="E5" s="6">
        <v>40</v>
      </c>
      <c r="F5" s="4">
        <v>125</v>
      </c>
      <c r="G5" s="4">
        <v>0.92619967460632324</v>
      </c>
      <c r="H5" s="6">
        <v>0.31999999284744263</v>
      </c>
      <c r="I5">
        <v>0</v>
      </c>
      <c r="J5"/>
    </row>
    <row r="6" ht="15" customHeight="true" x14ac:dyDescent="0.15">
      <c r="A6" s="152">
        <v>5</v>
      </c>
      <c r="B6" s="152" t="s">
        <v>186</v>
      </c>
      <c r="C6" s="5">
        <v>2.303030252456665</v>
      </c>
      <c r="D6" s="4">
        <v>37.424713134765625</v>
      </c>
      <c r="E6" s="6">
        <v>19.085500717163086</v>
      </c>
      <c r="F6" s="6">
        <v>46.549999237060547</v>
      </c>
      <c r="G6" s="6">
        <v>0.94999986886978149</v>
      </c>
      <c r="H6" s="6">
        <v>0.4100000262260437</v>
      </c>
      <c r="I6">
        <v>0</v>
      </c>
      <c r="J6"/>
    </row>
    <row r="7" ht="15" customHeight="true" x14ac:dyDescent="0.15">
      <c r="A7" s="153">
        <v>6</v>
      </c>
      <c r="B7" s="153" t="s">
        <v>187</v>
      </c>
      <c r="C7" s="5">
        <v>2.992424488067627</v>
      </c>
      <c r="D7" s="4">
        <v>9.0683326125144958E-3</v>
      </c>
      <c r="E7" s="6">
        <v>0.58399999141693115</v>
      </c>
      <c r="F7" s="4">
        <v>2.9199998378753662</v>
      </c>
      <c r="G7" s="6">
        <v>0.94999998807907104</v>
      </c>
      <c r="H7" s="6">
        <v>0.20000000298023224</v>
      </c>
      <c r="I7">
        <v>0</v>
      </c>
      <c r="J7"/>
    </row>
    <row r="8" ht="15" customHeight="true" x14ac:dyDescent="0.15">
      <c r="A8" s="154">
        <v>7</v>
      </c>
      <c r="B8" s="154" t="s">
        <v>188</v>
      </c>
      <c r="C8" s="5">
        <v>3.0251517295837402</v>
      </c>
      <c r="D8" s="6">
        <v>8.4642858505249023</v>
      </c>
      <c r="E8" s="6">
        <v>15</v>
      </c>
      <c r="F8" s="6">
        <v>56</v>
      </c>
      <c r="G8" s="4">
        <v>6.1178048781584948E-5</v>
      </c>
      <c r="H8" s="6">
        <v>0.2678571343421936</v>
      </c>
      <c r="I8">
        <v>0</v>
      </c>
      <c r="J8"/>
    </row>
    <row r="9" ht="15" customHeight="true" x14ac:dyDescent="0.15">
      <c r="A9" s="155">
        <v>8</v>
      </c>
      <c r="B9" s="155" t="s">
        <v>190</v>
      </c>
      <c r="C9" s="5">
        <v>2.0447671413421631</v>
      </c>
      <c r="D9" s="6">
        <v>23.166999816894531</v>
      </c>
      <c r="E9" s="6">
        <v>1.2000000476837158</v>
      </c>
      <c r="F9" s="4">
        <v>10.000000953674316</v>
      </c>
      <c r="G9" s="6">
        <v>0.79029494524002075</v>
      </c>
      <c r="H9" s="6">
        <v>0.11999998986721039</v>
      </c>
      <c r="I9">
        <v>0</v>
      </c>
      <c r="J9"/>
    </row>
    <row r="10" ht="15" customHeight="true" x14ac:dyDescent="0.15">
      <c r="A10" s="156">
        <v>9</v>
      </c>
      <c r="B10" s="156" t="s">
        <v>191</v>
      </c>
      <c r="C10" s="5">
        <v>3.0814754962921143</v>
      </c>
      <c r="D10" s="6">
        <v>10.73799991607666</v>
      </c>
      <c r="E10" s="6">
        <v>1.3999999761581421</v>
      </c>
      <c r="F10" s="6">
        <v>12</v>
      </c>
      <c r="G10" s="4">
        <v>0.97000348567962646</v>
      </c>
      <c r="H10" s="6">
        <v>0.11666666716337204</v>
      </c>
      <c r="I10">
        <v>5.8259687423706055</v>
      </c>
      <c r="J10"/>
    </row>
    <row r="11" ht="15" customHeight="true" x14ac:dyDescent="0.15">
      <c r="A11" s="157">
        <v>10</v>
      </c>
      <c r="B11" s="157" t="s">
        <v>192</v>
      </c>
      <c r="C11" s="5">
        <v>2.9340815544128418</v>
      </c>
      <c r="D11" s="6">
        <v>58.316501617431641</v>
      </c>
      <c r="E11" s="6">
        <v>2</v>
      </c>
      <c r="F11" s="6">
        <v>15</v>
      </c>
      <c r="G11" s="4">
        <v>0.81484740972518921</v>
      </c>
      <c r="H11" s="6">
        <v>0.13333334028720856</v>
      </c>
      <c r="I11">
        <v>23.169986724853516</v>
      </c>
      <c r="J11"/>
    </row>
    <row r="12" ht="15" customHeight="true" x14ac:dyDescent="0.15">
      <c r="A12" s="158">
        <v>11</v>
      </c>
      <c r="B12" s="158" t="s">
        <v>194</v>
      </c>
      <c r="C12" s="5">
        <v>3.2848484516143799</v>
      </c>
      <c r="D12" s="6">
        <v>14.628499984741211</v>
      </c>
      <c r="E12" s="6">
        <v>1.3999999761581421</v>
      </c>
      <c r="F12" s="4">
        <v>14</v>
      </c>
      <c r="G12" s="4">
        <v>0.26389497518539429</v>
      </c>
      <c r="H12" s="6">
        <v>0.10000000149011612</v>
      </c>
      <c r="I12">
        <v>0</v>
      </c>
      <c r="J12"/>
    </row>
    <row r="13" ht="15" customHeight="true" x14ac:dyDescent="0.15">
      <c r="A13" s="159">
        <v>12</v>
      </c>
      <c r="B13" s="159" t="s">
        <v>195</v>
      </c>
      <c r="C13" s="5">
        <v>4.0997476577758789</v>
      </c>
      <c r="D13" s="6">
        <v>0.38350000977516174</v>
      </c>
      <c r="E13" s="6">
        <v>8.9099998474121094</v>
      </c>
      <c r="F13" s="4">
        <v>25.457143783569336</v>
      </c>
      <c r="G13" s="4">
        <v>0.79997843503952026</v>
      </c>
      <c r="H13" s="6">
        <v>0.34999999403953552</v>
      </c>
      <c r="I13">
        <v>0.10546329617500305</v>
      </c>
      <c r="J13"/>
    </row>
    <row r="14" ht="15" customHeight="true" x14ac:dyDescent="0.15">
      <c r="A14" s="160">
        <v>13</v>
      </c>
      <c r="B14" s="160" t="s">
        <v>196</v>
      </c>
      <c r="C14" s="5">
        <v>3.3049159049987793</v>
      </c>
      <c r="D14" s="4">
        <v>1.8063184022903442</v>
      </c>
      <c r="E14" s="6">
        <v>4.3000001907348633</v>
      </c>
      <c r="F14" s="6">
        <v>10</v>
      </c>
      <c r="G14" s="6">
        <v>0.94999998807907104</v>
      </c>
      <c r="H14" s="6">
        <v>0.43000000715255737</v>
      </c>
      <c r="I14">
        <v>3.547084704041481E-2</v>
      </c>
      <c r="J14"/>
    </row>
    <row r="15" ht="15" customHeight="true" x14ac:dyDescent="0.15">
      <c r="A15" s="161">
        <v>14</v>
      </c>
      <c r="B15" s="161" t="s">
        <v>197</v>
      </c>
      <c r="C15" s="5">
        <v>2.808612585067749</v>
      </c>
      <c r="D15" s="4">
        <v>10.99500560760498</v>
      </c>
      <c r="E15" s="6">
        <v>1</v>
      </c>
      <c r="F15" s="4">
        <v>10</v>
      </c>
      <c r="G15" s="6">
        <v>0.89999997615814209</v>
      </c>
      <c r="H15" s="6">
        <v>0.10000000149011612</v>
      </c>
      <c r="I15">
        <v>1.6897934675216675</v>
      </c>
      <c r="J15"/>
    </row>
    <row r="16" ht="15" customHeight="true" x14ac:dyDescent="0.15">
      <c r="A16" s="162">
        <v>15</v>
      </c>
      <c r="B16" s="162" t="s">
        <v>198</v>
      </c>
      <c r="C16" s="5">
        <v>3.449854850769043</v>
      </c>
      <c r="D16" s="6">
        <v>7.2989997863769531</v>
      </c>
      <c r="E16" s="6">
        <v>1.2000000476837158</v>
      </c>
      <c r="F16" s="6">
        <v>10</v>
      </c>
      <c r="G16" s="4">
        <v>0.23551708459854126</v>
      </c>
      <c r="H16" s="6">
        <v>0.12000000476837158</v>
      </c>
      <c r="I16">
        <v>1.7465229034423828</v>
      </c>
      <c r="J16"/>
    </row>
    <row r="17" ht="15" customHeight="true" x14ac:dyDescent="0.15">
      <c r="A17" s="163">
        <v>16</v>
      </c>
      <c r="B17" s="163" t="s">
        <v>199</v>
      </c>
      <c r="C17" s="5">
        <v>3.6086483001708984</v>
      </c>
      <c r="D17" s="6">
        <v>7.690000057220459</v>
      </c>
      <c r="E17" s="6">
        <v>0.85000002384185791</v>
      </c>
      <c r="F17" s="6">
        <v>10</v>
      </c>
      <c r="G17" s="4">
        <v>0.15512745082378387</v>
      </c>
      <c r="H17" s="6">
        <v>8.5000000894069672E-2</v>
      </c>
      <c r="I17">
        <v>0.74265420436859131</v>
      </c>
      <c r="J17"/>
    </row>
    <row r="18" ht="15" customHeight="true" x14ac:dyDescent="0.15">
      <c r="A18" s="164">
        <v>17</v>
      </c>
      <c r="B18" s="164" t="s">
        <v>200</v>
      </c>
      <c r="C18" s="5">
        <v>3.907634973526001</v>
      </c>
      <c r="D18" s="6">
        <v>1.1729999780654907</v>
      </c>
      <c r="E18" s="6">
        <v>0.625</v>
      </c>
      <c r="F18" s="4">
        <v>6.25</v>
      </c>
      <c r="G18" s="6">
        <v>0.53397244215011597</v>
      </c>
      <c r="H18" s="6">
        <v>0.10000000149011612</v>
      </c>
      <c r="I18">
        <v>0.33381903171539307</v>
      </c>
      <c r="J18"/>
    </row>
    <row r="19" ht="15" customHeight="true" x14ac:dyDescent="0.15">
      <c r="A19" s="165">
        <v>18</v>
      </c>
      <c r="B19" s="165" t="s">
        <v>201</v>
      </c>
      <c r="C19" s="5">
        <v>3.7407233715057373</v>
      </c>
      <c r="D19" s="6">
        <v>2.0079998970031738</v>
      </c>
      <c r="E19" s="6">
        <v>1.122499942779541</v>
      </c>
      <c r="F19" s="4">
        <v>7.483332633972168</v>
      </c>
      <c r="G19" s="6">
        <v>0.72136765718460083</v>
      </c>
      <c r="H19" s="6">
        <v>0.15000000596046448</v>
      </c>
      <c r="I19">
        <v>1.16591477394104</v>
      </c>
      <c r="J19"/>
    </row>
    <row r="20" ht="15" customHeight="true" x14ac:dyDescent="0.15">
      <c r="A20" s="166">
        <v>19</v>
      </c>
      <c r="B20" s="166" t="s">
        <v>202</v>
      </c>
      <c r="C20" s="5">
        <v>3.8744568824768066</v>
      </c>
      <c r="D20" s="6">
        <v>0.28850001096725464</v>
      </c>
      <c r="E20" s="6">
        <v>1.7864999771118164</v>
      </c>
      <c r="F20" s="4">
        <v>11.909999847412109</v>
      </c>
      <c r="G20" s="6">
        <v>0.14074458181858063</v>
      </c>
      <c r="H20" s="6">
        <v>0.15000000596046448</v>
      </c>
      <c r="I20">
        <v>4.8675999045372009E-2</v>
      </c>
      <c r="J20"/>
    </row>
    <row r="21" ht="15" customHeight="true" x14ac:dyDescent="0.15">
      <c r="A21" s="167">
        <v>20</v>
      </c>
      <c r="B21" s="167" t="s">
        <v>203</v>
      </c>
      <c r="C21" s="5">
        <v>4.3827495574951172</v>
      </c>
      <c r="D21" s="6">
        <v>4.1499998420476913E-2</v>
      </c>
      <c r="E21" s="6">
        <v>1.2799999713897705</v>
      </c>
      <c r="F21" s="4">
        <v>8.5333328247070312</v>
      </c>
      <c r="G21" s="6">
        <v>0.87386727333068848</v>
      </c>
      <c r="H21" s="6">
        <v>0.15000000596046448</v>
      </c>
      <c r="I21">
        <v>4.6334762126207352E-2</v>
      </c>
      <c r="J21"/>
    </row>
    <row r="22" ht="15" customHeight="true" x14ac:dyDescent="0.15">
      <c r="A22" s="168">
        <v>21</v>
      </c>
      <c r="B22" s="168" t="s">
        <v>204</v>
      </c>
      <c r="C22" s="5">
        <v>3.9195754528045654</v>
      </c>
      <c r="D22" s="6">
        <v>2.500000037252903E-2</v>
      </c>
      <c r="E22" s="6">
        <v>0.30399999022483826</v>
      </c>
      <c r="F22" s="4">
        <v>2.0266664028167725</v>
      </c>
      <c r="G22" s="4">
        <v>0.99545878171920776</v>
      </c>
      <c r="H22" s="6">
        <v>0.15000002086162567</v>
      </c>
      <c r="I22">
        <v>4.0582269430160522E-3</v>
      </c>
      <c r="J22"/>
    </row>
    <row r="23" ht="15" customHeight="true" x14ac:dyDescent="0.15">
      <c r="A23" s="169">
        <v>22</v>
      </c>
      <c r="B23" s="169" t="s">
        <v>205</v>
      </c>
      <c r="C23" s="5">
        <v>2.4727272987365723</v>
      </c>
      <c r="D23" s="6">
        <v>5.2300000190734863</v>
      </c>
      <c r="E23" s="6">
        <v>2.2999999523162842</v>
      </c>
      <c r="F23" s="4">
        <v>15.333332061767578</v>
      </c>
      <c r="G23" s="6">
        <v>0.73042982816696167</v>
      </c>
      <c r="H23" s="6">
        <v>0.15000000596046448</v>
      </c>
      <c r="I23">
        <v>1.9339229911565781E-2</v>
      </c>
      <c r="J23"/>
    </row>
    <row r="24" ht="15" customHeight="true" x14ac:dyDescent="0.15">
      <c r="A24" s="170">
        <v>23</v>
      </c>
      <c r="B24" s="170" t="s">
        <v>207</v>
      </c>
      <c r="C24" s="5">
        <v>3.4089384078979492</v>
      </c>
      <c r="D24" s="6">
        <v>6.1500001698732376E-2</v>
      </c>
      <c r="E24" s="6">
        <v>1</v>
      </c>
      <c r="F24" s="4">
        <v>6.6666665077209473</v>
      </c>
      <c r="G24" s="6">
        <v>0.6587257981300354</v>
      </c>
      <c r="H24" s="6">
        <v>0.15000000596046448</v>
      </c>
      <c r="I24">
        <v>4.0511637926101685E-2</v>
      </c>
      <c r="J24"/>
    </row>
    <row r="25" ht="15" customHeight="true" x14ac:dyDescent="0.15">
      <c r="A25" s="171">
        <v>24</v>
      </c>
      <c r="B25" s="171" t="s">
        <v>208</v>
      </c>
      <c r="C25" s="5">
        <v>2.6281752586364746</v>
      </c>
      <c r="D25" s="6">
        <v>1.8999999389052391E-2</v>
      </c>
      <c r="E25" s="6">
        <v>0.80000001192092896</v>
      </c>
      <c r="F25" s="4">
        <v>4</v>
      </c>
      <c r="G25" s="4">
        <v>0.53675764799118042</v>
      </c>
      <c r="H25" s="6">
        <v>0.20000000298023224</v>
      </c>
      <c r="I25">
        <v>0</v>
      </c>
      <c r="J25"/>
    </row>
    <row r="26" ht="15" customHeight="true" x14ac:dyDescent="0.15">
      <c r="A26" s="172">
        <v>25</v>
      </c>
      <c r="B26" s="172" t="s">
        <v>209</v>
      </c>
      <c r="C26" s="5">
        <v>4.1709203720092773</v>
      </c>
      <c r="D26" s="6">
        <v>1.1500000022351742E-2</v>
      </c>
      <c r="E26" s="6">
        <v>0.75</v>
      </c>
      <c r="F26" s="4">
        <v>5</v>
      </c>
      <c r="G26" s="4">
        <v>1.1290673166513443E-2</v>
      </c>
      <c r="H26" s="6">
        <v>0.15000000596046448</v>
      </c>
      <c r="I26">
        <v>0</v>
      </c>
      <c r="J26"/>
    </row>
    <row r="27" ht="15" customHeight="true" x14ac:dyDescent="0.15">
      <c r="A27" s="173">
        <v>26</v>
      </c>
      <c r="B27" s="173" t="s">
        <v>210</v>
      </c>
      <c r="C27" s="5">
        <v>3.2396316528320312</v>
      </c>
      <c r="D27" s="6">
        <v>0.20550000667572021</v>
      </c>
      <c r="E27" s="6">
        <v>1.8999999761581421</v>
      </c>
      <c r="F27" s="4">
        <v>12.666666030883789</v>
      </c>
      <c r="G27" s="6">
        <v>0.82015728950500488</v>
      </c>
      <c r="H27" s="6">
        <v>0.15000000596046448</v>
      </c>
      <c r="I27">
        <v>0.14956745505332947</v>
      </c>
      <c r="J27"/>
    </row>
    <row r="28" ht="15" customHeight="true" x14ac:dyDescent="0.15">
      <c r="A28" s="174">
        <v>27</v>
      </c>
      <c r="B28" s="174" t="s">
        <v>211</v>
      </c>
      <c r="C28" s="5">
        <v>3.3766701221466064</v>
      </c>
      <c r="D28" s="6">
        <v>0.29350000619888306</v>
      </c>
      <c r="E28" s="6">
        <v>0.9154999852180481</v>
      </c>
      <c r="F28" s="4">
        <v>6.1033329963684082</v>
      </c>
      <c r="G28" s="4">
        <v>0.70982182025909424</v>
      </c>
      <c r="H28" s="6">
        <v>0.15000000596046448</v>
      </c>
      <c r="I28">
        <v>6.1298910528421402E-2</v>
      </c>
      <c r="J28"/>
    </row>
    <row r="29" ht="15" customHeight="true" x14ac:dyDescent="0.15">
      <c r="A29" s="175">
        <v>28</v>
      </c>
      <c r="B29" s="175" t="s">
        <v>212</v>
      </c>
      <c r="C29" s="5">
        <v>3.3327858448028564</v>
      </c>
      <c r="D29" s="6">
        <v>0.55400002002716064</v>
      </c>
      <c r="E29" s="6">
        <v>3.309999942779541</v>
      </c>
      <c r="F29" s="4">
        <v>16.549999237060547</v>
      </c>
      <c r="G29" s="4">
        <v>0.45854362845420837</v>
      </c>
      <c r="H29" s="6">
        <v>0.20000000298023224</v>
      </c>
      <c r="I29">
        <v>0</v>
      </c>
      <c r="J29"/>
    </row>
    <row r="30" ht="15" customHeight="true" x14ac:dyDescent="0.15">
      <c r="A30" s="176">
        <v>29</v>
      </c>
      <c r="B30" s="176" t="s">
        <v>213</v>
      </c>
      <c r="C30" s="5">
        <v>3.1424968242645264</v>
      </c>
      <c r="D30" s="6">
        <v>0.61349999904632568</v>
      </c>
      <c r="E30" s="6">
        <v>0.89999997615814209</v>
      </c>
      <c r="F30" s="4">
        <v>5.9999995231628418</v>
      </c>
      <c r="G30" s="4">
        <v>0.82125067710876465</v>
      </c>
      <c r="H30" s="6">
        <v>0.15000000596046448</v>
      </c>
      <c r="I30">
        <v>0.33977100253105164</v>
      </c>
      <c r="J30"/>
    </row>
    <row r="31" ht="15" customHeight="true" x14ac:dyDescent="0.15">
      <c r="A31" s="177">
        <v>30</v>
      </c>
      <c r="B31" s="177" t="s">
        <v>214</v>
      </c>
      <c r="C31" s="5">
        <v>4.5778021812438965</v>
      </c>
      <c r="D31" s="6">
        <v>5.2499998360872269E-2</v>
      </c>
      <c r="E31" s="6">
        <v>0.48600000143051147</v>
      </c>
      <c r="F31" s="4">
        <v>3.2399997711181641</v>
      </c>
      <c r="G31" s="6">
        <v>0.564231276512146</v>
      </c>
      <c r="H31" s="6">
        <v>0.15000000596046448</v>
      </c>
      <c r="I31">
        <v>1.4396361075341702E-2</v>
      </c>
      <c r="J31"/>
    </row>
    <row r="32" ht="15" customHeight="true" x14ac:dyDescent="0.15">
      <c r="A32" s="178">
        <v>31</v>
      </c>
      <c r="B32" s="178" t="s">
        <v>215</v>
      </c>
      <c r="C32" s="5">
        <v>3.9326915740966797</v>
      </c>
      <c r="D32" s="6">
        <v>3.8499999791383743E-2</v>
      </c>
      <c r="E32" s="6">
        <v>3.9999999105930328E-2</v>
      </c>
      <c r="F32" s="6">
        <v>61</v>
      </c>
      <c r="G32" s="4">
        <v>0</v>
      </c>
      <c r="H32" s="6">
        <v>6.5573770552873611E-4</v>
      </c>
      <c r="I32">
        <v>0</v>
      </c>
      <c r="J32"/>
    </row>
    <row r="33" ht="15" customHeight="true" x14ac:dyDescent="0.15">
      <c r="A33" s="179">
        <v>32</v>
      </c>
      <c r="B33" s="179" t="s">
        <v>216</v>
      </c>
      <c r="C33" s="5">
        <v>3.7491283416748047</v>
      </c>
      <c r="D33" s="6">
        <v>6.25E-2</v>
      </c>
      <c r="E33" s="6">
        <v>0.10000000149011612</v>
      </c>
      <c r="F33" s="6">
        <v>36.950000762939453</v>
      </c>
      <c r="G33" s="4">
        <v>0</v>
      </c>
      <c r="H33" s="6">
        <v>2.7063598390668631E-3</v>
      </c>
      <c r="I33">
        <v>0</v>
      </c>
      <c r="J33"/>
    </row>
    <row r="34" ht="15" customHeight="true" x14ac:dyDescent="0.15">
      <c r="A34" s="180">
        <v>33</v>
      </c>
      <c r="B34" s="180" t="s">
        <v>217</v>
      </c>
      <c r="C34" s="5">
        <v>4.2159676551818848</v>
      </c>
      <c r="D34" s="6">
        <v>6.4499996602535248E-2</v>
      </c>
      <c r="E34" s="6">
        <v>0.10000000149011612</v>
      </c>
      <c r="F34" s="6">
        <v>20</v>
      </c>
      <c r="G34" s="4">
        <v>0</v>
      </c>
      <c r="H34" s="6">
        <v>4.999999888241291E-3</v>
      </c>
      <c r="I34">
        <v>0</v>
      </c>
      <c r="J34"/>
    </row>
    <row r="35" ht="15" customHeight="true" x14ac:dyDescent="0.15">
      <c r="A35" s="181">
        <v>34</v>
      </c>
      <c r="B35" s="181" t="s">
        <v>218</v>
      </c>
      <c r="C35" s="5">
        <v>3.4684216976165771</v>
      </c>
      <c r="D35" s="6">
        <v>3.4299999242648482E-4</v>
      </c>
      <c r="E35" s="6">
        <v>0.19200000166893005</v>
      </c>
      <c r="F35" s="6">
        <v>3.5</v>
      </c>
      <c r="G35" s="4">
        <v>0</v>
      </c>
      <c r="H35" s="4">
        <v>5.4857142269611359E-2</v>
      </c>
      <c r="I35">
        <v>0</v>
      </c>
      <c r="J35"/>
    </row>
    <row r="36" ht="15" customHeight="true" x14ac:dyDescent="0.15">
      <c r="A36" s="182">
        <v>35</v>
      </c>
      <c r="B36" s="182" t="s">
        <v>219</v>
      </c>
      <c r="C36" s="5">
        <v>4.0169696807861328</v>
      </c>
      <c r="D36" s="6">
        <v>1.6199999663513154E-4</v>
      </c>
      <c r="E36" s="6">
        <v>0.19200000166893005</v>
      </c>
      <c r="F36" s="6">
        <v>3.5</v>
      </c>
      <c r="G36" s="4">
        <v>0</v>
      </c>
      <c r="H36" s="4">
        <v>5.4857142269611359E-2</v>
      </c>
      <c r="I36">
        <v>0</v>
      </c>
      <c r="J36"/>
    </row>
    <row r="37" ht="15" customHeight="true" x14ac:dyDescent="0.15">
      <c r="A37" s="183">
        <v>36</v>
      </c>
      <c r="B37" s="183" t="s">
        <v>221</v>
      </c>
      <c r="C37" s="5">
        <v>1</v>
      </c>
      <c r="D37" s="6">
        <v>0.43599998950958252</v>
      </c>
      <c r="E37" s="7"/>
      <c r="F37" s="7"/>
      <c r="G37" s="4">
        <v>0.88433223962783813</v>
      </c>
      <c r="H37" s="7"/>
      <c r="I37">
        <v>0</v>
      </c>
      <c r="J37"/>
    </row>
    <row r="38" ht="15" customHeight="true" x14ac:dyDescent="0.15">
      <c r="A38" s="184">
        <v>37</v>
      </c>
      <c r="B38" s="184" t="s">
        <v>71</v>
      </c>
      <c r="C38" s="5">
        <v>1</v>
      </c>
      <c r="D38" s="6">
        <v>5.000000074505806E-2</v>
      </c>
      <c r="E38" s="7"/>
      <c r="F38" s="7"/>
      <c r="G38" s="4">
        <v>0</v>
      </c>
      <c r="H38" s="7"/>
      <c r="I38">
        <v>0</v>
      </c>
      <c r="J38"/>
    </row>
    <row r="39" ht="15" customHeight="true" x14ac:dyDescent="0.15">
      <c r="A39" s="185">
        <v>38</v>
      </c>
      <c r="B39" s="185" t="s">
        <v>72</v>
      </c>
      <c r="C39" s="5">
        <v>1</v>
      </c>
      <c r="D39" s="6">
        <v>20</v>
      </c>
      <c r="E39" s="7"/>
      <c r="F39" s="7"/>
      <c r="G39" s="4">
        <v>0</v>
      </c>
      <c r="H39" s="7"/>
      <c r="I39">
        <v>0</v>
      </c>
      <c r="J39"/>
    </row>
    <row r="40" ht="15" customHeight="true" x14ac:dyDescent="0.15">
      <c r="A40" s="186">
        <v>39</v>
      </c>
      <c r="B40" s="186" t="s">
        <v>73</v>
      </c>
      <c r="C40" s="5">
        <v>1</v>
      </c>
      <c r="D40" s="6">
        <v>60</v>
      </c>
      <c r="E40" s="7"/>
      <c r="F40" s="7"/>
      <c r="G40" s="4">
        <v>0.88909053802490234</v>
      </c>
      <c r="H40" s="7"/>
      <c r="I40">
        <v>0</v>
      </c>
      <c r="J40"/>
    </row>
    <row r="41" ht="15" customHeight="true" x14ac:dyDescent="0.15">
      <c r="A41" s="264">
        <v>40</v>
      </c>
      <c r="B41" s="264" t="s">
        <v>222</v>
      </c>
      <c r="C41" s="5">
        <v>4.2003474235534668</v>
      </c>
      <c r="D41" s="7"/>
      <c r="E41" s="7"/>
      <c r="F41" s="7"/>
      <c r="G41" s="7"/>
      <c r="H41" s="7"/>
      <c r="I41">
        <v>0.6514439582824707</v>
      </c>
      <c r="J41"/>
    </row>
    <row r="42" ht="15" customHeight="true" x14ac:dyDescent="0.15">
      <c r="A42" s="265">
        <v>41</v>
      </c>
      <c r="B42" s="265" t="s">
        <v>223</v>
      </c>
      <c r="C42" s="5">
        <v>4.0364398956298828</v>
      </c>
      <c r="D42" s="7"/>
      <c r="E42" s="7"/>
      <c r="F42" s="7"/>
      <c r="G42" s="7"/>
      <c r="H42" s="7"/>
      <c r="I42">
        <v>34.888103485107422</v>
      </c>
      <c r="J42"/>
    </row>
    <row r="43" ht="15" customHeight="true" x14ac:dyDescent="0.15">
      <c r="A43"/>
      <c r="B43"/>
      <c r="C43"/>
      <c r="D43"/>
      <c r="E43"/>
      <c r="F43"/>
      <c r="G43"/>
      <c r="H43"/>
      <c r="I43"/>
      <c r="J43"/>
    </row>
    <row r="44" ht="15" customHeight="true" x14ac:dyDescent="0.15">
      <c r="A44"/>
      <c r="B44"/>
      <c r="C44"/>
      <c r="D44"/>
      <c r="E44"/>
      <c r="F44"/>
      <c r="G44"/>
      <c r="H44"/>
      <c r="I44"/>
      <c r="J44"/>
    </row>
    <row r="45" ht="15" customHeight="true" x14ac:dyDescent="0.15">
      <c r="A45"/>
      <c r="B45"/>
      <c r="C45"/>
      <c r="D45"/>
      <c r="E45"/>
      <c r="F45"/>
      <c r="G45"/>
      <c r="H45"/>
      <c r="I45"/>
      <c r="J45"/>
    </row>
    <row r="46" ht="15" customHeight="true" x14ac:dyDescent="0.15">
      <c r="A46"/>
      <c r="B46"/>
      <c r="C46"/>
      <c r="D46"/>
      <c r="E46"/>
      <c r="F46"/>
      <c r="G46"/>
      <c r="H46"/>
      <c r="I46"/>
      <c r="J46"/>
    </row>
    <row r="47" ht="15" customHeight="true" x14ac:dyDescent="0.15">
      <c r="A47"/>
      <c r="B47"/>
      <c r="C47"/>
      <c r="D47"/>
      <c r="E47"/>
      <c r="F47"/>
      <c r="G47"/>
      <c r="H47"/>
      <c r="I47"/>
      <c r="J47"/>
    </row>
    <row r="48" ht="15" customHeight="true" x14ac:dyDescent="0.15">
      <c r="A48"/>
      <c r="B48"/>
      <c r="C48"/>
      <c r="D48"/>
      <c r="E48"/>
      <c r="F48"/>
      <c r="G48"/>
      <c r="H48"/>
      <c r="I48"/>
      <c r="J48"/>
    </row>
    <row r="49" ht="15" customHeight="true" x14ac:dyDescent="0.15">
      <c r="A49"/>
      <c r="B49"/>
      <c r="C49"/>
      <c r="D49"/>
      <c r="E49"/>
      <c r="F49"/>
      <c r="G49"/>
      <c r="H49"/>
      <c r="I49"/>
      <c r="J49"/>
    </row>
    <row r="50" ht="15" customHeight="true" x14ac:dyDescent="0.15">
      <c r="A50"/>
      <c r="B50"/>
      <c r="C50"/>
      <c r="D50"/>
      <c r="E50"/>
      <c r="F50"/>
      <c r="G50"/>
      <c r="H50"/>
      <c r="I50"/>
      <c r="J50"/>
    </row>
    <row r="51" ht="15" customHeight="true" x14ac:dyDescent="0.15">
      <c r="A51"/>
      <c r="B51"/>
      <c r="C51"/>
      <c r="D51"/>
      <c r="E51"/>
      <c r="F51"/>
      <c r="G51"/>
      <c r="H51"/>
      <c r="I51"/>
      <c r="J51"/>
    </row>
    <row r="52" ht="15" customHeight="true" x14ac:dyDescent="0.15">
      <c r="A52"/>
      <c r="B52"/>
      <c r="C52"/>
      <c r="D52"/>
      <c r="E52"/>
      <c r="F52"/>
      <c r="G52"/>
      <c r="H52"/>
      <c r="I52"/>
      <c r="J52"/>
    </row>
    <row r="53" ht="15" customHeight="true" x14ac:dyDescent="0.15">
      <c r="A53"/>
      <c r="B53"/>
      <c r="C53"/>
      <c r="D53"/>
      <c r="E53"/>
      <c r="F53"/>
      <c r="G53"/>
      <c r="H53"/>
      <c r="I53"/>
      <c r="J53"/>
    </row>
    <row r="54" ht="15" customHeight="true" x14ac:dyDescent="0.15">
      <c r="A54"/>
      <c r="B54"/>
      <c r="C54"/>
      <c r="D54"/>
      <c r="E54"/>
      <c r="F54"/>
      <c r="G54"/>
      <c r="H54"/>
      <c r="I54"/>
      <c r="J54"/>
    </row>
    <row r="55" ht="15" customHeight="true" x14ac:dyDescent="0.15">
      <c r="A55"/>
      <c r="B55"/>
      <c r="C55"/>
      <c r="D55"/>
      <c r="E55"/>
      <c r="F55"/>
      <c r="G55"/>
      <c r="H55"/>
      <c r="I55"/>
      <c r="J55"/>
    </row>
    <row r="56" ht="15" customHeight="true" x14ac:dyDescent="0.15">
      <c r="A56"/>
      <c r="B56"/>
      <c r="C56"/>
      <c r="D56"/>
      <c r="E56"/>
      <c r="F56"/>
      <c r="G56"/>
      <c r="H56"/>
      <c r="I56"/>
      <c r="J56"/>
    </row>
    <row r="57" ht="15" customHeight="true" x14ac:dyDescent="0.15">
      <c r="A57"/>
      <c r="B57"/>
      <c r="C57"/>
      <c r="D57"/>
      <c r="E57"/>
      <c r="F57"/>
      <c r="G57"/>
      <c r="H57"/>
      <c r="I57"/>
      <c r="J57"/>
    </row>
    <row r="58" ht="15" customHeight="true" x14ac:dyDescent="0.15">
      <c r="A58"/>
      <c r="B58"/>
      <c r="C58"/>
      <c r="D58"/>
      <c r="E58"/>
      <c r="F58"/>
      <c r="G58"/>
      <c r="H58"/>
      <c r="I58"/>
      <c r="J58"/>
    </row>
    <row r="59" ht="15" customHeight="true" x14ac:dyDescent="0.15">
      <c r="A59"/>
      <c r="B59"/>
      <c r="C59"/>
      <c r="D59"/>
      <c r="E59"/>
      <c r="F59"/>
      <c r="G59"/>
      <c r="H59"/>
      <c r="I59"/>
      <c r="J59"/>
    </row>
    <row r="60" ht="15" customHeight="true" x14ac:dyDescent="0.15">
      <c r="A60"/>
      <c r="B60"/>
      <c r="C60"/>
      <c r="D60"/>
      <c r="E60"/>
      <c r="F60"/>
      <c r="G60"/>
      <c r="H60"/>
      <c r="I60"/>
      <c r="J60"/>
    </row>
    <row r="61" ht="15" customHeight="true" x14ac:dyDescent="0.15">
      <c r="A61"/>
      <c r="B61"/>
      <c r="C61"/>
      <c r="D61"/>
      <c r="E61"/>
      <c r="F61"/>
      <c r="G61"/>
      <c r="H61"/>
      <c r="I61"/>
      <c r="J61"/>
    </row>
    <row r="62" ht="15" customHeight="true" x14ac:dyDescent="0.15">
      <c r="A62"/>
      <c r="B62"/>
      <c r="C62"/>
      <c r="D62"/>
      <c r="E62"/>
      <c r="F62"/>
      <c r="G62"/>
      <c r="H62"/>
      <c r="I62"/>
      <c r="J62"/>
    </row>
    <row r="63" ht="15" customHeight="true" x14ac:dyDescent="0.15">
      <c r="A63"/>
      <c r="B63"/>
      <c r="C63"/>
      <c r="D63"/>
      <c r="E63"/>
      <c r="F63"/>
      <c r="G63"/>
      <c r="H63"/>
      <c r="I63"/>
      <c r="J63"/>
    </row>
    <row r="64" ht="15" customHeight="true" x14ac:dyDescent="0.15">
      <c r="A64"/>
      <c r="B64"/>
      <c r="C64"/>
      <c r="D64"/>
      <c r="E64"/>
      <c r="F64"/>
      <c r="G64"/>
      <c r="H64"/>
      <c r="I64"/>
      <c r="J64"/>
    </row>
    <row r="65" ht="15" customHeight="true" x14ac:dyDescent="0.15">
      <c r="A65"/>
      <c r="B65"/>
      <c r="C65"/>
      <c r="D65"/>
      <c r="E65"/>
      <c r="F65"/>
      <c r="G65"/>
      <c r="H65"/>
      <c r="I65"/>
      <c r="J65"/>
    </row>
    <row r="66" ht="15" customHeight="true" x14ac:dyDescent="0.15">
      <c r="A66"/>
      <c r="B66"/>
      <c r="C66"/>
      <c r="D66"/>
      <c r="E66"/>
      <c r="F66"/>
      <c r="G66"/>
      <c r="H66"/>
      <c r="I66"/>
      <c r="J66"/>
    </row>
    <row r="67" ht="15" customHeight="true" x14ac:dyDescent="0.15">
      <c r="A67"/>
      <c r="B67"/>
      <c r="C67"/>
      <c r="D67"/>
      <c r="E67"/>
      <c r="F67"/>
      <c r="G67"/>
      <c r="H67"/>
      <c r="I67"/>
      <c r="J67"/>
    </row>
    <row r="68" ht="15" customHeight="true" x14ac:dyDescent="0.15">
      <c r="A68"/>
      <c r="B68"/>
      <c r="C68"/>
      <c r="D68"/>
      <c r="E68"/>
      <c r="F68"/>
      <c r="G68"/>
      <c r="H68"/>
      <c r="I68"/>
      <c r="J68"/>
    </row>
    <row r="69" ht="15" customHeight="true" x14ac:dyDescent="0.15">
      <c r="A69"/>
      <c r="B69"/>
      <c r="C69"/>
      <c r="D69"/>
      <c r="E69"/>
      <c r="F69"/>
      <c r="G69"/>
      <c r="H69"/>
      <c r="I69"/>
      <c r="J69"/>
    </row>
    <row r="70" ht="15" customHeight="true" x14ac:dyDescent="0.15">
      <c r="A70"/>
      <c r="B70"/>
      <c r="C70"/>
      <c r="D70"/>
      <c r="E70"/>
      <c r="F70"/>
      <c r="G70"/>
      <c r="H70"/>
      <c r="I70"/>
      <c r="J70"/>
    </row>
    <row r="71" ht="15" customHeight="true" x14ac:dyDescent="0.15">
      <c r="A71"/>
      <c r="B71"/>
      <c r="C71"/>
      <c r="D71"/>
      <c r="E71"/>
      <c r="F71"/>
      <c r="G71"/>
      <c r="H71"/>
      <c r="I71"/>
      <c r="J71"/>
    </row>
    <row r="72" ht="15" customHeight="true" x14ac:dyDescent="0.15">
      <c r="A72"/>
      <c r="B72"/>
      <c r="C72"/>
      <c r="D72"/>
      <c r="E72"/>
      <c r="F72"/>
      <c r="G72"/>
      <c r="H72"/>
      <c r="I72"/>
      <c r="J72"/>
    </row>
    <row r="73" ht="15" customHeight="true" x14ac:dyDescent="0.15">
      <c r="A73"/>
      <c r="B73"/>
      <c r="C73"/>
      <c r="D73"/>
      <c r="E73"/>
      <c r="F73"/>
      <c r="G73"/>
      <c r="H73"/>
      <c r="I73"/>
      <c r="J73"/>
    </row>
    <row r="74" ht="15" customHeight="true" x14ac:dyDescent="0.15">
      <c r="A74"/>
      <c r="B74"/>
      <c r="C74"/>
      <c r="D74"/>
      <c r="E74"/>
      <c r="F74"/>
      <c r="G74"/>
      <c r="H74"/>
      <c r="I74"/>
      <c r="J74"/>
    </row>
    <row r="75" ht="15" customHeight="true" x14ac:dyDescent="0.15">
      <c r="A75"/>
      <c r="B75"/>
      <c r="C75"/>
      <c r="D75"/>
      <c r="E75"/>
      <c r="F75"/>
      <c r="G75"/>
      <c r="H75"/>
      <c r="I75"/>
      <c r="J75"/>
    </row>
    <row r="76" ht="15" customHeight="true" x14ac:dyDescent="0.15">
      <c r="A76"/>
      <c r="B76"/>
      <c r="C76"/>
      <c r="D76"/>
      <c r="E76"/>
      <c r="F76"/>
      <c r="G76"/>
      <c r="H76"/>
      <c r="I76"/>
      <c r="J76"/>
    </row>
    <row r="77" ht="15" customHeight="true" x14ac:dyDescent="0.15">
      <c r="A77"/>
      <c r="B77"/>
      <c r="C77"/>
      <c r="D77"/>
      <c r="E77"/>
      <c r="F77"/>
      <c r="G77"/>
      <c r="H77"/>
      <c r="I77"/>
      <c r="J77"/>
    </row>
    <row r="78" ht="15" customHeight="true" x14ac:dyDescent="0.15">
      <c r="A78"/>
      <c r="B78"/>
      <c r="C78"/>
      <c r="D78"/>
      <c r="E78"/>
      <c r="F78"/>
      <c r="G78"/>
      <c r="H78"/>
      <c r="I78"/>
      <c r="J78"/>
    </row>
    <row r="79" ht="15" customHeight="true" x14ac:dyDescent="0.15">
      <c r="A79"/>
      <c r="B79"/>
      <c r="C79"/>
      <c r="D79"/>
      <c r="E79"/>
      <c r="F79"/>
      <c r="G79"/>
      <c r="H79"/>
      <c r="I79"/>
      <c r="J79"/>
    </row>
    <row r="80" ht="15" customHeight="true" x14ac:dyDescent="0.15">
      <c r="A80"/>
      <c r="B80"/>
      <c r="C80"/>
      <c r="D80"/>
      <c r="E80"/>
      <c r="F80"/>
      <c r="G80"/>
      <c r="H80"/>
      <c r="I80"/>
      <c r="J80"/>
    </row>
    <row r="81" ht="15" customHeight="true" x14ac:dyDescent="0.15">
      <c r="A81"/>
      <c r="B81"/>
      <c r="C81"/>
      <c r="D81"/>
      <c r="E81"/>
      <c r="F81"/>
      <c r="G81"/>
      <c r="H81"/>
      <c r="I81"/>
      <c r="J81"/>
    </row>
    <row r="82" ht="15" customHeight="true" x14ac:dyDescent="0.15">
      <c r="A82"/>
      <c r="B82"/>
      <c r="C82"/>
      <c r="D82"/>
      <c r="E82"/>
      <c r="F82"/>
      <c r="G82"/>
      <c r="H82"/>
      <c r="I82"/>
      <c r="J82"/>
    </row>
    <row r="83" ht="15" customHeight="true" x14ac:dyDescent="0.15">
      <c r="A83"/>
      <c r="B83"/>
      <c r="C83"/>
      <c r="D83"/>
      <c r="E83"/>
      <c r="F83"/>
      <c r="G83"/>
      <c r="H83"/>
      <c r="I83"/>
      <c r="J83"/>
    </row>
    <row r="84" ht="15" customHeight="true" x14ac:dyDescent="0.15">
      <c r="A84"/>
      <c r="B84"/>
      <c r="C84"/>
      <c r="D84"/>
      <c r="E84"/>
      <c r="F84"/>
      <c r="G84"/>
      <c r="H84"/>
      <c r="I84"/>
      <c r="J84"/>
    </row>
    <row r="85" ht="15" customHeight="true" x14ac:dyDescent="0.15">
      <c r="A85"/>
      <c r="B85"/>
      <c r="C85"/>
      <c r="D85"/>
      <c r="E85"/>
      <c r="F85"/>
      <c r="G85"/>
      <c r="H85"/>
      <c r="I85"/>
      <c r="J85"/>
    </row>
    <row r="86" ht="15" customHeight="true" x14ac:dyDescent="0.15">
      <c r="A86"/>
      <c r="B86"/>
      <c r="C86"/>
      <c r="D86"/>
      <c r="E86"/>
      <c r="F86"/>
      <c r="G86"/>
      <c r="H86"/>
      <c r="I86"/>
      <c r="J86"/>
    </row>
    <row r="87" ht="15" customHeight="true" x14ac:dyDescent="0.15">
      <c r="A87"/>
      <c r="B87"/>
      <c r="C87"/>
      <c r="D87"/>
      <c r="E87"/>
      <c r="F87"/>
      <c r="G87"/>
      <c r="H87"/>
      <c r="I87"/>
      <c r="J87"/>
    </row>
    <row r="88" ht="15" customHeight="true" x14ac:dyDescent="0.15">
      <c r="A88"/>
      <c r="B88"/>
      <c r="C88"/>
      <c r="D88"/>
      <c r="E88"/>
      <c r="F88"/>
      <c r="G88"/>
      <c r="H88"/>
      <c r="I88"/>
      <c r="J88"/>
    </row>
    <row r="89" ht="15" customHeight="true" x14ac:dyDescent="0.15">
      <c r="A89"/>
      <c r="B89"/>
      <c r="C89"/>
      <c r="D89"/>
      <c r="E89"/>
      <c r="F89"/>
      <c r="G89"/>
      <c r="H89"/>
      <c r="I89"/>
      <c r="J89"/>
    </row>
    <row r="90" ht="15" customHeight="true" x14ac:dyDescent="0.15">
      <c r="A90"/>
      <c r="B90"/>
      <c r="C90"/>
      <c r="D90"/>
      <c r="E90"/>
      <c r="F90"/>
      <c r="G90"/>
      <c r="H90"/>
      <c r="I90"/>
      <c r="J90"/>
    </row>
    <row r="91" ht="15" customHeight="true" x14ac:dyDescent="0.15">
      <c r="A91"/>
      <c r="B91"/>
      <c r="C91"/>
      <c r="D91"/>
      <c r="E91"/>
      <c r="F91"/>
      <c r="G91"/>
      <c r="H91"/>
      <c r="I91"/>
      <c r="J91"/>
    </row>
    <row r="92" ht="15" customHeight="true" x14ac:dyDescent="0.15">
      <c r="A92"/>
      <c r="B92"/>
      <c r="C92"/>
      <c r="D92"/>
      <c r="E92"/>
      <c r="F92"/>
      <c r="G92"/>
      <c r="H92"/>
      <c r="I92"/>
      <c r="J92"/>
    </row>
    <row r="93" ht="15" customHeight="true" x14ac:dyDescent="0.15">
      <c r="A93"/>
      <c r="B93"/>
      <c r="C93"/>
      <c r="D93"/>
      <c r="E93"/>
      <c r="F93"/>
      <c r="G93"/>
      <c r="H93"/>
      <c r="I93"/>
      <c r="J93"/>
    </row>
    <row r="94" ht="15" customHeight="true" x14ac:dyDescent="0.15">
      <c r="A94"/>
      <c r="B94"/>
      <c r="C94"/>
      <c r="D94"/>
      <c r="E94"/>
      <c r="F94"/>
      <c r="G94"/>
      <c r="H94"/>
      <c r="I94"/>
      <c r="J94"/>
    </row>
    <row r="95" ht="15" customHeight="true" x14ac:dyDescent="0.15">
      <c r="A95"/>
      <c r="B95"/>
      <c r="C95"/>
      <c r="D95"/>
      <c r="E95"/>
      <c r="F95"/>
      <c r="G95"/>
      <c r="H95"/>
      <c r="I95"/>
      <c r="J95"/>
    </row>
    <row r="96" ht="15" customHeight="true" x14ac:dyDescent="0.15">
      <c r="A96"/>
      <c r="B96"/>
      <c r="C96"/>
      <c r="D96"/>
      <c r="E96"/>
      <c r="F96"/>
      <c r="G96"/>
      <c r="H96"/>
      <c r="I96"/>
      <c r="J96"/>
    </row>
    <row r="97" ht="15" customHeight="true" x14ac:dyDescent="0.15">
      <c r="A97"/>
      <c r="B97"/>
      <c r="C97"/>
      <c r="D97"/>
      <c r="E97"/>
      <c r="F97"/>
      <c r="G97"/>
      <c r="H97"/>
      <c r="I97"/>
      <c r="J97"/>
    </row>
    <row r="98" ht="15" customHeight="true" x14ac:dyDescent="0.15">
      <c r="A98"/>
      <c r="B98"/>
      <c r="C98"/>
      <c r="D98"/>
      <c r="E98"/>
      <c r="F98"/>
      <c r="G98"/>
      <c r="H98"/>
      <c r="I98"/>
      <c r="J98"/>
    </row>
    <row r="99" ht="15" customHeight="true" x14ac:dyDescent="0.15">
      <c r="A99"/>
      <c r="B99"/>
      <c r="C99"/>
      <c r="D99"/>
      <c r="E99"/>
      <c r="F99"/>
      <c r="G99"/>
      <c r="H99"/>
      <c r="I99"/>
      <c r="J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AV40" activePane="bottomRight" state="frozen"/>
      <selection pane="topRight" activeCell="D1" sqref="D1"/>
      <selection pane="bottomLeft" activeCell="A2" sqref="A2"/>
      <selection pane="bottomRight" activeCell="A51" sqref="A51:XFD51"/>
    </sheetView>
  </sheetViews>
  <sheetFormatPr baseColWidth="10" defaultColWidth="8.83203125" defaultRowHeight="15" customHeight="true" x14ac:dyDescent="0.15"/>
  <cols>
    <col min="1" max="1" width="40.33203125" style="58" bestFit="true" customWidth="true"/>
    <col min="2" max="4" width="9.5" style="58" bestFit="true" customWidth="true"/>
    <col min="5" max="7" width="9" style="58" bestFit="true" customWidth="true"/>
    <col min="8" max="16" width="12.6640625" style="58" bestFit="true" customWidth="true"/>
    <col min="17" max="17" width="12.33203125" style="58" bestFit="true" customWidth="true"/>
    <col min="18" max="18" width="8.83203125" style="58"/>
    <col min="19" max="21" width="9.33203125" style="58" bestFit="true" customWidth="true"/>
    <col min="22" max="23" width="8.83203125" style="58"/>
    <col min="24" max="24" width="9.33203125" style="58" bestFit="true" customWidth="true"/>
    <col min="25" max="27" width="8.83203125" style="58"/>
    <col min="28" max="58" width="9" style="58" bestFit="true" customWidth="true"/>
    <col min="59" max="59" width="12.33203125" style="58" bestFit="true" customWidth="true"/>
    <col min="60" max="60" width="9" style="58" bestFit="true" customWidth="true"/>
    <col min="61" max="61" width="11.33203125" style="58" bestFit="true" customWidth="true"/>
    <col min="62" max="77" width="9" style="58" bestFit="true" customWidth="true"/>
    <col min="78" max="78" width="12.33203125" style="58" bestFit="true" customWidth="true"/>
    <col min="79" max="79" width="9" style="58" bestFit="true" customWidth="true"/>
    <col min="80" max="80" width="12.33203125" style="58" bestFit="true" customWidth="true"/>
    <col min="81" max="107" width="9" style="58" bestFit="true" customWidth="true"/>
    <col min="108" max="108" width="11.33203125" style="58" bestFit="true" customWidth="true"/>
    <col min="109" max="124" width="9" style="58" bestFit="true" customWidth="true"/>
    <col min="125" max="125" width="10.33203125" style="58" bestFit="true" customWidth="true"/>
    <col min="126" max="129" width="9.33203125" style="58" bestFit="true" customWidth="true"/>
    <col min="130" max="130" width="9" style="58" bestFit="true" customWidth="true"/>
    <col min="131" max="134" width="9.33203125" style="58" bestFit="true" customWidth="true"/>
    <col min="135" max="165" width="9" style="58" bestFit="true" customWidth="true"/>
    <col min="166" max="166" width="12.33203125" style="58" bestFit="true" customWidth="true"/>
    <col min="167" max="170" width="9" style="58" bestFit="true" customWidth="true"/>
    <col min="171" max="176" width="8.83203125" style="58"/>
    <col min="177" max="177" width="13.83203125" style="58" bestFit="true" customWidth="true"/>
    <col min="178" max="16384" width="8.83203125" style="58"/>
  </cols>
  <sheetData>
    <row r="1" ht="15" customHeight="true" x14ac:dyDescent="0.15">
      <c r="A1" t="s">
        <v>15</v>
      </c>
      <c r="B1" t="s">
        <v>1</v>
      </c>
      <c r="C1" t="s">
        <v>16</v>
      </c>
      <c r="D1" t="s">
        <v>233</v>
      </c>
      <c r="E1" t="s">
        <v>234</v>
      </c>
      <c r="F1" t="s">
        <v>182</v>
      </c>
      <c r="G1" t="s">
        <v>183</v>
      </c>
      <c r="H1" t="s">
        <v>184</v>
      </c>
      <c r="I1" t="s">
        <v>185</v>
      </c>
      <c r="J1" t="s">
        <v>186</v>
      </c>
      <c r="K1" t="s">
        <v>187</v>
      </c>
      <c r="L1" t="s">
        <v>188</v>
      </c>
      <c r="M1" t="s">
        <v>190</v>
      </c>
      <c r="N1" t="s">
        <v>191</v>
      </c>
      <c r="O1" t="s">
        <v>192</v>
      </c>
      <c r="P1" t="s">
        <v>194</v>
      </c>
      <c r="Q1" t="s">
        <v>195</v>
      </c>
      <c r="R1" t="s">
        <v>196</v>
      </c>
      <c r="S1" t="s">
        <v>197</v>
      </c>
      <c r="T1" t="s">
        <v>198</v>
      </c>
      <c r="U1" t="s">
        <v>199</v>
      </c>
      <c r="V1" t="s">
        <v>200</v>
      </c>
      <c r="W1" t="s">
        <v>201</v>
      </c>
      <c r="X1" t="s">
        <v>202</v>
      </c>
      <c r="Y1" t="s">
        <v>203</v>
      </c>
      <c r="Z1" t="s">
        <v>204</v>
      </c>
      <c r="AA1" t="s">
        <v>205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ht="15" customHeight="true" x14ac:dyDescent="0.15">
      <c r="A2" t="s">
        <v>182</v>
      </c>
      <c r="B2">
        <v>237.5</v>
      </c>
      <c r="C2">
        <v>42.351860046386719</v>
      </c>
      <c r="D2"/>
      <c r="E2"/>
      <c r="F2"/>
      <c r="G2"/>
      <c r="H2" s="317">
        <v>109.8355712890625</v>
      </c>
      <c r="I2" s="69">
        <v>50.776470184326172</v>
      </c>
      <c r="J2" s="314">
        <v>25.55290412902832</v>
      </c>
      <c r="K2"/>
      <c r="L2"/>
      <c r="M2"/>
      <c r="N2" s="11">
        <v>0.31107732653617859</v>
      </c>
      <c r="O2" s="23">
        <v>6.2340407371520996</v>
      </c>
      <c r="P2"/>
      <c r="Q2"/>
      <c r="R2"/>
      <c r="S2" s="9">
        <v>0.96762895584106445</v>
      </c>
      <c r="T2"/>
      <c r="U2" s="8">
        <v>5.8061413466930389E-2</v>
      </c>
      <c r="V2"/>
      <c r="W2"/>
      <c r="X2"/>
      <c r="Y2"/>
      <c r="Z2"/>
      <c r="AA2" s="20">
        <v>1.4115022420883179</v>
      </c>
      <c r="AB2"/>
      <c r="AC2" s="8">
        <v>9.0280832955613732E-4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ht="15" customHeight="true" x14ac:dyDescent="0.15">
      <c r="A3" t="s">
        <v>183</v>
      </c>
      <c r="B3">
        <v>237.5</v>
      </c>
      <c r="C3">
        <v>7.8626961708068848</v>
      </c>
      <c r="D3"/>
      <c r="E3"/>
      <c r="F3"/>
      <c r="G3"/>
      <c r="H3" s="315">
        <v>134.76333618164062</v>
      </c>
      <c r="I3" s="291">
        <v>61.883739471435547</v>
      </c>
      <c r="J3" s="294">
        <v>32.558128356933594</v>
      </c>
      <c r="K3"/>
      <c r="L3"/>
      <c r="M3"/>
      <c r="N3" s="11">
        <v>0.25780123472213745</v>
      </c>
      <c r="O3" s="8">
        <v>0.17430976033210754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ht="15" customHeight="true" x14ac:dyDescent="0.15">
      <c r="A4" t="s">
        <v>184</v>
      </c>
      <c r="B4">
        <v>256</v>
      </c>
      <c r="C4">
        <v>11.073379516601562</v>
      </c>
      <c r="D4"/>
      <c r="E4"/>
      <c r="F4"/>
      <c r="G4"/>
      <c r="H4" s="316">
        <v>179.19999694824219</v>
      </c>
      <c r="I4" s="189">
        <v>33.343154907226562</v>
      </c>
      <c r="J4" s="313">
        <v>32.161106109619141</v>
      </c>
      <c r="K4"/>
      <c r="L4"/>
      <c r="M4"/>
      <c r="N4" s="8">
        <v>0.19980600476264954</v>
      </c>
      <c r="O4" s="8">
        <v>2.2548647597432137E-2</v>
      </c>
      <c r="P4"/>
      <c r="Q4"/>
      <c r="R4"/>
      <c r="S4"/>
      <c r="T4"/>
      <c r="U4" s="6">
        <v>1.4007656545800273E-7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ht="15" customHeight="true" x14ac:dyDescent="0.15">
      <c r="A5" t="s">
        <v>185</v>
      </c>
      <c r="B5">
        <v>40</v>
      </c>
      <c r="C5">
        <v>2.9520130157470703</v>
      </c>
      <c r="D5"/>
      <c r="E5"/>
      <c r="F5"/>
      <c r="G5"/>
      <c r="H5"/>
      <c r="I5"/>
      <c r="J5"/>
      <c r="K5" s="8">
        <v>7.0371641777455807E-4</v>
      </c>
      <c r="L5" s="311">
        <v>13.384270668029785</v>
      </c>
      <c r="M5"/>
      <c r="N5" s="190">
        <v>3.3653831481933594</v>
      </c>
      <c r="O5" s="312">
        <v>14.100309371948242</v>
      </c>
      <c r="P5" s="22">
        <v>1.2756353616714478</v>
      </c>
      <c r="Q5" s="8">
        <v>2.6561593636870384E-2</v>
      </c>
      <c r="R5"/>
      <c r="S5" s="66">
        <v>2.9676744937896729</v>
      </c>
      <c r="T5" s="9">
        <v>0.1682133674621582</v>
      </c>
      <c r="U5" s="12">
        <v>0.42665669322013855</v>
      </c>
      <c r="V5"/>
      <c r="W5"/>
      <c r="X5"/>
      <c r="Y5"/>
      <c r="Z5"/>
      <c r="AA5" s="64">
        <v>1.3320044279098511</v>
      </c>
      <c r="AB5"/>
      <c r="AC5" s="8">
        <v>2.5243285926990211E-4</v>
      </c>
      <c r="AD5"/>
      <c r="AE5"/>
      <c r="AF5"/>
      <c r="AG5"/>
      <c r="AH5" s="8">
        <v>3.2555515645071864E-4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ht="15" customHeight="true" x14ac:dyDescent="0.15">
      <c r="A6" t="s">
        <v>186</v>
      </c>
      <c r="B6">
        <v>19.085500717163086</v>
      </c>
      <c r="C6">
        <v>0.95427751541137695</v>
      </c>
      <c r="D6"/>
      <c r="E6"/>
      <c r="F6"/>
      <c r="G6"/>
      <c r="H6"/>
      <c r="I6"/>
      <c r="J6"/>
      <c r="K6" s="8">
        <v>8.49049465614371E-5</v>
      </c>
      <c r="L6" s="73">
        <v>2.1531226634979248</v>
      </c>
      <c r="M6"/>
      <c r="N6" s="17">
        <v>0.82628375291824341</v>
      </c>
      <c r="O6" s="310">
        <v>8.5185728073120117</v>
      </c>
      <c r="P6" s="304">
        <v>4.6514492034912109</v>
      </c>
      <c r="Q6" s="11">
        <v>5.2971579134464264E-2</v>
      </c>
      <c r="R6" s="307">
        <v>0.42956194281578064</v>
      </c>
      <c r="S6"/>
      <c r="T6" s="64">
        <v>0.63833349943161011</v>
      </c>
      <c r="U6" s="22">
        <v>0.58119398355484009</v>
      </c>
      <c r="V6" s="8">
        <v>1.9587566202972084E-4</v>
      </c>
      <c r="W6" s="9">
        <v>5.6211907416582108E-2</v>
      </c>
      <c r="X6" s="8">
        <v>6.4268347341567278E-4</v>
      </c>
      <c r="Y6" s="8">
        <v>6.1939604347571731E-4</v>
      </c>
      <c r="Z6"/>
      <c r="AA6"/>
      <c r="AB6" s="8">
        <v>4.3714928324334323E-4</v>
      </c>
      <c r="AC6" s="8">
        <v>2.6700274247559719E-5</v>
      </c>
      <c r="AD6"/>
      <c r="AE6" s="8">
        <v>1.1548680253326893E-2</v>
      </c>
      <c r="AF6" s="8">
        <v>1.8244894818053581E-5</v>
      </c>
      <c r="AG6" s="12">
        <v>0.19424834847450256</v>
      </c>
      <c r="AH6" s="8">
        <v>5.3109577856957912E-3</v>
      </c>
      <c r="AI6" s="8">
        <v>4.7731231461511925E-5</v>
      </c>
      <c r="AJ6"/>
      <c r="AK6"/>
      <c r="AL6" s="8">
        <v>1.0340760461986065E-2</v>
      </c>
      <c r="AM6" s="8">
        <v>1.2485344313972746E-6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ht="15" customHeight="true" x14ac:dyDescent="0.15">
      <c r="A7" t="s">
        <v>187</v>
      </c>
      <c r="B7">
        <v>0.58399999141693115</v>
      </c>
      <c r="C7">
        <v>2.9200006276369095E-2</v>
      </c>
      <c r="D7"/>
      <c r="E7"/>
      <c r="F7"/>
      <c r="G7"/>
      <c r="H7"/>
      <c r="I7"/>
      <c r="J7"/>
      <c r="K7" s="275">
        <v>0.11679999530315399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85">
        <v>0.42236864566802979</v>
      </c>
      <c r="AG7"/>
      <c r="AH7"/>
      <c r="AI7"/>
      <c r="AJ7"/>
      <c r="AK7"/>
      <c r="AL7"/>
      <c r="AM7"/>
      <c r="AN7" s="21">
        <v>1.5631319954991341E-2</v>
      </c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ht="15" customHeight="true" x14ac:dyDescent="0.15">
      <c r="A8" t="s">
        <v>188</v>
      </c>
      <c r="B8">
        <v>15</v>
      </c>
      <c r="C8">
        <v>14.999082565307617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 s="8">
        <v>8.0798007547855377E-4</v>
      </c>
      <c r="AD8"/>
      <c r="AE8"/>
      <c r="AF8"/>
      <c r="AG8"/>
      <c r="AH8"/>
      <c r="AI8"/>
      <c r="AJ8"/>
      <c r="AK8"/>
      <c r="AL8"/>
      <c r="AM8" s="8">
        <v>5.9450198023114353E-5</v>
      </c>
      <c r="AN8" s="8">
        <v>5.0240501877851784E-5</v>
      </c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ht="15" customHeight="true" x14ac:dyDescent="0.15">
      <c r="A9" t="s">
        <v>190</v>
      </c>
      <c r="B9">
        <v>1.2000000476837158</v>
      </c>
      <c r="C9">
        <v>0.25164607167243958</v>
      </c>
      <c r="D9"/>
      <c r="E9"/>
      <c r="F9"/>
      <c r="G9"/>
      <c r="H9"/>
      <c r="I9"/>
      <c r="J9"/>
      <c r="K9"/>
      <c r="L9"/>
      <c r="M9" s="187">
        <v>0.50000005960464478</v>
      </c>
      <c r="N9"/>
      <c r="O9"/>
      <c r="P9"/>
      <c r="Q9"/>
      <c r="R9"/>
      <c r="S9"/>
      <c r="T9" s="64">
        <v>3.9382230490446091E-2</v>
      </c>
      <c r="U9" s="14">
        <v>1.6676364466547966E-2</v>
      </c>
      <c r="V9"/>
      <c r="W9" s="67">
        <v>9.9887154996395111E-2</v>
      </c>
      <c r="X9" s="9">
        <v>5.1910574547946453E-3</v>
      </c>
      <c r="Y9" s="8">
        <v>3.7872530811000615E-5</v>
      </c>
      <c r="Z9" s="8">
        <v>3.061826282646507E-4</v>
      </c>
      <c r="AA9"/>
      <c r="AB9" s="19">
        <v>9.8848184570670128E-3</v>
      </c>
      <c r="AC9" s="8">
        <v>1.0496116010472178E-3</v>
      </c>
      <c r="AD9" s="8">
        <v>2.8297246899455786E-4</v>
      </c>
      <c r="AE9" s="287">
        <v>6.9848023355007172E-2</v>
      </c>
      <c r="AF9" s="25">
        <v>4.3028056621551514E-2</v>
      </c>
      <c r="AG9" s="64">
        <v>3.8838565349578857E-2</v>
      </c>
      <c r="AH9" s="302">
        <v>0.12360822409391403</v>
      </c>
      <c r="AI9" s="8">
        <v>3.0475447420030832E-4</v>
      </c>
      <c r="AJ9"/>
      <c r="AK9"/>
      <c r="AL9"/>
      <c r="AM9" s="8">
        <v>2.7926620532525703E-5</v>
      </c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ht="15" customHeight="true" x14ac:dyDescent="0.15">
      <c r="A10" t="s">
        <v>191</v>
      </c>
      <c r="B10">
        <v>1.3999999761581421</v>
      </c>
      <c r="C10">
        <v>4.199511930346489E-2</v>
      </c>
      <c r="D10"/>
      <c r="E10" s="272">
        <v>0.54255622625350952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 s="304">
        <v>0.33986520767211914</v>
      </c>
      <c r="U10" s="306">
        <v>0.35439211130142212</v>
      </c>
      <c r="V10"/>
      <c r="W10" s="65">
        <v>6.9968946278095245E-2</v>
      </c>
      <c r="X10"/>
      <c r="Y10"/>
      <c r="Z10"/>
      <c r="AA10"/>
      <c r="AB10" s="8">
        <v>9.0880109928548336E-4</v>
      </c>
      <c r="AC10"/>
      <c r="AD10"/>
      <c r="AE10"/>
      <c r="AF10" s="11">
        <v>1.4417769853025675E-3</v>
      </c>
      <c r="AG10"/>
      <c r="AH10"/>
      <c r="AI10"/>
      <c r="AJ10" s="25">
        <v>4.8871740698814392E-2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ht="15" customHeight="true" x14ac:dyDescent="0.15">
      <c r="A11" t="s">
        <v>192</v>
      </c>
      <c r="B11">
        <v>2</v>
      </c>
      <c r="C11">
        <v>0.37030518054962158</v>
      </c>
      <c r="D11"/>
      <c r="E11" s="273">
        <v>0.39731442928314209</v>
      </c>
      <c r="F11"/>
      <c r="G11"/>
      <c r="H11"/>
      <c r="I11"/>
      <c r="J11"/>
      <c r="K11"/>
      <c r="L11"/>
      <c r="M11"/>
      <c r="N11"/>
      <c r="O11"/>
      <c r="P11"/>
      <c r="Q11" s="20">
        <v>1.138735469430685E-2</v>
      </c>
      <c r="R11"/>
      <c r="S11"/>
      <c r="T11" s="308">
        <v>0.4693533182144165</v>
      </c>
      <c r="U11" s="309">
        <v>0.53045624494552612</v>
      </c>
      <c r="V11" s="282">
        <v>8.3027176558971405E-2</v>
      </c>
      <c r="W11" s="21">
        <v>5.5012974888086319E-2</v>
      </c>
      <c r="X11" s="12">
        <v>2.1211367100477219E-2</v>
      </c>
      <c r="Y11" s="8">
        <v>8.4254032117314637E-5</v>
      </c>
      <c r="Z11" s="8">
        <v>4.3441099114716053E-4</v>
      </c>
      <c r="AA11"/>
      <c r="AB11" s="8">
        <v>5.6248874170705676E-4</v>
      </c>
      <c r="AC11"/>
      <c r="AD11"/>
      <c r="AE11" s="11">
        <v>2.634167205542326E-3</v>
      </c>
      <c r="AF11" s="11">
        <v>5.7392548769712448E-3</v>
      </c>
      <c r="AG11"/>
      <c r="AH11" s="9">
        <v>6.2485793605446815E-3</v>
      </c>
      <c r="AI11" s="8">
        <v>6.1846658354625106E-4</v>
      </c>
      <c r="AJ11" s="15">
        <v>2.5265388190746307E-2</v>
      </c>
      <c r="AK11" s="12">
        <v>1.8133046105504036E-2</v>
      </c>
      <c r="AL11" s="11">
        <v>2.2120666690170765E-3</v>
      </c>
      <c r="AM11" s="8">
        <v>6.1634537473764794E-8</v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ht="15" customHeight="true" x14ac:dyDescent="0.15">
      <c r="A12" t="s">
        <v>194</v>
      </c>
      <c r="B12">
        <v>1.3999999761581421</v>
      </c>
      <c r="C12">
        <v>1.030547022819519</v>
      </c>
      <c r="D12"/>
      <c r="E12"/>
      <c r="F12"/>
      <c r="G12"/>
      <c r="H12"/>
      <c r="I12"/>
      <c r="J12"/>
      <c r="K12"/>
      <c r="L12"/>
      <c r="M12"/>
      <c r="N12"/>
      <c r="O12"/>
      <c r="P12"/>
      <c r="Q12" s="305">
        <v>0.2536817193031311</v>
      </c>
      <c r="R12"/>
      <c r="S12"/>
      <c r="T12"/>
      <c r="U12" s="20">
        <v>8.5436934605240822E-3</v>
      </c>
      <c r="V12"/>
      <c r="W12" s="287">
        <v>8.2176737487316132E-2</v>
      </c>
      <c r="X12" s="14">
        <v>1.9730454310774803E-2</v>
      </c>
      <c r="Y12" s="8">
        <v>3.7186560803093016E-4</v>
      </c>
      <c r="Z12"/>
      <c r="AA12"/>
      <c r="AB12"/>
      <c r="AC12"/>
      <c r="AD12"/>
      <c r="AE12"/>
      <c r="AF12" s="8">
        <v>5.9584664995782077E-5</v>
      </c>
      <c r="AG12"/>
      <c r="AH12"/>
      <c r="AI12"/>
      <c r="AJ12"/>
      <c r="AK12" s="9">
        <v>4.8888674937188625E-3</v>
      </c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ht="15" customHeight="true" x14ac:dyDescent="0.15">
      <c r="A13" t="s">
        <v>195</v>
      </c>
      <c r="B13">
        <v>8.9099998474121094</v>
      </c>
      <c r="C13">
        <v>1.7821921110153198</v>
      </c>
      <c r="D13"/>
      <c r="E13" s="22">
        <v>0.27500206232070923</v>
      </c>
      <c r="F13"/>
      <c r="G13"/>
      <c r="H13"/>
      <c r="I13"/>
      <c r="J13"/>
      <c r="K13"/>
      <c r="L13"/>
      <c r="M13"/>
      <c r="N13"/>
      <c r="O13"/>
      <c r="P13"/>
      <c r="Q13" s="298">
        <v>3.5650699138641357</v>
      </c>
      <c r="R13"/>
      <c r="S13"/>
      <c r="T13"/>
      <c r="U13"/>
      <c r="V13" s="24">
        <v>0.68240439891815186</v>
      </c>
      <c r="W13" s="296">
        <v>1.6456695795059204</v>
      </c>
      <c r="X13" s="20">
        <v>5.3758040070533752E-2</v>
      </c>
      <c r="Y13" s="20">
        <v>5.0790414214134216E-2</v>
      </c>
      <c r="Z13"/>
      <c r="AA13"/>
      <c r="AB13" s="11">
        <v>1.4273523353040218E-2</v>
      </c>
      <c r="AC13"/>
      <c r="AD13"/>
      <c r="AE13"/>
      <c r="AF13" s="11">
        <v>1.0827493853867054E-2</v>
      </c>
      <c r="AG13"/>
      <c r="AH13"/>
      <c r="AI13" s="16">
        <v>0.15726158022880554</v>
      </c>
      <c r="AJ13"/>
      <c r="AK13"/>
      <c r="AL13" s="24">
        <v>0.67275094985961914</v>
      </c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ht="15" customHeight="true" x14ac:dyDescent="0.15">
      <c r="A14" t="s">
        <v>196</v>
      </c>
      <c r="B14">
        <v>4.3000001907348633</v>
      </c>
      <c r="C14">
        <v>0.21500006318092346</v>
      </c>
      <c r="D14" s="9">
        <v>1.9637094810605049E-2</v>
      </c>
      <c r="E14"/>
      <c r="F14"/>
      <c r="G14"/>
      <c r="H14"/>
      <c r="I14"/>
      <c r="J14"/>
      <c r="K14"/>
      <c r="L14"/>
      <c r="M14"/>
      <c r="N14"/>
      <c r="O14"/>
      <c r="P14"/>
      <c r="Q14" s="57">
        <v>0.37845054268836975</v>
      </c>
      <c r="R14"/>
      <c r="S14"/>
      <c r="T14" s="299">
        <v>1.2122355699539185</v>
      </c>
      <c r="U14" s="303">
        <v>1.732454776763916</v>
      </c>
      <c r="V14" s="282">
        <v>0.1795799732208252</v>
      </c>
      <c r="W14" s="72">
        <v>0.47833511233329773</v>
      </c>
      <c r="X14" s="11">
        <v>7.6089249923825264E-3</v>
      </c>
      <c r="Y14" s="8">
        <v>6.8002968328073621E-4</v>
      </c>
      <c r="Z14"/>
      <c r="AA14"/>
      <c r="AB14" s="9">
        <v>1.4641336165368557E-2</v>
      </c>
      <c r="AC14"/>
      <c r="AD14" s="8">
        <v>1.1811055010184646E-3</v>
      </c>
      <c r="AE14" s="19">
        <v>3.2431796193122864E-2</v>
      </c>
      <c r="AF14" s="9">
        <v>1.9287031143903732E-2</v>
      </c>
      <c r="AG14"/>
      <c r="AH14"/>
      <c r="AI14" s="11">
        <v>8.4765683859586716E-3</v>
      </c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ht="15" customHeight="true" x14ac:dyDescent="0.15">
      <c r="A15" t="s">
        <v>197</v>
      </c>
      <c r="B15">
        <v>1</v>
      </c>
      <c r="C15">
        <v>0.10000002384185791</v>
      </c>
      <c r="D15"/>
      <c r="E15" s="274">
        <v>0.15368737280368805</v>
      </c>
      <c r="F15"/>
      <c r="G15"/>
      <c r="H15"/>
      <c r="I15"/>
      <c r="J15"/>
      <c r="K15"/>
      <c r="L15"/>
      <c r="M15"/>
      <c r="N15"/>
      <c r="O15"/>
      <c r="P15"/>
      <c r="Q15" s="10">
        <v>3.6682583391666412E-2</v>
      </c>
      <c r="R15"/>
      <c r="S15"/>
      <c r="T15" s="73">
        <v>0.11451271921396255</v>
      </c>
      <c r="U15" s="301">
        <v>0.24596525728702545</v>
      </c>
      <c r="V15" s="281">
        <v>7.0432305335998535E-2</v>
      </c>
      <c r="W15" s="68">
        <v>0.11480017751455307</v>
      </c>
      <c r="X15" s="17">
        <v>4.3751221150159836E-2</v>
      </c>
      <c r="Y15" s="8">
        <v>3.1919687171466649E-4</v>
      </c>
      <c r="Z15"/>
      <c r="AA15"/>
      <c r="AB15" s="8">
        <v>1.2735339987557381E-4</v>
      </c>
      <c r="AC15"/>
      <c r="AD15"/>
      <c r="AE15" s="11">
        <v>1.4646268682554364E-3</v>
      </c>
      <c r="AF15" s="19">
        <v>8.1391660496592522E-3</v>
      </c>
      <c r="AG15" s="62">
        <v>9.0881116688251495E-2</v>
      </c>
      <c r="AH15" s="8">
        <v>2.0588147162925452E-4</v>
      </c>
      <c r="AI15"/>
      <c r="AJ15" s="16">
        <v>1.7276538535952568E-2</v>
      </c>
      <c r="AK15" s="11">
        <v>1.7544771544635296E-3</v>
      </c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ht="15" customHeight="true" x14ac:dyDescent="0.15">
      <c r="A16" t="s">
        <v>198</v>
      </c>
      <c r="B16">
        <v>1.2000000476837158</v>
      </c>
      <c r="C16">
        <v>0.91737955808639526</v>
      </c>
      <c r="D16"/>
      <c r="E16" s="275">
        <v>0.23928250372409821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8">
        <v>1.2020727444905788E-4</v>
      </c>
      <c r="Z16"/>
      <c r="AA16"/>
      <c r="AB16" s="8">
        <v>1.6768579371273518E-4</v>
      </c>
      <c r="AC16"/>
      <c r="AD16"/>
      <c r="AE16"/>
      <c r="AF16"/>
      <c r="AG16"/>
      <c r="AH16"/>
      <c r="AI16" s="8">
        <v>2.4473594385199249E-4</v>
      </c>
      <c r="AJ16" s="11">
        <v>2.4126905482262373E-3</v>
      </c>
      <c r="AK16" s="9">
        <v>5.0453818403184414E-3</v>
      </c>
      <c r="AL16" s="63">
        <v>3.5347305238246918E-2</v>
      </c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ht="15" customHeight="true" x14ac:dyDescent="0.15">
      <c r="A17" t="s">
        <v>199</v>
      </c>
      <c r="B17">
        <v>0.85000002384185791</v>
      </c>
      <c r="C17">
        <v>0.71814167499542236</v>
      </c>
      <c r="D17"/>
      <c r="E17" s="73">
        <v>9.6574015915393829E-2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11">
        <v>1.7342485953122377E-3</v>
      </c>
      <c r="Z17"/>
      <c r="AA17"/>
      <c r="AB17"/>
      <c r="AC17"/>
      <c r="AD17"/>
      <c r="AE17"/>
      <c r="AF17"/>
      <c r="AG17"/>
      <c r="AH17"/>
      <c r="AI17"/>
      <c r="AJ17"/>
      <c r="AK17"/>
      <c r="AL17" s="292">
        <v>3.3550061285495758E-2</v>
      </c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ht="15" customHeight="true" x14ac:dyDescent="0.15">
      <c r="A18" t="s">
        <v>200</v>
      </c>
      <c r="B18">
        <v>0.625</v>
      </c>
      <c r="C18">
        <v>0.29126721620559692</v>
      </c>
      <c r="D18"/>
      <c r="E18" s="276">
        <v>0.28458571434020996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 s="22">
        <v>1.921551302075386E-2</v>
      </c>
      <c r="X18"/>
      <c r="Y18"/>
      <c r="Z18"/>
      <c r="AA18"/>
      <c r="AB18" s="11">
        <v>8.738911128602922E-4</v>
      </c>
      <c r="AC18"/>
      <c r="AD18"/>
      <c r="AE18"/>
      <c r="AF18" s="9">
        <v>2.3421554360538721E-3</v>
      </c>
      <c r="AG18"/>
      <c r="AH18"/>
      <c r="AI18" s="17">
        <v>2.6715507730841637E-2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ht="15" customHeight="true" x14ac:dyDescent="0.15">
      <c r="A19" t="s">
        <v>201</v>
      </c>
      <c r="B19">
        <v>1.122499942779541</v>
      </c>
      <c r="C19">
        <v>0.31276479363441467</v>
      </c>
      <c r="D19"/>
      <c r="E19" s="277">
        <v>0.58063489198684692</v>
      </c>
      <c r="F19"/>
      <c r="G19"/>
      <c r="H19"/>
      <c r="I19"/>
      <c r="J19"/>
      <c r="K19"/>
      <c r="L19"/>
      <c r="M19"/>
      <c r="N19"/>
      <c r="O19"/>
      <c r="P19"/>
      <c r="Q19" s="294">
        <v>0.15514306724071503</v>
      </c>
      <c r="R19"/>
      <c r="S19"/>
      <c r="T19"/>
      <c r="U19"/>
      <c r="V19"/>
      <c r="W19"/>
      <c r="X19"/>
      <c r="Y19" s="188">
        <v>6.9212667644023895E-2</v>
      </c>
      <c r="Z19"/>
      <c r="AA19"/>
      <c r="AB19"/>
      <c r="AC19"/>
      <c r="AD19"/>
      <c r="AE19"/>
      <c r="AF19"/>
      <c r="AG19"/>
      <c r="AH19"/>
      <c r="AI19" s="9">
        <v>4.7445627860724926E-3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ht="15" customHeight="true" x14ac:dyDescent="0.15">
      <c r="A20" t="s">
        <v>202</v>
      </c>
      <c r="B20">
        <v>1.7864999771118164</v>
      </c>
      <c r="C20">
        <v>1.5350598096847534</v>
      </c>
      <c r="D20"/>
      <c r="E20" s="278">
        <v>0.16872096061706543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 s="18">
        <v>3.4891605377197266E-2</v>
      </c>
      <c r="AC20"/>
      <c r="AD20" s="60">
        <v>4.3054349720478058E-2</v>
      </c>
      <c r="AE20"/>
      <c r="AF20"/>
      <c r="AG20"/>
      <c r="AH20"/>
      <c r="AI20" s="11">
        <v>4.7732703387737274E-3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ht="15" customHeight="true" x14ac:dyDescent="0.15">
      <c r="A21" t="s">
        <v>203</v>
      </c>
      <c r="B21">
        <v>1.2799999713897705</v>
      </c>
      <c r="C21">
        <v>0.16144987940788269</v>
      </c>
      <c r="D21"/>
      <c r="E21" s="279">
        <v>1.1165003776550293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 s="11">
        <v>2.049716655164957E-3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ht="15" customHeight="true" x14ac:dyDescent="0.15">
      <c r="A22" t="s">
        <v>204</v>
      </c>
      <c r="B22">
        <v>0.30399999022483826</v>
      </c>
      <c r="C22">
        <v>1.3805303024128079E-3</v>
      </c>
      <c r="D22" s="266">
        <v>0.16232907772064209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 s="273">
        <v>6.0274362564086914E-2</v>
      </c>
      <c r="AC22"/>
      <c r="AD22" s="281">
        <v>2.1173508837819099E-2</v>
      </c>
      <c r="AE22" s="283">
        <v>5.8842513710260391E-2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ht="15" customHeight="true" x14ac:dyDescent="0.15">
      <c r="A23" t="s">
        <v>205</v>
      </c>
      <c r="B23">
        <v>2.2999999523162842</v>
      </c>
      <c r="C23">
        <v>0.62001138925552368</v>
      </c>
      <c r="D23" s="11">
        <v>3.6977496929466724E-3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 s="13">
        <v>3.4537635743618011E-2</v>
      </c>
      <c r="S23"/>
      <c r="T23" s="297">
        <v>0.14245504140853882</v>
      </c>
      <c r="U23" s="284">
        <v>0.34381240606307983</v>
      </c>
      <c r="V23" s="278">
        <v>0.21445128321647644</v>
      </c>
      <c r="W23" s="300">
        <v>0.45251983404159546</v>
      </c>
      <c r="X23" s="297">
        <v>0.14453683793544769</v>
      </c>
      <c r="Y23" s="11">
        <v>6.1736251227557659E-3</v>
      </c>
      <c r="Z23"/>
      <c r="AA23"/>
      <c r="AB23" s="9">
        <v>8.4789115935564041E-3</v>
      </c>
      <c r="AC23"/>
      <c r="AD23" s="8">
        <v>3.4195405896753073E-4</v>
      </c>
      <c r="AE23" s="60">
        <v>5.3765639662742615E-2</v>
      </c>
      <c r="AF23" s="18">
        <v>4.4488415122032166E-2</v>
      </c>
      <c r="AG23"/>
      <c r="AH23"/>
      <c r="AI23" s="8">
        <v>3.5944496630690992E-4</v>
      </c>
      <c r="AJ23" s="15">
        <v>2.7296414598822594E-2</v>
      </c>
      <c r="AK23" s="57">
        <v>0.20307332277297974</v>
      </c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ht="15" customHeight="true" x14ac:dyDescent="0.15">
      <c r="A24" t="s">
        <v>207</v>
      </c>
      <c r="B24">
        <v>1</v>
      </c>
      <c r="C24">
        <v>0.3412742018699646</v>
      </c>
      <c r="D24" s="267">
        <v>0.6587257981300354</v>
      </c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ht="15" customHeight="true" x14ac:dyDescent="0.15">
      <c r="A25" t="s">
        <v>208</v>
      </c>
      <c r="B25">
        <v>0.80000001192092896</v>
      </c>
      <c r="C25">
        <v>0.37059387564659119</v>
      </c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286">
        <v>0.27707144618034363</v>
      </c>
      <c r="Z25"/>
      <c r="AA25"/>
      <c r="AB25" s="282">
        <v>3.2370768487453461E-2</v>
      </c>
      <c r="AC25"/>
      <c r="AD25"/>
      <c r="AE25"/>
      <c r="AF25" s="284">
        <v>0.11996393650770187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ht="15" customHeight="true" x14ac:dyDescent="0.15">
      <c r="A26" t="s">
        <v>209</v>
      </c>
      <c r="B26">
        <v>0.75</v>
      </c>
      <c r="C26">
        <v>0.74153196811676025</v>
      </c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 s="15">
        <v>8.4680048748850822E-3</v>
      </c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ht="15" customHeight="true" x14ac:dyDescent="0.15">
      <c r="A27" t="s">
        <v>210</v>
      </c>
      <c r="B27">
        <v>1.8999999761581421</v>
      </c>
      <c r="C27">
        <v>0.34170114994049072</v>
      </c>
      <c r="D27" s="268">
        <v>0.72782212495803833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 s="25">
        <v>6.6881462931632996E-2</v>
      </c>
      <c r="Y27" s="20">
        <v>1.1954745277762413E-2</v>
      </c>
      <c r="Z27" s="26">
        <v>8.875911682844162E-2</v>
      </c>
      <c r="AA27"/>
      <c r="AB27" s="23">
        <v>4.8585027456283569E-2</v>
      </c>
      <c r="AC27"/>
      <c r="AD27" s="26">
        <v>9.1085299849510193E-2</v>
      </c>
      <c r="AE27" s="289">
        <v>0.20271734893321991</v>
      </c>
      <c r="AF27" s="61">
        <v>8.7095052003860474E-2</v>
      </c>
      <c r="AG27"/>
      <c r="AH27"/>
      <c r="AI27" s="9">
        <v>8.6925914511084557E-3</v>
      </c>
      <c r="AJ27"/>
      <c r="AK27" s="290">
        <v>0.22470611333847046</v>
      </c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ht="15" customHeight="true" x14ac:dyDescent="0.15">
      <c r="A28" t="s">
        <v>211</v>
      </c>
      <c r="B28">
        <v>0.9154999852180481</v>
      </c>
      <c r="C28">
        <v>0.26565811038017273</v>
      </c>
      <c r="D28" s="269">
        <v>0.20885488390922546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291">
        <v>0.23915307223796844</v>
      </c>
      <c r="Z28"/>
      <c r="AA28"/>
      <c r="AB28" s="21">
        <v>2.5237433612346649E-2</v>
      </c>
      <c r="AC28"/>
      <c r="AD28"/>
      <c r="AE28"/>
      <c r="AF28" s="288">
        <v>0.12196275591850281</v>
      </c>
      <c r="AG28"/>
      <c r="AH28"/>
      <c r="AI28"/>
      <c r="AJ28"/>
      <c r="AK28" s="287">
        <v>5.4633729159832001E-2</v>
      </c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ht="15" customHeight="true" x14ac:dyDescent="0.15">
      <c r="A29" t="s">
        <v>212</v>
      </c>
      <c r="B29">
        <v>3.309999942779541</v>
      </c>
      <c r="C29">
        <v>1.7922205924987793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 s="20">
        <v>2.1618377417325974E-2</v>
      </c>
      <c r="V29"/>
      <c r="W29" s="293">
        <v>0.54247403144836426</v>
      </c>
      <c r="X29" s="295">
        <v>0.86831212043762207</v>
      </c>
      <c r="Y29" s="16">
        <v>5.796494334936142E-2</v>
      </c>
      <c r="Z29"/>
      <c r="AA29"/>
      <c r="AB29"/>
      <c r="AC29"/>
      <c r="AD29" s="19">
        <v>2.4185510352253914E-2</v>
      </c>
      <c r="AE29"/>
      <c r="AF29"/>
      <c r="AG29"/>
      <c r="AH29"/>
      <c r="AI29" s="8">
        <v>3.2244180329144001E-3</v>
      </c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ht="15" customHeight="true" x14ac:dyDescent="0.15">
      <c r="A30" t="s">
        <v>213</v>
      </c>
      <c r="B30">
        <v>0.89999997615814209</v>
      </c>
      <c r="C30">
        <v>0.1608743816614151</v>
      </c>
      <c r="D30" s="270">
        <v>0.55382400751113892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 s="20">
        <v>5.3133433684706688E-3</v>
      </c>
      <c r="AC30"/>
      <c r="AD30"/>
      <c r="AE30"/>
      <c r="AF30"/>
      <c r="AG30"/>
      <c r="AH30" s="275">
        <v>0.17998829483985901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ht="15" customHeight="true" x14ac:dyDescent="0.15">
      <c r="A31" t="s">
        <v>214</v>
      </c>
      <c r="B31">
        <v>0.48600000143051147</v>
      </c>
      <c r="C31">
        <v>0.21178360283374786</v>
      </c>
      <c r="D31" s="271">
        <v>2.7174599468708038E-2</v>
      </c>
      <c r="E31" s="280">
        <v>0.24704182147979736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ht="15" customHeight="true" x14ac:dyDescent="0.15">
      <c r="A32" t="s">
        <v>215</v>
      </c>
      <c r="B32">
        <v>3.9999999105930328E-2</v>
      </c>
      <c r="C32">
        <v>3.9999999105930328E-2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ht="15" customHeight="true" x14ac:dyDescent="0.15">
      <c r="A33" t="s">
        <v>216</v>
      </c>
      <c r="B33">
        <v>0.10000000149011612</v>
      </c>
      <c r="C33">
        <v>0.10000000149011612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ht="15" customHeight="true" x14ac:dyDescent="0.15">
      <c r="A34" t="s">
        <v>217</v>
      </c>
      <c r="B34">
        <v>0.10000000149011612</v>
      </c>
      <c r="C34">
        <v>0.10000000149011612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ht="15" customHeight="true" x14ac:dyDescent="0.15">
      <c r="A35" t="s">
        <v>218</v>
      </c>
      <c r="B35">
        <v>0.19200000166893005</v>
      </c>
      <c r="C35">
        <v>0.19200000166893005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ht="15" customHeight="true" x14ac:dyDescent="0.15">
      <c r="A36" t="s">
        <v>219</v>
      </c>
      <c r="B36">
        <v>0.19200000166893005</v>
      </c>
      <c r="C36">
        <v>0.19200000166893005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ht="15" customHeight="true" x14ac:dyDescent="0.15">
      <c r="A37" t="s">
        <v>221</v>
      </c>
      <c r="B37"/>
      <c r="C37">
        <v>0.88433223962783813</v>
      </c>
      <c r="D37"/>
      <c r="E37"/>
      <c r="F37"/>
      <c r="G37"/>
      <c r="H37"/>
      <c r="I37"/>
      <c r="J37"/>
      <c r="K37"/>
      <c r="L37" s="6">
        <v>71.100006103515625</v>
      </c>
      <c r="M37"/>
      <c r="N37" s="6">
        <v>0.1288476288318634</v>
      </c>
      <c r="O37" s="6">
        <v>1.2325668334960938</v>
      </c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ht="15" customHeight="true" x14ac:dyDescent="0.15">
      <c r="A38" t="s">
        <v>71</v>
      </c>
      <c r="B38"/>
      <c r="C38">
        <v>0</v>
      </c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ht="15" customHeight="true" x14ac:dyDescent="0.15">
      <c r="A39" t="s">
        <v>72</v>
      </c>
      <c r="B39"/>
      <c r="C39">
        <v>0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ht="15" customHeight="true" x14ac:dyDescent="0.15">
      <c r="A40" t="s">
        <v>73</v>
      </c>
      <c r="B40"/>
      <c r="C40">
        <v>0.88909053802490234</v>
      </c>
      <c r="D40"/>
      <c r="E40"/>
      <c r="F40"/>
      <c r="G40"/>
      <c r="H40" s="6">
        <v>5893.53759765625</v>
      </c>
      <c r="I40"/>
      <c r="J40"/>
      <c r="K40" s="6">
        <v>5.2959062159061432E-3</v>
      </c>
      <c r="L40"/>
      <c r="M40" s="6">
        <v>189.96942138671875</v>
      </c>
      <c r="N40"/>
      <c r="O40"/>
      <c r="P40"/>
      <c r="Q40"/>
      <c r="R40"/>
      <c r="S40"/>
      <c r="T40" s="6">
        <v>8.9229602813720703</v>
      </c>
      <c r="U40"/>
      <c r="V40"/>
      <c r="W40"/>
      <c r="X40"/>
      <c r="Y40"/>
      <c r="Z40"/>
      <c r="AA40"/>
      <c r="AB40" s="6">
        <v>9.2256683856248856E-3</v>
      </c>
      <c r="AC40" s="6">
        <v>6.9909514859318733E-3</v>
      </c>
      <c r="AD40" s="6">
        <v>1.9551857840269804E-3</v>
      </c>
      <c r="AE40"/>
      <c r="AF40" s="6">
        <v>1.9061405211687088E-2</v>
      </c>
      <c r="AG40"/>
      <c r="AH40" s="6">
        <v>0.13368523120880127</v>
      </c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ht="15" customHeight="true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ht="15" customHeight="true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ht="15" customHeight="true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ht="15" customHeight="true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ht="15" customHeight="true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ht="15" customHeight="true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ht="15" customHeight="true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ht="15" customHeight="true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ht="15" customHeight="true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ht="15" customHeight="true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ht="15" customHeight="true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ht="15" customHeight="true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ht="15" customHeight="true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ht="15" customHeight="true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ht="15" customHeight="true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ht="15" customHeight="true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ht="15" customHeight="true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ht="15" customHeight="true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ht="15" customHeight="true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ht="15" customHeight="true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ht="15" customHeight="true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ht="15" customHeight="true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ht="15" customHeight="true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ht="15" customHeight="true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ht="15" customHeight="true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ht="15" customHeight="true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ht="15" customHeight="true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ht="15" customHeight="true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ht="15" customHeight="true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ht="15" customHeight="true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ht="15" customHeight="true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ht="15" customHeight="true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ht="15" customHeight="true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ht="15" customHeight="true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ht="15" customHeight="true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ht="15" customHeight="true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ht="15" customHeight="true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ht="15" customHeight="true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ht="15" customHeight="true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ht="15" customHeight="true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ht="15" customHeight="true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ht="15" customHeight="true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ht="15" customHeight="true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ht="15" customHeight="true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ht="15" customHeight="true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ht="15" customHeight="true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ht="15" customHeight="true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ht="15" customHeight="true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ht="15" customHeight="true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ht="15" customHeight="true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ht="15" customHeight="true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ht="15" customHeight="true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ht="15" customHeight="true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ht="15" customHeight="true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ht="15" customHeight="true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ht="15" customHeight="true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ht="15" customHeight="true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ht="15" customHeight="true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ht="15" customHeight="true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ht="15" customHeight="true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ht="15" customHeight="true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ht="15" customHeight="true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ht="15" customHeight="true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ht="15" customHeight="true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ht="15" customHeight="true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ht="15" customHeight="true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ht="15" customHeight="true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ht="15" customHeight="true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ht="15" customHeight="true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ht="15" customHeight="true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ht="15" customHeight="true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ht="15" customHeight="true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ht="15" customHeight="true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ht="15" customHeight="true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ht="15" customHeight="true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ht="15" customHeight="true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ht="15" customHeight="true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ht="15" customHeight="true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ht="15" customHeight="true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ht="15" customHeight="true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ht="15" customHeight="true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ht="15" customHeight="true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ht="15" customHeight="true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ht="15" customHeight="true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ht="15" customHeight="true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ht="15" customHeight="true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ht="15" customHeight="true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ht="15" customHeight="true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ht="15" customHeight="true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ht="15" customHeight="true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ht="15" customHeight="true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ht="15" customHeight="true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ht="15" customHeight="true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ht="15" customHeight="true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ht="15" customHeight="true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ht="15" customHeight="true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ht="15" customHeight="true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ht="15" customHeight="true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ht="15" customHeight="true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ht="15" customHeight="true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ht="15" customHeight="true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ht="15" customHeight="true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ht="15" customHeight="true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ht="15" customHeight="true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ht="15" customHeight="true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ht="15" customHeight="true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ht="15" customHeight="true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ht="15" customHeight="true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ht="15" customHeight="true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ht="15" customHeight="true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ht="15" customHeight="true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ht="15" customHeight="true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ht="15" customHeight="true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ht="15" customHeight="true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ht="15" customHeight="true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ht="15" customHeight="true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ht="15" customHeight="true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ht="15" customHeight="true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ht="15" customHeight="true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ht="15" customHeight="true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ht="15" customHeight="true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ht="15" customHeight="true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ht="15" customHeight="true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ht="15" customHeight="true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ht="15" customHeight="true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ht="15" customHeight="true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ht="15" customHeight="true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ht="15" customHeight="true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ht="15" customHeight="true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ht="15" customHeight="true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ht="15" customHeight="true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ht="15" customHeight="true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ht="15" customHeight="true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ht="15" customHeight="true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ht="15" customHeight="true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ht="15" customHeight="true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ht="15" customHeight="true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ht="15" customHeight="true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ht="15" customHeight="true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ht="15" customHeight="true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ht="15" customHeight="true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ht="15" customHeight="true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ht="15" customHeight="true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ht="15" customHeight="true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ht="15" customHeight="true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ht="15" customHeight="true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ht="15" customHeight="true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ht="15" customHeight="true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ht="15" customHeight="true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ht="15" customHeight="true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ht="15" customHeight="true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ht="15" customHeight="true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ht="15" customHeight="true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ht="15" customHeight="true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ht="15" customHeight="true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ht="15" customHeight="true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ht="15" customHeight="true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ht="15" customHeight="true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ht="15" customHeight="true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ht="15" customHeight="true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ht="15" customHeight="true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ht="15" customHeight="true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ht="15" customHeight="true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ht="15" customHeight="true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ht="15" customHeight="true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ht="15" customHeight="true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ht="15" customHeight="true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ht="15" customHeight="true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ht="15" customHeight="true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ht="15" customHeight="true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ht="15" customHeight="true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ht="15" customHeight="true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ht="15" customHeight="true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ht="15" customHeight="true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ht="15" customHeight="true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ht="15" customHeight="true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ht="15" customHeight="true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ht="15" customHeight="true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ht="15" customHeight="true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ht="15" customHeight="true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ht="15" customHeight="true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ht="15" customHeight="true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ht="15" customHeight="true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ht="15" customHeight="true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ht="15" customHeight="true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ht="15" customHeight="true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ht="15" customHeight="true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ht="15" customHeight="true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ht="15" customHeight="true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ht="15" customHeight="true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ht="15" customHeight="true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ht="15" customHeight="true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ht="15" customHeight="true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ht="15" customHeight="true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ht="15" customHeight="true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ht="15" customHeight="true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ht="15" customHeight="true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ht="15" customHeight="true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ht="15" customHeight="true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ht="15" customHeight="true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ht="15" customHeight="true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ht="15" customHeight="true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ht="15" customHeight="true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ht="15" customHeight="true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ht="15" customHeight="true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ht="15" customHeight="true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ht="15" customHeight="true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ht="15" customHeight="true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ht="15" customHeight="true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ht="15" customHeight="true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ht="15" customHeight="true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ht="15" customHeight="true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ht="15" customHeight="true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ht="15" customHeight="true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ht="15" customHeight="true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ht="15" customHeight="true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ht="15" customHeight="true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ht="15" customHeight="true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ht="15" customHeight="true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ht="15" customHeight="true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ht="15" customHeight="true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ht="15" customHeight="true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ht="15" customHeight="true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ht="15" customHeight="true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ht="15" customHeight="true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ht="15" customHeight="true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ht="15" customHeight="true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ht="15" customHeight="true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ht="15" customHeight="true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ht="15" customHeight="true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ht="15" customHeight="true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ht="15" customHeight="true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ht="15" customHeight="true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ht="15" customHeight="true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ht="15" customHeight="true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ht="15" customHeight="true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ht="15" customHeight="true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ht="15" customHeight="true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ht="15" customHeight="true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ht="15" customHeight="true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ht="15" customHeight="true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ht="15" customHeight="true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ht="15" customHeight="true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ht="15" customHeight="true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ht="15" customHeight="true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ht="15" customHeight="true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ht="15" customHeight="true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ht="15" customHeight="true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ht="15" customHeight="true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ht="15" customHeight="true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ht="15" customHeight="true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ht="15" customHeight="true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ht="15" customHeight="true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ht="15" customHeight="true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ht="15" customHeight="true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ht="15" customHeight="true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ht="15" customHeight="true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ht="15" customHeight="true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ht="15" customHeight="true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ht="15" customHeight="true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ht="15" customHeight="true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ht="15" customHeight="true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ht="15" customHeight="true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ht="15" customHeight="true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ht="15" customHeight="true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ht="15" customHeight="true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ht="15" customHeight="true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ht="15" customHeight="true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ht="15" customHeight="true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ht="15" customHeight="true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ht="15" customHeight="true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ht="15" customHeight="true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ht="15" customHeight="true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ht="15" customHeight="true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ht="15" customHeight="true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ht="15" customHeight="true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ht="15" customHeight="true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ht="15" customHeight="true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ht="15" customHeight="true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ht="15" customHeight="true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ht="15" customHeight="true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ht="15" customHeight="true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ht="15" customHeight="true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ht="15" customHeight="true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ht="15" customHeight="true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ht="15" customHeight="true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ht="15" customHeight="true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ht="15" customHeight="true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ht="15" customHeight="true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ht="15" customHeight="true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ht="15" customHeight="true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ht="15" customHeight="true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ht="15" customHeight="true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ht="15" customHeight="true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ht="15" customHeight="true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ht="15" customHeight="true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ht="15" customHeight="true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ht="15" customHeight="true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ht="15" customHeight="true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ht="15" customHeight="true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ht="15" customHeight="true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ht="15" customHeight="true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ht="15" customHeight="true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ht="15" customHeight="true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ht="15" customHeight="true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ht="15" customHeight="true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ht="15" customHeight="true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ht="15" customHeight="true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ht="15" customHeight="true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ht="15" customHeight="true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ht="15" customHeight="true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ht="15" customHeight="true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ht="15" customHeight="true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ht="15" customHeight="true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ht="15" customHeight="true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ht="15" customHeight="true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ht="15" customHeight="true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ht="15" customHeight="true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ht="15" customHeight="true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ht="15" customHeight="true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ht="15" customHeight="true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ht="15" customHeight="true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ht="15" customHeight="true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ht="15" customHeight="true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ht="15" customHeight="true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ht="15" customHeight="true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ht="15" customHeight="true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ht="15" customHeight="true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ht="15" customHeight="true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ht="15" customHeight="true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ht="15" customHeight="true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ht="15" customHeight="true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ht="15" customHeight="true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ht="15" customHeight="true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ht="15" customHeight="true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ht="15" customHeight="true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ht="15" customHeight="true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ht="15" customHeight="true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ht="15" customHeight="true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ht="15" customHeight="true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ht="15" customHeight="true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ht="15" customHeight="true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ht="15" customHeight="true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ht="15" customHeight="true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ht="15" customHeight="true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ht="15" customHeight="true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ht="15" customHeight="true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ht="15" customHeight="true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ht="15" customHeight="true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ht="15" customHeight="true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ht="15" customHeight="true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ht="15" customHeight="true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ht="15" customHeight="true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ht="15" customHeight="true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ht="15" customHeight="true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ht="15" customHeight="true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ht="15" customHeight="true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ht="15" customHeight="true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ht="15" customHeight="true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ht="15" customHeight="true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ht="15" customHeight="true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ht="15" customHeight="true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ht="15" customHeight="true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ht="15" customHeight="true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ht="15" customHeight="true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ht="15" customHeight="true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ht="15" customHeight="true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ht="15" customHeight="true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ht="15" customHeight="true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ht="15" customHeight="true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ht="15" customHeight="true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ht="15" customHeight="true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ht="15" customHeight="true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ht="15" customHeight="true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ht="15" customHeight="true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ht="15" customHeight="true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ht="15" customHeight="true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ht="15" customHeight="true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ht="15" customHeight="true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ht="15" customHeight="true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ht="15" customHeight="true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ht="15" customHeight="true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ht="15" customHeight="true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ht="15" customHeight="true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ht="15" customHeight="true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ht="15" customHeight="true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ht="15" customHeight="true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ht="15" customHeight="true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ht="15" customHeight="true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ht="15" customHeight="true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ht="15" customHeight="true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ht="15" customHeight="true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ht="15" customHeight="true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ht="15" customHeight="true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ht="15" customHeight="true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ht="15" customHeight="true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ht="15" customHeight="true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ht="15" customHeight="true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ht="15" customHeight="true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ht="15" customHeight="true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ht="15" customHeight="true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ht="15" customHeight="true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ht="15" customHeight="true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ht="15" customHeight="true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ht="15" customHeight="true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ht="15" customHeight="true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ht="15" customHeight="true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ht="15" customHeight="true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ht="15" customHeight="true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ht="15" customHeight="true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ht="15" customHeight="true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ht="15" customHeight="true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ht="15" customHeight="true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ht="15" customHeight="true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ht="15" customHeight="true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ht="15" customHeight="true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ht="15" customHeight="true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ht="15" customHeight="true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ht="15" customHeight="true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ht="15" customHeight="true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ht="15" customHeight="true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ht="15" customHeight="true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ht="15" customHeight="true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ht="15" customHeight="true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ht="15" customHeight="true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ht="15" customHeight="true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ht="15" customHeight="true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ht="15" customHeight="true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ht="15" customHeight="true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ht="15" customHeight="true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ht="15" customHeight="true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ht="15" customHeight="true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ht="15" customHeight="true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ht="15" customHeight="true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ht="15" customHeight="true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ht="15" customHeight="true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ht="15" customHeight="true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ht="15" customHeight="true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ht="15" customHeight="true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ht="15" customHeight="true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ht="15" customHeight="true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ht="15" customHeight="true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ht="15" customHeight="true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ht="15" customHeight="true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ht="15" customHeight="true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ht="15" customHeight="true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ht="15" customHeight="true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ht="15" customHeight="true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ht="15" customHeight="true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ht="15" customHeight="true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ht="15" customHeight="true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ht="15" customHeight="true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ht="15" customHeight="true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ht="15" customHeight="true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ht="15" customHeight="true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ht="15" customHeight="true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ht="15" customHeight="true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ht="15" customHeight="true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ht="15" customHeight="true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ht="15" customHeight="true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C3" sqref="C3"/>
    </sheetView>
  </sheetViews>
  <sheetFormatPr baseColWidth="10" defaultRowHeight="16" x14ac:dyDescent="0.2"/>
  <cols>
    <col min="1" max="1" width="33.6640625" bestFit="true" customWidth="true"/>
    <col min="2" max="2" width="5.85546875" customWidth="true"/>
    <col min="3" max="3" width="9" style="3" customWidth="true"/>
    <col min="4" max="4" width="31" style="75" bestFit="true" customWidth="true"/>
    <col min="5" max="5" width="13.83203125" style="75" bestFit="true" customWidth="true"/>
    <col min="6" max="6" width="6.42578125" style="75" bestFit="true" customWidth="true"/>
    <col min="7" max="7" width="15.33203125" style="75" bestFit="true" customWidth="true"/>
    <col min="8" max="8" width="31" style="75" bestFit="true" customWidth="true"/>
    <col min="9" max="9" width="10.83203125" style="75"/>
    <col min="10" max="10" width="18" bestFit="true" customWidth="true"/>
    <col min="11" max="11" width="14" bestFit="true" customWidth="true"/>
    <col min="15" max="15" width="14.33203125" bestFit="true" customWidth="true"/>
    <col min="16" max="16" width="39.83203125" bestFit="true" customWidth="true"/>
  </cols>
  <sheetData>
    <row r="1" s="1" customFormat="true" ht="17" thickBot="true" x14ac:dyDescent="0.25">
      <c r="C1" s="50"/>
      <c r="D1" s="74" t="s">
        <v>32</v>
      </c>
      <c r="E1" s="74" t="s">
        <v>33</v>
      </c>
      <c r="F1" s="74" t="s">
        <v>34</v>
      </c>
      <c r="G1" s="74" t="s">
        <v>35</v>
      </c>
      <c r="H1" s="74" t="s">
        <v>36</v>
      </c>
      <c r="I1" s="74"/>
      <c r="J1" s="1" t="s">
        <v>131</v>
      </c>
      <c r="K1" s="1" t="s">
        <v>132</v>
      </c>
      <c r="L1" s="56" t="s">
        <v>171</v>
      </c>
    </row>
    <row r="2" ht="13" x14ac:dyDescent="0.15">
      <c r="A2" s="1" t="s">
        <v>37</v>
      </c>
      <c r="B2" s="36">
        <v>3</v>
      </c>
      <c r="C2" s="34"/>
      <c r="D2" t="s">
        <v>38</v>
      </c>
      <c r="E2" s="145">
        <v>1</v>
      </c>
      <c r="F2">
        <v>1</v>
      </c>
      <c r="G2" s="145">
        <v>1</v>
      </c>
      <c r="H2" t="s">
        <v>38</v>
      </c>
      <c r="I2"/>
      <c r="J2" s="51"/>
      <c r="K2" s="76"/>
      <c r="L2" s="56" t="s">
        <v>172</v>
      </c>
    </row>
    <row r="3" ht="14" thickBot="true" x14ac:dyDescent="0.2">
      <c r="A3" s="1" t="s">
        <v>39</v>
      </c>
      <c r="B3" s="37">
        <v>0</v>
      </c>
      <c r="C3" s="34"/>
      <c r="D3" t="s">
        <v>40</v>
      </c>
      <c r="E3" s="145">
        <v>2</v>
      </c>
      <c r="F3">
        <v>1.1000000000000001</v>
      </c>
      <c r="G3" s="145">
        <v>2</v>
      </c>
      <c r="H3" t="s">
        <v>40</v>
      </c>
      <c r="I3"/>
      <c r="J3" s="52"/>
      <c r="K3" s="53"/>
    </row>
    <row r="4" ht="13" x14ac:dyDescent="0.15">
      <c r="D4" t="s">
        <v>41</v>
      </c>
      <c r="E4" s="145">
        <v>3</v>
      </c>
      <c r="F4">
        <v>1.2</v>
      </c>
      <c r="G4" s="145">
        <v>3</v>
      </c>
      <c r="H4" t="s">
        <v>41</v>
      </c>
      <c r="I4"/>
      <c r="J4" s="52"/>
      <c r="K4" s="53"/>
    </row>
    <row r="5" x14ac:dyDescent="0.2">
      <c r="D5" t="s">
        <v>182</v>
      </c>
      <c r="E5" s="145">
        <v>4</v>
      </c>
      <c r="F5" s="75">
        <v>2.1200000000000001</v>
      </c>
      <c r="G5" s="145">
        <v>4</v>
      </c>
      <c r="H5" t="s">
        <v>182</v>
      </c>
      <c r="I5"/>
      <c r="J5" s="52"/>
      <c r="K5" s="53"/>
    </row>
    <row r="6" ht="17" thickBot="true" x14ac:dyDescent="0.25">
      <c r="A6" s="38" t="s">
        <v>122</v>
      </c>
      <c r="D6" t="s">
        <v>183</v>
      </c>
      <c r="E6" s="145">
        <v>5</v>
      </c>
      <c r="F6" s="75">
        <v>2.1200000000000001</v>
      </c>
      <c r="G6" s="145">
        <v>5</v>
      </c>
      <c r="H6" t="s">
        <v>183</v>
      </c>
      <c r="I6"/>
      <c r="J6" s="52"/>
      <c r="K6" s="53"/>
    </row>
    <row r="7" x14ac:dyDescent="0.2">
      <c r="A7" s="33" t="s">
        <v>127</v>
      </c>
      <c r="B7" s="40">
        <v>1</v>
      </c>
      <c r="C7" s="35"/>
      <c r="D7" t="s">
        <v>184</v>
      </c>
      <c r="E7" s="145">
        <v>6</v>
      </c>
      <c r="F7" s="75">
        <v>3.1110000000000002</v>
      </c>
      <c r="G7" s="145">
        <v>6</v>
      </c>
      <c r="H7" t="s">
        <v>184</v>
      </c>
      <c r="I7"/>
      <c r="J7" s="52"/>
      <c r="K7" s="53"/>
    </row>
    <row r="8" x14ac:dyDescent="0.2">
      <c r="A8" s="33" t="s">
        <v>38</v>
      </c>
      <c r="B8" s="41">
        <v>1</v>
      </c>
      <c r="C8" s="35"/>
      <c r="D8" t="s">
        <v>185</v>
      </c>
      <c r="E8" s="145">
        <v>7</v>
      </c>
      <c r="F8" s="75">
        <v>3.1099999999999999</v>
      </c>
      <c r="G8" s="145">
        <v>7</v>
      </c>
      <c r="H8" t="s">
        <v>185</v>
      </c>
      <c r="I8"/>
      <c r="J8" s="52"/>
      <c r="K8" s="53"/>
    </row>
    <row r="9" x14ac:dyDescent="0.2">
      <c r="A9" s="33" t="s">
        <v>40</v>
      </c>
      <c r="B9" s="41">
        <v>1.1000000000000001</v>
      </c>
      <c r="C9" s="35"/>
      <c r="D9" t="s">
        <v>186</v>
      </c>
      <c r="E9" s="145">
        <v>8</v>
      </c>
      <c r="F9" s="75">
        <v>3.1099999999999999</v>
      </c>
      <c r="G9" s="145">
        <v>8</v>
      </c>
      <c r="H9" t="s">
        <v>186</v>
      </c>
      <c r="I9"/>
      <c r="J9" s="52"/>
      <c r="K9" s="53"/>
    </row>
    <row r="10" x14ac:dyDescent="0.2">
      <c r="A10" s="33" t="s">
        <v>41</v>
      </c>
      <c r="B10" s="41">
        <v>1.2</v>
      </c>
      <c r="C10" s="35"/>
      <c r="D10" t="s">
        <v>187</v>
      </c>
      <c r="E10" s="145">
        <v>9</v>
      </c>
      <c r="F10" s="75">
        <v>3.1099999999999999</v>
      </c>
      <c r="G10" s="145">
        <v>9</v>
      </c>
      <c r="H10" t="s">
        <v>187</v>
      </c>
      <c r="I10"/>
      <c r="J10" s="52"/>
      <c r="K10" s="53"/>
    </row>
    <row r="11" ht="12" customHeight="true" x14ac:dyDescent="0.2">
      <c r="A11" s="39" t="s">
        <v>128</v>
      </c>
      <c r="B11" s="41">
        <v>2</v>
      </c>
      <c r="C11" s="35"/>
      <c r="D11" s="201" t="s">
        <v>188</v>
      </c>
      <c r="E11" s="145">
        <v>10</v>
      </c>
      <c r="F11" s="75">
        <v>3.1099999999999999</v>
      </c>
      <c r="G11" s="145">
        <v>10</v>
      </c>
      <c r="H11" s="201" t="s">
        <v>188</v>
      </c>
      <c r="I11"/>
      <c r="J11" s="52"/>
      <c r="K11" s="53"/>
    </row>
    <row r="12" x14ac:dyDescent="0.2">
      <c r="A12" s="33" t="s">
        <v>42</v>
      </c>
      <c r="B12" s="41">
        <v>2.1200000000000001</v>
      </c>
      <c r="C12" s="35"/>
      <c r="D12" t="s">
        <v>190</v>
      </c>
      <c r="E12" s="145">
        <v>11</v>
      </c>
      <c r="F12" s="75">
        <v>3.21</v>
      </c>
      <c r="G12" s="145">
        <v>11</v>
      </c>
      <c r="H12" t="s">
        <v>190</v>
      </c>
      <c r="I12"/>
      <c r="J12" s="52"/>
      <c r="K12" s="53"/>
    </row>
    <row r="13" x14ac:dyDescent="0.2">
      <c r="A13" s="33" t="s">
        <v>43</v>
      </c>
      <c r="B13" s="41">
        <v>2.1099999999999999</v>
      </c>
      <c r="C13" s="35"/>
      <c r="D13" t="s">
        <v>191</v>
      </c>
      <c r="E13" s="145">
        <v>12</v>
      </c>
      <c r="F13" s="75">
        <v>3.1400000000000001</v>
      </c>
      <c r="G13" s="145">
        <v>12</v>
      </c>
      <c r="H13" t="s">
        <v>191</v>
      </c>
      <c r="I13"/>
      <c r="J13" s="52"/>
      <c r="K13" s="53"/>
    </row>
    <row r="14" x14ac:dyDescent="0.2">
      <c r="A14" s="33" t="s">
        <v>68</v>
      </c>
      <c r="B14" s="41">
        <v>2.2200000000000002</v>
      </c>
      <c r="C14" s="35"/>
      <c r="D14" t="s">
        <v>192</v>
      </c>
      <c r="E14" s="145">
        <v>13</v>
      </c>
      <c r="F14" s="75">
        <v>3.1400000000000001</v>
      </c>
      <c r="G14" s="145">
        <v>13</v>
      </c>
      <c r="H14" t="s">
        <v>192</v>
      </c>
      <c r="I14"/>
      <c r="J14" s="52"/>
      <c r="K14" s="53"/>
    </row>
    <row r="15" x14ac:dyDescent="0.2">
      <c r="A15" s="39" t="s">
        <v>129</v>
      </c>
      <c r="B15" s="41">
        <v>3</v>
      </c>
      <c r="C15" s="35"/>
      <c r="D15" t="s">
        <v>194</v>
      </c>
      <c r="E15" s="145">
        <v>14</v>
      </c>
      <c r="F15" s="75">
        <v>3.1400000000000001</v>
      </c>
      <c r="G15" s="145">
        <v>14</v>
      </c>
      <c r="H15" t="s">
        <v>194</v>
      </c>
      <c r="I15"/>
      <c r="J15" s="52"/>
      <c r="K15" s="53"/>
    </row>
    <row r="16" x14ac:dyDescent="0.2">
      <c r="A16" s="33" t="s">
        <v>63</v>
      </c>
      <c r="B16" s="41">
        <v>3.1099999999999999</v>
      </c>
      <c r="C16" s="35"/>
      <c r="D16" t="s">
        <v>195</v>
      </c>
      <c r="E16" s="145">
        <v>15</v>
      </c>
      <c r="F16" s="75">
        <v>3.1299999999999999</v>
      </c>
      <c r="G16" s="145">
        <v>15</v>
      </c>
      <c r="H16" t="s">
        <v>195</v>
      </c>
      <c r="I16"/>
      <c r="J16" s="52"/>
      <c r="K16" s="53"/>
    </row>
    <row r="17" x14ac:dyDescent="0.2">
      <c r="A17" s="33" t="s">
        <v>62</v>
      </c>
      <c r="B17" s="41">
        <v>3.1400000000000001</v>
      </c>
      <c r="C17" s="35"/>
      <c r="D17" t="s">
        <v>196</v>
      </c>
      <c r="E17" s="145">
        <v>16</v>
      </c>
      <c r="F17" s="75">
        <v>3.1299999999999999</v>
      </c>
      <c r="G17" s="145">
        <v>16</v>
      </c>
      <c r="H17" t="s">
        <v>196</v>
      </c>
      <c r="I17"/>
      <c r="J17" s="52"/>
      <c r="K17" s="53"/>
    </row>
    <row r="18" x14ac:dyDescent="0.2">
      <c r="A18" s="33" t="s">
        <v>69</v>
      </c>
      <c r="B18" s="41">
        <v>3.1600000000000001</v>
      </c>
      <c r="C18" s="35"/>
      <c r="D18" t="s">
        <v>197</v>
      </c>
      <c r="E18" s="145">
        <v>17</v>
      </c>
      <c r="F18" s="75">
        <v>3.1000000000000001</v>
      </c>
      <c r="G18" s="145">
        <v>17</v>
      </c>
      <c r="H18" t="s">
        <v>197</v>
      </c>
      <c r="I18"/>
      <c r="J18" s="52"/>
      <c r="K18" s="53"/>
    </row>
    <row r="19" x14ac:dyDescent="0.2">
      <c r="A19" s="33" t="s">
        <v>67</v>
      </c>
      <c r="B19" s="41">
        <v>3.21</v>
      </c>
      <c r="C19" s="35"/>
      <c r="D19" t="s">
        <v>198</v>
      </c>
      <c r="E19" s="145">
        <v>18</v>
      </c>
      <c r="F19" s="75">
        <v>3.1400000000000001</v>
      </c>
      <c r="G19" s="145">
        <v>18</v>
      </c>
      <c r="H19" t="s">
        <v>198</v>
      </c>
      <c r="I19"/>
      <c r="J19" s="52"/>
      <c r="K19" s="53"/>
    </row>
    <row r="20" x14ac:dyDescent="0.2">
      <c r="A20" s="33" t="s">
        <v>64</v>
      </c>
      <c r="B20" s="41">
        <v>3.2400000000000002</v>
      </c>
      <c r="C20" s="35"/>
      <c r="D20" t="s">
        <v>199</v>
      </c>
      <c r="E20" s="145">
        <v>19</v>
      </c>
      <c r="F20" s="75">
        <v>3.1400000000000001</v>
      </c>
      <c r="G20" s="145">
        <v>19</v>
      </c>
      <c r="H20" t="s">
        <v>199</v>
      </c>
      <c r="I20"/>
      <c r="J20" s="52"/>
      <c r="K20" s="53"/>
    </row>
    <row r="21" ht="17" thickBot="true" x14ac:dyDescent="0.25">
      <c r="A21" s="33" t="s">
        <v>70</v>
      </c>
      <c r="B21" s="41">
        <v>3.2599999999999998</v>
      </c>
      <c r="C21" s="35"/>
      <c r="D21" t="s">
        <v>200</v>
      </c>
      <c r="E21" s="145">
        <v>20</v>
      </c>
      <c r="F21" s="75">
        <v>3.1400000000000001</v>
      </c>
      <c r="G21" s="145">
        <v>20</v>
      </c>
      <c r="H21" t="s">
        <v>200</v>
      </c>
      <c r="I21"/>
      <c r="J21" s="54"/>
      <c r="K21" s="55"/>
      <c r="L21" s="56" t="s">
        <v>153</v>
      </c>
    </row>
    <row r="22" x14ac:dyDescent="0.2">
      <c r="A22" s="33" t="s">
        <v>65</v>
      </c>
      <c r="B22" s="41">
        <v>8</v>
      </c>
      <c r="C22" s="35"/>
      <c r="D22" t="s">
        <v>201</v>
      </c>
      <c r="E22" s="145">
        <v>21</v>
      </c>
      <c r="F22" s="75">
        <v>3.1400000000000001</v>
      </c>
      <c r="G22" s="145">
        <v>21</v>
      </c>
      <c r="H22" t="s">
        <v>201</v>
      </c>
      <c r="I22"/>
    </row>
    <row r="23" x14ac:dyDescent="0.2">
      <c r="A23" s="33" t="s">
        <v>130</v>
      </c>
      <c r="B23" s="41">
        <v>4</v>
      </c>
      <c r="C23" s="35"/>
      <c r="D23" t="s">
        <v>202</v>
      </c>
      <c r="E23" s="145">
        <v>22</v>
      </c>
      <c r="F23" s="75">
        <v>3.1400000000000001</v>
      </c>
      <c r="G23" s="145">
        <v>22</v>
      </c>
      <c r="H23" t="s">
        <v>202</v>
      </c>
      <c r="I23"/>
    </row>
    <row r="24" x14ac:dyDescent="0.2">
      <c r="A24" s="33" t="s">
        <v>123</v>
      </c>
      <c r="B24" s="41">
        <v>4.0999999999999996</v>
      </c>
      <c r="C24" s="35"/>
      <c r="D24" t="s">
        <v>203</v>
      </c>
      <c r="E24" s="145">
        <v>23</v>
      </c>
      <c r="F24" s="75">
        <v>3.1400000000000001</v>
      </c>
      <c r="G24" s="145">
        <v>23</v>
      </c>
      <c r="H24" t="s">
        <v>203</v>
      </c>
      <c r="I24"/>
    </row>
    <row r="25" x14ac:dyDescent="0.2">
      <c r="A25" s="33" t="s">
        <v>71</v>
      </c>
      <c r="B25" s="41">
        <v>4.2000000000000002</v>
      </c>
      <c r="C25" s="35"/>
      <c r="D25" t="s">
        <v>204</v>
      </c>
      <c r="E25" s="145">
        <v>24</v>
      </c>
      <c r="F25" s="75">
        <v>3.2400000000000002</v>
      </c>
      <c r="G25" s="145">
        <v>24</v>
      </c>
      <c r="H25" t="s">
        <v>204</v>
      </c>
      <c r="I25"/>
    </row>
    <row r="26" x14ac:dyDescent="0.2">
      <c r="A26" s="33" t="s">
        <v>124</v>
      </c>
      <c r="B26" s="41">
        <v>4.2999999999999998</v>
      </c>
      <c r="C26" s="35"/>
      <c r="D26" t="s">
        <v>205</v>
      </c>
      <c r="E26" s="145">
        <v>25</v>
      </c>
      <c r="F26" s="75">
        <v>3.2400000000000002</v>
      </c>
      <c r="G26" s="145">
        <v>25</v>
      </c>
      <c r="H26" t="s">
        <v>205</v>
      </c>
      <c r="I26"/>
    </row>
    <row r="27" x14ac:dyDescent="0.2">
      <c r="A27" s="33" t="s">
        <v>126</v>
      </c>
      <c r="B27" s="41">
        <v>6.0999999999999996</v>
      </c>
      <c r="D27" t="s">
        <v>207</v>
      </c>
      <c r="E27" s="145">
        <v>26</v>
      </c>
      <c r="F27" s="75">
        <v>3.2400000000000002</v>
      </c>
      <c r="G27" s="145">
        <v>26</v>
      </c>
      <c r="H27" t="s">
        <v>207</v>
      </c>
      <c r="I27"/>
    </row>
    <row r="28" x14ac:dyDescent="0.2">
      <c r="A28" s="33" t="s">
        <v>125</v>
      </c>
      <c r="B28" s="41">
        <v>6.2000000000000002</v>
      </c>
      <c r="D28" t="s">
        <v>208</v>
      </c>
      <c r="E28" s="145">
        <v>27</v>
      </c>
      <c r="F28" s="75">
        <v>3.2400000000000002</v>
      </c>
      <c r="G28" s="145">
        <v>27</v>
      </c>
      <c r="H28" t="s">
        <v>208</v>
      </c>
      <c r="I28"/>
    </row>
    <row r="29" x14ac:dyDescent="0.2">
      <c r="A29" s="33" t="s">
        <v>44</v>
      </c>
      <c r="B29" s="41">
        <v>5</v>
      </c>
      <c r="D29" t="s">
        <v>209</v>
      </c>
      <c r="E29" s="145">
        <v>28</v>
      </c>
      <c r="F29" s="75">
        <v>3.2400000000000002</v>
      </c>
      <c r="G29" s="145">
        <v>28</v>
      </c>
      <c r="H29" t="s">
        <v>209</v>
      </c>
      <c r="I29"/>
    </row>
    <row r="30" x14ac:dyDescent="0.2">
      <c r="A30" s="33" t="s">
        <v>74</v>
      </c>
      <c r="B30" s="41">
        <v>7</v>
      </c>
      <c r="D30" t="s">
        <v>210</v>
      </c>
      <c r="E30" s="145">
        <v>29</v>
      </c>
      <c r="F30" s="75">
        <v>3.2400000000000002</v>
      </c>
      <c r="G30" s="145">
        <v>29</v>
      </c>
      <c r="H30" t="s">
        <v>210</v>
      </c>
      <c r="I30"/>
    </row>
    <row r="31" ht="16" customHeight="true" x14ac:dyDescent="0.2">
      <c r="A31" s="33" t="s">
        <v>174</v>
      </c>
      <c r="B31" s="41">
        <v>3.1110000000000002</v>
      </c>
      <c r="D31" t="s">
        <v>211</v>
      </c>
      <c r="E31" s="145">
        <v>30</v>
      </c>
      <c r="F31" s="75">
        <v>3.2400000000000002</v>
      </c>
      <c r="G31" s="145">
        <v>30</v>
      </c>
      <c r="H31" t="s">
        <v>211</v>
      </c>
      <c r="I31"/>
    </row>
    <row r="32" ht="12" customHeight="true" thickBot="true" x14ac:dyDescent="0.25">
      <c r="A32" s="39" t="s">
        <v>175</v>
      </c>
      <c r="B32" s="42">
        <v>9</v>
      </c>
      <c r="D32" t="s">
        <v>212</v>
      </c>
      <c r="E32" s="145">
        <v>31</v>
      </c>
      <c r="F32" s="75">
        <v>3.2400000000000002</v>
      </c>
      <c r="G32" s="145">
        <v>31</v>
      </c>
      <c r="H32" t="s">
        <v>212</v>
      </c>
      <c r="I32"/>
    </row>
    <row r="33" customFormat="true" ht="12" customHeight="true" x14ac:dyDescent="0.2">
      <c r="D33" t="s">
        <v>213</v>
      </c>
      <c r="E33" s="145">
        <v>32</v>
      </c>
      <c r="F33" s="75">
        <v>3.2400000000000002</v>
      </c>
      <c r="G33" s="145">
        <v>32</v>
      </c>
      <c r="H33" t="s">
        <v>213</v>
      </c>
    </row>
    <row r="34" customFormat="true" ht="12" customHeight="true" x14ac:dyDescent="0.2">
      <c r="D34" t="s">
        <v>214</v>
      </c>
      <c r="E34" s="145">
        <v>33</v>
      </c>
      <c r="F34" s="75">
        <v>3.04</v>
      </c>
      <c r="G34" s="145">
        <v>33</v>
      </c>
      <c r="H34" t="s">
        <v>214</v>
      </c>
    </row>
    <row r="35" customFormat="true" ht="16" customHeight="true" x14ac:dyDescent="0.2">
      <c r="D35" t="s">
        <v>215</v>
      </c>
      <c r="E35" s="145">
        <v>34</v>
      </c>
      <c r="F35" s="75">
        <v>3.1600000000000001</v>
      </c>
      <c r="G35" s="145">
        <v>34</v>
      </c>
      <c r="H35" t="s">
        <v>215</v>
      </c>
    </row>
    <row r="36" customFormat="true" ht="16" customHeight="true" x14ac:dyDescent="0.2">
      <c r="D36" t="s">
        <v>216</v>
      </c>
      <c r="E36" s="145">
        <v>35</v>
      </c>
      <c r="F36" s="75">
        <v>3.1600000000000001</v>
      </c>
      <c r="G36" s="145">
        <v>35</v>
      </c>
      <c r="H36" t="s">
        <v>216</v>
      </c>
    </row>
    <row r="37" customFormat="true" ht="12" customHeight="true" x14ac:dyDescent="0.2">
      <c r="D37" t="s">
        <v>217</v>
      </c>
      <c r="E37" s="145">
        <v>36</v>
      </c>
      <c r="F37" s="75">
        <v>3.1600000000000001</v>
      </c>
      <c r="G37" s="145">
        <v>36</v>
      </c>
      <c r="H37" t="s">
        <v>217</v>
      </c>
    </row>
    <row r="38" customFormat="true" x14ac:dyDescent="0.2">
      <c r="D38" s="202" t="s">
        <v>218</v>
      </c>
      <c r="E38" s="145">
        <v>37</v>
      </c>
      <c r="F38" s="75">
        <v>3.1499999999999999</v>
      </c>
      <c r="G38" s="145">
        <v>37</v>
      </c>
      <c r="H38" s="202" t="s">
        <v>218</v>
      </c>
    </row>
    <row r="39" customFormat="true" x14ac:dyDescent="0.2">
      <c r="D39" s="202" t="s">
        <v>219</v>
      </c>
      <c r="E39" s="145">
        <v>38</v>
      </c>
      <c r="F39" s="75">
        <v>3.1499999999999999</v>
      </c>
      <c r="G39" s="145">
        <v>38</v>
      </c>
      <c r="H39" s="202" t="s">
        <v>219</v>
      </c>
    </row>
    <row r="40" customFormat="true" x14ac:dyDescent="0.2">
      <c r="D40" t="s">
        <v>221</v>
      </c>
      <c r="E40" s="145">
        <v>39</v>
      </c>
      <c r="F40" s="75">
        <v>8</v>
      </c>
      <c r="G40" s="145">
        <v>39</v>
      </c>
      <c r="H40" t="s">
        <v>221</v>
      </c>
    </row>
    <row r="41" customFormat="true" x14ac:dyDescent="0.2">
      <c r="D41" t="s">
        <v>71</v>
      </c>
      <c r="E41" s="145">
        <v>40</v>
      </c>
      <c r="F41" s="75">
        <v>4.2000000000000002</v>
      </c>
      <c r="G41" s="145">
        <v>40</v>
      </c>
      <c r="H41" t="s">
        <v>71</v>
      </c>
    </row>
    <row r="42" customFormat="true" x14ac:dyDescent="0.2">
      <c r="D42" s="201" t="s">
        <v>72</v>
      </c>
      <c r="E42" s="145">
        <v>41</v>
      </c>
      <c r="F42" s="75">
        <v>4.0999999999999996</v>
      </c>
      <c r="G42" s="145">
        <v>41</v>
      </c>
      <c r="H42" s="201" t="s">
        <v>72</v>
      </c>
      <c r="I42" s="56" t="s">
        <v>179</v>
      </c>
    </row>
    <row r="43" customFormat="true" x14ac:dyDescent="0.2">
      <c r="D43" t="s">
        <v>73</v>
      </c>
      <c r="E43" s="145">
        <v>42</v>
      </c>
      <c r="F43" s="75">
        <v>4.2999999999999998</v>
      </c>
      <c r="G43" s="145">
        <v>42</v>
      </c>
      <c r="H43" t="s">
        <v>73</v>
      </c>
      <c r="I43" s="56" t="s">
        <v>179</v>
      </c>
    </row>
    <row r="44" customFormat="true" x14ac:dyDescent="0.2">
      <c r="D44" s="201" t="s">
        <v>222</v>
      </c>
      <c r="E44" s="145">
        <v>43</v>
      </c>
      <c r="F44" s="75">
        <v>5</v>
      </c>
      <c r="G44" s="145">
        <v>43</v>
      </c>
      <c r="H44" s="201" t="s">
        <v>222</v>
      </c>
      <c r="I44" s="56" t="s">
        <v>180</v>
      </c>
    </row>
    <row r="45" customFormat="true" x14ac:dyDescent="0.2">
      <c r="D45" s="201" t="s">
        <v>223</v>
      </c>
      <c r="E45" s="145">
        <v>44</v>
      </c>
      <c r="F45" s="75">
        <v>5</v>
      </c>
      <c r="G45" s="145">
        <v>44</v>
      </c>
      <c r="H45" s="201" t="s">
        <v>223</v>
      </c>
      <c r="I45" s="56" t="s">
        <v>180</v>
      </c>
    </row>
    <row r="46" customFormat="true" ht="13" x14ac:dyDescent="0.15">
      <c r="D46" t="s">
        <v>139</v>
      </c>
      <c r="E46" s="145">
        <v>45</v>
      </c>
      <c r="F46">
        <v>6.1</v>
      </c>
      <c r="G46" s="145">
        <v>45</v>
      </c>
      <c r="H46" t="s">
        <v>139</v>
      </c>
      <c r="I46" s="56" t="s">
        <v>181</v>
      </c>
    </row>
    <row r="47" customFormat="true" ht="16" customHeight="true" x14ac:dyDescent="0.15">
      <c r="D47" t="s">
        <v>45</v>
      </c>
      <c r="E47" s="145">
        <v>46</v>
      </c>
      <c r="F47">
        <v>6.2</v>
      </c>
      <c r="G47" s="145">
        <v>46</v>
      </c>
      <c r="H47" t="s">
        <v>45</v>
      </c>
      <c r="I47" s="56" t="s">
        <v>181</v>
      </c>
    </row>
    <row r="48" customFormat="true" ht="16" customHeight="true" x14ac:dyDescent="0.15"/>
    <row r="49" ht="16" customHeight="true" x14ac:dyDescent="0.15">
      <c r="C49"/>
      <c r="D49"/>
      <c r="E49"/>
      <c r="F49"/>
      <c r="G49"/>
      <c r="H49"/>
      <c r="I49"/>
    </row>
    <row r="50" ht="12" customHeight="true" x14ac:dyDescent="0.15">
      <c r="C50"/>
      <c r="D50"/>
      <c r="E50"/>
      <c r="F50"/>
      <c r="G50"/>
      <c r="H50"/>
      <c r="I50"/>
    </row>
    <row r="51" ht="16" customHeight="true" x14ac:dyDescent="0.15">
      <c r="C51"/>
      <c r="D51"/>
      <c r="E51"/>
      <c r="F51"/>
      <c r="G51"/>
      <c r="H51"/>
      <c r="I51"/>
    </row>
    <row r="52" ht="12" customHeight="true" x14ac:dyDescent="0.15">
      <c r="C52"/>
      <c r="D52"/>
      <c r="E52"/>
      <c r="F52"/>
      <c r="G52"/>
      <c r="H52"/>
      <c r="I52"/>
    </row>
    <row r="53" ht="16" customHeight="true" x14ac:dyDescent="0.15">
      <c r="C53"/>
      <c r="D53"/>
      <c r="E53"/>
      <c r="F53"/>
      <c r="G53"/>
      <c r="H53"/>
      <c r="I53"/>
    </row>
    <row r="54" ht="12" customHeight="true" x14ac:dyDescent="0.15">
      <c r="C54"/>
      <c r="D54"/>
      <c r="E54"/>
      <c r="F54"/>
      <c r="G54"/>
      <c r="H54"/>
      <c r="I54"/>
    </row>
    <row r="55" ht="12" customHeight="true" x14ac:dyDescent="0.15">
      <c r="C55"/>
      <c r="D55"/>
      <c r="E55"/>
      <c r="F55"/>
      <c r="G55"/>
      <c r="H55"/>
      <c r="I55"/>
    </row>
    <row r="56" ht="16" customHeight="true" x14ac:dyDescent="0.15">
      <c r="C56"/>
      <c r="D56"/>
      <c r="E56"/>
      <c r="F56"/>
      <c r="G56"/>
      <c r="H56"/>
      <c r="I56"/>
    </row>
    <row r="57" ht="16" customHeight="true" x14ac:dyDescent="0.15">
      <c r="C57"/>
      <c r="D57"/>
      <c r="E57"/>
      <c r="F57"/>
      <c r="G57"/>
      <c r="H57"/>
      <c r="I57"/>
    </row>
    <row r="58" ht="13" x14ac:dyDescent="0.15">
      <c r="C58"/>
      <c r="D58"/>
      <c r="E58"/>
      <c r="F58"/>
      <c r="G58"/>
      <c r="H58"/>
      <c r="I58"/>
    </row>
    <row r="59" ht="13" x14ac:dyDescent="0.15">
      <c r="C59"/>
      <c r="D59"/>
      <c r="E59"/>
      <c r="F59"/>
      <c r="G59"/>
      <c r="H59"/>
      <c r="I59"/>
    </row>
    <row r="60" ht="13" x14ac:dyDescent="0.15">
      <c r="C60"/>
      <c r="D60"/>
      <c r="E60"/>
      <c r="F60"/>
      <c r="G60"/>
      <c r="H60"/>
      <c r="I60"/>
    </row>
    <row r="61" ht="13" x14ac:dyDescent="0.15">
      <c r="C61"/>
      <c r="D61"/>
      <c r="E61"/>
      <c r="F61"/>
      <c r="G61"/>
      <c r="H61"/>
      <c r="I61"/>
    </row>
    <row r="62" ht="13" x14ac:dyDescent="0.15">
      <c r="C62"/>
      <c r="D62"/>
      <c r="E62"/>
      <c r="F62"/>
      <c r="G62"/>
      <c r="H62"/>
      <c r="I62"/>
    </row>
    <row r="63" ht="13" x14ac:dyDescent="0.15">
      <c r="C63"/>
      <c r="D63"/>
      <c r="E63"/>
      <c r="F63"/>
      <c r="G63"/>
      <c r="H63"/>
      <c r="I63"/>
    </row>
    <row r="64" ht="13" x14ac:dyDescent="0.15">
      <c r="C64"/>
      <c r="D64"/>
      <c r="E64"/>
      <c r="F64"/>
      <c r="G64"/>
      <c r="H64"/>
      <c r="I64"/>
    </row>
    <row r="65" ht="13" x14ac:dyDescent="0.15">
      <c r="C65"/>
      <c r="D65"/>
      <c r="E65"/>
      <c r="F65"/>
      <c r="G65"/>
      <c r="H65"/>
      <c r="I65"/>
    </row>
    <row r="66" ht="13" x14ac:dyDescent="0.15">
      <c r="C66"/>
      <c r="D66"/>
      <c r="E66"/>
      <c r="F66"/>
      <c r="G66"/>
      <c r="H66"/>
      <c r="I66"/>
    </row>
    <row r="67" ht="13" x14ac:dyDescent="0.15">
      <c r="C67"/>
      <c r="D67"/>
      <c r="E67"/>
      <c r="F67"/>
      <c r="G67"/>
      <c r="H67"/>
      <c r="I67"/>
    </row>
    <row r="68" ht="13" x14ac:dyDescent="0.15">
      <c r="C68"/>
      <c r="D68"/>
      <c r="E68"/>
      <c r="F68"/>
      <c r="G68"/>
      <c r="H68"/>
      <c r="I68"/>
    </row>
    <row r="69" ht="13" x14ac:dyDescent="0.15">
      <c r="C69"/>
      <c r="D69"/>
      <c r="E69"/>
      <c r="F69"/>
      <c r="G69"/>
      <c r="H69"/>
      <c r="I69"/>
    </row>
    <row r="70" ht="13" x14ac:dyDescent="0.15">
      <c r="C70"/>
      <c r="D70"/>
      <c r="E70"/>
      <c r="F70"/>
      <c r="G70"/>
      <c r="H70"/>
      <c r="I70"/>
    </row>
    <row r="71" ht="13" x14ac:dyDescent="0.15">
      <c r="C71"/>
      <c r="D71"/>
      <c r="E71"/>
      <c r="F71"/>
      <c r="G71"/>
      <c r="H71"/>
      <c r="I71"/>
    </row>
    <row r="72" ht="13" x14ac:dyDescent="0.15">
      <c r="C72"/>
      <c r="D72"/>
      <c r="E72"/>
      <c r="F72"/>
      <c r="G72"/>
      <c r="H72"/>
      <c r="I72"/>
    </row>
    <row r="73" ht="13" x14ac:dyDescent="0.15">
      <c r="C73"/>
      <c r="D73"/>
      <c r="E73"/>
      <c r="F73"/>
      <c r="G73"/>
      <c r="H73"/>
      <c r="I73"/>
    </row>
    <row r="74" ht="13" x14ac:dyDescent="0.15">
      <c r="C74"/>
      <c r="D74"/>
      <c r="E74"/>
      <c r="F74"/>
      <c r="G74"/>
      <c r="H74"/>
      <c r="I74"/>
    </row>
    <row r="75" ht="13" x14ac:dyDescent="0.15">
      <c r="C75"/>
      <c r="D75"/>
      <c r="E75"/>
      <c r="F75"/>
      <c r="G75"/>
      <c r="H75"/>
      <c r="I75"/>
    </row>
    <row r="76" ht="13" x14ac:dyDescent="0.15">
      <c r="C76"/>
      <c r="D76"/>
      <c r="E76"/>
      <c r="F76"/>
      <c r="G76"/>
      <c r="H76"/>
      <c r="I76"/>
    </row>
    <row r="77" ht="13" x14ac:dyDescent="0.15">
      <c r="C77"/>
      <c r="D77"/>
      <c r="E77"/>
      <c r="F77"/>
      <c r="G77"/>
      <c r="H77"/>
      <c r="I77"/>
    </row>
    <row r="78" ht="13" x14ac:dyDescent="0.15">
      <c r="C78"/>
      <c r="D78"/>
      <c r="E78"/>
      <c r="F78"/>
      <c r="G78"/>
      <c r="H78"/>
      <c r="I78"/>
    </row>
    <row r="79" ht="13" x14ac:dyDescent="0.15">
      <c r="C79"/>
      <c r="D79"/>
      <c r="E79"/>
      <c r="F79"/>
      <c r="G79"/>
      <c r="H79"/>
      <c r="I79"/>
    </row>
    <row r="80" ht="13" x14ac:dyDescent="0.15">
      <c r="C80"/>
      <c r="D80"/>
      <c r="E80"/>
      <c r="F80"/>
      <c r="G80"/>
      <c r="H80"/>
      <c r="I80"/>
    </row>
    <row r="81" customFormat="true" ht="13" x14ac:dyDescent="0.15"/>
    <row r="82" customFormat="true" ht="13" x14ac:dyDescent="0.15"/>
    <row r="83" customFormat="true" ht="13" x14ac:dyDescent="0.15"/>
    <row r="84" customFormat="true" ht="13" x14ac:dyDescent="0.15"/>
    <row r="85" customFormat="true" ht="13" x14ac:dyDescent="0.15"/>
    <row r="86" customFormat="true" ht="13" x14ac:dyDescent="0.15"/>
    <row r="87" customFormat="true" ht="13" x14ac:dyDescent="0.15"/>
    <row r="88" customFormat="true" ht="13" x14ac:dyDescent="0.15"/>
    <row r="89" customFormat="true" ht="13" x14ac:dyDescent="0.15"/>
    <row r="90" customFormat="true" ht="13" x14ac:dyDescent="0.15"/>
    <row r="91" customFormat="true" ht="13" x14ac:dyDescent="0.15"/>
    <row r="92" customFormat="true" ht="13" x14ac:dyDescent="0.15"/>
    <row r="93" customFormat="true" ht="13" x14ac:dyDescent="0.15"/>
    <row r="94" customFormat="true" ht="13" x14ac:dyDescent="0.15"/>
    <row r="95" customFormat="true" ht="13" x14ac:dyDescent="0.15"/>
    <row r="96" customFormat="true" ht="13" x14ac:dyDescent="0.15"/>
    <row r="97" customFormat="true" ht="13" x14ac:dyDescent="0.15"/>
    <row r="98" customFormat="true" ht="13" x14ac:dyDescent="0.15"/>
    <row r="99" customFormat="true" ht="13" x14ac:dyDescent="0.15"/>
    <row r="100" customFormat="true" ht="13" x14ac:dyDescent="0.15"/>
    <row r="101" customFormat="true" ht="13" x14ac:dyDescent="0.15"/>
    <row r="102" customFormat="true" ht="13" x14ac:dyDescent="0.15"/>
    <row r="103" customFormat="true" ht="13" x14ac:dyDescent="0.15"/>
    <row r="104" customFormat="true" ht="13" x14ac:dyDescent="0.15"/>
    <row r="105" customFormat="true" ht="13" x14ac:dyDescent="0.15"/>
    <row r="106" customFormat="true" ht="13" x14ac:dyDescent="0.15"/>
    <row r="107" customFormat="true" ht="13" x14ac:dyDescent="0.15"/>
    <row r="108" customFormat="true" ht="13" x14ac:dyDescent="0.15"/>
    <row r="109" customFormat="true" ht="13" x14ac:dyDescent="0.15"/>
    <row r="110" customFormat="true" ht="13" x14ac:dyDescent="0.15"/>
    <row r="111" customFormat="true" ht="13" x14ac:dyDescent="0.15"/>
    <row r="112" customFormat="true" ht="13" x14ac:dyDescent="0.15"/>
    <row r="113" customFormat="true" ht="13" x14ac:dyDescent="0.15"/>
    <row r="114" customFormat="true" ht="13" x14ac:dyDescent="0.15"/>
    <row r="115" customFormat="true" ht="13" x14ac:dyDescent="0.15"/>
    <row r="116" customFormat="true" ht="13" x14ac:dyDescent="0.15"/>
    <row r="117" customFormat="true" ht="13" x14ac:dyDescent="0.15"/>
    <row r="118" customFormat="true" ht="13" x14ac:dyDescent="0.15"/>
    <row r="119" customFormat="true" ht="13" x14ac:dyDescent="0.15"/>
    <row r="120" customFormat="true" ht="13" x14ac:dyDescent="0.15"/>
    <row r="121" customFormat="true" ht="13" x14ac:dyDescent="0.15"/>
    <row r="122" customFormat="true" ht="13" x14ac:dyDescent="0.15"/>
    <row r="123" customFormat="true" ht="13" x14ac:dyDescent="0.15"/>
    <row r="124" customFormat="true" ht="13" x14ac:dyDescent="0.15"/>
    <row r="125" customFormat="true" ht="13" x14ac:dyDescent="0.15"/>
    <row r="126" customFormat="true" ht="13" x14ac:dyDescent="0.15"/>
    <row r="127" customFormat="true" ht="13" x14ac:dyDescent="0.15"/>
    <row r="128" customFormat="true" ht="13" x14ac:dyDescent="0.15"/>
    <row r="129" customFormat="true" ht="13" x14ac:dyDescent="0.15"/>
    <row r="130" customFormat="true" ht="13" x14ac:dyDescent="0.15"/>
    <row r="131" customFormat="true" ht="13" x14ac:dyDescent="0.15"/>
    <row r="132" customFormat="true" ht="13" x14ac:dyDescent="0.15"/>
    <row r="133" customFormat="true" ht="13" x14ac:dyDescent="0.15"/>
    <row r="134" customFormat="true" ht="13" x14ac:dyDescent="0.15"/>
    <row r="135" customFormat="true" ht="13" x14ac:dyDescent="0.15"/>
    <row r="136" customFormat="true" ht="13" x14ac:dyDescent="0.15"/>
    <row r="137" customFormat="true" ht="13" x14ac:dyDescent="0.15"/>
    <row r="138" customFormat="true" ht="13" x14ac:dyDescent="0.15"/>
    <row r="139" customFormat="true" ht="13" x14ac:dyDescent="0.15"/>
    <row r="140" customFormat="true" ht="13" x14ac:dyDescent="0.15"/>
    <row r="141" customFormat="true" ht="13" x14ac:dyDescent="0.15"/>
    <row r="142" customFormat="true" ht="13" x14ac:dyDescent="0.15"/>
    <row r="143" customFormat="true" ht="13" x14ac:dyDescent="0.15"/>
    <row r="144" customFormat="true" ht="13" x14ac:dyDescent="0.15"/>
    <row r="145" ht="13" x14ac:dyDescent="0.15">
      <c r="C145"/>
      <c r="D145"/>
      <c r="E145"/>
      <c r="F145"/>
      <c r="G145"/>
      <c r="H145"/>
      <c r="I145"/>
    </row>
    <row r="146" ht="13" x14ac:dyDescent="0.15">
      <c r="C146"/>
      <c r="D146"/>
      <c r="E146"/>
      <c r="F146"/>
      <c r="G146"/>
      <c r="H146"/>
      <c r="I146"/>
    </row>
    <row r="147" ht="13" x14ac:dyDescent="0.15">
      <c r="C147"/>
      <c r="D147"/>
      <c r="E147"/>
      <c r="F147"/>
      <c r="G147"/>
      <c r="H147"/>
      <c r="I147"/>
    </row>
    <row r="148" ht="13" x14ac:dyDescent="0.15">
      <c r="C148"/>
      <c r="D148"/>
      <c r="E148"/>
      <c r="F148"/>
      <c r="G148"/>
      <c r="H148"/>
      <c r="I148"/>
    </row>
    <row r="149" ht="13" x14ac:dyDescent="0.15">
      <c r="C149"/>
      <c r="D149"/>
      <c r="E149"/>
      <c r="F149"/>
      <c r="G149"/>
      <c r="H149"/>
      <c r="I149"/>
    </row>
    <row r="150" ht="13" x14ac:dyDescent="0.15">
      <c r="C150"/>
      <c r="D150"/>
      <c r="E150"/>
      <c r="F150"/>
      <c r="G150"/>
      <c r="H150"/>
      <c r="I150"/>
    </row>
    <row r="151" ht="13" x14ac:dyDescent="0.15">
      <c r="C151"/>
      <c r="D151"/>
      <c r="E151"/>
      <c r="F151"/>
      <c r="G151"/>
      <c r="H151"/>
      <c r="I151"/>
    </row>
    <row r="152" ht="13" x14ac:dyDescent="0.15">
      <c r="C152"/>
      <c r="D152"/>
      <c r="E152"/>
      <c r="F152"/>
      <c r="G152"/>
      <c r="H152"/>
      <c r="I152"/>
    </row>
    <row r="153" ht="13" x14ac:dyDescent="0.15">
      <c r="C153"/>
      <c r="D153"/>
      <c r="E153"/>
      <c r="F153"/>
      <c r="G153"/>
      <c r="H153"/>
      <c r="I153"/>
    </row>
    <row r="154" ht="13" x14ac:dyDescent="0.15">
      <c r="C154"/>
      <c r="D154"/>
      <c r="E154"/>
      <c r="F154"/>
      <c r="G154"/>
      <c r="H154"/>
      <c r="I154"/>
    </row>
    <row r="155" ht="13" x14ac:dyDescent="0.15">
      <c r="C155"/>
      <c r="D155"/>
      <c r="E155"/>
      <c r="F155"/>
      <c r="G155"/>
      <c r="H155"/>
      <c r="I155"/>
    </row>
    <row r="156" ht="13" x14ac:dyDescent="0.15">
      <c r="C156"/>
      <c r="D156"/>
      <c r="E156"/>
      <c r="F156"/>
      <c r="G156"/>
      <c r="H156"/>
      <c r="I156"/>
    </row>
    <row r="157" ht="13" x14ac:dyDescent="0.15">
      <c r="C157"/>
      <c r="D157"/>
      <c r="E157"/>
      <c r="F157"/>
      <c r="G157"/>
      <c r="H157"/>
      <c r="I157"/>
    </row>
    <row r="158" ht="13" x14ac:dyDescent="0.15">
      <c r="C158"/>
      <c r="D158"/>
      <c r="E158"/>
      <c r="F158"/>
      <c r="G158"/>
      <c r="H158"/>
      <c r="I158"/>
    </row>
    <row r="159" ht="13" x14ac:dyDescent="0.15">
      <c r="C159"/>
      <c r="D159"/>
      <c r="E159"/>
      <c r="F159"/>
      <c r="G159"/>
      <c r="H159"/>
      <c r="I159"/>
    </row>
    <row r="160" ht="13" x14ac:dyDescent="0.15">
      <c r="C160"/>
      <c r="D160"/>
      <c r="E160"/>
      <c r="F160"/>
      <c r="G160"/>
      <c r="H160"/>
      <c r="I160"/>
    </row>
    <row r="161" ht="13" x14ac:dyDescent="0.15">
      <c r="C161"/>
      <c r="D161"/>
      <c r="E161"/>
      <c r="F161"/>
      <c r="G161"/>
      <c r="H161"/>
      <c r="I161"/>
    </row>
    <row r="162" ht="13" x14ac:dyDescent="0.15">
      <c r="C162"/>
      <c r="D162"/>
      <c r="E162"/>
      <c r="F162"/>
      <c r="G162"/>
      <c r="H162"/>
      <c r="I162"/>
    </row>
    <row r="163" ht="13" x14ac:dyDescent="0.15">
      <c r="C163"/>
      <c r="D163"/>
      <c r="E163"/>
      <c r="F163"/>
      <c r="G163"/>
      <c r="H163"/>
      <c r="I163"/>
    </row>
    <row r="164" ht="13" x14ac:dyDescent="0.15">
      <c r="C164"/>
      <c r="D164"/>
      <c r="E164"/>
      <c r="F164"/>
      <c r="G164"/>
      <c r="H164"/>
      <c r="I164"/>
    </row>
    <row r="165" ht="13" x14ac:dyDescent="0.15">
      <c r="C165"/>
      <c r="D165"/>
      <c r="E165"/>
      <c r="F165"/>
      <c r="G165"/>
      <c r="H165"/>
      <c r="I165"/>
    </row>
    <row r="166" ht="13" x14ac:dyDescent="0.15">
      <c r="C166"/>
      <c r="D166"/>
      <c r="E166"/>
      <c r="F166"/>
      <c r="G166"/>
      <c r="H166"/>
      <c r="I166"/>
    </row>
    <row r="167" ht="13" x14ac:dyDescent="0.15">
      <c r="C167"/>
      <c r="D167"/>
      <c r="E167"/>
      <c r="F167"/>
      <c r="G167"/>
      <c r="H167"/>
      <c r="I167"/>
    </row>
    <row r="168" ht="13" x14ac:dyDescent="0.15">
      <c r="C168"/>
      <c r="D168"/>
      <c r="E168"/>
      <c r="F168"/>
      <c r="G168"/>
      <c r="H168"/>
      <c r="I168"/>
    </row>
    <row r="169" ht="13" x14ac:dyDescent="0.15">
      <c r="C169"/>
      <c r="D169"/>
      <c r="E169"/>
      <c r="F169"/>
      <c r="G169"/>
      <c r="H169"/>
      <c r="I169"/>
    </row>
    <row r="170" ht="13" x14ac:dyDescent="0.15">
      <c r="C170"/>
      <c r="D170"/>
      <c r="E170"/>
      <c r="F170"/>
      <c r="G170"/>
      <c r="H170"/>
      <c r="I170"/>
    </row>
    <row r="171" ht="13" x14ac:dyDescent="0.15">
      <c r="C171"/>
      <c r="D171"/>
      <c r="E171"/>
      <c r="F171"/>
      <c r="G171"/>
      <c r="H171"/>
      <c r="I171"/>
    </row>
    <row r="172" x14ac:dyDescent="0.2">
      <c r="C172"/>
    </row>
    <row r="173" x14ac:dyDescent="0.2">
      <c r="C173"/>
    </row>
    <row r="174" x14ac:dyDescent="0.2">
      <c r="C174"/>
    </row>
    <row r="175" x14ac:dyDescent="0.2">
      <c r="C175"/>
    </row>
    <row r="176" x14ac:dyDescent="0.2">
      <c r="C176"/>
    </row>
    <row r="177" customFormat="true" x14ac:dyDescent="0.2">
      <c r="D177" s="75"/>
      <c r="E177" s="75"/>
      <c r="F177" s="75"/>
      <c r="G177" s="75"/>
      <c r="H177" s="75"/>
      <c r="I177" s="75"/>
    </row>
    <row r="178" customFormat="true" x14ac:dyDescent="0.2">
      <c r="D178" s="75"/>
      <c r="E178" s="75"/>
      <c r="F178" s="75"/>
      <c r="G178" s="75"/>
      <c r="H178" s="75"/>
      <c r="I178" s="75"/>
    </row>
    <row r="179" customFormat="true" x14ac:dyDescent="0.2">
      <c r="D179" s="75"/>
      <c r="E179" s="75"/>
      <c r="F179" s="75"/>
      <c r="G179" s="75"/>
      <c r="H179" s="75"/>
      <c r="I179" s="75"/>
    </row>
    <row r="180" customFormat="true" x14ac:dyDescent="0.2">
      <c r="D180" s="75"/>
      <c r="E180" s="75"/>
      <c r="F180" s="75"/>
      <c r="G180" s="75"/>
      <c r="H180" s="75"/>
      <c r="I180" s="75"/>
    </row>
    <row r="181" customFormat="true" x14ac:dyDescent="0.2">
      <c r="D181" s="75"/>
      <c r="E181" s="75"/>
      <c r="F181" s="75"/>
      <c r="G181" s="75"/>
      <c r="H181" s="75"/>
      <c r="I181" s="75"/>
    </row>
    <row r="182" customFormat="true" x14ac:dyDescent="0.2">
      <c r="D182" s="75"/>
      <c r="E182" s="75"/>
      <c r="F182" s="75"/>
      <c r="G182" s="75"/>
      <c r="H182" s="75"/>
      <c r="I182" s="75"/>
    </row>
    <row r="183" customFormat="true" x14ac:dyDescent="0.2">
      <c r="D183" s="75"/>
      <c r="E183" s="75"/>
      <c r="F183" s="75"/>
      <c r="G183" s="75"/>
      <c r="H183" s="75"/>
      <c r="I183" s="75"/>
    </row>
    <row r="184" customFormat="true" x14ac:dyDescent="0.2">
      <c r="D184" s="75"/>
      <c r="E184" s="75"/>
      <c r="F184" s="75"/>
      <c r="G184" s="75"/>
      <c r="H184" s="75"/>
      <c r="I184" s="75"/>
    </row>
    <row r="185" customFormat="true" x14ac:dyDescent="0.2">
      <c r="D185" s="75"/>
      <c r="E185" s="75"/>
      <c r="F185" s="75"/>
      <c r="G185" s="75"/>
      <c r="H185" s="75"/>
      <c r="I185" s="75"/>
    </row>
    <row r="186" customFormat="true" x14ac:dyDescent="0.2">
      <c r="D186" s="75"/>
      <c r="E186" s="75"/>
      <c r="F186" s="75"/>
      <c r="G186" s="75"/>
      <c r="H186" s="75"/>
      <c r="I186" s="75"/>
    </row>
    <row r="187" customFormat="true" x14ac:dyDescent="0.2">
      <c r="D187" s="75"/>
      <c r="E187" s="75"/>
      <c r="F187" s="75"/>
      <c r="G187" s="75"/>
      <c r="H187" s="75"/>
      <c r="I187" s="7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213"/>
  <sheetViews>
    <sheetView zoomScale="115" workbookViewId="0">
      <pane ySplit="2" topLeftCell="A35" activePane="bottomLeft" state="frozen"/>
      <selection pane="bottomLeft" activeCell="F3" sqref="F3:F46"/>
    </sheetView>
  </sheetViews>
  <sheetFormatPr baseColWidth="10" defaultColWidth="11.5" defaultRowHeight="15" customHeight="true" x14ac:dyDescent="0.2"/>
  <cols>
    <col min="1" max="1" width="26.1640625" style="99" bestFit="true" customWidth="true"/>
    <col min="2" max="5" width="16.1640625" style="71" customWidth="true"/>
    <col min="6" max="6" width="45.6640625" style="71" bestFit="true" customWidth="true"/>
    <col min="7" max="9" width="11.5" style="71"/>
    <col min="10" max="10" width="12.1640625" style="71" bestFit="true" customWidth="true"/>
    <col min="11" max="11" width="11.5" style="129"/>
    <col min="12" max="12" width="11.5" style="123"/>
    <col min="13" max="13" width="11.5" style="129"/>
    <col min="14" max="14" width="11.5" style="123"/>
    <col min="15" max="15" width="11.5" style="129"/>
    <col min="16" max="16" width="11.5" style="126"/>
    <col min="17" max="17" width="14.83203125" style="71" customWidth="true"/>
    <col min="18" max="18" width="22.1640625" style="96" customWidth="true"/>
    <col min="19" max="16384" width="11.5" style="71"/>
  </cols>
  <sheetData>
    <row r="1" ht="15" customHeight="true" thickBot="true" x14ac:dyDescent="0.25">
      <c r="F1" s="84"/>
      <c r="G1" s="97" t="s">
        <v>46</v>
      </c>
      <c r="H1" s="97" t="s">
        <v>47</v>
      </c>
      <c r="I1" s="97" t="s">
        <v>121</v>
      </c>
      <c r="J1" s="97" t="s">
        <v>133</v>
      </c>
      <c r="K1" s="127" t="s">
        <v>48</v>
      </c>
      <c r="L1" s="121"/>
      <c r="M1" s="127" t="s">
        <v>120</v>
      </c>
      <c r="N1" s="121"/>
      <c r="O1" s="127" t="s">
        <v>49</v>
      </c>
      <c r="P1" s="124"/>
      <c r="Q1" s="100" t="s">
        <v>50</v>
      </c>
      <c r="R1" s="97" t="s">
        <v>157</v>
      </c>
    </row>
    <row r="2" ht="15" customHeight="true" x14ac:dyDescent="0.2">
      <c r="A2" s="100" t="s">
        <v>51</v>
      </c>
      <c r="B2" s="101">
        <v>0.5</v>
      </c>
      <c r="C2" s="99" t="s">
        <v>52</v>
      </c>
      <c r="D2" s="102"/>
      <c r="F2" s="84"/>
      <c r="G2" s="103"/>
      <c r="H2" s="103"/>
      <c r="I2" s="103" t="s">
        <v>134</v>
      </c>
      <c r="J2" s="103" t="s">
        <v>134</v>
      </c>
      <c r="K2" s="128" t="s">
        <v>52</v>
      </c>
      <c r="L2" s="122" t="s">
        <v>53</v>
      </c>
      <c r="M2" s="128" t="s">
        <v>52</v>
      </c>
      <c r="N2" s="122" t="s">
        <v>53</v>
      </c>
      <c r="O2" s="128" t="s">
        <v>52</v>
      </c>
      <c r="P2" s="125" t="s">
        <v>53</v>
      </c>
      <c r="Q2" s="103"/>
      <c r="R2" s="104" t="s">
        <v>158</v>
      </c>
    </row>
    <row r="3" ht="15" customHeight="true" thickBot="true" x14ac:dyDescent="0.25">
      <c r="A3" s="100" t="s">
        <v>54</v>
      </c>
      <c r="B3" s="105">
        <v>0.5</v>
      </c>
      <c r="C3" s="99" t="s">
        <v>53</v>
      </c>
      <c r="D3" s="102"/>
      <c r="F3" t="s">
        <v>38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251">
        <v>0</v>
      </c>
      <c r="R3" s="35">
        <v>0</v>
      </c>
      <c r="S3"/>
    </row>
    <row r="4" ht="15" customHeight="true" thickBot="true" x14ac:dyDescent="0.25">
      <c r="F4" t="s">
        <v>40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251">
        <v>0</v>
      </c>
      <c r="R4" s="35">
        <v>0</v>
      </c>
      <c r="S4"/>
    </row>
    <row r="5" ht="15" customHeight="true" x14ac:dyDescent="0.2">
      <c r="A5" s="100" t="s">
        <v>55</v>
      </c>
      <c r="B5" s="106">
        <v>0.5</v>
      </c>
      <c r="C5" s="99" t="s">
        <v>52</v>
      </c>
      <c r="D5" s="102"/>
      <c r="F5" t="s">
        <v>41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251">
        <v>0</v>
      </c>
      <c r="R5" s="35">
        <v>0</v>
      </c>
      <c r="S5"/>
    </row>
    <row r="6" ht="15" customHeight="true" thickBot="true" x14ac:dyDescent="0.25">
      <c r="A6" s="100"/>
      <c r="B6" s="107">
        <v>0.5</v>
      </c>
      <c r="C6" s="99" t="s">
        <v>53</v>
      </c>
      <c r="D6" s="102"/>
      <c r="F6" t="s">
        <v>182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1</v>
      </c>
      <c r="O6" s="145">
        <v>0</v>
      </c>
      <c r="P6" s="145">
        <v>0</v>
      </c>
      <c r="Q6" s="251">
        <v>0</v>
      </c>
      <c r="R6" s="35">
        <v>0</v>
      </c>
      <c r="S6" s="56" t="s">
        <v>165</v>
      </c>
    </row>
    <row r="7" ht="15" customHeight="true" thickBot="true" x14ac:dyDescent="0.25">
      <c r="F7" t="s">
        <v>183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1</v>
      </c>
      <c r="N7" s="145">
        <v>0</v>
      </c>
      <c r="O7" s="145">
        <v>0</v>
      </c>
      <c r="P7" s="145">
        <v>0</v>
      </c>
      <c r="Q7" s="251">
        <v>0</v>
      </c>
      <c r="R7" s="35">
        <v>0</v>
      </c>
      <c r="S7" s="56" t="s">
        <v>165</v>
      </c>
    </row>
    <row r="8" ht="15" customHeight="true" x14ac:dyDescent="0.2">
      <c r="A8" s="100" t="s">
        <v>56</v>
      </c>
      <c r="B8" s="106">
        <f>E32</f>
        <v>0.71817426087001945</v>
      </c>
      <c r="C8" s="95" t="str">
        <f>A32</f>
        <v>Diatoms</v>
      </c>
      <c r="D8" s="102" t="s">
        <v>164</v>
      </c>
      <c r="F8" t="s">
        <v>184</v>
      </c>
      <c r="G8" s="145">
        <v>0</v>
      </c>
      <c r="H8" s="145">
        <v>0</v>
      </c>
      <c r="I8" s="145">
        <v>0</v>
      </c>
      <c r="J8" s="145">
        <v>0</v>
      </c>
      <c r="K8" s="145">
        <v>1</v>
      </c>
      <c r="L8" s="145">
        <v>0</v>
      </c>
      <c r="M8" s="145">
        <v>1</v>
      </c>
      <c r="N8" s="145">
        <v>0</v>
      </c>
      <c r="O8" s="145">
        <v>1</v>
      </c>
      <c r="P8" s="145">
        <v>0</v>
      </c>
      <c r="Q8" s="251">
        <v>0</v>
      </c>
      <c r="R8" s="35">
        <v>0</v>
      </c>
      <c r="S8"/>
    </row>
    <row r="9" ht="15" customHeight="true" x14ac:dyDescent="0.2">
      <c r="A9" s="108" t="s">
        <v>173</v>
      </c>
      <c r="B9" s="109">
        <f>E33</f>
        <v>0.28182573912998055</v>
      </c>
      <c r="C9" s="95" t="str">
        <f t="shared" ref="C9" si="0">A33</f>
        <v>Dino- and silic</v>
      </c>
      <c r="D9" s="102" t="s">
        <v>164</v>
      </c>
      <c r="F9" t="s">
        <v>185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1</v>
      </c>
      <c r="M9" s="145">
        <v>0</v>
      </c>
      <c r="N9" s="145">
        <v>1</v>
      </c>
      <c r="O9" s="145">
        <v>0.5</v>
      </c>
      <c r="P9" s="145">
        <v>0.5</v>
      </c>
      <c r="Q9" s="251">
        <v>0</v>
      </c>
      <c r="R9" s="35">
        <v>0</v>
      </c>
      <c r="S9"/>
    </row>
    <row r="10" ht="15" customHeight="true" x14ac:dyDescent="0.2">
      <c r="B10" s="109"/>
      <c r="C10" s="95"/>
      <c r="D10" s="102" t="s">
        <v>164</v>
      </c>
      <c r="F10" t="s">
        <v>186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1</v>
      </c>
      <c r="M10" s="145">
        <v>0</v>
      </c>
      <c r="N10" s="145">
        <v>1</v>
      </c>
      <c r="O10" s="145">
        <v>0.5</v>
      </c>
      <c r="P10" s="145">
        <v>0.5</v>
      </c>
      <c r="Q10" s="251">
        <v>0</v>
      </c>
      <c r="R10" s="35">
        <v>0</v>
      </c>
      <c r="S10"/>
    </row>
    <row r="11" ht="15" customHeight="true" x14ac:dyDescent="0.2">
      <c r="A11" s="100"/>
      <c r="B11" s="109"/>
      <c r="C11" s="95"/>
      <c r="D11" s="102" t="s">
        <v>164</v>
      </c>
      <c r="F11" t="s">
        <v>187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1</v>
      </c>
      <c r="M11" s="145">
        <v>0</v>
      </c>
      <c r="N11" s="145">
        <v>1</v>
      </c>
      <c r="O11" s="145">
        <v>0.5</v>
      </c>
      <c r="P11" s="145">
        <v>0.5</v>
      </c>
      <c r="Q11" s="251">
        <v>0</v>
      </c>
      <c r="R11" s="35">
        <v>0</v>
      </c>
      <c r="S11"/>
    </row>
    <row r="12" ht="15" customHeight="true" x14ac:dyDescent="0.2">
      <c r="B12" s="109"/>
      <c r="C12" s="95"/>
      <c r="D12" s="102" t="s">
        <v>164</v>
      </c>
      <c r="F12" s="201" t="s">
        <v>188</v>
      </c>
      <c r="G12" s="145">
        <v>0</v>
      </c>
      <c r="H12" s="145">
        <v>0</v>
      </c>
      <c r="I12" s="145">
        <v>0</v>
      </c>
      <c r="J12" s="145">
        <v>0</v>
      </c>
      <c r="K12" s="145">
        <v>0</v>
      </c>
      <c r="L12" s="145">
        <v>1</v>
      </c>
      <c r="M12" s="145">
        <v>0</v>
      </c>
      <c r="N12" s="145">
        <v>1</v>
      </c>
      <c r="O12" s="145">
        <v>0.5</v>
      </c>
      <c r="P12" s="145">
        <v>0.5</v>
      </c>
      <c r="Q12" s="251">
        <v>0</v>
      </c>
      <c r="R12" s="35">
        <v>0</v>
      </c>
      <c r="S12"/>
    </row>
    <row r="13" ht="15" customHeight="true" x14ac:dyDescent="0.2">
      <c r="B13" s="109"/>
      <c r="C13" s="95"/>
      <c r="D13" s="102" t="s">
        <v>164</v>
      </c>
      <c r="F13" t="s">
        <v>190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1</v>
      </c>
      <c r="M13" s="145">
        <v>0</v>
      </c>
      <c r="N13" s="145">
        <v>1</v>
      </c>
      <c r="O13" s="145">
        <v>0</v>
      </c>
      <c r="P13" s="145">
        <v>1</v>
      </c>
      <c r="Q13" s="251">
        <v>0</v>
      </c>
      <c r="R13" s="35">
        <v>1</v>
      </c>
      <c r="S13"/>
    </row>
    <row r="14" ht="15" customHeight="true" x14ac:dyDescent="0.2">
      <c r="B14" s="109"/>
      <c r="C14" s="95"/>
      <c r="D14" s="102" t="s">
        <v>164</v>
      </c>
      <c r="F14" t="s">
        <v>191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1</v>
      </c>
      <c r="M14" s="145">
        <v>0</v>
      </c>
      <c r="N14" s="145">
        <v>1</v>
      </c>
      <c r="O14" s="145">
        <v>1</v>
      </c>
      <c r="P14" s="145">
        <v>0</v>
      </c>
      <c r="Q14" s="251">
        <v>0</v>
      </c>
      <c r="R14" s="35">
        <v>1</v>
      </c>
      <c r="S14"/>
    </row>
    <row r="15" ht="15" customHeight="true" x14ac:dyDescent="0.2">
      <c r="B15" s="109"/>
      <c r="C15" s="95"/>
      <c r="D15" s="102" t="s">
        <v>164</v>
      </c>
      <c r="F15" t="s">
        <v>192</v>
      </c>
      <c r="G15" s="145">
        <v>0</v>
      </c>
      <c r="H15" s="145">
        <v>0</v>
      </c>
      <c r="I15" s="145">
        <v>0</v>
      </c>
      <c r="J15" s="145">
        <v>0</v>
      </c>
      <c r="K15" s="145">
        <v>0</v>
      </c>
      <c r="L15" s="145">
        <v>1</v>
      </c>
      <c r="M15" s="145">
        <v>0</v>
      </c>
      <c r="N15" s="145">
        <v>1</v>
      </c>
      <c r="O15" s="145">
        <v>1</v>
      </c>
      <c r="P15" s="145">
        <v>0</v>
      </c>
      <c r="Q15" s="251">
        <v>0</v>
      </c>
      <c r="R15" s="35">
        <v>1</v>
      </c>
      <c r="S15"/>
    </row>
    <row r="16" ht="15" customHeight="true" x14ac:dyDescent="0.2">
      <c r="B16" s="109"/>
      <c r="C16" s="95"/>
      <c r="D16" s="102" t="s">
        <v>164</v>
      </c>
      <c r="F16" t="s">
        <v>194</v>
      </c>
      <c r="G16" s="145">
        <v>0</v>
      </c>
      <c r="H16" s="145">
        <v>0</v>
      </c>
      <c r="I16" s="145">
        <v>0</v>
      </c>
      <c r="J16" s="145">
        <v>0</v>
      </c>
      <c r="K16" s="145">
        <v>0</v>
      </c>
      <c r="L16" s="145">
        <v>1</v>
      </c>
      <c r="M16" s="145">
        <v>0</v>
      </c>
      <c r="N16" s="145">
        <v>1</v>
      </c>
      <c r="O16" s="145">
        <v>1</v>
      </c>
      <c r="P16" s="145">
        <v>0</v>
      </c>
      <c r="Q16" s="251">
        <v>0</v>
      </c>
      <c r="R16" s="35">
        <v>1</v>
      </c>
      <c r="S16"/>
    </row>
    <row r="17" ht="15" customHeight="true" thickBot="true" x14ac:dyDescent="0.25">
      <c r="B17" s="107"/>
      <c r="C17" s="95"/>
      <c r="D17" s="102" t="s">
        <v>164</v>
      </c>
      <c r="F17" t="s">
        <v>195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1</v>
      </c>
      <c r="M17" s="145">
        <v>0</v>
      </c>
      <c r="N17" s="145">
        <v>1</v>
      </c>
      <c r="O17" s="145">
        <v>1</v>
      </c>
      <c r="P17" s="145">
        <v>0</v>
      </c>
      <c r="Q17" s="251">
        <v>0</v>
      </c>
      <c r="R17" s="35">
        <v>1</v>
      </c>
      <c r="S17"/>
    </row>
    <row r="18" ht="15" customHeight="true" thickBot="true" x14ac:dyDescent="0.25">
      <c r="B18" s="98"/>
      <c r="F18" t="s">
        <v>196</v>
      </c>
      <c r="G18" s="145">
        <v>0</v>
      </c>
      <c r="H18" s="145">
        <v>0</v>
      </c>
      <c r="I18" s="145">
        <v>0</v>
      </c>
      <c r="J18" s="145">
        <v>0</v>
      </c>
      <c r="K18" s="145">
        <v>0</v>
      </c>
      <c r="L18" s="145">
        <v>1</v>
      </c>
      <c r="M18" s="145">
        <v>0</v>
      </c>
      <c r="N18" s="145">
        <v>1</v>
      </c>
      <c r="O18" s="145">
        <v>1</v>
      </c>
      <c r="P18" s="145">
        <v>0</v>
      </c>
      <c r="Q18" s="251">
        <v>0</v>
      </c>
      <c r="R18" s="35">
        <v>1</v>
      </c>
      <c r="S18"/>
    </row>
    <row r="19" ht="15" customHeight="true" x14ac:dyDescent="0.2">
      <c r="A19" s="100" t="s">
        <v>57</v>
      </c>
      <c r="B19" s="106">
        <f>E32</f>
        <v>0.71817426087001945</v>
      </c>
      <c r="C19" s="95" t="str">
        <f>A32</f>
        <v>Diatoms</v>
      </c>
      <c r="D19" s="102" t="s">
        <v>164</v>
      </c>
      <c r="F19" t="s">
        <v>197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1</v>
      </c>
      <c r="M19" s="145">
        <v>0</v>
      </c>
      <c r="N19" s="145">
        <v>1</v>
      </c>
      <c r="O19" s="145">
        <v>1</v>
      </c>
      <c r="P19" s="145">
        <v>0</v>
      </c>
      <c r="Q19" s="251">
        <v>0</v>
      </c>
      <c r="R19" s="35">
        <v>1</v>
      </c>
      <c r="S19"/>
    </row>
    <row r="20" ht="15" customHeight="true" x14ac:dyDescent="0.2">
      <c r="A20" s="108" t="s">
        <v>173</v>
      </c>
      <c r="B20" s="109">
        <f>E33</f>
        <v>0.28182573912998055</v>
      </c>
      <c r="C20" s="95" t="str">
        <f t="shared" ref="C20" si="1">A33</f>
        <v>Dino- and silic</v>
      </c>
      <c r="D20" s="102" t="s">
        <v>164</v>
      </c>
      <c r="F20" t="s">
        <v>198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1</v>
      </c>
      <c r="M20" s="145">
        <v>0</v>
      </c>
      <c r="N20" s="145">
        <v>1</v>
      </c>
      <c r="O20" s="145">
        <v>1</v>
      </c>
      <c r="P20" s="145">
        <v>0</v>
      </c>
      <c r="Q20" s="251">
        <v>0</v>
      </c>
      <c r="R20" s="35">
        <v>1</v>
      </c>
      <c r="S20"/>
    </row>
    <row r="21" ht="15" customHeight="true" x14ac:dyDescent="0.2">
      <c r="B21" s="109"/>
      <c r="C21" s="95"/>
      <c r="D21" s="102" t="s">
        <v>164</v>
      </c>
      <c r="F21" t="s">
        <v>199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1</v>
      </c>
      <c r="M21" s="145">
        <v>0</v>
      </c>
      <c r="N21" s="145">
        <v>1</v>
      </c>
      <c r="O21" s="145">
        <v>1</v>
      </c>
      <c r="P21" s="145">
        <v>0</v>
      </c>
      <c r="Q21" s="251">
        <v>0</v>
      </c>
      <c r="R21" s="35">
        <v>1</v>
      </c>
      <c r="S21"/>
    </row>
    <row r="22" ht="15" customHeight="true" x14ac:dyDescent="0.2">
      <c r="A22" s="71"/>
      <c r="B22" s="109"/>
      <c r="C22" s="95"/>
      <c r="D22" s="102" t="s">
        <v>164</v>
      </c>
      <c r="F22" t="s">
        <v>200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1</v>
      </c>
      <c r="M22" s="145">
        <v>0</v>
      </c>
      <c r="N22" s="145">
        <v>1</v>
      </c>
      <c r="O22" s="145">
        <v>1</v>
      </c>
      <c r="P22" s="145">
        <v>0</v>
      </c>
      <c r="Q22" s="251">
        <v>0</v>
      </c>
      <c r="R22" s="35">
        <v>1</v>
      </c>
      <c r="S22"/>
    </row>
    <row r="23" ht="15" customHeight="true" x14ac:dyDescent="0.2">
      <c r="A23" s="71"/>
      <c r="B23" s="109"/>
      <c r="C23" s="95"/>
      <c r="D23" s="102" t="s">
        <v>164</v>
      </c>
      <c r="F23" t="s">
        <v>201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1</v>
      </c>
      <c r="M23" s="145">
        <v>0</v>
      </c>
      <c r="N23" s="145">
        <v>1</v>
      </c>
      <c r="O23" s="145">
        <v>0.5</v>
      </c>
      <c r="P23" s="145">
        <v>0.5</v>
      </c>
      <c r="Q23" s="251">
        <v>0</v>
      </c>
      <c r="R23" s="35">
        <v>1</v>
      </c>
      <c r="S23"/>
    </row>
    <row r="24" ht="15" customHeight="true" x14ac:dyDescent="0.2">
      <c r="A24" s="71"/>
      <c r="B24" s="109"/>
      <c r="C24" s="95"/>
      <c r="D24" s="102" t="s">
        <v>164</v>
      </c>
      <c r="F24" t="s">
        <v>202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1</v>
      </c>
      <c r="M24" s="145">
        <v>0</v>
      </c>
      <c r="N24" s="145">
        <v>1</v>
      </c>
      <c r="O24" s="145">
        <v>0.5</v>
      </c>
      <c r="P24" s="145">
        <v>0.5</v>
      </c>
      <c r="Q24" s="251">
        <v>0</v>
      </c>
      <c r="R24" s="35">
        <v>1</v>
      </c>
      <c r="S24"/>
    </row>
    <row r="25" ht="15" customHeight="true" x14ac:dyDescent="0.2">
      <c r="A25" s="71"/>
      <c r="B25" s="109"/>
      <c r="C25" s="95"/>
      <c r="D25" s="102" t="s">
        <v>164</v>
      </c>
      <c r="F25" t="s">
        <v>203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1</v>
      </c>
      <c r="M25" s="145">
        <v>0</v>
      </c>
      <c r="N25" s="145">
        <v>1</v>
      </c>
      <c r="O25" s="145">
        <v>0.5</v>
      </c>
      <c r="P25" s="145">
        <v>0.5</v>
      </c>
      <c r="Q25" s="251">
        <v>0</v>
      </c>
      <c r="R25" s="35">
        <v>1</v>
      </c>
      <c r="S25"/>
    </row>
    <row r="26" ht="15" customHeight="true" x14ac:dyDescent="0.2">
      <c r="B26" s="109"/>
      <c r="C26" s="95"/>
      <c r="D26" s="102" t="s">
        <v>164</v>
      </c>
      <c r="F26" t="s">
        <v>204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1</v>
      </c>
      <c r="M26" s="145">
        <v>0</v>
      </c>
      <c r="N26" s="145">
        <v>1</v>
      </c>
      <c r="O26" s="145">
        <v>0.5</v>
      </c>
      <c r="P26" s="145">
        <v>0.5</v>
      </c>
      <c r="Q26" s="251">
        <v>0</v>
      </c>
      <c r="R26" s="35">
        <v>1</v>
      </c>
      <c r="S26"/>
    </row>
    <row r="27" ht="15" customHeight="true" x14ac:dyDescent="0.2">
      <c r="B27" s="109"/>
      <c r="C27" s="95"/>
      <c r="D27" s="102" t="s">
        <v>164</v>
      </c>
      <c r="F27" t="s">
        <v>205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1</v>
      </c>
      <c r="M27" s="145">
        <v>0</v>
      </c>
      <c r="N27" s="145">
        <v>1</v>
      </c>
      <c r="O27" s="145">
        <v>0.5</v>
      </c>
      <c r="P27" s="145">
        <v>0.5</v>
      </c>
      <c r="Q27" s="251">
        <v>0</v>
      </c>
      <c r="R27" s="35">
        <v>1</v>
      </c>
      <c r="S27"/>
    </row>
    <row r="28" ht="15" customHeight="true" thickBot="true" x14ac:dyDescent="0.25">
      <c r="B28" s="107"/>
      <c r="C28" s="95"/>
      <c r="D28" s="102" t="s">
        <v>164</v>
      </c>
      <c r="F28" t="s">
        <v>207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1</v>
      </c>
      <c r="M28" s="145">
        <v>0</v>
      </c>
      <c r="N28" s="145">
        <v>1</v>
      </c>
      <c r="O28" s="145">
        <v>0.5</v>
      </c>
      <c r="P28" s="145">
        <v>0.5</v>
      </c>
      <c r="Q28" s="251">
        <v>0</v>
      </c>
      <c r="R28" s="35">
        <v>1</v>
      </c>
      <c r="S28"/>
    </row>
    <row r="29" ht="15" customHeight="true" x14ac:dyDescent="0.2">
      <c r="F29" t="s">
        <v>208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1</v>
      </c>
      <c r="M29" s="145">
        <v>0</v>
      </c>
      <c r="N29" s="145">
        <v>1</v>
      </c>
      <c r="O29" s="145">
        <v>1</v>
      </c>
      <c r="P29" s="145">
        <v>0</v>
      </c>
      <c r="Q29" s="251">
        <v>0</v>
      </c>
      <c r="R29" s="35">
        <v>1</v>
      </c>
      <c r="S29"/>
    </row>
    <row r="30" ht="15" customHeight="true" x14ac:dyDescent="0.2">
      <c r="F30" t="s">
        <v>209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1</v>
      </c>
      <c r="M30" s="145">
        <v>0</v>
      </c>
      <c r="N30" s="145">
        <v>1</v>
      </c>
      <c r="O30" s="145">
        <v>1</v>
      </c>
      <c r="P30" s="145">
        <v>0</v>
      </c>
      <c r="Q30" s="251">
        <v>0</v>
      </c>
      <c r="R30" s="35">
        <v>1</v>
      </c>
      <c r="S30"/>
    </row>
    <row r="31" ht="15" customHeight="true" x14ac:dyDescent="0.2">
      <c r="A31" s="110"/>
      <c r="B31" s="111" t="s">
        <v>17</v>
      </c>
      <c r="C31" s="111" t="s">
        <v>1</v>
      </c>
      <c r="D31" s="111" t="s">
        <v>166</v>
      </c>
      <c r="E31" s="112" t="s">
        <v>168</v>
      </c>
      <c r="F31" t="s">
        <v>210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1</v>
      </c>
      <c r="M31" s="145">
        <v>0</v>
      </c>
      <c r="N31" s="145">
        <v>1</v>
      </c>
      <c r="O31" s="145">
        <v>0.5</v>
      </c>
      <c r="P31" s="145">
        <v>0.5</v>
      </c>
      <c r="Q31" s="251">
        <v>0</v>
      </c>
      <c r="R31" s="35">
        <v>1</v>
      </c>
      <c r="S31"/>
    </row>
    <row r="32" ht="15" customHeight="true" x14ac:dyDescent="0.2">
      <c r="A32" s="98" t="str">
        <f>MainOutputs!B2</f>
        <v>Diatoms</v>
      </c>
      <c r="B32" s="98">
        <f>MainOutputs!D2</f>
        <v>34.0885009765625</v>
      </c>
      <c r="C32" s="98">
        <f>MainOutputs!E2</f>
        <v>237.5</v>
      </c>
      <c r="D32" s="98">
        <f>B32*C32</f>
        <v>8096.0189819335938</v>
      </c>
      <c r="E32" s="113">
        <f>D32/D$42</f>
        <v>0.71817426087001945</v>
      </c>
      <c r="F32" t="s">
        <v>211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1</v>
      </c>
      <c r="M32" s="145">
        <v>0</v>
      </c>
      <c r="N32" s="145">
        <v>1</v>
      </c>
      <c r="O32" s="145">
        <v>0.5</v>
      </c>
      <c r="P32" s="145">
        <v>0.5</v>
      </c>
      <c r="Q32" s="251">
        <v>0</v>
      </c>
      <c r="R32" s="35">
        <v>1</v>
      </c>
      <c r="S32"/>
    </row>
    <row r="33" ht="15" customHeight="true" x14ac:dyDescent="0.2">
      <c r="A33" s="98" t="str">
        <f>MainOutputs!B3</f>
        <v>Dino- and silic</v>
      </c>
      <c r="B33" s="98">
        <f>MainOutputs!D3</f>
        <v>13.376999855041504</v>
      </c>
      <c r="C33" s="98">
        <f>MainOutputs!E3</f>
        <v>237.5</v>
      </c>
      <c r="D33" s="98">
        <f t="shared" ref="D33" si="2">B33*C33</f>
        <v>3177.0374655723572</v>
      </c>
      <c r="E33" s="113">
        <f t="shared" ref="E33" si="3">D33/D$42</f>
        <v>0.28182573912998055</v>
      </c>
      <c r="F33" t="s">
        <v>212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1</v>
      </c>
      <c r="M33" s="145">
        <v>0</v>
      </c>
      <c r="N33" s="145">
        <v>1</v>
      </c>
      <c r="O33" s="145">
        <v>0.5</v>
      </c>
      <c r="P33" s="145">
        <v>0.5</v>
      </c>
      <c r="Q33" s="251">
        <v>0</v>
      </c>
      <c r="R33" s="35">
        <v>1</v>
      </c>
      <c r="S33"/>
    </row>
    <row r="34" ht="15" customHeight="true" x14ac:dyDescent="0.2">
      <c r="A34" s="79"/>
      <c r="B34" s="98"/>
      <c r="C34" s="98"/>
      <c r="D34" s="98"/>
      <c r="E34" s="113"/>
      <c r="F34" t="s">
        <v>213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1</v>
      </c>
      <c r="M34" s="145">
        <v>0</v>
      </c>
      <c r="N34" s="145">
        <v>1</v>
      </c>
      <c r="O34" s="145">
        <v>0.5</v>
      </c>
      <c r="P34" s="145">
        <v>0.5</v>
      </c>
      <c r="Q34" s="251">
        <v>0</v>
      </c>
      <c r="R34" s="35">
        <v>1</v>
      </c>
      <c r="S34"/>
    </row>
    <row r="35" ht="15" customHeight="true" x14ac:dyDescent="0.2">
      <c r="A35" s="79"/>
      <c r="B35" s="98"/>
      <c r="C35" s="98"/>
      <c r="D35" s="98"/>
      <c r="E35" s="113"/>
      <c r="F35" t="s">
        <v>214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1</v>
      </c>
      <c r="M35" s="145">
        <v>0</v>
      </c>
      <c r="N35" s="145">
        <v>1</v>
      </c>
      <c r="O35" s="145">
        <v>1</v>
      </c>
      <c r="P35" s="145">
        <v>0</v>
      </c>
      <c r="Q35" s="251">
        <v>0</v>
      </c>
      <c r="R35" s="35">
        <v>1</v>
      </c>
      <c r="S35"/>
    </row>
    <row r="36" ht="15" customHeight="true" x14ac:dyDescent="0.2">
      <c r="A36" s="114"/>
      <c r="B36" s="98"/>
      <c r="C36" s="98"/>
      <c r="D36" s="98"/>
      <c r="E36" s="113"/>
      <c r="F36" t="s">
        <v>215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1</v>
      </c>
      <c r="M36" s="145">
        <v>0</v>
      </c>
      <c r="N36" s="145">
        <v>1</v>
      </c>
      <c r="O36" s="145">
        <v>1</v>
      </c>
      <c r="P36" s="145">
        <v>0</v>
      </c>
      <c r="Q36" s="251">
        <v>0</v>
      </c>
      <c r="R36" s="35">
        <v>1</v>
      </c>
      <c r="S36"/>
    </row>
    <row r="37" ht="15" customHeight="true" x14ac:dyDescent="0.2">
      <c r="A37" s="114"/>
      <c r="B37" s="98"/>
      <c r="C37" s="98"/>
      <c r="D37" s="98"/>
      <c r="E37" s="113"/>
      <c r="F37" t="s">
        <v>216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1</v>
      </c>
      <c r="M37" s="145">
        <v>0</v>
      </c>
      <c r="N37" s="145">
        <v>1</v>
      </c>
      <c r="O37" s="145">
        <v>1</v>
      </c>
      <c r="P37" s="145">
        <v>0</v>
      </c>
      <c r="Q37" s="251">
        <v>0</v>
      </c>
      <c r="R37" s="35">
        <v>1</v>
      </c>
      <c r="S37"/>
    </row>
    <row r="38" ht="15" customHeight="true" x14ac:dyDescent="0.2">
      <c r="A38" s="115"/>
      <c r="B38" s="98"/>
      <c r="C38" s="98"/>
      <c r="D38" s="98"/>
      <c r="E38" s="113"/>
      <c r="F38" t="s">
        <v>217</v>
      </c>
      <c r="G38" s="145">
        <v>0</v>
      </c>
      <c r="H38" s="145">
        <v>0</v>
      </c>
      <c r="I38" s="145">
        <v>0</v>
      </c>
      <c r="J38" s="145">
        <v>0</v>
      </c>
      <c r="K38" s="145">
        <v>1</v>
      </c>
      <c r="L38" s="145">
        <v>0</v>
      </c>
      <c r="M38" s="145">
        <v>0</v>
      </c>
      <c r="N38" s="145">
        <v>1</v>
      </c>
      <c r="O38" s="145">
        <v>1</v>
      </c>
      <c r="P38" s="145">
        <v>0</v>
      </c>
      <c r="Q38" s="251">
        <v>0</v>
      </c>
      <c r="R38" s="35">
        <v>1</v>
      </c>
      <c r="S38"/>
    </row>
    <row r="39" ht="15" customHeight="true" x14ac:dyDescent="0.2">
      <c r="A39" s="115"/>
      <c r="B39" s="98"/>
      <c r="C39" s="98"/>
      <c r="D39" s="98"/>
      <c r="E39" s="113"/>
      <c r="F39" s="202" t="s">
        <v>218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1</v>
      </c>
      <c r="M39" s="145">
        <v>0</v>
      </c>
      <c r="N39" s="145">
        <v>1</v>
      </c>
      <c r="O39" s="145">
        <v>1</v>
      </c>
      <c r="P39" s="145">
        <v>0</v>
      </c>
      <c r="Q39" s="251">
        <v>0</v>
      </c>
      <c r="R39" s="35">
        <v>1</v>
      </c>
      <c r="S39"/>
    </row>
    <row r="40" ht="15" customHeight="true" x14ac:dyDescent="0.2">
      <c r="A40" s="115"/>
      <c r="B40" s="98"/>
      <c r="C40" s="98"/>
      <c r="D40" s="98"/>
      <c r="E40" s="113"/>
      <c r="F40" s="202" t="s">
        <v>219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1</v>
      </c>
      <c r="M40" s="145">
        <v>0</v>
      </c>
      <c r="N40" s="145">
        <v>1</v>
      </c>
      <c r="O40" s="145">
        <v>1</v>
      </c>
      <c r="P40" s="145">
        <v>0</v>
      </c>
      <c r="Q40" s="251">
        <v>0</v>
      </c>
      <c r="R40" s="35">
        <v>1</v>
      </c>
      <c r="S40"/>
    </row>
    <row r="41" ht="15" customHeight="true" thickBot="true" x14ac:dyDescent="0.25">
      <c r="A41" s="115"/>
      <c r="B41" s="98"/>
      <c r="C41" s="98"/>
      <c r="D41" s="116"/>
      <c r="E41" s="117"/>
      <c r="F41" t="s">
        <v>221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35">
        <v>1</v>
      </c>
      <c r="M41" s="35">
        <v>0</v>
      </c>
      <c r="N41" s="35">
        <v>1</v>
      </c>
      <c r="O41" s="35">
        <v>0</v>
      </c>
      <c r="P41" s="35">
        <v>0</v>
      </c>
      <c r="Q41" s="251">
        <v>0</v>
      </c>
      <c r="R41" s="35">
        <v>0</v>
      </c>
      <c r="S41" s="56"/>
    </row>
    <row r="42" ht="15" customHeight="true" thickBot="true" x14ac:dyDescent="0.25">
      <c r="A42" s="118"/>
      <c r="B42" s="119"/>
      <c r="C42" s="119" t="s">
        <v>167</v>
      </c>
      <c r="D42" s="119">
        <f>SUM(D32:D41)</f>
        <v>11273.056447505951</v>
      </c>
      <c r="E42" s="120">
        <f>SUM(E32:E41)</f>
        <v>1</v>
      </c>
      <c r="F42" t="s">
        <v>71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35">
        <v>1</v>
      </c>
      <c r="M42" s="35">
        <v>0</v>
      </c>
      <c r="N42" s="35">
        <v>1</v>
      </c>
      <c r="O42" s="35">
        <v>0</v>
      </c>
      <c r="P42" s="35">
        <v>1</v>
      </c>
      <c r="Q42" s="251">
        <v>0</v>
      </c>
      <c r="R42" s="35">
        <v>1</v>
      </c>
      <c r="S42"/>
    </row>
    <row r="43" ht="15" customHeight="true" x14ac:dyDescent="0.2">
      <c r="A43" s="71"/>
      <c r="F43" s="201" t="s">
        <v>72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35">
        <v>1</v>
      </c>
      <c r="M43" s="35">
        <v>0</v>
      </c>
      <c r="N43" s="35">
        <v>1</v>
      </c>
      <c r="O43" s="252">
        <v>1</v>
      </c>
      <c r="P43" s="253">
        <v>0</v>
      </c>
      <c r="Q43" s="251">
        <v>0</v>
      </c>
      <c r="R43" s="35">
        <v>0</v>
      </c>
      <c r="S43"/>
    </row>
    <row r="44" ht="15" customHeight="true" thickBot="true" x14ac:dyDescent="0.25">
      <c r="A44" s="71"/>
      <c r="F44" t="s">
        <v>73</v>
      </c>
      <c r="G44" s="145">
        <v>0</v>
      </c>
      <c r="H44" s="145">
        <v>0</v>
      </c>
      <c r="I44" s="145">
        <v>0</v>
      </c>
      <c r="J44" s="145">
        <v>0</v>
      </c>
      <c r="K44" s="145">
        <v>0</v>
      </c>
      <c r="L44" s="35">
        <v>1</v>
      </c>
      <c r="M44" s="35">
        <v>0</v>
      </c>
      <c r="N44" s="35">
        <v>1</v>
      </c>
      <c r="O44" s="254">
        <v>0</v>
      </c>
      <c r="P44" s="255">
        <v>1</v>
      </c>
      <c r="Q44" s="251">
        <v>0</v>
      </c>
      <c r="R44" s="35">
        <v>1</v>
      </c>
      <c r="S44"/>
    </row>
    <row r="45" ht="15" customHeight="true" x14ac:dyDescent="0.2">
      <c r="A45" s="71"/>
      <c r="F45" s="201" t="s">
        <v>222</v>
      </c>
      <c r="G45" s="145">
        <v>0</v>
      </c>
      <c r="H45" s="145">
        <v>0</v>
      </c>
      <c r="I45" s="145">
        <v>0</v>
      </c>
      <c r="J45" s="145">
        <v>0</v>
      </c>
      <c r="K45" s="256">
        <v>0</v>
      </c>
      <c r="L45" s="257">
        <v>1</v>
      </c>
      <c r="M45" s="258">
        <v>0</v>
      </c>
      <c r="N45" s="258">
        <v>0</v>
      </c>
      <c r="O45" s="258">
        <v>0</v>
      </c>
      <c r="P45" s="258">
        <v>0</v>
      </c>
      <c r="Q45" s="259">
        <v>0</v>
      </c>
      <c r="R45" s="260">
        <v>1</v>
      </c>
      <c r="S45"/>
    </row>
    <row r="46" ht="15" customHeight="true" thickBot="true" x14ac:dyDescent="0.25">
      <c r="A46" s="71"/>
      <c r="F46" s="201" t="s">
        <v>223</v>
      </c>
      <c r="G46" s="145">
        <v>0</v>
      </c>
      <c r="H46" s="145">
        <v>0</v>
      </c>
      <c r="I46" s="145">
        <v>0</v>
      </c>
      <c r="J46" s="145">
        <v>0</v>
      </c>
      <c r="K46" s="261">
        <v>0</v>
      </c>
      <c r="L46" s="262">
        <v>1</v>
      </c>
      <c r="M46" s="258">
        <v>0</v>
      </c>
      <c r="N46" s="258">
        <v>0</v>
      </c>
      <c r="O46" s="258">
        <v>0</v>
      </c>
      <c r="P46" s="258">
        <v>0</v>
      </c>
      <c r="Q46" s="259">
        <v>0</v>
      </c>
      <c r="R46" s="260">
        <v>1</v>
      </c>
      <c r="S46"/>
    </row>
    <row r="47" ht="15" customHeight="true" x14ac:dyDescent="0.2">
      <c r="A47" s="71"/>
      <c r="F47"/>
      <c r="G47"/>
      <c r="H47"/>
      <c r="I47"/>
      <c r="J47"/>
      <c r="K47" s="58"/>
      <c r="L47" s="58"/>
      <c r="M47" s="58"/>
      <c r="N47" s="58"/>
      <c r="O47" s="58"/>
      <c r="P47" s="263"/>
      <c r="Q47" s="58"/>
      <c r="R47" s="258"/>
      <c r="S47"/>
    </row>
    <row r="48" ht="15" customHeight="true" x14ac:dyDescent="0.2">
      <c r="A48" s="71"/>
      <c r="F48"/>
      <c r="G48"/>
      <c r="H48"/>
      <c r="I48"/>
      <c r="J48"/>
      <c r="K48" s="56" t="s">
        <v>155</v>
      </c>
      <c r="L48" s="58"/>
      <c r="M48" s="58"/>
      <c r="N48" s="58"/>
      <c r="O48" s="56" t="s">
        <v>156</v>
      </c>
      <c r="P48" s="263"/>
      <c r="Q48" s="58"/>
      <c r="R48" s="258"/>
      <c r="S48"/>
    </row>
    <row r="49" ht="15" customHeight="true" x14ac:dyDescent="0.2">
      <c r="A49" s="71"/>
      <c r="E49"/>
      <c r="F49" s="147"/>
      <c r="G49"/>
      <c r="H49"/>
      <c r="I49"/>
      <c r="J49"/>
      <c r="K49"/>
      <c r="L49"/>
      <c r="M49"/>
      <c r="N49"/>
      <c r="O49"/>
      <c r="P49"/>
      <c r="Q49"/>
      <c r="R49" s="145"/>
      <c r="S49"/>
      <c r="T49"/>
      <c r="U49"/>
      <c r="V49"/>
      <c r="W49"/>
    </row>
    <row r="50" ht="15" customHeight="true" x14ac:dyDescent="0.2">
      <c r="A50" s="71"/>
      <c r="E50"/>
      <c r="F50" s="147"/>
      <c r="G50"/>
      <c r="H50"/>
      <c r="I50"/>
      <c r="J50"/>
      <c r="K50"/>
      <c r="L50"/>
      <c r="M50"/>
      <c r="N50"/>
      <c r="O50"/>
      <c r="P50"/>
      <c r="Q50"/>
      <c r="R50" s="145"/>
      <c r="S50"/>
      <c r="T50"/>
      <c r="U50"/>
      <c r="V50"/>
      <c r="W50"/>
    </row>
    <row r="51" ht="15" customHeight="true" x14ac:dyDescent="0.2">
      <c r="E51"/>
      <c r="F51" s="147"/>
      <c r="G51"/>
      <c r="H51"/>
      <c r="I51"/>
      <c r="J51"/>
      <c r="K51"/>
      <c r="L51"/>
      <c r="M51"/>
      <c r="N51"/>
      <c r="O51"/>
      <c r="P51"/>
      <c r="Q51"/>
      <c r="R51" s="145"/>
      <c r="S51"/>
      <c r="T51"/>
      <c r="U51"/>
      <c r="V51"/>
      <c r="W51"/>
    </row>
    <row r="52" ht="15" customHeight="true" x14ac:dyDescent="0.2">
      <c r="E52"/>
      <c r="F52" s="147"/>
      <c r="G52"/>
      <c r="H52"/>
      <c r="I52"/>
      <c r="J52"/>
      <c r="K52"/>
      <c r="L52"/>
      <c r="M52"/>
      <c r="N52"/>
      <c r="O52"/>
      <c r="P52"/>
      <c r="Q52"/>
      <c r="R52" s="145"/>
      <c r="S52"/>
      <c r="T52"/>
      <c r="U52"/>
      <c r="V52"/>
      <c r="W52"/>
    </row>
    <row r="53" ht="15" customHeight="true" x14ac:dyDescent="0.2">
      <c r="A53" s="71"/>
      <c r="E53"/>
      <c r="F53" s="147"/>
      <c r="G53"/>
      <c r="H53"/>
      <c r="I53"/>
      <c r="J53"/>
      <c r="K53"/>
      <c r="L53"/>
      <c r="M53"/>
      <c r="N53"/>
      <c r="O53"/>
      <c r="P53"/>
      <c r="Q53"/>
      <c r="R53" s="145"/>
      <c r="S53"/>
      <c r="T53"/>
      <c r="U53"/>
      <c r="V53"/>
      <c r="W53"/>
    </row>
    <row r="54" ht="15" customHeight="true" x14ac:dyDescent="0.2">
      <c r="A54" s="71"/>
      <c r="E54"/>
      <c r="F54" s="147"/>
      <c r="G54"/>
      <c r="H54"/>
      <c r="I54"/>
      <c r="J54"/>
      <c r="K54"/>
      <c r="L54"/>
      <c r="M54"/>
      <c r="N54"/>
      <c r="O54"/>
      <c r="P54"/>
      <c r="Q54"/>
      <c r="R54" s="145"/>
      <c r="S54"/>
      <c r="T54"/>
      <c r="U54"/>
      <c r="V54"/>
      <c r="W54"/>
    </row>
    <row r="55" ht="15" customHeight="true" x14ac:dyDescent="0.2">
      <c r="A55" s="71"/>
      <c r="E55"/>
      <c r="F55" s="147"/>
      <c r="G55"/>
      <c r="H55"/>
      <c r="I55"/>
      <c r="J55"/>
      <c r="K55"/>
      <c r="L55"/>
      <c r="M55"/>
      <c r="N55"/>
      <c r="O55"/>
      <c r="P55"/>
      <c r="Q55"/>
      <c r="R55" s="145"/>
      <c r="S55"/>
      <c r="T55"/>
      <c r="U55"/>
      <c r="V55"/>
      <c r="W55"/>
    </row>
    <row r="56" ht="15" customHeight="true" x14ac:dyDescent="0.2">
      <c r="A56" s="71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ht="15" customHeight="true" x14ac:dyDescent="0.2">
      <c r="A57" s="71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ht="15" customHeight="true" x14ac:dyDescent="0.2">
      <c r="A58" s="71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ht="15" customHeight="true" x14ac:dyDescent="0.2">
      <c r="A59" s="71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ht="15" customHeight="true" x14ac:dyDescent="0.2">
      <c r="A60" s="71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ht="15" customHeight="true" x14ac:dyDescent="0.2">
      <c r="A61" s="7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ht="15" customHeight="true" x14ac:dyDescent="0.2">
      <c r="A62" s="71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ht="15" customHeight="true" x14ac:dyDescent="0.2">
      <c r="A63" s="71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ht="15" customHeight="true" x14ac:dyDescent="0.2">
      <c r="A64" s="71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ht="15" customHeight="true" x14ac:dyDescent="0.2"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ht="15" customHeight="true" x14ac:dyDescent="0.2"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ht="15" customHeight="true" x14ac:dyDescent="0.2"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ht="15" customHeight="true" x14ac:dyDescent="0.2"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ht="15" customHeight="true" x14ac:dyDescent="0.2"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ht="15" customHeight="true" x14ac:dyDescent="0.2"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ht="15" customHeight="true" x14ac:dyDescent="0.2"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ht="15" customHeight="true" x14ac:dyDescent="0.2"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ht="15" customHeight="true" x14ac:dyDescent="0.2"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ht="15" customHeight="true" x14ac:dyDescent="0.2"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ht="15" customHeight="true" x14ac:dyDescent="0.2"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ht="15" customHeight="true" x14ac:dyDescent="0.2">
      <c r="A76" s="71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ht="15" customHeight="true" x14ac:dyDescent="0.2">
      <c r="A77" s="71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ht="15" customHeight="true" x14ac:dyDescent="0.2">
      <c r="A78" s="71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ht="15" customHeight="true" x14ac:dyDescent="0.2">
      <c r="A79" s="71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ht="15" customHeight="true" x14ac:dyDescent="0.2">
      <c r="A80" s="71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ht="15" customHeight="true" x14ac:dyDescent="0.2">
      <c r="A81" s="7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ht="15" customHeight="true" x14ac:dyDescent="0.2">
      <c r="A82" s="71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ht="15" customHeight="true" x14ac:dyDescent="0.2">
      <c r="A83" s="71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ht="15" customHeight="true" x14ac:dyDescent="0.2">
      <c r="A84" s="71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ht="15" customHeight="true" x14ac:dyDescent="0.2">
      <c r="A85" s="71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ht="15" customHeight="true" x14ac:dyDescent="0.2">
      <c r="A86" s="71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ht="15" customHeight="true" x14ac:dyDescent="0.2">
      <c r="A87" s="71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ht="15" customHeight="true" x14ac:dyDescent="0.2">
      <c r="A88" s="71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ht="15" customHeight="true" x14ac:dyDescent="0.2">
      <c r="A89" s="71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ht="15" customHeight="true" x14ac:dyDescent="0.2">
      <c r="A90" s="71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ht="15" customHeight="true" x14ac:dyDescent="0.2">
      <c r="A91" s="7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ht="15" customHeight="true" x14ac:dyDescent="0.2">
      <c r="A92" s="71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ht="15" customHeight="true" x14ac:dyDescent="0.2">
      <c r="A93" s="71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ht="15" customHeight="true" x14ac:dyDescent="0.2">
      <c r="A94" s="71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ht="15" customHeight="true" x14ac:dyDescent="0.2">
      <c r="A95" s="71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ht="15" customHeight="true" x14ac:dyDescent="0.2">
      <c r="A96" s="71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ht="15" customHeight="true" x14ac:dyDescent="0.2">
      <c r="A97" s="71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ht="15" customHeight="true" x14ac:dyDescent="0.2">
      <c r="A98" s="71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ht="15" customHeight="true" x14ac:dyDescent="0.2">
      <c r="A99" s="71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ht="15" customHeight="true" x14ac:dyDescent="0.2">
      <c r="A100" s="71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ht="15" customHeight="true" x14ac:dyDescent="0.2">
      <c r="A101" s="7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ht="15" customHeight="true" x14ac:dyDescent="0.2">
      <c r="A102" s="71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ht="15" customHeight="true" x14ac:dyDescent="0.2">
      <c r="A103" s="71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ht="15" customHeight="true" x14ac:dyDescent="0.2">
      <c r="A104" s="71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ht="15" customHeight="true" x14ac:dyDescent="0.2">
      <c r="A105" s="71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ht="15" customHeight="true" x14ac:dyDescent="0.2"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ht="15" customHeight="true" x14ac:dyDescent="0.2"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ht="15" customHeight="true" x14ac:dyDescent="0.2"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ht="15" customHeight="true" x14ac:dyDescent="0.2"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ht="15" customHeight="true" x14ac:dyDescent="0.2"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ht="15" customHeight="true" x14ac:dyDescent="0.2"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ht="15" customHeight="true" x14ac:dyDescent="0.2"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="71" customFormat="true" ht="15" customHeight="true" x14ac:dyDescent="0.2"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="71" customFormat="true" ht="15" customHeight="true" x14ac:dyDescent="0.2"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="71" customFormat="true" ht="15" customHeight="true" x14ac:dyDescent="0.2"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="71" customFormat="true" ht="15" customHeight="true" x14ac:dyDescent="0.2"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="71" customFormat="true" ht="15" customHeight="true" x14ac:dyDescent="0.2"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="71" customFormat="true" ht="15" customHeight="true" x14ac:dyDescent="0.2"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="71" customFormat="true" ht="15" customHeight="true" x14ac:dyDescent="0.2"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="71" customFormat="true" ht="15" customHeight="true" x14ac:dyDescent="0.2"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="71" customFormat="true" ht="15" customHeight="true" x14ac:dyDescent="0.2"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="71" customFormat="true" ht="15" customHeight="true" x14ac:dyDescent="0.2"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="71" customFormat="true" ht="15" customHeight="true" x14ac:dyDescent="0.2"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="71" customFormat="true" ht="15" customHeight="true" x14ac:dyDescent="0.2"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="71" customFormat="true" ht="15" customHeight="true" x14ac:dyDescent="0.2"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="71" customFormat="true" ht="15" customHeight="true" x14ac:dyDescent="0.2"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="71" customFormat="true" ht="15" customHeight="true" x14ac:dyDescent="0.2"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="71" customFormat="true" ht="15" customHeight="true" x14ac:dyDescent="0.2"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="71" customFormat="true" ht="15" customHeight="true" x14ac:dyDescent="0.2"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="71" customFormat="true" ht="15" customHeight="true" x14ac:dyDescent="0.2"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="71" customFormat="true" ht="15" customHeight="true" x14ac:dyDescent="0.2"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="71" customFormat="true" ht="15" customHeight="true" x14ac:dyDescent="0.2"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="71" customFormat="true" ht="15" customHeight="true" x14ac:dyDescent="0.2"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="71" customFormat="true" ht="15" customHeight="true" x14ac:dyDescent="0.2"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="71" customFormat="true" ht="15" customHeight="true" x14ac:dyDescent="0.2"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="71" customFormat="true" ht="15" customHeight="true" x14ac:dyDescent="0.2"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="71" customFormat="true" ht="15" customHeight="true" x14ac:dyDescent="0.2"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="71" customFormat="true" ht="15" customHeight="true" x14ac:dyDescent="0.2"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="71" customFormat="true" ht="15" customHeight="true" x14ac:dyDescent="0.2"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="71" customFormat="true" ht="15" customHeight="true" x14ac:dyDescent="0.2"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="71" customFormat="true" ht="15" customHeight="true" x14ac:dyDescent="0.2"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="71" customFormat="true" ht="15" customHeight="true" x14ac:dyDescent="0.2"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="71" customFormat="true" ht="15" customHeight="true" x14ac:dyDescent="0.2"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="71" customFormat="true" ht="15" customHeight="true" x14ac:dyDescent="0.2"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="71" customFormat="true" ht="15" customHeight="true" x14ac:dyDescent="0.2"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="71" customFormat="true" ht="15" customHeight="true" x14ac:dyDescent="0.2"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="71" customFormat="true" ht="15" customHeight="true" x14ac:dyDescent="0.2"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="71" customFormat="true" ht="15" customHeight="true" x14ac:dyDescent="0.2"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="71" customFormat="true" ht="15" customHeight="true" x14ac:dyDescent="0.2"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="71" customFormat="true" ht="15" customHeight="true" x14ac:dyDescent="0.2"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="71" customFormat="true" ht="15" customHeight="true" x14ac:dyDescent="0.2"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="71" customFormat="true" ht="15" customHeight="true" x14ac:dyDescent="0.2"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="71" customFormat="true" ht="15" customHeight="true" x14ac:dyDescent="0.2"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="71" customFormat="true" ht="15" customHeight="true" x14ac:dyDescent="0.2"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="71" customFormat="true" ht="15" customHeight="true" x14ac:dyDescent="0.2"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="71" customFormat="true" ht="15" customHeight="true" x14ac:dyDescent="0.2"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="71" customFormat="true" ht="15" customHeight="true" x14ac:dyDescent="0.2"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="71" customFormat="true" ht="15" customHeight="true" x14ac:dyDescent="0.2"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="71" customFormat="true" ht="15" customHeight="true" x14ac:dyDescent="0.2"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="71" customFormat="true" ht="15" customHeight="true" x14ac:dyDescent="0.2"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="71" customFormat="true" ht="15" customHeight="true" x14ac:dyDescent="0.2"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="71" customFormat="true" ht="15" customHeight="true" x14ac:dyDescent="0.2"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="71" customFormat="true" ht="15" customHeight="true" x14ac:dyDescent="0.2"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="71" customFormat="true" ht="15" customHeight="true" x14ac:dyDescent="0.2"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="71" customFormat="true" ht="15" customHeight="true" x14ac:dyDescent="0.2"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="71" customFormat="true" ht="15" customHeight="true" x14ac:dyDescent="0.2"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="71" customFormat="true" ht="15" customHeight="true" x14ac:dyDescent="0.2"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="71" customFormat="true" ht="15" customHeight="true" x14ac:dyDescent="0.2"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="71" customFormat="true" ht="15" customHeight="true" x14ac:dyDescent="0.2"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="71" customFormat="true" ht="15" customHeight="true" x14ac:dyDescent="0.2"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="71" customFormat="true" ht="15" customHeight="true" x14ac:dyDescent="0.2"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="71" customFormat="true" ht="15" customHeight="true" x14ac:dyDescent="0.2"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="71" customFormat="true" ht="15" customHeight="true" x14ac:dyDescent="0.2"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="71" customFormat="true" ht="15" customHeight="true" x14ac:dyDescent="0.2"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="71" customFormat="true" ht="15" customHeight="true" x14ac:dyDescent="0.2"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="71" customFormat="true" ht="15" customHeight="true" x14ac:dyDescent="0.2"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="71" customFormat="true" ht="15" customHeight="true" x14ac:dyDescent="0.2"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="71" customFormat="true" ht="15" customHeight="true" x14ac:dyDescent="0.2"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="71" customFormat="true" ht="15" customHeight="true" x14ac:dyDescent="0.2"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="71" customFormat="true" ht="15" customHeight="true" x14ac:dyDescent="0.2"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="71" customFormat="true" ht="15" customHeight="true" x14ac:dyDescent="0.2"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="71" customFormat="true" ht="15" customHeight="true" x14ac:dyDescent="0.2"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="71" customFormat="true" ht="15" customHeight="true" x14ac:dyDescent="0.2"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="71" customFormat="true" ht="15" customHeight="true" x14ac:dyDescent="0.2"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="71" customFormat="true" ht="15" customHeight="true" x14ac:dyDescent="0.2"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="71" customFormat="true" ht="15" customHeight="true" x14ac:dyDescent="0.2"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="71" customFormat="true" ht="15" customHeight="true" x14ac:dyDescent="0.2"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="71" customFormat="true" ht="15" customHeight="true" x14ac:dyDescent="0.2"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ht="15" customHeight="true" x14ac:dyDescent="0.2"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ht="15" customHeight="true" x14ac:dyDescent="0.2"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ht="15" customHeight="true" x14ac:dyDescent="0.2"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ht="15" customHeight="true" x14ac:dyDescent="0.2"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ht="15" customHeight="true" x14ac:dyDescent="0.2"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ht="15" customHeight="true" x14ac:dyDescent="0.2"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ht="15" customHeight="true" x14ac:dyDescent="0.2"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ht="15" customHeight="true" x14ac:dyDescent="0.2"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ht="15" customHeight="true" x14ac:dyDescent="0.2"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ht="15" customHeight="true" x14ac:dyDescent="0.2"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ht="15" customHeight="true" x14ac:dyDescent="0.2"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ht="15" customHeight="true" x14ac:dyDescent="0.2"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ht="15" customHeight="true" x14ac:dyDescent="0.2"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ht="15" customHeight="true" x14ac:dyDescent="0.2"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ht="15" customHeight="true" x14ac:dyDescent="0.2"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ht="15" customHeight="true" x14ac:dyDescent="0.2"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ht="15" customHeight="true" x14ac:dyDescent="0.2"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ht="15" customHeight="true" x14ac:dyDescent="0.2"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ht="15" customHeight="true" x14ac:dyDescent="0.2"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ht="15" customHeight="true" x14ac:dyDescent="0.2"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ht="15" customHeight="true" x14ac:dyDescent="0.2"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ht="15" customHeight="true" x14ac:dyDescent="0.2"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ht="15" customHeight="true" x14ac:dyDescent="0.2"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ht="15" customHeight="true" x14ac:dyDescent="0.2"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ht="15" customHeight="true" x14ac:dyDescent="0.2"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J8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" sqref="G4"/>
    </sheetView>
  </sheetViews>
  <sheetFormatPr baseColWidth="10" defaultColWidth="8.83203125" defaultRowHeight="13" x14ac:dyDescent="0.15"/>
  <cols>
    <col min="1" max="1" width="40" bestFit="true" customWidth="true"/>
    <col min="2" max="5" width="7.83203125" style="146" customWidth="true"/>
    <col min="6" max="77" width="8.83203125" style="3"/>
    <col min="78" max="78" width="22.1640625" style="3" bestFit="true" customWidth="true"/>
    <col min="79" max="88" width="8.83203125" style="3"/>
  </cols>
  <sheetData>
    <row r="1" x14ac:dyDescent="0.15">
      <c r="A1" s="2" t="s">
        <v>159</v>
      </c>
      <c r="B1" s="34" t="s">
        <v>160</v>
      </c>
      <c r="C1" s="34" t="s">
        <v>17</v>
      </c>
      <c r="D1" s="34" t="s">
        <v>161</v>
      </c>
      <c r="E1" s="34" t="s">
        <v>162</v>
      </c>
      <c r="F1" t="s">
        <v>38</v>
      </c>
      <c r="G1" t="s">
        <v>40</v>
      </c>
      <c r="H1" t="s">
        <v>41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s="201" t="s">
        <v>188</v>
      </c>
      <c r="P1" t="s">
        <v>190</v>
      </c>
      <c r="Q1" t="s">
        <v>191</v>
      </c>
      <c r="R1" t="s">
        <v>192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205</v>
      </c>
      <c r="AE1" t="s">
        <v>207</v>
      </c>
      <c r="AF1" t="s">
        <v>208</v>
      </c>
      <c r="AG1" t="s">
        <v>209</v>
      </c>
      <c r="AH1" t="s">
        <v>210</v>
      </c>
      <c r="AI1" t="s">
        <v>211</v>
      </c>
      <c r="AJ1" t="s">
        <v>212</v>
      </c>
      <c r="AK1" t="s">
        <v>213</v>
      </c>
      <c r="AL1" t="s">
        <v>214</v>
      </c>
      <c r="AM1" t="s">
        <v>215</v>
      </c>
      <c r="AN1" t="s">
        <v>216</v>
      </c>
      <c r="AO1" t="s">
        <v>217</v>
      </c>
      <c r="AP1" s="202" t="s">
        <v>218</v>
      </c>
      <c r="AQ1" s="202" t="s">
        <v>219</v>
      </c>
      <c r="AR1" t="s">
        <v>221</v>
      </c>
      <c r="AS1" t="s">
        <v>71</v>
      </c>
      <c r="AT1" s="201" t="s">
        <v>72</v>
      </c>
      <c r="AU1" t="s">
        <v>73</v>
      </c>
      <c r="AV1" s="201" t="s">
        <v>222</v>
      </c>
      <c r="AW1" s="201" t="s">
        <v>223</v>
      </c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</row>
    <row r="2" x14ac:dyDescent="0.15">
      <c r="A2" t="s">
        <v>38</v>
      </c>
      <c r="B2" s="14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</row>
    <row r="3" x14ac:dyDescent="0.15">
      <c r="A3" t="s">
        <v>40</v>
      </c>
      <c r="B3" s="14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</row>
    <row r="4" x14ac:dyDescent="0.15">
      <c r="A4" t="s">
        <v>41</v>
      </c>
      <c r="B4" s="14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x14ac:dyDescent="0.15">
      <c r="A5" t="s">
        <v>182</v>
      </c>
      <c r="B5" s="14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</row>
    <row r="6" x14ac:dyDescent="0.15">
      <c r="A6" t="s">
        <v>183</v>
      </c>
      <c r="B6" s="14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</row>
    <row r="7" x14ac:dyDescent="0.15">
      <c r="A7" t="s">
        <v>184</v>
      </c>
      <c r="B7" s="14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x14ac:dyDescent="0.15">
      <c r="A8" t="s">
        <v>185</v>
      </c>
      <c r="B8" s="14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</row>
    <row r="9" x14ac:dyDescent="0.15">
      <c r="A9" t="s">
        <v>186</v>
      </c>
      <c r="B9" s="14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</row>
    <row r="10" x14ac:dyDescent="0.15">
      <c r="A10" t="s">
        <v>187</v>
      </c>
      <c r="B10" s="14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</row>
    <row r="11" x14ac:dyDescent="0.15">
      <c r="A11" s="201" t="s">
        <v>188</v>
      </c>
      <c r="B11" s="14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</row>
    <row r="12" x14ac:dyDescent="0.15">
      <c r="A12" t="s">
        <v>190</v>
      </c>
      <c r="B12" s="14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</row>
    <row r="13" x14ac:dyDescent="0.15">
      <c r="A13" t="s">
        <v>191</v>
      </c>
      <c r="B13" s="14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</row>
    <row r="14" x14ac:dyDescent="0.15">
      <c r="A14" t="s">
        <v>192</v>
      </c>
      <c r="B14" s="14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</row>
    <row r="15" x14ac:dyDescent="0.15">
      <c r="A15" t="s">
        <v>194</v>
      </c>
      <c r="B15" s="14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</row>
    <row r="16" x14ac:dyDescent="0.15">
      <c r="A16" t="s">
        <v>195</v>
      </c>
      <c r="B16" s="14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</row>
    <row r="17" x14ac:dyDescent="0.15">
      <c r="A17" t="s">
        <v>196</v>
      </c>
      <c r="B17" s="14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</row>
    <row r="18" x14ac:dyDescent="0.15">
      <c r="A18" t="s">
        <v>197</v>
      </c>
      <c r="B18" s="14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</row>
    <row r="19" x14ac:dyDescent="0.15">
      <c r="A19" t="s">
        <v>198</v>
      </c>
      <c r="B19" s="14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</row>
    <row r="20" x14ac:dyDescent="0.15">
      <c r="A20" t="s">
        <v>199</v>
      </c>
      <c r="B20" s="14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</row>
    <row r="21" x14ac:dyDescent="0.15">
      <c r="A21" t="s">
        <v>200</v>
      </c>
      <c r="B21" s="14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</row>
    <row r="22" x14ac:dyDescent="0.15">
      <c r="A22" t="s">
        <v>201</v>
      </c>
      <c r="B22" s="14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</row>
    <row r="23" x14ac:dyDescent="0.15">
      <c r="A23" t="s">
        <v>202</v>
      </c>
      <c r="B23" s="14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</row>
    <row r="24" x14ac:dyDescent="0.15">
      <c r="A24" t="s">
        <v>203</v>
      </c>
      <c r="B24" s="14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</row>
    <row r="25" x14ac:dyDescent="0.15">
      <c r="A25" t="s">
        <v>204</v>
      </c>
      <c r="B25" s="14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</row>
    <row r="26" x14ac:dyDescent="0.15">
      <c r="A26" t="s">
        <v>205</v>
      </c>
      <c r="B26" s="14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</row>
    <row r="27" x14ac:dyDescent="0.15">
      <c r="A27" t="s">
        <v>207</v>
      </c>
      <c r="B27" s="14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</row>
    <row r="28" x14ac:dyDescent="0.15">
      <c r="A28" t="s">
        <v>208</v>
      </c>
      <c r="B28" s="14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</row>
    <row r="29" x14ac:dyDescent="0.15">
      <c r="A29" t="s">
        <v>209</v>
      </c>
      <c r="B29" s="14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</row>
    <row r="30" x14ac:dyDescent="0.15">
      <c r="A30" t="s">
        <v>210</v>
      </c>
      <c r="B30" s="14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</row>
    <row r="31" x14ac:dyDescent="0.15">
      <c r="A31" t="s">
        <v>211</v>
      </c>
      <c r="B31" s="14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</row>
    <row r="32" x14ac:dyDescent="0.15">
      <c r="A32" t="s">
        <v>212</v>
      </c>
      <c r="B32" s="14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</row>
    <row r="33" x14ac:dyDescent="0.15">
      <c r="A33" t="s">
        <v>213</v>
      </c>
      <c r="B33" s="14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</row>
    <row r="34" x14ac:dyDescent="0.15">
      <c r="A34" t="s">
        <v>214</v>
      </c>
      <c r="B34" s="14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</row>
    <row r="35" x14ac:dyDescent="0.15">
      <c r="A35" t="s">
        <v>215</v>
      </c>
      <c r="B35" s="14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</row>
    <row r="36" x14ac:dyDescent="0.15">
      <c r="A36" t="s">
        <v>216</v>
      </c>
      <c r="B36" s="145">
        <v>0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</row>
    <row r="37" x14ac:dyDescent="0.15">
      <c r="A37" t="s">
        <v>217</v>
      </c>
      <c r="B37" s="145"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</row>
    <row r="38" x14ac:dyDescent="0.15">
      <c r="A38" s="202" t="s">
        <v>218</v>
      </c>
      <c r="B38" s="14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</row>
    <row r="39" x14ac:dyDescent="0.15">
      <c r="A39" s="202" t="s">
        <v>219</v>
      </c>
      <c r="B39" s="145">
        <v>0</v>
      </c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</row>
    <row r="40" x14ac:dyDescent="0.15">
      <c r="A40" t="s">
        <v>221</v>
      </c>
      <c r="B40" s="145">
        <v>0</v>
      </c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</row>
    <row r="41" x14ac:dyDescent="0.15">
      <c r="A41" t="s">
        <v>71</v>
      </c>
      <c r="B41" s="145"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</row>
    <row r="42" x14ac:dyDescent="0.15">
      <c r="A42" s="201" t="s">
        <v>72</v>
      </c>
      <c r="B42" s="145"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 x14ac:dyDescent="0.15">
      <c r="A43" t="s">
        <v>73</v>
      </c>
      <c r="B43" s="145"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</row>
    <row r="44" x14ac:dyDescent="0.15">
      <c r="A44" s="201" t="s">
        <v>222</v>
      </c>
      <c r="B44" s="145"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 x14ac:dyDescent="0.15">
      <c r="A45" s="201" t="s">
        <v>223</v>
      </c>
      <c r="B45" s="145">
        <v>0</v>
      </c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</row>
    <row r="46" ht="15" customHeight="true" x14ac:dyDescent="0.15"/>
    <row r="47" ht="15" customHeight="true" x14ac:dyDescent="0.15"/>
    <row r="48" x14ac:dyDescent="0.15">
      <c r="B48" s="56" t="s">
        <v>163</v>
      </c>
    </row>
    <row r="49" ht="15" customHeight="true" x14ac:dyDescent="0.15"/>
    <row r="50" ht="15" customHeight="true" x14ac:dyDescent="0.15"/>
    <row r="51" ht="15" customHeight="true" x14ac:dyDescent="0.15"/>
    <row r="52" ht="15" customHeight="true" x14ac:dyDescent="0.15"/>
    <row r="53" ht="15" customHeight="true" x14ac:dyDescent="0.15"/>
    <row r="54" ht="15" customHeight="true" x14ac:dyDescent="0.15"/>
    <row r="55" ht="15" customHeight="true" x14ac:dyDescent="0.15"/>
    <row r="56" ht="15" customHeight="true" x14ac:dyDescent="0.15"/>
    <row r="57" ht="15" customHeight="true" x14ac:dyDescent="0.15"/>
    <row r="58" ht="15" customHeight="true" x14ac:dyDescent="0.15"/>
    <row r="59" ht="15" customHeight="true" x14ac:dyDescent="0.15"/>
    <row r="60" ht="15" customHeight="true" x14ac:dyDescent="0.15"/>
    <row r="61" ht="15" customHeight="true" x14ac:dyDescent="0.15"/>
    <row r="62" ht="15" customHeight="true" x14ac:dyDescent="0.15"/>
    <row r="63" ht="15" customHeight="true" x14ac:dyDescent="0.15"/>
    <row r="64" ht="15" customHeight="true" x14ac:dyDescent="0.15"/>
    <row r="65" ht="15" customHeight="true" x14ac:dyDescent="0.15"/>
    <row r="66" ht="15" customHeight="true" x14ac:dyDescent="0.15"/>
    <row r="67" ht="15" customHeight="true" x14ac:dyDescent="0.15"/>
    <row r="68" ht="15" customHeight="true" x14ac:dyDescent="0.15"/>
    <row r="69" ht="15" customHeight="true" x14ac:dyDescent="0.15"/>
    <row r="70" ht="15" customHeight="true" x14ac:dyDescent="0.15"/>
    <row r="71" ht="15" customHeight="true" x14ac:dyDescent="0.15"/>
    <row r="72" ht="15" customHeight="true" x14ac:dyDescent="0.15"/>
    <row r="73" ht="15" customHeight="true" x14ac:dyDescent="0.15"/>
    <row r="74" ht="15" customHeight="true" x14ac:dyDescent="0.15"/>
    <row r="75" ht="15" customHeight="true" x14ac:dyDescent="0.15"/>
    <row r="76" ht="15" customHeight="true" x14ac:dyDescent="0.15"/>
    <row r="77" ht="15" customHeight="true" x14ac:dyDescent="0.15"/>
    <row r="78" ht="15" customHeight="true" x14ac:dyDescent="0.15"/>
    <row r="79" ht="15" customHeight="true" x14ac:dyDescent="0.15"/>
    <row r="80" ht="15" customHeight="true" x14ac:dyDescent="0.15"/>
    <row r="84" ht="15" customHeight="true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2022-10-22T23:30:07Z</dcterms:modified>
</cp:coreProperties>
</file>