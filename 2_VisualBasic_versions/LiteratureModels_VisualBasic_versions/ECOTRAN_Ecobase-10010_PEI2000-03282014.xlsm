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false" codeName="ThisWorkbook" checkCompatibility="true" autoCompressPictures="false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BASE_ManualEntries_READ/"/>
    </mc:Choice>
  </mc:AlternateContent>
  <xr:revisionPtr revIDLastSave="0" documentId="13_ncr:1_{E0FD3837-5FBA-F147-958A-14823003BEA3}" xr6:coauthVersionLast="45" xr6:coauthVersionMax="45" xr10:uidLastSave="{00000000-0000-0000-0000-000000000000}"/>
  <bookViews>
    <workbookView xWindow="780" yWindow="460" windowWidth="24680" windowHeight="13820" tabRatio="728" firstSheet="8" activeTab="13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Main!$C$2:$N$40</definedName>
    <definedName name="matDetritus">Detritus!$C$2:$F$40</definedName>
    <definedName name="matDiet">Diets!$B$2:$AJ$40</definedName>
    <definedName name="matDiscards">Discards!$C$2:$C$39</definedName>
    <definedName name="matFishery">Fishing!$C$2:$C$39</definedName>
    <definedName name="matFishing">Fishing!#REF!</definedName>
    <definedName name="matMort">Mortalities!$A$1:$AP$39</definedName>
    <definedName name="matOut">MainOutputs!$A$2:$I$40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 fullCalcOnLoad="true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<sst xmlns="http://schemas.openxmlformats.org/spreadsheetml/2006/main" count="1096" uniqueCount="261">
  <si>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</si>
  <si>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</si>
  <si>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</si>
  <si>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</si>
  <si>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</si>
  <si>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</si>
  <si>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</si>
  <si>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</si>
  <si>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</si>
  <si>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</si>
  <si>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</si>
  <si>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</si>
  <si>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TOTAL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</si>
  <si>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</si>
  <si>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</si>
  <si>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</si>
  <si>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</si>
  <si>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</si>
  <si>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</si>
  <si>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</si>
  <si>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</si>
  <si>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</si>
  <si>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</si>
  <si>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</si>
  <si>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</si>
  <si>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</si>
  <si>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</si>
  <si>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</si>
  <si>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</si>
  <si>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</si>
  <si>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</si>
  <si>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</si>
  <si>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</si>
  <si>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</si>
  <si>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</si>
  <si>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</si>
  <si>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</si>
  <si>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</si>
  <si>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</si>
  <si>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</si>
  <si>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</si>
  <si>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</si>
  <si>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</si>
  <si>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</si>
  <si>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</si>
  <si>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</si>
  <si>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</si>
  <si>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</si>
  <si>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</si>
  <si>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</si>
  <si>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</si>
  <si>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</si>
  <si>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</si>
  <si>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</si>
  <si>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</si>
  <si>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</si>
  <si>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</si>
  <si>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</si>
  <si>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</si>
  <si>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</si>
  <si>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</si>
  <si>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</si>
  <si>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</si>
  <si>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</si>
  <si>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</si>
  <si>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</si>
  <si>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</si>
  <si>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</si>
  <si>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</si>
  <si>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</si>
  <si>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</si>
  <si>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</si>
  <si>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</si>
  <si>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</si>
  <si>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</si>
  <si>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</si>
  <si>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</si>
  <si>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</si>
  <si>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</si>
  <si>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</si>
  <si>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</si>
  <si>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</si>
  <si>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</si>
  <si>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</si>
  <si>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</si>
  <si>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</si>
  <si>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</si>
  <si>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</si>
  <si>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</si>
  <si>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</si>
  <si>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</si>
  <si>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</si>
  <si>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</si>
  <si>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</si>
  <si>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</si>
  <si>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</si>
  <si>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</si>
  <si>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</si>
  <si>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</si>
  <si>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</si>
  <si>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</si>
  <si>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</si>
  <si>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</si>
  <si>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</si>
  <si>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</si>
  <si>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</si>
  <si>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</si>
  <si>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</si>
  <si>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</si>
  <si>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</si>
  <si>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</si>
  <si>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</si>
  <si>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</si>
  <si>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</si>
  <si>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</si>
  <si>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</si>
  <si>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</si>
  <si>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</si>
  <si>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</si>
  <si>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</si>
  <si>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</si>
  <si>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</si>
  <si>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</si>
  <si>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</si>
  <si>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</si>
  <si>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</si>
  <si>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</si>
  <si>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</si>
  <si>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</si>
  <si>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</si>
  <si>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</si>
  <si>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</si>
  <si>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</si>
  <si>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</si>
  <si>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</si>
  <si>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</si>
  <si>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</si>
  <si>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</si>
  <si>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</si>
  <si>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</si>
  <si>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</si>
  <si>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</si>
  <si>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</si>
  <si>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</si>
  <si>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</si>
  <si>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</si>
  <si>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</si>
  <si>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</si>
  <si>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</si>
  <si>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</si>
  <si>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</si>
  <si>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</si>
  <si>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</si>
  <si>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</si>
  <si>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</si>
  <si>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</si>
  <si>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NOTE: fishery discards are defined as "feces"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</si>
  <si>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</si>
  <si>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</si>
  <si>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</si>
  <si>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</si>
  <si>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</si>
  <si>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</si>
  <si>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</si>
  <si>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</si>
  <si>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&lt;--based on fraction of total primary production</t>
  </si>
  <si>
    <t>&lt;-- primary producer excretion should be meaningless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</si>
  <si>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</si>
  <si>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</si>
  <si>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</si>
  <si>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</si>
  <si>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</si>
  <si>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</si>
  <si>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</si>
  <si>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</si>
  <si>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</si>
  <si>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</si>
  <si>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source notes</t>
  </si>
  <si>
    <t>Open ocean large phytoplankton</t>
  </si>
  <si>
    <t>Open ocean small phytoplankton</t>
  </si>
  <si>
    <t>Island associated blooms</t>
  </si>
  <si>
    <t>Macrophytes</t>
  </si>
  <si>
    <t>Small zooplankton crustaceans</t>
  </si>
  <si>
    <t>Large zooplankton crustaceans</t>
  </si>
  <si>
    <t>All other zooplankton</t>
  </si>
  <si>
    <t>Benthic decapod</t>
  </si>
  <si>
    <t>Benthos</t>
  </si>
  <si>
    <t>Small Cephalopods</t>
  </si>
  <si>
    <t>Large Cephalopods</t>
  </si>
  <si>
    <t>Myctophids</t>
  </si>
  <si>
    <t>Small pelagics</t>
  </si>
  <si>
    <t>Patagonian toothfish</t>
  </si>
  <si>
    <t>Large Pelagics</t>
  </si>
  <si>
    <t>Small Inshore Demersals</t>
  </si>
  <si>
    <t>Small Continental Slope Demersals</t>
  </si>
  <si>
    <t>Large Nototheniid Demersals</t>
  </si>
  <si>
    <t>Large Demersals</t>
  </si>
  <si>
    <t>Sharks and Rays</t>
  </si>
  <si>
    <t>Prions and Petrels</t>
  </si>
  <si>
    <t>Giant Petrels</t>
  </si>
  <si>
    <t>Dark-mantled Sooty Albatross</t>
  </si>
  <si>
    <t>Light-mantled Sooty Albatross</t>
  </si>
  <si>
    <t>Indian Yellow-nosed Albatross</t>
  </si>
  <si>
    <t>Grey-headed Albatross</t>
  </si>
  <si>
    <t>Wandering Albatross</t>
  </si>
  <si>
    <t>Gentoo Penguins</t>
  </si>
  <si>
    <t>Southern Rockhopper Penguins</t>
  </si>
  <si>
    <t>Macaroni Penguins</t>
  </si>
  <si>
    <t>King Penguins</t>
  </si>
  <si>
    <t>Sub-Antarctic Fur Seals</t>
  </si>
  <si>
    <t>Antarctic Fur Seals</t>
  </si>
  <si>
    <t>Southern Elephant Seals</t>
  </si>
  <si>
    <t>Orcas</t>
  </si>
  <si>
    <t>Pelagic Detritus</t>
  </si>
  <si>
    <t>&lt;--detritus Biomass is arbitrary</t>
  </si>
  <si>
    <t>Detritus</t>
  </si>
  <si>
    <t>Macrophyte Detritus</t>
  </si>
  <si>
    <t>PT fishery</t>
  </si>
  <si>
    <t>Import</t>
  </si>
  <si>
    <t>1 - sum</t>
  </si>
  <si>
    <t>NOTE: JR added pelagic detritus (and took from generic detritus in diets of pelagic groups)</t>
  </si>
  <si>
    <t>Export</t>
  </si>
  <si>
    <t>NOTE: the orange are AT mods (9-5-2013)</t>
  </si>
  <si>
    <t>PT fishery (t/km2/year)</t>
  </si>
  <si>
    <t>Blue cells made up by JR 9-8-2013</t>
  </si>
  <si>
    <t>THIS MADE UP BY JIM (8/27/2013)</t>
  </si>
  <si>
    <t>island blooms</t>
  </si>
  <si>
    <t>small zooplankton</t>
  </si>
  <si>
    <t>large zooplankton</t>
  </si>
  <si>
    <t>other zooplankton</t>
  </si>
  <si>
    <t>benthic decapods</t>
  </si>
  <si>
    <t>benthos</t>
  </si>
  <si>
    <t>small cephalopods</t>
  </si>
  <si>
    <t>large cephalopods</t>
  </si>
  <si>
    <t>myctophids</t>
  </si>
  <si>
    <t>small pelagics</t>
  </si>
  <si>
    <t>large pelagics</t>
  </si>
  <si>
    <t>small inshore demersals</t>
  </si>
  <si>
    <t>small slope demersals</t>
  </si>
  <si>
    <t>large nototheniids</t>
  </si>
  <si>
    <t>large demersals</t>
  </si>
  <si>
    <t>sharks &amp; rays</t>
  </si>
  <si>
    <t>prions &amp; petrels</t>
  </si>
  <si>
    <t>giant petrels</t>
  </si>
  <si>
    <t>dark-mantled sooty albatross</t>
  </si>
  <si>
    <t>light-mantled sooty albatross</t>
  </si>
  <si>
    <t>Indian yellow-nosed albatross</t>
  </si>
  <si>
    <t>grey-headed albatross</t>
  </si>
  <si>
    <t>wandering albatross</t>
  </si>
  <si>
    <t>gentoo penguins</t>
  </si>
  <si>
    <t>rockhopper penguins</t>
  </si>
  <si>
    <t>Macaroni penguins</t>
  </si>
  <si>
    <t>king penguins</t>
  </si>
  <si>
    <t>Sub-Antarctic fur seals</t>
  </si>
  <si>
    <t>Antarctic fur seals</t>
  </si>
  <si>
    <t>elephant seals</t>
  </si>
  <si>
    <t>orcas</t>
  </si>
  <si>
    <t>macrophyte detritus</t>
  </si>
  <si>
    <t>Myctophids</t>
    <phoneticPr fontId="0" type="noConversion"/>
  </si>
  <si>
    <t>Large Nototheniid Demersals</t>
    <phoneticPr fontId="0" type="noConversion"/>
  </si>
  <si>
    <t>F PT fishery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</si>
</sst>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2"/>
      <color rgb="FF0070C0"/>
      <name val="Arial"/>
      <family val="2"/>
    </font>
    <font>
      <b/>
      <sz val="12"/>
      <color theme="6" tint="-0.24994659260842"/>
      <name val="Arial"/>
      <family val="2"/>
    </font>
    <font>
      <sz val="12"/>
      <color theme="6" tint="-0.24994659260842"/>
      <name val="Arial"/>
      <family val="2"/>
    </font>
    <font>
      <b/>
      <sz val="10"/>
      <name val="Verdana"/>
      <family val="2"/>
    </font>
    <font>
      <sz val="11"/>
      <color rgb="FF000000"/>
      <name val="Calibri"/>
      <family val="2"/>
      <scheme val="minor"/>
    </font>
  </fonts>
  <fills count="12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2"/>
        <bgColor indexed="64"/>
      </patternFill>
    </fill>
    <fill>
      <patternFill patternType="solid">
        <fgColor theme="6" tint="0.39997558519242"/>
        <bgColor indexed="64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2" tint="-0.24994659260842"/>
        <bgColor indexed="64"/>
      </patternFill>
    </fill>
    <fill>
      <patternFill patternType="solid">
        <fgColor theme="7" tint="0.399975585192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7" tint="0.59996337778863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FF5C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EBFF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/>
      <bottom/>
      <diagonal/>
    </border>
    <border>
      <left style="medium">
        <color auto="true"/>
      </left>
      <right/>
      <top style="medium">
        <color auto="true"/>
      </top>
      <bottom/>
      <diagonal/>
    </border>
    <border>
      <left/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/>
      <top/>
      <bottom/>
      <diagonal/>
    </border>
    <border>
      <left/>
      <right style="medium">
        <color auto="true"/>
      </right>
      <top/>
      <bottom/>
      <diagonal/>
    </border>
    <border>
      <left style="medium">
        <color auto="true"/>
      </left>
      <right/>
      <top/>
      <bottom style="medium">
        <color auto="true"/>
      </bottom>
      <diagonal/>
    </border>
    <border>
      <left/>
      <right/>
      <top/>
      <bottom style="medium">
        <color auto="true"/>
      </bottom>
      <diagonal/>
    </border>
    <border>
      <left/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medium">
        <color auto="true"/>
      </left>
      <right/>
      <top style="medium">
        <color auto="true"/>
      </top>
      <bottom style="medium">
        <color auto="true"/>
      </bottom>
      <diagonal/>
    </border>
    <border>
      <left/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thin">
        <color auto="true"/>
      </left>
      <right/>
      <top style="thin">
        <color auto="true"/>
      </top>
      <bottom/>
      <diagonal/>
    </border>
    <border>
      <left style="thin">
        <color auto="true"/>
      </left>
      <right/>
      <top/>
      <bottom/>
      <diagonal/>
    </border>
    <border>
      <left/>
      <right style="thin">
        <color auto="true"/>
      </right>
      <top/>
      <bottom/>
      <diagonal/>
    </border>
    <border>
      <left style="thin">
        <color auto="true"/>
      </left>
      <right/>
      <top/>
      <bottom style="thin">
        <color rgb="FFC0C0C0"/>
      </bottom>
      <diagonal/>
    </border>
    <border>
      <left/>
      <right style="thin">
        <color auto="true"/>
      </right>
      <top/>
      <bottom style="medium">
        <color auto="true"/>
      </bottom>
      <diagonal/>
    </border>
    <border>
      <left style="thin">
        <color auto="true"/>
      </left>
      <right/>
      <top/>
      <bottom style="thin">
        <color auto="true"/>
      </bottom>
      <diagonal/>
    </border>
    <border>
      <left/>
      <right style="thin">
        <color auto="true"/>
      </right>
      <top/>
      <bottom style="thin">
        <color auto="true"/>
      </bottom>
      <diagonal/>
    </border>
    <border>
      <left/>
      <right style="thin">
        <color auto="true"/>
      </right>
      <top style="thin">
        <color auto="true"/>
      </top>
      <bottom style="thin">
        <color auto="true"/>
      </bottom>
      <diagonal/>
    </border>
    <border>
      <left/>
      <right/>
      <top style="thin">
        <color auto="true"/>
      </top>
      <bottom style="thin">
        <color auto="true"/>
      </bottom>
      <diagonal/>
    </border>
    <border/>
    <border/>
    <border/>
    <border/>
  </borders>
  <cellStyleXfs count="3654">
    <xf numFmtId="0" fontId="0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3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</cellStyleXfs>
  <cellXfs count="246">
    <xf numFmtId="0" fontId="0" fillId="0" borderId="0" xfId="0"/>
    <xf numFmtId="0" fontId="1" fillId="0" borderId="0" xfId="0" applyFont="true"/>
    <xf numFmtId="0" fontId="1" fillId="2" borderId="0" xfId="0" applyFont="true" applyFill="true"/>
    <xf numFmtId="0" fontId="0" fillId="0" borderId="0" xfId="0" applyFill="true"/>
    <xf numFmtId="0" fontId="0" fillId="4" borderId="0" xfId="0" applyFill="true"/>
    <xf numFmtId="2" fontId="0" fillId="4" borderId="0" xfId="0" applyNumberFormat="true" applyFill="true"/>
    <xf numFmtId="0" fontId="0" fillId="5" borderId="0" xfId="0" applyFill="true"/>
    <xf numFmtId="0" fontId="0" fillId="6" borderId="0" xfId="0" applyFill="true"/>
    <xf numFmtId="0" fontId="0" fillId="7" borderId="0" xfId="0" applyFill="true"/>
    <xf numFmtId="0" fontId="0" fillId="8" borderId="0" xfId="0" applyFill="true"/>
    <xf numFmtId="0" fontId="0" fillId="9" borderId="0" xfId="0" applyFill="true"/>
    <xf numFmtId="0" fontId="0" fillId="10" borderId="0" xfId="0" applyFill="true"/>
    <xf numFmtId="0" fontId="0" fillId="11" borderId="0" xfId="0" applyFill="true"/>
    <xf numFmtId="0" fontId="0" fillId="12" borderId="0" xfId="0" applyFill="true"/>
    <xf numFmtId="0" fontId="0" fillId="13" borderId="0" xfId="0" applyFill="true"/>
    <xf numFmtId="0" fontId="0" fillId="14" borderId="0" xfId="0" applyFill="true"/>
    <xf numFmtId="0" fontId="0" fillId="15" borderId="0" xfId="0" applyFill="true"/>
    <xf numFmtId="0" fontId="0" fillId="16" borderId="0" xfId="0" applyFill="true"/>
    <xf numFmtId="0" fontId="0" fillId="17" borderId="0" xfId="0" applyFill="true"/>
    <xf numFmtId="0" fontId="0" fillId="18" borderId="0" xfId="0" applyFill="true"/>
    <xf numFmtId="0" fontId="0" fillId="19" borderId="0" xfId="0" applyFill="true"/>
    <xf numFmtId="0" fontId="0" fillId="20" borderId="0" xfId="0" applyFill="true"/>
    <xf numFmtId="0" fontId="0" fillId="21" borderId="0" xfId="0" applyFill="true"/>
    <xf numFmtId="0" fontId="0" fillId="22" borderId="0" xfId="0" applyFill="true"/>
    <xf numFmtId="0" fontId="0" fillId="23" borderId="0" xfId="0" applyFill="true"/>
    <xf numFmtId="0" fontId="0" fillId="24" borderId="0" xfId="0" applyFill="true"/>
    <xf numFmtId="0" fontId="0" fillId="25" borderId="0" xfId="0" applyFill="true"/>
    <xf numFmtId="14" fontId="0" fillId="0" borderId="0" xfId="0" applyNumberFormat="true"/>
    <xf numFmtId="0" fontId="0" fillId="0" borderId="6" xfId="0" applyBorder="true"/>
    <xf numFmtId="0" fontId="0" fillId="0" borderId="7" xfId="0" applyBorder="true"/>
    <xf numFmtId="0" fontId="0" fillId="0" borderId="8" xfId="0" applyBorder="true"/>
    <xf numFmtId="0" fontId="0" fillId="0" borderId="11" xfId="0" applyBorder="true"/>
    <xf numFmtId="2" fontId="1" fillId="0" borderId="0" xfId="0" applyNumberFormat="true" applyFont="true"/>
    <xf numFmtId="0" fontId="1" fillId="0" borderId="0" xfId="0" applyFont="true" applyAlignment="true">
      <alignment horizontal="right"/>
    </xf>
    <xf numFmtId="0" fontId="1" fillId="0" borderId="0" xfId="0" applyFont="true" applyFill="true" applyAlignment="true">
      <alignment horizontal="center"/>
    </xf>
    <xf numFmtId="0" fontId="0" fillId="0" borderId="0" xfId="0" applyFill="true" applyBorder="true" applyAlignment="true">
      <alignment horizontal="center"/>
    </xf>
    <xf numFmtId="0" fontId="1" fillId="2" borderId="2" xfId="0" applyFont="true" applyFill="true" applyBorder="true" applyAlignment="true">
      <alignment horizontal="center"/>
    </xf>
    <xf numFmtId="0" fontId="1" fillId="2" borderId="3" xfId="0" applyFont="true" applyFill="true" applyBorder="true" applyAlignment="true">
      <alignment horizontal="center"/>
    </xf>
    <xf numFmtId="0" fontId="6" fillId="0" borderId="0" xfId="0" applyFont="true" applyAlignment="true">
      <alignment horizontal="right"/>
    </xf>
    <xf numFmtId="0" fontId="1" fillId="0" borderId="0" xfId="0" applyFont="true" applyFill="true" applyBorder="true" applyAlignment="true">
      <alignment horizontal="right"/>
    </xf>
    <xf numFmtId="0" fontId="1" fillId="26" borderId="2" xfId="0" applyFont="true" applyFill="true" applyBorder="true" applyAlignment="true">
      <alignment horizontal="center"/>
    </xf>
    <xf numFmtId="0" fontId="1" fillId="26" borderId="4" xfId="0" applyFont="true" applyFill="true" applyBorder="true" applyAlignment="true">
      <alignment horizontal="center"/>
    </xf>
    <xf numFmtId="0" fontId="1" fillId="26" borderId="3" xfId="0" applyFont="true" applyFill="true" applyBorder="true" applyAlignment="true">
      <alignment horizontal="center"/>
    </xf>
    <xf numFmtId="0" fontId="1" fillId="0" borderId="10" xfId="0" applyFont="true" applyBorder="true" applyAlignment="true">
      <alignment horizontal="center"/>
    </xf>
    <xf numFmtId="0" fontId="1" fillId="0" borderId="13" xfId="0" applyFont="true" applyBorder="true" applyAlignment="true">
      <alignment horizontal="center"/>
    </xf>
    <xf numFmtId="0" fontId="0" fillId="0" borderId="14" xfId="0" applyBorder="true"/>
    <xf numFmtId="0" fontId="0" fillId="0" borderId="7" xfId="0" applyBorder="true" applyAlignment="true">
      <alignment horizontal="right"/>
    </xf>
    <xf numFmtId="0" fontId="0" fillId="0" borderId="9" xfId="0" applyBorder="true" applyAlignment="true">
      <alignment horizontal="right"/>
    </xf>
    <xf numFmtId="0" fontId="0" fillId="0" borderId="7" xfId="0" applyFill="true" applyBorder="true" applyAlignment="true">
      <alignment horizontal="left"/>
    </xf>
    <xf numFmtId="0" fontId="0" fillId="0" borderId="5" xfId="0" applyBorder="true" applyAlignment="true">
      <alignment horizontal="right"/>
    </xf>
    <xf numFmtId="0" fontId="1" fillId="0" borderId="0" xfId="0" applyFont="true" applyFill="true"/>
    <xf numFmtId="0" fontId="0" fillId="26" borderId="5" xfId="0" applyFill="true" applyBorder="true"/>
    <xf numFmtId="0" fontId="0" fillId="26" borderId="7" xfId="0" applyFill="true" applyBorder="true"/>
    <xf numFmtId="0" fontId="0" fillId="26" borderId="8" xfId="0" applyFill="true" applyBorder="true"/>
    <xf numFmtId="0" fontId="0" fillId="26" borderId="9" xfId="0" applyFill="true" applyBorder="true"/>
    <xf numFmtId="0" fontId="0" fillId="26" borderId="11" xfId="0" applyFill="true" applyBorder="true"/>
    <xf numFmtId="0" fontId="8" fillId="0" borderId="0" xfId="0" applyFont="true"/>
    <xf numFmtId="0" fontId="0" fillId="33" borderId="0" xfId="0" applyFill="true"/>
    <xf numFmtId="0" fontId="0" fillId="35" borderId="0" xfId="0" applyFill="true"/>
    <xf numFmtId="0" fontId="0" fillId="36" borderId="0" xfId="0" applyFill="true"/>
    <xf numFmtId="0" fontId="0" fillId="37" borderId="0" xfId="0" applyFill="true"/>
    <xf numFmtId="0" fontId="0" fillId="0" borderId="0" xfId="0" applyFont="true"/>
    <xf numFmtId="2" fontId="0" fillId="0" borderId="0" xfId="0" applyNumberFormat="true" applyFont="true"/>
    <xf numFmtId="0" fontId="0" fillId="38" borderId="0" xfId="0" applyFill="true"/>
    <xf numFmtId="0" fontId="0" fillId="40" borderId="0" xfId="0" applyFill="true"/>
    <xf numFmtId="0" fontId="0" fillId="41" borderId="0" xfId="0" applyFill="true"/>
    <xf numFmtId="0" fontId="0" fillId="42" borderId="0" xfId="0" applyFill="true"/>
    <xf numFmtId="0" fontId="0" fillId="43" borderId="0" xfId="0" applyFill="true"/>
    <xf numFmtId="0" fontId="0" fillId="44" borderId="0" xfId="0" applyFill="true"/>
    <xf numFmtId="0" fontId="0" fillId="45" borderId="0" xfId="0" applyFill="true"/>
    <xf numFmtId="0" fontId="0" fillId="46" borderId="0" xfId="0" applyFill="true"/>
    <xf numFmtId="0" fontId="0" fillId="47" borderId="0" xfId="0" applyFill="true"/>
    <xf numFmtId="0" fontId="0" fillId="48" borderId="0" xfId="0" applyFill="true"/>
    <xf numFmtId="0" fontId="0" fillId="49" borderId="0" xfId="0" applyFill="true"/>
    <xf numFmtId="0" fontId="0" fillId="50" borderId="0" xfId="0" applyFill="true"/>
    <xf numFmtId="0" fontId="0" fillId="51" borderId="0" xfId="0" applyFill="true"/>
    <xf numFmtId="0" fontId="0" fillId="52" borderId="0" xfId="0" applyFill="true"/>
    <xf numFmtId="0" fontId="0" fillId="53" borderId="0" xfId="0" applyFill="true"/>
    <xf numFmtId="0" fontId="0" fillId="54" borderId="0" xfId="0" applyFill="true"/>
    <xf numFmtId="0" fontId="0" fillId="55" borderId="0" xfId="0" applyFill="true"/>
    <xf numFmtId="0" fontId="11" fillId="2" borderId="0" xfId="0" applyFont="true" applyFill="true"/>
    <xf numFmtId="0" fontId="12" fillId="0" borderId="0" xfId="0" applyFont="true"/>
    <xf numFmtId="0" fontId="0" fillId="56" borderId="0" xfId="0" applyFill="true"/>
    <xf numFmtId="0" fontId="0" fillId="57" borderId="0" xfId="0" applyFill="true"/>
    <xf numFmtId="0" fontId="0" fillId="58" borderId="0" xfId="0" applyFill="true"/>
    <xf numFmtId="0" fontId="0" fillId="59" borderId="0" xfId="0" applyFill="true"/>
    <xf numFmtId="0" fontId="14" fillId="0" borderId="0" xfId="0" applyFont="true"/>
    <xf numFmtId="0" fontId="13" fillId="0" borderId="0" xfId="0" applyFont="true"/>
    <xf numFmtId="0" fontId="9" fillId="26" borderId="6" xfId="0" applyFont="true" applyFill="true" applyBorder="true"/>
    <xf numFmtId="0" fontId="12" fillId="0" borderId="0" xfId="0" applyFont="true" applyFill="true"/>
    <xf numFmtId="0" fontId="15" fillId="0" borderId="0" xfId="0" applyFont="true" applyFill="true"/>
    <xf numFmtId="0" fontId="11" fillId="0" borderId="0" xfId="0" applyFont="true" applyAlignment="true"/>
    <xf numFmtId="0" fontId="12" fillId="0" borderId="0" xfId="0" applyFont="true" applyAlignment="true"/>
    <xf numFmtId="0" fontId="11" fillId="2" borderId="0" xfId="0" applyFont="true" applyFill="true" applyAlignment="true"/>
    <xf numFmtId="0" fontId="11" fillId="0" borderId="0" xfId="0" applyFont="true" applyFill="true" applyAlignment="true"/>
    <xf numFmtId="0" fontId="11" fillId="0" borderId="0" xfId="0" applyFont="true"/>
    <xf numFmtId="0" fontId="11" fillId="0" borderId="0" xfId="0" applyFont="true" applyAlignment="true">
      <alignment horizontal="right"/>
    </xf>
    <xf numFmtId="2" fontId="11" fillId="0" borderId="12" xfId="0" applyNumberFormat="true" applyFont="true" applyBorder="true" applyAlignment="true">
      <alignment horizontal="center"/>
    </xf>
    <xf numFmtId="0" fontId="16" fillId="0" borderId="0" xfId="0" applyFont="true"/>
    <xf numFmtId="0" fontId="11" fillId="0" borderId="13" xfId="0" applyFont="true" applyBorder="true" applyAlignment="true">
      <alignment horizontal="center"/>
    </xf>
    <xf numFmtId="0" fontId="12" fillId="0" borderId="14" xfId="0" applyFont="true" applyBorder="true"/>
    <xf numFmtId="0" fontId="12" fillId="0" borderId="7" xfId="0" applyFont="true" applyBorder="true" applyAlignment="true">
      <alignment horizontal="right"/>
    </xf>
    <xf numFmtId="0" fontId="12" fillId="0" borderId="8" xfId="0" applyFont="true" applyBorder="true"/>
    <xf numFmtId="0" fontId="12" fillId="0" borderId="9" xfId="0" applyFont="true" applyBorder="true" applyAlignment="true">
      <alignment horizontal="right"/>
    </xf>
    <xf numFmtId="0" fontId="12" fillId="0" borderId="11" xfId="0" applyFont="true" applyBorder="true"/>
    <xf numFmtId="0" fontId="12" fillId="0" borderId="7" xfId="0" applyFont="true" applyFill="true" applyBorder="true" applyAlignment="true">
      <alignment horizontal="left"/>
    </xf>
    <xf numFmtId="0" fontId="10" fillId="0" borderId="0" xfId="0" applyFont="true" applyFill="true" applyAlignment="true">
      <alignment horizontal="left"/>
    </xf>
    <xf numFmtId="0" fontId="12" fillId="0" borderId="0" xfId="0" applyFont="true" applyAlignment="true">
      <alignment horizontal="center"/>
    </xf>
    <xf numFmtId="0" fontId="11" fillId="0" borderId="0" xfId="0" applyFont="true" applyAlignment="true">
      <alignment horizontal="center"/>
    </xf>
    <xf numFmtId="0" fontId="12" fillId="0" borderId="0" xfId="0" applyFont="true" applyBorder="true"/>
    <xf numFmtId="0" fontId="17" fillId="0" borderId="0" xfId="0" applyFont="true"/>
    <xf numFmtId="0" fontId="12" fillId="0" borderId="0" xfId="0" applyFont="true" applyAlignment="true">
      <alignment horizontal="left"/>
    </xf>
    <xf numFmtId="0" fontId="11" fillId="0" borderId="0" xfId="0" applyFont="true" applyAlignment="true">
      <alignment horizontal="left"/>
    </xf>
    <xf numFmtId="0" fontId="12" fillId="34" borderId="2" xfId="0" applyNumberFormat="true" applyFont="true" applyFill="true" applyBorder="true"/>
    <xf numFmtId="0" fontId="18" fillId="0" borderId="0" xfId="0" applyFont="true"/>
    <xf numFmtId="0" fontId="12" fillId="0" borderId="1" xfId="0" applyFont="true" applyBorder="true" applyAlignment="true">
      <alignment horizontal="center"/>
    </xf>
    <xf numFmtId="0" fontId="12" fillId="0" borderId="0" xfId="0" applyFont="true" applyFill="true" applyBorder="true" applyAlignment="true">
      <alignment horizontal="center"/>
    </xf>
    <xf numFmtId="0" fontId="12" fillId="34" borderId="3" xfId="0" applyNumberFormat="true" applyFont="true" applyFill="true" applyBorder="true"/>
    <xf numFmtId="0" fontId="12" fillId="34" borderId="2" xfId="0" applyFont="true" applyFill="true" applyBorder="true"/>
    <xf numFmtId="0" fontId="12" fillId="34" borderId="3" xfId="0" applyFont="true" applyFill="true" applyBorder="true"/>
    <xf numFmtId="0" fontId="17" fillId="0" borderId="0" xfId="0" applyFont="true" applyAlignment="true">
      <alignment horizontal="left"/>
    </xf>
    <xf numFmtId="0" fontId="12" fillId="34" borderId="4" xfId="0" applyFont="true" applyFill="true" applyBorder="true"/>
    <xf numFmtId="0" fontId="12" fillId="0" borderId="15" xfId="0" applyFont="true" applyBorder="true"/>
    <xf numFmtId="0" fontId="11" fillId="0" borderId="23" xfId="0" applyFont="true" applyBorder="true" applyAlignment="true">
      <alignment horizontal="center"/>
    </xf>
    <xf numFmtId="0" fontId="11" fillId="0" borderId="22" xfId="0" applyFont="true" applyBorder="true" applyAlignment="true">
      <alignment horizontal="center"/>
    </xf>
    <xf numFmtId="0" fontId="12" fillId="0" borderId="17" xfId="0" applyFont="true" applyBorder="true"/>
    <xf numFmtId="0" fontId="19" fillId="0" borderId="18" xfId="0" applyFont="true" applyFill="true" applyBorder="true" applyAlignment="true">
      <alignment horizontal="right" wrapText="true"/>
    </xf>
    <xf numFmtId="0" fontId="12" fillId="0" borderId="16" xfId="0" applyFont="true" applyFill="true" applyBorder="true" applyAlignment="true">
      <alignment horizontal="right"/>
    </xf>
    <xf numFmtId="0" fontId="12" fillId="0" borderId="10" xfId="0" applyFont="true" applyBorder="true"/>
    <xf numFmtId="0" fontId="12" fillId="0" borderId="19" xfId="0" applyFont="true" applyBorder="true"/>
    <xf numFmtId="0" fontId="12" fillId="0" borderId="20" xfId="0" applyFont="true" applyBorder="true"/>
    <xf numFmtId="0" fontId="12" fillId="0" borderId="1" xfId="0" applyFont="true" applyBorder="true"/>
    <xf numFmtId="0" fontId="12" fillId="0" borderId="21" xfId="0" applyFont="true" applyBorder="true"/>
    <xf numFmtId="0" fontId="20" fillId="0" borderId="0" xfId="0" applyFont="true" applyAlignment="true">
      <alignment horizontal="center"/>
    </xf>
    <xf numFmtId="0" fontId="20" fillId="0" borderId="1" xfId="0" applyFont="true" applyBorder="true" applyAlignment="true">
      <alignment horizontal="center"/>
    </xf>
    <xf numFmtId="0" fontId="20" fillId="0" borderId="0" xfId="0" applyFont="true"/>
    <xf numFmtId="0" fontId="20" fillId="0" borderId="0" xfId="0" applyFont="true" applyFill="true" applyAlignment="true">
      <alignment horizontal="center"/>
    </xf>
    <xf numFmtId="0" fontId="20" fillId="0" borderId="1" xfId="0" applyFont="true" applyFill="true" applyBorder="true" applyAlignment="true">
      <alignment horizontal="center"/>
    </xf>
    <xf numFmtId="0" fontId="20" fillId="0" borderId="0" xfId="0" applyFont="true" applyFill="true"/>
    <xf numFmtId="0" fontId="21" fillId="0" borderId="0" xfId="0" applyFont="true" applyAlignment="true">
      <alignment horizontal="left"/>
    </xf>
    <xf numFmtId="0" fontId="22" fillId="0" borderId="1" xfId="0" applyFont="true" applyBorder="true" applyAlignment="true">
      <alignment horizontal="center"/>
    </xf>
    <xf numFmtId="0" fontId="22" fillId="0" borderId="0" xfId="0" applyFont="true"/>
    <xf numFmtId="0" fontId="3" fillId="0" borderId="0" xfId="971"/>
    <xf numFmtId="0" fontId="3" fillId="0" borderId="0" xfId="971" applyFill="true" applyAlignment="true">
      <alignment horizontal="center" vertical="center"/>
    </xf>
    <xf numFmtId="11" fontId="0" fillId="0" borderId="0" xfId="0" applyNumberFormat="true"/>
    <xf numFmtId="0" fontId="3" fillId="0" borderId="0" xfId="971" applyFill="true"/>
    <xf numFmtId="0" fontId="0" fillId="60" borderId="0" xfId="0" applyFill="true"/>
    <xf numFmtId="0" fontId="0" fillId="26" borderId="0" xfId="0" applyFill="true"/>
    <xf numFmtId="0" fontId="0" fillId="39" borderId="0" xfId="0" applyFill="true"/>
    <xf numFmtId="0" fontId="1" fillId="2" borderId="0" xfId="0" applyFont="true" applyFill="true" applyAlignment="true">
      <alignment wrapText="true"/>
    </xf>
    <xf numFmtId="0" fontId="0" fillId="0" borderId="0" xfId="0" applyAlignment="true">
      <alignment wrapText="true"/>
    </xf>
    <xf numFmtId="0" fontId="0" fillId="3" borderId="0" xfId="0" applyFill="true"/>
    <xf numFmtId="0" fontId="7" fillId="0" borderId="0" xfId="0" applyFont="true"/>
    <xf numFmtId="0" fontId="1" fillId="0" borderId="0" xfId="0" applyFont="true" applyAlignment="true">
      <alignment wrapText="true"/>
    </xf>
    <xf numFmtId="0" fontId="23" fillId="0" borderId="0" xfId="0" applyFont="true" applyAlignment="true">
      <alignment horizontal="center"/>
    </xf>
    <xf numFmtId="0" fontId="23" fillId="0" borderId="0" xfId="0" applyFont="true" applyFill="true" applyAlignment="true">
      <alignment horizontal="center"/>
    </xf>
    <xf numFmtId="0" fontId="23" fillId="31" borderId="0" xfId="0" applyFont="true" applyFill="true" applyAlignment="true">
      <alignment horizontal="center"/>
    </xf>
    <xf numFmtId="0" fontId="23" fillId="29" borderId="0" xfId="0" applyFont="true" applyFill="true" applyAlignment="true">
      <alignment horizontal="center"/>
    </xf>
    <xf numFmtId="0" fontId="23" fillId="30" borderId="0" xfId="0" applyFont="true" applyFill="true" applyAlignment="true">
      <alignment horizontal="center"/>
    </xf>
    <xf numFmtId="0" fontId="23" fillId="27" borderId="0" xfId="0" applyFont="true" applyFill="true" applyAlignment="true">
      <alignment horizontal="center"/>
    </xf>
    <xf numFmtId="0" fontId="23" fillId="28" borderId="0" xfId="0" applyFont="true" applyFill="true" applyAlignment="true">
      <alignment horizontal="center"/>
    </xf>
    <xf numFmtId="0" fontId="23" fillId="0" borderId="0" xfId="0" applyFont="true" applyFill="true" applyAlignment="true">
      <alignment horizontal="right"/>
    </xf>
    <xf numFmtId="0" fontId="0" fillId="26" borderId="2" xfId="0" applyFill="true" applyBorder="true" applyAlignment="true">
      <alignment horizontal="center"/>
    </xf>
    <xf numFmtId="0" fontId="0" fillId="0" borderId="0" xfId="0" applyBorder="true"/>
    <xf numFmtId="0" fontId="24" fillId="0" borderId="0" xfId="0" applyFont="true" applyBorder="true" applyAlignment="true">
      <alignment horizontal="center" vertical="center"/>
    </xf>
    <xf numFmtId="0" fontId="24" fillId="61" borderId="0" xfId="0" applyFont="true" applyFill="true" applyBorder="true" applyAlignment="true">
      <alignment horizontal="center" vertical="center"/>
    </xf>
    <xf numFmtId="0" fontId="0" fillId="26" borderId="4" xfId="0" applyFill="true" applyBorder="true" applyAlignment="true">
      <alignment horizontal="center"/>
    </xf>
    <xf numFmtId="0" fontId="0" fillId="61" borderId="0" xfId="0" applyFill="true" applyBorder="true" applyAlignment="true">
      <alignment horizontal="center"/>
    </xf>
    <xf numFmtId="0" fontId="0" fillId="26" borderId="3" xfId="0" applyFill="true" applyBorder="true"/>
    <xf numFmtId="0" fontId="24" fillId="0" borderId="0" xfId="0" applyFont="true" applyFill="true" applyBorder="true" applyAlignment="true">
      <alignment horizontal="center" vertical="center"/>
    </xf>
    <xf numFmtId="0" fontId="0" fillId="0" borderId="0" xfId="0" applyAlignment="true">
      <alignment horizontal="center"/>
    </xf>
    <xf numFmtId="0" fontId="0" fillId="0" borderId="0" xfId="0" applyBorder="true" applyAlignment="true">
      <alignment horizontal="center"/>
    </xf>
    <xf numFmtId="0" fontId="0" fillId="0" borderId="0" xfId="0" applyFill="true" applyAlignment="true">
      <alignment horizontal="center"/>
    </xf>
    <xf numFmtId="0" fontId="0" fillId="62" borderId="13" xfId="0" applyFill="true" applyBorder="true"/>
    <xf numFmtId="0" fontId="0" fillId="62" borderId="14" xfId="0" applyFill="true" applyBorder="true"/>
    <xf numFmtId="0" fontId="0" fillId="32" borderId="13" xfId="0" applyFill="true" applyBorder="true"/>
    <xf numFmtId="0" fontId="0" fillId="32" borderId="14" xfId="0" applyFill="true" applyBorder="true"/>
    <xf numFmtId="0" fontId="0" fillId="0" borderId="0" xfId="0" applyAlignment="true">
      <alignment horizontal="right"/>
    </xf>
    <xf numFmtId="0" fontId="0" fillId="63" borderId="0" xfId="0" applyFill="true"/>
    <xf numFmtId="0" fontId="0" fillId="64" borderId="0" xfId="0" applyFill="true"/>
    <xf numFmtId="0" fontId="0" fillId="65" borderId="0" xfId="0" applyFill="true"/>
    <xf numFmtId="0" fontId="0" fillId="66" borderId="0" xfId="0" applyFill="true"/>
    <xf numFmtId="0" fontId="0" fillId="67" borderId="0" xfId="0" applyFill="true"/>
    <xf numFmtId="0" fontId="0" fillId="68" borderId="0" xfId="0" applyFill="true"/>
    <xf numFmtId="0" fontId="0" fillId="69" borderId="0" xfId="0" applyFill="true"/>
    <xf numFmtId="0" fontId="0" fillId="70" borderId="0" xfId="0" applyFill="true"/>
    <xf numFmtId="0" fontId="0" fillId="71" borderId="0" xfId="0" applyFill="true"/>
    <xf numFmtId="0" fontId="0" fillId="72" borderId="0" xfId="0" applyFill="true"/>
    <xf numFmtId="0" fontId="0" fillId="73" borderId="0" xfId="0" applyFill="true"/>
    <xf numFmtId="0" fontId="0" fillId="74" borderId="0" xfId="0" applyFill="true"/>
    <xf numFmtId="0" fontId="0" fillId="75" borderId="0" xfId="0" applyFill="true"/>
    <xf numFmtId="0" fontId="0" fillId="76" borderId="0" xfId="0" applyFill="true"/>
    <xf numFmtId="0" fontId="0" fillId="77" borderId="0" xfId="0" applyFill="true"/>
    <xf numFmtId="0" fontId="0" fillId="78" borderId="0" xfId="0" applyFill="true"/>
    <xf numFmtId="0" fontId="0" fillId="79" borderId="0" xfId="0" applyFill="true"/>
    <xf numFmtId="0" fontId="0" fillId="80" borderId="0" xfId="0" applyFill="true"/>
    <xf numFmtId="0" fontId="0" fillId="81" borderId="0" xfId="0" applyFill="true"/>
    <xf numFmtId="0" fontId="0" fillId="82" borderId="0" xfId="0" applyFill="true"/>
    <xf numFmtId="0" fontId="0" fillId="83" borderId="0" xfId="0" applyFill="true"/>
    <xf numFmtId="0" fontId="0" fillId="84" borderId="0" xfId="0" applyFill="true"/>
    <xf numFmtId="0" fontId="0" fillId="85" borderId="0" xfId="0" applyFill="true"/>
    <xf numFmtId="0" fontId="0" fillId="86" borderId="0" xfId="0" applyFill="true"/>
    <xf numFmtId="0" fontId="0" fillId="87" borderId="0" xfId="0" applyFill="true"/>
    <xf numFmtId="0" fontId="0" fillId="88" borderId="0" xfId="0" applyFill="true"/>
    <xf numFmtId="0" fontId="0" fillId="89" borderId="0" xfId="0" applyFill="true"/>
    <xf numFmtId="0" fontId="0" fillId="90" borderId="0" xfId="0" applyFill="true"/>
    <xf numFmtId="0" fontId="0" fillId="91" borderId="0" xfId="0" applyFill="true"/>
    <xf numFmtId="0" fontId="0" fillId="92" borderId="0" xfId="0" applyFill="true"/>
    <xf numFmtId="0" fontId="0" fillId="93" borderId="0" xfId="0" applyFill="true"/>
    <xf numFmtId="0" fontId="0" fillId="94" borderId="0" xfId="0" applyFill="true"/>
    <xf numFmtId="0" fontId="0" fillId="95" borderId="0" xfId="0" applyFill="true"/>
    <xf numFmtId="0" fontId="0" fillId="96" borderId="0" xfId="0" applyFill="true"/>
    <xf numFmtId="0" fontId="0" fillId="97" borderId="0" xfId="0" applyFill="true"/>
    <xf numFmtId="0" fontId="0" fillId="98" borderId="0" xfId="0" applyFill="true"/>
    <xf numFmtId="0" fontId="0" fillId="99" borderId="0" xfId="0" applyFill="true"/>
    <xf numFmtId="0" fontId="0" fillId="100" borderId="0" xfId="0" applyFill="true"/>
    <xf numFmtId="0" fontId="0" fillId="101" borderId="0" xfId="0" applyFill="true"/>
    <xf numFmtId="0" fontId="0" fillId="102" borderId="0" xfId="0" applyFill="true"/>
    <xf numFmtId="0" fontId="0" fillId="103" borderId="0" xfId="0" applyFill="true"/>
    <xf numFmtId="0" fontId="0" fillId="104" borderId="0" xfId="0" applyFill="true"/>
    <xf numFmtId="0" fontId="0" fillId="105" borderId="0" xfId="0" applyFill="true"/>
    <xf numFmtId="0" fontId="0" fillId="106" borderId="0" xfId="0" applyFill="true"/>
    <xf numFmtId="0" fontId="0" fillId="107" borderId="0" xfId="0" applyFill="true"/>
    <xf numFmtId="0" fontId="0" fillId="108" borderId="0" xfId="0" applyFill="true"/>
    <xf numFmtId="0" fontId="0" fillId="109" borderId="0" xfId="0" applyFill="true"/>
    <xf numFmtId="0" fontId="0" fillId="110" borderId="0" xfId="0" applyFill="true"/>
    <xf numFmtId="0" fontId="0" fillId="111" borderId="0" xfId="0" applyFill="true"/>
    <xf numFmtId="0" fontId="0" fillId="112" borderId="0" xfId="0" applyFill="true"/>
    <xf numFmtId="0" fontId="0" fillId="113" borderId="0" xfId="0" applyFill="true"/>
    <xf numFmtId="0" fontId="0" fillId="114" borderId="0" xfId="0" applyFill="true"/>
    <xf numFmtId="0" fontId="0" fillId="115" borderId="0" xfId="0" applyFill="true"/>
    <xf numFmtId="0" fontId="0" fillId="116" borderId="0" xfId="0" applyFill="true"/>
    <xf numFmtId="0" fontId="0" fillId="117" borderId="0" xfId="0" applyFill="true"/>
    <xf numFmtId="0" fontId="0" fillId="118" borderId="0" xfId="0" applyFill="true"/>
    <xf numFmtId="0" fontId="0" fillId="119" borderId="0" xfId="0" applyFill="true"/>
    <xf numFmtId="0" fontId="0" fillId="120" borderId="0" xfId="0" applyFill="true"/>
    <xf numFmtId="0" fontId="0" fillId="121" borderId="0" xfId="0" applyFill="true"/>
    <xf numFmtId="0" fontId="0" fillId="122" borderId="0" xfId="0" applyFill="true"/>
    <xf numFmtId="0" fontId="0" fillId="123" borderId="0" xfId="0" applyFill="true"/>
    <xf numFmtId="0" fontId="0" fillId="124" borderId="0" xfId="0" applyFill="true"/>
    <xf numFmtId="0" fontId="0" fillId="0" borderId="0" xfId="0" applyFill="true" applyAlignment="true">
      <alignment horizontal="right"/>
    </xf>
    <xf numFmtId="0" fontId="3" fillId="0" borderId="0" xfId="971" applyFill="true" applyAlignment="true">
      <alignment horizontal="right"/>
    </xf>
    <xf numFmtId="49" fontId="0" fillId="0" borderId="24" xfId="0" applyNumberFormat="true"/>
    <xf numFmtId="22" fontId="0" fillId="0" borderId="25" xfId="0" applyNumberFormat="true"/>
    <xf numFmtId="49" fontId="0" fillId="0" borderId="26" xfId="0" applyNumberFormat="true"/>
    <xf numFmtId="22" fontId="0" fillId="0" borderId="27" xfId="0" applyNumberFormat="true"/>
  </cellXfs>
  <cellStyles count="3654">
    <cellStyle name="Followed Hyperlink" xfId="2" builtinId="9" hidden="true"/>
    <cellStyle name="Followed Hyperlink" xfId="4" builtinId="9" hidden="true"/>
    <cellStyle name="Followed Hyperlink" xfId="6" builtinId="9" hidden="true"/>
    <cellStyle name="Followed Hyperlink" xfId="8" builtinId="9" hidden="true"/>
    <cellStyle name="Followed Hyperlink" xfId="10" builtinId="9" hidden="true"/>
    <cellStyle name="Followed Hyperlink" xfId="12" builtinId="9" hidden="true"/>
    <cellStyle name="Followed Hyperlink" xfId="14" builtinId="9" hidden="true"/>
    <cellStyle name="Followed Hyperlink" xfId="16" builtinId="9" hidden="true"/>
    <cellStyle name="Followed Hyperlink" xfId="18" builtinId="9" hidden="true"/>
    <cellStyle name="Followed Hyperlink" xfId="20" builtinId="9" hidden="true"/>
    <cellStyle name="Followed Hyperlink" xfId="22" builtinId="9" hidden="true"/>
    <cellStyle name="Followed Hyperlink" xfId="24" builtinId="9" hidden="true"/>
    <cellStyle name="Followed Hyperlink" xfId="26" builtinId="9" hidden="true"/>
    <cellStyle name="Followed Hyperlink" xfId="28" builtinId="9" hidden="true"/>
    <cellStyle name="Followed Hyperlink" xfId="30" builtinId="9" hidden="true"/>
    <cellStyle name="Followed Hyperlink" xfId="32" builtinId="9" hidden="true"/>
    <cellStyle name="Followed Hyperlink" xfId="34" builtinId="9" hidden="true"/>
    <cellStyle name="Followed Hyperlink" xfId="36" builtinId="9" hidden="true"/>
    <cellStyle name="Followed Hyperlink" xfId="38" builtinId="9" hidden="true"/>
    <cellStyle name="Followed Hyperlink" xfId="40" builtinId="9" hidden="true"/>
    <cellStyle name="Followed Hyperlink" xfId="42" builtinId="9" hidden="true"/>
    <cellStyle name="Followed Hyperlink" xfId="44" builtinId="9" hidden="true"/>
    <cellStyle name="Followed Hyperlink" xfId="46" builtinId="9" hidden="true"/>
    <cellStyle name="Followed Hyperlink" xfId="48" builtinId="9" hidden="true"/>
    <cellStyle name="Followed Hyperlink" xfId="50" builtinId="9" hidden="true"/>
    <cellStyle name="Followed Hyperlink" xfId="52" builtinId="9" hidden="true"/>
    <cellStyle name="Followed Hyperlink" xfId="54" builtinId="9" hidden="true"/>
    <cellStyle name="Followed Hyperlink" xfId="56" builtinId="9" hidden="true"/>
    <cellStyle name="Followed Hyperlink" xfId="58" builtinId="9" hidden="true"/>
    <cellStyle name="Followed Hyperlink" xfId="60" builtinId="9" hidden="true"/>
    <cellStyle name="Followed Hyperlink" xfId="62" builtinId="9" hidden="true"/>
    <cellStyle name="Followed Hyperlink" xfId="64" builtinId="9" hidden="true"/>
    <cellStyle name="Followed Hyperlink" xfId="66" builtinId="9" hidden="true"/>
    <cellStyle name="Followed Hyperlink" xfId="68" builtinId="9" hidden="true"/>
    <cellStyle name="Followed Hyperlink" xfId="70" builtinId="9" hidden="true"/>
    <cellStyle name="Followed Hyperlink" xfId="72" builtinId="9" hidden="true"/>
    <cellStyle name="Followed Hyperlink" xfId="74" builtinId="9" hidden="true"/>
    <cellStyle name="Followed Hyperlink" xfId="76" builtinId="9" hidden="true"/>
    <cellStyle name="Followed Hyperlink" xfId="78" builtinId="9" hidden="true"/>
    <cellStyle name="Followed Hyperlink" xfId="80" builtinId="9" hidden="true"/>
    <cellStyle name="Followed Hyperlink" xfId="82" builtinId="9" hidden="true"/>
    <cellStyle name="Followed Hyperlink" xfId="84" builtinId="9" hidden="true"/>
    <cellStyle name="Followed Hyperlink" xfId="86" builtinId="9" hidden="true"/>
    <cellStyle name="Followed Hyperlink" xfId="88" builtinId="9" hidden="true"/>
    <cellStyle name="Followed Hyperlink" xfId="90" builtinId="9" hidden="true"/>
    <cellStyle name="Followed Hyperlink" xfId="92" builtinId="9" hidden="true"/>
    <cellStyle name="Followed Hyperlink" xfId="94" builtinId="9" hidden="true"/>
    <cellStyle name="Followed Hyperlink" xfId="96" builtinId="9" hidden="true"/>
    <cellStyle name="Followed Hyperlink" xfId="98" builtinId="9" hidden="true"/>
    <cellStyle name="Followed Hyperlink" xfId="100" builtinId="9" hidden="true"/>
    <cellStyle name="Followed Hyperlink" xfId="102" builtinId="9" hidden="true"/>
    <cellStyle name="Followed Hyperlink" xfId="104" builtinId="9" hidden="true"/>
    <cellStyle name="Followed Hyperlink" xfId="106" builtinId="9" hidden="true"/>
    <cellStyle name="Followed Hyperlink" xfId="108" builtinId="9" hidden="true"/>
    <cellStyle name="Followed Hyperlink" xfId="110" builtinId="9" hidden="true"/>
    <cellStyle name="Followed Hyperlink" xfId="112" builtinId="9" hidden="true"/>
    <cellStyle name="Followed Hyperlink" xfId="114" builtinId="9" hidden="true"/>
    <cellStyle name="Followed Hyperlink" xfId="116" builtinId="9" hidden="true"/>
    <cellStyle name="Followed Hyperlink" xfId="118" builtinId="9" hidden="true"/>
    <cellStyle name="Followed Hyperlink" xfId="120" builtinId="9" hidden="true"/>
    <cellStyle name="Followed Hyperlink" xfId="122" builtinId="9" hidden="true"/>
    <cellStyle name="Followed Hyperlink" xfId="124" builtinId="9" hidden="true"/>
    <cellStyle name="Followed Hyperlink" xfId="126" builtinId="9" hidden="true"/>
    <cellStyle name="Followed Hyperlink" xfId="128" builtinId="9" hidden="true"/>
    <cellStyle name="Followed Hyperlink" xfId="130" builtinId="9" hidden="true"/>
    <cellStyle name="Followed Hyperlink" xfId="132" builtinId="9" hidden="true"/>
    <cellStyle name="Followed Hyperlink" xfId="134" builtinId="9" hidden="true"/>
    <cellStyle name="Followed Hyperlink" xfId="136" builtinId="9" hidden="true"/>
    <cellStyle name="Followed Hyperlink" xfId="138" builtinId="9" hidden="true"/>
    <cellStyle name="Followed Hyperlink" xfId="140" builtinId="9" hidden="true"/>
    <cellStyle name="Followed Hyperlink" xfId="142" builtinId="9" hidden="true"/>
    <cellStyle name="Followed Hyperlink" xfId="144" builtinId="9" hidden="true"/>
    <cellStyle name="Followed Hyperlink" xfId="146" builtinId="9" hidden="true"/>
    <cellStyle name="Followed Hyperlink" xfId="148" builtinId="9" hidden="true"/>
    <cellStyle name="Followed Hyperlink" xfId="150" builtinId="9" hidden="true"/>
    <cellStyle name="Followed Hyperlink" xfId="152" builtinId="9" hidden="true"/>
    <cellStyle name="Followed Hyperlink" xfId="154" builtinId="9" hidden="true"/>
    <cellStyle name="Followed Hyperlink" xfId="156" builtinId="9" hidden="true"/>
    <cellStyle name="Followed Hyperlink" xfId="158" builtinId="9" hidden="true"/>
    <cellStyle name="Followed Hyperlink" xfId="160" builtinId="9" hidden="true"/>
    <cellStyle name="Followed Hyperlink" xfId="162" builtinId="9" hidden="true"/>
    <cellStyle name="Followed Hyperlink" xfId="164" builtinId="9" hidden="true"/>
    <cellStyle name="Followed Hyperlink" xfId="166" builtinId="9" hidden="true"/>
    <cellStyle name="Followed Hyperlink" xfId="168" builtinId="9" hidden="true"/>
    <cellStyle name="Followed Hyperlink" xfId="170" builtinId="9" hidden="true"/>
    <cellStyle name="Followed Hyperlink" xfId="172" builtinId="9" hidden="true"/>
    <cellStyle name="Followed Hyperlink" xfId="174" builtinId="9" hidden="true"/>
    <cellStyle name="Followed Hyperlink" xfId="176" builtinId="9" hidden="true"/>
    <cellStyle name="Followed Hyperlink" xfId="178" builtinId="9" hidden="true"/>
    <cellStyle name="Followed Hyperlink" xfId="180" builtinId="9" hidden="true"/>
    <cellStyle name="Followed Hyperlink" xfId="182" builtinId="9" hidden="true"/>
    <cellStyle name="Followed Hyperlink" xfId="184" builtinId="9" hidden="true"/>
    <cellStyle name="Followed Hyperlink" xfId="186" builtinId="9" hidden="true"/>
    <cellStyle name="Followed Hyperlink" xfId="188" builtinId="9" hidden="true"/>
    <cellStyle name="Followed Hyperlink" xfId="190" builtinId="9" hidden="true"/>
    <cellStyle name="Followed Hyperlink" xfId="192" builtinId="9" hidden="true"/>
    <cellStyle name="Followed Hyperlink" xfId="194" builtinId="9" hidden="true"/>
    <cellStyle name="Followed Hyperlink" xfId="196" builtinId="9" hidden="true"/>
    <cellStyle name="Followed Hyperlink" xfId="198" builtinId="9" hidden="true"/>
    <cellStyle name="Followed Hyperlink" xfId="200" builtinId="9" hidden="true"/>
    <cellStyle name="Followed Hyperlink" xfId="202" builtinId="9" hidden="true"/>
    <cellStyle name="Followed Hyperlink" xfId="204" builtinId="9" hidden="true"/>
    <cellStyle name="Followed Hyperlink" xfId="206" builtinId="9" hidden="true"/>
    <cellStyle name="Followed Hyperlink" xfId="208" builtinId="9" hidden="true"/>
    <cellStyle name="Followed Hyperlink" xfId="210" builtinId="9" hidden="true"/>
    <cellStyle name="Followed Hyperlink" xfId="212" builtinId="9" hidden="true"/>
    <cellStyle name="Followed Hyperlink" xfId="214" builtinId="9" hidden="true"/>
    <cellStyle name="Followed Hyperlink" xfId="216" builtinId="9" hidden="true"/>
    <cellStyle name="Followed Hyperlink" xfId="218" builtinId="9" hidden="true"/>
    <cellStyle name="Followed Hyperlink" xfId="220" builtinId="9" hidden="true"/>
    <cellStyle name="Followed Hyperlink" xfId="222" builtinId="9" hidden="true"/>
    <cellStyle name="Followed Hyperlink" xfId="224" builtinId="9" hidden="true"/>
    <cellStyle name="Followed Hyperlink" xfId="226" builtinId="9" hidden="true"/>
    <cellStyle name="Followed Hyperlink" xfId="228" builtinId="9" hidden="true"/>
    <cellStyle name="Followed Hyperlink" xfId="230" builtinId="9" hidden="true"/>
    <cellStyle name="Followed Hyperlink" xfId="232" builtinId="9" hidden="true"/>
    <cellStyle name="Followed Hyperlink" xfId="234" builtinId="9" hidden="true"/>
    <cellStyle name="Followed Hyperlink" xfId="236" builtinId="9" hidden="true"/>
    <cellStyle name="Followed Hyperlink" xfId="238" builtinId="9" hidden="true"/>
    <cellStyle name="Followed Hyperlink" xfId="240" builtinId="9" hidden="true"/>
    <cellStyle name="Followed Hyperlink" xfId="242" builtinId="9" hidden="true"/>
    <cellStyle name="Followed Hyperlink" xfId="244" builtinId="9" hidden="true"/>
    <cellStyle name="Followed Hyperlink" xfId="246" builtinId="9" hidden="true"/>
    <cellStyle name="Followed Hyperlink" xfId="248" builtinId="9" hidden="true"/>
    <cellStyle name="Followed Hyperlink" xfId="250" builtinId="9" hidden="true"/>
    <cellStyle name="Followed Hyperlink" xfId="252" builtinId="9" hidden="true"/>
    <cellStyle name="Followed Hyperlink" xfId="254" builtinId="9" hidden="true"/>
    <cellStyle name="Followed Hyperlink" xfId="256" builtinId="9" hidden="true"/>
    <cellStyle name="Followed Hyperlink" xfId="258" builtinId="9" hidden="true"/>
    <cellStyle name="Followed Hyperlink" xfId="260" builtinId="9" hidden="true"/>
    <cellStyle name="Followed Hyperlink" xfId="262" builtinId="9" hidden="true"/>
    <cellStyle name="Followed Hyperlink" xfId="264" builtinId="9" hidden="true"/>
    <cellStyle name="Followed Hyperlink" xfId="266" builtinId="9" hidden="true"/>
    <cellStyle name="Followed Hyperlink" xfId="268" builtinId="9" hidden="true"/>
    <cellStyle name="Followed Hyperlink" xfId="270" builtinId="9" hidden="true"/>
    <cellStyle name="Followed Hyperlink" xfId="272" builtinId="9" hidden="true"/>
    <cellStyle name="Followed Hyperlink" xfId="274" builtinId="9" hidden="true"/>
    <cellStyle name="Followed Hyperlink" xfId="276" builtinId="9" hidden="true"/>
    <cellStyle name="Followed Hyperlink" xfId="278" builtinId="9" hidden="true"/>
    <cellStyle name="Followed Hyperlink" xfId="280" builtinId="9" hidden="true"/>
    <cellStyle name="Followed Hyperlink" xfId="282" builtinId="9" hidden="true"/>
    <cellStyle name="Followed Hyperlink" xfId="284" builtinId="9" hidden="true"/>
    <cellStyle name="Followed Hyperlink" xfId="286" builtinId="9" hidden="true"/>
    <cellStyle name="Followed Hyperlink" xfId="288" builtinId="9" hidden="true"/>
    <cellStyle name="Followed Hyperlink" xfId="290" builtinId="9" hidden="true"/>
    <cellStyle name="Followed Hyperlink" xfId="292" builtinId="9" hidden="true"/>
    <cellStyle name="Followed Hyperlink" xfId="294" builtinId="9" hidden="true"/>
    <cellStyle name="Followed Hyperlink" xfId="296" builtinId="9" hidden="true"/>
    <cellStyle name="Followed Hyperlink" xfId="298" builtinId="9" hidden="true"/>
    <cellStyle name="Followed Hyperlink" xfId="300" builtinId="9" hidden="true"/>
    <cellStyle name="Followed Hyperlink" xfId="302" builtinId="9" hidden="true"/>
    <cellStyle name="Followed Hyperlink" xfId="304" builtinId="9" hidden="true"/>
    <cellStyle name="Followed Hyperlink" xfId="306" builtinId="9" hidden="true"/>
    <cellStyle name="Followed Hyperlink" xfId="308" builtinId="9" hidden="true"/>
    <cellStyle name="Followed Hyperlink" xfId="310" builtinId="9" hidden="true"/>
    <cellStyle name="Followed Hyperlink" xfId="312" builtinId="9" hidden="true"/>
    <cellStyle name="Followed Hyperlink" xfId="314" builtinId="9" hidden="true"/>
    <cellStyle name="Followed Hyperlink" xfId="316" builtinId="9" hidden="true"/>
    <cellStyle name="Followed Hyperlink" xfId="318" builtinId="9" hidden="true"/>
    <cellStyle name="Followed Hyperlink" xfId="320" builtinId="9" hidden="true"/>
    <cellStyle name="Followed Hyperlink" xfId="322" builtinId="9" hidden="true"/>
    <cellStyle name="Followed Hyperlink" xfId="324" builtinId="9" hidden="true"/>
    <cellStyle name="Followed Hyperlink" xfId="326" builtinId="9" hidden="true"/>
    <cellStyle name="Followed Hyperlink" xfId="328" builtinId="9" hidden="true"/>
    <cellStyle name="Followed Hyperlink" xfId="330" builtinId="9" hidden="true"/>
    <cellStyle name="Followed Hyperlink" xfId="332" builtinId="9" hidden="true"/>
    <cellStyle name="Followed Hyperlink" xfId="334" builtinId="9" hidden="true"/>
    <cellStyle name="Followed Hyperlink" xfId="336" builtinId="9" hidden="true"/>
    <cellStyle name="Followed Hyperlink" xfId="338" builtinId="9" hidden="true"/>
    <cellStyle name="Followed Hyperlink" xfId="340" builtinId="9" hidden="true"/>
    <cellStyle name="Followed Hyperlink" xfId="342" builtinId="9" hidden="true"/>
    <cellStyle name="Followed Hyperlink" xfId="344" builtinId="9" hidden="true"/>
    <cellStyle name="Followed Hyperlink" xfId="346" builtinId="9" hidden="true"/>
    <cellStyle name="Followed Hyperlink" xfId="348" builtinId="9" hidden="true"/>
    <cellStyle name="Followed Hyperlink" xfId="350" builtinId="9" hidden="true"/>
    <cellStyle name="Followed Hyperlink" xfId="352" builtinId="9" hidden="true"/>
    <cellStyle name="Followed Hyperlink" xfId="354" builtinId="9" hidden="true"/>
    <cellStyle name="Followed Hyperlink" xfId="356" builtinId="9" hidden="true"/>
    <cellStyle name="Followed Hyperlink" xfId="358" builtinId="9" hidden="true"/>
    <cellStyle name="Followed Hyperlink" xfId="360" builtinId="9" hidden="true"/>
    <cellStyle name="Followed Hyperlink" xfId="362" builtinId="9" hidden="true"/>
    <cellStyle name="Followed Hyperlink" xfId="364" builtinId="9" hidden="true"/>
    <cellStyle name="Followed Hyperlink" xfId="366" builtinId="9" hidden="true"/>
    <cellStyle name="Followed Hyperlink" xfId="368" builtinId="9" hidden="true"/>
    <cellStyle name="Followed Hyperlink" xfId="370" builtinId="9" hidden="true"/>
    <cellStyle name="Followed Hyperlink" xfId="372" builtinId="9" hidden="true"/>
    <cellStyle name="Followed Hyperlink" xfId="374" builtinId="9" hidden="true"/>
    <cellStyle name="Followed Hyperlink" xfId="376" builtinId="9" hidden="true"/>
    <cellStyle name="Followed Hyperlink" xfId="378" builtinId="9" hidden="true"/>
    <cellStyle name="Followed Hyperlink" xfId="380" builtinId="9" hidden="true"/>
    <cellStyle name="Followed Hyperlink" xfId="382" builtinId="9" hidden="true"/>
    <cellStyle name="Followed Hyperlink" xfId="384" builtinId="9" hidden="true"/>
    <cellStyle name="Followed Hyperlink" xfId="386" builtinId="9" hidden="true"/>
    <cellStyle name="Followed Hyperlink" xfId="388" builtinId="9" hidden="true"/>
    <cellStyle name="Followed Hyperlink" xfId="390" builtinId="9" hidden="true"/>
    <cellStyle name="Followed Hyperlink" xfId="392" builtinId="9" hidden="true"/>
    <cellStyle name="Followed Hyperlink" xfId="394" builtinId="9" hidden="true"/>
    <cellStyle name="Followed Hyperlink" xfId="396" builtinId="9" hidden="true"/>
    <cellStyle name="Followed Hyperlink" xfId="398" builtinId="9" hidden="true"/>
    <cellStyle name="Followed Hyperlink" xfId="400" builtinId="9" hidden="true"/>
    <cellStyle name="Followed Hyperlink" xfId="402" builtinId="9" hidden="true"/>
    <cellStyle name="Followed Hyperlink" xfId="404" builtinId="9" hidden="true"/>
    <cellStyle name="Followed Hyperlink" xfId="406" builtinId="9" hidden="true"/>
    <cellStyle name="Followed Hyperlink" xfId="408" builtinId="9" hidden="true"/>
    <cellStyle name="Followed Hyperlink" xfId="410" builtinId="9" hidden="true"/>
    <cellStyle name="Followed Hyperlink" xfId="412" builtinId="9" hidden="true"/>
    <cellStyle name="Followed Hyperlink" xfId="414" builtinId="9" hidden="true"/>
    <cellStyle name="Followed Hyperlink" xfId="416" builtinId="9" hidden="true"/>
    <cellStyle name="Followed Hyperlink" xfId="418" builtinId="9" hidden="true"/>
    <cellStyle name="Followed Hyperlink" xfId="420" builtinId="9" hidden="true"/>
    <cellStyle name="Followed Hyperlink" xfId="422" builtinId="9" hidden="true"/>
    <cellStyle name="Followed Hyperlink" xfId="424" builtinId="9" hidden="true"/>
    <cellStyle name="Followed Hyperlink" xfId="426" builtinId="9" hidden="true"/>
    <cellStyle name="Followed Hyperlink" xfId="428" builtinId="9" hidden="true"/>
    <cellStyle name="Followed Hyperlink" xfId="430" builtinId="9" hidden="true"/>
    <cellStyle name="Followed Hyperlink" xfId="432" builtinId="9" hidden="true"/>
    <cellStyle name="Followed Hyperlink" xfId="434" builtinId="9" hidden="true"/>
    <cellStyle name="Followed Hyperlink" xfId="436" builtinId="9" hidden="true"/>
    <cellStyle name="Followed Hyperlink" xfId="438" builtinId="9" hidden="true"/>
    <cellStyle name="Followed Hyperlink" xfId="440" builtinId="9" hidden="true"/>
    <cellStyle name="Followed Hyperlink" xfId="442" builtinId="9" hidden="true"/>
    <cellStyle name="Followed Hyperlink" xfId="444" builtinId="9" hidden="true"/>
    <cellStyle name="Followed Hyperlink" xfId="446" builtinId="9" hidden="true"/>
    <cellStyle name="Followed Hyperlink" xfId="448" builtinId="9" hidden="true"/>
    <cellStyle name="Followed Hyperlink" xfId="450" builtinId="9" hidden="true"/>
    <cellStyle name="Followed Hyperlink" xfId="452" builtinId="9" hidden="true"/>
    <cellStyle name="Followed Hyperlink" xfId="454" builtinId="9" hidden="true"/>
    <cellStyle name="Followed Hyperlink" xfId="456" builtinId="9" hidden="true"/>
    <cellStyle name="Followed Hyperlink" xfId="458" builtinId="9" hidden="true"/>
    <cellStyle name="Followed Hyperlink" xfId="460" builtinId="9" hidden="true"/>
    <cellStyle name="Followed Hyperlink" xfId="462" builtinId="9" hidden="true"/>
    <cellStyle name="Followed Hyperlink" xfId="464" builtinId="9" hidden="true"/>
    <cellStyle name="Followed Hyperlink" xfId="466" builtinId="9" hidden="true"/>
    <cellStyle name="Followed Hyperlink" xfId="468" builtinId="9" hidden="true"/>
    <cellStyle name="Followed Hyperlink" xfId="470" builtinId="9" hidden="true"/>
    <cellStyle name="Followed Hyperlink" xfId="472" builtinId="9" hidden="true"/>
    <cellStyle name="Followed Hyperlink" xfId="474" builtinId="9" hidden="true"/>
    <cellStyle name="Followed Hyperlink" xfId="476" builtinId="9" hidden="true"/>
    <cellStyle name="Followed Hyperlink" xfId="478" builtinId="9" hidden="true"/>
    <cellStyle name="Followed Hyperlink" xfId="480" builtinId="9" hidden="true"/>
    <cellStyle name="Followed Hyperlink" xfId="482" builtinId="9" hidden="true"/>
    <cellStyle name="Followed Hyperlink" xfId="484" builtinId="9" hidden="true"/>
    <cellStyle name="Followed Hyperlink" xfId="486" builtinId="9" hidden="true"/>
    <cellStyle name="Followed Hyperlink" xfId="488" builtinId="9" hidden="true"/>
    <cellStyle name="Followed Hyperlink" xfId="490" builtinId="9" hidden="true"/>
    <cellStyle name="Followed Hyperlink" xfId="492" builtinId="9" hidden="true"/>
    <cellStyle name="Followed Hyperlink" xfId="494" builtinId="9" hidden="true"/>
    <cellStyle name="Followed Hyperlink" xfId="496" builtinId="9" hidden="true"/>
    <cellStyle name="Followed Hyperlink" xfId="498" builtinId="9" hidden="true"/>
    <cellStyle name="Followed Hyperlink" xfId="500" builtinId="9" hidden="true"/>
    <cellStyle name="Followed Hyperlink" xfId="502" builtinId="9" hidden="true"/>
    <cellStyle name="Followed Hyperlink" xfId="504" builtinId="9" hidden="true"/>
    <cellStyle name="Followed Hyperlink" xfId="506" builtinId="9" hidden="true"/>
    <cellStyle name="Followed Hyperlink" xfId="508" builtinId="9" hidden="true"/>
    <cellStyle name="Followed Hyperlink" xfId="510" builtinId="9" hidden="true"/>
    <cellStyle name="Followed Hyperlink" xfId="512" builtinId="9" hidden="true"/>
    <cellStyle name="Followed Hyperlink" xfId="514" builtinId="9" hidden="true"/>
    <cellStyle name="Followed Hyperlink" xfId="516" builtinId="9" hidden="true"/>
    <cellStyle name="Followed Hyperlink" xfId="518" builtinId="9" hidden="true"/>
    <cellStyle name="Followed Hyperlink" xfId="520" builtinId="9" hidden="true"/>
    <cellStyle name="Followed Hyperlink" xfId="522" builtinId="9" hidden="true"/>
    <cellStyle name="Followed Hyperlink" xfId="524" builtinId="9" hidden="true"/>
    <cellStyle name="Followed Hyperlink" xfId="526" builtinId="9" hidden="true"/>
    <cellStyle name="Followed Hyperlink" xfId="528" builtinId="9" hidden="true"/>
    <cellStyle name="Followed Hyperlink" xfId="530" builtinId="9" hidden="true"/>
    <cellStyle name="Followed Hyperlink" xfId="532" builtinId="9" hidden="true"/>
    <cellStyle name="Followed Hyperlink" xfId="534" builtinId="9" hidden="true"/>
    <cellStyle name="Followed Hyperlink" xfId="536" builtinId="9" hidden="true"/>
    <cellStyle name="Followed Hyperlink" xfId="538" builtinId="9" hidden="true"/>
    <cellStyle name="Followed Hyperlink" xfId="540" builtinId="9" hidden="true"/>
    <cellStyle name="Followed Hyperlink" xfId="542" builtinId="9" hidden="true"/>
    <cellStyle name="Followed Hyperlink" xfId="544" builtinId="9" hidden="true"/>
    <cellStyle name="Followed Hyperlink" xfId="546" builtinId="9" hidden="true"/>
    <cellStyle name="Followed Hyperlink" xfId="548" builtinId="9" hidden="true"/>
    <cellStyle name="Followed Hyperlink" xfId="550" builtinId="9" hidden="true"/>
    <cellStyle name="Followed Hyperlink" xfId="552" builtinId="9" hidden="true"/>
    <cellStyle name="Followed Hyperlink" xfId="554" builtinId="9" hidden="true"/>
    <cellStyle name="Followed Hyperlink" xfId="556" builtinId="9" hidden="true"/>
    <cellStyle name="Followed Hyperlink" xfId="558" builtinId="9" hidden="true"/>
    <cellStyle name="Followed Hyperlink" xfId="560" builtinId="9" hidden="true"/>
    <cellStyle name="Followed Hyperlink" xfId="562" builtinId="9" hidden="true"/>
    <cellStyle name="Followed Hyperlink" xfId="564" builtinId="9" hidden="true"/>
    <cellStyle name="Followed Hyperlink" xfId="566" builtinId="9" hidden="true"/>
    <cellStyle name="Followed Hyperlink" xfId="568" builtinId="9" hidden="true"/>
    <cellStyle name="Followed Hyperlink" xfId="570" builtinId="9" hidden="true"/>
    <cellStyle name="Followed Hyperlink" xfId="572" builtinId="9" hidden="true"/>
    <cellStyle name="Followed Hyperlink" xfId="574" builtinId="9" hidden="true"/>
    <cellStyle name="Followed Hyperlink" xfId="576" builtinId="9" hidden="true"/>
    <cellStyle name="Followed Hyperlink" xfId="578" builtinId="9" hidden="true"/>
    <cellStyle name="Followed Hyperlink" xfId="580" builtinId="9" hidden="true"/>
    <cellStyle name="Followed Hyperlink" xfId="582" builtinId="9" hidden="true"/>
    <cellStyle name="Followed Hyperlink" xfId="584" builtinId="9" hidden="true"/>
    <cellStyle name="Followed Hyperlink" xfId="586" builtinId="9" hidden="true"/>
    <cellStyle name="Followed Hyperlink" xfId="588" builtinId="9" hidden="true"/>
    <cellStyle name="Followed Hyperlink" xfId="590" builtinId="9" hidden="true"/>
    <cellStyle name="Followed Hyperlink" xfId="592" builtinId="9" hidden="true"/>
    <cellStyle name="Followed Hyperlink" xfId="594" builtinId="9" hidden="true"/>
    <cellStyle name="Followed Hyperlink" xfId="596" builtinId="9" hidden="true"/>
    <cellStyle name="Followed Hyperlink" xfId="598" builtinId="9" hidden="true"/>
    <cellStyle name="Followed Hyperlink" xfId="600" builtinId="9" hidden="true"/>
    <cellStyle name="Followed Hyperlink" xfId="602" builtinId="9" hidden="true"/>
    <cellStyle name="Followed Hyperlink" xfId="604" builtinId="9" hidden="true"/>
    <cellStyle name="Followed Hyperlink" xfId="606" builtinId="9" hidden="true"/>
    <cellStyle name="Followed Hyperlink" xfId="608" builtinId="9" hidden="true"/>
    <cellStyle name="Followed Hyperlink" xfId="610" builtinId="9" hidden="true"/>
    <cellStyle name="Followed Hyperlink" xfId="612" builtinId="9" hidden="true"/>
    <cellStyle name="Followed Hyperlink" xfId="614" builtinId="9" hidden="true"/>
    <cellStyle name="Followed Hyperlink" xfId="616" builtinId="9" hidden="true"/>
    <cellStyle name="Followed Hyperlink" xfId="618" builtinId="9" hidden="true"/>
    <cellStyle name="Followed Hyperlink" xfId="620" builtinId="9" hidden="true"/>
    <cellStyle name="Followed Hyperlink" xfId="622" builtinId="9" hidden="true"/>
    <cellStyle name="Followed Hyperlink" xfId="624" builtinId="9" hidden="true"/>
    <cellStyle name="Followed Hyperlink" xfId="626" builtinId="9" hidden="true"/>
    <cellStyle name="Followed Hyperlink" xfId="628" builtinId="9" hidden="true"/>
    <cellStyle name="Followed Hyperlink" xfId="630" builtinId="9" hidden="true"/>
    <cellStyle name="Followed Hyperlink" xfId="632" builtinId="9" hidden="true"/>
    <cellStyle name="Followed Hyperlink" xfId="634" builtinId="9" hidden="true"/>
    <cellStyle name="Followed Hyperlink" xfId="636" builtinId="9" hidden="true"/>
    <cellStyle name="Followed Hyperlink" xfId="638" builtinId="9" hidden="true"/>
    <cellStyle name="Followed Hyperlink" xfId="640" builtinId="9" hidden="true"/>
    <cellStyle name="Followed Hyperlink" xfId="642" builtinId="9" hidden="true"/>
    <cellStyle name="Followed Hyperlink" xfId="644" builtinId="9" hidden="true"/>
    <cellStyle name="Followed Hyperlink" xfId="646" builtinId="9" hidden="true"/>
    <cellStyle name="Followed Hyperlink" xfId="648" builtinId="9" hidden="true"/>
    <cellStyle name="Followed Hyperlink" xfId="650" builtinId="9" hidden="true"/>
    <cellStyle name="Followed Hyperlink" xfId="652" builtinId="9" hidden="true"/>
    <cellStyle name="Followed Hyperlink" xfId="654" builtinId="9" hidden="true"/>
    <cellStyle name="Followed Hyperlink" xfId="656" builtinId="9" hidden="true"/>
    <cellStyle name="Followed Hyperlink" xfId="658" builtinId="9" hidden="true"/>
    <cellStyle name="Followed Hyperlink" xfId="660" builtinId="9" hidden="true"/>
    <cellStyle name="Followed Hyperlink" xfId="662" builtinId="9" hidden="true"/>
    <cellStyle name="Followed Hyperlink" xfId="664" builtinId="9" hidden="true"/>
    <cellStyle name="Followed Hyperlink" xfId="666" builtinId="9" hidden="true"/>
    <cellStyle name="Followed Hyperlink" xfId="668" builtinId="9" hidden="true"/>
    <cellStyle name="Followed Hyperlink" xfId="670" builtinId="9" hidden="true"/>
    <cellStyle name="Followed Hyperlink" xfId="672" builtinId="9" hidden="true"/>
    <cellStyle name="Followed Hyperlink" xfId="674" builtinId="9" hidden="true"/>
    <cellStyle name="Followed Hyperlink" xfId="676" builtinId="9" hidden="true"/>
    <cellStyle name="Followed Hyperlink" xfId="678" builtinId="9" hidden="true"/>
    <cellStyle name="Followed Hyperlink" xfId="680" builtinId="9" hidden="true"/>
    <cellStyle name="Followed Hyperlink" xfId="682" builtinId="9" hidden="true"/>
    <cellStyle name="Followed Hyperlink" xfId="684" builtinId="9" hidden="true"/>
    <cellStyle name="Followed Hyperlink" xfId="686" builtinId="9" hidden="true"/>
    <cellStyle name="Followed Hyperlink" xfId="688" builtinId="9" hidden="true"/>
    <cellStyle name="Followed Hyperlink" xfId="690" builtinId="9" hidden="true"/>
    <cellStyle name="Followed Hyperlink" xfId="692" builtinId="9" hidden="true"/>
    <cellStyle name="Followed Hyperlink" xfId="694" builtinId="9" hidden="true"/>
    <cellStyle name="Followed Hyperlink" xfId="696" builtinId="9" hidden="true"/>
    <cellStyle name="Followed Hyperlink" xfId="698" builtinId="9" hidden="true"/>
    <cellStyle name="Followed Hyperlink" xfId="700" builtinId="9" hidden="true"/>
    <cellStyle name="Followed Hyperlink" xfId="702" builtinId="9" hidden="true"/>
    <cellStyle name="Followed Hyperlink" xfId="704" builtinId="9" hidden="true"/>
    <cellStyle name="Followed Hyperlink" xfId="706" builtinId="9" hidden="true"/>
    <cellStyle name="Followed Hyperlink" xfId="708" builtinId="9" hidden="true"/>
    <cellStyle name="Followed Hyperlink" xfId="710" builtinId="9" hidden="true"/>
    <cellStyle name="Followed Hyperlink" xfId="712" builtinId="9" hidden="true"/>
    <cellStyle name="Followed Hyperlink" xfId="714" builtinId="9" hidden="true"/>
    <cellStyle name="Followed Hyperlink" xfId="716" builtinId="9" hidden="true"/>
    <cellStyle name="Followed Hyperlink" xfId="718" builtinId="9" hidden="true"/>
    <cellStyle name="Followed Hyperlink" xfId="720" builtinId="9" hidden="true"/>
    <cellStyle name="Followed Hyperlink" xfId="722" builtinId="9" hidden="true"/>
    <cellStyle name="Followed Hyperlink" xfId="724" builtinId="9" hidden="true"/>
    <cellStyle name="Followed Hyperlink" xfId="726" builtinId="9" hidden="true"/>
    <cellStyle name="Followed Hyperlink" xfId="728" builtinId="9" hidden="true"/>
    <cellStyle name="Followed Hyperlink" xfId="730" builtinId="9" hidden="true"/>
    <cellStyle name="Followed Hyperlink" xfId="732" builtinId="9" hidden="true"/>
    <cellStyle name="Followed Hyperlink" xfId="734" builtinId="9" hidden="true"/>
    <cellStyle name="Followed Hyperlink" xfId="736" builtinId="9" hidden="true"/>
    <cellStyle name="Followed Hyperlink" xfId="738" builtinId="9" hidden="true"/>
    <cellStyle name="Followed Hyperlink" xfId="740" builtinId="9" hidden="true"/>
    <cellStyle name="Followed Hyperlink" xfId="742" builtinId="9" hidden="true"/>
    <cellStyle name="Followed Hyperlink" xfId="744" builtinId="9" hidden="true"/>
    <cellStyle name="Followed Hyperlink" xfId="746" builtinId="9" hidden="true"/>
    <cellStyle name="Followed Hyperlink" xfId="748" builtinId="9" hidden="true"/>
    <cellStyle name="Followed Hyperlink" xfId="750" builtinId="9" hidden="true"/>
    <cellStyle name="Followed Hyperlink" xfId="752" builtinId="9" hidden="true"/>
    <cellStyle name="Followed Hyperlink" xfId="754" builtinId="9" hidden="true"/>
    <cellStyle name="Followed Hyperlink" xfId="756" builtinId="9" hidden="true"/>
    <cellStyle name="Followed Hyperlink" xfId="758" builtinId="9" hidden="true"/>
    <cellStyle name="Followed Hyperlink" xfId="760" builtinId="9" hidden="true"/>
    <cellStyle name="Followed Hyperlink" xfId="762" builtinId="9" hidden="true"/>
    <cellStyle name="Followed Hyperlink" xfId="764" builtinId="9" hidden="true"/>
    <cellStyle name="Followed Hyperlink" xfId="766" builtinId="9" hidden="true"/>
    <cellStyle name="Followed Hyperlink" xfId="768" builtinId="9" hidden="true"/>
    <cellStyle name="Followed Hyperlink" xfId="770" builtinId="9" hidden="true"/>
    <cellStyle name="Followed Hyperlink" xfId="772" builtinId="9" hidden="true"/>
    <cellStyle name="Followed Hyperlink" xfId="774" builtinId="9" hidden="true"/>
    <cellStyle name="Followed Hyperlink" xfId="776" builtinId="9" hidden="true"/>
    <cellStyle name="Followed Hyperlink" xfId="778" builtinId="9" hidden="true"/>
    <cellStyle name="Followed Hyperlink" xfId="780" builtinId="9" hidden="true"/>
    <cellStyle name="Followed Hyperlink" xfId="782" builtinId="9" hidden="true"/>
    <cellStyle name="Followed Hyperlink" xfId="784" builtinId="9" hidden="true"/>
    <cellStyle name="Followed Hyperlink" xfId="786" builtinId="9" hidden="true"/>
    <cellStyle name="Followed Hyperlink" xfId="788" builtinId="9" hidden="true"/>
    <cellStyle name="Followed Hyperlink" xfId="790" builtinId="9" hidden="true"/>
    <cellStyle name="Followed Hyperlink" xfId="792" builtinId="9" hidden="true"/>
    <cellStyle name="Followed Hyperlink" xfId="794" builtinId="9" hidden="true"/>
    <cellStyle name="Followed Hyperlink" xfId="796" builtinId="9" hidden="true"/>
    <cellStyle name="Followed Hyperlink" xfId="798" builtinId="9" hidden="true"/>
    <cellStyle name="Followed Hyperlink" xfId="800" builtinId="9" hidden="true"/>
    <cellStyle name="Followed Hyperlink" xfId="802" builtinId="9" hidden="true"/>
    <cellStyle name="Followed Hyperlink" xfId="804" builtinId="9" hidden="true"/>
    <cellStyle name="Followed Hyperlink" xfId="806" builtinId="9" hidden="true"/>
    <cellStyle name="Followed Hyperlink" xfId="808" builtinId="9" hidden="true"/>
    <cellStyle name="Followed Hyperlink" xfId="810" builtinId="9" hidden="true"/>
    <cellStyle name="Followed Hyperlink" xfId="812" builtinId="9" hidden="true"/>
    <cellStyle name="Followed Hyperlink" xfId="814" builtinId="9" hidden="true"/>
    <cellStyle name="Followed Hyperlink" xfId="816" builtinId="9" hidden="true"/>
    <cellStyle name="Followed Hyperlink" xfId="818" builtinId="9" hidden="true"/>
    <cellStyle name="Followed Hyperlink" xfId="820" builtinId="9" hidden="true"/>
    <cellStyle name="Followed Hyperlink" xfId="822" builtinId="9" hidden="true"/>
    <cellStyle name="Followed Hyperlink" xfId="824" builtinId="9" hidden="true"/>
    <cellStyle name="Followed Hyperlink" xfId="826" builtinId="9" hidden="true"/>
    <cellStyle name="Followed Hyperlink" xfId="828" builtinId="9" hidden="true"/>
    <cellStyle name="Followed Hyperlink" xfId="830" builtinId="9" hidden="true"/>
    <cellStyle name="Followed Hyperlink" xfId="832" builtinId="9" hidden="true"/>
    <cellStyle name="Followed Hyperlink" xfId="834" builtinId="9" hidden="true"/>
    <cellStyle name="Followed Hyperlink" xfId="836" builtinId="9" hidden="true"/>
    <cellStyle name="Followed Hyperlink" xfId="838" builtinId="9" hidden="true"/>
    <cellStyle name="Followed Hyperlink" xfId="840" builtinId="9" hidden="true"/>
    <cellStyle name="Followed Hyperlink" xfId="842" builtinId="9" hidden="true"/>
    <cellStyle name="Followed Hyperlink" xfId="844" builtinId="9" hidden="true"/>
    <cellStyle name="Followed Hyperlink" xfId="846" builtinId="9" hidden="true"/>
    <cellStyle name="Followed Hyperlink" xfId="848" builtinId="9" hidden="true"/>
    <cellStyle name="Followed Hyperlink" xfId="850" builtinId="9" hidden="true"/>
    <cellStyle name="Followed Hyperlink" xfId="852" builtinId="9" hidden="true"/>
    <cellStyle name="Followed Hyperlink" xfId="854" builtinId="9" hidden="true"/>
    <cellStyle name="Followed Hyperlink" xfId="856" builtinId="9" hidden="true"/>
    <cellStyle name="Followed Hyperlink" xfId="858" builtinId="9" hidden="true"/>
    <cellStyle name="Followed Hyperlink" xfId="860" builtinId="9" hidden="true"/>
    <cellStyle name="Followed Hyperlink" xfId="862" builtinId="9" hidden="true"/>
    <cellStyle name="Followed Hyperlink" xfId="864" builtinId="9" hidden="true"/>
    <cellStyle name="Followed Hyperlink" xfId="866" builtinId="9" hidden="true"/>
    <cellStyle name="Followed Hyperlink" xfId="868" builtinId="9" hidden="true"/>
    <cellStyle name="Followed Hyperlink" xfId="870" builtinId="9" hidden="true"/>
    <cellStyle name="Followed Hyperlink" xfId="872" builtinId="9" hidden="true"/>
    <cellStyle name="Followed Hyperlink" xfId="874" builtinId="9" hidden="true"/>
    <cellStyle name="Followed Hyperlink" xfId="876" builtinId="9" hidden="true"/>
    <cellStyle name="Followed Hyperlink" xfId="878" builtinId="9" hidden="true"/>
    <cellStyle name="Followed Hyperlink" xfId="880" builtinId="9" hidden="true"/>
    <cellStyle name="Followed Hyperlink" xfId="882" builtinId="9" hidden="true"/>
    <cellStyle name="Followed Hyperlink" xfId="884" builtinId="9" hidden="true"/>
    <cellStyle name="Followed Hyperlink" xfId="886" builtinId="9" hidden="true"/>
    <cellStyle name="Followed Hyperlink" xfId="888" builtinId="9" hidden="true"/>
    <cellStyle name="Followed Hyperlink" xfId="890" builtinId="9" hidden="true"/>
    <cellStyle name="Followed Hyperlink" xfId="892" builtinId="9" hidden="true"/>
    <cellStyle name="Followed Hyperlink" xfId="894" builtinId="9" hidden="true"/>
    <cellStyle name="Followed Hyperlink" xfId="896" builtinId="9" hidden="true"/>
    <cellStyle name="Followed Hyperlink" xfId="898" builtinId="9" hidden="true"/>
    <cellStyle name="Followed Hyperlink" xfId="900" builtinId="9" hidden="true"/>
    <cellStyle name="Followed Hyperlink" xfId="902" builtinId="9" hidden="true"/>
    <cellStyle name="Followed Hyperlink" xfId="904" builtinId="9" hidden="true"/>
    <cellStyle name="Followed Hyperlink" xfId="906" builtinId="9" hidden="true"/>
    <cellStyle name="Followed Hyperlink" xfId="908" builtinId="9" hidden="true"/>
    <cellStyle name="Followed Hyperlink" xfId="910" builtinId="9" hidden="true"/>
    <cellStyle name="Followed Hyperlink" xfId="912" builtinId="9" hidden="true"/>
    <cellStyle name="Followed Hyperlink" xfId="914" builtinId="9" hidden="true"/>
    <cellStyle name="Followed Hyperlink" xfId="916" builtinId="9" hidden="true"/>
    <cellStyle name="Followed Hyperlink" xfId="918" builtinId="9" hidden="true"/>
    <cellStyle name="Followed Hyperlink" xfId="920" builtinId="9" hidden="true"/>
    <cellStyle name="Followed Hyperlink" xfId="922" builtinId="9" hidden="true"/>
    <cellStyle name="Followed Hyperlink" xfId="924" builtinId="9" hidden="true"/>
    <cellStyle name="Followed Hyperlink" xfId="926" builtinId="9" hidden="true"/>
    <cellStyle name="Followed Hyperlink" xfId="928" builtinId="9" hidden="true"/>
    <cellStyle name="Followed Hyperlink" xfId="930" builtinId="9" hidden="true"/>
    <cellStyle name="Followed Hyperlink" xfId="932" builtinId="9" hidden="true"/>
    <cellStyle name="Followed Hyperlink" xfId="934" builtinId="9" hidden="true"/>
    <cellStyle name="Followed Hyperlink" xfId="936" builtinId="9" hidden="true"/>
    <cellStyle name="Followed Hyperlink" xfId="938" builtinId="9" hidden="true"/>
    <cellStyle name="Followed Hyperlink" xfId="940" builtinId="9" hidden="true"/>
    <cellStyle name="Followed Hyperlink" xfId="942" builtinId="9" hidden="true"/>
    <cellStyle name="Followed Hyperlink" xfId="944" builtinId="9" hidden="true"/>
    <cellStyle name="Followed Hyperlink" xfId="946" builtinId="9" hidden="true"/>
    <cellStyle name="Followed Hyperlink" xfId="948" builtinId="9" hidden="true"/>
    <cellStyle name="Followed Hyperlink" xfId="950" builtinId="9" hidden="true"/>
    <cellStyle name="Followed Hyperlink" xfId="952" builtinId="9" hidden="true"/>
    <cellStyle name="Followed Hyperlink" xfId="954" builtinId="9" hidden="true"/>
    <cellStyle name="Followed Hyperlink" xfId="956" builtinId="9" hidden="true"/>
    <cellStyle name="Followed Hyperlink" xfId="958" builtinId="9" hidden="true"/>
    <cellStyle name="Followed Hyperlink" xfId="960" builtinId="9" hidden="true"/>
    <cellStyle name="Followed Hyperlink" xfId="962" builtinId="9" hidden="true"/>
    <cellStyle name="Followed Hyperlink" xfId="964" builtinId="9" hidden="true"/>
    <cellStyle name="Followed Hyperlink" xfId="966" builtinId="9" hidden="true"/>
    <cellStyle name="Followed Hyperlink" xfId="968" builtinId="9" hidden="true"/>
    <cellStyle name="Followed Hyperlink" xfId="970" builtinId="9" hidden="true"/>
    <cellStyle name="Followed Hyperlink" xfId="973" builtinId="9" hidden="true"/>
    <cellStyle name="Followed Hyperlink" xfId="975" builtinId="9" hidden="true"/>
    <cellStyle name="Followed Hyperlink" xfId="977" builtinId="9" hidden="true"/>
    <cellStyle name="Followed Hyperlink" xfId="979" builtinId="9" hidden="true"/>
    <cellStyle name="Followed Hyperlink" xfId="981" builtinId="9" hidden="true"/>
    <cellStyle name="Followed Hyperlink" xfId="983" builtinId="9" hidden="true"/>
    <cellStyle name="Followed Hyperlink" xfId="985" builtinId="9" hidden="true"/>
    <cellStyle name="Followed Hyperlink" xfId="987" builtinId="9" hidden="true"/>
    <cellStyle name="Followed Hyperlink" xfId="989" builtinId="9" hidden="true"/>
    <cellStyle name="Followed Hyperlink" xfId="991" builtinId="9" hidden="true"/>
    <cellStyle name="Followed Hyperlink" xfId="993" builtinId="9" hidden="true"/>
    <cellStyle name="Followed Hyperlink" xfId="995" builtinId="9" hidden="true"/>
    <cellStyle name="Followed Hyperlink" xfId="997" builtinId="9" hidden="true"/>
    <cellStyle name="Followed Hyperlink" xfId="999" builtinId="9" hidden="true"/>
    <cellStyle name="Followed Hyperlink" xfId="1001" builtinId="9" hidden="true"/>
    <cellStyle name="Followed Hyperlink" xfId="1003" builtinId="9" hidden="true"/>
    <cellStyle name="Followed Hyperlink" xfId="1005" builtinId="9" hidden="true"/>
    <cellStyle name="Followed Hyperlink" xfId="1007" builtinId="9" hidden="true"/>
    <cellStyle name="Followed Hyperlink" xfId="1009" builtinId="9" hidden="true"/>
    <cellStyle name="Followed Hyperlink" xfId="1011" builtinId="9" hidden="true"/>
    <cellStyle name="Followed Hyperlink" xfId="1013" builtinId="9" hidden="true"/>
    <cellStyle name="Followed Hyperlink" xfId="1015" builtinId="9" hidden="true"/>
    <cellStyle name="Followed Hyperlink" xfId="1017" builtinId="9" hidden="true"/>
    <cellStyle name="Followed Hyperlink" xfId="1019" builtinId="9" hidden="true"/>
    <cellStyle name="Followed Hyperlink" xfId="1021" builtinId="9" hidden="true"/>
    <cellStyle name="Followed Hyperlink" xfId="1023" builtinId="9" hidden="true"/>
    <cellStyle name="Followed Hyperlink" xfId="1025" builtinId="9" hidden="true"/>
    <cellStyle name="Followed Hyperlink" xfId="1027" builtinId="9" hidden="true"/>
    <cellStyle name="Followed Hyperlink" xfId="1029" builtinId="9" hidden="true"/>
    <cellStyle name="Followed Hyperlink" xfId="1031" builtinId="9" hidden="true"/>
    <cellStyle name="Followed Hyperlink" xfId="1033" builtinId="9" hidden="true"/>
    <cellStyle name="Followed Hyperlink" xfId="1035" builtinId="9" hidden="true"/>
    <cellStyle name="Followed Hyperlink" xfId="1037" builtinId="9" hidden="true"/>
    <cellStyle name="Followed Hyperlink" xfId="1039" builtinId="9" hidden="true"/>
    <cellStyle name="Followed Hyperlink" xfId="1041" builtinId="9" hidden="true"/>
    <cellStyle name="Followed Hyperlink" xfId="1043" builtinId="9" hidden="true"/>
    <cellStyle name="Followed Hyperlink" xfId="1045" builtinId="9" hidden="true"/>
    <cellStyle name="Followed Hyperlink" xfId="1047" builtinId="9" hidden="true"/>
    <cellStyle name="Followed Hyperlink" xfId="1049" builtinId="9" hidden="true"/>
    <cellStyle name="Followed Hyperlink" xfId="1051" builtinId="9" hidden="true"/>
    <cellStyle name="Followed Hyperlink" xfId="1053" builtinId="9" hidden="true"/>
    <cellStyle name="Followed Hyperlink" xfId="1055" builtinId="9" hidden="true"/>
    <cellStyle name="Followed Hyperlink" xfId="1057" builtinId="9" hidden="true"/>
    <cellStyle name="Followed Hyperlink" xfId="1059" builtinId="9" hidden="true"/>
    <cellStyle name="Followed Hyperlink" xfId="1061" builtinId="9" hidden="true"/>
    <cellStyle name="Followed Hyperlink" xfId="1063" builtinId="9" hidden="true"/>
    <cellStyle name="Followed Hyperlink" xfId="1065" builtinId="9" hidden="true"/>
    <cellStyle name="Followed Hyperlink" xfId="1067" builtinId="9" hidden="true"/>
    <cellStyle name="Followed Hyperlink" xfId="1069" builtinId="9" hidden="true"/>
    <cellStyle name="Followed Hyperlink" xfId="1071" builtinId="9" hidden="true"/>
    <cellStyle name="Followed Hyperlink" xfId="1073" builtinId="9" hidden="true"/>
    <cellStyle name="Followed Hyperlink" xfId="1075" builtinId="9" hidden="true"/>
    <cellStyle name="Followed Hyperlink" xfId="1077" builtinId="9" hidden="true"/>
    <cellStyle name="Followed Hyperlink" xfId="1079" builtinId="9" hidden="true"/>
    <cellStyle name="Followed Hyperlink" xfId="1081" builtinId="9" hidden="true"/>
    <cellStyle name="Followed Hyperlink" xfId="1083" builtinId="9" hidden="true"/>
    <cellStyle name="Followed Hyperlink" xfId="1085" builtinId="9" hidden="true"/>
    <cellStyle name="Followed Hyperlink" xfId="1087" builtinId="9" hidden="true"/>
    <cellStyle name="Followed Hyperlink" xfId="1089" builtinId="9" hidden="true"/>
    <cellStyle name="Followed Hyperlink" xfId="1091" builtinId="9" hidden="true"/>
    <cellStyle name="Followed Hyperlink" xfId="1093" builtinId="9" hidden="true"/>
    <cellStyle name="Followed Hyperlink" xfId="1095" builtinId="9" hidden="true"/>
    <cellStyle name="Followed Hyperlink" xfId="1097" builtinId="9" hidden="true"/>
    <cellStyle name="Followed Hyperlink" xfId="1099" builtinId="9" hidden="true"/>
    <cellStyle name="Followed Hyperlink" xfId="1101" builtinId="9" hidden="true"/>
    <cellStyle name="Followed Hyperlink" xfId="1103" builtinId="9" hidden="true"/>
    <cellStyle name="Followed Hyperlink" xfId="1105" builtinId="9" hidden="true"/>
    <cellStyle name="Followed Hyperlink" xfId="1107" builtinId="9" hidden="true"/>
    <cellStyle name="Followed Hyperlink" xfId="1109" builtinId="9" hidden="true"/>
    <cellStyle name="Followed Hyperlink" xfId="1111" builtinId="9" hidden="true"/>
    <cellStyle name="Followed Hyperlink" xfId="1113" builtinId="9" hidden="true"/>
    <cellStyle name="Followed Hyperlink" xfId="1115" builtinId="9" hidden="true"/>
    <cellStyle name="Followed Hyperlink" xfId="1117" builtinId="9" hidden="true"/>
    <cellStyle name="Followed Hyperlink" xfId="1119" builtinId="9" hidden="true"/>
    <cellStyle name="Followed Hyperlink" xfId="1121" builtinId="9" hidden="true"/>
    <cellStyle name="Followed Hyperlink" xfId="1123" builtinId="9" hidden="true"/>
    <cellStyle name="Followed Hyperlink" xfId="1125" builtinId="9" hidden="true"/>
    <cellStyle name="Followed Hyperlink" xfId="1127" builtinId="9" hidden="true"/>
    <cellStyle name="Followed Hyperlink" xfId="1129" builtinId="9" hidden="true"/>
    <cellStyle name="Followed Hyperlink" xfId="1131" builtinId="9" hidden="true"/>
    <cellStyle name="Followed Hyperlink" xfId="1133" builtinId="9" hidden="true"/>
    <cellStyle name="Followed Hyperlink" xfId="1135" builtinId="9" hidden="true"/>
    <cellStyle name="Followed Hyperlink" xfId="1137" builtinId="9" hidden="true"/>
    <cellStyle name="Followed Hyperlink" xfId="1139" builtinId="9" hidden="true"/>
    <cellStyle name="Followed Hyperlink" xfId="1141" builtinId="9" hidden="true"/>
    <cellStyle name="Followed Hyperlink" xfId="1143" builtinId="9" hidden="true"/>
    <cellStyle name="Followed Hyperlink" xfId="1145" builtinId="9" hidden="true"/>
    <cellStyle name="Followed Hyperlink" xfId="1147" builtinId="9" hidden="true"/>
    <cellStyle name="Followed Hyperlink" xfId="1149" builtinId="9" hidden="true"/>
    <cellStyle name="Followed Hyperlink" xfId="1151" builtinId="9" hidden="true"/>
    <cellStyle name="Followed Hyperlink" xfId="1153" builtinId="9" hidden="true"/>
    <cellStyle name="Followed Hyperlink" xfId="1155" builtinId="9" hidden="true"/>
    <cellStyle name="Followed Hyperlink" xfId="1157" builtinId="9" hidden="true"/>
    <cellStyle name="Followed Hyperlink" xfId="1159" builtinId="9" hidden="true"/>
    <cellStyle name="Followed Hyperlink" xfId="1161" builtinId="9" hidden="true"/>
    <cellStyle name="Followed Hyperlink" xfId="1163" builtinId="9" hidden="true"/>
    <cellStyle name="Followed Hyperlink" xfId="1165" builtinId="9" hidden="true"/>
    <cellStyle name="Followed Hyperlink" xfId="1167" builtinId="9" hidden="true"/>
    <cellStyle name="Followed Hyperlink" xfId="1169" builtinId="9" hidden="true"/>
    <cellStyle name="Followed Hyperlink" xfId="1171" builtinId="9" hidden="true"/>
    <cellStyle name="Followed Hyperlink" xfId="1173" builtinId="9" hidden="true"/>
    <cellStyle name="Followed Hyperlink" xfId="1175" builtinId="9" hidden="true"/>
    <cellStyle name="Followed Hyperlink" xfId="1177" builtinId="9" hidden="true"/>
    <cellStyle name="Followed Hyperlink" xfId="1179" builtinId="9" hidden="true"/>
    <cellStyle name="Followed Hyperlink" xfId="1181" builtinId="9" hidden="true"/>
    <cellStyle name="Followed Hyperlink" xfId="1183" builtinId="9" hidden="true"/>
    <cellStyle name="Followed Hyperlink" xfId="1185" builtinId="9" hidden="true"/>
    <cellStyle name="Followed Hyperlink" xfId="1187" builtinId="9" hidden="true"/>
    <cellStyle name="Followed Hyperlink" xfId="1189" builtinId="9" hidden="true"/>
    <cellStyle name="Followed Hyperlink" xfId="1191" builtinId="9" hidden="true"/>
    <cellStyle name="Followed Hyperlink" xfId="1193" builtinId="9" hidden="true"/>
    <cellStyle name="Followed Hyperlink" xfId="1195" builtinId="9" hidden="true"/>
    <cellStyle name="Followed Hyperlink" xfId="1197" builtinId="9" hidden="true"/>
    <cellStyle name="Followed Hyperlink" xfId="1199" builtinId="9" hidden="true"/>
    <cellStyle name="Followed Hyperlink" xfId="1201" builtinId="9" hidden="true"/>
    <cellStyle name="Followed Hyperlink" xfId="1203" builtinId="9" hidden="true"/>
    <cellStyle name="Followed Hyperlink" xfId="1205" builtinId="9" hidden="true"/>
    <cellStyle name="Followed Hyperlink" xfId="1207" builtinId="9" hidden="true"/>
    <cellStyle name="Followed Hyperlink" xfId="1209" builtinId="9" hidden="true"/>
    <cellStyle name="Followed Hyperlink" xfId="1211" builtinId="9" hidden="true"/>
    <cellStyle name="Followed Hyperlink" xfId="1213" builtinId="9" hidden="true"/>
    <cellStyle name="Followed Hyperlink" xfId="1215" builtinId="9" hidden="true"/>
    <cellStyle name="Followed Hyperlink" xfId="1217" builtinId="9" hidden="true"/>
    <cellStyle name="Followed Hyperlink" xfId="1219" builtinId="9" hidden="true"/>
    <cellStyle name="Followed Hyperlink" xfId="1221" builtinId="9" hidden="true"/>
    <cellStyle name="Followed Hyperlink" xfId="1223" builtinId="9" hidden="true"/>
    <cellStyle name="Followed Hyperlink" xfId="1225" builtinId="9" hidden="true"/>
    <cellStyle name="Followed Hyperlink" xfId="1227" builtinId="9" hidden="true"/>
    <cellStyle name="Followed Hyperlink" xfId="1229" builtinId="9" hidden="true"/>
    <cellStyle name="Followed Hyperlink" xfId="1231" builtinId="9" hidden="true"/>
    <cellStyle name="Followed Hyperlink" xfId="1233" builtinId="9" hidden="true"/>
    <cellStyle name="Followed Hyperlink" xfId="1235" builtinId="9" hidden="true"/>
    <cellStyle name="Followed Hyperlink" xfId="1237" builtinId="9" hidden="true"/>
    <cellStyle name="Followed Hyperlink" xfId="1239" builtinId="9" hidden="true"/>
    <cellStyle name="Followed Hyperlink" xfId="1241" builtinId="9" hidden="true"/>
    <cellStyle name="Followed Hyperlink" xfId="1243" builtinId="9" hidden="true"/>
    <cellStyle name="Followed Hyperlink" xfId="1245" builtinId="9" hidden="true"/>
    <cellStyle name="Followed Hyperlink" xfId="1247" builtinId="9" hidden="true"/>
    <cellStyle name="Followed Hyperlink" xfId="1249" builtinId="9" hidden="true"/>
    <cellStyle name="Followed Hyperlink" xfId="1251" builtinId="9" hidden="true"/>
    <cellStyle name="Followed Hyperlink" xfId="1253" builtinId="9" hidden="true"/>
    <cellStyle name="Followed Hyperlink" xfId="1255" builtinId="9" hidden="true"/>
    <cellStyle name="Followed Hyperlink" xfId="1257" builtinId="9" hidden="true"/>
    <cellStyle name="Followed Hyperlink" xfId="1259" builtinId="9" hidden="true"/>
    <cellStyle name="Followed Hyperlink" xfId="1261" builtinId="9" hidden="true"/>
    <cellStyle name="Followed Hyperlink" xfId="1263" builtinId="9" hidden="true"/>
    <cellStyle name="Followed Hyperlink" xfId="1265" builtinId="9" hidden="true"/>
    <cellStyle name="Followed Hyperlink" xfId="1267" builtinId="9" hidden="true"/>
    <cellStyle name="Followed Hyperlink" xfId="1269" builtinId="9" hidden="true"/>
    <cellStyle name="Followed Hyperlink" xfId="1271" builtinId="9" hidden="true"/>
    <cellStyle name="Followed Hyperlink" xfId="1273" builtinId="9" hidden="true"/>
    <cellStyle name="Followed Hyperlink" xfId="1275" builtinId="9" hidden="true"/>
    <cellStyle name="Followed Hyperlink" xfId="1277" builtinId="9" hidden="true"/>
    <cellStyle name="Followed Hyperlink" xfId="1279" builtinId="9" hidden="true"/>
    <cellStyle name="Followed Hyperlink" xfId="1281" builtinId="9" hidden="true"/>
    <cellStyle name="Followed Hyperlink" xfId="1283" builtinId="9" hidden="true"/>
    <cellStyle name="Followed Hyperlink" xfId="1285" builtinId="9" hidden="true"/>
    <cellStyle name="Followed Hyperlink" xfId="1287" builtinId="9" hidden="true"/>
    <cellStyle name="Followed Hyperlink" xfId="1289" builtinId="9" hidden="true"/>
    <cellStyle name="Followed Hyperlink" xfId="1291" builtinId="9" hidden="true"/>
    <cellStyle name="Followed Hyperlink" xfId="1293" builtinId="9" hidden="true"/>
    <cellStyle name="Followed Hyperlink" xfId="1295" builtinId="9" hidden="true"/>
    <cellStyle name="Followed Hyperlink" xfId="1297" builtinId="9" hidden="true"/>
    <cellStyle name="Followed Hyperlink" xfId="1299" builtinId="9" hidden="true"/>
    <cellStyle name="Followed Hyperlink" xfId="1301" builtinId="9" hidden="true"/>
    <cellStyle name="Followed Hyperlink" xfId="1303" builtinId="9" hidden="true"/>
    <cellStyle name="Followed Hyperlink" xfId="1305" builtinId="9" hidden="true"/>
    <cellStyle name="Followed Hyperlink" xfId="1307" builtinId="9" hidden="true"/>
    <cellStyle name="Followed Hyperlink" xfId="1309" builtinId="9" hidden="true"/>
    <cellStyle name="Followed Hyperlink" xfId="1311" builtinId="9" hidden="true"/>
    <cellStyle name="Followed Hyperlink" xfId="1313" builtinId="9" hidden="true"/>
    <cellStyle name="Followed Hyperlink" xfId="1315" builtinId="9" hidden="true"/>
    <cellStyle name="Followed Hyperlink" xfId="1317" builtinId="9" hidden="true"/>
    <cellStyle name="Followed Hyperlink" xfId="1319" builtinId="9" hidden="true"/>
    <cellStyle name="Followed Hyperlink" xfId="1321" builtinId="9" hidden="true"/>
    <cellStyle name="Followed Hyperlink" xfId="1323" builtinId="9" hidden="true"/>
    <cellStyle name="Followed Hyperlink" xfId="1325" builtinId="9" hidden="true"/>
    <cellStyle name="Followed Hyperlink" xfId="1327" builtinId="9" hidden="true"/>
    <cellStyle name="Followed Hyperlink" xfId="1329" builtinId="9" hidden="true"/>
    <cellStyle name="Followed Hyperlink" xfId="1331" builtinId="9" hidden="true"/>
    <cellStyle name="Followed Hyperlink" xfId="1333" builtinId="9" hidden="true"/>
    <cellStyle name="Followed Hyperlink" xfId="1335" builtinId="9" hidden="true"/>
    <cellStyle name="Followed Hyperlink" xfId="1337" builtinId="9" hidden="true"/>
    <cellStyle name="Followed Hyperlink" xfId="1339" builtinId="9" hidden="true"/>
    <cellStyle name="Followed Hyperlink" xfId="1341" builtinId="9" hidden="true"/>
    <cellStyle name="Followed Hyperlink" xfId="1343" builtinId="9" hidden="true"/>
    <cellStyle name="Followed Hyperlink" xfId="1345" builtinId="9" hidden="true"/>
    <cellStyle name="Followed Hyperlink" xfId="1347" builtinId="9" hidden="true"/>
    <cellStyle name="Followed Hyperlink" xfId="1349" builtinId="9" hidden="true"/>
    <cellStyle name="Followed Hyperlink" xfId="1351" builtinId="9" hidden="true"/>
    <cellStyle name="Followed Hyperlink" xfId="1353" builtinId="9" hidden="true"/>
    <cellStyle name="Followed Hyperlink" xfId="1355" builtinId="9" hidden="true"/>
    <cellStyle name="Followed Hyperlink" xfId="1357" builtinId="9" hidden="true"/>
    <cellStyle name="Followed Hyperlink" xfId="1359" builtinId="9" hidden="true"/>
    <cellStyle name="Followed Hyperlink" xfId="1361" builtinId="9" hidden="true"/>
    <cellStyle name="Followed Hyperlink" xfId="1363" builtinId="9" hidden="true"/>
    <cellStyle name="Followed Hyperlink" xfId="1365" builtinId="9" hidden="true"/>
    <cellStyle name="Followed Hyperlink" xfId="1367" builtinId="9" hidden="true"/>
    <cellStyle name="Followed Hyperlink" xfId="1369" builtinId="9" hidden="true"/>
    <cellStyle name="Followed Hyperlink" xfId="1371" builtinId="9" hidden="true"/>
    <cellStyle name="Followed Hyperlink" xfId="1373" builtinId="9" hidden="true"/>
    <cellStyle name="Followed Hyperlink" xfId="1375" builtinId="9" hidden="true"/>
    <cellStyle name="Followed Hyperlink" xfId="1377" builtinId="9" hidden="true"/>
    <cellStyle name="Followed Hyperlink" xfId="1379" builtinId="9" hidden="true"/>
    <cellStyle name="Followed Hyperlink" xfId="1381" builtinId="9" hidden="true"/>
    <cellStyle name="Followed Hyperlink" xfId="1383" builtinId="9" hidden="true"/>
    <cellStyle name="Followed Hyperlink" xfId="1385" builtinId="9" hidden="true"/>
    <cellStyle name="Followed Hyperlink" xfId="1387" builtinId="9" hidden="true"/>
    <cellStyle name="Followed Hyperlink" xfId="1389" builtinId="9" hidden="true"/>
    <cellStyle name="Followed Hyperlink" xfId="1391" builtinId="9" hidden="true"/>
    <cellStyle name="Followed Hyperlink" xfId="1393" builtinId="9" hidden="true"/>
    <cellStyle name="Followed Hyperlink" xfId="1395" builtinId="9" hidden="true"/>
    <cellStyle name="Followed Hyperlink" xfId="1397" builtinId="9" hidden="true"/>
    <cellStyle name="Followed Hyperlink" xfId="1399" builtinId="9" hidden="true"/>
    <cellStyle name="Followed Hyperlink" xfId="1401" builtinId="9" hidden="true"/>
    <cellStyle name="Followed Hyperlink" xfId="1403" builtinId="9" hidden="true"/>
    <cellStyle name="Followed Hyperlink" xfId="1405" builtinId="9" hidden="true"/>
    <cellStyle name="Followed Hyperlink" xfId="1407" builtinId="9" hidden="true"/>
    <cellStyle name="Followed Hyperlink" xfId="1409" builtinId="9" hidden="true"/>
    <cellStyle name="Followed Hyperlink" xfId="1411" builtinId="9" hidden="true"/>
    <cellStyle name="Followed Hyperlink" xfId="1413" builtinId="9" hidden="true"/>
    <cellStyle name="Followed Hyperlink" xfId="1415" builtinId="9" hidden="true"/>
    <cellStyle name="Followed Hyperlink" xfId="1417" builtinId="9" hidden="true"/>
    <cellStyle name="Followed Hyperlink" xfId="1419" builtinId="9" hidden="true"/>
    <cellStyle name="Followed Hyperlink" xfId="1421" builtinId="9" hidden="true"/>
    <cellStyle name="Followed Hyperlink" xfId="1423" builtinId="9" hidden="true"/>
    <cellStyle name="Followed Hyperlink" xfId="1425" builtinId="9" hidden="true"/>
    <cellStyle name="Followed Hyperlink" xfId="1427" builtinId="9" hidden="true"/>
    <cellStyle name="Followed Hyperlink" xfId="1429" builtinId="9" hidden="true"/>
    <cellStyle name="Followed Hyperlink" xfId="1431" builtinId="9" hidden="true"/>
    <cellStyle name="Followed Hyperlink" xfId="1433" builtinId="9" hidden="true"/>
    <cellStyle name="Followed Hyperlink" xfId="1435" builtinId="9" hidden="true"/>
    <cellStyle name="Followed Hyperlink" xfId="1437" builtinId="9" hidden="true"/>
    <cellStyle name="Followed Hyperlink" xfId="1439" builtinId="9" hidden="true"/>
    <cellStyle name="Followed Hyperlink" xfId="1441" builtinId="9" hidden="true"/>
    <cellStyle name="Followed Hyperlink" xfId="1443" builtinId="9" hidden="true"/>
    <cellStyle name="Followed Hyperlink" xfId="1445" builtinId="9" hidden="true"/>
    <cellStyle name="Followed Hyperlink" xfId="1447" builtinId="9" hidden="true"/>
    <cellStyle name="Followed Hyperlink" xfId="1449" builtinId="9" hidden="true"/>
    <cellStyle name="Followed Hyperlink" xfId="1451" builtinId="9" hidden="true"/>
    <cellStyle name="Followed Hyperlink" xfId="1453" builtinId="9" hidden="true"/>
    <cellStyle name="Followed Hyperlink" xfId="1455" builtinId="9" hidden="true"/>
    <cellStyle name="Followed Hyperlink" xfId="1457" builtinId="9" hidden="true"/>
    <cellStyle name="Followed Hyperlink" xfId="1459" builtinId="9" hidden="true"/>
    <cellStyle name="Followed Hyperlink" xfId="1461" builtinId="9" hidden="true"/>
    <cellStyle name="Followed Hyperlink" xfId="1463" builtinId="9" hidden="true"/>
    <cellStyle name="Followed Hyperlink" xfId="1465" builtinId="9" hidden="true"/>
    <cellStyle name="Followed Hyperlink" xfId="1467" builtinId="9" hidden="true"/>
    <cellStyle name="Followed Hyperlink" xfId="1469" builtinId="9" hidden="true"/>
    <cellStyle name="Followed Hyperlink" xfId="1471" builtinId="9" hidden="true"/>
    <cellStyle name="Followed Hyperlink" xfId="1473" builtinId="9" hidden="true"/>
    <cellStyle name="Followed Hyperlink" xfId="1475" builtinId="9" hidden="true"/>
    <cellStyle name="Followed Hyperlink" xfId="1477" builtinId="9" hidden="true"/>
    <cellStyle name="Followed Hyperlink" xfId="1479" builtinId="9" hidden="true"/>
    <cellStyle name="Followed Hyperlink" xfId="1481" builtinId="9" hidden="true"/>
    <cellStyle name="Followed Hyperlink" xfId="1483" builtinId="9" hidden="true"/>
    <cellStyle name="Followed Hyperlink" xfId="1485" builtinId="9" hidden="true"/>
    <cellStyle name="Followed Hyperlink" xfId="1487" builtinId="9" hidden="true"/>
    <cellStyle name="Followed Hyperlink" xfId="1489" builtinId="9" hidden="true"/>
    <cellStyle name="Followed Hyperlink" xfId="1491" builtinId="9" hidden="true"/>
    <cellStyle name="Followed Hyperlink" xfId="1493" builtinId="9" hidden="true"/>
    <cellStyle name="Followed Hyperlink" xfId="1495" builtinId="9" hidden="true"/>
    <cellStyle name="Followed Hyperlink" xfId="1497" builtinId="9" hidden="true"/>
    <cellStyle name="Followed Hyperlink" xfId="1499" builtinId="9" hidden="true"/>
    <cellStyle name="Followed Hyperlink" xfId="1501" builtinId="9" hidden="true"/>
    <cellStyle name="Followed Hyperlink" xfId="1503" builtinId="9" hidden="true"/>
    <cellStyle name="Followed Hyperlink" xfId="1505" builtinId="9" hidden="true"/>
    <cellStyle name="Followed Hyperlink" xfId="1507" builtinId="9" hidden="true"/>
    <cellStyle name="Followed Hyperlink" xfId="1509" builtinId="9" hidden="true"/>
    <cellStyle name="Followed Hyperlink" xfId="1511" builtinId="9" hidden="true"/>
    <cellStyle name="Followed Hyperlink" xfId="1513" builtinId="9" hidden="true"/>
    <cellStyle name="Followed Hyperlink" xfId="1515" builtinId="9" hidden="true"/>
    <cellStyle name="Followed Hyperlink" xfId="1517" builtinId="9" hidden="true"/>
    <cellStyle name="Followed Hyperlink" xfId="1519" builtinId="9" hidden="true"/>
    <cellStyle name="Followed Hyperlink" xfId="1521" builtinId="9" hidden="true"/>
    <cellStyle name="Followed Hyperlink" xfId="1523" builtinId="9" hidden="true"/>
    <cellStyle name="Followed Hyperlink" xfId="1525" builtinId="9" hidden="true"/>
    <cellStyle name="Followed Hyperlink" xfId="1527" builtinId="9" hidden="true"/>
    <cellStyle name="Followed Hyperlink" xfId="1529" builtinId="9" hidden="true"/>
    <cellStyle name="Followed Hyperlink" xfId="1531" builtinId="9" hidden="true"/>
    <cellStyle name="Followed Hyperlink" xfId="1533" builtinId="9" hidden="true"/>
    <cellStyle name="Followed Hyperlink" xfId="1535" builtinId="9" hidden="true"/>
    <cellStyle name="Followed Hyperlink" xfId="1537" builtinId="9" hidden="true"/>
    <cellStyle name="Followed Hyperlink" xfId="1539" builtinId="9" hidden="true"/>
    <cellStyle name="Followed Hyperlink" xfId="1541" builtinId="9" hidden="true"/>
    <cellStyle name="Followed Hyperlink" xfId="1543" builtinId="9" hidden="true"/>
    <cellStyle name="Followed Hyperlink" xfId="1545" builtinId="9" hidden="true"/>
    <cellStyle name="Followed Hyperlink" xfId="1547" builtinId="9" hidden="true"/>
    <cellStyle name="Followed Hyperlink" xfId="1549" builtinId="9" hidden="true"/>
    <cellStyle name="Followed Hyperlink" xfId="1551" builtinId="9" hidden="true"/>
    <cellStyle name="Followed Hyperlink" xfId="1553" builtinId="9" hidden="true"/>
    <cellStyle name="Followed Hyperlink" xfId="1555" builtinId="9" hidden="true"/>
    <cellStyle name="Followed Hyperlink" xfId="1557" builtinId="9" hidden="true"/>
    <cellStyle name="Followed Hyperlink" xfId="1559" builtinId="9" hidden="true"/>
    <cellStyle name="Followed Hyperlink" xfId="1561" builtinId="9" hidden="true"/>
    <cellStyle name="Followed Hyperlink" xfId="1563" builtinId="9" hidden="true"/>
    <cellStyle name="Followed Hyperlink" xfId="1565" builtinId="9" hidden="true"/>
    <cellStyle name="Followed Hyperlink" xfId="1567" builtinId="9" hidden="true"/>
    <cellStyle name="Followed Hyperlink" xfId="1569" builtinId="9" hidden="true"/>
    <cellStyle name="Followed Hyperlink" xfId="1571" builtinId="9" hidden="true"/>
    <cellStyle name="Followed Hyperlink" xfId="1573" builtinId="9" hidden="true"/>
    <cellStyle name="Followed Hyperlink" xfId="1575" builtinId="9" hidden="true"/>
    <cellStyle name="Followed Hyperlink" xfId="1577" builtinId="9" hidden="true"/>
    <cellStyle name="Followed Hyperlink" xfId="1579" builtinId="9" hidden="true"/>
    <cellStyle name="Followed Hyperlink" xfId="1581" builtinId="9" hidden="true"/>
    <cellStyle name="Followed Hyperlink" xfId="1583" builtinId="9" hidden="true"/>
    <cellStyle name="Followed Hyperlink" xfId="1585" builtinId="9" hidden="true"/>
    <cellStyle name="Followed Hyperlink" xfId="1587" builtinId="9" hidden="true"/>
    <cellStyle name="Followed Hyperlink" xfId="1589" builtinId="9" hidden="true"/>
    <cellStyle name="Followed Hyperlink" xfId="1591" builtinId="9" hidden="true"/>
    <cellStyle name="Followed Hyperlink" xfId="1593" builtinId="9" hidden="true"/>
    <cellStyle name="Followed Hyperlink" xfId="1595" builtinId="9" hidden="true"/>
    <cellStyle name="Followed Hyperlink" xfId="1597" builtinId="9" hidden="true"/>
    <cellStyle name="Followed Hyperlink" xfId="1599" builtinId="9" hidden="true"/>
    <cellStyle name="Followed Hyperlink" xfId="1601" builtinId="9" hidden="true"/>
    <cellStyle name="Followed Hyperlink" xfId="1603" builtinId="9" hidden="true"/>
    <cellStyle name="Followed Hyperlink" xfId="1605" builtinId="9" hidden="true"/>
    <cellStyle name="Followed Hyperlink" xfId="1607" builtinId="9" hidden="true"/>
    <cellStyle name="Followed Hyperlink" xfId="1609" builtinId="9" hidden="true"/>
    <cellStyle name="Followed Hyperlink" xfId="1611" builtinId="9" hidden="true"/>
    <cellStyle name="Followed Hyperlink" xfId="1613" builtinId="9" hidden="true"/>
    <cellStyle name="Followed Hyperlink" xfId="1615" builtinId="9" hidden="true"/>
    <cellStyle name="Followed Hyperlink" xfId="1617" builtinId="9" hidden="true"/>
    <cellStyle name="Followed Hyperlink" xfId="1619" builtinId="9" hidden="true"/>
    <cellStyle name="Followed Hyperlink" xfId="1621" builtinId="9" hidden="true"/>
    <cellStyle name="Followed Hyperlink" xfId="1623" builtinId="9" hidden="true"/>
    <cellStyle name="Followed Hyperlink" xfId="1625" builtinId="9" hidden="true"/>
    <cellStyle name="Followed Hyperlink" xfId="1627" builtinId="9" hidden="true"/>
    <cellStyle name="Followed Hyperlink" xfId="1629" builtinId="9" hidden="true"/>
    <cellStyle name="Followed Hyperlink" xfId="1631" builtinId="9" hidden="true"/>
    <cellStyle name="Followed Hyperlink" xfId="1633" builtinId="9" hidden="true"/>
    <cellStyle name="Followed Hyperlink" xfId="1635" builtinId="9" hidden="true"/>
    <cellStyle name="Followed Hyperlink" xfId="1637" builtinId="9" hidden="true"/>
    <cellStyle name="Followed Hyperlink" xfId="1639" builtinId="9" hidden="true"/>
    <cellStyle name="Followed Hyperlink" xfId="1641" builtinId="9" hidden="true"/>
    <cellStyle name="Followed Hyperlink" xfId="1643" builtinId="9" hidden="true"/>
    <cellStyle name="Followed Hyperlink" xfId="1645" builtinId="9" hidden="true"/>
    <cellStyle name="Followed Hyperlink" xfId="1647" builtinId="9" hidden="true"/>
    <cellStyle name="Followed Hyperlink" xfId="1649" builtinId="9" hidden="true"/>
    <cellStyle name="Followed Hyperlink" xfId="1651" builtinId="9" hidden="true"/>
    <cellStyle name="Followed Hyperlink" xfId="1653" builtinId="9" hidden="true"/>
    <cellStyle name="Followed Hyperlink" xfId="1655" builtinId="9" hidden="true"/>
    <cellStyle name="Followed Hyperlink" xfId="1657" builtinId="9" hidden="true"/>
    <cellStyle name="Followed Hyperlink" xfId="1659" builtinId="9" hidden="true"/>
    <cellStyle name="Followed Hyperlink" xfId="1661" builtinId="9" hidden="true"/>
    <cellStyle name="Followed Hyperlink" xfId="1663" builtinId="9" hidden="true"/>
    <cellStyle name="Followed Hyperlink" xfId="1665" builtinId="9" hidden="true"/>
    <cellStyle name="Followed Hyperlink" xfId="1667" builtinId="9" hidden="true"/>
    <cellStyle name="Followed Hyperlink" xfId="1669" builtinId="9" hidden="true"/>
    <cellStyle name="Followed Hyperlink" xfId="1671" builtinId="9" hidden="true"/>
    <cellStyle name="Followed Hyperlink" xfId="1673" builtinId="9" hidden="true"/>
    <cellStyle name="Followed Hyperlink" xfId="1675" builtinId="9" hidden="true"/>
    <cellStyle name="Followed Hyperlink" xfId="1677" builtinId="9" hidden="true"/>
    <cellStyle name="Followed Hyperlink" xfId="1679" builtinId="9" hidden="true"/>
    <cellStyle name="Followed Hyperlink" xfId="1681" builtinId="9" hidden="true"/>
    <cellStyle name="Followed Hyperlink" xfId="1683" builtinId="9" hidden="true"/>
    <cellStyle name="Followed Hyperlink" xfId="1685" builtinId="9" hidden="true"/>
    <cellStyle name="Followed Hyperlink" xfId="1687" builtinId="9" hidden="true"/>
    <cellStyle name="Followed Hyperlink" xfId="1689" builtinId="9" hidden="true"/>
    <cellStyle name="Followed Hyperlink" xfId="1691" builtinId="9" hidden="true"/>
    <cellStyle name="Followed Hyperlink" xfId="1693" builtinId="9" hidden="true"/>
    <cellStyle name="Followed Hyperlink" xfId="1695" builtinId="9" hidden="true"/>
    <cellStyle name="Followed Hyperlink" xfId="1697" builtinId="9" hidden="true"/>
    <cellStyle name="Followed Hyperlink" xfId="1699" builtinId="9" hidden="true"/>
    <cellStyle name="Followed Hyperlink" xfId="1701" builtinId="9" hidden="true"/>
    <cellStyle name="Followed Hyperlink" xfId="1703" builtinId="9" hidden="true"/>
    <cellStyle name="Followed Hyperlink" xfId="1705" builtinId="9" hidden="true"/>
    <cellStyle name="Followed Hyperlink" xfId="1707" builtinId="9" hidden="true"/>
    <cellStyle name="Followed Hyperlink" xfId="1709" builtinId="9" hidden="true"/>
    <cellStyle name="Followed Hyperlink" xfId="1711" builtinId="9" hidden="true"/>
    <cellStyle name="Followed Hyperlink" xfId="1713" builtinId="9" hidden="true"/>
    <cellStyle name="Followed Hyperlink" xfId="1715" builtinId="9" hidden="true"/>
    <cellStyle name="Followed Hyperlink" xfId="1717" builtinId="9" hidden="true"/>
    <cellStyle name="Followed Hyperlink" xfId="1719" builtinId="9" hidden="true"/>
    <cellStyle name="Followed Hyperlink" xfId="1721" builtinId="9" hidden="true"/>
    <cellStyle name="Followed Hyperlink" xfId="1723" builtinId="9" hidden="true"/>
    <cellStyle name="Followed Hyperlink" xfId="1725" builtinId="9" hidden="true"/>
    <cellStyle name="Followed Hyperlink" xfId="1727" builtinId="9" hidden="true"/>
    <cellStyle name="Followed Hyperlink" xfId="1729" builtinId="9" hidden="true"/>
    <cellStyle name="Followed Hyperlink" xfId="1731" builtinId="9" hidden="true"/>
    <cellStyle name="Followed Hyperlink" xfId="1733" builtinId="9" hidden="true"/>
    <cellStyle name="Followed Hyperlink" xfId="1735" builtinId="9" hidden="true"/>
    <cellStyle name="Followed Hyperlink" xfId="1737" builtinId="9" hidden="true"/>
    <cellStyle name="Followed Hyperlink" xfId="1739" builtinId="9" hidden="true"/>
    <cellStyle name="Followed Hyperlink" xfId="1741" builtinId="9" hidden="true"/>
    <cellStyle name="Followed Hyperlink" xfId="1743" builtinId="9" hidden="true"/>
    <cellStyle name="Followed Hyperlink" xfId="1745" builtinId="9" hidden="true"/>
    <cellStyle name="Followed Hyperlink" xfId="1747" builtinId="9" hidden="true"/>
    <cellStyle name="Followed Hyperlink" xfId="1749" builtinId="9" hidden="true"/>
    <cellStyle name="Followed Hyperlink" xfId="1751" builtinId="9" hidden="true"/>
    <cellStyle name="Followed Hyperlink" xfId="1753" builtinId="9" hidden="true"/>
    <cellStyle name="Followed Hyperlink" xfId="1755" builtinId="9" hidden="true"/>
    <cellStyle name="Followed Hyperlink" xfId="1757" builtinId="9" hidden="true"/>
    <cellStyle name="Followed Hyperlink" xfId="1759" builtinId="9" hidden="true"/>
    <cellStyle name="Followed Hyperlink" xfId="1761" builtinId="9" hidden="true"/>
    <cellStyle name="Followed Hyperlink" xfId="1763" builtinId="9" hidden="true"/>
    <cellStyle name="Followed Hyperlink" xfId="1765" builtinId="9" hidden="true"/>
    <cellStyle name="Followed Hyperlink" xfId="1767" builtinId="9" hidden="true"/>
    <cellStyle name="Followed Hyperlink" xfId="1769" builtinId="9" hidden="true"/>
    <cellStyle name="Followed Hyperlink" xfId="1771" builtinId="9" hidden="true"/>
    <cellStyle name="Followed Hyperlink" xfId="1773" builtinId="9" hidden="true"/>
    <cellStyle name="Followed Hyperlink" xfId="1775" builtinId="9" hidden="true"/>
    <cellStyle name="Followed Hyperlink" xfId="1777" builtinId="9" hidden="true"/>
    <cellStyle name="Followed Hyperlink" xfId="1779" builtinId="9" hidden="true"/>
    <cellStyle name="Followed Hyperlink" xfId="1781" builtinId="9" hidden="true"/>
    <cellStyle name="Followed Hyperlink" xfId="1783" builtinId="9" hidden="true"/>
    <cellStyle name="Followed Hyperlink" xfId="1785" builtinId="9" hidden="true"/>
    <cellStyle name="Followed Hyperlink" xfId="1787" builtinId="9" hidden="true"/>
    <cellStyle name="Followed Hyperlink" xfId="1789" builtinId="9" hidden="true"/>
    <cellStyle name="Followed Hyperlink" xfId="1791" builtinId="9" hidden="true"/>
    <cellStyle name="Followed Hyperlink" xfId="1793" builtinId="9" hidden="true"/>
    <cellStyle name="Followed Hyperlink" xfId="1795" builtinId="9" hidden="true"/>
    <cellStyle name="Followed Hyperlink" xfId="1797" builtinId="9" hidden="true"/>
    <cellStyle name="Followed Hyperlink" xfId="1799" builtinId="9" hidden="true"/>
    <cellStyle name="Followed Hyperlink" xfId="1801" builtinId="9" hidden="true"/>
    <cellStyle name="Followed Hyperlink" xfId="1803" builtinId="9" hidden="true"/>
    <cellStyle name="Followed Hyperlink" xfId="1805" builtinId="9" hidden="true"/>
    <cellStyle name="Followed Hyperlink" xfId="1807" builtinId="9" hidden="true"/>
    <cellStyle name="Followed Hyperlink" xfId="1809" builtinId="9" hidden="true"/>
    <cellStyle name="Followed Hyperlink" xfId="1811" builtinId="9" hidden="true"/>
    <cellStyle name="Followed Hyperlink" xfId="1813" builtinId="9" hidden="true"/>
    <cellStyle name="Followed Hyperlink" xfId="1815" builtinId="9" hidden="true"/>
    <cellStyle name="Followed Hyperlink" xfId="1817" builtinId="9" hidden="true"/>
    <cellStyle name="Followed Hyperlink" xfId="1819" builtinId="9" hidden="true"/>
    <cellStyle name="Followed Hyperlink" xfId="1821" builtinId="9" hidden="true"/>
    <cellStyle name="Followed Hyperlink" xfId="1823" builtinId="9" hidden="true"/>
    <cellStyle name="Followed Hyperlink" xfId="1825" builtinId="9" hidden="true"/>
    <cellStyle name="Followed Hyperlink" xfId="1827" builtinId="9" hidden="true"/>
    <cellStyle name="Followed Hyperlink" xfId="1829" builtinId="9" hidden="true"/>
    <cellStyle name="Followed Hyperlink" xfId="1831" builtinId="9" hidden="true"/>
    <cellStyle name="Followed Hyperlink" xfId="1833" builtinId="9" hidden="true"/>
    <cellStyle name="Followed Hyperlink" xfId="1835" builtinId="9" hidden="true"/>
    <cellStyle name="Followed Hyperlink" xfId="1837" builtinId="9" hidden="true"/>
    <cellStyle name="Followed Hyperlink" xfId="1839" builtinId="9" hidden="true"/>
    <cellStyle name="Followed Hyperlink" xfId="1841" builtinId="9" hidden="true"/>
    <cellStyle name="Followed Hyperlink" xfId="1843" builtinId="9" hidden="true"/>
    <cellStyle name="Followed Hyperlink" xfId="1845" builtinId="9" hidden="true"/>
    <cellStyle name="Followed Hyperlink" xfId="1847" builtinId="9" hidden="true"/>
    <cellStyle name="Followed Hyperlink" xfId="1849" builtinId="9" hidden="true"/>
    <cellStyle name="Followed Hyperlink" xfId="1851" builtinId="9" hidden="true"/>
    <cellStyle name="Followed Hyperlink" xfId="1853" builtinId="9" hidden="true"/>
    <cellStyle name="Followed Hyperlink" xfId="1855" builtinId="9" hidden="true"/>
    <cellStyle name="Followed Hyperlink" xfId="1857" builtinId="9" hidden="true"/>
    <cellStyle name="Followed Hyperlink" xfId="1859" builtinId="9" hidden="true"/>
    <cellStyle name="Followed Hyperlink" xfId="1861" builtinId="9" hidden="true"/>
    <cellStyle name="Followed Hyperlink" xfId="1863" builtinId="9" hidden="true"/>
    <cellStyle name="Followed Hyperlink" xfId="1865" builtinId="9" hidden="true"/>
    <cellStyle name="Followed Hyperlink" xfId="1867" builtinId="9" hidden="true"/>
    <cellStyle name="Followed Hyperlink" xfId="1869" builtinId="9" hidden="true"/>
    <cellStyle name="Followed Hyperlink" xfId="1871" builtinId="9" hidden="true"/>
    <cellStyle name="Followed Hyperlink" xfId="1873" builtinId="9" hidden="true"/>
    <cellStyle name="Followed Hyperlink" xfId="1875" builtinId="9" hidden="true"/>
    <cellStyle name="Followed Hyperlink" xfId="1877" builtinId="9" hidden="true"/>
    <cellStyle name="Followed Hyperlink" xfId="1879" builtinId="9" hidden="true"/>
    <cellStyle name="Followed Hyperlink" xfId="1881" builtinId="9" hidden="true"/>
    <cellStyle name="Followed Hyperlink" xfId="1883" builtinId="9" hidden="true"/>
    <cellStyle name="Followed Hyperlink" xfId="1885" builtinId="9" hidden="true"/>
    <cellStyle name="Followed Hyperlink" xfId="1887" builtinId="9" hidden="true"/>
    <cellStyle name="Followed Hyperlink" xfId="1889" builtinId="9" hidden="true"/>
    <cellStyle name="Followed Hyperlink" xfId="1891" builtinId="9" hidden="true"/>
    <cellStyle name="Followed Hyperlink" xfId="1893" builtinId="9" hidden="true"/>
    <cellStyle name="Followed Hyperlink" xfId="1895" builtinId="9" hidden="true"/>
    <cellStyle name="Followed Hyperlink" xfId="1897" builtinId="9" hidden="true"/>
    <cellStyle name="Followed Hyperlink" xfId="1899" builtinId="9" hidden="true"/>
    <cellStyle name="Followed Hyperlink" xfId="1901" builtinId="9" hidden="true"/>
    <cellStyle name="Followed Hyperlink" xfId="1903" builtinId="9" hidden="true"/>
    <cellStyle name="Followed Hyperlink" xfId="1905" builtinId="9" hidden="true"/>
    <cellStyle name="Followed Hyperlink" xfId="1907" builtinId="9" hidden="true"/>
    <cellStyle name="Followed Hyperlink" xfId="1909" builtinId="9" hidden="true"/>
    <cellStyle name="Followed Hyperlink" xfId="1911" builtinId="9" hidden="true"/>
    <cellStyle name="Followed Hyperlink" xfId="1913" builtinId="9" hidden="true"/>
    <cellStyle name="Followed Hyperlink" xfId="1915" builtinId="9" hidden="true"/>
    <cellStyle name="Followed Hyperlink" xfId="1917" builtinId="9" hidden="true"/>
    <cellStyle name="Followed Hyperlink" xfId="1919" builtinId="9" hidden="true"/>
    <cellStyle name="Followed Hyperlink" xfId="1921" builtinId="9" hidden="true"/>
    <cellStyle name="Followed Hyperlink" xfId="1923" builtinId="9" hidden="true"/>
    <cellStyle name="Followed Hyperlink" xfId="1925" builtinId="9" hidden="true"/>
    <cellStyle name="Followed Hyperlink" xfId="1927" builtinId="9" hidden="true"/>
    <cellStyle name="Followed Hyperlink" xfId="1929" builtinId="9" hidden="true"/>
    <cellStyle name="Followed Hyperlink" xfId="1931" builtinId="9" hidden="true"/>
    <cellStyle name="Followed Hyperlink" xfId="1933" builtinId="9" hidden="true"/>
    <cellStyle name="Followed Hyperlink" xfId="1935" builtinId="9" hidden="true"/>
    <cellStyle name="Followed Hyperlink" xfId="1937" builtinId="9" hidden="true"/>
    <cellStyle name="Followed Hyperlink" xfId="1939" builtinId="9" hidden="true"/>
    <cellStyle name="Followed Hyperlink" xfId="1941" builtinId="9" hidden="true"/>
    <cellStyle name="Followed Hyperlink" xfId="1943" builtinId="9" hidden="true"/>
    <cellStyle name="Followed Hyperlink" xfId="1945" builtinId="9" hidden="true"/>
    <cellStyle name="Followed Hyperlink" xfId="1947" builtinId="9" hidden="true"/>
    <cellStyle name="Followed Hyperlink" xfId="1949" builtinId="9" hidden="true"/>
    <cellStyle name="Followed Hyperlink" xfId="1951" builtinId="9" hidden="true"/>
    <cellStyle name="Followed Hyperlink" xfId="1953" builtinId="9" hidden="true"/>
    <cellStyle name="Followed Hyperlink" xfId="1955" builtinId="9" hidden="true"/>
    <cellStyle name="Followed Hyperlink" xfId="1957" builtinId="9" hidden="true"/>
    <cellStyle name="Followed Hyperlink" xfId="1959" builtinId="9" hidden="true"/>
    <cellStyle name="Followed Hyperlink" xfId="1961" builtinId="9" hidden="true"/>
    <cellStyle name="Followed Hyperlink" xfId="1963" builtinId="9" hidden="true"/>
    <cellStyle name="Followed Hyperlink" xfId="1965" builtinId="9" hidden="true"/>
    <cellStyle name="Followed Hyperlink" xfId="1967" builtinId="9" hidden="true"/>
    <cellStyle name="Followed Hyperlink" xfId="1969" builtinId="9" hidden="true"/>
    <cellStyle name="Followed Hyperlink" xfId="1971" builtinId="9" hidden="true"/>
    <cellStyle name="Followed Hyperlink" xfId="1973" builtinId="9" hidden="true"/>
    <cellStyle name="Followed Hyperlink" xfId="1975" builtinId="9" hidden="true"/>
    <cellStyle name="Followed Hyperlink" xfId="1977" builtinId="9" hidden="true"/>
    <cellStyle name="Followed Hyperlink" xfId="1979" builtinId="9" hidden="true"/>
    <cellStyle name="Followed Hyperlink" xfId="1981" builtinId="9" hidden="true"/>
    <cellStyle name="Followed Hyperlink" xfId="1983" builtinId="9" hidden="true"/>
    <cellStyle name="Followed Hyperlink" xfId="1985" builtinId="9" hidden="true"/>
    <cellStyle name="Followed Hyperlink" xfId="1987" builtinId="9" hidden="true"/>
    <cellStyle name="Followed Hyperlink" xfId="1989" builtinId="9" hidden="true"/>
    <cellStyle name="Followed Hyperlink" xfId="1991" builtinId="9" hidden="true"/>
    <cellStyle name="Followed Hyperlink" xfId="1993" builtinId="9" hidden="true"/>
    <cellStyle name="Followed Hyperlink" xfId="1995" builtinId="9" hidden="true"/>
    <cellStyle name="Followed Hyperlink" xfId="1997" builtinId="9" hidden="true"/>
    <cellStyle name="Followed Hyperlink" xfId="1999" builtinId="9" hidden="true"/>
    <cellStyle name="Followed Hyperlink" xfId="2001" builtinId="9" hidden="true"/>
    <cellStyle name="Followed Hyperlink" xfId="2003" builtinId="9" hidden="true"/>
    <cellStyle name="Followed Hyperlink" xfId="2005" builtinId="9" hidden="true"/>
    <cellStyle name="Followed Hyperlink" xfId="2007" builtinId="9" hidden="true"/>
    <cellStyle name="Followed Hyperlink" xfId="2009" builtinId="9" hidden="true"/>
    <cellStyle name="Followed Hyperlink" xfId="2011" builtinId="9" hidden="true"/>
    <cellStyle name="Followed Hyperlink" xfId="2013" builtinId="9" hidden="true"/>
    <cellStyle name="Followed Hyperlink" xfId="2015" builtinId="9" hidden="true"/>
    <cellStyle name="Followed Hyperlink" xfId="2017" builtinId="9" hidden="true"/>
    <cellStyle name="Followed Hyperlink" xfId="2019" builtinId="9" hidden="true"/>
    <cellStyle name="Followed Hyperlink" xfId="2021" builtinId="9" hidden="true"/>
    <cellStyle name="Followed Hyperlink" xfId="2023" builtinId="9" hidden="true"/>
    <cellStyle name="Followed Hyperlink" xfId="2025" builtinId="9" hidden="true"/>
    <cellStyle name="Followed Hyperlink" xfId="2027" builtinId="9" hidden="true"/>
    <cellStyle name="Followed Hyperlink" xfId="2029" builtinId="9" hidden="true"/>
    <cellStyle name="Followed Hyperlink" xfId="2031" builtinId="9" hidden="true"/>
    <cellStyle name="Followed Hyperlink" xfId="2033" builtinId="9" hidden="true"/>
    <cellStyle name="Followed Hyperlink" xfId="2035" builtinId="9" hidden="true"/>
    <cellStyle name="Followed Hyperlink" xfId="2037" builtinId="9" hidden="true"/>
    <cellStyle name="Followed Hyperlink" xfId="2039" builtinId="9" hidden="true"/>
    <cellStyle name="Followed Hyperlink" xfId="2041" builtinId="9" hidden="true"/>
    <cellStyle name="Followed Hyperlink" xfId="2043" builtinId="9" hidden="true"/>
    <cellStyle name="Followed Hyperlink" xfId="2045" builtinId="9" hidden="true"/>
    <cellStyle name="Followed Hyperlink" xfId="2047" builtinId="9" hidden="true"/>
    <cellStyle name="Followed Hyperlink" xfId="2049" builtinId="9" hidden="true"/>
    <cellStyle name="Followed Hyperlink" xfId="2051" builtinId="9" hidden="true"/>
    <cellStyle name="Followed Hyperlink" xfId="2053" builtinId="9" hidden="true"/>
    <cellStyle name="Followed Hyperlink" xfId="2055" builtinId="9" hidden="true"/>
    <cellStyle name="Followed Hyperlink" xfId="2057" builtinId="9" hidden="true"/>
    <cellStyle name="Followed Hyperlink" xfId="2059" builtinId="9" hidden="true"/>
    <cellStyle name="Followed Hyperlink" xfId="2061" builtinId="9" hidden="true"/>
    <cellStyle name="Followed Hyperlink" xfId="2063" builtinId="9" hidden="true"/>
    <cellStyle name="Followed Hyperlink" xfId="2065" builtinId="9" hidden="true"/>
    <cellStyle name="Followed Hyperlink" xfId="2067" builtinId="9" hidden="true"/>
    <cellStyle name="Followed Hyperlink" xfId="2069" builtinId="9" hidden="true"/>
    <cellStyle name="Followed Hyperlink" xfId="2071" builtinId="9" hidden="true"/>
    <cellStyle name="Followed Hyperlink" xfId="2073" builtinId="9" hidden="true"/>
    <cellStyle name="Followed Hyperlink" xfId="2075" builtinId="9" hidden="true"/>
    <cellStyle name="Followed Hyperlink" xfId="2077" builtinId="9" hidden="true"/>
    <cellStyle name="Followed Hyperlink" xfId="2079" builtinId="9" hidden="true"/>
    <cellStyle name="Followed Hyperlink" xfId="2081" builtinId="9" hidden="true"/>
    <cellStyle name="Followed Hyperlink" xfId="2083" builtinId="9" hidden="true"/>
    <cellStyle name="Followed Hyperlink" xfId="2085" builtinId="9" hidden="true"/>
    <cellStyle name="Followed Hyperlink" xfId="2087" builtinId="9" hidden="true"/>
    <cellStyle name="Followed Hyperlink" xfId="2089" builtinId="9" hidden="true"/>
    <cellStyle name="Followed Hyperlink" xfId="2091" builtinId="9" hidden="true"/>
    <cellStyle name="Followed Hyperlink" xfId="2093" builtinId="9" hidden="true"/>
    <cellStyle name="Followed Hyperlink" xfId="2095" builtinId="9" hidden="true"/>
    <cellStyle name="Followed Hyperlink" xfId="2097" builtinId="9" hidden="true"/>
    <cellStyle name="Followed Hyperlink" xfId="2099" builtinId="9" hidden="true"/>
    <cellStyle name="Followed Hyperlink" xfId="2101" builtinId="9" hidden="true"/>
    <cellStyle name="Followed Hyperlink" xfId="2103" builtinId="9" hidden="true"/>
    <cellStyle name="Followed Hyperlink" xfId="2105" builtinId="9" hidden="true"/>
    <cellStyle name="Followed Hyperlink" xfId="2107" builtinId="9" hidden="true"/>
    <cellStyle name="Followed Hyperlink" xfId="2109" builtinId="9" hidden="true"/>
    <cellStyle name="Followed Hyperlink" xfId="2111" builtinId="9" hidden="true"/>
    <cellStyle name="Followed Hyperlink" xfId="2113" builtinId="9" hidden="true"/>
    <cellStyle name="Followed Hyperlink" xfId="2115" builtinId="9" hidden="true"/>
    <cellStyle name="Followed Hyperlink" xfId="2117" builtinId="9" hidden="true"/>
    <cellStyle name="Followed Hyperlink" xfId="2119" builtinId="9" hidden="true"/>
    <cellStyle name="Followed Hyperlink" xfId="2121" builtinId="9" hidden="true"/>
    <cellStyle name="Followed Hyperlink" xfId="2123" builtinId="9" hidden="true"/>
    <cellStyle name="Followed Hyperlink" xfId="2125" builtinId="9" hidden="true"/>
    <cellStyle name="Followed Hyperlink" xfId="2127" builtinId="9" hidden="true"/>
    <cellStyle name="Followed Hyperlink" xfId="2129" builtinId="9" hidden="true"/>
    <cellStyle name="Followed Hyperlink" xfId="2131" builtinId="9" hidden="true"/>
    <cellStyle name="Followed Hyperlink" xfId="2133" builtinId="9" hidden="true"/>
    <cellStyle name="Followed Hyperlink" xfId="2135" builtinId="9" hidden="true"/>
    <cellStyle name="Followed Hyperlink" xfId="2137" builtinId="9" hidden="true"/>
    <cellStyle name="Followed Hyperlink" xfId="2139" builtinId="9" hidden="true"/>
    <cellStyle name="Followed Hyperlink" xfId="2141" builtinId="9" hidden="true"/>
    <cellStyle name="Followed Hyperlink" xfId="2143" builtinId="9" hidden="true"/>
    <cellStyle name="Followed Hyperlink" xfId="2145" builtinId="9" hidden="true"/>
    <cellStyle name="Followed Hyperlink" xfId="2147" builtinId="9" hidden="true"/>
    <cellStyle name="Followed Hyperlink" xfId="2149" builtinId="9" hidden="true"/>
    <cellStyle name="Followed Hyperlink" xfId="2151" builtinId="9" hidden="true"/>
    <cellStyle name="Followed Hyperlink" xfId="2153" builtinId="9" hidden="true"/>
    <cellStyle name="Followed Hyperlink" xfId="2155" builtinId="9" hidden="true"/>
    <cellStyle name="Followed Hyperlink" xfId="2157" builtinId="9" hidden="true"/>
    <cellStyle name="Followed Hyperlink" xfId="2159" builtinId="9" hidden="true"/>
    <cellStyle name="Followed Hyperlink" xfId="2161" builtinId="9" hidden="true"/>
    <cellStyle name="Followed Hyperlink" xfId="2163" builtinId="9" hidden="true"/>
    <cellStyle name="Followed Hyperlink" xfId="2165" builtinId="9" hidden="true"/>
    <cellStyle name="Followed Hyperlink" xfId="2167" builtinId="9" hidden="true"/>
    <cellStyle name="Followed Hyperlink" xfId="2169" builtinId="9" hidden="true"/>
    <cellStyle name="Followed Hyperlink" xfId="2171" builtinId="9" hidden="true"/>
    <cellStyle name="Followed Hyperlink" xfId="2173" builtinId="9" hidden="true"/>
    <cellStyle name="Followed Hyperlink" xfId="2175" builtinId="9" hidden="true"/>
    <cellStyle name="Followed Hyperlink" xfId="2177" builtinId="9" hidden="true"/>
    <cellStyle name="Followed Hyperlink" xfId="2179" builtinId="9" hidden="true"/>
    <cellStyle name="Followed Hyperlink" xfId="2181" builtinId="9" hidden="true"/>
    <cellStyle name="Followed Hyperlink" xfId="2183" builtinId="9" hidden="true"/>
    <cellStyle name="Followed Hyperlink" xfId="2185" builtinId="9" hidden="true"/>
    <cellStyle name="Followed Hyperlink" xfId="2187" builtinId="9" hidden="true"/>
    <cellStyle name="Followed Hyperlink" xfId="2189" builtinId="9" hidden="true"/>
    <cellStyle name="Followed Hyperlink" xfId="2191" builtinId="9" hidden="true"/>
    <cellStyle name="Followed Hyperlink" xfId="2193" builtinId="9" hidden="true"/>
    <cellStyle name="Followed Hyperlink" xfId="2195" builtinId="9" hidden="true"/>
    <cellStyle name="Followed Hyperlink" xfId="2197" builtinId="9" hidden="true"/>
    <cellStyle name="Followed Hyperlink" xfId="2199" builtinId="9" hidden="true"/>
    <cellStyle name="Followed Hyperlink" xfId="2201" builtinId="9" hidden="true"/>
    <cellStyle name="Followed Hyperlink" xfId="2203" builtinId="9" hidden="true"/>
    <cellStyle name="Followed Hyperlink" xfId="2205" builtinId="9" hidden="true"/>
    <cellStyle name="Followed Hyperlink" xfId="2207" builtinId="9" hidden="true"/>
    <cellStyle name="Followed Hyperlink" xfId="2209" builtinId="9" hidden="true"/>
    <cellStyle name="Followed Hyperlink" xfId="2211" builtinId="9" hidden="true"/>
    <cellStyle name="Followed Hyperlink" xfId="2213" builtinId="9" hidden="true"/>
    <cellStyle name="Followed Hyperlink" xfId="2215" builtinId="9" hidden="true"/>
    <cellStyle name="Followed Hyperlink" xfId="2217" builtinId="9" hidden="true"/>
    <cellStyle name="Followed Hyperlink" xfId="2219" builtinId="9" hidden="true"/>
    <cellStyle name="Followed Hyperlink" xfId="2221" builtinId="9" hidden="true"/>
    <cellStyle name="Followed Hyperlink" xfId="2223" builtinId="9" hidden="true"/>
    <cellStyle name="Followed Hyperlink" xfId="2225" builtinId="9" hidden="true"/>
    <cellStyle name="Followed Hyperlink" xfId="2227" builtinId="9" hidden="true"/>
    <cellStyle name="Followed Hyperlink" xfId="2229" builtinId="9" hidden="true"/>
    <cellStyle name="Followed Hyperlink" xfId="2231" builtinId="9" hidden="true"/>
    <cellStyle name="Followed Hyperlink" xfId="2233" builtinId="9" hidden="true"/>
    <cellStyle name="Followed Hyperlink" xfId="2235" builtinId="9" hidden="true"/>
    <cellStyle name="Followed Hyperlink" xfId="2237" builtinId="9" hidden="true"/>
    <cellStyle name="Followed Hyperlink" xfId="2239" builtinId="9" hidden="true"/>
    <cellStyle name="Followed Hyperlink" xfId="2241" builtinId="9" hidden="true"/>
    <cellStyle name="Followed Hyperlink" xfId="2243" builtinId="9" hidden="true"/>
    <cellStyle name="Followed Hyperlink" xfId="2245" builtinId="9" hidden="true"/>
    <cellStyle name="Followed Hyperlink" xfId="2247" builtinId="9" hidden="true"/>
    <cellStyle name="Followed Hyperlink" xfId="2249" builtinId="9" hidden="true"/>
    <cellStyle name="Followed Hyperlink" xfId="2251" builtinId="9" hidden="true"/>
    <cellStyle name="Followed Hyperlink" xfId="2253" builtinId="9" hidden="true"/>
    <cellStyle name="Followed Hyperlink" xfId="2255" builtinId="9" hidden="true"/>
    <cellStyle name="Followed Hyperlink" xfId="2257" builtinId="9" hidden="true"/>
    <cellStyle name="Followed Hyperlink" xfId="2259" builtinId="9" hidden="true"/>
    <cellStyle name="Followed Hyperlink" xfId="2261" builtinId="9" hidden="true"/>
    <cellStyle name="Followed Hyperlink" xfId="2263" builtinId="9" hidden="true"/>
    <cellStyle name="Followed Hyperlink" xfId="2265" builtinId="9" hidden="true"/>
    <cellStyle name="Followed Hyperlink" xfId="2267" builtinId="9" hidden="true"/>
    <cellStyle name="Followed Hyperlink" xfId="2269" builtinId="9" hidden="true"/>
    <cellStyle name="Followed Hyperlink" xfId="2271" builtinId="9" hidden="true"/>
    <cellStyle name="Followed Hyperlink" xfId="2273" builtinId="9" hidden="true"/>
    <cellStyle name="Followed Hyperlink" xfId="2275" builtinId="9" hidden="true"/>
    <cellStyle name="Followed Hyperlink" xfId="2277" builtinId="9" hidden="true"/>
    <cellStyle name="Followed Hyperlink" xfId="2279" builtinId="9" hidden="true"/>
    <cellStyle name="Followed Hyperlink" xfId="2281" builtinId="9" hidden="true"/>
    <cellStyle name="Followed Hyperlink" xfId="2283" builtinId="9" hidden="true"/>
    <cellStyle name="Followed Hyperlink" xfId="2285" builtinId="9" hidden="true"/>
    <cellStyle name="Followed Hyperlink" xfId="2287" builtinId="9" hidden="true"/>
    <cellStyle name="Followed Hyperlink" xfId="2289" builtinId="9" hidden="true"/>
    <cellStyle name="Followed Hyperlink" xfId="2291" builtinId="9" hidden="true"/>
    <cellStyle name="Followed Hyperlink" xfId="2293" builtinId="9" hidden="true"/>
    <cellStyle name="Followed Hyperlink" xfId="2295" builtinId="9" hidden="true"/>
    <cellStyle name="Followed Hyperlink" xfId="2297" builtinId="9" hidden="true"/>
    <cellStyle name="Followed Hyperlink" xfId="2299" builtinId="9" hidden="true"/>
    <cellStyle name="Followed Hyperlink" xfId="2301" builtinId="9" hidden="true"/>
    <cellStyle name="Followed Hyperlink" xfId="2303" builtinId="9" hidden="true"/>
    <cellStyle name="Followed Hyperlink" xfId="2305" builtinId="9" hidden="true"/>
    <cellStyle name="Followed Hyperlink" xfId="2307" builtinId="9" hidden="true"/>
    <cellStyle name="Followed Hyperlink" xfId="2309" builtinId="9" hidden="true"/>
    <cellStyle name="Followed Hyperlink" xfId="2311" builtinId="9" hidden="true"/>
    <cellStyle name="Followed Hyperlink" xfId="2313" builtinId="9" hidden="true"/>
    <cellStyle name="Followed Hyperlink" xfId="2315" builtinId="9" hidden="true"/>
    <cellStyle name="Followed Hyperlink" xfId="2317" builtinId="9" hidden="true"/>
    <cellStyle name="Followed Hyperlink" xfId="2319" builtinId="9" hidden="true"/>
    <cellStyle name="Followed Hyperlink" xfId="2321" builtinId="9" hidden="true"/>
    <cellStyle name="Followed Hyperlink" xfId="2323" builtinId="9" hidden="true"/>
    <cellStyle name="Followed Hyperlink" xfId="2325" builtinId="9" hidden="true"/>
    <cellStyle name="Followed Hyperlink" xfId="2327" builtinId="9" hidden="true"/>
    <cellStyle name="Followed Hyperlink" xfId="2329" builtinId="9" hidden="true"/>
    <cellStyle name="Followed Hyperlink" xfId="2331" builtinId="9" hidden="true"/>
    <cellStyle name="Followed Hyperlink" xfId="2333" builtinId="9" hidden="true"/>
    <cellStyle name="Followed Hyperlink" xfId="2335" builtinId="9" hidden="true"/>
    <cellStyle name="Followed Hyperlink" xfId="2337" builtinId="9" hidden="true"/>
    <cellStyle name="Followed Hyperlink" xfId="2339" builtinId="9" hidden="true"/>
    <cellStyle name="Followed Hyperlink" xfId="2341" builtinId="9" hidden="true"/>
    <cellStyle name="Followed Hyperlink" xfId="2343" builtinId="9" hidden="true"/>
    <cellStyle name="Followed Hyperlink" xfId="2345" builtinId="9" hidden="true"/>
    <cellStyle name="Followed Hyperlink" xfId="2347" builtinId="9" hidden="true"/>
    <cellStyle name="Followed Hyperlink" xfId="2349" builtinId="9" hidden="true"/>
    <cellStyle name="Followed Hyperlink" xfId="2351" builtinId="9" hidden="true"/>
    <cellStyle name="Followed Hyperlink" xfId="2353" builtinId="9" hidden="true"/>
    <cellStyle name="Followed Hyperlink" xfId="2355" builtinId="9" hidden="true"/>
    <cellStyle name="Followed Hyperlink" xfId="2357" builtinId="9" hidden="true"/>
    <cellStyle name="Followed Hyperlink" xfId="2359" builtinId="9" hidden="true"/>
    <cellStyle name="Followed Hyperlink" xfId="2361" builtinId="9" hidden="true"/>
    <cellStyle name="Followed Hyperlink" xfId="2363" builtinId="9" hidden="true"/>
    <cellStyle name="Followed Hyperlink" xfId="2365" builtinId="9" hidden="true"/>
    <cellStyle name="Followed Hyperlink" xfId="2367" builtinId="9" hidden="true"/>
    <cellStyle name="Followed Hyperlink" xfId="2369" builtinId="9" hidden="true"/>
    <cellStyle name="Followed Hyperlink" xfId="2371" builtinId="9" hidden="true"/>
    <cellStyle name="Followed Hyperlink" xfId="2373" builtinId="9" hidden="true"/>
    <cellStyle name="Followed Hyperlink" xfId="2375" builtinId="9" hidden="true"/>
    <cellStyle name="Followed Hyperlink" xfId="2377" builtinId="9" hidden="true"/>
    <cellStyle name="Followed Hyperlink" xfId="2379" builtinId="9" hidden="true"/>
    <cellStyle name="Followed Hyperlink" xfId="2381" builtinId="9" hidden="true"/>
    <cellStyle name="Followed Hyperlink" xfId="2383" builtinId="9" hidden="true"/>
    <cellStyle name="Followed Hyperlink" xfId="2385" builtinId="9" hidden="true"/>
    <cellStyle name="Followed Hyperlink" xfId="2387" builtinId="9" hidden="true"/>
    <cellStyle name="Followed Hyperlink" xfId="2389" builtinId="9" hidden="true"/>
    <cellStyle name="Followed Hyperlink" xfId="2391" builtinId="9" hidden="true"/>
    <cellStyle name="Followed Hyperlink" xfId="2393" builtinId="9" hidden="true"/>
    <cellStyle name="Followed Hyperlink" xfId="2395" builtinId="9" hidden="true"/>
    <cellStyle name="Followed Hyperlink" xfId="2397" builtinId="9" hidden="true"/>
    <cellStyle name="Followed Hyperlink" xfId="2399" builtinId="9" hidden="true"/>
    <cellStyle name="Followed Hyperlink" xfId="2401" builtinId="9" hidden="true"/>
    <cellStyle name="Followed Hyperlink" xfId="2403" builtinId="9" hidden="true"/>
    <cellStyle name="Followed Hyperlink" xfId="2405" builtinId="9" hidden="true"/>
    <cellStyle name="Followed Hyperlink" xfId="2407" builtinId="9" hidden="true"/>
    <cellStyle name="Followed Hyperlink" xfId="2409" builtinId="9" hidden="true"/>
    <cellStyle name="Followed Hyperlink" xfId="2411" builtinId="9" hidden="true"/>
    <cellStyle name="Followed Hyperlink" xfId="2413" builtinId="9" hidden="true"/>
    <cellStyle name="Followed Hyperlink" xfId="2415" builtinId="9" hidden="true"/>
    <cellStyle name="Followed Hyperlink" xfId="2417" builtinId="9" hidden="true"/>
    <cellStyle name="Followed Hyperlink" xfId="2419" builtinId="9" hidden="true"/>
    <cellStyle name="Followed Hyperlink" xfId="2421" builtinId="9" hidden="true"/>
    <cellStyle name="Followed Hyperlink" xfId="2423" builtinId="9" hidden="true"/>
    <cellStyle name="Followed Hyperlink" xfId="2425" builtinId="9" hidden="true"/>
    <cellStyle name="Followed Hyperlink" xfId="2427" builtinId="9" hidden="true"/>
    <cellStyle name="Followed Hyperlink" xfId="2429" builtinId="9" hidden="true"/>
    <cellStyle name="Followed Hyperlink" xfId="2431" builtinId="9" hidden="true"/>
    <cellStyle name="Followed Hyperlink" xfId="2433" builtinId="9" hidden="true"/>
    <cellStyle name="Followed Hyperlink" xfId="2435" builtinId="9" hidden="true"/>
    <cellStyle name="Followed Hyperlink" xfId="2437" builtinId="9" hidden="true"/>
    <cellStyle name="Followed Hyperlink" xfId="2439" builtinId="9" hidden="true"/>
    <cellStyle name="Followed Hyperlink" xfId="2441" builtinId="9" hidden="true"/>
    <cellStyle name="Followed Hyperlink" xfId="2443" builtinId="9" hidden="true"/>
    <cellStyle name="Followed Hyperlink" xfId="2445" builtinId="9" hidden="true"/>
    <cellStyle name="Followed Hyperlink" xfId="2447" builtinId="9" hidden="true"/>
    <cellStyle name="Followed Hyperlink" xfId="2449" builtinId="9" hidden="true"/>
    <cellStyle name="Followed Hyperlink" xfId="2451" builtinId="9" hidden="true"/>
    <cellStyle name="Followed Hyperlink" xfId="2453" builtinId="9" hidden="true"/>
    <cellStyle name="Followed Hyperlink" xfId="2455" builtinId="9" hidden="true"/>
    <cellStyle name="Followed Hyperlink" xfId="2457" builtinId="9" hidden="true"/>
    <cellStyle name="Followed Hyperlink" xfId="2459" builtinId="9" hidden="true"/>
    <cellStyle name="Followed Hyperlink" xfId="2461" builtinId="9" hidden="true"/>
    <cellStyle name="Followed Hyperlink" xfId="2463" builtinId="9" hidden="true"/>
    <cellStyle name="Followed Hyperlink" xfId="2465" builtinId="9" hidden="true"/>
    <cellStyle name="Followed Hyperlink" xfId="2467" builtinId="9" hidden="true"/>
    <cellStyle name="Followed Hyperlink" xfId="2469" builtinId="9" hidden="true"/>
    <cellStyle name="Followed Hyperlink" xfId="2471" builtinId="9" hidden="true"/>
    <cellStyle name="Followed Hyperlink" xfId="2473" builtinId="9" hidden="true"/>
    <cellStyle name="Followed Hyperlink" xfId="2475" builtinId="9" hidden="true"/>
    <cellStyle name="Followed Hyperlink" xfId="2477" builtinId="9" hidden="true"/>
    <cellStyle name="Followed Hyperlink" xfId="2479" builtinId="9" hidden="true"/>
    <cellStyle name="Followed Hyperlink" xfId="2481" builtinId="9" hidden="true"/>
    <cellStyle name="Followed Hyperlink" xfId="2483" builtinId="9" hidden="true"/>
    <cellStyle name="Followed Hyperlink" xfId="2485" builtinId="9" hidden="true"/>
    <cellStyle name="Followed Hyperlink" xfId="2487" builtinId="9" hidden="true"/>
    <cellStyle name="Followed Hyperlink" xfId="2489" builtinId="9" hidden="true"/>
    <cellStyle name="Followed Hyperlink" xfId="2491" builtinId="9" hidden="true"/>
    <cellStyle name="Followed Hyperlink" xfId="2493" builtinId="9" hidden="true"/>
    <cellStyle name="Followed Hyperlink" xfId="2495" builtinId="9" hidden="true"/>
    <cellStyle name="Followed Hyperlink" xfId="2497" builtinId="9" hidden="true"/>
    <cellStyle name="Followed Hyperlink" xfId="2499" builtinId="9" hidden="true"/>
    <cellStyle name="Followed Hyperlink" xfId="2501" builtinId="9" hidden="true"/>
    <cellStyle name="Followed Hyperlink" xfId="2503" builtinId="9" hidden="true"/>
    <cellStyle name="Followed Hyperlink" xfId="2505" builtinId="9" hidden="true"/>
    <cellStyle name="Followed Hyperlink" xfId="2507" builtinId="9" hidden="true"/>
    <cellStyle name="Followed Hyperlink" xfId="2509" builtinId="9" hidden="true"/>
    <cellStyle name="Followed Hyperlink" xfId="2511" builtinId="9" hidden="true"/>
    <cellStyle name="Followed Hyperlink" xfId="2513" builtinId="9" hidden="true"/>
    <cellStyle name="Followed Hyperlink" xfId="2515" builtinId="9" hidden="true"/>
    <cellStyle name="Followed Hyperlink" xfId="2517" builtinId="9" hidden="true"/>
    <cellStyle name="Followed Hyperlink" xfId="2519" builtinId="9" hidden="true"/>
    <cellStyle name="Followed Hyperlink" xfId="2521" builtinId="9" hidden="true"/>
    <cellStyle name="Followed Hyperlink" xfId="2523" builtinId="9" hidden="true"/>
    <cellStyle name="Followed Hyperlink" xfId="2525" builtinId="9" hidden="true"/>
    <cellStyle name="Followed Hyperlink" xfId="2527" builtinId="9" hidden="true"/>
    <cellStyle name="Followed Hyperlink" xfId="2529" builtinId="9" hidden="true"/>
    <cellStyle name="Followed Hyperlink" xfId="2531" builtinId="9" hidden="true"/>
    <cellStyle name="Followed Hyperlink" xfId="2533" builtinId="9" hidden="true"/>
    <cellStyle name="Followed Hyperlink" xfId="2535" builtinId="9" hidden="true"/>
    <cellStyle name="Followed Hyperlink" xfId="2537" builtinId="9" hidden="true"/>
    <cellStyle name="Followed Hyperlink" xfId="2539" builtinId="9" hidden="true"/>
    <cellStyle name="Followed Hyperlink" xfId="2541" builtinId="9" hidden="true"/>
    <cellStyle name="Followed Hyperlink" xfId="2543" builtinId="9" hidden="true"/>
    <cellStyle name="Followed Hyperlink" xfId="2545" builtinId="9" hidden="true"/>
    <cellStyle name="Followed Hyperlink" xfId="2547" builtinId="9" hidden="true"/>
    <cellStyle name="Followed Hyperlink" xfId="2549" builtinId="9" hidden="true"/>
    <cellStyle name="Followed Hyperlink" xfId="2551" builtinId="9" hidden="true"/>
    <cellStyle name="Followed Hyperlink" xfId="2553" builtinId="9" hidden="true"/>
    <cellStyle name="Followed Hyperlink" xfId="2555" builtinId="9" hidden="true"/>
    <cellStyle name="Followed Hyperlink" xfId="2557" builtinId="9" hidden="true"/>
    <cellStyle name="Followed Hyperlink" xfId="2559" builtinId="9" hidden="true"/>
    <cellStyle name="Followed Hyperlink" xfId="2561" builtinId="9" hidden="true"/>
    <cellStyle name="Followed Hyperlink" xfId="2563" builtinId="9" hidden="true"/>
    <cellStyle name="Followed Hyperlink" xfId="2565" builtinId="9" hidden="true"/>
    <cellStyle name="Followed Hyperlink" xfId="2567" builtinId="9" hidden="true"/>
    <cellStyle name="Followed Hyperlink" xfId="2569" builtinId="9" hidden="true"/>
    <cellStyle name="Followed Hyperlink" xfId="2571" builtinId="9" hidden="true"/>
    <cellStyle name="Followed Hyperlink" xfId="2573" builtinId="9" hidden="true"/>
    <cellStyle name="Followed Hyperlink" xfId="2575" builtinId="9" hidden="true"/>
    <cellStyle name="Followed Hyperlink" xfId="2577" builtinId="9" hidden="true"/>
    <cellStyle name="Followed Hyperlink" xfId="2579" builtinId="9" hidden="true"/>
    <cellStyle name="Followed Hyperlink" xfId="2581" builtinId="9" hidden="true"/>
    <cellStyle name="Followed Hyperlink" xfId="2583" builtinId="9" hidden="true"/>
    <cellStyle name="Followed Hyperlink" xfId="2585" builtinId="9" hidden="true"/>
    <cellStyle name="Followed Hyperlink" xfId="2587" builtinId="9" hidden="true"/>
    <cellStyle name="Followed Hyperlink" xfId="2589" builtinId="9" hidden="true"/>
    <cellStyle name="Followed Hyperlink" xfId="2591" builtinId="9" hidden="true"/>
    <cellStyle name="Followed Hyperlink" xfId="2593" builtinId="9" hidden="true"/>
    <cellStyle name="Followed Hyperlink" xfId="2595" builtinId="9" hidden="true"/>
    <cellStyle name="Followed Hyperlink" xfId="2597" builtinId="9" hidden="true"/>
    <cellStyle name="Followed Hyperlink" xfId="2599" builtinId="9" hidden="true"/>
    <cellStyle name="Followed Hyperlink" xfId="2601" builtinId="9" hidden="true"/>
    <cellStyle name="Followed Hyperlink" xfId="2603" builtinId="9" hidden="true"/>
    <cellStyle name="Followed Hyperlink" xfId="2605" builtinId="9" hidden="true"/>
    <cellStyle name="Followed Hyperlink" xfId="2607" builtinId="9" hidden="true"/>
    <cellStyle name="Followed Hyperlink" xfId="2609" builtinId="9" hidden="true"/>
    <cellStyle name="Followed Hyperlink" xfId="2611" builtinId="9" hidden="true"/>
    <cellStyle name="Followed Hyperlink" xfId="2613" builtinId="9" hidden="true"/>
    <cellStyle name="Followed Hyperlink" xfId="2615" builtinId="9" hidden="true"/>
    <cellStyle name="Followed Hyperlink" xfId="2617" builtinId="9" hidden="true"/>
    <cellStyle name="Followed Hyperlink" xfId="2619" builtinId="9" hidden="true"/>
    <cellStyle name="Followed Hyperlink" xfId="2621" builtinId="9" hidden="true"/>
    <cellStyle name="Followed Hyperlink" xfId="2623" builtinId="9" hidden="true"/>
    <cellStyle name="Followed Hyperlink" xfId="2625" builtinId="9" hidden="true"/>
    <cellStyle name="Followed Hyperlink" xfId="2627" builtinId="9" hidden="true"/>
    <cellStyle name="Followed Hyperlink" xfId="2629" builtinId="9" hidden="true"/>
    <cellStyle name="Followed Hyperlink" xfId="2631" builtinId="9" hidden="true"/>
    <cellStyle name="Followed Hyperlink" xfId="2633" builtinId="9" hidden="true"/>
    <cellStyle name="Followed Hyperlink" xfId="2635" builtinId="9" hidden="true"/>
    <cellStyle name="Followed Hyperlink" xfId="2637" builtinId="9" hidden="true"/>
    <cellStyle name="Followed Hyperlink" xfId="2639" builtinId="9" hidden="true"/>
    <cellStyle name="Followed Hyperlink" xfId="2641" builtinId="9" hidden="true"/>
    <cellStyle name="Followed Hyperlink" xfId="2643" builtinId="9" hidden="true"/>
    <cellStyle name="Followed Hyperlink" xfId="2645" builtinId="9" hidden="true"/>
    <cellStyle name="Followed Hyperlink" xfId="2647" builtinId="9" hidden="true"/>
    <cellStyle name="Followed Hyperlink" xfId="2649" builtinId="9" hidden="true"/>
    <cellStyle name="Followed Hyperlink" xfId="2651" builtinId="9" hidden="true"/>
    <cellStyle name="Followed Hyperlink" xfId="2653" builtinId="9" hidden="true"/>
    <cellStyle name="Followed Hyperlink" xfId="2655" builtinId="9" hidden="true"/>
    <cellStyle name="Followed Hyperlink" xfId="2657" builtinId="9" hidden="true"/>
    <cellStyle name="Followed Hyperlink" xfId="2659" builtinId="9" hidden="true"/>
    <cellStyle name="Followed Hyperlink" xfId="2661" builtinId="9" hidden="true"/>
    <cellStyle name="Followed Hyperlink" xfId="2663" builtinId="9" hidden="true"/>
    <cellStyle name="Followed Hyperlink" xfId="2665" builtinId="9" hidden="true"/>
    <cellStyle name="Followed Hyperlink" xfId="2667" builtinId="9" hidden="true"/>
    <cellStyle name="Followed Hyperlink" xfId="2669" builtinId="9" hidden="true"/>
    <cellStyle name="Followed Hyperlink" xfId="2671" builtinId="9" hidden="true"/>
    <cellStyle name="Followed Hyperlink" xfId="2673" builtinId="9" hidden="true"/>
    <cellStyle name="Followed Hyperlink" xfId="2675" builtinId="9" hidden="true"/>
    <cellStyle name="Followed Hyperlink" xfId="2677" builtinId="9" hidden="true"/>
    <cellStyle name="Followed Hyperlink" xfId="2679" builtinId="9" hidden="true"/>
    <cellStyle name="Followed Hyperlink" xfId="2681" builtinId="9" hidden="true"/>
    <cellStyle name="Followed Hyperlink" xfId="2683" builtinId="9" hidden="true"/>
    <cellStyle name="Followed Hyperlink" xfId="2685" builtinId="9" hidden="true"/>
    <cellStyle name="Followed Hyperlink" xfId="2687" builtinId="9" hidden="true"/>
    <cellStyle name="Followed Hyperlink" xfId="2689" builtinId="9" hidden="true"/>
    <cellStyle name="Followed Hyperlink" xfId="2691" builtinId="9" hidden="true"/>
    <cellStyle name="Followed Hyperlink" xfId="2693" builtinId="9" hidden="true"/>
    <cellStyle name="Followed Hyperlink" xfId="2695" builtinId="9" hidden="true"/>
    <cellStyle name="Followed Hyperlink" xfId="2697" builtinId="9" hidden="true"/>
    <cellStyle name="Followed Hyperlink" xfId="2699" builtinId="9" hidden="true"/>
    <cellStyle name="Followed Hyperlink" xfId="2701" builtinId="9" hidden="true"/>
    <cellStyle name="Followed Hyperlink" xfId="2703" builtinId="9" hidden="true"/>
    <cellStyle name="Followed Hyperlink" xfId="2705" builtinId="9" hidden="true"/>
    <cellStyle name="Followed Hyperlink" xfId="2707" builtinId="9" hidden="true"/>
    <cellStyle name="Followed Hyperlink" xfId="2709" builtinId="9" hidden="true"/>
    <cellStyle name="Followed Hyperlink" xfId="2711" builtinId="9" hidden="true"/>
    <cellStyle name="Followed Hyperlink" xfId="2713" builtinId="9" hidden="true"/>
    <cellStyle name="Followed Hyperlink" xfId="2715" builtinId="9" hidden="true"/>
    <cellStyle name="Followed Hyperlink" xfId="2717" builtinId="9" hidden="true"/>
    <cellStyle name="Followed Hyperlink" xfId="2719" builtinId="9" hidden="true"/>
    <cellStyle name="Followed Hyperlink" xfId="2721" builtinId="9" hidden="true"/>
    <cellStyle name="Followed Hyperlink" xfId="2723" builtinId="9" hidden="true"/>
    <cellStyle name="Followed Hyperlink" xfId="2725" builtinId="9" hidden="true"/>
    <cellStyle name="Followed Hyperlink" xfId="2727" builtinId="9" hidden="true"/>
    <cellStyle name="Followed Hyperlink" xfId="2729" builtinId="9" hidden="true"/>
    <cellStyle name="Followed Hyperlink" xfId="2731" builtinId="9" hidden="true"/>
    <cellStyle name="Followed Hyperlink" xfId="2733" builtinId="9" hidden="true"/>
    <cellStyle name="Followed Hyperlink" xfId="2735" builtinId="9" hidden="true"/>
    <cellStyle name="Followed Hyperlink" xfId="2737" builtinId="9" hidden="true"/>
    <cellStyle name="Followed Hyperlink" xfId="2739" builtinId="9" hidden="true"/>
    <cellStyle name="Followed Hyperlink" xfId="2741" builtinId="9" hidden="true"/>
    <cellStyle name="Followed Hyperlink" xfId="2743" builtinId="9" hidden="true"/>
    <cellStyle name="Followed Hyperlink" xfId="2745" builtinId="9" hidden="true"/>
    <cellStyle name="Followed Hyperlink" xfId="2747" builtinId="9" hidden="true"/>
    <cellStyle name="Followed Hyperlink" xfId="2749" builtinId="9" hidden="true"/>
    <cellStyle name="Followed Hyperlink" xfId="2751" builtinId="9" hidden="true"/>
    <cellStyle name="Followed Hyperlink" xfId="2753" builtinId="9" hidden="true"/>
    <cellStyle name="Followed Hyperlink" xfId="2755" builtinId="9" hidden="true"/>
    <cellStyle name="Followed Hyperlink" xfId="2757" builtinId="9" hidden="true"/>
    <cellStyle name="Followed Hyperlink" xfId="2759" builtinId="9" hidden="true"/>
    <cellStyle name="Followed Hyperlink" xfId="2761" builtinId="9" hidden="true"/>
    <cellStyle name="Followed Hyperlink" xfId="2763" builtinId="9" hidden="true"/>
    <cellStyle name="Followed Hyperlink" xfId="2765" builtinId="9" hidden="true"/>
    <cellStyle name="Followed Hyperlink" xfId="2767" builtinId="9" hidden="true"/>
    <cellStyle name="Followed Hyperlink" xfId="2769" builtinId="9" hidden="true"/>
    <cellStyle name="Followed Hyperlink" xfId="2771" builtinId="9" hidden="true"/>
    <cellStyle name="Followed Hyperlink" xfId="2773" builtinId="9" hidden="true"/>
    <cellStyle name="Followed Hyperlink" xfId="2775" builtinId="9" hidden="true"/>
    <cellStyle name="Followed Hyperlink" xfId="2777" builtinId="9" hidden="true"/>
    <cellStyle name="Followed Hyperlink" xfId="2779" builtinId="9" hidden="true"/>
    <cellStyle name="Followed Hyperlink" xfId="2781" builtinId="9" hidden="true"/>
    <cellStyle name="Followed Hyperlink" xfId="2783" builtinId="9" hidden="true"/>
    <cellStyle name="Followed Hyperlink" xfId="2785" builtinId="9" hidden="true"/>
    <cellStyle name="Followed Hyperlink" xfId="2787" builtinId="9" hidden="true"/>
    <cellStyle name="Followed Hyperlink" xfId="2789" builtinId="9" hidden="true"/>
    <cellStyle name="Followed Hyperlink" xfId="2791" builtinId="9" hidden="true"/>
    <cellStyle name="Followed Hyperlink" xfId="2793" builtinId="9" hidden="true"/>
    <cellStyle name="Followed Hyperlink" xfId="2795" builtinId="9" hidden="true"/>
    <cellStyle name="Followed Hyperlink" xfId="2797" builtinId="9" hidden="true"/>
    <cellStyle name="Followed Hyperlink" xfId="2799" builtinId="9" hidden="true"/>
    <cellStyle name="Followed Hyperlink" xfId="2801" builtinId="9" hidden="true"/>
    <cellStyle name="Followed Hyperlink" xfId="2803" builtinId="9" hidden="true"/>
    <cellStyle name="Followed Hyperlink" xfId="2805" builtinId="9" hidden="true"/>
    <cellStyle name="Followed Hyperlink" xfId="2807" builtinId="9" hidden="true"/>
    <cellStyle name="Followed Hyperlink" xfId="2809" builtinId="9" hidden="true"/>
    <cellStyle name="Followed Hyperlink" xfId="2811" builtinId="9" hidden="true"/>
    <cellStyle name="Followed Hyperlink" xfId="2813" builtinId="9" hidden="true"/>
    <cellStyle name="Followed Hyperlink" xfId="2815" builtinId="9" hidden="true"/>
    <cellStyle name="Followed Hyperlink" xfId="2817" builtinId="9" hidden="true"/>
    <cellStyle name="Followed Hyperlink" xfId="2819" builtinId="9" hidden="true"/>
    <cellStyle name="Followed Hyperlink" xfId="2821" builtinId="9" hidden="true"/>
    <cellStyle name="Followed Hyperlink" xfId="2823" builtinId="9" hidden="true"/>
    <cellStyle name="Followed Hyperlink" xfId="2825" builtinId="9" hidden="true"/>
    <cellStyle name="Followed Hyperlink" xfId="2827" builtinId="9" hidden="true"/>
    <cellStyle name="Followed Hyperlink" xfId="2829" builtinId="9" hidden="true"/>
    <cellStyle name="Followed Hyperlink" xfId="2831" builtinId="9" hidden="true"/>
    <cellStyle name="Followed Hyperlink" xfId="2833" builtinId="9" hidden="true"/>
    <cellStyle name="Followed Hyperlink" xfId="2835" builtinId="9" hidden="true"/>
    <cellStyle name="Followed Hyperlink" xfId="2837" builtinId="9" hidden="true"/>
    <cellStyle name="Followed Hyperlink" xfId="2839" builtinId="9" hidden="true"/>
    <cellStyle name="Followed Hyperlink" xfId="2841" builtinId="9" hidden="true"/>
    <cellStyle name="Followed Hyperlink" xfId="2843" builtinId="9" hidden="true"/>
    <cellStyle name="Followed Hyperlink" xfId="2845" builtinId="9" hidden="true"/>
    <cellStyle name="Followed Hyperlink" xfId="2847" builtinId="9" hidden="true"/>
    <cellStyle name="Followed Hyperlink" xfId="2849" builtinId="9" hidden="true"/>
    <cellStyle name="Followed Hyperlink" xfId="2851" builtinId="9" hidden="true"/>
    <cellStyle name="Followed Hyperlink" xfId="2853" builtinId="9" hidden="true"/>
    <cellStyle name="Followed Hyperlink" xfId="2855" builtinId="9" hidden="true"/>
    <cellStyle name="Followed Hyperlink" xfId="2857" builtinId="9" hidden="true"/>
    <cellStyle name="Followed Hyperlink" xfId="2859" builtinId="9" hidden="true"/>
    <cellStyle name="Followed Hyperlink" xfId="2861" builtinId="9" hidden="true"/>
    <cellStyle name="Followed Hyperlink" xfId="2863" builtinId="9" hidden="true"/>
    <cellStyle name="Followed Hyperlink" xfId="2865" builtinId="9" hidden="true"/>
    <cellStyle name="Followed Hyperlink" xfId="2867" builtinId="9" hidden="true"/>
    <cellStyle name="Followed Hyperlink" xfId="2869" builtinId="9" hidden="true"/>
    <cellStyle name="Followed Hyperlink" xfId="2871" builtinId="9" hidden="true"/>
    <cellStyle name="Followed Hyperlink" xfId="2873" builtinId="9" hidden="true"/>
    <cellStyle name="Followed Hyperlink" xfId="2875" builtinId="9" hidden="true"/>
    <cellStyle name="Followed Hyperlink" xfId="2877" builtinId="9" hidden="true"/>
    <cellStyle name="Followed Hyperlink" xfId="2879" builtinId="9" hidden="true"/>
    <cellStyle name="Followed Hyperlink" xfId="2881" builtinId="9" hidden="true"/>
    <cellStyle name="Followed Hyperlink" xfId="2883" builtinId="9" hidden="true"/>
    <cellStyle name="Followed Hyperlink" xfId="2885" builtinId="9" hidden="true"/>
    <cellStyle name="Followed Hyperlink" xfId="2887" builtinId="9" hidden="true"/>
    <cellStyle name="Followed Hyperlink" xfId="2889" builtinId="9" hidden="true"/>
    <cellStyle name="Followed Hyperlink" xfId="2891" builtinId="9" hidden="true"/>
    <cellStyle name="Followed Hyperlink" xfId="2893" builtinId="9" hidden="true"/>
    <cellStyle name="Followed Hyperlink" xfId="2895" builtinId="9" hidden="true"/>
    <cellStyle name="Followed Hyperlink" xfId="2897" builtinId="9" hidden="true"/>
    <cellStyle name="Followed Hyperlink" xfId="2899" builtinId="9" hidden="true"/>
    <cellStyle name="Followed Hyperlink" xfId="2901" builtinId="9" hidden="true"/>
    <cellStyle name="Followed Hyperlink" xfId="2903" builtinId="9" hidden="true"/>
    <cellStyle name="Followed Hyperlink" xfId="2905" builtinId="9" hidden="true"/>
    <cellStyle name="Followed Hyperlink" xfId="2907" builtinId="9" hidden="true"/>
    <cellStyle name="Followed Hyperlink" xfId="2909" builtinId="9" hidden="true"/>
    <cellStyle name="Followed Hyperlink" xfId="2911" builtinId="9" hidden="true"/>
    <cellStyle name="Followed Hyperlink" xfId="2913" builtinId="9" hidden="true"/>
    <cellStyle name="Followed Hyperlink" xfId="2915" builtinId="9" hidden="true"/>
    <cellStyle name="Followed Hyperlink" xfId="2917" builtinId="9" hidden="true"/>
    <cellStyle name="Followed Hyperlink" xfId="2919" builtinId="9" hidden="true"/>
    <cellStyle name="Followed Hyperlink" xfId="2921" builtinId="9" hidden="true"/>
    <cellStyle name="Followed Hyperlink" xfId="2923" builtinId="9" hidden="true"/>
    <cellStyle name="Followed Hyperlink" xfId="2925" builtinId="9" hidden="true"/>
    <cellStyle name="Followed Hyperlink" xfId="2927" builtinId="9" hidden="true"/>
    <cellStyle name="Followed Hyperlink" xfId="2929" builtinId="9" hidden="true"/>
    <cellStyle name="Followed Hyperlink" xfId="2931" builtinId="9" hidden="true"/>
    <cellStyle name="Followed Hyperlink" xfId="2933" builtinId="9" hidden="true"/>
    <cellStyle name="Followed Hyperlink" xfId="2935" builtinId="9" hidden="true"/>
    <cellStyle name="Followed Hyperlink" xfId="2937" builtinId="9" hidden="true"/>
    <cellStyle name="Followed Hyperlink" xfId="2939" builtinId="9" hidden="true"/>
    <cellStyle name="Followed Hyperlink" xfId="2941" builtinId="9" hidden="true"/>
    <cellStyle name="Followed Hyperlink" xfId="2943" builtinId="9" hidden="true"/>
    <cellStyle name="Followed Hyperlink" xfId="2945" builtinId="9" hidden="true"/>
    <cellStyle name="Followed Hyperlink" xfId="2947" builtinId="9" hidden="true"/>
    <cellStyle name="Followed Hyperlink" xfId="2949" builtinId="9" hidden="true"/>
    <cellStyle name="Followed Hyperlink" xfId="2951" builtinId="9" hidden="true"/>
    <cellStyle name="Followed Hyperlink" xfId="2953" builtinId="9" hidden="true"/>
    <cellStyle name="Followed Hyperlink" xfId="2955" builtinId="9" hidden="true"/>
    <cellStyle name="Followed Hyperlink" xfId="2957" builtinId="9" hidden="true"/>
    <cellStyle name="Followed Hyperlink" xfId="2959" builtinId="9" hidden="true"/>
    <cellStyle name="Followed Hyperlink" xfId="2961" builtinId="9" hidden="true"/>
    <cellStyle name="Followed Hyperlink" xfId="2963" builtinId="9" hidden="true"/>
    <cellStyle name="Followed Hyperlink" xfId="2965" builtinId="9" hidden="true"/>
    <cellStyle name="Followed Hyperlink" xfId="2967" builtinId="9" hidden="true"/>
    <cellStyle name="Followed Hyperlink" xfId="2969" builtinId="9" hidden="true"/>
    <cellStyle name="Followed Hyperlink" xfId="2971" builtinId="9" hidden="true"/>
    <cellStyle name="Followed Hyperlink" xfId="2973" builtinId="9" hidden="true"/>
    <cellStyle name="Followed Hyperlink" xfId="2975" builtinId="9" hidden="true"/>
    <cellStyle name="Followed Hyperlink" xfId="2977" builtinId="9" hidden="true"/>
    <cellStyle name="Followed Hyperlink" xfId="2979" builtinId="9" hidden="true"/>
    <cellStyle name="Followed Hyperlink" xfId="2981" builtinId="9" hidden="true"/>
    <cellStyle name="Followed Hyperlink" xfId="2983" builtinId="9" hidden="true"/>
    <cellStyle name="Followed Hyperlink" xfId="2985" builtinId="9" hidden="true"/>
    <cellStyle name="Followed Hyperlink" xfId="2987" builtinId="9" hidden="true"/>
    <cellStyle name="Followed Hyperlink" xfId="2989" builtinId="9" hidden="true"/>
    <cellStyle name="Followed Hyperlink" xfId="2991" builtinId="9" hidden="true"/>
    <cellStyle name="Followed Hyperlink" xfId="2993" builtinId="9" hidden="true"/>
    <cellStyle name="Followed Hyperlink" xfId="2995" builtinId="9" hidden="true"/>
    <cellStyle name="Followed Hyperlink" xfId="2997" builtinId="9" hidden="true"/>
    <cellStyle name="Followed Hyperlink" xfId="2999" builtinId="9" hidden="true"/>
    <cellStyle name="Followed Hyperlink" xfId="3001" builtinId="9" hidden="true"/>
    <cellStyle name="Followed Hyperlink" xfId="3003" builtinId="9" hidden="true"/>
    <cellStyle name="Followed Hyperlink" xfId="3005" builtinId="9" hidden="true"/>
    <cellStyle name="Followed Hyperlink" xfId="3007" builtinId="9" hidden="true"/>
    <cellStyle name="Followed Hyperlink" xfId="3009" builtinId="9" hidden="true"/>
    <cellStyle name="Followed Hyperlink" xfId="3011" builtinId="9" hidden="true"/>
    <cellStyle name="Followed Hyperlink" xfId="3013" builtinId="9" hidden="true"/>
    <cellStyle name="Followed Hyperlink" xfId="3015" builtinId="9" hidden="true"/>
    <cellStyle name="Followed Hyperlink" xfId="3017" builtinId="9" hidden="true"/>
    <cellStyle name="Followed Hyperlink" xfId="3019" builtinId="9" hidden="true"/>
    <cellStyle name="Followed Hyperlink" xfId="3021" builtinId="9" hidden="true"/>
    <cellStyle name="Followed Hyperlink" xfId="3023" builtinId="9" hidden="true"/>
    <cellStyle name="Followed Hyperlink" xfId="3025" builtinId="9" hidden="true"/>
    <cellStyle name="Followed Hyperlink" xfId="3027" builtinId="9" hidden="true"/>
    <cellStyle name="Followed Hyperlink" xfId="3029" builtinId="9" hidden="true"/>
    <cellStyle name="Followed Hyperlink" xfId="3031" builtinId="9" hidden="true"/>
    <cellStyle name="Followed Hyperlink" xfId="3033" builtinId="9" hidden="true"/>
    <cellStyle name="Followed Hyperlink" xfId="3035" builtinId="9" hidden="true"/>
    <cellStyle name="Followed Hyperlink" xfId="3037" builtinId="9" hidden="true"/>
    <cellStyle name="Followed Hyperlink" xfId="3039" builtinId="9" hidden="true"/>
    <cellStyle name="Followed Hyperlink" xfId="3041" builtinId="9" hidden="true"/>
    <cellStyle name="Followed Hyperlink" xfId="3043" builtinId="9" hidden="true"/>
    <cellStyle name="Followed Hyperlink" xfId="3045" builtinId="9" hidden="true"/>
    <cellStyle name="Followed Hyperlink" xfId="3047" builtinId="9" hidden="true"/>
    <cellStyle name="Followed Hyperlink" xfId="3049" builtinId="9" hidden="true"/>
    <cellStyle name="Followed Hyperlink" xfId="3051" builtinId="9" hidden="true"/>
    <cellStyle name="Followed Hyperlink" xfId="3053" builtinId="9" hidden="true"/>
    <cellStyle name="Followed Hyperlink" xfId="3055" builtinId="9" hidden="true"/>
    <cellStyle name="Followed Hyperlink" xfId="3057" builtinId="9" hidden="true"/>
    <cellStyle name="Followed Hyperlink" xfId="3059" builtinId="9" hidden="true"/>
    <cellStyle name="Followed Hyperlink" xfId="3061" builtinId="9" hidden="true"/>
    <cellStyle name="Followed Hyperlink" xfId="3063" builtinId="9" hidden="true"/>
    <cellStyle name="Followed Hyperlink" xfId="3065" builtinId="9" hidden="true"/>
    <cellStyle name="Followed Hyperlink" xfId="3067" builtinId="9" hidden="true"/>
    <cellStyle name="Followed Hyperlink" xfId="3069" builtinId="9" hidden="true"/>
    <cellStyle name="Followed Hyperlink" xfId="3071" builtinId="9" hidden="true"/>
    <cellStyle name="Followed Hyperlink" xfId="3073" builtinId="9" hidden="true"/>
    <cellStyle name="Followed Hyperlink" xfId="3075" builtinId="9" hidden="true"/>
    <cellStyle name="Followed Hyperlink" xfId="3077" builtinId="9" hidden="true"/>
    <cellStyle name="Followed Hyperlink" xfId="3079" builtinId="9" hidden="true"/>
    <cellStyle name="Followed Hyperlink" xfId="3081" builtinId="9" hidden="true"/>
    <cellStyle name="Followed Hyperlink" xfId="3083" builtinId="9" hidden="true"/>
    <cellStyle name="Followed Hyperlink" xfId="3085" builtinId="9" hidden="true"/>
    <cellStyle name="Followed Hyperlink" xfId="3087" builtinId="9" hidden="true"/>
    <cellStyle name="Followed Hyperlink" xfId="3089" builtinId="9" hidden="true"/>
    <cellStyle name="Followed Hyperlink" xfId="3091" builtinId="9" hidden="true"/>
    <cellStyle name="Followed Hyperlink" xfId="3093" builtinId="9" hidden="true"/>
    <cellStyle name="Followed Hyperlink" xfId="3095" builtinId="9" hidden="true"/>
    <cellStyle name="Followed Hyperlink" xfId="3097" builtinId="9" hidden="true"/>
    <cellStyle name="Followed Hyperlink" xfId="3099" builtinId="9" hidden="true"/>
    <cellStyle name="Followed Hyperlink" xfId="3101" builtinId="9" hidden="true"/>
    <cellStyle name="Followed Hyperlink" xfId="3103" builtinId="9" hidden="true"/>
    <cellStyle name="Followed Hyperlink" xfId="3105" builtinId="9" hidden="true"/>
    <cellStyle name="Followed Hyperlink" xfId="3107" builtinId="9" hidden="true"/>
    <cellStyle name="Followed Hyperlink" xfId="3109" builtinId="9" hidden="true"/>
    <cellStyle name="Followed Hyperlink" xfId="3111" builtinId="9" hidden="true"/>
    <cellStyle name="Followed Hyperlink" xfId="3113" builtinId="9" hidden="true"/>
    <cellStyle name="Followed Hyperlink" xfId="3115" builtinId="9" hidden="true"/>
    <cellStyle name="Followed Hyperlink" xfId="3117" builtinId="9" hidden="true"/>
    <cellStyle name="Followed Hyperlink" xfId="3119" builtinId="9" hidden="true"/>
    <cellStyle name="Followed Hyperlink" xfId="3121" builtinId="9" hidden="true"/>
    <cellStyle name="Followed Hyperlink" xfId="3123" builtinId="9" hidden="true"/>
    <cellStyle name="Followed Hyperlink" xfId="3125" builtinId="9" hidden="true"/>
    <cellStyle name="Followed Hyperlink" xfId="3127" builtinId="9" hidden="true"/>
    <cellStyle name="Followed Hyperlink" xfId="3129" builtinId="9" hidden="true"/>
    <cellStyle name="Followed Hyperlink" xfId="3131" builtinId="9" hidden="true"/>
    <cellStyle name="Followed Hyperlink" xfId="3133" builtinId="9" hidden="true"/>
    <cellStyle name="Followed Hyperlink" xfId="3135" builtinId="9" hidden="true"/>
    <cellStyle name="Followed Hyperlink" xfId="3137" builtinId="9" hidden="true"/>
    <cellStyle name="Followed Hyperlink" xfId="3139" builtinId="9" hidden="true"/>
    <cellStyle name="Followed Hyperlink" xfId="3141" builtinId="9" hidden="true"/>
    <cellStyle name="Followed Hyperlink" xfId="3143" builtinId="9" hidden="true"/>
    <cellStyle name="Followed Hyperlink" xfId="3145" builtinId="9" hidden="true"/>
    <cellStyle name="Followed Hyperlink" xfId="3147" builtinId="9" hidden="true"/>
    <cellStyle name="Followed Hyperlink" xfId="3149" builtinId="9" hidden="true"/>
    <cellStyle name="Followed Hyperlink" xfId="3151" builtinId="9" hidden="true"/>
    <cellStyle name="Followed Hyperlink" xfId="3153" builtinId="9" hidden="true"/>
    <cellStyle name="Followed Hyperlink" xfId="3155" builtinId="9" hidden="true"/>
    <cellStyle name="Followed Hyperlink" xfId="3157" builtinId="9" hidden="true"/>
    <cellStyle name="Followed Hyperlink" xfId="3159" builtinId="9" hidden="true"/>
    <cellStyle name="Followed Hyperlink" xfId="3161" builtinId="9" hidden="true"/>
    <cellStyle name="Followed Hyperlink" xfId="3163" builtinId="9" hidden="true"/>
    <cellStyle name="Followed Hyperlink" xfId="3165" builtinId="9" hidden="true"/>
    <cellStyle name="Followed Hyperlink" xfId="3167" builtinId="9" hidden="true"/>
    <cellStyle name="Followed Hyperlink" xfId="3169" builtinId="9" hidden="true"/>
    <cellStyle name="Followed Hyperlink" xfId="3171" builtinId="9" hidden="true"/>
    <cellStyle name="Followed Hyperlink" xfId="3173" builtinId="9" hidden="true"/>
    <cellStyle name="Followed Hyperlink" xfId="3175" builtinId="9" hidden="true"/>
    <cellStyle name="Followed Hyperlink" xfId="3177" builtinId="9" hidden="true"/>
    <cellStyle name="Followed Hyperlink" xfId="3179" builtinId="9" hidden="true"/>
    <cellStyle name="Followed Hyperlink" xfId="3181" builtinId="9" hidden="true"/>
    <cellStyle name="Followed Hyperlink" xfId="3183" builtinId="9" hidden="true"/>
    <cellStyle name="Followed Hyperlink" xfId="3185" builtinId="9" hidden="true"/>
    <cellStyle name="Followed Hyperlink" xfId="3187" builtinId="9" hidden="true"/>
    <cellStyle name="Followed Hyperlink" xfId="3189" builtinId="9" hidden="true"/>
    <cellStyle name="Followed Hyperlink" xfId="3191" builtinId="9" hidden="true"/>
    <cellStyle name="Followed Hyperlink" xfId="3193" builtinId="9" hidden="true"/>
    <cellStyle name="Followed Hyperlink" xfId="3195" builtinId="9" hidden="true"/>
    <cellStyle name="Followed Hyperlink" xfId="3197" builtinId="9" hidden="true"/>
    <cellStyle name="Followed Hyperlink" xfId="3199" builtinId="9" hidden="true"/>
    <cellStyle name="Followed Hyperlink" xfId="3201" builtinId="9" hidden="true"/>
    <cellStyle name="Followed Hyperlink" xfId="3203" builtinId="9" hidden="true"/>
    <cellStyle name="Followed Hyperlink" xfId="3205" builtinId="9" hidden="true"/>
    <cellStyle name="Followed Hyperlink" xfId="3207" builtinId="9" hidden="true"/>
    <cellStyle name="Followed Hyperlink" xfId="3209" builtinId="9" hidden="true"/>
    <cellStyle name="Followed Hyperlink" xfId="3211" builtinId="9" hidden="true"/>
    <cellStyle name="Followed Hyperlink" xfId="3213" builtinId="9" hidden="true"/>
    <cellStyle name="Followed Hyperlink" xfId="3215" builtinId="9" hidden="true"/>
    <cellStyle name="Followed Hyperlink" xfId="3217" builtinId="9" hidden="true"/>
    <cellStyle name="Followed Hyperlink" xfId="3219" builtinId="9" hidden="true"/>
    <cellStyle name="Followed Hyperlink" xfId="3221" builtinId="9" hidden="true"/>
    <cellStyle name="Followed Hyperlink" xfId="3223" builtinId="9" hidden="true"/>
    <cellStyle name="Followed Hyperlink" xfId="3225" builtinId="9" hidden="true"/>
    <cellStyle name="Followed Hyperlink" xfId="3227" builtinId="9" hidden="true"/>
    <cellStyle name="Followed Hyperlink" xfId="3229" builtinId="9" hidden="true"/>
    <cellStyle name="Followed Hyperlink" xfId="3231" builtinId="9" hidden="true"/>
    <cellStyle name="Followed Hyperlink" xfId="3233" builtinId="9" hidden="true"/>
    <cellStyle name="Followed Hyperlink" xfId="3235" builtinId="9" hidden="true"/>
    <cellStyle name="Followed Hyperlink" xfId="3237" builtinId="9" hidden="true"/>
    <cellStyle name="Followed Hyperlink" xfId="3239" builtinId="9" hidden="true"/>
    <cellStyle name="Followed Hyperlink" xfId="3241" builtinId="9" hidden="true"/>
    <cellStyle name="Followed Hyperlink" xfId="3243" builtinId="9" hidden="true"/>
    <cellStyle name="Followed Hyperlink" xfId="3245" builtinId="9" hidden="true"/>
    <cellStyle name="Followed Hyperlink" xfId="3247" builtinId="9" hidden="true"/>
    <cellStyle name="Followed Hyperlink" xfId="3249" builtinId="9" hidden="true"/>
    <cellStyle name="Followed Hyperlink" xfId="3251" builtinId="9" hidden="true"/>
    <cellStyle name="Followed Hyperlink" xfId="3253" builtinId="9" hidden="true"/>
    <cellStyle name="Followed Hyperlink" xfId="3255" builtinId="9" hidden="true"/>
    <cellStyle name="Followed Hyperlink" xfId="3257" builtinId="9" hidden="true"/>
    <cellStyle name="Followed Hyperlink" xfId="3259" builtinId="9" hidden="true"/>
    <cellStyle name="Followed Hyperlink" xfId="3261" builtinId="9" hidden="true"/>
    <cellStyle name="Followed Hyperlink" xfId="3263" builtinId="9" hidden="true"/>
    <cellStyle name="Followed Hyperlink" xfId="3265" builtinId="9" hidden="true"/>
    <cellStyle name="Followed Hyperlink" xfId="3267" builtinId="9" hidden="true"/>
    <cellStyle name="Followed Hyperlink" xfId="3269" builtinId="9" hidden="true"/>
    <cellStyle name="Followed Hyperlink" xfId="3271" builtinId="9" hidden="true"/>
    <cellStyle name="Followed Hyperlink" xfId="3273" builtinId="9" hidden="true"/>
    <cellStyle name="Followed Hyperlink" xfId="3275" builtinId="9" hidden="true"/>
    <cellStyle name="Followed Hyperlink" xfId="3277" builtinId="9" hidden="true"/>
    <cellStyle name="Followed Hyperlink" xfId="3279" builtinId="9" hidden="true"/>
    <cellStyle name="Followed Hyperlink" xfId="3281" builtinId="9" hidden="true"/>
    <cellStyle name="Followed Hyperlink" xfId="3283" builtinId="9" hidden="true"/>
    <cellStyle name="Followed Hyperlink" xfId="3285" builtinId="9" hidden="true"/>
    <cellStyle name="Followed Hyperlink" xfId="3287" builtinId="9" hidden="true"/>
    <cellStyle name="Followed Hyperlink" xfId="3289" builtinId="9" hidden="true"/>
    <cellStyle name="Followed Hyperlink" xfId="3291" builtinId="9" hidden="true"/>
    <cellStyle name="Followed Hyperlink" xfId="3293" builtinId="9" hidden="true"/>
    <cellStyle name="Followed Hyperlink" xfId="3295" builtinId="9" hidden="true"/>
    <cellStyle name="Followed Hyperlink" xfId="3297" builtinId="9" hidden="true"/>
    <cellStyle name="Followed Hyperlink" xfId="3299" builtinId="9" hidden="true"/>
    <cellStyle name="Followed Hyperlink" xfId="3301" builtinId="9" hidden="true"/>
    <cellStyle name="Followed Hyperlink" xfId="3303" builtinId="9" hidden="true"/>
    <cellStyle name="Followed Hyperlink" xfId="3305" builtinId="9" hidden="true"/>
    <cellStyle name="Followed Hyperlink" xfId="3307" builtinId="9" hidden="true"/>
    <cellStyle name="Followed Hyperlink" xfId="3309" builtinId="9" hidden="true"/>
    <cellStyle name="Followed Hyperlink" xfId="3311" builtinId="9" hidden="true"/>
    <cellStyle name="Followed Hyperlink" xfId="3313" builtinId="9" hidden="true"/>
    <cellStyle name="Followed Hyperlink" xfId="3315" builtinId="9" hidden="true"/>
    <cellStyle name="Followed Hyperlink" xfId="3317" builtinId="9" hidden="true"/>
    <cellStyle name="Followed Hyperlink" xfId="3319" builtinId="9" hidden="true"/>
    <cellStyle name="Followed Hyperlink" xfId="3321" builtinId="9" hidden="true"/>
    <cellStyle name="Followed Hyperlink" xfId="3323" builtinId="9" hidden="true"/>
    <cellStyle name="Followed Hyperlink" xfId="3325" builtinId="9" hidden="true"/>
    <cellStyle name="Followed Hyperlink" xfId="3327" builtinId="9" hidden="true"/>
    <cellStyle name="Followed Hyperlink" xfId="3329" builtinId="9" hidden="true"/>
    <cellStyle name="Followed Hyperlink" xfId="3331" builtinId="9" hidden="true"/>
    <cellStyle name="Followed Hyperlink" xfId="3333" builtinId="9" hidden="true"/>
    <cellStyle name="Followed Hyperlink" xfId="3335" builtinId="9" hidden="true"/>
    <cellStyle name="Followed Hyperlink" xfId="3337" builtinId="9" hidden="true"/>
    <cellStyle name="Followed Hyperlink" xfId="3339" builtinId="9" hidden="true"/>
    <cellStyle name="Followed Hyperlink" xfId="3341" builtinId="9" hidden="true"/>
    <cellStyle name="Followed Hyperlink" xfId="3343" builtinId="9" hidden="true"/>
    <cellStyle name="Followed Hyperlink" xfId="3345" builtinId="9" hidden="true"/>
    <cellStyle name="Followed Hyperlink" xfId="3347" builtinId="9" hidden="true"/>
    <cellStyle name="Followed Hyperlink" xfId="3349" builtinId="9" hidden="true"/>
    <cellStyle name="Followed Hyperlink" xfId="3351" builtinId="9" hidden="true"/>
    <cellStyle name="Followed Hyperlink" xfId="3353" builtinId="9" hidden="true"/>
    <cellStyle name="Followed Hyperlink" xfId="3355" builtinId="9" hidden="true"/>
    <cellStyle name="Followed Hyperlink" xfId="3357" builtinId="9" hidden="true"/>
    <cellStyle name="Followed Hyperlink" xfId="3359" builtinId="9" hidden="true"/>
    <cellStyle name="Followed Hyperlink" xfId="3361" builtinId="9" hidden="true"/>
    <cellStyle name="Followed Hyperlink" xfId="3363" builtinId="9" hidden="true"/>
    <cellStyle name="Followed Hyperlink" xfId="3365" builtinId="9" hidden="true"/>
    <cellStyle name="Followed Hyperlink" xfId="3367" builtinId="9" hidden="true"/>
    <cellStyle name="Followed Hyperlink" xfId="3369" builtinId="9" hidden="true"/>
    <cellStyle name="Followed Hyperlink" xfId="3371" builtinId="9" hidden="true"/>
    <cellStyle name="Followed Hyperlink" xfId="3373" builtinId="9" hidden="true"/>
    <cellStyle name="Followed Hyperlink" xfId="3375" builtinId="9" hidden="true"/>
    <cellStyle name="Followed Hyperlink" xfId="3377" builtinId="9" hidden="true"/>
    <cellStyle name="Followed Hyperlink" xfId="3379" builtinId="9" hidden="true"/>
    <cellStyle name="Followed Hyperlink" xfId="3381" builtinId="9" hidden="true"/>
    <cellStyle name="Followed Hyperlink" xfId="3383" builtinId="9" hidden="true"/>
    <cellStyle name="Followed Hyperlink" xfId="3385" builtinId="9" hidden="true"/>
    <cellStyle name="Followed Hyperlink" xfId="3387" builtinId="9" hidden="true"/>
    <cellStyle name="Followed Hyperlink" xfId="3389" builtinId="9" hidden="true"/>
    <cellStyle name="Followed Hyperlink" xfId="3391" builtinId="9" hidden="true"/>
    <cellStyle name="Followed Hyperlink" xfId="3393" builtinId="9" hidden="true"/>
    <cellStyle name="Followed Hyperlink" xfId="3395" builtinId="9" hidden="true"/>
    <cellStyle name="Followed Hyperlink" xfId="3397" builtinId="9" hidden="true"/>
    <cellStyle name="Followed Hyperlink" xfId="3399" builtinId="9" hidden="true"/>
    <cellStyle name="Followed Hyperlink" xfId="3401" builtinId="9" hidden="true"/>
    <cellStyle name="Followed Hyperlink" xfId="3403" builtinId="9" hidden="true"/>
    <cellStyle name="Followed Hyperlink" xfId="3405" builtinId="9" hidden="true"/>
    <cellStyle name="Followed Hyperlink" xfId="3407" builtinId="9" hidden="true"/>
    <cellStyle name="Followed Hyperlink" xfId="3409" builtinId="9" hidden="true"/>
    <cellStyle name="Followed Hyperlink" xfId="3411" builtinId="9" hidden="true"/>
    <cellStyle name="Followed Hyperlink" xfId="3413" builtinId="9" hidden="true"/>
    <cellStyle name="Followed Hyperlink" xfId="3415" builtinId="9" hidden="true"/>
    <cellStyle name="Followed Hyperlink" xfId="3417" builtinId="9" hidden="true"/>
    <cellStyle name="Followed Hyperlink" xfId="3419" builtinId="9" hidden="true"/>
    <cellStyle name="Followed Hyperlink" xfId="3421" builtinId="9" hidden="true"/>
    <cellStyle name="Followed Hyperlink" xfId="3423" builtinId="9" hidden="true"/>
    <cellStyle name="Followed Hyperlink" xfId="3425" builtinId="9" hidden="true"/>
    <cellStyle name="Followed Hyperlink" xfId="3427" builtinId="9" hidden="true"/>
    <cellStyle name="Followed Hyperlink" xfId="3429" builtinId="9" hidden="true"/>
    <cellStyle name="Followed Hyperlink" xfId="3431" builtinId="9" hidden="true"/>
    <cellStyle name="Followed Hyperlink" xfId="3433" builtinId="9" hidden="true"/>
    <cellStyle name="Followed Hyperlink" xfId="3435" builtinId="9" hidden="true"/>
    <cellStyle name="Followed Hyperlink" xfId="3437" builtinId="9" hidden="true"/>
    <cellStyle name="Followed Hyperlink" xfId="3439" builtinId="9" hidden="true"/>
    <cellStyle name="Followed Hyperlink" xfId="3441" builtinId="9" hidden="true"/>
    <cellStyle name="Followed Hyperlink" xfId="3443" builtinId="9" hidden="true"/>
    <cellStyle name="Followed Hyperlink" xfId="3445" builtinId="9" hidden="true"/>
    <cellStyle name="Followed Hyperlink" xfId="3447" builtinId="9" hidden="true"/>
    <cellStyle name="Followed Hyperlink" xfId="3449" builtinId="9" hidden="true"/>
    <cellStyle name="Followed Hyperlink" xfId="3451" builtinId="9" hidden="true"/>
    <cellStyle name="Followed Hyperlink" xfId="3453" builtinId="9" hidden="true"/>
    <cellStyle name="Followed Hyperlink" xfId="3455" builtinId="9" hidden="true"/>
    <cellStyle name="Followed Hyperlink" xfId="3457" builtinId="9" hidden="true"/>
    <cellStyle name="Followed Hyperlink" xfId="3459" builtinId="9" hidden="true"/>
    <cellStyle name="Followed Hyperlink" xfId="3461" builtinId="9" hidden="true"/>
    <cellStyle name="Followed Hyperlink" xfId="3463" builtinId="9" hidden="true"/>
    <cellStyle name="Followed Hyperlink" xfId="3465" builtinId="9" hidden="true"/>
    <cellStyle name="Followed Hyperlink" xfId="3467" builtinId="9" hidden="true"/>
    <cellStyle name="Followed Hyperlink" xfId="3469" builtinId="9" hidden="true"/>
    <cellStyle name="Followed Hyperlink" xfId="3471" builtinId="9" hidden="true"/>
    <cellStyle name="Followed Hyperlink" xfId="3473" builtinId="9" hidden="true"/>
    <cellStyle name="Followed Hyperlink" xfId="3475" builtinId="9" hidden="true"/>
    <cellStyle name="Followed Hyperlink" xfId="3477" builtinId="9" hidden="true"/>
    <cellStyle name="Followed Hyperlink" xfId="3479" builtinId="9" hidden="true"/>
    <cellStyle name="Followed Hyperlink" xfId="3481" builtinId="9" hidden="true"/>
    <cellStyle name="Followed Hyperlink" xfId="3483" builtinId="9" hidden="true"/>
    <cellStyle name="Followed Hyperlink" xfId="3485" builtinId="9" hidden="true"/>
    <cellStyle name="Followed Hyperlink" xfId="3487" builtinId="9" hidden="true"/>
    <cellStyle name="Followed Hyperlink" xfId="3489" builtinId="9" hidden="true"/>
    <cellStyle name="Followed Hyperlink" xfId="3491" builtinId="9" hidden="true"/>
    <cellStyle name="Followed Hyperlink" xfId="3493" builtinId="9" hidden="true"/>
    <cellStyle name="Followed Hyperlink" xfId="3495" builtinId="9" hidden="true"/>
    <cellStyle name="Followed Hyperlink" xfId="3497" builtinId="9" hidden="true"/>
    <cellStyle name="Followed Hyperlink" xfId="3499" builtinId="9" hidden="true"/>
    <cellStyle name="Followed Hyperlink" xfId="3501" builtinId="9" hidden="true"/>
    <cellStyle name="Followed Hyperlink" xfId="3503" builtinId="9" hidden="true"/>
    <cellStyle name="Followed Hyperlink" xfId="3505" builtinId="9" hidden="true"/>
    <cellStyle name="Followed Hyperlink" xfId="3507" builtinId="9" hidden="true"/>
    <cellStyle name="Followed Hyperlink" xfId="3509" builtinId="9" hidden="true"/>
    <cellStyle name="Followed Hyperlink" xfId="3511" builtinId="9" hidden="true"/>
    <cellStyle name="Followed Hyperlink" xfId="3513" builtinId="9" hidden="true"/>
    <cellStyle name="Followed Hyperlink" xfId="3515" builtinId="9" hidden="true"/>
    <cellStyle name="Followed Hyperlink" xfId="3517" builtinId="9" hidden="true"/>
    <cellStyle name="Followed Hyperlink" xfId="3519" builtinId="9" hidden="true"/>
    <cellStyle name="Followed Hyperlink" xfId="3521" builtinId="9" hidden="true"/>
    <cellStyle name="Followed Hyperlink" xfId="3523" builtinId="9" hidden="true"/>
    <cellStyle name="Followed Hyperlink" xfId="3525" builtinId="9" hidden="true"/>
    <cellStyle name="Followed Hyperlink" xfId="3527" builtinId="9" hidden="true"/>
    <cellStyle name="Followed Hyperlink" xfId="3529" builtinId="9" hidden="true"/>
    <cellStyle name="Followed Hyperlink" xfId="3531" builtinId="9" hidden="true"/>
    <cellStyle name="Followed Hyperlink" xfId="3533" builtinId="9" hidden="true"/>
    <cellStyle name="Followed Hyperlink" xfId="3535" builtinId="9" hidden="true"/>
    <cellStyle name="Followed Hyperlink" xfId="3537" builtinId="9" hidden="true"/>
    <cellStyle name="Followed Hyperlink" xfId="3539" builtinId="9" hidden="true"/>
    <cellStyle name="Followed Hyperlink" xfId="3541" builtinId="9" hidden="true"/>
    <cellStyle name="Followed Hyperlink" xfId="3543" builtinId="9" hidden="true"/>
    <cellStyle name="Followed Hyperlink" xfId="3545" builtinId="9" hidden="true"/>
    <cellStyle name="Followed Hyperlink" xfId="3547" builtinId="9" hidden="true"/>
    <cellStyle name="Followed Hyperlink" xfId="3549" builtinId="9" hidden="true"/>
    <cellStyle name="Followed Hyperlink" xfId="3551" builtinId="9" hidden="true"/>
    <cellStyle name="Followed Hyperlink" xfId="3553" builtinId="9" hidden="true"/>
    <cellStyle name="Followed Hyperlink" xfId="3555" builtinId="9" hidden="true"/>
    <cellStyle name="Followed Hyperlink" xfId="3557" builtinId="9" hidden="true"/>
    <cellStyle name="Followed Hyperlink" xfId="3559" builtinId="9" hidden="true"/>
    <cellStyle name="Followed Hyperlink" xfId="3561" builtinId="9" hidden="true"/>
    <cellStyle name="Followed Hyperlink" xfId="3563" builtinId="9" hidden="true"/>
    <cellStyle name="Followed Hyperlink" xfId="3565" builtinId="9" hidden="true"/>
    <cellStyle name="Followed Hyperlink" xfId="3567" builtinId="9" hidden="true"/>
    <cellStyle name="Followed Hyperlink" xfId="3569" builtinId="9" hidden="true"/>
    <cellStyle name="Followed Hyperlink" xfId="3571" builtinId="9" hidden="true"/>
    <cellStyle name="Followed Hyperlink" xfId="3573" builtinId="9" hidden="true"/>
    <cellStyle name="Followed Hyperlink" xfId="3575" builtinId="9" hidden="true"/>
    <cellStyle name="Followed Hyperlink" xfId="3577" builtinId="9" hidden="true"/>
    <cellStyle name="Followed Hyperlink" xfId="3579" builtinId="9" hidden="true"/>
    <cellStyle name="Followed Hyperlink" xfId="3581" builtinId="9" hidden="true"/>
    <cellStyle name="Followed Hyperlink" xfId="3583" builtinId="9" hidden="true"/>
    <cellStyle name="Followed Hyperlink" xfId="3585" builtinId="9" hidden="true"/>
    <cellStyle name="Followed Hyperlink" xfId="3587" builtinId="9" hidden="true"/>
    <cellStyle name="Followed Hyperlink" xfId="3589" builtinId="9" hidden="true"/>
    <cellStyle name="Followed Hyperlink" xfId="3591" builtinId="9" hidden="true"/>
    <cellStyle name="Followed Hyperlink" xfId="3593" builtinId="9" hidden="true"/>
    <cellStyle name="Followed Hyperlink" xfId="3595" builtinId="9" hidden="true"/>
    <cellStyle name="Followed Hyperlink" xfId="3597" builtinId="9" hidden="true"/>
    <cellStyle name="Followed Hyperlink" xfId="3599" builtinId="9" hidden="true"/>
    <cellStyle name="Followed Hyperlink" xfId="3601" builtinId="9" hidden="true"/>
    <cellStyle name="Followed Hyperlink" xfId="3603" builtinId="9" hidden="true"/>
    <cellStyle name="Followed Hyperlink" xfId="3605" builtinId="9" hidden="true"/>
    <cellStyle name="Followed Hyperlink" xfId="3607" builtinId="9" hidden="true"/>
    <cellStyle name="Followed Hyperlink" xfId="3609" builtinId="9" hidden="true"/>
    <cellStyle name="Followed Hyperlink" xfId="3611" builtinId="9" hidden="true"/>
    <cellStyle name="Followed Hyperlink" xfId="3613" builtinId="9" hidden="true"/>
    <cellStyle name="Followed Hyperlink" xfId="3615" builtinId="9" hidden="true"/>
    <cellStyle name="Followed Hyperlink" xfId="3617" builtinId="9" hidden="true"/>
    <cellStyle name="Followed Hyperlink" xfId="3619" builtinId="9" hidden="true"/>
    <cellStyle name="Followed Hyperlink" xfId="3621" builtinId="9" hidden="true"/>
    <cellStyle name="Followed Hyperlink" xfId="3623" builtinId="9" hidden="true"/>
    <cellStyle name="Followed Hyperlink" xfId="3625" builtinId="9" hidden="true"/>
    <cellStyle name="Followed Hyperlink" xfId="3627" builtinId="9" hidden="true"/>
    <cellStyle name="Followed Hyperlink" xfId="3629" builtinId="9" hidden="true"/>
    <cellStyle name="Followed Hyperlink" xfId="3631" builtinId="9" hidden="true"/>
    <cellStyle name="Followed Hyperlink" xfId="3633" builtinId="9" hidden="true"/>
    <cellStyle name="Followed Hyperlink" xfId="3635" builtinId="9" hidden="true"/>
    <cellStyle name="Followed Hyperlink" xfId="3637" builtinId="9" hidden="true"/>
    <cellStyle name="Followed Hyperlink" xfId="3639" builtinId="9" hidden="true"/>
    <cellStyle name="Followed Hyperlink" xfId="3641" builtinId="9" hidden="true"/>
    <cellStyle name="Followed Hyperlink" xfId="3643" builtinId="9" hidden="true"/>
    <cellStyle name="Followed Hyperlink" xfId="3645" builtinId="9" hidden="true"/>
    <cellStyle name="Followed Hyperlink" xfId="3647" builtinId="9" hidden="true"/>
    <cellStyle name="Followed Hyperlink" xfId="3649" builtinId="9" hidden="true"/>
    <cellStyle name="Followed Hyperlink" xfId="3651" builtinId="9" hidden="true"/>
    <cellStyle name="Followed Hyperlink" xfId="3653" builtinId="9" hidden="true"/>
    <cellStyle name="Hyperlink" xfId="1" builtinId="8" hidden="true"/>
    <cellStyle name="Hyperlink" xfId="3" builtinId="8" hidden="true"/>
    <cellStyle name="Hyperlink" xfId="5" builtinId="8" hidden="true"/>
    <cellStyle name="Hyperlink" xfId="7" builtinId="8" hidden="true"/>
    <cellStyle name="Hyperlink" xfId="9" builtinId="8" hidden="true"/>
    <cellStyle name="Hyperlink" xfId="11" builtinId="8" hidden="true"/>
    <cellStyle name="Hyperlink" xfId="13" builtinId="8" hidden="true"/>
    <cellStyle name="Hyperlink" xfId="15" builtinId="8" hidden="true"/>
    <cellStyle name="Hyperlink" xfId="17" builtinId="8" hidden="true"/>
    <cellStyle name="Hyperlink" xfId="19" builtinId="8" hidden="true"/>
    <cellStyle name="Hyperlink" xfId="21" builtinId="8" hidden="true"/>
    <cellStyle name="Hyperlink" xfId="23" builtinId="8" hidden="true"/>
    <cellStyle name="Hyperlink" xfId="25" builtinId="8" hidden="true"/>
    <cellStyle name="Hyperlink" xfId="27" builtinId="8" hidden="true"/>
    <cellStyle name="Hyperlink" xfId="29" builtinId="8" hidden="true"/>
    <cellStyle name="Hyperlink" xfId="31" builtinId="8" hidden="true"/>
    <cellStyle name="Hyperlink" xfId="33" builtinId="8" hidden="true"/>
    <cellStyle name="Hyperlink" xfId="35" builtinId="8" hidden="true"/>
    <cellStyle name="Hyperlink" xfId="37" builtinId="8" hidden="true"/>
    <cellStyle name="Hyperlink" xfId="39" builtinId="8" hidden="true"/>
    <cellStyle name="Hyperlink" xfId="41" builtinId="8" hidden="true"/>
    <cellStyle name="Hyperlink" xfId="43" builtinId="8" hidden="true"/>
    <cellStyle name="Hyperlink" xfId="45" builtinId="8" hidden="true"/>
    <cellStyle name="Hyperlink" xfId="47" builtinId="8" hidden="true"/>
    <cellStyle name="Hyperlink" xfId="49" builtinId="8" hidden="true"/>
    <cellStyle name="Hyperlink" xfId="51" builtinId="8" hidden="true"/>
    <cellStyle name="Hyperlink" xfId="53" builtinId="8" hidden="true"/>
    <cellStyle name="Hyperlink" xfId="55" builtinId="8" hidden="true"/>
    <cellStyle name="Hyperlink" xfId="57" builtinId="8" hidden="true"/>
    <cellStyle name="Hyperlink" xfId="59" builtinId="8" hidden="true"/>
    <cellStyle name="Hyperlink" xfId="61" builtinId="8" hidden="true"/>
    <cellStyle name="Hyperlink" xfId="63" builtinId="8" hidden="true"/>
    <cellStyle name="Hyperlink" xfId="65" builtinId="8" hidden="true"/>
    <cellStyle name="Hyperlink" xfId="67" builtinId="8" hidden="true"/>
    <cellStyle name="Hyperlink" xfId="69" builtinId="8" hidden="true"/>
    <cellStyle name="Hyperlink" xfId="71" builtinId="8" hidden="true"/>
    <cellStyle name="Hyperlink" xfId="73" builtinId="8" hidden="true"/>
    <cellStyle name="Hyperlink" xfId="75" builtinId="8" hidden="true"/>
    <cellStyle name="Hyperlink" xfId="77" builtinId="8" hidden="true"/>
    <cellStyle name="Hyperlink" xfId="79" builtinId="8" hidden="true"/>
    <cellStyle name="Hyperlink" xfId="81" builtinId="8" hidden="true"/>
    <cellStyle name="Hyperlink" xfId="83" builtinId="8" hidden="true"/>
    <cellStyle name="Hyperlink" xfId="85" builtinId="8" hidden="true"/>
    <cellStyle name="Hyperlink" xfId="87" builtinId="8" hidden="true"/>
    <cellStyle name="Hyperlink" xfId="89" builtinId="8" hidden="true"/>
    <cellStyle name="Hyperlink" xfId="91" builtinId="8" hidden="true"/>
    <cellStyle name="Hyperlink" xfId="93" builtinId="8" hidden="true"/>
    <cellStyle name="Hyperlink" xfId="95" builtinId="8" hidden="true"/>
    <cellStyle name="Hyperlink" xfId="97" builtinId="8" hidden="true"/>
    <cellStyle name="Hyperlink" xfId="99" builtinId="8" hidden="true"/>
    <cellStyle name="Hyperlink" xfId="101" builtinId="8" hidden="true"/>
    <cellStyle name="Hyperlink" xfId="103" builtinId="8" hidden="true"/>
    <cellStyle name="Hyperlink" xfId="105" builtinId="8" hidden="true"/>
    <cellStyle name="Hyperlink" xfId="107" builtinId="8" hidden="true"/>
    <cellStyle name="Hyperlink" xfId="109" builtinId="8" hidden="true"/>
    <cellStyle name="Hyperlink" xfId="111" builtinId="8" hidden="true"/>
    <cellStyle name="Hyperlink" xfId="113" builtinId="8" hidden="true"/>
    <cellStyle name="Hyperlink" xfId="115" builtinId="8" hidden="true"/>
    <cellStyle name="Hyperlink" xfId="117" builtinId="8" hidden="true"/>
    <cellStyle name="Hyperlink" xfId="119" builtinId="8" hidden="true"/>
    <cellStyle name="Hyperlink" xfId="121" builtinId="8" hidden="true"/>
    <cellStyle name="Hyperlink" xfId="123" builtinId="8" hidden="true"/>
    <cellStyle name="Hyperlink" xfId="125" builtinId="8" hidden="true"/>
    <cellStyle name="Hyperlink" xfId="127" builtinId="8" hidden="true"/>
    <cellStyle name="Hyperlink" xfId="129" builtinId="8" hidden="true"/>
    <cellStyle name="Hyperlink" xfId="131" builtinId="8" hidden="true"/>
    <cellStyle name="Hyperlink" xfId="133" builtinId="8" hidden="true"/>
    <cellStyle name="Hyperlink" xfId="135" builtinId="8" hidden="true"/>
    <cellStyle name="Hyperlink" xfId="137" builtinId="8" hidden="true"/>
    <cellStyle name="Hyperlink" xfId="139" builtinId="8" hidden="true"/>
    <cellStyle name="Hyperlink" xfId="141" builtinId="8" hidden="true"/>
    <cellStyle name="Hyperlink" xfId="143" builtinId="8" hidden="true"/>
    <cellStyle name="Hyperlink" xfId="145" builtinId="8" hidden="true"/>
    <cellStyle name="Hyperlink" xfId="147" builtinId="8" hidden="true"/>
    <cellStyle name="Hyperlink" xfId="149" builtinId="8" hidden="true"/>
    <cellStyle name="Hyperlink" xfId="151" builtinId="8" hidden="true"/>
    <cellStyle name="Hyperlink" xfId="153" builtinId="8" hidden="true"/>
    <cellStyle name="Hyperlink" xfId="155" builtinId="8" hidden="true"/>
    <cellStyle name="Hyperlink" xfId="157" builtinId="8" hidden="true"/>
    <cellStyle name="Hyperlink" xfId="159" builtinId="8" hidden="true"/>
    <cellStyle name="Hyperlink" xfId="161" builtinId="8" hidden="true"/>
    <cellStyle name="Hyperlink" xfId="163" builtinId="8" hidden="true"/>
    <cellStyle name="Hyperlink" xfId="165" builtinId="8" hidden="true"/>
    <cellStyle name="Hyperlink" xfId="167" builtinId="8" hidden="true"/>
    <cellStyle name="Hyperlink" xfId="169" builtinId="8" hidden="true"/>
    <cellStyle name="Hyperlink" xfId="171" builtinId="8" hidden="true"/>
    <cellStyle name="Hyperlink" xfId="173" builtinId="8" hidden="true"/>
    <cellStyle name="Hyperlink" xfId="175" builtinId="8" hidden="true"/>
    <cellStyle name="Hyperlink" xfId="177" builtinId="8" hidden="true"/>
    <cellStyle name="Hyperlink" xfId="179" builtinId="8" hidden="true"/>
    <cellStyle name="Hyperlink" xfId="181" builtinId="8" hidden="true"/>
    <cellStyle name="Hyperlink" xfId="183" builtinId="8" hidden="true"/>
    <cellStyle name="Hyperlink" xfId="185" builtinId="8" hidden="true"/>
    <cellStyle name="Hyperlink" xfId="187" builtinId="8" hidden="true"/>
    <cellStyle name="Hyperlink" xfId="189" builtinId="8" hidden="true"/>
    <cellStyle name="Hyperlink" xfId="191" builtinId="8" hidden="true"/>
    <cellStyle name="Hyperlink" xfId="193" builtinId="8" hidden="true"/>
    <cellStyle name="Hyperlink" xfId="195" builtinId="8" hidden="true"/>
    <cellStyle name="Hyperlink" xfId="197" builtinId="8" hidden="true"/>
    <cellStyle name="Hyperlink" xfId="199" builtinId="8" hidden="true"/>
    <cellStyle name="Hyperlink" xfId="201" builtinId="8" hidden="true"/>
    <cellStyle name="Hyperlink" xfId="203" builtinId="8" hidden="true"/>
    <cellStyle name="Hyperlink" xfId="205" builtinId="8" hidden="true"/>
    <cellStyle name="Hyperlink" xfId="207" builtinId="8" hidden="true"/>
    <cellStyle name="Hyperlink" xfId="209" builtinId="8" hidden="true"/>
    <cellStyle name="Hyperlink" xfId="211" builtinId="8" hidden="true"/>
    <cellStyle name="Hyperlink" xfId="213" builtinId="8" hidden="true"/>
    <cellStyle name="Hyperlink" xfId="215" builtinId="8" hidden="true"/>
    <cellStyle name="Hyperlink" xfId="217" builtinId="8" hidden="true"/>
    <cellStyle name="Hyperlink" xfId="219" builtinId="8" hidden="true"/>
    <cellStyle name="Hyperlink" xfId="221" builtinId="8" hidden="true"/>
    <cellStyle name="Hyperlink" xfId="223" builtinId="8" hidden="true"/>
    <cellStyle name="Hyperlink" xfId="225" builtinId="8" hidden="true"/>
    <cellStyle name="Hyperlink" xfId="227" builtinId="8" hidden="true"/>
    <cellStyle name="Hyperlink" xfId="229" builtinId="8" hidden="true"/>
    <cellStyle name="Hyperlink" xfId="231" builtinId="8" hidden="true"/>
    <cellStyle name="Hyperlink" xfId="233" builtinId="8" hidden="true"/>
    <cellStyle name="Hyperlink" xfId="235" builtinId="8" hidden="true"/>
    <cellStyle name="Hyperlink" xfId="237" builtinId="8" hidden="true"/>
    <cellStyle name="Hyperlink" xfId="239" builtinId="8" hidden="true"/>
    <cellStyle name="Hyperlink" xfId="241" builtinId="8" hidden="true"/>
    <cellStyle name="Hyperlink" xfId="243" builtinId="8" hidden="true"/>
    <cellStyle name="Hyperlink" xfId="245" builtinId="8" hidden="true"/>
    <cellStyle name="Hyperlink" xfId="247" builtinId="8" hidden="true"/>
    <cellStyle name="Hyperlink" xfId="249" builtinId="8" hidden="true"/>
    <cellStyle name="Hyperlink" xfId="251" builtinId="8" hidden="true"/>
    <cellStyle name="Hyperlink" xfId="253" builtinId="8" hidden="true"/>
    <cellStyle name="Hyperlink" xfId="255" builtinId="8" hidden="true"/>
    <cellStyle name="Hyperlink" xfId="257" builtinId="8" hidden="true"/>
    <cellStyle name="Hyperlink" xfId="259" builtinId="8" hidden="true"/>
    <cellStyle name="Hyperlink" xfId="261" builtinId="8" hidden="true"/>
    <cellStyle name="Hyperlink" xfId="263" builtinId="8" hidden="true"/>
    <cellStyle name="Hyperlink" xfId="265" builtinId="8" hidden="true"/>
    <cellStyle name="Hyperlink" xfId="267" builtinId="8" hidden="true"/>
    <cellStyle name="Hyperlink" xfId="269" builtinId="8" hidden="true"/>
    <cellStyle name="Hyperlink" xfId="271" builtinId="8" hidden="true"/>
    <cellStyle name="Hyperlink" xfId="273" builtinId="8" hidden="true"/>
    <cellStyle name="Hyperlink" xfId="275" builtinId="8" hidden="true"/>
    <cellStyle name="Hyperlink" xfId="277" builtinId="8" hidden="true"/>
    <cellStyle name="Hyperlink" xfId="279" builtinId="8" hidden="true"/>
    <cellStyle name="Hyperlink" xfId="281" builtinId="8" hidden="true"/>
    <cellStyle name="Hyperlink" xfId="283" builtinId="8" hidden="true"/>
    <cellStyle name="Hyperlink" xfId="285" builtinId="8" hidden="true"/>
    <cellStyle name="Hyperlink" xfId="287" builtinId="8" hidden="true"/>
    <cellStyle name="Hyperlink" xfId="289" builtinId="8" hidden="true"/>
    <cellStyle name="Hyperlink" xfId="291" builtinId="8" hidden="true"/>
    <cellStyle name="Hyperlink" xfId="293" builtinId="8" hidden="true"/>
    <cellStyle name="Hyperlink" xfId="295" builtinId="8" hidden="true"/>
    <cellStyle name="Hyperlink" xfId="297" builtinId="8" hidden="true"/>
    <cellStyle name="Hyperlink" xfId="299" builtinId="8" hidden="true"/>
    <cellStyle name="Hyperlink" xfId="301" builtinId="8" hidden="true"/>
    <cellStyle name="Hyperlink" xfId="303" builtinId="8" hidden="true"/>
    <cellStyle name="Hyperlink" xfId="305" builtinId="8" hidden="true"/>
    <cellStyle name="Hyperlink" xfId="307" builtinId="8" hidden="true"/>
    <cellStyle name="Hyperlink" xfId="309" builtinId="8" hidden="true"/>
    <cellStyle name="Hyperlink" xfId="311" builtinId="8" hidden="true"/>
    <cellStyle name="Hyperlink" xfId="313" builtinId="8" hidden="true"/>
    <cellStyle name="Hyperlink" xfId="315" builtinId="8" hidden="true"/>
    <cellStyle name="Hyperlink" xfId="317" builtinId="8" hidden="true"/>
    <cellStyle name="Hyperlink" xfId="319" builtinId="8" hidden="true"/>
    <cellStyle name="Hyperlink" xfId="321" builtinId="8" hidden="true"/>
    <cellStyle name="Hyperlink" xfId="323" builtinId="8" hidden="true"/>
    <cellStyle name="Hyperlink" xfId="325" builtinId="8" hidden="true"/>
    <cellStyle name="Hyperlink" xfId="327" builtinId="8" hidden="true"/>
    <cellStyle name="Hyperlink" xfId="329" builtinId="8" hidden="true"/>
    <cellStyle name="Hyperlink" xfId="331" builtinId="8" hidden="true"/>
    <cellStyle name="Hyperlink" xfId="333" builtinId="8" hidden="true"/>
    <cellStyle name="Hyperlink" xfId="335" builtinId="8" hidden="true"/>
    <cellStyle name="Hyperlink" xfId="337" builtinId="8" hidden="true"/>
    <cellStyle name="Hyperlink" xfId="339" builtinId="8" hidden="true"/>
    <cellStyle name="Hyperlink" xfId="341" builtinId="8" hidden="true"/>
    <cellStyle name="Hyperlink" xfId="343" builtinId="8" hidden="true"/>
    <cellStyle name="Hyperlink" xfId="345" builtinId="8" hidden="true"/>
    <cellStyle name="Hyperlink" xfId="347" builtinId="8" hidden="true"/>
    <cellStyle name="Hyperlink" xfId="349" builtinId="8" hidden="true"/>
    <cellStyle name="Hyperlink" xfId="351" builtinId="8" hidden="true"/>
    <cellStyle name="Hyperlink" xfId="353" builtinId="8" hidden="true"/>
    <cellStyle name="Hyperlink" xfId="355" builtinId="8" hidden="true"/>
    <cellStyle name="Hyperlink" xfId="357" builtinId="8" hidden="true"/>
    <cellStyle name="Hyperlink" xfId="359" builtinId="8" hidden="true"/>
    <cellStyle name="Hyperlink" xfId="361" builtinId="8" hidden="true"/>
    <cellStyle name="Hyperlink" xfId="363" builtinId="8" hidden="true"/>
    <cellStyle name="Hyperlink" xfId="365" builtinId="8" hidden="true"/>
    <cellStyle name="Hyperlink" xfId="367" builtinId="8" hidden="true"/>
    <cellStyle name="Hyperlink" xfId="369" builtinId="8" hidden="true"/>
    <cellStyle name="Hyperlink" xfId="371" builtinId="8" hidden="true"/>
    <cellStyle name="Hyperlink" xfId="373" builtinId="8" hidden="true"/>
    <cellStyle name="Hyperlink" xfId="375" builtinId="8" hidden="true"/>
    <cellStyle name="Hyperlink" xfId="377" builtinId="8" hidden="true"/>
    <cellStyle name="Hyperlink" xfId="379" builtinId="8" hidden="true"/>
    <cellStyle name="Hyperlink" xfId="381" builtinId="8" hidden="true"/>
    <cellStyle name="Hyperlink" xfId="383" builtinId="8" hidden="true"/>
    <cellStyle name="Hyperlink" xfId="385" builtinId="8" hidden="true"/>
    <cellStyle name="Hyperlink" xfId="387" builtinId="8" hidden="true"/>
    <cellStyle name="Hyperlink" xfId="389" builtinId="8" hidden="true"/>
    <cellStyle name="Hyperlink" xfId="391" builtinId="8" hidden="true"/>
    <cellStyle name="Hyperlink" xfId="393" builtinId="8" hidden="true"/>
    <cellStyle name="Hyperlink" xfId="395" builtinId="8" hidden="true"/>
    <cellStyle name="Hyperlink" xfId="397" builtinId="8" hidden="true"/>
    <cellStyle name="Hyperlink" xfId="399" builtinId="8" hidden="true"/>
    <cellStyle name="Hyperlink" xfId="401" builtinId="8" hidden="true"/>
    <cellStyle name="Hyperlink" xfId="403" builtinId="8" hidden="true"/>
    <cellStyle name="Hyperlink" xfId="405" builtinId="8" hidden="true"/>
    <cellStyle name="Hyperlink" xfId="407" builtinId="8" hidden="true"/>
    <cellStyle name="Hyperlink" xfId="409" builtinId="8" hidden="true"/>
    <cellStyle name="Hyperlink" xfId="411" builtinId="8" hidden="true"/>
    <cellStyle name="Hyperlink" xfId="413" builtinId="8" hidden="true"/>
    <cellStyle name="Hyperlink" xfId="415" builtinId="8" hidden="true"/>
    <cellStyle name="Hyperlink" xfId="417" builtinId="8" hidden="true"/>
    <cellStyle name="Hyperlink" xfId="419" builtinId="8" hidden="true"/>
    <cellStyle name="Hyperlink" xfId="421" builtinId="8" hidden="true"/>
    <cellStyle name="Hyperlink" xfId="423" builtinId="8" hidden="true"/>
    <cellStyle name="Hyperlink" xfId="425" builtinId="8" hidden="true"/>
    <cellStyle name="Hyperlink" xfId="427" builtinId="8" hidden="true"/>
    <cellStyle name="Hyperlink" xfId="429" builtinId="8" hidden="true"/>
    <cellStyle name="Hyperlink" xfId="431" builtinId="8" hidden="true"/>
    <cellStyle name="Hyperlink" xfId="433" builtinId="8" hidden="true"/>
    <cellStyle name="Hyperlink" xfId="435" builtinId="8" hidden="true"/>
    <cellStyle name="Hyperlink" xfId="437" builtinId="8" hidden="true"/>
    <cellStyle name="Hyperlink" xfId="439" builtinId="8" hidden="true"/>
    <cellStyle name="Hyperlink" xfId="441" builtinId="8" hidden="true"/>
    <cellStyle name="Hyperlink" xfId="443" builtinId="8" hidden="true"/>
    <cellStyle name="Hyperlink" xfId="445" builtinId="8" hidden="true"/>
    <cellStyle name="Hyperlink" xfId="447" builtinId="8" hidden="true"/>
    <cellStyle name="Hyperlink" xfId="449" builtinId="8" hidden="true"/>
    <cellStyle name="Hyperlink" xfId="451" builtinId="8" hidden="true"/>
    <cellStyle name="Hyperlink" xfId="453" builtinId="8" hidden="true"/>
    <cellStyle name="Hyperlink" xfId="455" builtinId="8" hidden="true"/>
    <cellStyle name="Hyperlink" xfId="457" builtinId="8" hidden="true"/>
    <cellStyle name="Hyperlink" xfId="459" builtinId="8" hidden="true"/>
    <cellStyle name="Hyperlink" xfId="461" builtinId="8" hidden="true"/>
    <cellStyle name="Hyperlink" xfId="463" builtinId="8" hidden="true"/>
    <cellStyle name="Hyperlink" xfId="465" builtinId="8" hidden="true"/>
    <cellStyle name="Hyperlink" xfId="467" builtinId="8" hidden="true"/>
    <cellStyle name="Hyperlink" xfId="469" builtinId="8" hidden="true"/>
    <cellStyle name="Hyperlink" xfId="471" builtinId="8" hidden="true"/>
    <cellStyle name="Hyperlink" xfId="473" builtinId="8" hidden="true"/>
    <cellStyle name="Hyperlink" xfId="475" builtinId="8" hidden="true"/>
    <cellStyle name="Hyperlink" xfId="477" builtinId="8" hidden="true"/>
    <cellStyle name="Hyperlink" xfId="479" builtinId="8" hidden="true"/>
    <cellStyle name="Hyperlink" xfId="481" builtinId="8" hidden="true"/>
    <cellStyle name="Hyperlink" xfId="483" builtinId="8" hidden="true"/>
    <cellStyle name="Hyperlink" xfId="485" builtinId="8" hidden="true"/>
    <cellStyle name="Hyperlink" xfId="487" builtinId="8" hidden="true"/>
    <cellStyle name="Hyperlink" xfId="489" builtinId="8" hidden="true"/>
    <cellStyle name="Hyperlink" xfId="491" builtinId="8" hidden="true"/>
    <cellStyle name="Hyperlink" xfId="493" builtinId="8" hidden="true"/>
    <cellStyle name="Hyperlink" xfId="495" builtinId="8" hidden="true"/>
    <cellStyle name="Hyperlink" xfId="497" builtinId="8" hidden="true"/>
    <cellStyle name="Hyperlink" xfId="499" builtinId="8" hidden="true"/>
    <cellStyle name="Hyperlink" xfId="501" builtinId="8" hidden="true"/>
    <cellStyle name="Hyperlink" xfId="503" builtinId="8" hidden="true"/>
    <cellStyle name="Hyperlink" xfId="505" builtinId="8" hidden="true"/>
    <cellStyle name="Hyperlink" xfId="507" builtinId="8" hidden="true"/>
    <cellStyle name="Hyperlink" xfId="509" builtinId="8" hidden="true"/>
    <cellStyle name="Hyperlink" xfId="511" builtinId="8" hidden="true"/>
    <cellStyle name="Hyperlink" xfId="513" builtinId="8" hidden="true"/>
    <cellStyle name="Hyperlink" xfId="515" builtinId="8" hidden="true"/>
    <cellStyle name="Hyperlink" xfId="517" builtinId="8" hidden="true"/>
    <cellStyle name="Hyperlink" xfId="519" builtinId="8" hidden="true"/>
    <cellStyle name="Hyperlink" xfId="521" builtinId="8" hidden="true"/>
    <cellStyle name="Hyperlink" xfId="523" builtinId="8" hidden="true"/>
    <cellStyle name="Hyperlink" xfId="525" builtinId="8" hidden="true"/>
    <cellStyle name="Hyperlink" xfId="527" builtinId="8" hidden="true"/>
    <cellStyle name="Hyperlink" xfId="529" builtinId="8" hidden="true"/>
    <cellStyle name="Hyperlink" xfId="531" builtinId="8" hidden="true"/>
    <cellStyle name="Hyperlink" xfId="533" builtinId="8" hidden="true"/>
    <cellStyle name="Hyperlink" xfId="535" builtinId="8" hidden="true"/>
    <cellStyle name="Hyperlink" xfId="537" builtinId="8" hidden="true"/>
    <cellStyle name="Hyperlink" xfId="539" builtinId="8" hidden="true"/>
    <cellStyle name="Hyperlink" xfId="541" builtinId="8" hidden="true"/>
    <cellStyle name="Hyperlink" xfId="543" builtinId="8" hidden="true"/>
    <cellStyle name="Hyperlink" xfId="545" builtinId="8" hidden="true"/>
    <cellStyle name="Hyperlink" xfId="547" builtinId="8" hidden="true"/>
    <cellStyle name="Hyperlink" xfId="549" builtinId="8" hidden="true"/>
    <cellStyle name="Hyperlink" xfId="551" builtinId="8" hidden="true"/>
    <cellStyle name="Hyperlink" xfId="553" builtinId="8" hidden="true"/>
    <cellStyle name="Hyperlink" xfId="555" builtinId="8" hidden="true"/>
    <cellStyle name="Hyperlink" xfId="557" builtinId="8" hidden="true"/>
    <cellStyle name="Hyperlink" xfId="559" builtinId="8" hidden="true"/>
    <cellStyle name="Hyperlink" xfId="561" builtinId="8" hidden="true"/>
    <cellStyle name="Hyperlink" xfId="563" builtinId="8" hidden="true"/>
    <cellStyle name="Hyperlink" xfId="565" builtinId="8" hidden="true"/>
    <cellStyle name="Hyperlink" xfId="567" builtinId="8" hidden="true"/>
    <cellStyle name="Hyperlink" xfId="569" builtinId="8" hidden="true"/>
    <cellStyle name="Hyperlink" xfId="571" builtinId="8" hidden="true"/>
    <cellStyle name="Hyperlink" xfId="573" builtinId="8" hidden="true"/>
    <cellStyle name="Hyperlink" xfId="575" builtinId="8" hidden="true"/>
    <cellStyle name="Hyperlink" xfId="577" builtinId="8" hidden="true"/>
    <cellStyle name="Hyperlink" xfId="579" builtinId="8" hidden="true"/>
    <cellStyle name="Hyperlink" xfId="581" builtinId="8" hidden="true"/>
    <cellStyle name="Hyperlink" xfId="583" builtinId="8" hidden="true"/>
    <cellStyle name="Hyperlink" xfId="585" builtinId="8" hidden="true"/>
    <cellStyle name="Hyperlink" xfId="587" builtinId="8" hidden="true"/>
    <cellStyle name="Hyperlink" xfId="589" builtinId="8" hidden="true"/>
    <cellStyle name="Hyperlink" xfId="591" builtinId="8" hidden="true"/>
    <cellStyle name="Hyperlink" xfId="593" builtinId="8" hidden="true"/>
    <cellStyle name="Hyperlink" xfId="595" builtinId="8" hidden="true"/>
    <cellStyle name="Hyperlink" xfId="597" builtinId="8" hidden="true"/>
    <cellStyle name="Hyperlink" xfId="599" builtinId="8" hidden="true"/>
    <cellStyle name="Hyperlink" xfId="601" builtinId="8" hidden="true"/>
    <cellStyle name="Hyperlink" xfId="603" builtinId="8" hidden="true"/>
    <cellStyle name="Hyperlink" xfId="605" builtinId="8" hidden="true"/>
    <cellStyle name="Hyperlink" xfId="607" builtinId="8" hidden="true"/>
    <cellStyle name="Hyperlink" xfId="609" builtinId="8" hidden="true"/>
    <cellStyle name="Hyperlink" xfId="611" builtinId="8" hidden="true"/>
    <cellStyle name="Hyperlink" xfId="613" builtinId="8" hidden="true"/>
    <cellStyle name="Hyperlink" xfId="615" builtinId="8" hidden="true"/>
    <cellStyle name="Hyperlink" xfId="617" builtinId="8" hidden="true"/>
    <cellStyle name="Hyperlink" xfId="619" builtinId="8" hidden="true"/>
    <cellStyle name="Hyperlink" xfId="621" builtinId="8" hidden="true"/>
    <cellStyle name="Hyperlink" xfId="623" builtinId="8" hidden="true"/>
    <cellStyle name="Hyperlink" xfId="625" builtinId="8" hidden="true"/>
    <cellStyle name="Hyperlink" xfId="627" builtinId="8" hidden="true"/>
    <cellStyle name="Hyperlink" xfId="629" builtinId="8" hidden="true"/>
    <cellStyle name="Hyperlink" xfId="631" builtinId="8" hidden="true"/>
    <cellStyle name="Hyperlink" xfId="633" builtinId="8" hidden="true"/>
    <cellStyle name="Hyperlink" xfId="635" builtinId="8" hidden="true"/>
    <cellStyle name="Hyperlink" xfId="637" builtinId="8" hidden="true"/>
    <cellStyle name="Hyperlink" xfId="639" builtinId="8" hidden="true"/>
    <cellStyle name="Hyperlink" xfId="641" builtinId="8" hidden="true"/>
    <cellStyle name="Hyperlink" xfId="643" builtinId="8" hidden="true"/>
    <cellStyle name="Hyperlink" xfId="645" builtinId="8" hidden="true"/>
    <cellStyle name="Hyperlink" xfId="647" builtinId="8" hidden="true"/>
    <cellStyle name="Hyperlink" xfId="649" builtinId="8" hidden="true"/>
    <cellStyle name="Hyperlink" xfId="651" builtinId="8" hidden="true"/>
    <cellStyle name="Hyperlink" xfId="653" builtinId="8" hidden="true"/>
    <cellStyle name="Hyperlink" xfId="655" builtinId="8" hidden="true"/>
    <cellStyle name="Hyperlink" xfId="657" builtinId="8" hidden="true"/>
    <cellStyle name="Hyperlink" xfId="659" builtinId="8" hidden="true"/>
    <cellStyle name="Hyperlink" xfId="661" builtinId="8" hidden="true"/>
    <cellStyle name="Hyperlink" xfId="663" builtinId="8" hidden="true"/>
    <cellStyle name="Hyperlink" xfId="665" builtinId="8" hidden="true"/>
    <cellStyle name="Hyperlink" xfId="667" builtinId="8" hidden="true"/>
    <cellStyle name="Hyperlink" xfId="669" builtinId="8" hidden="true"/>
    <cellStyle name="Hyperlink" xfId="671" builtinId="8" hidden="true"/>
    <cellStyle name="Hyperlink" xfId="673" builtinId="8" hidden="true"/>
    <cellStyle name="Hyperlink" xfId="675" builtinId="8" hidden="true"/>
    <cellStyle name="Hyperlink" xfId="677" builtinId="8" hidden="true"/>
    <cellStyle name="Hyperlink" xfId="679" builtinId="8" hidden="true"/>
    <cellStyle name="Hyperlink" xfId="681" builtinId="8" hidden="true"/>
    <cellStyle name="Hyperlink" xfId="683" builtinId="8" hidden="true"/>
    <cellStyle name="Hyperlink" xfId="685" builtinId="8" hidden="true"/>
    <cellStyle name="Hyperlink" xfId="687" builtinId="8" hidden="true"/>
    <cellStyle name="Hyperlink" xfId="689" builtinId="8" hidden="true"/>
    <cellStyle name="Hyperlink" xfId="691" builtinId="8" hidden="true"/>
    <cellStyle name="Hyperlink" xfId="693" builtinId="8" hidden="true"/>
    <cellStyle name="Hyperlink" xfId="695" builtinId="8" hidden="true"/>
    <cellStyle name="Hyperlink" xfId="697" builtinId="8" hidden="true"/>
    <cellStyle name="Hyperlink" xfId="699" builtinId="8" hidden="true"/>
    <cellStyle name="Hyperlink" xfId="701" builtinId="8" hidden="true"/>
    <cellStyle name="Hyperlink" xfId="703" builtinId="8" hidden="true"/>
    <cellStyle name="Hyperlink" xfId="705" builtinId="8" hidden="true"/>
    <cellStyle name="Hyperlink" xfId="707" builtinId="8" hidden="true"/>
    <cellStyle name="Hyperlink" xfId="709" builtinId="8" hidden="true"/>
    <cellStyle name="Hyperlink" xfId="711" builtinId="8" hidden="true"/>
    <cellStyle name="Hyperlink" xfId="713" builtinId="8" hidden="true"/>
    <cellStyle name="Hyperlink" xfId="715" builtinId="8" hidden="true"/>
    <cellStyle name="Hyperlink" xfId="717" builtinId="8" hidden="true"/>
    <cellStyle name="Hyperlink" xfId="719" builtinId="8" hidden="true"/>
    <cellStyle name="Hyperlink" xfId="721" builtinId="8" hidden="true"/>
    <cellStyle name="Hyperlink" xfId="723" builtinId="8" hidden="true"/>
    <cellStyle name="Hyperlink" xfId="725" builtinId="8" hidden="true"/>
    <cellStyle name="Hyperlink" xfId="727" builtinId="8" hidden="true"/>
    <cellStyle name="Hyperlink" xfId="729" builtinId="8" hidden="true"/>
    <cellStyle name="Hyperlink" xfId="731" builtinId="8" hidden="true"/>
    <cellStyle name="Hyperlink" xfId="733" builtinId="8" hidden="true"/>
    <cellStyle name="Hyperlink" xfId="735" builtinId="8" hidden="true"/>
    <cellStyle name="Hyperlink" xfId="737" builtinId="8" hidden="true"/>
    <cellStyle name="Hyperlink" xfId="739" builtinId="8" hidden="true"/>
    <cellStyle name="Hyperlink" xfId="741" builtinId="8" hidden="true"/>
    <cellStyle name="Hyperlink" xfId="743" builtinId="8" hidden="true"/>
    <cellStyle name="Hyperlink" xfId="745" builtinId="8" hidden="true"/>
    <cellStyle name="Hyperlink" xfId="747" builtinId="8" hidden="true"/>
    <cellStyle name="Hyperlink" xfId="749" builtinId="8" hidden="true"/>
    <cellStyle name="Hyperlink" xfId="751" builtinId="8" hidden="true"/>
    <cellStyle name="Hyperlink" xfId="753" builtinId="8" hidden="true"/>
    <cellStyle name="Hyperlink" xfId="755" builtinId="8" hidden="true"/>
    <cellStyle name="Hyperlink" xfId="757" builtinId="8" hidden="true"/>
    <cellStyle name="Hyperlink" xfId="759" builtinId="8" hidden="true"/>
    <cellStyle name="Hyperlink" xfId="761" builtinId="8" hidden="true"/>
    <cellStyle name="Hyperlink" xfId="763" builtinId="8" hidden="true"/>
    <cellStyle name="Hyperlink" xfId="765" builtinId="8" hidden="true"/>
    <cellStyle name="Hyperlink" xfId="767" builtinId="8" hidden="true"/>
    <cellStyle name="Hyperlink" xfId="769" builtinId="8" hidden="true"/>
    <cellStyle name="Hyperlink" xfId="771" builtinId="8" hidden="true"/>
    <cellStyle name="Hyperlink" xfId="773" builtinId="8" hidden="true"/>
    <cellStyle name="Hyperlink" xfId="775" builtinId="8" hidden="true"/>
    <cellStyle name="Hyperlink" xfId="777" builtinId="8" hidden="true"/>
    <cellStyle name="Hyperlink" xfId="779" builtinId="8" hidden="true"/>
    <cellStyle name="Hyperlink" xfId="781" builtinId="8" hidden="true"/>
    <cellStyle name="Hyperlink" xfId="783" builtinId="8" hidden="true"/>
    <cellStyle name="Hyperlink" xfId="785" builtinId="8" hidden="true"/>
    <cellStyle name="Hyperlink" xfId="787" builtinId="8" hidden="true"/>
    <cellStyle name="Hyperlink" xfId="789" builtinId="8" hidden="true"/>
    <cellStyle name="Hyperlink" xfId="791" builtinId="8" hidden="true"/>
    <cellStyle name="Hyperlink" xfId="793" builtinId="8" hidden="true"/>
    <cellStyle name="Hyperlink" xfId="795" builtinId="8" hidden="true"/>
    <cellStyle name="Hyperlink" xfId="797" builtinId="8" hidden="true"/>
    <cellStyle name="Hyperlink" xfId="799" builtinId="8" hidden="true"/>
    <cellStyle name="Hyperlink" xfId="801" builtinId="8" hidden="true"/>
    <cellStyle name="Hyperlink" xfId="803" builtinId="8" hidden="true"/>
    <cellStyle name="Hyperlink" xfId="805" builtinId="8" hidden="true"/>
    <cellStyle name="Hyperlink" xfId="807" builtinId="8" hidden="true"/>
    <cellStyle name="Hyperlink" xfId="809" builtinId="8" hidden="true"/>
    <cellStyle name="Hyperlink" xfId="811" builtinId="8" hidden="true"/>
    <cellStyle name="Hyperlink" xfId="813" builtinId="8" hidden="true"/>
    <cellStyle name="Hyperlink" xfId="815" builtinId="8" hidden="true"/>
    <cellStyle name="Hyperlink" xfId="817" builtinId="8" hidden="true"/>
    <cellStyle name="Hyperlink" xfId="819" builtinId="8" hidden="true"/>
    <cellStyle name="Hyperlink" xfId="821" builtinId="8" hidden="true"/>
    <cellStyle name="Hyperlink" xfId="823" builtinId="8" hidden="true"/>
    <cellStyle name="Hyperlink" xfId="825" builtinId="8" hidden="true"/>
    <cellStyle name="Hyperlink" xfId="827" builtinId="8" hidden="true"/>
    <cellStyle name="Hyperlink" xfId="829" builtinId="8" hidden="true"/>
    <cellStyle name="Hyperlink" xfId="831" builtinId="8" hidden="true"/>
    <cellStyle name="Hyperlink" xfId="833" builtinId="8" hidden="true"/>
    <cellStyle name="Hyperlink" xfId="835" builtinId="8" hidden="true"/>
    <cellStyle name="Hyperlink" xfId="837" builtinId="8" hidden="true"/>
    <cellStyle name="Hyperlink" xfId="839" builtinId="8" hidden="true"/>
    <cellStyle name="Hyperlink" xfId="841" builtinId="8" hidden="true"/>
    <cellStyle name="Hyperlink" xfId="843" builtinId="8" hidden="true"/>
    <cellStyle name="Hyperlink" xfId="845" builtinId="8" hidden="true"/>
    <cellStyle name="Hyperlink" xfId="847" builtinId="8" hidden="true"/>
    <cellStyle name="Hyperlink" xfId="849" builtinId="8" hidden="true"/>
    <cellStyle name="Hyperlink" xfId="851" builtinId="8" hidden="true"/>
    <cellStyle name="Hyperlink" xfId="853" builtinId="8" hidden="true"/>
    <cellStyle name="Hyperlink" xfId="855" builtinId="8" hidden="true"/>
    <cellStyle name="Hyperlink" xfId="857" builtinId="8" hidden="true"/>
    <cellStyle name="Hyperlink" xfId="859" builtinId="8" hidden="true"/>
    <cellStyle name="Hyperlink" xfId="861" builtinId="8" hidden="true"/>
    <cellStyle name="Hyperlink" xfId="863" builtinId="8" hidden="true"/>
    <cellStyle name="Hyperlink" xfId="865" builtinId="8" hidden="true"/>
    <cellStyle name="Hyperlink" xfId="867" builtinId="8" hidden="true"/>
    <cellStyle name="Hyperlink" xfId="869" builtinId="8" hidden="true"/>
    <cellStyle name="Hyperlink" xfId="871" builtinId="8" hidden="true"/>
    <cellStyle name="Hyperlink" xfId="873" builtinId="8" hidden="true"/>
    <cellStyle name="Hyperlink" xfId="875" builtinId="8" hidden="true"/>
    <cellStyle name="Hyperlink" xfId="877" builtinId="8" hidden="true"/>
    <cellStyle name="Hyperlink" xfId="879" builtinId="8" hidden="true"/>
    <cellStyle name="Hyperlink" xfId="881" builtinId="8" hidden="true"/>
    <cellStyle name="Hyperlink" xfId="883" builtinId="8" hidden="true"/>
    <cellStyle name="Hyperlink" xfId="885" builtinId="8" hidden="true"/>
    <cellStyle name="Hyperlink" xfId="887" builtinId="8" hidden="true"/>
    <cellStyle name="Hyperlink" xfId="889" builtinId="8" hidden="true"/>
    <cellStyle name="Hyperlink" xfId="891" builtinId="8" hidden="true"/>
    <cellStyle name="Hyperlink" xfId="893" builtinId="8" hidden="true"/>
    <cellStyle name="Hyperlink" xfId="895" builtinId="8" hidden="true"/>
    <cellStyle name="Hyperlink" xfId="897" builtinId="8" hidden="true"/>
    <cellStyle name="Hyperlink" xfId="899" builtinId="8" hidden="true"/>
    <cellStyle name="Hyperlink" xfId="901" builtinId="8" hidden="true"/>
    <cellStyle name="Hyperlink" xfId="903" builtinId="8" hidden="true"/>
    <cellStyle name="Hyperlink" xfId="905" builtinId="8" hidden="true"/>
    <cellStyle name="Hyperlink" xfId="907" builtinId="8" hidden="true"/>
    <cellStyle name="Hyperlink" xfId="909" builtinId="8" hidden="true"/>
    <cellStyle name="Hyperlink" xfId="911" builtinId="8" hidden="true"/>
    <cellStyle name="Hyperlink" xfId="913" builtinId="8" hidden="true"/>
    <cellStyle name="Hyperlink" xfId="915" builtinId="8" hidden="true"/>
    <cellStyle name="Hyperlink" xfId="917" builtinId="8" hidden="true"/>
    <cellStyle name="Hyperlink" xfId="919" builtinId="8" hidden="true"/>
    <cellStyle name="Hyperlink" xfId="921" builtinId="8" hidden="true"/>
    <cellStyle name="Hyperlink" xfId="923" builtinId="8" hidden="true"/>
    <cellStyle name="Hyperlink" xfId="925" builtinId="8" hidden="true"/>
    <cellStyle name="Hyperlink" xfId="927" builtinId="8" hidden="true"/>
    <cellStyle name="Hyperlink" xfId="929" builtinId="8" hidden="true"/>
    <cellStyle name="Hyperlink" xfId="931" builtinId="8" hidden="true"/>
    <cellStyle name="Hyperlink" xfId="933" builtinId="8" hidden="true"/>
    <cellStyle name="Hyperlink" xfId="935" builtinId="8" hidden="true"/>
    <cellStyle name="Hyperlink" xfId="937" builtinId="8" hidden="true"/>
    <cellStyle name="Hyperlink" xfId="939" builtinId="8" hidden="true"/>
    <cellStyle name="Hyperlink" xfId="941" builtinId="8" hidden="true"/>
    <cellStyle name="Hyperlink" xfId="943" builtinId="8" hidden="true"/>
    <cellStyle name="Hyperlink" xfId="945" builtinId="8" hidden="true"/>
    <cellStyle name="Hyperlink" xfId="947" builtinId="8" hidden="true"/>
    <cellStyle name="Hyperlink" xfId="949" builtinId="8" hidden="true"/>
    <cellStyle name="Hyperlink" xfId="951" builtinId="8" hidden="true"/>
    <cellStyle name="Hyperlink" xfId="953" builtinId="8" hidden="true"/>
    <cellStyle name="Hyperlink" xfId="955" builtinId="8" hidden="true"/>
    <cellStyle name="Hyperlink" xfId="957" builtinId="8" hidden="true"/>
    <cellStyle name="Hyperlink" xfId="959" builtinId="8" hidden="true"/>
    <cellStyle name="Hyperlink" xfId="961" builtinId="8" hidden="true"/>
    <cellStyle name="Hyperlink" xfId="963" builtinId="8" hidden="true"/>
    <cellStyle name="Hyperlink" xfId="965" builtinId="8" hidden="true"/>
    <cellStyle name="Hyperlink" xfId="967" builtinId="8" hidden="true"/>
    <cellStyle name="Hyperlink" xfId="969" builtinId="8" hidden="true"/>
    <cellStyle name="Hyperlink" xfId="972" builtinId="8" hidden="true"/>
    <cellStyle name="Hyperlink" xfId="974" builtinId="8" hidden="true"/>
    <cellStyle name="Hyperlink" xfId="976" builtinId="8" hidden="true"/>
    <cellStyle name="Hyperlink" xfId="978" builtinId="8" hidden="true"/>
    <cellStyle name="Hyperlink" xfId="980" builtinId="8" hidden="true"/>
    <cellStyle name="Hyperlink" xfId="982" builtinId="8" hidden="true"/>
    <cellStyle name="Hyperlink" xfId="984" builtinId="8" hidden="true"/>
    <cellStyle name="Hyperlink" xfId="986" builtinId="8" hidden="true"/>
    <cellStyle name="Hyperlink" xfId="988" builtinId="8" hidden="true"/>
    <cellStyle name="Hyperlink" xfId="990" builtinId="8" hidden="true"/>
    <cellStyle name="Hyperlink" xfId="992" builtinId="8" hidden="true"/>
    <cellStyle name="Hyperlink" xfId="994" builtinId="8" hidden="true"/>
    <cellStyle name="Hyperlink" xfId="996" builtinId="8" hidden="true"/>
    <cellStyle name="Hyperlink" xfId="998" builtinId="8" hidden="true"/>
    <cellStyle name="Hyperlink" xfId="1000" builtinId="8" hidden="true"/>
    <cellStyle name="Hyperlink" xfId="1002" builtinId="8" hidden="true"/>
    <cellStyle name="Hyperlink" xfId="1004" builtinId="8" hidden="true"/>
    <cellStyle name="Hyperlink" xfId="1006" builtinId="8" hidden="true"/>
    <cellStyle name="Hyperlink" xfId="1008" builtinId="8" hidden="true"/>
    <cellStyle name="Hyperlink" xfId="1010" builtinId="8" hidden="true"/>
    <cellStyle name="Hyperlink" xfId="1012" builtinId="8" hidden="true"/>
    <cellStyle name="Hyperlink" xfId="1014" builtinId="8" hidden="true"/>
    <cellStyle name="Hyperlink" xfId="1016" builtinId="8" hidden="true"/>
    <cellStyle name="Hyperlink" xfId="1018" builtinId="8" hidden="true"/>
    <cellStyle name="Hyperlink" xfId="1020" builtinId="8" hidden="true"/>
    <cellStyle name="Hyperlink" xfId="1022" builtinId="8" hidden="true"/>
    <cellStyle name="Hyperlink" xfId="1024" builtinId="8" hidden="true"/>
    <cellStyle name="Hyperlink" xfId="1026" builtinId="8" hidden="true"/>
    <cellStyle name="Hyperlink" xfId="1028" builtinId="8" hidden="true"/>
    <cellStyle name="Hyperlink" xfId="1030" builtinId="8" hidden="true"/>
    <cellStyle name="Hyperlink" xfId="1032" builtinId="8" hidden="true"/>
    <cellStyle name="Hyperlink" xfId="1034" builtinId="8" hidden="true"/>
    <cellStyle name="Hyperlink" xfId="1036" builtinId="8" hidden="true"/>
    <cellStyle name="Hyperlink" xfId="1038" builtinId="8" hidden="true"/>
    <cellStyle name="Hyperlink" xfId="1040" builtinId="8" hidden="true"/>
    <cellStyle name="Hyperlink" xfId="1042" builtinId="8" hidden="true"/>
    <cellStyle name="Hyperlink" xfId="1044" builtinId="8" hidden="true"/>
    <cellStyle name="Hyperlink" xfId="1046" builtinId="8" hidden="true"/>
    <cellStyle name="Hyperlink" xfId="1048" builtinId="8" hidden="true"/>
    <cellStyle name="Hyperlink" xfId="1050" builtinId="8" hidden="true"/>
    <cellStyle name="Hyperlink" xfId="1052" builtinId="8" hidden="true"/>
    <cellStyle name="Hyperlink" xfId="1054" builtinId="8" hidden="true"/>
    <cellStyle name="Hyperlink" xfId="1056" builtinId="8" hidden="true"/>
    <cellStyle name="Hyperlink" xfId="1058" builtinId="8" hidden="true"/>
    <cellStyle name="Hyperlink" xfId="1060" builtinId="8" hidden="true"/>
    <cellStyle name="Hyperlink" xfId="1062" builtinId="8" hidden="true"/>
    <cellStyle name="Hyperlink" xfId="1064" builtinId="8" hidden="true"/>
    <cellStyle name="Hyperlink" xfId="1066" builtinId="8" hidden="true"/>
    <cellStyle name="Hyperlink" xfId="1068" builtinId="8" hidden="true"/>
    <cellStyle name="Hyperlink" xfId="1070" builtinId="8" hidden="true"/>
    <cellStyle name="Hyperlink" xfId="1072" builtinId="8" hidden="true"/>
    <cellStyle name="Hyperlink" xfId="1074" builtinId="8" hidden="true"/>
    <cellStyle name="Hyperlink" xfId="1076" builtinId="8" hidden="true"/>
    <cellStyle name="Hyperlink" xfId="1078" builtinId="8" hidden="true"/>
    <cellStyle name="Hyperlink" xfId="1080" builtinId="8" hidden="true"/>
    <cellStyle name="Hyperlink" xfId="1082" builtinId="8" hidden="true"/>
    <cellStyle name="Hyperlink" xfId="1084" builtinId="8" hidden="true"/>
    <cellStyle name="Hyperlink" xfId="1086" builtinId="8" hidden="true"/>
    <cellStyle name="Hyperlink" xfId="1088" builtinId="8" hidden="true"/>
    <cellStyle name="Hyperlink" xfId="1090" builtinId="8" hidden="true"/>
    <cellStyle name="Hyperlink" xfId="1092" builtinId="8" hidden="true"/>
    <cellStyle name="Hyperlink" xfId="1094" builtinId="8" hidden="true"/>
    <cellStyle name="Hyperlink" xfId="1096" builtinId="8" hidden="true"/>
    <cellStyle name="Hyperlink" xfId="1098" builtinId="8" hidden="true"/>
    <cellStyle name="Hyperlink" xfId="1100" builtinId="8" hidden="true"/>
    <cellStyle name="Hyperlink" xfId="1102" builtinId="8" hidden="true"/>
    <cellStyle name="Hyperlink" xfId="1104" builtinId="8" hidden="true"/>
    <cellStyle name="Hyperlink" xfId="1106" builtinId="8" hidden="true"/>
    <cellStyle name="Hyperlink" xfId="1108" builtinId="8" hidden="true"/>
    <cellStyle name="Hyperlink" xfId="1110" builtinId="8" hidden="true"/>
    <cellStyle name="Hyperlink" xfId="1112" builtinId="8" hidden="true"/>
    <cellStyle name="Hyperlink" xfId="1114" builtinId="8" hidden="true"/>
    <cellStyle name="Hyperlink" xfId="1116" builtinId="8" hidden="true"/>
    <cellStyle name="Hyperlink" xfId="1118" builtinId="8" hidden="true"/>
    <cellStyle name="Hyperlink" xfId="1120" builtinId="8" hidden="true"/>
    <cellStyle name="Hyperlink" xfId="1122" builtinId="8" hidden="true"/>
    <cellStyle name="Hyperlink" xfId="1124" builtinId="8" hidden="true"/>
    <cellStyle name="Hyperlink" xfId="1126" builtinId="8" hidden="true"/>
    <cellStyle name="Hyperlink" xfId="1128" builtinId="8" hidden="true"/>
    <cellStyle name="Hyperlink" xfId="1130" builtinId="8" hidden="true"/>
    <cellStyle name="Hyperlink" xfId="1132" builtinId="8" hidden="true"/>
    <cellStyle name="Hyperlink" xfId="1134" builtinId="8" hidden="true"/>
    <cellStyle name="Hyperlink" xfId="1136" builtinId="8" hidden="true"/>
    <cellStyle name="Hyperlink" xfId="1138" builtinId="8" hidden="true"/>
    <cellStyle name="Hyperlink" xfId="1140" builtinId="8" hidden="true"/>
    <cellStyle name="Hyperlink" xfId="1142" builtinId="8" hidden="true"/>
    <cellStyle name="Hyperlink" xfId="1144" builtinId="8" hidden="true"/>
    <cellStyle name="Hyperlink" xfId="1146" builtinId="8" hidden="true"/>
    <cellStyle name="Hyperlink" xfId="1148" builtinId="8" hidden="true"/>
    <cellStyle name="Hyperlink" xfId="1150" builtinId="8" hidden="true"/>
    <cellStyle name="Hyperlink" xfId="1152" builtinId="8" hidden="true"/>
    <cellStyle name="Hyperlink" xfId="1154" builtinId="8" hidden="true"/>
    <cellStyle name="Hyperlink" xfId="1156" builtinId="8" hidden="true"/>
    <cellStyle name="Hyperlink" xfId="1158" builtinId="8" hidden="true"/>
    <cellStyle name="Hyperlink" xfId="1160" builtinId="8" hidden="true"/>
    <cellStyle name="Hyperlink" xfId="1162" builtinId="8" hidden="true"/>
    <cellStyle name="Hyperlink" xfId="1164" builtinId="8" hidden="true"/>
    <cellStyle name="Hyperlink" xfId="1166" builtinId="8" hidden="true"/>
    <cellStyle name="Hyperlink" xfId="1168" builtinId="8" hidden="true"/>
    <cellStyle name="Hyperlink" xfId="1170" builtinId="8" hidden="true"/>
    <cellStyle name="Hyperlink" xfId="1172" builtinId="8" hidden="true"/>
    <cellStyle name="Hyperlink" xfId="1174" builtinId="8" hidden="true"/>
    <cellStyle name="Hyperlink" xfId="1176" builtinId="8" hidden="true"/>
    <cellStyle name="Hyperlink" xfId="1178" builtinId="8" hidden="true"/>
    <cellStyle name="Hyperlink" xfId="1180" builtinId="8" hidden="true"/>
    <cellStyle name="Hyperlink" xfId="1182" builtinId="8" hidden="true"/>
    <cellStyle name="Hyperlink" xfId="1184" builtinId="8" hidden="true"/>
    <cellStyle name="Hyperlink" xfId="1186" builtinId="8" hidden="true"/>
    <cellStyle name="Hyperlink" xfId="1188" builtinId="8" hidden="true"/>
    <cellStyle name="Hyperlink" xfId="1190" builtinId="8" hidden="true"/>
    <cellStyle name="Hyperlink" xfId="1192" builtinId="8" hidden="true"/>
    <cellStyle name="Hyperlink" xfId="1194" builtinId="8" hidden="true"/>
    <cellStyle name="Hyperlink" xfId="1196" builtinId="8" hidden="true"/>
    <cellStyle name="Hyperlink" xfId="1198" builtinId="8" hidden="true"/>
    <cellStyle name="Hyperlink" xfId="1200" builtinId="8" hidden="true"/>
    <cellStyle name="Hyperlink" xfId="1202" builtinId="8" hidden="true"/>
    <cellStyle name="Hyperlink" xfId="1204" builtinId="8" hidden="true"/>
    <cellStyle name="Hyperlink" xfId="1206" builtinId="8" hidden="true"/>
    <cellStyle name="Hyperlink" xfId="1208" builtinId="8" hidden="true"/>
    <cellStyle name="Hyperlink" xfId="1210" builtinId="8" hidden="true"/>
    <cellStyle name="Hyperlink" xfId="1212" builtinId="8" hidden="true"/>
    <cellStyle name="Hyperlink" xfId="1214" builtinId="8" hidden="true"/>
    <cellStyle name="Hyperlink" xfId="1216" builtinId="8" hidden="true"/>
    <cellStyle name="Hyperlink" xfId="1218" builtinId="8" hidden="true"/>
    <cellStyle name="Hyperlink" xfId="1220" builtinId="8" hidden="true"/>
    <cellStyle name="Hyperlink" xfId="1222" builtinId="8" hidden="true"/>
    <cellStyle name="Hyperlink" xfId="1224" builtinId="8" hidden="true"/>
    <cellStyle name="Hyperlink" xfId="1226" builtinId="8" hidden="true"/>
    <cellStyle name="Hyperlink" xfId="1228" builtinId="8" hidden="true"/>
    <cellStyle name="Hyperlink" xfId="1230" builtinId="8" hidden="true"/>
    <cellStyle name="Hyperlink" xfId="1232" builtinId="8" hidden="true"/>
    <cellStyle name="Hyperlink" xfId="1234" builtinId="8" hidden="true"/>
    <cellStyle name="Hyperlink" xfId="1236" builtinId="8" hidden="true"/>
    <cellStyle name="Hyperlink" xfId="1238" builtinId="8" hidden="true"/>
    <cellStyle name="Hyperlink" xfId="1240" builtinId="8" hidden="true"/>
    <cellStyle name="Hyperlink" xfId="1242" builtinId="8" hidden="true"/>
    <cellStyle name="Hyperlink" xfId="1244" builtinId="8" hidden="true"/>
    <cellStyle name="Hyperlink" xfId="1246" builtinId="8" hidden="true"/>
    <cellStyle name="Hyperlink" xfId="1248" builtinId="8" hidden="true"/>
    <cellStyle name="Hyperlink" xfId="1250" builtinId="8" hidden="true"/>
    <cellStyle name="Hyperlink" xfId="1252" builtinId="8" hidden="true"/>
    <cellStyle name="Hyperlink" xfId="1254" builtinId="8" hidden="true"/>
    <cellStyle name="Hyperlink" xfId="1256" builtinId="8" hidden="true"/>
    <cellStyle name="Hyperlink" xfId="1258" builtinId="8" hidden="true"/>
    <cellStyle name="Hyperlink" xfId="1260" builtinId="8" hidden="true"/>
    <cellStyle name="Hyperlink" xfId="1262" builtinId="8" hidden="true"/>
    <cellStyle name="Hyperlink" xfId="1264" builtinId="8" hidden="true"/>
    <cellStyle name="Hyperlink" xfId="1266" builtinId="8" hidden="true"/>
    <cellStyle name="Hyperlink" xfId="1268" builtinId="8" hidden="true"/>
    <cellStyle name="Hyperlink" xfId="1270" builtinId="8" hidden="true"/>
    <cellStyle name="Hyperlink" xfId="1272" builtinId="8" hidden="true"/>
    <cellStyle name="Hyperlink" xfId="1274" builtinId="8" hidden="true"/>
    <cellStyle name="Hyperlink" xfId="1276" builtinId="8" hidden="true"/>
    <cellStyle name="Hyperlink" xfId="1278" builtinId="8" hidden="true"/>
    <cellStyle name="Hyperlink" xfId="1280" builtinId="8" hidden="true"/>
    <cellStyle name="Hyperlink" xfId="1282" builtinId="8" hidden="true"/>
    <cellStyle name="Hyperlink" xfId="1284" builtinId="8" hidden="true"/>
    <cellStyle name="Hyperlink" xfId="1286" builtinId="8" hidden="true"/>
    <cellStyle name="Hyperlink" xfId="1288" builtinId="8" hidden="true"/>
    <cellStyle name="Hyperlink" xfId="1290" builtinId="8" hidden="true"/>
    <cellStyle name="Hyperlink" xfId="1292" builtinId="8" hidden="true"/>
    <cellStyle name="Hyperlink" xfId="1294" builtinId="8" hidden="true"/>
    <cellStyle name="Hyperlink" xfId="1296" builtinId="8" hidden="true"/>
    <cellStyle name="Hyperlink" xfId="1298" builtinId="8" hidden="true"/>
    <cellStyle name="Hyperlink" xfId="1300" builtinId="8" hidden="true"/>
    <cellStyle name="Hyperlink" xfId="1302" builtinId="8" hidden="true"/>
    <cellStyle name="Hyperlink" xfId="1304" builtinId="8" hidden="true"/>
    <cellStyle name="Hyperlink" xfId="1306" builtinId="8" hidden="true"/>
    <cellStyle name="Hyperlink" xfId="1308" builtinId="8" hidden="true"/>
    <cellStyle name="Hyperlink" xfId="1310" builtinId="8" hidden="true"/>
    <cellStyle name="Hyperlink" xfId="1312" builtinId="8" hidden="true"/>
    <cellStyle name="Hyperlink" xfId="1314" builtinId="8" hidden="true"/>
    <cellStyle name="Hyperlink" xfId="1316" builtinId="8" hidden="true"/>
    <cellStyle name="Hyperlink" xfId="1318" builtinId="8" hidden="true"/>
    <cellStyle name="Hyperlink" xfId="1320" builtinId="8" hidden="true"/>
    <cellStyle name="Hyperlink" xfId="1322" builtinId="8" hidden="true"/>
    <cellStyle name="Hyperlink" xfId="1324" builtinId="8" hidden="true"/>
    <cellStyle name="Hyperlink" xfId="1326" builtinId="8" hidden="true"/>
    <cellStyle name="Hyperlink" xfId="1328" builtinId="8" hidden="true"/>
    <cellStyle name="Hyperlink" xfId="1330" builtinId="8" hidden="true"/>
    <cellStyle name="Hyperlink" xfId="1332" builtinId="8" hidden="true"/>
    <cellStyle name="Hyperlink" xfId="1334" builtinId="8" hidden="true"/>
    <cellStyle name="Hyperlink" xfId="1336" builtinId="8" hidden="true"/>
    <cellStyle name="Hyperlink" xfId="1338" builtinId="8" hidden="true"/>
    <cellStyle name="Hyperlink" xfId="1340" builtinId="8" hidden="true"/>
    <cellStyle name="Hyperlink" xfId="1342" builtinId="8" hidden="true"/>
    <cellStyle name="Hyperlink" xfId="1344" builtinId="8" hidden="true"/>
    <cellStyle name="Hyperlink" xfId="1346" builtinId="8" hidden="true"/>
    <cellStyle name="Hyperlink" xfId="1348" builtinId="8" hidden="true"/>
    <cellStyle name="Hyperlink" xfId="1350" builtinId="8" hidden="true"/>
    <cellStyle name="Hyperlink" xfId="1352" builtinId="8" hidden="true"/>
    <cellStyle name="Hyperlink" xfId="1354" builtinId="8" hidden="true"/>
    <cellStyle name="Hyperlink" xfId="1356" builtinId="8" hidden="true"/>
    <cellStyle name="Hyperlink" xfId="1358" builtinId="8" hidden="true"/>
    <cellStyle name="Hyperlink" xfId="1360" builtinId="8" hidden="true"/>
    <cellStyle name="Hyperlink" xfId="1362" builtinId="8" hidden="true"/>
    <cellStyle name="Hyperlink" xfId="1364" builtinId="8" hidden="true"/>
    <cellStyle name="Hyperlink" xfId="1366" builtinId="8" hidden="true"/>
    <cellStyle name="Hyperlink" xfId="1368" builtinId="8" hidden="true"/>
    <cellStyle name="Hyperlink" xfId="1370" builtinId="8" hidden="true"/>
    <cellStyle name="Hyperlink" xfId="1372" builtinId="8" hidden="true"/>
    <cellStyle name="Hyperlink" xfId="1374" builtinId="8" hidden="true"/>
    <cellStyle name="Hyperlink" xfId="1376" builtinId="8" hidden="true"/>
    <cellStyle name="Hyperlink" xfId="1378" builtinId="8" hidden="true"/>
    <cellStyle name="Hyperlink" xfId="1380" builtinId="8" hidden="true"/>
    <cellStyle name="Hyperlink" xfId="1382" builtinId="8" hidden="true"/>
    <cellStyle name="Hyperlink" xfId="1384" builtinId="8" hidden="true"/>
    <cellStyle name="Hyperlink" xfId="1386" builtinId="8" hidden="true"/>
    <cellStyle name="Hyperlink" xfId="1388" builtinId="8" hidden="true"/>
    <cellStyle name="Hyperlink" xfId="1390" builtinId="8" hidden="true"/>
    <cellStyle name="Hyperlink" xfId="1392" builtinId="8" hidden="true"/>
    <cellStyle name="Hyperlink" xfId="1394" builtinId="8" hidden="true"/>
    <cellStyle name="Hyperlink" xfId="1396" builtinId="8" hidden="true"/>
    <cellStyle name="Hyperlink" xfId="1398" builtinId="8" hidden="true"/>
    <cellStyle name="Hyperlink" xfId="1400" builtinId="8" hidden="true"/>
    <cellStyle name="Hyperlink" xfId="1402" builtinId="8" hidden="true"/>
    <cellStyle name="Hyperlink" xfId="1404" builtinId="8" hidden="true"/>
    <cellStyle name="Hyperlink" xfId="1406" builtinId="8" hidden="true"/>
    <cellStyle name="Hyperlink" xfId="1408" builtinId="8" hidden="true"/>
    <cellStyle name="Hyperlink" xfId="1410" builtinId="8" hidden="true"/>
    <cellStyle name="Hyperlink" xfId="1412" builtinId="8" hidden="true"/>
    <cellStyle name="Hyperlink" xfId="1414" builtinId="8" hidden="true"/>
    <cellStyle name="Hyperlink" xfId="1416" builtinId="8" hidden="true"/>
    <cellStyle name="Hyperlink" xfId="1418" builtinId="8" hidden="true"/>
    <cellStyle name="Hyperlink" xfId="1420" builtinId="8" hidden="true"/>
    <cellStyle name="Hyperlink" xfId="1422" builtinId="8" hidden="true"/>
    <cellStyle name="Hyperlink" xfId="1424" builtinId="8" hidden="true"/>
    <cellStyle name="Hyperlink" xfId="1426" builtinId="8" hidden="true"/>
    <cellStyle name="Hyperlink" xfId="1428" builtinId="8" hidden="true"/>
    <cellStyle name="Hyperlink" xfId="1430" builtinId="8" hidden="true"/>
    <cellStyle name="Hyperlink" xfId="1432" builtinId="8" hidden="true"/>
    <cellStyle name="Hyperlink" xfId="1434" builtinId="8" hidden="true"/>
    <cellStyle name="Hyperlink" xfId="1436" builtinId="8" hidden="true"/>
    <cellStyle name="Hyperlink" xfId="1438" builtinId="8" hidden="true"/>
    <cellStyle name="Hyperlink" xfId="1440" builtinId="8" hidden="true"/>
    <cellStyle name="Hyperlink" xfId="1442" builtinId="8" hidden="true"/>
    <cellStyle name="Hyperlink" xfId="1444" builtinId="8" hidden="true"/>
    <cellStyle name="Hyperlink" xfId="1446" builtinId="8" hidden="true"/>
    <cellStyle name="Hyperlink" xfId="1448" builtinId="8" hidden="true"/>
    <cellStyle name="Hyperlink" xfId="1450" builtinId="8" hidden="true"/>
    <cellStyle name="Hyperlink" xfId="1452" builtinId="8" hidden="true"/>
    <cellStyle name="Hyperlink" xfId="1454" builtinId="8" hidden="true"/>
    <cellStyle name="Hyperlink" xfId="1456" builtinId="8" hidden="true"/>
    <cellStyle name="Hyperlink" xfId="1458" builtinId="8" hidden="true"/>
    <cellStyle name="Hyperlink" xfId="1460" builtinId="8" hidden="true"/>
    <cellStyle name="Hyperlink" xfId="1462" builtinId="8" hidden="true"/>
    <cellStyle name="Hyperlink" xfId="1464" builtinId="8" hidden="true"/>
    <cellStyle name="Hyperlink" xfId="1466" builtinId="8" hidden="true"/>
    <cellStyle name="Hyperlink" xfId="1468" builtinId="8" hidden="true"/>
    <cellStyle name="Hyperlink" xfId="1470" builtinId="8" hidden="true"/>
    <cellStyle name="Hyperlink" xfId="1472" builtinId="8" hidden="true"/>
    <cellStyle name="Hyperlink" xfId="1474" builtinId="8" hidden="true"/>
    <cellStyle name="Hyperlink" xfId="1476" builtinId="8" hidden="true"/>
    <cellStyle name="Hyperlink" xfId="1478" builtinId="8" hidden="true"/>
    <cellStyle name="Hyperlink" xfId="1480" builtinId="8" hidden="true"/>
    <cellStyle name="Hyperlink" xfId="1482" builtinId="8" hidden="true"/>
    <cellStyle name="Hyperlink" xfId="1484" builtinId="8" hidden="true"/>
    <cellStyle name="Hyperlink" xfId="1486" builtinId="8" hidden="true"/>
    <cellStyle name="Hyperlink" xfId="1488" builtinId="8" hidden="true"/>
    <cellStyle name="Hyperlink" xfId="1490" builtinId="8" hidden="true"/>
    <cellStyle name="Hyperlink" xfId="1492" builtinId="8" hidden="true"/>
    <cellStyle name="Hyperlink" xfId="1494" builtinId="8" hidden="true"/>
    <cellStyle name="Hyperlink" xfId="1496" builtinId="8" hidden="true"/>
    <cellStyle name="Hyperlink" xfId="1498" builtinId="8" hidden="true"/>
    <cellStyle name="Hyperlink" xfId="1500" builtinId="8" hidden="true"/>
    <cellStyle name="Hyperlink" xfId="1502" builtinId="8" hidden="true"/>
    <cellStyle name="Hyperlink" xfId="1504" builtinId="8" hidden="true"/>
    <cellStyle name="Hyperlink" xfId="1506" builtinId="8" hidden="true"/>
    <cellStyle name="Hyperlink" xfId="1508" builtinId="8" hidden="true"/>
    <cellStyle name="Hyperlink" xfId="1510" builtinId="8" hidden="true"/>
    <cellStyle name="Hyperlink" xfId="1512" builtinId="8" hidden="true"/>
    <cellStyle name="Hyperlink" xfId="1514" builtinId="8" hidden="true"/>
    <cellStyle name="Hyperlink" xfId="1516" builtinId="8" hidden="true"/>
    <cellStyle name="Hyperlink" xfId="1518" builtinId="8" hidden="true"/>
    <cellStyle name="Hyperlink" xfId="1520" builtinId="8" hidden="true"/>
    <cellStyle name="Hyperlink" xfId="1522" builtinId="8" hidden="true"/>
    <cellStyle name="Hyperlink" xfId="1524" builtinId="8" hidden="true"/>
    <cellStyle name="Hyperlink" xfId="1526" builtinId="8" hidden="true"/>
    <cellStyle name="Hyperlink" xfId="1528" builtinId="8" hidden="true"/>
    <cellStyle name="Hyperlink" xfId="1530" builtinId="8" hidden="true"/>
    <cellStyle name="Hyperlink" xfId="1532" builtinId="8" hidden="true"/>
    <cellStyle name="Hyperlink" xfId="1534" builtinId="8" hidden="true"/>
    <cellStyle name="Hyperlink" xfId="1536" builtinId="8" hidden="true"/>
    <cellStyle name="Hyperlink" xfId="1538" builtinId="8" hidden="true"/>
    <cellStyle name="Hyperlink" xfId="1540" builtinId="8" hidden="true"/>
    <cellStyle name="Hyperlink" xfId="1542" builtinId="8" hidden="true"/>
    <cellStyle name="Hyperlink" xfId="1544" builtinId="8" hidden="true"/>
    <cellStyle name="Hyperlink" xfId="1546" builtinId="8" hidden="true"/>
    <cellStyle name="Hyperlink" xfId="1548" builtinId="8" hidden="true"/>
    <cellStyle name="Hyperlink" xfId="1550" builtinId="8" hidden="true"/>
    <cellStyle name="Hyperlink" xfId="1552" builtinId="8" hidden="true"/>
    <cellStyle name="Hyperlink" xfId="1554" builtinId="8" hidden="true"/>
    <cellStyle name="Hyperlink" xfId="1556" builtinId="8" hidden="true"/>
    <cellStyle name="Hyperlink" xfId="1558" builtinId="8" hidden="true"/>
    <cellStyle name="Hyperlink" xfId="1560" builtinId="8" hidden="true"/>
    <cellStyle name="Hyperlink" xfId="1562" builtinId="8" hidden="true"/>
    <cellStyle name="Hyperlink" xfId="1564" builtinId="8" hidden="true"/>
    <cellStyle name="Hyperlink" xfId="1566" builtinId="8" hidden="true"/>
    <cellStyle name="Hyperlink" xfId="1568" builtinId="8" hidden="true"/>
    <cellStyle name="Hyperlink" xfId="1570" builtinId="8" hidden="true"/>
    <cellStyle name="Hyperlink" xfId="1572" builtinId="8" hidden="true"/>
    <cellStyle name="Hyperlink" xfId="1574" builtinId="8" hidden="true"/>
    <cellStyle name="Hyperlink" xfId="1576" builtinId="8" hidden="true"/>
    <cellStyle name="Hyperlink" xfId="1578" builtinId="8" hidden="true"/>
    <cellStyle name="Hyperlink" xfId="1580" builtinId="8" hidden="true"/>
    <cellStyle name="Hyperlink" xfId="1582" builtinId="8" hidden="true"/>
    <cellStyle name="Hyperlink" xfId="1584" builtinId="8" hidden="true"/>
    <cellStyle name="Hyperlink" xfId="1586" builtinId="8" hidden="true"/>
    <cellStyle name="Hyperlink" xfId="1588" builtinId="8" hidden="true"/>
    <cellStyle name="Hyperlink" xfId="1590" builtinId="8" hidden="true"/>
    <cellStyle name="Hyperlink" xfId="1592" builtinId="8" hidden="true"/>
    <cellStyle name="Hyperlink" xfId="1594" builtinId="8" hidden="true"/>
    <cellStyle name="Hyperlink" xfId="1596" builtinId="8" hidden="true"/>
    <cellStyle name="Hyperlink" xfId="1598" builtinId="8" hidden="true"/>
    <cellStyle name="Hyperlink" xfId="1600" builtinId="8" hidden="true"/>
    <cellStyle name="Hyperlink" xfId="1602" builtinId="8" hidden="true"/>
    <cellStyle name="Hyperlink" xfId="1604" builtinId="8" hidden="true"/>
    <cellStyle name="Hyperlink" xfId="1606" builtinId="8" hidden="true"/>
    <cellStyle name="Hyperlink" xfId="1608" builtinId="8" hidden="true"/>
    <cellStyle name="Hyperlink" xfId="1610" builtinId="8" hidden="true"/>
    <cellStyle name="Hyperlink" xfId="1612" builtinId="8" hidden="true"/>
    <cellStyle name="Hyperlink" xfId="1614" builtinId="8" hidden="true"/>
    <cellStyle name="Hyperlink" xfId="1616" builtinId="8" hidden="true"/>
    <cellStyle name="Hyperlink" xfId="1618" builtinId="8" hidden="true"/>
    <cellStyle name="Hyperlink" xfId="1620" builtinId="8" hidden="true"/>
    <cellStyle name="Hyperlink" xfId="1622" builtinId="8" hidden="true"/>
    <cellStyle name="Hyperlink" xfId="1624" builtinId="8" hidden="true"/>
    <cellStyle name="Hyperlink" xfId="1626" builtinId="8" hidden="true"/>
    <cellStyle name="Hyperlink" xfId="1628" builtinId="8" hidden="true"/>
    <cellStyle name="Hyperlink" xfId="1630" builtinId="8" hidden="true"/>
    <cellStyle name="Hyperlink" xfId="1632" builtinId="8" hidden="true"/>
    <cellStyle name="Hyperlink" xfId="1634" builtinId="8" hidden="true"/>
    <cellStyle name="Hyperlink" xfId="1636" builtinId="8" hidden="true"/>
    <cellStyle name="Hyperlink" xfId="1638" builtinId="8" hidden="true"/>
    <cellStyle name="Hyperlink" xfId="1640" builtinId="8" hidden="true"/>
    <cellStyle name="Hyperlink" xfId="1642" builtinId="8" hidden="true"/>
    <cellStyle name="Hyperlink" xfId="1644" builtinId="8" hidden="true"/>
    <cellStyle name="Hyperlink" xfId="1646" builtinId="8" hidden="true"/>
    <cellStyle name="Hyperlink" xfId="1648" builtinId="8" hidden="true"/>
    <cellStyle name="Hyperlink" xfId="1650" builtinId="8" hidden="true"/>
    <cellStyle name="Hyperlink" xfId="1652" builtinId="8" hidden="true"/>
    <cellStyle name="Hyperlink" xfId="1654" builtinId="8" hidden="true"/>
    <cellStyle name="Hyperlink" xfId="1656" builtinId="8" hidden="true"/>
    <cellStyle name="Hyperlink" xfId="1658" builtinId="8" hidden="true"/>
    <cellStyle name="Hyperlink" xfId="1660" builtinId="8" hidden="true"/>
    <cellStyle name="Hyperlink" xfId="1662" builtinId="8" hidden="true"/>
    <cellStyle name="Hyperlink" xfId="1664" builtinId="8" hidden="true"/>
    <cellStyle name="Hyperlink" xfId="1666" builtinId="8" hidden="true"/>
    <cellStyle name="Hyperlink" xfId="1668" builtinId="8" hidden="true"/>
    <cellStyle name="Hyperlink" xfId="1670" builtinId="8" hidden="true"/>
    <cellStyle name="Hyperlink" xfId="1672" builtinId="8" hidden="true"/>
    <cellStyle name="Hyperlink" xfId="1674" builtinId="8" hidden="true"/>
    <cellStyle name="Hyperlink" xfId="1676" builtinId="8" hidden="true"/>
    <cellStyle name="Hyperlink" xfId="1678" builtinId="8" hidden="true"/>
    <cellStyle name="Hyperlink" xfId="1680" builtinId="8" hidden="true"/>
    <cellStyle name="Hyperlink" xfId="1682" builtinId="8" hidden="true"/>
    <cellStyle name="Hyperlink" xfId="1684" builtinId="8" hidden="true"/>
    <cellStyle name="Hyperlink" xfId="1686" builtinId="8" hidden="true"/>
    <cellStyle name="Hyperlink" xfId="1688" builtinId="8" hidden="true"/>
    <cellStyle name="Hyperlink" xfId="1690" builtinId="8" hidden="true"/>
    <cellStyle name="Hyperlink" xfId="1692" builtinId="8" hidden="true"/>
    <cellStyle name="Hyperlink" xfId="1694" builtinId="8" hidden="true"/>
    <cellStyle name="Hyperlink" xfId="1696" builtinId="8" hidden="true"/>
    <cellStyle name="Hyperlink" xfId="1698" builtinId="8" hidden="true"/>
    <cellStyle name="Hyperlink" xfId="1700" builtinId="8" hidden="true"/>
    <cellStyle name="Hyperlink" xfId="1702" builtinId="8" hidden="true"/>
    <cellStyle name="Hyperlink" xfId="1704" builtinId="8" hidden="true"/>
    <cellStyle name="Hyperlink" xfId="1706" builtinId="8" hidden="true"/>
    <cellStyle name="Hyperlink" xfId="1708" builtinId="8" hidden="true"/>
    <cellStyle name="Hyperlink" xfId="1710" builtinId="8" hidden="true"/>
    <cellStyle name="Hyperlink" xfId="1712" builtinId="8" hidden="true"/>
    <cellStyle name="Hyperlink" xfId="1714" builtinId="8" hidden="true"/>
    <cellStyle name="Hyperlink" xfId="1716" builtinId="8" hidden="true"/>
    <cellStyle name="Hyperlink" xfId="1718" builtinId="8" hidden="true"/>
    <cellStyle name="Hyperlink" xfId="1720" builtinId="8" hidden="true"/>
    <cellStyle name="Hyperlink" xfId="1722" builtinId="8" hidden="true"/>
    <cellStyle name="Hyperlink" xfId="1724" builtinId="8" hidden="true"/>
    <cellStyle name="Hyperlink" xfId="1726" builtinId="8" hidden="true"/>
    <cellStyle name="Hyperlink" xfId="1728" builtinId="8" hidden="true"/>
    <cellStyle name="Hyperlink" xfId="1730" builtinId="8" hidden="true"/>
    <cellStyle name="Hyperlink" xfId="1732" builtinId="8" hidden="true"/>
    <cellStyle name="Hyperlink" xfId="1734" builtinId="8" hidden="true"/>
    <cellStyle name="Hyperlink" xfId="1736" builtinId="8" hidden="true"/>
    <cellStyle name="Hyperlink" xfId="1738" builtinId="8" hidden="true"/>
    <cellStyle name="Hyperlink" xfId="1740" builtinId="8" hidden="true"/>
    <cellStyle name="Hyperlink" xfId="1742" builtinId="8" hidden="true"/>
    <cellStyle name="Hyperlink" xfId="1744" builtinId="8" hidden="true"/>
    <cellStyle name="Hyperlink" xfId="1746" builtinId="8" hidden="true"/>
    <cellStyle name="Hyperlink" xfId="1748" builtinId="8" hidden="true"/>
    <cellStyle name="Hyperlink" xfId="1750" builtinId="8" hidden="true"/>
    <cellStyle name="Hyperlink" xfId="1752" builtinId="8" hidden="true"/>
    <cellStyle name="Hyperlink" xfId="1754" builtinId="8" hidden="true"/>
    <cellStyle name="Hyperlink" xfId="1756" builtinId="8" hidden="true"/>
    <cellStyle name="Hyperlink" xfId="1758" builtinId="8" hidden="true"/>
    <cellStyle name="Hyperlink" xfId="1760" builtinId="8" hidden="true"/>
    <cellStyle name="Hyperlink" xfId="1762" builtinId="8" hidden="true"/>
    <cellStyle name="Hyperlink" xfId="1764" builtinId="8" hidden="true"/>
    <cellStyle name="Hyperlink" xfId="1766" builtinId="8" hidden="true"/>
    <cellStyle name="Hyperlink" xfId="1768" builtinId="8" hidden="true"/>
    <cellStyle name="Hyperlink" xfId="1770" builtinId="8" hidden="true"/>
    <cellStyle name="Hyperlink" xfId="1772" builtinId="8" hidden="true"/>
    <cellStyle name="Hyperlink" xfId="1774" builtinId="8" hidden="true"/>
    <cellStyle name="Hyperlink" xfId="1776" builtinId="8" hidden="true"/>
    <cellStyle name="Hyperlink" xfId="1778" builtinId="8" hidden="true"/>
    <cellStyle name="Hyperlink" xfId="1780" builtinId="8" hidden="true"/>
    <cellStyle name="Hyperlink" xfId="1782" builtinId="8" hidden="true"/>
    <cellStyle name="Hyperlink" xfId="1784" builtinId="8" hidden="true"/>
    <cellStyle name="Hyperlink" xfId="1786" builtinId="8" hidden="true"/>
    <cellStyle name="Hyperlink" xfId="1788" builtinId="8" hidden="true"/>
    <cellStyle name="Hyperlink" xfId="1790" builtinId="8" hidden="true"/>
    <cellStyle name="Hyperlink" xfId="1792" builtinId="8" hidden="true"/>
    <cellStyle name="Hyperlink" xfId="1794" builtinId="8" hidden="true"/>
    <cellStyle name="Hyperlink" xfId="1796" builtinId="8" hidden="true"/>
    <cellStyle name="Hyperlink" xfId="1798" builtinId="8" hidden="true"/>
    <cellStyle name="Hyperlink" xfId="1800" builtinId="8" hidden="true"/>
    <cellStyle name="Hyperlink" xfId="1802" builtinId="8" hidden="true"/>
    <cellStyle name="Hyperlink" xfId="1804" builtinId="8" hidden="true"/>
    <cellStyle name="Hyperlink" xfId="1806" builtinId="8" hidden="true"/>
    <cellStyle name="Hyperlink" xfId="1808" builtinId="8" hidden="true"/>
    <cellStyle name="Hyperlink" xfId="1810" builtinId="8" hidden="true"/>
    <cellStyle name="Hyperlink" xfId="1812" builtinId="8" hidden="true"/>
    <cellStyle name="Hyperlink" xfId="1814" builtinId="8" hidden="true"/>
    <cellStyle name="Hyperlink" xfId="1816" builtinId="8" hidden="true"/>
    <cellStyle name="Hyperlink" xfId="1818" builtinId="8" hidden="true"/>
    <cellStyle name="Hyperlink" xfId="1820" builtinId="8" hidden="true"/>
    <cellStyle name="Hyperlink" xfId="1822" builtinId="8" hidden="true"/>
    <cellStyle name="Hyperlink" xfId="1824" builtinId="8" hidden="true"/>
    <cellStyle name="Hyperlink" xfId="1826" builtinId="8" hidden="true"/>
    <cellStyle name="Hyperlink" xfId="1828" builtinId="8" hidden="true"/>
    <cellStyle name="Hyperlink" xfId="1830" builtinId="8" hidden="true"/>
    <cellStyle name="Hyperlink" xfId="1832" builtinId="8" hidden="true"/>
    <cellStyle name="Hyperlink" xfId="1834" builtinId="8" hidden="true"/>
    <cellStyle name="Hyperlink" xfId="1836" builtinId="8" hidden="true"/>
    <cellStyle name="Hyperlink" xfId="1838" builtinId="8" hidden="true"/>
    <cellStyle name="Hyperlink" xfId="1840" builtinId="8" hidden="true"/>
    <cellStyle name="Hyperlink" xfId="1842" builtinId="8" hidden="true"/>
    <cellStyle name="Hyperlink" xfId="1844" builtinId="8" hidden="true"/>
    <cellStyle name="Hyperlink" xfId="1846" builtinId="8" hidden="true"/>
    <cellStyle name="Hyperlink" xfId="1848" builtinId="8" hidden="true"/>
    <cellStyle name="Hyperlink" xfId="1850" builtinId="8" hidden="true"/>
    <cellStyle name="Hyperlink" xfId="1852" builtinId="8" hidden="true"/>
    <cellStyle name="Hyperlink" xfId="1854" builtinId="8" hidden="true"/>
    <cellStyle name="Hyperlink" xfId="1856" builtinId="8" hidden="true"/>
    <cellStyle name="Hyperlink" xfId="1858" builtinId="8" hidden="true"/>
    <cellStyle name="Hyperlink" xfId="1860" builtinId="8" hidden="true"/>
    <cellStyle name="Hyperlink" xfId="1862" builtinId="8" hidden="true"/>
    <cellStyle name="Hyperlink" xfId="1864" builtinId="8" hidden="true"/>
    <cellStyle name="Hyperlink" xfId="1866" builtinId="8" hidden="true"/>
    <cellStyle name="Hyperlink" xfId="1868" builtinId="8" hidden="true"/>
    <cellStyle name="Hyperlink" xfId="1870" builtinId="8" hidden="true"/>
    <cellStyle name="Hyperlink" xfId="1872" builtinId="8" hidden="true"/>
    <cellStyle name="Hyperlink" xfId="1874" builtinId="8" hidden="true"/>
    <cellStyle name="Hyperlink" xfId="1876" builtinId="8" hidden="true"/>
    <cellStyle name="Hyperlink" xfId="1878" builtinId="8" hidden="true"/>
    <cellStyle name="Hyperlink" xfId="1880" builtinId="8" hidden="true"/>
    <cellStyle name="Hyperlink" xfId="1882" builtinId="8" hidden="true"/>
    <cellStyle name="Hyperlink" xfId="1884" builtinId="8" hidden="true"/>
    <cellStyle name="Hyperlink" xfId="1886" builtinId="8" hidden="true"/>
    <cellStyle name="Hyperlink" xfId="1888" builtinId="8" hidden="true"/>
    <cellStyle name="Hyperlink" xfId="1890" builtinId="8" hidden="true"/>
    <cellStyle name="Hyperlink" xfId="1892" builtinId="8" hidden="true"/>
    <cellStyle name="Hyperlink" xfId="1894" builtinId="8" hidden="true"/>
    <cellStyle name="Hyperlink" xfId="1896" builtinId="8" hidden="true"/>
    <cellStyle name="Hyperlink" xfId="1898" builtinId="8" hidden="true"/>
    <cellStyle name="Hyperlink" xfId="1900" builtinId="8" hidden="true"/>
    <cellStyle name="Hyperlink" xfId="1902" builtinId="8" hidden="true"/>
    <cellStyle name="Hyperlink" xfId="1904" builtinId="8" hidden="true"/>
    <cellStyle name="Hyperlink" xfId="1906" builtinId="8" hidden="true"/>
    <cellStyle name="Hyperlink" xfId="1908" builtinId="8" hidden="true"/>
    <cellStyle name="Hyperlink" xfId="1910" builtinId="8" hidden="true"/>
    <cellStyle name="Hyperlink" xfId="1912" builtinId="8" hidden="true"/>
    <cellStyle name="Hyperlink" xfId="1914" builtinId="8" hidden="true"/>
    <cellStyle name="Hyperlink" xfId="1916" builtinId="8" hidden="true"/>
    <cellStyle name="Hyperlink" xfId="1918" builtinId="8" hidden="true"/>
    <cellStyle name="Hyperlink" xfId="1920" builtinId="8" hidden="true"/>
    <cellStyle name="Hyperlink" xfId="1922" builtinId="8" hidden="true"/>
    <cellStyle name="Hyperlink" xfId="1924" builtinId="8" hidden="true"/>
    <cellStyle name="Hyperlink" xfId="1926" builtinId="8" hidden="true"/>
    <cellStyle name="Hyperlink" xfId="1928" builtinId="8" hidden="true"/>
    <cellStyle name="Hyperlink" xfId="1930" builtinId="8" hidden="true"/>
    <cellStyle name="Hyperlink" xfId="1932" builtinId="8" hidden="true"/>
    <cellStyle name="Hyperlink" xfId="1934" builtinId="8" hidden="true"/>
    <cellStyle name="Hyperlink" xfId="1936" builtinId="8" hidden="true"/>
    <cellStyle name="Hyperlink" xfId="1938" builtinId="8" hidden="true"/>
    <cellStyle name="Hyperlink" xfId="1940" builtinId="8" hidden="true"/>
    <cellStyle name="Hyperlink" xfId="1942" builtinId="8" hidden="true"/>
    <cellStyle name="Hyperlink" xfId="1944" builtinId="8" hidden="true"/>
    <cellStyle name="Hyperlink" xfId="1946" builtinId="8" hidden="true"/>
    <cellStyle name="Hyperlink" xfId="1948" builtinId="8" hidden="true"/>
    <cellStyle name="Hyperlink" xfId="1950" builtinId="8" hidden="true"/>
    <cellStyle name="Hyperlink" xfId="1952" builtinId="8" hidden="true"/>
    <cellStyle name="Hyperlink" xfId="1954" builtinId="8" hidden="true"/>
    <cellStyle name="Hyperlink" xfId="1956" builtinId="8" hidden="true"/>
    <cellStyle name="Hyperlink" xfId="1958" builtinId="8" hidden="true"/>
    <cellStyle name="Hyperlink" xfId="1960" builtinId="8" hidden="true"/>
    <cellStyle name="Hyperlink" xfId="1962" builtinId="8" hidden="true"/>
    <cellStyle name="Hyperlink" xfId="1964" builtinId="8" hidden="true"/>
    <cellStyle name="Hyperlink" xfId="1966" builtinId="8" hidden="true"/>
    <cellStyle name="Hyperlink" xfId="1968" builtinId="8" hidden="true"/>
    <cellStyle name="Hyperlink" xfId="1970" builtinId="8" hidden="true"/>
    <cellStyle name="Hyperlink" xfId="1972" builtinId="8" hidden="true"/>
    <cellStyle name="Hyperlink" xfId="1974" builtinId="8" hidden="true"/>
    <cellStyle name="Hyperlink" xfId="1976" builtinId="8" hidden="true"/>
    <cellStyle name="Hyperlink" xfId="1978" builtinId="8" hidden="true"/>
    <cellStyle name="Hyperlink" xfId="1980" builtinId="8" hidden="true"/>
    <cellStyle name="Hyperlink" xfId="1982" builtinId="8" hidden="true"/>
    <cellStyle name="Hyperlink" xfId="1984" builtinId="8" hidden="true"/>
    <cellStyle name="Hyperlink" xfId="1986" builtinId="8" hidden="true"/>
    <cellStyle name="Hyperlink" xfId="1988" builtinId="8" hidden="true"/>
    <cellStyle name="Hyperlink" xfId="1990" builtinId="8" hidden="true"/>
    <cellStyle name="Hyperlink" xfId="1992" builtinId="8" hidden="true"/>
    <cellStyle name="Hyperlink" xfId="1994" builtinId="8" hidden="true"/>
    <cellStyle name="Hyperlink" xfId="1996" builtinId="8" hidden="true"/>
    <cellStyle name="Hyperlink" xfId="1998" builtinId="8" hidden="true"/>
    <cellStyle name="Hyperlink" xfId="2000" builtinId="8" hidden="true"/>
    <cellStyle name="Hyperlink" xfId="2002" builtinId="8" hidden="true"/>
    <cellStyle name="Hyperlink" xfId="2004" builtinId="8" hidden="true"/>
    <cellStyle name="Hyperlink" xfId="2006" builtinId="8" hidden="true"/>
    <cellStyle name="Hyperlink" xfId="2008" builtinId="8" hidden="true"/>
    <cellStyle name="Hyperlink" xfId="2010" builtinId="8" hidden="true"/>
    <cellStyle name="Hyperlink" xfId="2012" builtinId="8" hidden="true"/>
    <cellStyle name="Hyperlink" xfId="2014" builtinId="8" hidden="true"/>
    <cellStyle name="Hyperlink" xfId="2016" builtinId="8" hidden="true"/>
    <cellStyle name="Hyperlink" xfId="2018" builtinId="8" hidden="true"/>
    <cellStyle name="Hyperlink" xfId="2020" builtinId="8" hidden="true"/>
    <cellStyle name="Hyperlink" xfId="2022" builtinId="8" hidden="true"/>
    <cellStyle name="Hyperlink" xfId="2024" builtinId="8" hidden="true"/>
    <cellStyle name="Hyperlink" xfId="2026" builtinId="8" hidden="true"/>
    <cellStyle name="Hyperlink" xfId="2028" builtinId="8" hidden="true"/>
    <cellStyle name="Hyperlink" xfId="2030" builtinId="8" hidden="true"/>
    <cellStyle name="Hyperlink" xfId="2032" builtinId="8" hidden="true"/>
    <cellStyle name="Hyperlink" xfId="2034" builtinId="8" hidden="true"/>
    <cellStyle name="Hyperlink" xfId="2036" builtinId="8" hidden="true"/>
    <cellStyle name="Hyperlink" xfId="2038" builtinId="8" hidden="true"/>
    <cellStyle name="Hyperlink" xfId="2040" builtinId="8" hidden="true"/>
    <cellStyle name="Hyperlink" xfId="2042" builtinId="8" hidden="true"/>
    <cellStyle name="Hyperlink" xfId="2044" builtinId="8" hidden="true"/>
    <cellStyle name="Hyperlink" xfId="2046" builtinId="8" hidden="true"/>
    <cellStyle name="Hyperlink" xfId="2048" builtinId="8" hidden="true"/>
    <cellStyle name="Hyperlink" xfId="2050" builtinId="8" hidden="true"/>
    <cellStyle name="Hyperlink" xfId="2052" builtinId="8" hidden="true"/>
    <cellStyle name="Hyperlink" xfId="2054" builtinId="8" hidden="true"/>
    <cellStyle name="Hyperlink" xfId="2056" builtinId="8" hidden="true"/>
    <cellStyle name="Hyperlink" xfId="2058" builtinId="8" hidden="true"/>
    <cellStyle name="Hyperlink" xfId="2060" builtinId="8" hidden="true"/>
    <cellStyle name="Hyperlink" xfId="2062" builtinId="8" hidden="true"/>
    <cellStyle name="Hyperlink" xfId="2064" builtinId="8" hidden="true"/>
    <cellStyle name="Hyperlink" xfId="2066" builtinId="8" hidden="true"/>
    <cellStyle name="Hyperlink" xfId="2068" builtinId="8" hidden="true"/>
    <cellStyle name="Hyperlink" xfId="2070" builtinId="8" hidden="true"/>
    <cellStyle name="Hyperlink" xfId="2072" builtinId="8" hidden="true"/>
    <cellStyle name="Hyperlink" xfId="2074" builtinId="8" hidden="true"/>
    <cellStyle name="Hyperlink" xfId="2076" builtinId="8" hidden="true"/>
    <cellStyle name="Hyperlink" xfId="2078" builtinId="8" hidden="true"/>
    <cellStyle name="Hyperlink" xfId="2080" builtinId="8" hidden="true"/>
    <cellStyle name="Hyperlink" xfId="2082" builtinId="8" hidden="true"/>
    <cellStyle name="Hyperlink" xfId="2084" builtinId="8" hidden="true"/>
    <cellStyle name="Hyperlink" xfId="2086" builtinId="8" hidden="true"/>
    <cellStyle name="Hyperlink" xfId="2088" builtinId="8" hidden="true"/>
    <cellStyle name="Hyperlink" xfId="2090" builtinId="8" hidden="true"/>
    <cellStyle name="Hyperlink" xfId="2092" builtinId="8" hidden="true"/>
    <cellStyle name="Hyperlink" xfId="2094" builtinId="8" hidden="true"/>
    <cellStyle name="Hyperlink" xfId="2096" builtinId="8" hidden="true"/>
    <cellStyle name="Hyperlink" xfId="2098" builtinId="8" hidden="true"/>
    <cellStyle name="Hyperlink" xfId="2100" builtinId="8" hidden="true"/>
    <cellStyle name="Hyperlink" xfId="2102" builtinId="8" hidden="true"/>
    <cellStyle name="Hyperlink" xfId="2104" builtinId="8" hidden="true"/>
    <cellStyle name="Hyperlink" xfId="2106" builtinId="8" hidden="true"/>
    <cellStyle name="Hyperlink" xfId="2108" builtinId="8" hidden="true"/>
    <cellStyle name="Hyperlink" xfId="2110" builtinId="8" hidden="true"/>
    <cellStyle name="Hyperlink" xfId="2112" builtinId="8" hidden="true"/>
    <cellStyle name="Hyperlink" xfId="2114" builtinId="8" hidden="true"/>
    <cellStyle name="Hyperlink" xfId="2116" builtinId="8" hidden="true"/>
    <cellStyle name="Hyperlink" xfId="2118" builtinId="8" hidden="true"/>
    <cellStyle name="Hyperlink" xfId="2120" builtinId="8" hidden="true"/>
    <cellStyle name="Hyperlink" xfId="2122" builtinId="8" hidden="true"/>
    <cellStyle name="Hyperlink" xfId="2124" builtinId="8" hidden="true"/>
    <cellStyle name="Hyperlink" xfId="2126" builtinId="8" hidden="true"/>
    <cellStyle name="Hyperlink" xfId="2128" builtinId="8" hidden="true"/>
    <cellStyle name="Hyperlink" xfId="2130" builtinId="8" hidden="true"/>
    <cellStyle name="Hyperlink" xfId="2132" builtinId="8" hidden="true"/>
    <cellStyle name="Hyperlink" xfId="2134" builtinId="8" hidden="true"/>
    <cellStyle name="Hyperlink" xfId="2136" builtinId="8" hidden="true"/>
    <cellStyle name="Hyperlink" xfId="2138" builtinId="8" hidden="true"/>
    <cellStyle name="Hyperlink" xfId="2140" builtinId="8" hidden="true"/>
    <cellStyle name="Hyperlink" xfId="2142" builtinId="8" hidden="true"/>
    <cellStyle name="Hyperlink" xfId="2144" builtinId="8" hidden="true"/>
    <cellStyle name="Hyperlink" xfId="2146" builtinId="8" hidden="true"/>
    <cellStyle name="Hyperlink" xfId="2148" builtinId="8" hidden="true"/>
    <cellStyle name="Hyperlink" xfId="2150" builtinId="8" hidden="true"/>
    <cellStyle name="Hyperlink" xfId="2152" builtinId="8" hidden="true"/>
    <cellStyle name="Hyperlink" xfId="2154" builtinId="8" hidden="true"/>
    <cellStyle name="Hyperlink" xfId="2156" builtinId="8" hidden="true"/>
    <cellStyle name="Hyperlink" xfId="2158" builtinId="8" hidden="true"/>
    <cellStyle name="Hyperlink" xfId="2160" builtinId="8" hidden="true"/>
    <cellStyle name="Hyperlink" xfId="2162" builtinId="8" hidden="true"/>
    <cellStyle name="Hyperlink" xfId="2164" builtinId="8" hidden="true"/>
    <cellStyle name="Hyperlink" xfId="2166" builtinId="8" hidden="true"/>
    <cellStyle name="Hyperlink" xfId="2168" builtinId="8" hidden="true"/>
    <cellStyle name="Hyperlink" xfId="2170" builtinId="8" hidden="true"/>
    <cellStyle name="Hyperlink" xfId="2172" builtinId="8" hidden="true"/>
    <cellStyle name="Hyperlink" xfId="2174" builtinId="8" hidden="true"/>
    <cellStyle name="Hyperlink" xfId="2176" builtinId="8" hidden="true"/>
    <cellStyle name="Hyperlink" xfId="2178" builtinId="8" hidden="true"/>
    <cellStyle name="Hyperlink" xfId="2180" builtinId="8" hidden="true"/>
    <cellStyle name="Hyperlink" xfId="2182" builtinId="8" hidden="true"/>
    <cellStyle name="Hyperlink" xfId="2184" builtinId="8" hidden="true"/>
    <cellStyle name="Hyperlink" xfId="2186" builtinId="8" hidden="true"/>
    <cellStyle name="Hyperlink" xfId="2188" builtinId="8" hidden="true"/>
    <cellStyle name="Hyperlink" xfId="2190" builtinId="8" hidden="true"/>
    <cellStyle name="Hyperlink" xfId="2192" builtinId="8" hidden="true"/>
    <cellStyle name="Hyperlink" xfId="2194" builtinId="8" hidden="true"/>
    <cellStyle name="Hyperlink" xfId="2196" builtinId="8" hidden="true"/>
    <cellStyle name="Hyperlink" xfId="2198" builtinId="8" hidden="true"/>
    <cellStyle name="Hyperlink" xfId="2200" builtinId="8" hidden="true"/>
    <cellStyle name="Hyperlink" xfId="2202" builtinId="8" hidden="true"/>
    <cellStyle name="Hyperlink" xfId="2204" builtinId="8" hidden="true"/>
    <cellStyle name="Hyperlink" xfId="2206" builtinId="8" hidden="true"/>
    <cellStyle name="Hyperlink" xfId="2208" builtinId="8" hidden="true"/>
    <cellStyle name="Hyperlink" xfId="2210" builtinId="8" hidden="true"/>
    <cellStyle name="Hyperlink" xfId="2212" builtinId="8" hidden="true"/>
    <cellStyle name="Hyperlink" xfId="2214" builtinId="8" hidden="true"/>
    <cellStyle name="Hyperlink" xfId="2216" builtinId="8" hidden="true"/>
    <cellStyle name="Hyperlink" xfId="2218" builtinId="8" hidden="true"/>
    <cellStyle name="Hyperlink" xfId="2220" builtinId="8" hidden="true"/>
    <cellStyle name="Hyperlink" xfId="2222" builtinId="8" hidden="true"/>
    <cellStyle name="Hyperlink" xfId="2224" builtinId="8" hidden="true"/>
    <cellStyle name="Hyperlink" xfId="2226" builtinId="8" hidden="true"/>
    <cellStyle name="Hyperlink" xfId="2228" builtinId="8" hidden="true"/>
    <cellStyle name="Hyperlink" xfId="2230" builtinId="8" hidden="true"/>
    <cellStyle name="Hyperlink" xfId="2232" builtinId="8" hidden="true"/>
    <cellStyle name="Hyperlink" xfId="2234" builtinId="8" hidden="true"/>
    <cellStyle name="Hyperlink" xfId="2236" builtinId="8" hidden="true"/>
    <cellStyle name="Hyperlink" xfId="2238" builtinId="8" hidden="true"/>
    <cellStyle name="Hyperlink" xfId="2240" builtinId="8" hidden="true"/>
    <cellStyle name="Hyperlink" xfId="2242" builtinId="8" hidden="true"/>
    <cellStyle name="Hyperlink" xfId="2244" builtinId="8" hidden="true"/>
    <cellStyle name="Hyperlink" xfId="2246" builtinId="8" hidden="true"/>
    <cellStyle name="Hyperlink" xfId="2248" builtinId="8" hidden="true"/>
    <cellStyle name="Hyperlink" xfId="2250" builtinId="8" hidden="true"/>
    <cellStyle name="Hyperlink" xfId="2252" builtinId="8" hidden="true"/>
    <cellStyle name="Hyperlink" xfId="2254" builtinId="8" hidden="true"/>
    <cellStyle name="Hyperlink" xfId="2256" builtinId="8" hidden="true"/>
    <cellStyle name="Hyperlink" xfId="2258" builtinId="8" hidden="true"/>
    <cellStyle name="Hyperlink" xfId="2260" builtinId="8" hidden="true"/>
    <cellStyle name="Hyperlink" xfId="2262" builtinId="8" hidden="true"/>
    <cellStyle name="Hyperlink" xfId="2264" builtinId="8" hidden="true"/>
    <cellStyle name="Hyperlink" xfId="2266" builtinId="8" hidden="true"/>
    <cellStyle name="Hyperlink" xfId="2268" builtinId="8" hidden="true"/>
    <cellStyle name="Hyperlink" xfId="2270" builtinId="8" hidden="true"/>
    <cellStyle name="Hyperlink" xfId="2272" builtinId="8" hidden="true"/>
    <cellStyle name="Hyperlink" xfId="2274" builtinId="8" hidden="true"/>
    <cellStyle name="Hyperlink" xfId="2276" builtinId="8" hidden="true"/>
    <cellStyle name="Hyperlink" xfId="2278" builtinId="8" hidden="true"/>
    <cellStyle name="Hyperlink" xfId="2280" builtinId="8" hidden="true"/>
    <cellStyle name="Hyperlink" xfId="2282" builtinId="8" hidden="true"/>
    <cellStyle name="Hyperlink" xfId="2284" builtinId="8" hidden="true"/>
    <cellStyle name="Hyperlink" xfId="2286" builtinId="8" hidden="true"/>
    <cellStyle name="Hyperlink" xfId="2288" builtinId="8" hidden="true"/>
    <cellStyle name="Hyperlink" xfId="2290" builtinId="8" hidden="true"/>
    <cellStyle name="Hyperlink" xfId="2292" builtinId="8" hidden="true"/>
    <cellStyle name="Hyperlink" xfId="2294" builtinId="8" hidden="true"/>
    <cellStyle name="Hyperlink" xfId="2296" builtinId="8" hidden="true"/>
    <cellStyle name="Hyperlink" xfId="2298" builtinId="8" hidden="true"/>
    <cellStyle name="Hyperlink" xfId="2300" builtinId="8" hidden="true"/>
    <cellStyle name="Hyperlink" xfId="2302" builtinId="8" hidden="true"/>
    <cellStyle name="Hyperlink" xfId="2304" builtinId="8" hidden="true"/>
    <cellStyle name="Hyperlink" xfId="2306" builtinId="8" hidden="true"/>
    <cellStyle name="Hyperlink" xfId="2308" builtinId="8" hidden="true"/>
    <cellStyle name="Hyperlink" xfId="2310" builtinId="8" hidden="true"/>
    <cellStyle name="Hyperlink" xfId="2312" builtinId="8" hidden="true"/>
    <cellStyle name="Hyperlink" xfId="2314" builtinId="8" hidden="true"/>
    <cellStyle name="Hyperlink" xfId="2316" builtinId="8" hidden="true"/>
    <cellStyle name="Hyperlink" xfId="2318" builtinId="8" hidden="true"/>
    <cellStyle name="Hyperlink" xfId="2320" builtinId="8" hidden="true"/>
    <cellStyle name="Hyperlink" xfId="2322" builtinId="8" hidden="true"/>
    <cellStyle name="Hyperlink" xfId="2324" builtinId="8" hidden="true"/>
    <cellStyle name="Hyperlink" xfId="2326" builtinId="8" hidden="true"/>
    <cellStyle name="Hyperlink" xfId="2328" builtinId="8" hidden="true"/>
    <cellStyle name="Hyperlink" xfId="2330" builtinId="8" hidden="true"/>
    <cellStyle name="Hyperlink" xfId="2332" builtinId="8" hidden="true"/>
    <cellStyle name="Hyperlink" xfId="2334" builtinId="8" hidden="true"/>
    <cellStyle name="Hyperlink" xfId="2336" builtinId="8" hidden="true"/>
    <cellStyle name="Hyperlink" xfId="2338" builtinId="8" hidden="true"/>
    <cellStyle name="Hyperlink" xfId="2340" builtinId="8" hidden="true"/>
    <cellStyle name="Hyperlink" xfId="2342" builtinId="8" hidden="true"/>
    <cellStyle name="Hyperlink" xfId="2344" builtinId="8" hidden="true"/>
    <cellStyle name="Hyperlink" xfId="2346" builtinId="8" hidden="true"/>
    <cellStyle name="Hyperlink" xfId="2348" builtinId="8" hidden="true"/>
    <cellStyle name="Hyperlink" xfId="2350" builtinId="8" hidden="true"/>
    <cellStyle name="Hyperlink" xfId="2352" builtinId="8" hidden="true"/>
    <cellStyle name="Hyperlink" xfId="2354" builtinId="8" hidden="true"/>
    <cellStyle name="Hyperlink" xfId="2356" builtinId="8" hidden="true"/>
    <cellStyle name="Hyperlink" xfId="2358" builtinId="8" hidden="true"/>
    <cellStyle name="Hyperlink" xfId="2360" builtinId="8" hidden="true"/>
    <cellStyle name="Hyperlink" xfId="2362" builtinId="8" hidden="true"/>
    <cellStyle name="Hyperlink" xfId="2364" builtinId="8" hidden="true"/>
    <cellStyle name="Hyperlink" xfId="2366" builtinId="8" hidden="true"/>
    <cellStyle name="Hyperlink" xfId="2368" builtinId="8" hidden="true"/>
    <cellStyle name="Hyperlink" xfId="2370" builtinId="8" hidden="true"/>
    <cellStyle name="Hyperlink" xfId="2372" builtinId="8" hidden="true"/>
    <cellStyle name="Hyperlink" xfId="2374" builtinId="8" hidden="true"/>
    <cellStyle name="Hyperlink" xfId="2376" builtinId="8" hidden="true"/>
    <cellStyle name="Hyperlink" xfId="2378" builtinId="8" hidden="true"/>
    <cellStyle name="Hyperlink" xfId="2380" builtinId="8" hidden="true"/>
    <cellStyle name="Hyperlink" xfId="2382" builtinId="8" hidden="true"/>
    <cellStyle name="Hyperlink" xfId="2384" builtinId="8" hidden="true"/>
    <cellStyle name="Hyperlink" xfId="2386" builtinId="8" hidden="true"/>
    <cellStyle name="Hyperlink" xfId="2388" builtinId="8" hidden="true"/>
    <cellStyle name="Hyperlink" xfId="2390" builtinId="8" hidden="true"/>
    <cellStyle name="Hyperlink" xfId="2392" builtinId="8" hidden="true"/>
    <cellStyle name="Hyperlink" xfId="2394" builtinId="8" hidden="true"/>
    <cellStyle name="Hyperlink" xfId="2396" builtinId="8" hidden="true"/>
    <cellStyle name="Hyperlink" xfId="2398" builtinId="8" hidden="true"/>
    <cellStyle name="Hyperlink" xfId="2400" builtinId="8" hidden="true"/>
    <cellStyle name="Hyperlink" xfId="2402" builtinId="8" hidden="true"/>
    <cellStyle name="Hyperlink" xfId="2404" builtinId="8" hidden="true"/>
    <cellStyle name="Hyperlink" xfId="2406" builtinId="8" hidden="true"/>
    <cellStyle name="Hyperlink" xfId="2408" builtinId="8" hidden="true"/>
    <cellStyle name="Hyperlink" xfId="2410" builtinId="8" hidden="true"/>
    <cellStyle name="Hyperlink" xfId="2412" builtinId="8" hidden="true"/>
    <cellStyle name="Hyperlink" xfId="2414" builtinId="8" hidden="true"/>
    <cellStyle name="Hyperlink" xfId="2416" builtinId="8" hidden="true"/>
    <cellStyle name="Hyperlink" xfId="2418" builtinId="8" hidden="true"/>
    <cellStyle name="Hyperlink" xfId="2420" builtinId="8" hidden="true"/>
    <cellStyle name="Hyperlink" xfId="2422" builtinId="8" hidden="true"/>
    <cellStyle name="Hyperlink" xfId="2424" builtinId="8" hidden="true"/>
    <cellStyle name="Hyperlink" xfId="2426" builtinId="8" hidden="true"/>
    <cellStyle name="Hyperlink" xfId="2428" builtinId="8" hidden="true"/>
    <cellStyle name="Hyperlink" xfId="2430" builtinId="8" hidden="true"/>
    <cellStyle name="Hyperlink" xfId="2432" builtinId="8" hidden="true"/>
    <cellStyle name="Hyperlink" xfId="2434" builtinId="8" hidden="true"/>
    <cellStyle name="Hyperlink" xfId="2436" builtinId="8" hidden="true"/>
    <cellStyle name="Hyperlink" xfId="2438" builtinId="8" hidden="true"/>
    <cellStyle name="Hyperlink" xfId="2440" builtinId="8" hidden="true"/>
    <cellStyle name="Hyperlink" xfId="2442" builtinId="8" hidden="true"/>
    <cellStyle name="Hyperlink" xfId="2444" builtinId="8" hidden="true"/>
    <cellStyle name="Hyperlink" xfId="2446" builtinId="8" hidden="true"/>
    <cellStyle name="Hyperlink" xfId="2448" builtinId="8" hidden="true"/>
    <cellStyle name="Hyperlink" xfId="2450" builtinId="8" hidden="true"/>
    <cellStyle name="Hyperlink" xfId="2452" builtinId="8" hidden="true"/>
    <cellStyle name="Hyperlink" xfId="2454" builtinId="8" hidden="true"/>
    <cellStyle name="Hyperlink" xfId="2456" builtinId="8" hidden="true"/>
    <cellStyle name="Hyperlink" xfId="2458" builtinId="8" hidden="true"/>
    <cellStyle name="Hyperlink" xfId="2460" builtinId="8" hidden="true"/>
    <cellStyle name="Hyperlink" xfId="2462" builtinId="8" hidden="true"/>
    <cellStyle name="Hyperlink" xfId="2464" builtinId="8" hidden="true"/>
    <cellStyle name="Hyperlink" xfId="2466" builtinId="8" hidden="true"/>
    <cellStyle name="Hyperlink" xfId="2468" builtinId="8" hidden="true"/>
    <cellStyle name="Hyperlink" xfId="2470" builtinId="8" hidden="true"/>
    <cellStyle name="Hyperlink" xfId="2472" builtinId="8" hidden="true"/>
    <cellStyle name="Hyperlink" xfId="2474" builtinId="8" hidden="true"/>
    <cellStyle name="Hyperlink" xfId="2476" builtinId="8" hidden="true"/>
    <cellStyle name="Hyperlink" xfId="2478" builtinId="8" hidden="true"/>
    <cellStyle name="Hyperlink" xfId="2480" builtinId="8" hidden="true"/>
    <cellStyle name="Hyperlink" xfId="2482" builtinId="8" hidden="true"/>
    <cellStyle name="Hyperlink" xfId="2484" builtinId="8" hidden="true"/>
    <cellStyle name="Hyperlink" xfId="2486" builtinId="8" hidden="true"/>
    <cellStyle name="Hyperlink" xfId="2488" builtinId="8" hidden="true"/>
    <cellStyle name="Hyperlink" xfId="2490" builtinId="8" hidden="true"/>
    <cellStyle name="Hyperlink" xfId="2492" builtinId="8" hidden="true"/>
    <cellStyle name="Hyperlink" xfId="2494" builtinId="8" hidden="true"/>
    <cellStyle name="Hyperlink" xfId="2496" builtinId="8" hidden="true"/>
    <cellStyle name="Hyperlink" xfId="2498" builtinId="8" hidden="true"/>
    <cellStyle name="Hyperlink" xfId="2500" builtinId="8" hidden="true"/>
    <cellStyle name="Hyperlink" xfId="2502" builtinId="8" hidden="true"/>
    <cellStyle name="Hyperlink" xfId="2504" builtinId="8" hidden="true"/>
    <cellStyle name="Hyperlink" xfId="2506" builtinId="8" hidden="true"/>
    <cellStyle name="Hyperlink" xfId="2508" builtinId="8" hidden="true"/>
    <cellStyle name="Hyperlink" xfId="2510" builtinId="8" hidden="true"/>
    <cellStyle name="Hyperlink" xfId="2512" builtinId="8" hidden="true"/>
    <cellStyle name="Hyperlink" xfId="2514" builtinId="8" hidden="true"/>
    <cellStyle name="Hyperlink" xfId="2516" builtinId="8" hidden="true"/>
    <cellStyle name="Hyperlink" xfId="2518" builtinId="8" hidden="true"/>
    <cellStyle name="Hyperlink" xfId="2520" builtinId="8" hidden="true"/>
    <cellStyle name="Hyperlink" xfId="2522" builtinId="8" hidden="true"/>
    <cellStyle name="Hyperlink" xfId="2524" builtinId="8" hidden="true"/>
    <cellStyle name="Hyperlink" xfId="2526" builtinId="8" hidden="true"/>
    <cellStyle name="Hyperlink" xfId="2528" builtinId="8" hidden="true"/>
    <cellStyle name="Hyperlink" xfId="2530" builtinId="8" hidden="true"/>
    <cellStyle name="Hyperlink" xfId="2532" builtinId="8" hidden="true"/>
    <cellStyle name="Hyperlink" xfId="2534" builtinId="8" hidden="true"/>
    <cellStyle name="Hyperlink" xfId="2536" builtinId="8" hidden="true"/>
    <cellStyle name="Hyperlink" xfId="2538" builtinId="8" hidden="true"/>
    <cellStyle name="Hyperlink" xfId="2540" builtinId="8" hidden="true"/>
    <cellStyle name="Hyperlink" xfId="2542" builtinId="8" hidden="true"/>
    <cellStyle name="Hyperlink" xfId="2544" builtinId="8" hidden="true"/>
    <cellStyle name="Hyperlink" xfId="2546" builtinId="8" hidden="true"/>
    <cellStyle name="Hyperlink" xfId="2548" builtinId="8" hidden="true"/>
    <cellStyle name="Hyperlink" xfId="2550" builtinId="8" hidden="true"/>
    <cellStyle name="Hyperlink" xfId="2552" builtinId="8" hidden="true"/>
    <cellStyle name="Hyperlink" xfId="2554" builtinId="8" hidden="true"/>
    <cellStyle name="Hyperlink" xfId="2556" builtinId="8" hidden="true"/>
    <cellStyle name="Hyperlink" xfId="2558" builtinId="8" hidden="true"/>
    <cellStyle name="Hyperlink" xfId="2560" builtinId="8" hidden="true"/>
    <cellStyle name="Hyperlink" xfId="2562" builtinId="8" hidden="true"/>
    <cellStyle name="Hyperlink" xfId="2564" builtinId="8" hidden="true"/>
    <cellStyle name="Hyperlink" xfId="2566" builtinId="8" hidden="true"/>
    <cellStyle name="Hyperlink" xfId="2568" builtinId="8" hidden="true"/>
    <cellStyle name="Hyperlink" xfId="2570" builtinId="8" hidden="true"/>
    <cellStyle name="Hyperlink" xfId="2572" builtinId="8" hidden="true"/>
    <cellStyle name="Hyperlink" xfId="2574" builtinId="8" hidden="true"/>
    <cellStyle name="Hyperlink" xfId="2576" builtinId="8" hidden="true"/>
    <cellStyle name="Hyperlink" xfId="2578" builtinId="8" hidden="true"/>
    <cellStyle name="Hyperlink" xfId="2580" builtinId="8" hidden="true"/>
    <cellStyle name="Hyperlink" xfId="2582" builtinId="8" hidden="true"/>
    <cellStyle name="Hyperlink" xfId="2584" builtinId="8" hidden="true"/>
    <cellStyle name="Hyperlink" xfId="2586" builtinId="8" hidden="true"/>
    <cellStyle name="Hyperlink" xfId="2588" builtinId="8" hidden="true"/>
    <cellStyle name="Hyperlink" xfId="2590" builtinId="8" hidden="true"/>
    <cellStyle name="Hyperlink" xfId="2592" builtinId="8" hidden="true"/>
    <cellStyle name="Hyperlink" xfId="2594" builtinId="8" hidden="true"/>
    <cellStyle name="Hyperlink" xfId="2596" builtinId="8" hidden="true"/>
    <cellStyle name="Hyperlink" xfId="2598" builtinId="8" hidden="true"/>
    <cellStyle name="Hyperlink" xfId="2600" builtinId="8" hidden="true"/>
    <cellStyle name="Hyperlink" xfId="2602" builtinId="8" hidden="true"/>
    <cellStyle name="Hyperlink" xfId="2604" builtinId="8" hidden="true"/>
    <cellStyle name="Hyperlink" xfId="2606" builtinId="8" hidden="true"/>
    <cellStyle name="Hyperlink" xfId="2608" builtinId="8" hidden="true"/>
    <cellStyle name="Hyperlink" xfId="2610" builtinId="8" hidden="true"/>
    <cellStyle name="Hyperlink" xfId="2612" builtinId="8" hidden="true"/>
    <cellStyle name="Hyperlink" xfId="2614" builtinId="8" hidden="true"/>
    <cellStyle name="Hyperlink" xfId="2616" builtinId="8" hidden="true"/>
    <cellStyle name="Hyperlink" xfId="2618" builtinId="8" hidden="true"/>
    <cellStyle name="Hyperlink" xfId="2620" builtinId="8" hidden="true"/>
    <cellStyle name="Hyperlink" xfId="2622" builtinId="8" hidden="true"/>
    <cellStyle name="Hyperlink" xfId="2624" builtinId="8" hidden="true"/>
    <cellStyle name="Hyperlink" xfId="2626" builtinId="8" hidden="true"/>
    <cellStyle name="Hyperlink" xfId="2628" builtinId="8" hidden="true"/>
    <cellStyle name="Hyperlink" xfId="2630" builtinId="8" hidden="true"/>
    <cellStyle name="Hyperlink" xfId="2632" builtinId="8" hidden="true"/>
    <cellStyle name="Hyperlink" xfId="2634" builtinId="8" hidden="true"/>
    <cellStyle name="Hyperlink" xfId="2636" builtinId="8" hidden="true"/>
    <cellStyle name="Hyperlink" xfId="2638" builtinId="8" hidden="true"/>
    <cellStyle name="Hyperlink" xfId="2640" builtinId="8" hidden="true"/>
    <cellStyle name="Hyperlink" xfId="2642" builtinId="8" hidden="true"/>
    <cellStyle name="Hyperlink" xfId="2644" builtinId="8" hidden="true"/>
    <cellStyle name="Hyperlink" xfId="2646" builtinId="8" hidden="true"/>
    <cellStyle name="Hyperlink" xfId="2648" builtinId="8" hidden="true"/>
    <cellStyle name="Hyperlink" xfId="2650" builtinId="8" hidden="true"/>
    <cellStyle name="Hyperlink" xfId="2652" builtinId="8" hidden="true"/>
    <cellStyle name="Hyperlink" xfId="2654" builtinId="8" hidden="true"/>
    <cellStyle name="Hyperlink" xfId="2656" builtinId="8" hidden="true"/>
    <cellStyle name="Hyperlink" xfId="2658" builtinId="8" hidden="true"/>
    <cellStyle name="Hyperlink" xfId="2660" builtinId="8" hidden="true"/>
    <cellStyle name="Hyperlink" xfId="2662" builtinId="8" hidden="true"/>
    <cellStyle name="Hyperlink" xfId="2664" builtinId="8" hidden="true"/>
    <cellStyle name="Hyperlink" xfId="2666" builtinId="8" hidden="true"/>
    <cellStyle name="Hyperlink" xfId="2668" builtinId="8" hidden="true"/>
    <cellStyle name="Hyperlink" xfId="2670" builtinId="8" hidden="true"/>
    <cellStyle name="Hyperlink" xfId="2672" builtinId="8" hidden="true"/>
    <cellStyle name="Hyperlink" xfId="2674" builtinId="8" hidden="true"/>
    <cellStyle name="Hyperlink" xfId="2676" builtinId="8" hidden="true"/>
    <cellStyle name="Hyperlink" xfId="2678" builtinId="8" hidden="true"/>
    <cellStyle name="Hyperlink" xfId="2680" builtinId="8" hidden="true"/>
    <cellStyle name="Hyperlink" xfId="2682" builtinId="8" hidden="true"/>
    <cellStyle name="Hyperlink" xfId="2684" builtinId="8" hidden="true"/>
    <cellStyle name="Hyperlink" xfId="2686" builtinId="8" hidden="true"/>
    <cellStyle name="Hyperlink" xfId="2688" builtinId="8" hidden="true"/>
    <cellStyle name="Hyperlink" xfId="2690" builtinId="8" hidden="true"/>
    <cellStyle name="Hyperlink" xfId="2692" builtinId="8" hidden="true"/>
    <cellStyle name="Hyperlink" xfId="2694" builtinId="8" hidden="true"/>
    <cellStyle name="Hyperlink" xfId="2696" builtinId="8" hidden="true"/>
    <cellStyle name="Hyperlink" xfId="2698" builtinId="8" hidden="true"/>
    <cellStyle name="Hyperlink" xfId="2700" builtinId="8" hidden="true"/>
    <cellStyle name="Hyperlink" xfId="2702" builtinId="8" hidden="true"/>
    <cellStyle name="Hyperlink" xfId="2704" builtinId="8" hidden="true"/>
    <cellStyle name="Hyperlink" xfId="2706" builtinId="8" hidden="true"/>
    <cellStyle name="Hyperlink" xfId="2708" builtinId="8" hidden="true"/>
    <cellStyle name="Hyperlink" xfId="2710" builtinId="8" hidden="true"/>
    <cellStyle name="Hyperlink" xfId="2712" builtinId="8" hidden="true"/>
    <cellStyle name="Hyperlink" xfId="2714" builtinId="8" hidden="true"/>
    <cellStyle name="Hyperlink" xfId="2716" builtinId="8" hidden="true"/>
    <cellStyle name="Hyperlink" xfId="2718" builtinId="8" hidden="true"/>
    <cellStyle name="Hyperlink" xfId="2720" builtinId="8" hidden="true"/>
    <cellStyle name="Hyperlink" xfId="2722" builtinId="8" hidden="true"/>
    <cellStyle name="Hyperlink" xfId="2724" builtinId="8" hidden="true"/>
    <cellStyle name="Hyperlink" xfId="2726" builtinId="8" hidden="true"/>
    <cellStyle name="Hyperlink" xfId="2728" builtinId="8" hidden="true"/>
    <cellStyle name="Hyperlink" xfId="2730" builtinId="8" hidden="true"/>
    <cellStyle name="Hyperlink" xfId="2732" builtinId="8" hidden="true"/>
    <cellStyle name="Hyperlink" xfId="2734" builtinId="8" hidden="true"/>
    <cellStyle name="Hyperlink" xfId="2736" builtinId="8" hidden="true"/>
    <cellStyle name="Hyperlink" xfId="2738" builtinId="8" hidden="true"/>
    <cellStyle name="Hyperlink" xfId="2740" builtinId="8" hidden="true"/>
    <cellStyle name="Hyperlink" xfId="2742" builtinId="8" hidden="true"/>
    <cellStyle name="Hyperlink" xfId="2744" builtinId="8" hidden="true"/>
    <cellStyle name="Hyperlink" xfId="2746" builtinId="8" hidden="true"/>
    <cellStyle name="Hyperlink" xfId="2748" builtinId="8" hidden="true"/>
    <cellStyle name="Hyperlink" xfId="2750" builtinId="8" hidden="true"/>
    <cellStyle name="Hyperlink" xfId="2752" builtinId="8" hidden="true"/>
    <cellStyle name="Hyperlink" xfId="2754" builtinId="8" hidden="true"/>
    <cellStyle name="Hyperlink" xfId="2756" builtinId="8" hidden="true"/>
    <cellStyle name="Hyperlink" xfId="2758" builtinId="8" hidden="true"/>
    <cellStyle name="Hyperlink" xfId="2760" builtinId="8" hidden="true"/>
    <cellStyle name="Hyperlink" xfId="2762" builtinId="8" hidden="true"/>
    <cellStyle name="Hyperlink" xfId="2764" builtinId="8" hidden="true"/>
    <cellStyle name="Hyperlink" xfId="2766" builtinId="8" hidden="true"/>
    <cellStyle name="Hyperlink" xfId="2768" builtinId="8" hidden="true"/>
    <cellStyle name="Hyperlink" xfId="2770" builtinId="8" hidden="true"/>
    <cellStyle name="Hyperlink" xfId="2772" builtinId="8" hidden="true"/>
    <cellStyle name="Hyperlink" xfId="2774" builtinId="8" hidden="true"/>
    <cellStyle name="Hyperlink" xfId="2776" builtinId="8" hidden="true"/>
    <cellStyle name="Hyperlink" xfId="2778" builtinId="8" hidden="true"/>
    <cellStyle name="Hyperlink" xfId="2780" builtinId="8" hidden="true"/>
    <cellStyle name="Hyperlink" xfId="2782" builtinId="8" hidden="true"/>
    <cellStyle name="Hyperlink" xfId="2784" builtinId="8" hidden="true"/>
    <cellStyle name="Hyperlink" xfId="2786" builtinId="8" hidden="true"/>
    <cellStyle name="Hyperlink" xfId="2788" builtinId="8" hidden="true"/>
    <cellStyle name="Hyperlink" xfId="2790" builtinId="8" hidden="true"/>
    <cellStyle name="Hyperlink" xfId="2792" builtinId="8" hidden="true"/>
    <cellStyle name="Hyperlink" xfId="2794" builtinId="8" hidden="true"/>
    <cellStyle name="Hyperlink" xfId="2796" builtinId="8" hidden="true"/>
    <cellStyle name="Hyperlink" xfId="2798" builtinId="8" hidden="true"/>
    <cellStyle name="Hyperlink" xfId="2800" builtinId="8" hidden="true"/>
    <cellStyle name="Hyperlink" xfId="2802" builtinId="8" hidden="true"/>
    <cellStyle name="Hyperlink" xfId="2804" builtinId="8" hidden="true"/>
    <cellStyle name="Hyperlink" xfId="2806" builtinId="8" hidden="true"/>
    <cellStyle name="Hyperlink" xfId="2808" builtinId="8" hidden="true"/>
    <cellStyle name="Hyperlink" xfId="2810" builtinId="8" hidden="true"/>
    <cellStyle name="Hyperlink" xfId="2812" builtinId="8" hidden="true"/>
    <cellStyle name="Hyperlink" xfId="2814" builtinId="8" hidden="true"/>
    <cellStyle name="Hyperlink" xfId="2816" builtinId="8" hidden="true"/>
    <cellStyle name="Hyperlink" xfId="2818" builtinId="8" hidden="true"/>
    <cellStyle name="Hyperlink" xfId="2820" builtinId="8" hidden="true"/>
    <cellStyle name="Hyperlink" xfId="2822" builtinId="8" hidden="true"/>
    <cellStyle name="Hyperlink" xfId="2824" builtinId="8" hidden="true"/>
    <cellStyle name="Hyperlink" xfId="2826" builtinId="8" hidden="true"/>
    <cellStyle name="Hyperlink" xfId="2828" builtinId="8" hidden="true"/>
    <cellStyle name="Hyperlink" xfId="2830" builtinId="8" hidden="true"/>
    <cellStyle name="Hyperlink" xfId="2832" builtinId="8" hidden="true"/>
    <cellStyle name="Hyperlink" xfId="2834" builtinId="8" hidden="true"/>
    <cellStyle name="Hyperlink" xfId="2836" builtinId="8" hidden="true"/>
    <cellStyle name="Hyperlink" xfId="2838" builtinId="8" hidden="true"/>
    <cellStyle name="Hyperlink" xfId="2840" builtinId="8" hidden="true"/>
    <cellStyle name="Hyperlink" xfId="2842" builtinId="8" hidden="true"/>
    <cellStyle name="Hyperlink" xfId="2844" builtinId="8" hidden="true"/>
    <cellStyle name="Hyperlink" xfId="2846" builtinId="8" hidden="true"/>
    <cellStyle name="Hyperlink" xfId="2848" builtinId="8" hidden="true"/>
    <cellStyle name="Hyperlink" xfId="2850" builtinId="8" hidden="true"/>
    <cellStyle name="Hyperlink" xfId="2852" builtinId="8" hidden="true"/>
    <cellStyle name="Hyperlink" xfId="2854" builtinId="8" hidden="true"/>
    <cellStyle name="Hyperlink" xfId="2856" builtinId="8" hidden="true"/>
    <cellStyle name="Hyperlink" xfId="2858" builtinId="8" hidden="true"/>
    <cellStyle name="Hyperlink" xfId="2860" builtinId="8" hidden="true"/>
    <cellStyle name="Hyperlink" xfId="2862" builtinId="8" hidden="true"/>
    <cellStyle name="Hyperlink" xfId="2864" builtinId="8" hidden="true"/>
    <cellStyle name="Hyperlink" xfId="2866" builtinId="8" hidden="true"/>
    <cellStyle name="Hyperlink" xfId="2868" builtinId="8" hidden="true"/>
    <cellStyle name="Hyperlink" xfId="2870" builtinId="8" hidden="true"/>
    <cellStyle name="Hyperlink" xfId="2872" builtinId="8" hidden="true"/>
    <cellStyle name="Hyperlink" xfId="2874" builtinId="8" hidden="true"/>
    <cellStyle name="Hyperlink" xfId="2876" builtinId="8" hidden="true"/>
    <cellStyle name="Hyperlink" xfId="2878" builtinId="8" hidden="true"/>
    <cellStyle name="Hyperlink" xfId="2880" builtinId="8" hidden="true"/>
    <cellStyle name="Hyperlink" xfId="2882" builtinId="8" hidden="true"/>
    <cellStyle name="Hyperlink" xfId="2884" builtinId="8" hidden="true"/>
    <cellStyle name="Hyperlink" xfId="2886" builtinId="8" hidden="true"/>
    <cellStyle name="Hyperlink" xfId="2888" builtinId="8" hidden="true"/>
    <cellStyle name="Hyperlink" xfId="2890" builtinId="8" hidden="true"/>
    <cellStyle name="Hyperlink" xfId="2892" builtinId="8" hidden="true"/>
    <cellStyle name="Hyperlink" xfId="2894" builtinId="8" hidden="true"/>
    <cellStyle name="Hyperlink" xfId="2896" builtinId="8" hidden="true"/>
    <cellStyle name="Hyperlink" xfId="2898" builtinId="8" hidden="true"/>
    <cellStyle name="Hyperlink" xfId="2900" builtinId="8" hidden="true"/>
    <cellStyle name="Hyperlink" xfId="2902" builtinId="8" hidden="true"/>
    <cellStyle name="Hyperlink" xfId="2904" builtinId="8" hidden="true"/>
    <cellStyle name="Hyperlink" xfId="2906" builtinId="8" hidden="true"/>
    <cellStyle name="Hyperlink" xfId="2908" builtinId="8" hidden="true"/>
    <cellStyle name="Hyperlink" xfId="2910" builtinId="8" hidden="true"/>
    <cellStyle name="Hyperlink" xfId="2912" builtinId="8" hidden="true"/>
    <cellStyle name="Hyperlink" xfId="2914" builtinId="8" hidden="true"/>
    <cellStyle name="Hyperlink" xfId="2916" builtinId="8" hidden="true"/>
    <cellStyle name="Hyperlink" xfId="2918" builtinId="8" hidden="true"/>
    <cellStyle name="Hyperlink" xfId="2920" builtinId="8" hidden="true"/>
    <cellStyle name="Hyperlink" xfId="2922" builtinId="8" hidden="true"/>
    <cellStyle name="Hyperlink" xfId="2924" builtinId="8" hidden="true"/>
    <cellStyle name="Hyperlink" xfId="2926" builtinId="8" hidden="true"/>
    <cellStyle name="Hyperlink" xfId="2928" builtinId="8" hidden="true"/>
    <cellStyle name="Hyperlink" xfId="2930" builtinId="8" hidden="true"/>
    <cellStyle name="Hyperlink" xfId="2932" builtinId="8" hidden="true"/>
    <cellStyle name="Hyperlink" xfId="2934" builtinId="8" hidden="true"/>
    <cellStyle name="Hyperlink" xfId="2936" builtinId="8" hidden="true"/>
    <cellStyle name="Hyperlink" xfId="2938" builtinId="8" hidden="true"/>
    <cellStyle name="Hyperlink" xfId="2940" builtinId="8" hidden="true"/>
    <cellStyle name="Hyperlink" xfId="2942" builtinId="8" hidden="true"/>
    <cellStyle name="Hyperlink" xfId="2944" builtinId="8" hidden="true"/>
    <cellStyle name="Hyperlink" xfId="2946" builtinId="8" hidden="true"/>
    <cellStyle name="Hyperlink" xfId="2948" builtinId="8" hidden="true"/>
    <cellStyle name="Hyperlink" xfId="2950" builtinId="8" hidden="true"/>
    <cellStyle name="Hyperlink" xfId="2952" builtinId="8" hidden="true"/>
    <cellStyle name="Hyperlink" xfId="2954" builtinId="8" hidden="true"/>
    <cellStyle name="Hyperlink" xfId="2956" builtinId="8" hidden="true"/>
    <cellStyle name="Hyperlink" xfId="2958" builtinId="8" hidden="true"/>
    <cellStyle name="Hyperlink" xfId="2960" builtinId="8" hidden="true"/>
    <cellStyle name="Hyperlink" xfId="2962" builtinId="8" hidden="true"/>
    <cellStyle name="Hyperlink" xfId="2964" builtinId="8" hidden="true"/>
    <cellStyle name="Hyperlink" xfId="2966" builtinId="8" hidden="true"/>
    <cellStyle name="Hyperlink" xfId="2968" builtinId="8" hidden="true"/>
    <cellStyle name="Hyperlink" xfId="2970" builtinId="8" hidden="true"/>
    <cellStyle name="Hyperlink" xfId="2972" builtinId="8" hidden="true"/>
    <cellStyle name="Hyperlink" xfId="2974" builtinId="8" hidden="true"/>
    <cellStyle name="Hyperlink" xfId="2976" builtinId="8" hidden="true"/>
    <cellStyle name="Hyperlink" xfId="2978" builtinId="8" hidden="true"/>
    <cellStyle name="Hyperlink" xfId="2980" builtinId="8" hidden="true"/>
    <cellStyle name="Hyperlink" xfId="2982" builtinId="8" hidden="true"/>
    <cellStyle name="Hyperlink" xfId="2984" builtinId="8" hidden="true"/>
    <cellStyle name="Hyperlink" xfId="2986" builtinId="8" hidden="true"/>
    <cellStyle name="Hyperlink" xfId="2988" builtinId="8" hidden="true"/>
    <cellStyle name="Hyperlink" xfId="2990" builtinId="8" hidden="true"/>
    <cellStyle name="Hyperlink" xfId="2992" builtinId="8" hidden="true"/>
    <cellStyle name="Hyperlink" xfId="2994" builtinId="8" hidden="true"/>
    <cellStyle name="Hyperlink" xfId="2996" builtinId="8" hidden="true"/>
    <cellStyle name="Hyperlink" xfId="2998" builtinId="8" hidden="true"/>
    <cellStyle name="Hyperlink" xfId="3000" builtinId="8" hidden="true"/>
    <cellStyle name="Hyperlink" xfId="3002" builtinId="8" hidden="true"/>
    <cellStyle name="Hyperlink" xfId="3004" builtinId="8" hidden="true"/>
    <cellStyle name="Hyperlink" xfId="3006" builtinId="8" hidden="true"/>
    <cellStyle name="Hyperlink" xfId="3008" builtinId="8" hidden="true"/>
    <cellStyle name="Hyperlink" xfId="3010" builtinId="8" hidden="true"/>
    <cellStyle name="Hyperlink" xfId="3012" builtinId="8" hidden="true"/>
    <cellStyle name="Hyperlink" xfId="3014" builtinId="8" hidden="true"/>
    <cellStyle name="Hyperlink" xfId="3016" builtinId="8" hidden="true"/>
    <cellStyle name="Hyperlink" xfId="3018" builtinId="8" hidden="true"/>
    <cellStyle name="Hyperlink" xfId="3020" builtinId="8" hidden="true"/>
    <cellStyle name="Hyperlink" xfId="3022" builtinId="8" hidden="true"/>
    <cellStyle name="Hyperlink" xfId="3024" builtinId="8" hidden="true"/>
    <cellStyle name="Hyperlink" xfId="3026" builtinId="8" hidden="true"/>
    <cellStyle name="Hyperlink" xfId="3028" builtinId="8" hidden="true"/>
    <cellStyle name="Hyperlink" xfId="3030" builtinId="8" hidden="true"/>
    <cellStyle name="Hyperlink" xfId="3032" builtinId="8" hidden="true"/>
    <cellStyle name="Hyperlink" xfId="3034" builtinId="8" hidden="true"/>
    <cellStyle name="Hyperlink" xfId="3036" builtinId="8" hidden="true"/>
    <cellStyle name="Hyperlink" xfId="3038" builtinId="8" hidden="true"/>
    <cellStyle name="Hyperlink" xfId="3040" builtinId="8" hidden="true"/>
    <cellStyle name="Hyperlink" xfId="3042" builtinId="8" hidden="true"/>
    <cellStyle name="Hyperlink" xfId="3044" builtinId="8" hidden="true"/>
    <cellStyle name="Hyperlink" xfId="3046" builtinId="8" hidden="true"/>
    <cellStyle name="Hyperlink" xfId="3048" builtinId="8" hidden="true"/>
    <cellStyle name="Hyperlink" xfId="3050" builtinId="8" hidden="true"/>
    <cellStyle name="Hyperlink" xfId="3052" builtinId="8" hidden="true"/>
    <cellStyle name="Hyperlink" xfId="3054" builtinId="8" hidden="true"/>
    <cellStyle name="Hyperlink" xfId="3056" builtinId="8" hidden="true"/>
    <cellStyle name="Hyperlink" xfId="3058" builtinId="8" hidden="true"/>
    <cellStyle name="Hyperlink" xfId="3060" builtinId="8" hidden="true"/>
    <cellStyle name="Hyperlink" xfId="3062" builtinId="8" hidden="true"/>
    <cellStyle name="Hyperlink" xfId="3064" builtinId="8" hidden="true"/>
    <cellStyle name="Hyperlink" xfId="3066" builtinId="8" hidden="true"/>
    <cellStyle name="Hyperlink" xfId="3068" builtinId="8" hidden="true"/>
    <cellStyle name="Hyperlink" xfId="3070" builtinId="8" hidden="true"/>
    <cellStyle name="Hyperlink" xfId="3072" builtinId="8" hidden="true"/>
    <cellStyle name="Hyperlink" xfId="3074" builtinId="8" hidden="true"/>
    <cellStyle name="Hyperlink" xfId="3076" builtinId="8" hidden="true"/>
    <cellStyle name="Hyperlink" xfId="3078" builtinId="8" hidden="true"/>
    <cellStyle name="Hyperlink" xfId="3080" builtinId="8" hidden="true"/>
    <cellStyle name="Hyperlink" xfId="3082" builtinId="8" hidden="true"/>
    <cellStyle name="Hyperlink" xfId="3084" builtinId="8" hidden="true"/>
    <cellStyle name="Hyperlink" xfId="3086" builtinId="8" hidden="true"/>
    <cellStyle name="Hyperlink" xfId="3088" builtinId="8" hidden="true"/>
    <cellStyle name="Hyperlink" xfId="3090" builtinId="8" hidden="true"/>
    <cellStyle name="Hyperlink" xfId="3092" builtinId="8" hidden="true"/>
    <cellStyle name="Hyperlink" xfId="3094" builtinId="8" hidden="true"/>
    <cellStyle name="Hyperlink" xfId="3096" builtinId="8" hidden="true"/>
    <cellStyle name="Hyperlink" xfId="3098" builtinId="8" hidden="true"/>
    <cellStyle name="Hyperlink" xfId="3100" builtinId="8" hidden="true"/>
    <cellStyle name="Hyperlink" xfId="3102" builtinId="8" hidden="true"/>
    <cellStyle name="Hyperlink" xfId="3104" builtinId="8" hidden="true"/>
    <cellStyle name="Hyperlink" xfId="3106" builtinId="8" hidden="true"/>
    <cellStyle name="Hyperlink" xfId="3108" builtinId="8" hidden="true"/>
    <cellStyle name="Hyperlink" xfId="3110" builtinId="8" hidden="true"/>
    <cellStyle name="Hyperlink" xfId="3112" builtinId="8" hidden="true"/>
    <cellStyle name="Hyperlink" xfId="3114" builtinId="8" hidden="true"/>
    <cellStyle name="Hyperlink" xfId="3116" builtinId="8" hidden="true"/>
    <cellStyle name="Hyperlink" xfId="3118" builtinId="8" hidden="true"/>
    <cellStyle name="Hyperlink" xfId="3120" builtinId="8" hidden="true"/>
    <cellStyle name="Hyperlink" xfId="3122" builtinId="8" hidden="true"/>
    <cellStyle name="Hyperlink" xfId="3124" builtinId="8" hidden="true"/>
    <cellStyle name="Hyperlink" xfId="3126" builtinId="8" hidden="true"/>
    <cellStyle name="Hyperlink" xfId="3128" builtinId="8" hidden="true"/>
    <cellStyle name="Hyperlink" xfId="3130" builtinId="8" hidden="true"/>
    <cellStyle name="Hyperlink" xfId="3132" builtinId="8" hidden="true"/>
    <cellStyle name="Hyperlink" xfId="3134" builtinId="8" hidden="true"/>
    <cellStyle name="Hyperlink" xfId="3136" builtinId="8" hidden="true"/>
    <cellStyle name="Hyperlink" xfId="3138" builtinId="8" hidden="true"/>
    <cellStyle name="Hyperlink" xfId="3140" builtinId="8" hidden="true"/>
    <cellStyle name="Hyperlink" xfId="3142" builtinId="8" hidden="true"/>
    <cellStyle name="Hyperlink" xfId="3144" builtinId="8" hidden="true"/>
    <cellStyle name="Hyperlink" xfId="3146" builtinId="8" hidden="true"/>
    <cellStyle name="Hyperlink" xfId="3148" builtinId="8" hidden="true"/>
    <cellStyle name="Hyperlink" xfId="3150" builtinId="8" hidden="true"/>
    <cellStyle name="Hyperlink" xfId="3152" builtinId="8" hidden="true"/>
    <cellStyle name="Hyperlink" xfId="3154" builtinId="8" hidden="true"/>
    <cellStyle name="Hyperlink" xfId="3156" builtinId="8" hidden="true"/>
    <cellStyle name="Hyperlink" xfId="3158" builtinId="8" hidden="true"/>
    <cellStyle name="Hyperlink" xfId="3160" builtinId="8" hidden="true"/>
    <cellStyle name="Hyperlink" xfId="3162" builtinId="8" hidden="true"/>
    <cellStyle name="Hyperlink" xfId="3164" builtinId="8" hidden="true"/>
    <cellStyle name="Hyperlink" xfId="3166" builtinId="8" hidden="true"/>
    <cellStyle name="Hyperlink" xfId="3168" builtinId="8" hidden="true"/>
    <cellStyle name="Hyperlink" xfId="3170" builtinId="8" hidden="true"/>
    <cellStyle name="Hyperlink" xfId="3172" builtinId="8" hidden="true"/>
    <cellStyle name="Hyperlink" xfId="3174" builtinId="8" hidden="true"/>
    <cellStyle name="Hyperlink" xfId="3176" builtinId="8" hidden="true"/>
    <cellStyle name="Hyperlink" xfId="3178" builtinId="8" hidden="true"/>
    <cellStyle name="Hyperlink" xfId="3180" builtinId="8" hidden="true"/>
    <cellStyle name="Hyperlink" xfId="3182" builtinId="8" hidden="true"/>
    <cellStyle name="Hyperlink" xfId="3184" builtinId="8" hidden="true"/>
    <cellStyle name="Hyperlink" xfId="3186" builtinId="8" hidden="true"/>
    <cellStyle name="Hyperlink" xfId="3188" builtinId="8" hidden="true"/>
    <cellStyle name="Hyperlink" xfId="3190" builtinId="8" hidden="true"/>
    <cellStyle name="Hyperlink" xfId="3192" builtinId="8" hidden="true"/>
    <cellStyle name="Hyperlink" xfId="3194" builtinId="8" hidden="true"/>
    <cellStyle name="Hyperlink" xfId="3196" builtinId="8" hidden="true"/>
    <cellStyle name="Hyperlink" xfId="3198" builtinId="8" hidden="true"/>
    <cellStyle name="Hyperlink" xfId="3200" builtinId="8" hidden="true"/>
    <cellStyle name="Hyperlink" xfId="3202" builtinId="8" hidden="true"/>
    <cellStyle name="Hyperlink" xfId="3204" builtinId="8" hidden="true"/>
    <cellStyle name="Hyperlink" xfId="3206" builtinId="8" hidden="true"/>
    <cellStyle name="Hyperlink" xfId="3208" builtinId="8" hidden="true"/>
    <cellStyle name="Hyperlink" xfId="3210" builtinId="8" hidden="true"/>
    <cellStyle name="Hyperlink" xfId="3212" builtinId="8" hidden="true"/>
    <cellStyle name="Hyperlink" xfId="3214" builtinId="8" hidden="true"/>
    <cellStyle name="Hyperlink" xfId="3216" builtinId="8" hidden="true"/>
    <cellStyle name="Hyperlink" xfId="3218" builtinId="8" hidden="true"/>
    <cellStyle name="Hyperlink" xfId="3220" builtinId="8" hidden="true"/>
    <cellStyle name="Hyperlink" xfId="3222" builtinId="8" hidden="true"/>
    <cellStyle name="Hyperlink" xfId="3224" builtinId="8" hidden="true"/>
    <cellStyle name="Hyperlink" xfId="3226" builtinId="8" hidden="true"/>
    <cellStyle name="Hyperlink" xfId="3228" builtinId="8" hidden="true"/>
    <cellStyle name="Hyperlink" xfId="3230" builtinId="8" hidden="true"/>
    <cellStyle name="Hyperlink" xfId="3232" builtinId="8" hidden="true"/>
    <cellStyle name="Hyperlink" xfId="3234" builtinId="8" hidden="true"/>
    <cellStyle name="Hyperlink" xfId="3236" builtinId="8" hidden="true"/>
    <cellStyle name="Hyperlink" xfId="3238" builtinId="8" hidden="true"/>
    <cellStyle name="Hyperlink" xfId="3240" builtinId="8" hidden="true"/>
    <cellStyle name="Hyperlink" xfId="3242" builtinId="8" hidden="true"/>
    <cellStyle name="Hyperlink" xfId="3244" builtinId="8" hidden="true"/>
    <cellStyle name="Hyperlink" xfId="3246" builtinId="8" hidden="true"/>
    <cellStyle name="Hyperlink" xfId="3248" builtinId="8" hidden="true"/>
    <cellStyle name="Hyperlink" xfId="3250" builtinId="8" hidden="true"/>
    <cellStyle name="Hyperlink" xfId="3252" builtinId="8" hidden="true"/>
    <cellStyle name="Hyperlink" xfId="3254" builtinId="8" hidden="true"/>
    <cellStyle name="Hyperlink" xfId="3256" builtinId="8" hidden="true"/>
    <cellStyle name="Hyperlink" xfId="3258" builtinId="8" hidden="true"/>
    <cellStyle name="Hyperlink" xfId="3260" builtinId="8" hidden="true"/>
    <cellStyle name="Hyperlink" xfId="3262" builtinId="8" hidden="true"/>
    <cellStyle name="Hyperlink" xfId="3264" builtinId="8" hidden="true"/>
    <cellStyle name="Hyperlink" xfId="3266" builtinId="8" hidden="true"/>
    <cellStyle name="Hyperlink" xfId="3268" builtinId="8" hidden="true"/>
    <cellStyle name="Hyperlink" xfId="3270" builtinId="8" hidden="true"/>
    <cellStyle name="Hyperlink" xfId="3272" builtinId="8" hidden="true"/>
    <cellStyle name="Hyperlink" xfId="3274" builtinId="8" hidden="true"/>
    <cellStyle name="Hyperlink" xfId="3276" builtinId="8" hidden="true"/>
    <cellStyle name="Hyperlink" xfId="3278" builtinId="8" hidden="true"/>
    <cellStyle name="Hyperlink" xfId="3280" builtinId="8" hidden="true"/>
    <cellStyle name="Hyperlink" xfId="3282" builtinId="8" hidden="true"/>
    <cellStyle name="Hyperlink" xfId="3284" builtinId="8" hidden="true"/>
    <cellStyle name="Hyperlink" xfId="3286" builtinId="8" hidden="true"/>
    <cellStyle name="Hyperlink" xfId="3288" builtinId="8" hidden="true"/>
    <cellStyle name="Hyperlink" xfId="3290" builtinId="8" hidden="true"/>
    <cellStyle name="Hyperlink" xfId="3292" builtinId="8" hidden="true"/>
    <cellStyle name="Hyperlink" xfId="3294" builtinId="8" hidden="true"/>
    <cellStyle name="Hyperlink" xfId="3296" builtinId="8" hidden="true"/>
    <cellStyle name="Hyperlink" xfId="3298" builtinId="8" hidden="true"/>
    <cellStyle name="Hyperlink" xfId="3300" builtinId="8" hidden="true"/>
    <cellStyle name="Hyperlink" xfId="3302" builtinId="8" hidden="true"/>
    <cellStyle name="Hyperlink" xfId="3304" builtinId="8" hidden="true"/>
    <cellStyle name="Hyperlink" xfId="3306" builtinId="8" hidden="true"/>
    <cellStyle name="Hyperlink" xfId="3308" builtinId="8" hidden="true"/>
    <cellStyle name="Hyperlink" xfId="3310" builtinId="8" hidden="true"/>
    <cellStyle name="Hyperlink" xfId="3312" builtinId="8" hidden="true"/>
    <cellStyle name="Hyperlink" xfId="3314" builtinId="8" hidden="true"/>
    <cellStyle name="Hyperlink" xfId="3316" builtinId="8" hidden="true"/>
    <cellStyle name="Hyperlink" xfId="3318" builtinId="8" hidden="true"/>
    <cellStyle name="Hyperlink" xfId="3320" builtinId="8" hidden="true"/>
    <cellStyle name="Hyperlink" xfId="3322" builtinId="8" hidden="true"/>
    <cellStyle name="Hyperlink" xfId="3324" builtinId="8" hidden="true"/>
    <cellStyle name="Hyperlink" xfId="3326" builtinId="8" hidden="true"/>
    <cellStyle name="Hyperlink" xfId="3328" builtinId="8" hidden="true"/>
    <cellStyle name="Hyperlink" xfId="3330" builtinId="8" hidden="true"/>
    <cellStyle name="Hyperlink" xfId="3332" builtinId="8" hidden="true"/>
    <cellStyle name="Hyperlink" xfId="3334" builtinId="8" hidden="true"/>
    <cellStyle name="Hyperlink" xfId="3336" builtinId="8" hidden="true"/>
    <cellStyle name="Hyperlink" xfId="3338" builtinId="8" hidden="true"/>
    <cellStyle name="Hyperlink" xfId="3340" builtinId="8" hidden="true"/>
    <cellStyle name="Hyperlink" xfId="3342" builtinId="8" hidden="true"/>
    <cellStyle name="Hyperlink" xfId="3344" builtinId="8" hidden="true"/>
    <cellStyle name="Hyperlink" xfId="3346" builtinId="8" hidden="true"/>
    <cellStyle name="Hyperlink" xfId="3348" builtinId="8" hidden="true"/>
    <cellStyle name="Hyperlink" xfId="3350" builtinId="8" hidden="true"/>
    <cellStyle name="Hyperlink" xfId="3352" builtinId="8" hidden="true"/>
    <cellStyle name="Hyperlink" xfId="3354" builtinId="8" hidden="true"/>
    <cellStyle name="Hyperlink" xfId="3356" builtinId="8" hidden="true"/>
    <cellStyle name="Hyperlink" xfId="3358" builtinId="8" hidden="true"/>
    <cellStyle name="Hyperlink" xfId="3360" builtinId="8" hidden="true"/>
    <cellStyle name="Hyperlink" xfId="3362" builtinId="8" hidden="true"/>
    <cellStyle name="Hyperlink" xfId="3364" builtinId="8" hidden="true"/>
    <cellStyle name="Hyperlink" xfId="3366" builtinId="8" hidden="true"/>
    <cellStyle name="Hyperlink" xfId="3368" builtinId="8" hidden="true"/>
    <cellStyle name="Hyperlink" xfId="3370" builtinId="8" hidden="true"/>
    <cellStyle name="Hyperlink" xfId="3372" builtinId="8" hidden="true"/>
    <cellStyle name="Hyperlink" xfId="3374" builtinId="8" hidden="true"/>
    <cellStyle name="Hyperlink" xfId="3376" builtinId="8" hidden="true"/>
    <cellStyle name="Hyperlink" xfId="3378" builtinId="8" hidden="true"/>
    <cellStyle name="Hyperlink" xfId="3380" builtinId="8" hidden="true"/>
    <cellStyle name="Hyperlink" xfId="3382" builtinId="8" hidden="true"/>
    <cellStyle name="Hyperlink" xfId="3384" builtinId="8" hidden="true"/>
    <cellStyle name="Hyperlink" xfId="3386" builtinId="8" hidden="true"/>
    <cellStyle name="Hyperlink" xfId="3388" builtinId="8" hidden="true"/>
    <cellStyle name="Hyperlink" xfId="3390" builtinId="8" hidden="true"/>
    <cellStyle name="Hyperlink" xfId="3392" builtinId="8" hidden="true"/>
    <cellStyle name="Hyperlink" xfId="3394" builtinId="8" hidden="true"/>
    <cellStyle name="Hyperlink" xfId="3396" builtinId="8" hidden="true"/>
    <cellStyle name="Hyperlink" xfId="3398" builtinId="8" hidden="true"/>
    <cellStyle name="Hyperlink" xfId="3400" builtinId="8" hidden="true"/>
    <cellStyle name="Hyperlink" xfId="3402" builtinId="8" hidden="true"/>
    <cellStyle name="Hyperlink" xfId="3404" builtinId="8" hidden="true"/>
    <cellStyle name="Hyperlink" xfId="3406" builtinId="8" hidden="true"/>
    <cellStyle name="Hyperlink" xfId="3408" builtinId="8" hidden="true"/>
    <cellStyle name="Hyperlink" xfId="3410" builtinId="8" hidden="true"/>
    <cellStyle name="Hyperlink" xfId="3412" builtinId="8" hidden="true"/>
    <cellStyle name="Hyperlink" xfId="3414" builtinId="8" hidden="true"/>
    <cellStyle name="Hyperlink" xfId="3416" builtinId="8" hidden="true"/>
    <cellStyle name="Hyperlink" xfId="3418" builtinId="8" hidden="true"/>
    <cellStyle name="Hyperlink" xfId="3420" builtinId="8" hidden="true"/>
    <cellStyle name="Hyperlink" xfId="3422" builtinId="8" hidden="true"/>
    <cellStyle name="Hyperlink" xfId="3424" builtinId="8" hidden="true"/>
    <cellStyle name="Hyperlink" xfId="3426" builtinId="8" hidden="true"/>
    <cellStyle name="Hyperlink" xfId="3428" builtinId="8" hidden="true"/>
    <cellStyle name="Hyperlink" xfId="3430" builtinId="8" hidden="true"/>
    <cellStyle name="Hyperlink" xfId="3432" builtinId="8" hidden="true"/>
    <cellStyle name="Hyperlink" xfId="3434" builtinId="8" hidden="true"/>
    <cellStyle name="Hyperlink" xfId="3436" builtinId="8" hidden="true"/>
    <cellStyle name="Hyperlink" xfId="3438" builtinId="8" hidden="true"/>
    <cellStyle name="Hyperlink" xfId="3440" builtinId="8" hidden="true"/>
    <cellStyle name="Hyperlink" xfId="3442" builtinId="8" hidden="true"/>
    <cellStyle name="Hyperlink" xfId="3444" builtinId="8" hidden="true"/>
    <cellStyle name="Hyperlink" xfId="3446" builtinId="8" hidden="true"/>
    <cellStyle name="Hyperlink" xfId="3448" builtinId="8" hidden="true"/>
    <cellStyle name="Hyperlink" xfId="3450" builtinId="8" hidden="true"/>
    <cellStyle name="Hyperlink" xfId="3452" builtinId="8" hidden="true"/>
    <cellStyle name="Hyperlink" xfId="3454" builtinId="8" hidden="true"/>
    <cellStyle name="Hyperlink" xfId="3456" builtinId="8" hidden="true"/>
    <cellStyle name="Hyperlink" xfId="3458" builtinId="8" hidden="true"/>
    <cellStyle name="Hyperlink" xfId="3460" builtinId="8" hidden="true"/>
    <cellStyle name="Hyperlink" xfId="3462" builtinId="8" hidden="true"/>
    <cellStyle name="Hyperlink" xfId="3464" builtinId="8" hidden="true"/>
    <cellStyle name="Hyperlink" xfId="3466" builtinId="8" hidden="true"/>
    <cellStyle name="Hyperlink" xfId="3468" builtinId="8" hidden="true"/>
    <cellStyle name="Hyperlink" xfId="3470" builtinId="8" hidden="true"/>
    <cellStyle name="Hyperlink" xfId="3472" builtinId="8" hidden="true"/>
    <cellStyle name="Hyperlink" xfId="3474" builtinId="8" hidden="true"/>
    <cellStyle name="Hyperlink" xfId="3476" builtinId="8" hidden="true"/>
    <cellStyle name="Hyperlink" xfId="3478" builtinId="8" hidden="true"/>
    <cellStyle name="Hyperlink" xfId="3480" builtinId="8" hidden="true"/>
    <cellStyle name="Hyperlink" xfId="3482" builtinId="8" hidden="true"/>
    <cellStyle name="Hyperlink" xfId="3484" builtinId="8" hidden="true"/>
    <cellStyle name="Hyperlink" xfId="3486" builtinId="8" hidden="true"/>
    <cellStyle name="Hyperlink" xfId="3488" builtinId="8" hidden="true"/>
    <cellStyle name="Hyperlink" xfId="3490" builtinId="8" hidden="true"/>
    <cellStyle name="Hyperlink" xfId="3492" builtinId="8" hidden="true"/>
    <cellStyle name="Hyperlink" xfId="3494" builtinId="8" hidden="true"/>
    <cellStyle name="Hyperlink" xfId="3496" builtinId="8" hidden="true"/>
    <cellStyle name="Hyperlink" xfId="3498" builtinId="8" hidden="true"/>
    <cellStyle name="Hyperlink" xfId="3500" builtinId="8" hidden="true"/>
    <cellStyle name="Hyperlink" xfId="3502" builtinId="8" hidden="true"/>
    <cellStyle name="Hyperlink" xfId="3504" builtinId="8" hidden="true"/>
    <cellStyle name="Hyperlink" xfId="3506" builtinId="8" hidden="true"/>
    <cellStyle name="Hyperlink" xfId="3508" builtinId="8" hidden="true"/>
    <cellStyle name="Hyperlink" xfId="3510" builtinId="8" hidden="true"/>
    <cellStyle name="Hyperlink" xfId="3512" builtinId="8" hidden="true"/>
    <cellStyle name="Hyperlink" xfId="3514" builtinId="8" hidden="true"/>
    <cellStyle name="Hyperlink" xfId="3516" builtinId="8" hidden="true"/>
    <cellStyle name="Hyperlink" xfId="3518" builtinId="8" hidden="true"/>
    <cellStyle name="Hyperlink" xfId="3520" builtinId="8" hidden="true"/>
    <cellStyle name="Hyperlink" xfId="3522" builtinId="8" hidden="true"/>
    <cellStyle name="Hyperlink" xfId="3524" builtinId="8" hidden="true"/>
    <cellStyle name="Hyperlink" xfId="3526" builtinId="8" hidden="true"/>
    <cellStyle name="Hyperlink" xfId="3528" builtinId="8" hidden="true"/>
    <cellStyle name="Hyperlink" xfId="3530" builtinId="8" hidden="true"/>
    <cellStyle name="Hyperlink" xfId="3532" builtinId="8" hidden="true"/>
    <cellStyle name="Hyperlink" xfId="3534" builtinId="8" hidden="true"/>
    <cellStyle name="Hyperlink" xfId="3536" builtinId="8" hidden="true"/>
    <cellStyle name="Hyperlink" xfId="3538" builtinId="8" hidden="true"/>
    <cellStyle name="Hyperlink" xfId="3540" builtinId="8" hidden="true"/>
    <cellStyle name="Hyperlink" xfId="3542" builtinId="8" hidden="true"/>
    <cellStyle name="Hyperlink" xfId="3544" builtinId="8" hidden="true"/>
    <cellStyle name="Hyperlink" xfId="3546" builtinId="8" hidden="true"/>
    <cellStyle name="Hyperlink" xfId="3548" builtinId="8" hidden="true"/>
    <cellStyle name="Hyperlink" xfId="3550" builtinId="8" hidden="true"/>
    <cellStyle name="Hyperlink" xfId="3552" builtinId="8" hidden="true"/>
    <cellStyle name="Hyperlink" xfId="3554" builtinId="8" hidden="true"/>
    <cellStyle name="Hyperlink" xfId="3556" builtinId="8" hidden="true"/>
    <cellStyle name="Hyperlink" xfId="3558" builtinId="8" hidden="true"/>
    <cellStyle name="Hyperlink" xfId="3560" builtinId="8" hidden="true"/>
    <cellStyle name="Hyperlink" xfId="3562" builtinId="8" hidden="true"/>
    <cellStyle name="Hyperlink" xfId="3564" builtinId="8" hidden="true"/>
    <cellStyle name="Hyperlink" xfId="3566" builtinId="8" hidden="true"/>
    <cellStyle name="Hyperlink" xfId="3568" builtinId="8" hidden="true"/>
    <cellStyle name="Hyperlink" xfId="3570" builtinId="8" hidden="true"/>
    <cellStyle name="Hyperlink" xfId="3572" builtinId="8" hidden="true"/>
    <cellStyle name="Hyperlink" xfId="3574" builtinId="8" hidden="true"/>
    <cellStyle name="Hyperlink" xfId="3576" builtinId="8" hidden="true"/>
    <cellStyle name="Hyperlink" xfId="3578" builtinId="8" hidden="true"/>
    <cellStyle name="Hyperlink" xfId="3580" builtinId="8" hidden="true"/>
    <cellStyle name="Hyperlink" xfId="3582" builtinId="8" hidden="true"/>
    <cellStyle name="Hyperlink" xfId="3584" builtinId="8" hidden="true"/>
    <cellStyle name="Hyperlink" xfId="3586" builtinId="8" hidden="true"/>
    <cellStyle name="Hyperlink" xfId="3588" builtinId="8" hidden="true"/>
    <cellStyle name="Hyperlink" xfId="3590" builtinId="8" hidden="true"/>
    <cellStyle name="Hyperlink" xfId="3592" builtinId="8" hidden="true"/>
    <cellStyle name="Hyperlink" xfId="3594" builtinId="8" hidden="true"/>
    <cellStyle name="Hyperlink" xfId="3596" builtinId="8" hidden="true"/>
    <cellStyle name="Hyperlink" xfId="3598" builtinId="8" hidden="true"/>
    <cellStyle name="Hyperlink" xfId="3600" builtinId="8" hidden="true"/>
    <cellStyle name="Hyperlink" xfId="3602" builtinId="8" hidden="true"/>
    <cellStyle name="Hyperlink" xfId="3604" builtinId="8" hidden="true"/>
    <cellStyle name="Hyperlink" xfId="3606" builtinId="8" hidden="true"/>
    <cellStyle name="Hyperlink" xfId="3608" builtinId="8" hidden="true"/>
    <cellStyle name="Hyperlink" xfId="3610" builtinId="8" hidden="true"/>
    <cellStyle name="Hyperlink" xfId="3612" builtinId="8" hidden="true"/>
    <cellStyle name="Hyperlink" xfId="3614" builtinId="8" hidden="true"/>
    <cellStyle name="Hyperlink" xfId="3616" builtinId="8" hidden="true"/>
    <cellStyle name="Hyperlink" xfId="3618" builtinId="8" hidden="true"/>
    <cellStyle name="Hyperlink" xfId="3620" builtinId="8" hidden="true"/>
    <cellStyle name="Hyperlink" xfId="3622" builtinId="8" hidden="true"/>
    <cellStyle name="Hyperlink" xfId="3624" builtinId="8" hidden="true"/>
    <cellStyle name="Hyperlink" xfId="3626" builtinId="8" hidden="true"/>
    <cellStyle name="Hyperlink" xfId="3628" builtinId="8" hidden="true"/>
    <cellStyle name="Hyperlink" xfId="3630" builtinId="8" hidden="true"/>
    <cellStyle name="Hyperlink" xfId="3632" builtinId="8" hidden="true"/>
    <cellStyle name="Hyperlink" xfId="3634" builtinId="8" hidden="true"/>
    <cellStyle name="Hyperlink" xfId="3636" builtinId="8" hidden="true"/>
    <cellStyle name="Hyperlink" xfId="3638" builtinId="8" hidden="true"/>
    <cellStyle name="Hyperlink" xfId="3640" builtinId="8" hidden="true"/>
    <cellStyle name="Hyperlink" xfId="3642" builtinId="8" hidden="true"/>
    <cellStyle name="Hyperlink" xfId="3644" builtinId="8" hidden="true"/>
    <cellStyle name="Hyperlink" xfId="3646" builtinId="8" hidden="true"/>
    <cellStyle name="Hyperlink" xfId="3648" builtinId="8" hidden="true"/>
    <cellStyle name="Hyperlink" xfId="3650" builtinId="8" hidden="true"/>
    <cellStyle name="Hyperlink" xfId="3652" builtinId="8" hidden="true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worksheets/sheet13.xml" Type="http://schemas.openxmlformats.org/officeDocument/2006/relationships/worksheet" Id="rId13"/><Relationship Target="styles.xml" Type="http://schemas.openxmlformats.org/officeDocument/2006/relationships/styles" Id="rId18"/><Relationship Target="worksheets/sheet3.xml" Type="http://schemas.openxmlformats.org/officeDocument/2006/relationships/worksheet" Id="rId3"/><Relationship Target="vbaProject.bin" Type="http://schemas.microsoft.com/office/2006/relationships/vbaProject" Id="rId21"/><Relationship Target="worksheets/sheet7.xml" Type="http://schemas.openxmlformats.org/officeDocument/2006/relationships/worksheet" Id="rId7"/><Relationship Target="worksheets/sheet12.xml" Type="http://schemas.openxmlformats.org/officeDocument/2006/relationships/worksheet" Id="rId12"/><Relationship Target="theme/theme1.xml" Type="http://schemas.openxmlformats.org/officeDocument/2006/relationships/theme" Id="rId17"/><Relationship Target="worksheets/sheet2.xml" Type="http://schemas.openxmlformats.org/officeDocument/2006/relationships/worksheet" Id="rId2"/><Relationship Target="worksheets/sheet16.xml" Type="http://schemas.openxmlformats.org/officeDocument/2006/relationships/worksheet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worksheets/sheet15.xml" Type="http://schemas.openxmlformats.org/officeDocument/2006/relationships/worksheet" Id="rId15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9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worksheets/sheet14.xml" Type="http://schemas.openxmlformats.org/officeDocument/2006/relationships/worksheet" Id="rId14"/></Relationships>
</file>

<file path=xl/drawings/_rels/drawing1.xml.rels><?xml version="1.0" encoding="UTF-8"?><Relationships xmlns="http://schemas.openxmlformats.org/package/2006/relationships"><Relationship Target="../media/image2.png" Type="http://schemas.openxmlformats.org/officeDocument/2006/relationships/image" Id="rId2"/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true">
          <a:extLst>
            <a:ext xmlns:a14="http://schemas.microsoft.com/office/drawing/2010/main" uri="{63B3BB69-23CF-44E3-9099-C40C66FF867C}">
              <a14:compatExt xmlns:a14="http://schemas.microsoft.com/office/drawing/2010/main" spid="_x0000_s5123"/>
            </a:ext>
            <a:ext xmlns:a16="http://schemas.microsoft.com/office/drawing/2014/main"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true"/>
        </xdr:cNvPicPr>
      </xdr:nvPicPr>
      <xdr:blipFill rotWithShape="true">
        <a:blip r:embed="rId1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 rotWithShape="true">
        <a:blip r:embed="rId2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59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60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_rels/sheet1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true"/>
  </cols>
  <sheetData>
    <row r="2" x14ac:dyDescent="0.15">
      <c r="B2" t="s">
        <v>147</v>
      </c>
    </row>
    <row r="3" x14ac:dyDescent="0.15">
      <c r="B3" t="s">
        <v>148</v>
      </c>
    </row>
    <row r="4" x14ac:dyDescent="0.15">
      <c r="B4" s="56" t="s">
        <v>170</v>
      </c>
    </row>
    <row r="6" ht="14" thickBot="true" x14ac:dyDescent="0.2">
      <c r="B6" s="43" t="s">
        <v>143</v>
      </c>
    </row>
    <row r="7" x14ac:dyDescent="0.15">
      <c r="B7" s="56" t="s">
        <v>145</v>
      </c>
    </row>
    <row r="8" x14ac:dyDescent="0.15">
      <c r="B8" s="56" t="s">
        <v>144</v>
      </c>
    </row>
    <row r="9" x14ac:dyDescent="0.15">
      <c r="B9" s="56" t="s">
        <v>146</v>
      </c>
    </row>
    <row r="10" x14ac:dyDescent="0.15">
      <c r="B10" s="56" t="s">
        <v>149</v>
      </c>
    </row>
    <row r="11" x14ac:dyDescent="0.15">
      <c r="B11" s="56" t="s">
        <v>153</v>
      </c>
    </row>
    <row r="12" x14ac:dyDescent="0.15">
      <c r="B12" s="56" t="s">
        <v>155</v>
      </c>
    </row>
    <row r="13" x14ac:dyDescent="0.15">
      <c r="B13" s="56" t="s">
        <v>171</v>
      </c>
    </row>
    <row r="15" ht="14" thickBot="true" x14ac:dyDescent="0.2"/>
    <row r="16" ht="14" thickBot="true" x14ac:dyDescent="0.2">
      <c r="B16" s="44" t="s">
        <v>139</v>
      </c>
      <c r="C16" s="45"/>
      <c r="D16" s="27">
        <v>41373</v>
      </c>
    </row>
    <row r="17" x14ac:dyDescent="0.15">
      <c r="B17" s="46" t="s">
        <v>59</v>
      </c>
      <c r="C17" s="30">
        <v>0</v>
      </c>
    </row>
    <row r="18" x14ac:dyDescent="0.15">
      <c r="B18" s="46" t="s">
        <v>60</v>
      </c>
      <c r="C18" s="30">
        <v>1</v>
      </c>
    </row>
    <row r="19" x14ac:dyDescent="0.15">
      <c r="B19" s="46" t="s">
        <v>61</v>
      </c>
      <c r="C19" s="30">
        <v>2</v>
      </c>
    </row>
    <row r="20" ht="14" thickBot="true" x14ac:dyDescent="0.2">
      <c r="B20" s="47" t="s">
        <v>45</v>
      </c>
      <c r="C20" s="31">
        <v>3</v>
      </c>
    </row>
    <row r="21" x14ac:dyDescent="0.15">
      <c r="B21" s="48" t="s">
        <v>142</v>
      </c>
    </row>
    <row r="22" ht="14" thickBot="true" x14ac:dyDescent="0.2"/>
    <row r="23" ht="14" thickBot="true" x14ac:dyDescent="0.2">
      <c r="B23" s="44" t="s">
        <v>67</v>
      </c>
      <c r="C23" s="45"/>
      <c r="D23" s="27" t="s">
        <v>150</v>
      </c>
    </row>
    <row r="24" x14ac:dyDescent="0.15">
      <c r="B24" s="49" t="s">
        <v>39</v>
      </c>
      <c r="C24" s="28">
        <v>1</v>
      </c>
    </row>
    <row r="25" x14ac:dyDescent="0.15">
      <c r="B25" s="46" t="s">
        <v>41</v>
      </c>
      <c r="C25" s="30">
        <v>1.1000000000000001</v>
      </c>
    </row>
    <row r="26" x14ac:dyDescent="0.15">
      <c r="B26" s="46" t="s">
        <v>42</v>
      </c>
      <c r="C26" s="30">
        <v>1.2</v>
      </c>
    </row>
    <row r="27" x14ac:dyDescent="0.15">
      <c r="B27" s="46"/>
      <c r="C27" s="30"/>
    </row>
    <row r="28" x14ac:dyDescent="0.15">
      <c r="B28" s="46" t="s">
        <v>43</v>
      </c>
      <c r="C28" s="30">
        <v>2.1</v>
      </c>
    </row>
    <row r="29" x14ac:dyDescent="0.15">
      <c r="B29" s="46" t="s">
        <v>44</v>
      </c>
      <c r="C29" s="30">
        <v>2.2000000000000002</v>
      </c>
    </row>
    <row r="30" x14ac:dyDescent="0.15">
      <c r="B30" s="46" t="s">
        <v>69</v>
      </c>
      <c r="C30" s="30">
        <v>2.2999999999999998</v>
      </c>
    </row>
    <row r="31" x14ac:dyDescent="0.15">
      <c r="B31" s="46"/>
      <c r="C31" s="30"/>
    </row>
    <row r="32" x14ac:dyDescent="0.15">
      <c r="B32" s="46" t="s">
        <v>64</v>
      </c>
      <c r="C32" s="30">
        <v>3.11</v>
      </c>
    </row>
    <row r="33" x14ac:dyDescent="0.15">
      <c r="B33" s="46" t="s">
        <v>63</v>
      </c>
      <c r="C33" s="30">
        <v>3.12</v>
      </c>
    </row>
    <row r="34" x14ac:dyDescent="0.15">
      <c r="B34" s="46" t="s">
        <v>70</v>
      </c>
      <c r="C34" s="30">
        <v>3.13</v>
      </c>
    </row>
    <row r="35" x14ac:dyDescent="0.15">
      <c r="B35" s="46"/>
      <c r="C35" s="30"/>
    </row>
    <row r="36" x14ac:dyDescent="0.15">
      <c r="B36" s="46" t="s">
        <v>68</v>
      </c>
      <c r="C36" s="30">
        <v>3.21</v>
      </c>
    </row>
    <row r="37" x14ac:dyDescent="0.15">
      <c r="B37" s="46" t="s">
        <v>65</v>
      </c>
      <c r="C37" s="30">
        <v>3.22</v>
      </c>
    </row>
    <row r="38" x14ac:dyDescent="0.15">
      <c r="B38" s="46" t="s">
        <v>71</v>
      </c>
      <c r="C38" s="30">
        <v>3.23</v>
      </c>
    </row>
    <row r="39" x14ac:dyDescent="0.15">
      <c r="B39" s="46"/>
      <c r="C39" s="30"/>
    </row>
    <row r="40" x14ac:dyDescent="0.15">
      <c r="B40" s="46" t="s">
        <v>66</v>
      </c>
      <c r="C40" s="30">
        <v>8</v>
      </c>
    </row>
    <row r="41" x14ac:dyDescent="0.15">
      <c r="B41" s="46"/>
      <c r="C41" s="30"/>
    </row>
    <row r="42" x14ac:dyDescent="0.15">
      <c r="B42" s="46" t="s">
        <v>73</v>
      </c>
      <c r="C42" s="30">
        <v>4.0999999999999996</v>
      </c>
    </row>
    <row r="43" x14ac:dyDescent="0.15">
      <c r="B43" s="46" t="s">
        <v>72</v>
      </c>
      <c r="C43" s="30">
        <v>4.2</v>
      </c>
    </row>
    <row r="44" x14ac:dyDescent="0.15">
      <c r="B44" s="46" t="s">
        <v>74</v>
      </c>
      <c r="C44" s="30">
        <v>4.3</v>
      </c>
    </row>
    <row r="45" x14ac:dyDescent="0.15">
      <c r="B45" s="29"/>
      <c r="C45" s="30"/>
    </row>
    <row r="46" x14ac:dyDescent="0.15">
      <c r="B46" s="46" t="s">
        <v>140</v>
      </c>
      <c r="C46" s="30">
        <v>6.1</v>
      </c>
    </row>
    <row r="47" x14ac:dyDescent="0.15">
      <c r="B47" s="46" t="s">
        <v>46</v>
      </c>
      <c r="C47" s="30">
        <v>6.2</v>
      </c>
    </row>
    <row r="48" x14ac:dyDescent="0.15">
      <c r="B48" s="46"/>
      <c r="C48" s="30"/>
    </row>
    <row r="49" x14ac:dyDescent="0.15">
      <c r="B49" s="46" t="s">
        <v>45</v>
      </c>
      <c r="C49" s="30">
        <v>5</v>
      </c>
    </row>
    <row r="50" x14ac:dyDescent="0.15">
      <c r="B50" s="46"/>
      <c r="C50" s="30"/>
    </row>
    <row r="51" ht="14" thickBot="true" x14ac:dyDescent="0.2">
      <c r="B51" s="47" t="s">
        <v>75</v>
      </c>
      <c r="C51" s="31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W206"/>
  <sheetViews>
    <sheetView workbookViewId="0">
      <selection activeCell="K46" sqref="K46"/>
    </sheetView>
  </sheetViews>
  <sheetFormatPr baseColWidth="10" defaultColWidth="8.83203125" defaultRowHeight="15" customHeight="true" x14ac:dyDescent="0.2"/>
  <cols>
    <col min="1" max="1" width="22.5" style="81" customWidth="true"/>
    <col min="2" max="2" width="7.6640625" style="81" customWidth="true"/>
    <col min="3" max="3" width="8.83203125" style="81"/>
    <col min="4" max="4" width="14.33203125" style="81" customWidth="true"/>
    <col min="5" max="5" width="41.83203125" style="81" bestFit="true" customWidth="true"/>
    <col min="6" max="6" width="9.5" style="81" bestFit="true" customWidth="true"/>
    <col min="7" max="7" width="8.1640625" style="81" bestFit="true" customWidth="true"/>
    <col min="8" max="9" width="8.83203125" style="81"/>
    <col min="10" max="10" width="9.1640625" style="81" bestFit="true" customWidth="true"/>
    <col min="11" max="25" width="8.83203125" style="81"/>
    <col min="26" max="26" width="16.1640625" bestFit="true" customWidth="true"/>
    <col min="27" max="27" width="23.6640625" customWidth="true"/>
    <col min="28" max="28" width="18.83203125" bestFit="true" customWidth="true"/>
    <col min="29" max="29" width="18.83203125" customWidth="true"/>
    <col min="30" max="30" width="16.33203125" customWidth="true"/>
    <col min="32" max="32" width="8.83203125" customWidth="true"/>
    <col min="39" max="39" width="8.83203125" customWidth="true"/>
    <col min="50" max="16384" width="8.83203125" style="81"/>
  </cols>
  <sheetData>
    <row r="1" s="92" customFormat="true" ht="15" customHeight="true" x14ac:dyDescent="0.2">
      <c r="A1" s="91" t="s">
        <v>19</v>
      </c>
      <c r="C1" s="93" t="s">
        <v>8</v>
      </c>
      <c r="D1" s="91" t="s">
        <v>24</v>
      </c>
      <c r="E1" s="91" t="s">
        <v>0</v>
      </c>
      <c r="F1" s="91" t="s">
        <v>7</v>
      </c>
      <c r="G1" s="94" t="s">
        <v>14</v>
      </c>
      <c r="H1" s="91" t="s">
        <v>1</v>
      </c>
      <c r="I1" s="91" t="s">
        <v>2</v>
      </c>
      <c r="J1" s="91" t="s">
        <v>15</v>
      </c>
      <c r="K1" s="91" t="s">
        <v>3</v>
      </c>
      <c r="L1" s="91" t="s">
        <v>4</v>
      </c>
      <c r="M1" s="91" t="s">
        <v>5</v>
      </c>
      <c r="N1" s="91" t="s">
        <v>6</v>
      </c>
      <c r="O1" s="81"/>
      <c r="P1" s="90" t="s">
        <v>177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ht="15" customHeight="true" x14ac:dyDescent="0.2">
      <c r="C2">
        <v>1</v>
      </c>
      <c r="D2"/>
      <c r="E2" s="142" t="s">
        <v>178</v>
      </c>
      <c r="F2" s="3">
        <v>1</v>
      </c>
      <c r="G2">
        <v>1.7</v>
      </c>
      <c r="H2">
        <v>150</v>
      </c>
      <c r="I2"/>
      <c r="J2"/>
      <c r="K2">
        <v>0</v>
      </c>
      <c r="L2">
        <v>0</v>
      </c>
      <c r="M2" s="143">
        <v>0</v>
      </c>
      <c r="N2">
        <v>0</v>
      </c>
      <c r="O2"/>
      <c r="P2"/>
    </row>
    <row r="3" ht="15" customHeight="true" x14ac:dyDescent="0.2">
      <c r="A3" s="95" t="s">
        <v>9</v>
      </c>
      <c r="B3" s="80">
        <v>35</v>
      </c>
      <c r="C3">
        <v>2</v>
      </c>
      <c r="D3"/>
      <c r="E3" s="142" t="s">
        <v>179</v>
      </c>
      <c r="F3" s="3">
        <v>1</v>
      </c>
      <c r="G3">
        <v>6.81</v>
      </c>
      <c r="H3">
        <v>150</v>
      </c>
      <c r="I3"/>
      <c r="J3"/>
      <c r="K3">
        <v>0</v>
      </c>
      <c r="L3">
        <v>0</v>
      </c>
      <c r="M3" s="143">
        <v>0</v>
      </c>
      <c r="N3">
        <v>0</v>
      </c>
      <c r="O3"/>
      <c r="P3"/>
    </row>
    <row r="4" ht="15" customHeight="true" x14ac:dyDescent="0.2">
      <c r="A4" s="95" t="s">
        <v>10</v>
      </c>
      <c r="B4" s="80">
        <v>3</v>
      </c>
      <c r="C4">
        <v>3</v>
      </c>
      <c r="D4"/>
      <c r="E4" s="142" t="s">
        <v>180</v>
      </c>
      <c r="F4" s="3">
        <v>1</v>
      </c>
      <c r="G4">
        <v>4.0299999999999997E-3</v>
      </c>
      <c r="H4">
        <v>200</v>
      </c>
      <c r="I4"/>
      <c r="J4"/>
      <c r="K4">
        <v>0</v>
      </c>
      <c r="L4">
        <v>0</v>
      </c>
      <c r="M4" s="143">
        <v>0</v>
      </c>
      <c r="N4">
        <v>0</v>
      </c>
      <c r="O4"/>
      <c r="P4"/>
      <c r="V4" s="95" t="s">
        <v>30</v>
      </c>
    </row>
    <row r="5" ht="15" customHeight="true" thickBot="true" x14ac:dyDescent="0.25">
      <c r="A5" s="95" t="s">
        <v>11</v>
      </c>
      <c r="B5" s="80">
        <v>1</v>
      </c>
      <c r="C5">
        <v>4</v>
      </c>
      <c r="D5"/>
      <c r="E5" s="142" t="s">
        <v>181</v>
      </c>
      <c r="F5" s="3">
        <v>1</v>
      </c>
      <c r="G5">
        <v>0.19500000000000001</v>
      </c>
      <c r="H5">
        <v>5.22</v>
      </c>
      <c r="I5"/>
      <c r="J5"/>
      <c r="K5">
        <v>0</v>
      </c>
      <c r="L5">
        <v>0</v>
      </c>
      <c r="M5" s="143">
        <v>0</v>
      </c>
      <c r="N5">
        <v>0</v>
      </c>
      <c r="O5"/>
      <c r="P5"/>
      <c r="Q5" s="89"/>
      <c r="R5" s="89"/>
    </row>
    <row r="6" ht="15" customHeight="true" thickBot="true" x14ac:dyDescent="0.25">
      <c r="B6" s="95"/>
      <c r="C6">
        <v>5</v>
      </c>
      <c r="D6"/>
      <c r="E6" s="142" t="s">
        <v>182</v>
      </c>
      <c r="F6" s="3">
        <v>0</v>
      </c>
      <c r="G6">
        <v>16</v>
      </c>
      <c r="H6">
        <v>10</v>
      </c>
      <c r="I6"/>
      <c r="J6"/>
      <c r="K6">
        <v>0.23255809999999999</v>
      </c>
      <c r="L6">
        <v>0</v>
      </c>
      <c r="M6" s="143">
        <v>0.2</v>
      </c>
      <c r="N6">
        <v>0</v>
      </c>
      <c r="O6"/>
      <c r="P6"/>
      <c r="Q6" s="89"/>
      <c r="R6" s="89"/>
      <c r="W6" s="96" t="s">
        <v>32</v>
      </c>
      <c r="X6" s="97">
        <f>MAX(MainOutputs!G:G)</f>
        <v>0.98567897081375122</v>
      </c>
    </row>
    <row r="7" ht="15" customHeight="true" x14ac:dyDescent="0.2">
      <c r="A7" s="98" t="s">
        <v>28</v>
      </c>
      <c r="B7" s="81">
        <f ca="true">COUNTIF(OFFSET(cornerDiets,1,1,NumLiving+NumDead+1,NumLiving+NumDead),"&gt;0")+NumLiving+NumDead+1</f>
        <v>290</v>
      </c>
      <c r="C7">
        <v>6</v>
      </c>
      <c r="D7"/>
      <c r="E7" s="142" t="s">
        <v>183</v>
      </c>
      <c r="F7" s="3">
        <v>0</v>
      </c>
      <c r="G7">
        <v>5</v>
      </c>
      <c r="H7">
        <v>5</v>
      </c>
      <c r="I7"/>
      <c r="J7"/>
      <c r="K7">
        <v>0.35714289999999999</v>
      </c>
      <c r="L7">
        <v>0</v>
      </c>
      <c r="M7" s="143">
        <v>0.2</v>
      </c>
      <c r="N7">
        <v>0</v>
      </c>
      <c r="O7"/>
      <c r="P7"/>
      <c r="Q7" s="89"/>
      <c r="R7" s="89"/>
    </row>
    <row r="8" ht="15" customHeight="true" x14ac:dyDescent="0.2">
      <c r="A8" s="98" t="s">
        <v>29</v>
      </c>
      <c r="B8" s="81">
        <f ca="true">COUNTIF(OFFSET(cornerFishing,1,2,NumLiving+NumDead,NumGears),"&gt;0")+NumDead*COUNTIF(OFFSET(cornerDiscards,1,2,NumLiving+NumDead,NumGears),"&gt;0")+NumLiving+NumDead+1</f>
        <v>40</v>
      </c>
      <c r="C8">
        <v>7</v>
      </c>
      <c r="D8"/>
      <c r="E8" s="142" t="s">
        <v>184</v>
      </c>
      <c r="F8" s="3">
        <v>0</v>
      </c>
      <c r="G8">
        <v>7</v>
      </c>
      <c r="H8">
        <v>24</v>
      </c>
      <c r="I8"/>
      <c r="J8"/>
      <c r="K8">
        <v>0.25</v>
      </c>
      <c r="L8">
        <v>0</v>
      </c>
      <c r="M8" s="143">
        <v>0.2</v>
      </c>
      <c r="N8">
        <v>0</v>
      </c>
      <c r="O8"/>
      <c r="P8"/>
      <c r="Q8" s="89"/>
      <c r="R8" s="89"/>
    </row>
    <row r="9" ht="15" customHeight="true" x14ac:dyDescent="0.2">
      <c r="B9" s="95"/>
      <c r="C9">
        <v>8</v>
      </c>
      <c r="D9"/>
      <c r="E9" s="142" t="s">
        <v>185</v>
      </c>
      <c r="F9" s="3">
        <v>0</v>
      </c>
      <c r="G9">
        <v>3.7999999999999999E-2</v>
      </c>
      <c r="H9">
        <v>1.45</v>
      </c>
      <c r="I9"/>
      <c r="J9"/>
      <c r="K9">
        <v>0.32805430000000002</v>
      </c>
      <c r="L9">
        <v>0</v>
      </c>
      <c r="M9" s="143">
        <v>0.2</v>
      </c>
      <c r="N9">
        <v>0</v>
      </c>
      <c r="O9"/>
      <c r="P9"/>
      <c r="Q9" s="89"/>
      <c r="R9" s="89"/>
    </row>
    <row r="10" ht="15" customHeight="true" x14ac:dyDescent="0.2">
      <c r="B10" s="95"/>
      <c r="C10">
        <v>9</v>
      </c>
      <c r="D10"/>
      <c r="E10" s="142" t="s">
        <v>186</v>
      </c>
      <c r="F10" s="3">
        <v>0</v>
      </c>
      <c r="G10">
        <v>0.5</v>
      </c>
      <c r="H10">
        <v>2.5</v>
      </c>
      <c r="I10"/>
      <c r="J10"/>
      <c r="K10">
        <v>0.25</v>
      </c>
      <c r="L10">
        <v>0</v>
      </c>
      <c r="M10" s="143">
        <v>0.2</v>
      </c>
      <c r="N10">
        <v>0</v>
      </c>
      <c r="O10"/>
      <c r="P10"/>
    </row>
    <row r="11" ht="15" customHeight="true" x14ac:dyDescent="0.2">
      <c r="C11">
        <v>10</v>
      </c>
      <c r="D11"/>
      <c r="E11" s="142" t="s">
        <v>187</v>
      </c>
      <c r="F11" s="3">
        <v>0</v>
      </c>
      <c r="G11">
        <v>4.4999999999999998E-2</v>
      </c>
      <c r="H11">
        <v>4.5</v>
      </c>
      <c r="I11"/>
      <c r="J11"/>
      <c r="K11">
        <v>0.2465753</v>
      </c>
      <c r="L11">
        <v>0</v>
      </c>
      <c r="M11" s="143">
        <v>0.2</v>
      </c>
      <c r="N11">
        <v>0</v>
      </c>
      <c r="O11"/>
      <c r="P11"/>
    </row>
    <row r="12" ht="15" customHeight="true" x14ac:dyDescent="0.2">
      <c r="C12">
        <v>11</v>
      </c>
      <c r="D12"/>
      <c r="E12" s="142" t="s">
        <v>188</v>
      </c>
      <c r="F12" s="3">
        <v>0</v>
      </c>
      <c r="G12">
        <v>6.5000000000000002E-2</v>
      </c>
      <c r="H12">
        <v>2.7</v>
      </c>
      <c r="I12"/>
      <c r="J12"/>
      <c r="K12">
        <v>0.2465754</v>
      </c>
      <c r="L12">
        <v>0</v>
      </c>
      <c r="M12" s="143">
        <v>0.2</v>
      </c>
      <c r="N12">
        <v>0</v>
      </c>
      <c r="O12"/>
      <c r="P12"/>
    </row>
    <row r="13" ht="15" customHeight="true" x14ac:dyDescent="0.2">
      <c r="C13">
        <v>12</v>
      </c>
      <c r="D13"/>
      <c r="E13" s="142" t="s">
        <v>189</v>
      </c>
      <c r="F13" s="3">
        <v>0</v>
      </c>
      <c r="G13">
        <v>3.375</v>
      </c>
      <c r="H13">
        <v>0.5</v>
      </c>
      <c r="I13"/>
      <c r="J13"/>
      <c r="K13">
        <v>8.1967209999999999E-2</v>
      </c>
      <c r="L13">
        <v>0</v>
      </c>
      <c r="M13" s="143">
        <v>0.2</v>
      </c>
      <c r="N13">
        <v>0</v>
      </c>
      <c r="O13"/>
      <c r="P13"/>
    </row>
    <row r="14" ht="15" customHeight="true" x14ac:dyDescent="0.2">
      <c r="C14">
        <v>13</v>
      </c>
      <c r="D14"/>
      <c r="E14" s="142" t="s">
        <v>190</v>
      </c>
      <c r="F14" s="3">
        <v>0</v>
      </c>
      <c r="G14">
        <v>1.125</v>
      </c>
      <c r="H14">
        <v>0.9</v>
      </c>
      <c r="I14"/>
      <c r="J14"/>
      <c r="K14">
        <v>8.5714280000000004E-2</v>
      </c>
      <c r="L14">
        <v>0</v>
      </c>
      <c r="M14" s="143">
        <v>0.2</v>
      </c>
      <c r="N14">
        <v>0</v>
      </c>
      <c r="O14"/>
      <c r="P14"/>
    </row>
    <row r="15" ht="15" customHeight="true" x14ac:dyDescent="0.2">
      <c r="C15">
        <v>14</v>
      </c>
      <c r="D15"/>
      <c r="E15" s="142" t="s">
        <v>191</v>
      </c>
      <c r="F15" s="3">
        <v>0</v>
      </c>
      <c r="G15">
        <v>4.2700000000000004E-3</v>
      </c>
      <c r="H15">
        <v>0.13</v>
      </c>
      <c r="I15"/>
      <c r="J15"/>
      <c r="K15">
        <v>8.1250000000000003E-2</v>
      </c>
      <c r="L15">
        <v>0</v>
      </c>
      <c r="M15" s="143">
        <v>0.2</v>
      </c>
      <c r="N15">
        <v>0</v>
      </c>
      <c r="O15"/>
      <c r="P15"/>
    </row>
    <row r="16" ht="15" customHeight="true" x14ac:dyDescent="0.2">
      <c r="C16">
        <v>15</v>
      </c>
      <c r="D16"/>
      <c r="E16" s="142" t="s">
        <v>192</v>
      </c>
      <c r="F16" s="3">
        <v>0</v>
      </c>
      <c r="G16">
        <v>4.2000000000000003E-2</v>
      </c>
      <c r="H16">
        <v>0.22</v>
      </c>
      <c r="I16"/>
      <c r="J16"/>
      <c r="K16">
        <v>8.59375E-2</v>
      </c>
      <c r="L16">
        <v>0</v>
      </c>
      <c r="M16" s="143">
        <v>0.2</v>
      </c>
      <c r="N16">
        <v>0</v>
      </c>
      <c r="O16"/>
      <c r="P16"/>
    </row>
    <row r="17" ht="15" customHeight="true" x14ac:dyDescent="0.2">
      <c r="C17">
        <v>16</v>
      </c>
      <c r="D17"/>
      <c r="E17" s="142" t="s">
        <v>193</v>
      </c>
      <c r="F17" s="3">
        <v>0</v>
      </c>
      <c r="G17">
        <v>7.0000000000000001E-3</v>
      </c>
      <c r="H17">
        <v>0.32</v>
      </c>
      <c r="I17"/>
      <c r="J17"/>
      <c r="K17">
        <v>5.3333329999999998E-2</v>
      </c>
      <c r="L17">
        <v>0</v>
      </c>
      <c r="M17" s="143">
        <v>0.2</v>
      </c>
      <c r="N17">
        <v>0</v>
      </c>
      <c r="O17"/>
      <c r="P17"/>
      <c r="V17" s="95" t="s">
        <v>31</v>
      </c>
    </row>
    <row r="18" ht="15" customHeight="true" x14ac:dyDescent="0.2">
      <c r="C18">
        <v>17</v>
      </c>
      <c r="D18"/>
      <c r="E18" s="142" t="s">
        <v>194</v>
      </c>
      <c r="F18" s="3">
        <v>0</v>
      </c>
      <c r="G18">
        <v>1.1780000000000001E-2</v>
      </c>
      <c r="H18">
        <v>0.502</v>
      </c>
      <c r="I18"/>
      <c r="J18"/>
      <c r="K18">
        <v>6.8485669999999998E-2</v>
      </c>
      <c r="L18">
        <v>0</v>
      </c>
      <c r="M18" s="143">
        <v>0.2</v>
      </c>
      <c r="N18">
        <v>0</v>
      </c>
      <c r="O18"/>
      <c r="P18"/>
      <c r="V18" s="95"/>
    </row>
    <row r="19" ht="15" customHeight="true" x14ac:dyDescent="0.2">
      <c r="C19">
        <v>18</v>
      </c>
      <c r="D19"/>
      <c r="E19" s="142" t="s">
        <v>195</v>
      </c>
      <c r="F19" s="3">
        <v>0</v>
      </c>
      <c r="G19">
        <v>9.5499999999999995E-3</v>
      </c>
      <c r="H19">
        <v>0.21</v>
      </c>
      <c r="I19"/>
      <c r="J19"/>
      <c r="K19">
        <v>6.1764699999999999E-2</v>
      </c>
      <c r="L19">
        <v>0</v>
      </c>
      <c r="M19" s="143">
        <v>0.2</v>
      </c>
      <c r="N19">
        <v>0</v>
      </c>
      <c r="O19"/>
      <c r="P19"/>
    </row>
    <row r="20" ht="15" customHeight="true" thickBot="true" x14ac:dyDescent="0.25">
      <c r="C20">
        <v>19</v>
      </c>
      <c r="D20"/>
      <c r="E20" s="142" t="s">
        <v>196</v>
      </c>
      <c r="F20" s="3">
        <v>0</v>
      </c>
      <c r="G20">
        <v>2.8500000000000001E-2</v>
      </c>
      <c r="H20">
        <v>0.19</v>
      </c>
      <c r="I20"/>
      <c r="J20"/>
      <c r="K20">
        <v>9.5959600000000006E-2</v>
      </c>
      <c r="L20">
        <v>0</v>
      </c>
      <c r="M20" s="143">
        <v>0.2</v>
      </c>
      <c r="N20">
        <v>0</v>
      </c>
      <c r="O20"/>
      <c r="P20"/>
    </row>
    <row r="21" ht="15" customHeight="true" thickBot="true" x14ac:dyDescent="0.25">
      <c r="A21" s="99" t="s">
        <v>139</v>
      </c>
      <c r="B21" s="100"/>
      <c r="C21">
        <v>20</v>
      </c>
      <c r="D21"/>
      <c r="E21" s="142" t="s">
        <v>197</v>
      </c>
      <c r="F21" s="3">
        <v>0</v>
      </c>
      <c r="G21">
        <v>3.6000000000000002E-4</v>
      </c>
      <c r="H21">
        <v>0.14000000000000001</v>
      </c>
      <c r="I21"/>
      <c r="J21"/>
      <c r="K21">
        <v>3.7837839999999998E-2</v>
      </c>
      <c r="L21">
        <v>0</v>
      </c>
      <c r="M21" s="143">
        <v>0.2</v>
      </c>
      <c r="N21">
        <v>0</v>
      </c>
      <c r="O21"/>
      <c r="P21"/>
    </row>
    <row r="22" ht="15" customHeight="true" x14ac:dyDescent="0.2">
      <c r="A22" s="101" t="s">
        <v>59</v>
      </c>
      <c r="B22" s="102">
        <v>0</v>
      </c>
      <c r="C22">
        <v>21</v>
      </c>
      <c r="D22"/>
      <c r="E22" s="142" t="s">
        <v>198</v>
      </c>
      <c r="F22" s="3">
        <v>0</v>
      </c>
      <c r="G22">
        <v>6.5660000000000002E-4</v>
      </c>
      <c r="H22">
        <v>0.16</v>
      </c>
      <c r="I22"/>
      <c r="J22"/>
      <c r="K22">
        <v>8.3463739999999997E-4</v>
      </c>
      <c r="L22">
        <v>0</v>
      </c>
      <c r="M22" s="143">
        <v>0.2</v>
      </c>
      <c r="N22">
        <v>0</v>
      </c>
      <c r="O22"/>
      <c r="P22"/>
    </row>
    <row r="23" ht="15" customHeight="true" x14ac:dyDescent="0.2">
      <c r="A23" s="101" t="s">
        <v>60</v>
      </c>
      <c r="B23" s="102">
        <v>1</v>
      </c>
      <c r="C23">
        <v>22</v>
      </c>
      <c r="D23"/>
      <c r="E23" s="142" t="s">
        <v>199</v>
      </c>
      <c r="F23" s="3">
        <v>0</v>
      </c>
      <c r="G23" s="144">
        <v>4.0599999999999998E-5</v>
      </c>
      <c r="H23">
        <v>7.0000000000000007E-2</v>
      </c>
      <c r="I23"/>
      <c r="J23"/>
      <c r="K23">
        <v>2.1712160000000001E-3</v>
      </c>
      <c r="L23">
        <v>0</v>
      </c>
      <c r="M23" s="143">
        <v>0.2</v>
      </c>
      <c r="N23">
        <v>0</v>
      </c>
      <c r="O23"/>
      <c r="P23"/>
    </row>
    <row r="24" ht="15" customHeight="true" x14ac:dyDescent="0.2">
      <c r="A24" s="101" t="s">
        <v>61</v>
      </c>
      <c r="B24" s="102">
        <v>2</v>
      </c>
      <c r="C24">
        <v>23</v>
      </c>
      <c r="D24"/>
      <c r="E24" s="142" t="s">
        <v>200</v>
      </c>
      <c r="F24" s="3">
        <v>0</v>
      </c>
      <c r="G24" s="144">
        <v>2.55E-5</v>
      </c>
      <c r="H24">
        <v>2.7E-2</v>
      </c>
      <c r="I24"/>
      <c r="J24"/>
      <c r="K24">
        <v>3.9641760000000002E-4</v>
      </c>
      <c r="L24">
        <v>0</v>
      </c>
      <c r="M24" s="143">
        <v>0.2</v>
      </c>
      <c r="N24">
        <v>0</v>
      </c>
      <c r="O24"/>
      <c r="P24"/>
    </row>
    <row r="25" ht="15" customHeight="true" thickBot="true" x14ac:dyDescent="0.25">
      <c r="A25" s="103" t="s">
        <v>45</v>
      </c>
      <c r="B25" s="104">
        <v>3</v>
      </c>
      <c r="C25">
        <v>24</v>
      </c>
      <c r="D25"/>
      <c r="E25" s="142" t="s">
        <v>201</v>
      </c>
      <c r="F25" s="3">
        <v>0</v>
      </c>
      <c r="G25" s="144">
        <v>6.9999999999999999E-6</v>
      </c>
      <c r="H25">
        <v>2.7E-2</v>
      </c>
      <c r="I25"/>
      <c r="J25"/>
      <c r="K25">
        <v>4.5135409999999998E-4</v>
      </c>
      <c r="L25">
        <v>0</v>
      </c>
      <c r="M25" s="143">
        <v>0.2</v>
      </c>
      <c r="N25">
        <v>0</v>
      </c>
      <c r="O25"/>
      <c r="P25"/>
    </row>
    <row r="26" ht="15" customHeight="true" x14ac:dyDescent="0.2">
      <c r="A26" s="105" t="s">
        <v>142</v>
      </c>
      <c r="C26">
        <v>25</v>
      </c>
      <c r="D26"/>
      <c r="E26" s="142" t="s">
        <v>202</v>
      </c>
      <c r="F26" s="3">
        <v>0</v>
      </c>
      <c r="G26" s="144">
        <v>8.3499999999999997E-5</v>
      </c>
      <c r="H26">
        <v>2.7E-2</v>
      </c>
      <c r="I26"/>
      <c r="J26"/>
      <c r="K26">
        <v>4.6972859999999997E-4</v>
      </c>
      <c r="L26">
        <v>0</v>
      </c>
      <c r="M26" s="143">
        <v>0.2</v>
      </c>
      <c r="N26">
        <v>0</v>
      </c>
      <c r="O26"/>
      <c r="P26"/>
    </row>
    <row r="27" ht="15" customHeight="true" x14ac:dyDescent="0.2">
      <c r="C27">
        <v>26</v>
      </c>
      <c r="D27"/>
      <c r="E27" s="142" t="s">
        <v>203</v>
      </c>
      <c r="F27" s="3">
        <v>0</v>
      </c>
      <c r="G27" s="144">
        <v>8.4699999999999999E-5</v>
      </c>
      <c r="H27">
        <v>0.05</v>
      </c>
      <c r="I27"/>
      <c r="J27"/>
      <c r="K27">
        <v>1.0123510000000001E-3</v>
      </c>
      <c r="L27">
        <v>0</v>
      </c>
      <c r="M27" s="143">
        <v>0.2</v>
      </c>
      <c r="N27">
        <v>0</v>
      </c>
      <c r="O27"/>
      <c r="P27"/>
    </row>
    <row r="28" ht="15" customHeight="true" x14ac:dyDescent="0.2">
      <c r="C28">
        <v>27</v>
      </c>
      <c r="D28"/>
      <c r="E28" s="142" t="s">
        <v>204</v>
      </c>
      <c r="F28" s="3">
        <v>0</v>
      </c>
      <c r="G28">
        <v>1.427E-4</v>
      </c>
      <c r="H28">
        <v>0.04</v>
      </c>
      <c r="I28"/>
      <c r="J28"/>
      <c r="K28">
        <v>7.0052540000000005E-4</v>
      </c>
      <c r="L28">
        <v>0</v>
      </c>
      <c r="M28" s="143">
        <v>0.2</v>
      </c>
      <c r="N28">
        <v>0</v>
      </c>
      <c r="O28"/>
      <c r="P28"/>
    </row>
    <row r="29" ht="15" customHeight="true" x14ac:dyDescent="0.2">
      <c r="C29">
        <v>28</v>
      </c>
      <c r="D29"/>
      <c r="E29" s="142" t="s">
        <v>205</v>
      </c>
      <c r="F29" s="3">
        <v>0</v>
      </c>
      <c r="G29" s="144">
        <v>4.18E-5</v>
      </c>
      <c r="H29">
        <v>0.2</v>
      </c>
      <c r="I29"/>
      <c r="J29"/>
      <c r="K29">
        <v>3.2000000000000002E-3</v>
      </c>
      <c r="L29">
        <v>0</v>
      </c>
      <c r="M29" s="143">
        <v>0.2</v>
      </c>
      <c r="N29">
        <v>0</v>
      </c>
      <c r="O29"/>
      <c r="P29"/>
    </row>
    <row r="30" ht="15" customHeight="true" x14ac:dyDescent="0.2">
      <c r="C30">
        <v>29</v>
      </c>
      <c r="D30"/>
      <c r="E30" s="142" t="s">
        <v>206</v>
      </c>
      <c r="F30" s="3">
        <v>0</v>
      </c>
      <c r="G30">
        <v>7.1000000000000002E-4</v>
      </c>
      <c r="H30">
        <v>0.16</v>
      </c>
      <c r="I30"/>
      <c r="J30"/>
      <c r="K30">
        <v>1.7075770000000001E-3</v>
      </c>
      <c r="L30">
        <v>0</v>
      </c>
      <c r="M30" s="143">
        <v>0.2</v>
      </c>
      <c r="N30">
        <v>0</v>
      </c>
      <c r="O30"/>
      <c r="P30"/>
    </row>
    <row r="31" ht="15" customHeight="true" x14ac:dyDescent="0.2">
      <c r="C31">
        <v>30</v>
      </c>
      <c r="D31"/>
      <c r="E31" s="142" t="s">
        <v>207</v>
      </c>
      <c r="F31" s="3">
        <v>0</v>
      </c>
      <c r="G31">
        <v>4.1019999999999997E-3</v>
      </c>
      <c r="H31">
        <v>0.185</v>
      </c>
      <c r="I31"/>
      <c r="J31"/>
      <c r="K31">
        <v>2.4104230000000001E-3</v>
      </c>
      <c r="L31">
        <v>0</v>
      </c>
      <c r="M31" s="143">
        <v>0.2</v>
      </c>
      <c r="N31">
        <v>0</v>
      </c>
      <c r="O31"/>
      <c r="P31"/>
    </row>
    <row r="32" ht="15" customHeight="true" x14ac:dyDescent="0.2">
      <c r="C32">
        <v>31</v>
      </c>
      <c r="D32"/>
      <c r="E32" s="142" t="s">
        <v>208</v>
      </c>
      <c r="F32" s="3">
        <v>0</v>
      </c>
      <c r="G32">
        <v>1.4716399999999999E-2</v>
      </c>
      <c r="H32">
        <v>0.125</v>
      </c>
      <c r="I32"/>
      <c r="J32"/>
      <c r="K32">
        <v>2.9439470000000001E-3</v>
      </c>
      <c r="L32">
        <v>0</v>
      </c>
      <c r="M32" s="143">
        <v>0.24</v>
      </c>
      <c r="N32">
        <v>0</v>
      </c>
      <c r="O32"/>
      <c r="P32"/>
    </row>
    <row r="33" ht="15" customHeight="true" x14ac:dyDescent="0.2">
      <c r="C33">
        <v>32</v>
      </c>
      <c r="D33"/>
      <c r="E33" s="142" t="s">
        <v>209</v>
      </c>
      <c r="F33" s="3">
        <v>0</v>
      </c>
      <c r="G33">
        <v>9.2294000000000005E-3</v>
      </c>
      <c r="H33">
        <v>0.1</v>
      </c>
      <c r="I33"/>
      <c r="J33"/>
      <c r="K33">
        <v>6.6800269999999998E-3</v>
      </c>
      <c r="L33">
        <v>0</v>
      </c>
      <c r="M33" s="143">
        <v>0.2</v>
      </c>
      <c r="N33">
        <v>0</v>
      </c>
      <c r="O33"/>
      <c r="P33"/>
    </row>
    <row r="34" ht="15" customHeight="true" x14ac:dyDescent="0.2">
      <c r="C34">
        <v>33</v>
      </c>
      <c r="D34"/>
      <c r="E34" s="142" t="s">
        <v>210</v>
      </c>
      <c r="F34" s="3">
        <v>0</v>
      </c>
      <c r="G34">
        <v>2.6170000000000002E-4</v>
      </c>
      <c r="H34">
        <v>0.1</v>
      </c>
      <c r="I34"/>
      <c r="J34"/>
      <c r="K34">
        <v>7.1123749999999998E-3</v>
      </c>
      <c r="L34">
        <v>0</v>
      </c>
      <c r="M34" s="143">
        <v>0.2</v>
      </c>
      <c r="N34">
        <v>0</v>
      </c>
      <c r="O34"/>
      <c r="P34"/>
    </row>
    <row r="35" ht="15" customHeight="true" x14ac:dyDescent="0.2">
      <c r="C35">
        <v>34</v>
      </c>
      <c r="D35"/>
      <c r="E35" s="142" t="s">
        <v>211</v>
      </c>
      <c r="F35" s="3">
        <v>0</v>
      </c>
      <c r="G35">
        <v>9.9069999999999996E-4</v>
      </c>
      <c r="H35">
        <v>7.3999999999999996E-2</v>
      </c>
      <c r="I35"/>
      <c r="J35"/>
      <c r="K35">
        <v>5.7902969999999998E-3</v>
      </c>
      <c r="L35">
        <v>0</v>
      </c>
      <c r="M35" s="143">
        <v>0.2</v>
      </c>
      <c r="N35">
        <v>0</v>
      </c>
      <c r="O35"/>
      <c r="P35"/>
    </row>
    <row r="36" ht="15" customHeight="true" x14ac:dyDescent="0.2">
      <c r="C36">
        <v>35</v>
      </c>
      <c r="D36"/>
      <c r="E36" s="142" t="s">
        <v>212</v>
      </c>
      <c r="F36" s="3">
        <v>0</v>
      </c>
      <c r="G36" s="144">
        <v>2.5299999999999998E-5</v>
      </c>
      <c r="H36">
        <v>0.06</v>
      </c>
      <c r="I36"/>
      <c r="J36"/>
      <c r="K36">
        <v>1.1131729999999999E-2</v>
      </c>
      <c r="L36">
        <v>0</v>
      </c>
      <c r="M36" s="143">
        <v>0.2</v>
      </c>
      <c r="N36">
        <v>0</v>
      </c>
      <c r="O36"/>
      <c r="P36"/>
    </row>
    <row r="37" ht="15" customHeight="true" x14ac:dyDescent="0.2">
      <c r="C37">
        <v>36</v>
      </c>
      <c r="D37"/>
      <c r="E37" t="s">
        <v>213</v>
      </c>
      <c r="F37" s="3">
        <v>2</v>
      </c>
      <c r="G37">
        <v>5</v>
      </c>
      <c r="H37"/>
      <c r="I37"/>
      <c r="J37"/>
      <c r="K37"/>
      <c r="L37">
        <v>0</v>
      </c>
      <c r="M37"/>
      <c r="N37">
        <v>0</v>
      </c>
      <c r="O37" s="56" t="s">
        <v>214</v>
      </c>
      <c r="P37"/>
    </row>
    <row r="38" ht="15" customHeight="true" x14ac:dyDescent="0.2">
      <c r="C38">
        <v>37</v>
      </c>
      <c r="D38"/>
      <c r="E38" s="142" t="s">
        <v>215</v>
      </c>
      <c r="F38" s="3">
        <v>2</v>
      </c>
      <c r="G38">
        <v>24</v>
      </c>
      <c r="H38"/>
      <c r="I38"/>
      <c r="J38"/>
      <c r="K38"/>
      <c r="L38">
        <v>0</v>
      </c>
      <c r="M38" s="143"/>
      <c r="N38">
        <v>0</v>
      </c>
      <c r="O38"/>
      <c r="P38"/>
    </row>
    <row r="39" ht="15" customHeight="true" x14ac:dyDescent="0.2">
      <c r="C39">
        <v>38</v>
      </c>
      <c r="D39"/>
      <c r="E39" s="142" t="s">
        <v>216</v>
      </c>
      <c r="F39" s="3">
        <v>2</v>
      </c>
      <c r="G39">
        <v>3.6999999999999998E-2</v>
      </c>
      <c r="H39"/>
      <c r="I39"/>
      <c r="J39"/>
      <c r="K39"/>
      <c r="L39">
        <v>0</v>
      </c>
      <c r="M39" s="143"/>
      <c r="N39">
        <v>0</v>
      </c>
      <c r="O39"/>
      <c r="P39"/>
    </row>
    <row r="40" ht="15" customHeight="true" x14ac:dyDescent="0.2">
      <c r="C40">
        <v>39</v>
      </c>
      <c r="D40"/>
      <c r="E40" s="145" t="s">
        <v>217</v>
      </c>
      <c r="F40" s="3">
        <v>3</v>
      </c>
      <c r="G40"/>
      <c r="H40"/>
      <c r="I40"/>
      <c r="J40"/>
      <c r="K40"/>
      <c r="L40"/>
      <c r="M40"/>
      <c r="N40"/>
      <c r="O40"/>
      <c r="P40"/>
    </row>
    <row r="41" customFormat="true" ht="15" customHeight="true" x14ac:dyDescent="0.15"/>
    <row r="42" customFormat="true" ht="15" customHeight="true" x14ac:dyDescent="0.15"/>
    <row r="43" customFormat="true" ht="15" customHeight="true" x14ac:dyDescent="0.15"/>
    <row r="44" customFormat="true" ht="15" customHeight="true" x14ac:dyDescent="0.15"/>
    <row r="45" customFormat="true" ht="15" customHeight="true" x14ac:dyDescent="0.15"/>
    <row r="46" customFormat="true" ht="15" customHeight="true" x14ac:dyDescent="0.15"/>
    <row r="47" customFormat="true" ht="15" customHeight="true" x14ac:dyDescent="0.15"/>
    <row r="48" customFormat="true" ht="15" customHeight="true" x14ac:dyDescent="0.15"/>
    <row r="49" customFormat="true" ht="15" customHeight="true" x14ac:dyDescent="0.15"/>
    <row r="50" customFormat="true" ht="15" customHeight="true" x14ac:dyDescent="0.15"/>
    <row r="51" customFormat="true" ht="15" customHeight="true" x14ac:dyDescent="0.15"/>
    <row r="52" customFormat="true" ht="15" customHeight="true" x14ac:dyDescent="0.15"/>
    <row r="53" customFormat="true" ht="15" customHeight="true" x14ac:dyDescent="0.15"/>
    <row r="54" customFormat="true" ht="15" customHeight="true" x14ac:dyDescent="0.15"/>
    <row r="55" customFormat="true" ht="15" customHeight="true" x14ac:dyDescent="0.15"/>
    <row r="56" customFormat="true" ht="15" customHeight="true" x14ac:dyDescent="0.15"/>
    <row r="57" customFormat="true" ht="15" customHeight="true" x14ac:dyDescent="0.15"/>
    <row r="58" customFormat="true" ht="15" customHeight="true" x14ac:dyDescent="0.15"/>
    <row r="59" customFormat="true" ht="15" customHeight="true" x14ac:dyDescent="0.15"/>
    <row r="60" customFormat="true" ht="15" customHeight="true" x14ac:dyDescent="0.15"/>
    <row r="61" customFormat="true" ht="15" customHeight="true" x14ac:dyDescent="0.15"/>
    <row r="62" customFormat="true" ht="15" customHeight="true" x14ac:dyDescent="0.15"/>
    <row r="63" customFormat="true" ht="15" customHeight="true" x14ac:dyDescent="0.15"/>
    <row r="64" customFormat="true" ht="15" customHeight="true" x14ac:dyDescent="0.15"/>
    <row r="65" customFormat="true" ht="15" customHeight="true" x14ac:dyDescent="0.15"/>
    <row r="66" customFormat="true" ht="15" customHeight="true" x14ac:dyDescent="0.15"/>
    <row r="67" customFormat="true" ht="15" customHeight="true" x14ac:dyDescent="0.15"/>
    <row r="68" customFormat="true" ht="15" customHeight="true" x14ac:dyDescent="0.15"/>
    <row r="69" customFormat="true" ht="15" customHeight="true" x14ac:dyDescent="0.15"/>
    <row r="70" customFormat="true" ht="15" customHeight="true" x14ac:dyDescent="0.15"/>
    <row r="71" customFormat="true" ht="15" customHeight="true" x14ac:dyDescent="0.15"/>
    <row r="72" customFormat="true" ht="15" customHeight="true" x14ac:dyDescent="0.15"/>
    <row r="73" customFormat="true" ht="15" customHeight="true" x14ac:dyDescent="0.15"/>
    <row r="74" customFormat="true" ht="15" customHeight="true" x14ac:dyDescent="0.15"/>
    <row r="75" customFormat="true" ht="15" customHeight="true" x14ac:dyDescent="0.15"/>
    <row r="76" customFormat="true" ht="15" customHeight="true" x14ac:dyDescent="0.15"/>
    <row r="77" customFormat="true" ht="15" customHeight="true" x14ac:dyDescent="0.15"/>
    <row r="78" customFormat="true" ht="15" customHeight="true" x14ac:dyDescent="0.15"/>
    <row r="79" customFormat="true" ht="15" customHeight="true" x14ac:dyDescent="0.15"/>
    <row r="80" customFormat="true" ht="15" customHeight="true" x14ac:dyDescent="0.15"/>
    <row r="81" customFormat="true" ht="15" customHeight="true" x14ac:dyDescent="0.15"/>
    <row r="82" customFormat="true" ht="15" customHeight="true" x14ac:dyDescent="0.15"/>
    <row r="83" customFormat="true" ht="15" customHeight="true" x14ac:dyDescent="0.15"/>
    <row r="84" customFormat="true" ht="15" customHeight="true" x14ac:dyDescent="0.15"/>
    <row r="85" customFormat="true" ht="15" customHeight="true" x14ac:dyDescent="0.15"/>
    <row r="86" customFormat="true" ht="15" customHeight="true" x14ac:dyDescent="0.15"/>
    <row r="87" customFormat="true" ht="15" customHeight="true" x14ac:dyDescent="0.15"/>
    <row r="88" customFormat="true" ht="15" customHeight="true" x14ac:dyDescent="0.15"/>
    <row r="89" customFormat="true" ht="15" customHeight="true" x14ac:dyDescent="0.15"/>
    <row r="90" customFormat="true" ht="15" customHeight="true" x14ac:dyDescent="0.15"/>
    <row r="91" customFormat="true" ht="15" customHeight="true" x14ac:dyDescent="0.15"/>
    <row r="92" customFormat="true" ht="15" customHeight="true" x14ac:dyDescent="0.15"/>
    <row r="93" customFormat="true" ht="15" customHeight="true" x14ac:dyDescent="0.15"/>
    <row r="94" customFormat="true" ht="15" customHeight="true" x14ac:dyDescent="0.15"/>
    <row r="95" customFormat="true" ht="15" customHeight="true" x14ac:dyDescent="0.15"/>
    <row r="96" customFormat="true" ht="15" customHeight="true" x14ac:dyDescent="0.15"/>
    <row r="97" customFormat="true" ht="15" customHeight="true" x14ac:dyDescent="0.15"/>
    <row r="98" customFormat="true" ht="15" customHeight="true" x14ac:dyDescent="0.15"/>
    <row r="99" customFormat="true" ht="15" customHeight="true" x14ac:dyDescent="0.15"/>
    <row r="100" customFormat="true" ht="15" customHeight="true" x14ac:dyDescent="0.15"/>
    <row r="101" customFormat="true" ht="15" customHeight="true" x14ac:dyDescent="0.15"/>
    <row r="102" customFormat="true" ht="15" customHeight="true" x14ac:dyDescent="0.15"/>
    <row r="103" customFormat="true" ht="15" customHeight="true" x14ac:dyDescent="0.15"/>
    <row r="104" customFormat="true" ht="15" customHeight="true" x14ac:dyDescent="0.15"/>
    <row r="105" customFormat="true" ht="15" customHeight="true" x14ac:dyDescent="0.15"/>
    <row r="106" customFormat="true" ht="15" customHeight="true" x14ac:dyDescent="0.15"/>
    <row r="107" customFormat="true" ht="15" customHeight="true" x14ac:dyDescent="0.15"/>
    <row r="108" customFormat="true" ht="15" customHeight="true" x14ac:dyDescent="0.15"/>
    <row r="109" customFormat="true" ht="15" customHeight="true" x14ac:dyDescent="0.15"/>
    <row r="110" customFormat="true" ht="15" customHeight="true" x14ac:dyDescent="0.15"/>
    <row r="111" customFormat="true" ht="15" customHeight="true" x14ac:dyDescent="0.15"/>
    <row r="112" customFormat="true" ht="15" customHeight="true" x14ac:dyDescent="0.15"/>
    <row r="113" customFormat="true" ht="15" customHeight="true" x14ac:dyDescent="0.15"/>
    <row r="114" customFormat="true" ht="15" customHeight="true" x14ac:dyDescent="0.15"/>
    <row r="115" customFormat="true" ht="15" customHeight="true" x14ac:dyDescent="0.15"/>
    <row r="116" customFormat="true" ht="15" customHeight="true" x14ac:dyDescent="0.15"/>
    <row r="117" customFormat="true" ht="15" customHeight="true" x14ac:dyDescent="0.15"/>
    <row r="118" customFormat="true" ht="15" customHeight="true" x14ac:dyDescent="0.15"/>
    <row r="119" customFormat="true" ht="15" customHeight="true" x14ac:dyDescent="0.15"/>
    <row r="120" customFormat="true" ht="15" customHeight="true" x14ac:dyDescent="0.15"/>
    <row r="121" customFormat="true" ht="15" customHeight="true" x14ac:dyDescent="0.15"/>
    <row r="122" customFormat="true" ht="15" customHeight="true" x14ac:dyDescent="0.15"/>
    <row r="123" customFormat="true" ht="15" customHeight="true" x14ac:dyDescent="0.15"/>
    <row r="124" customFormat="true" ht="15" customHeight="true" x14ac:dyDescent="0.15"/>
    <row r="125" customFormat="true" ht="15" customHeight="true" x14ac:dyDescent="0.15"/>
    <row r="126" customFormat="true" ht="15" customHeight="true" x14ac:dyDescent="0.15"/>
    <row r="127" customFormat="true" ht="15" customHeight="true" x14ac:dyDescent="0.15"/>
    <row r="128" customFormat="true" ht="15" customHeight="true" x14ac:dyDescent="0.15"/>
    <row r="129" customFormat="true" ht="15" customHeight="true" x14ac:dyDescent="0.15"/>
    <row r="130" customFormat="true" ht="15" customHeight="true" x14ac:dyDescent="0.15"/>
    <row r="131" customFormat="true" ht="15" customHeight="true" x14ac:dyDescent="0.15"/>
    <row r="132" customFormat="true" ht="15" customHeight="true" x14ac:dyDescent="0.15"/>
    <row r="133" customFormat="true" ht="15" customHeight="true" x14ac:dyDescent="0.15"/>
    <row r="134" customFormat="true" ht="15" customHeight="true" x14ac:dyDescent="0.15"/>
    <row r="135" customFormat="true" ht="15" customHeight="true" x14ac:dyDescent="0.15"/>
    <row r="136" customFormat="true" ht="15" customHeight="true" x14ac:dyDescent="0.15"/>
    <row r="137" customFormat="true" ht="15" customHeight="true" x14ac:dyDescent="0.15"/>
    <row r="138" customFormat="true" ht="15" customHeight="true" x14ac:dyDescent="0.15"/>
    <row r="139" customFormat="true" ht="15" customHeight="true" x14ac:dyDescent="0.15"/>
    <row r="140" customFormat="true" ht="15" customHeight="true" x14ac:dyDescent="0.15"/>
    <row r="141" customFormat="true" ht="15" customHeight="true" x14ac:dyDescent="0.15"/>
    <row r="142" customFormat="true" ht="15" customHeight="true" x14ac:dyDescent="0.15"/>
    <row r="143" customFormat="true" ht="15" customHeight="true" x14ac:dyDescent="0.15"/>
    <row r="144" customFormat="true" ht="15" customHeight="true" x14ac:dyDescent="0.15"/>
    <row r="145" customFormat="true" ht="15" customHeight="true" x14ac:dyDescent="0.15"/>
    <row r="146" customFormat="true" ht="15" customHeight="true" x14ac:dyDescent="0.15"/>
    <row r="147" customFormat="true" ht="15" customHeight="true" x14ac:dyDescent="0.15"/>
    <row r="148" customFormat="true" ht="15" customHeight="true" x14ac:dyDescent="0.15"/>
    <row r="149" customFormat="true" ht="15" customHeight="true" x14ac:dyDescent="0.15"/>
    <row r="150" customFormat="true" ht="15" customHeight="true" x14ac:dyDescent="0.15"/>
    <row r="151" customFormat="true" ht="15" customHeight="true" x14ac:dyDescent="0.15"/>
    <row r="152" customFormat="true" ht="15" customHeight="true" x14ac:dyDescent="0.15"/>
    <row r="153" customFormat="true" ht="15" customHeight="true" x14ac:dyDescent="0.15"/>
    <row r="154" customFormat="true" ht="15" customHeight="true" x14ac:dyDescent="0.15"/>
    <row r="155" customFormat="true" ht="15" customHeight="true" x14ac:dyDescent="0.15"/>
    <row r="156" customFormat="true" ht="15" customHeight="true" x14ac:dyDescent="0.15"/>
    <row r="157" customFormat="true" ht="15" customHeight="true" x14ac:dyDescent="0.15"/>
    <row r="158" customFormat="true" ht="15" customHeight="true" x14ac:dyDescent="0.15"/>
    <row r="159" customFormat="true" ht="15" customHeight="true" x14ac:dyDescent="0.15"/>
    <row r="160" customFormat="true" ht="15" customHeight="true" x14ac:dyDescent="0.15"/>
    <row r="161" customFormat="true" ht="15" customHeight="true" x14ac:dyDescent="0.15"/>
    <row r="162" customFormat="true" ht="15" customHeight="true" x14ac:dyDescent="0.15"/>
    <row r="163" customFormat="true" ht="15" customHeight="true" x14ac:dyDescent="0.15"/>
    <row r="164" customFormat="true" ht="15" customHeight="true" x14ac:dyDescent="0.15"/>
    <row r="165" customFormat="true" ht="15" customHeight="true" x14ac:dyDescent="0.15"/>
    <row r="166" customFormat="true" ht="15" customHeight="true" x14ac:dyDescent="0.15"/>
    <row r="167" customFormat="true" ht="15" customHeight="true" x14ac:dyDescent="0.15"/>
    <row r="168" customFormat="true" ht="15" customHeight="true" x14ac:dyDescent="0.15"/>
    <row r="169" customFormat="true" ht="15" customHeight="true" x14ac:dyDescent="0.15"/>
    <row r="170" customFormat="true" ht="15" customHeight="true" x14ac:dyDescent="0.15"/>
    <row r="171" customFormat="true" ht="15" customHeight="true" x14ac:dyDescent="0.15"/>
    <row r="172" customFormat="true" ht="15" customHeight="true" x14ac:dyDescent="0.15"/>
    <row r="173" customFormat="true" ht="15" customHeight="true" x14ac:dyDescent="0.15"/>
    <row r="174" customFormat="true" ht="15" customHeight="true" x14ac:dyDescent="0.15"/>
    <row r="175" customFormat="true" ht="15" customHeight="true" x14ac:dyDescent="0.15"/>
    <row r="176" customFormat="true" ht="15" customHeight="true" x14ac:dyDescent="0.15"/>
    <row r="177" customFormat="true" ht="15" customHeight="true" x14ac:dyDescent="0.15"/>
    <row r="178" customFormat="true" ht="15" customHeight="true" x14ac:dyDescent="0.15"/>
    <row r="179" customFormat="true" ht="15" customHeight="true" x14ac:dyDescent="0.15"/>
    <row r="180" customFormat="true" ht="15" customHeight="true" x14ac:dyDescent="0.15"/>
    <row r="181" customFormat="true" ht="15" customHeight="true" x14ac:dyDescent="0.15"/>
    <row r="182" customFormat="true" ht="15" customHeight="true" x14ac:dyDescent="0.15"/>
    <row r="183" customFormat="true" ht="15" customHeight="true" x14ac:dyDescent="0.15"/>
    <row r="184" customFormat="true" ht="15" customHeight="true" x14ac:dyDescent="0.15"/>
    <row r="185" customFormat="true" ht="15" customHeight="true" x14ac:dyDescent="0.15"/>
    <row r="186" customFormat="true" ht="15" customHeight="true" x14ac:dyDescent="0.15"/>
    <row r="187" customFormat="true" ht="15" customHeight="true" x14ac:dyDescent="0.15"/>
    <row r="188" customFormat="true" ht="15" customHeight="true" x14ac:dyDescent="0.15"/>
    <row r="189" customFormat="true" ht="15" customHeight="true" x14ac:dyDescent="0.15"/>
    <row r="190" customFormat="true" ht="15" customHeight="true" x14ac:dyDescent="0.15"/>
    <row r="191" customFormat="true" ht="15" customHeight="true" x14ac:dyDescent="0.15"/>
    <row r="192" customFormat="true" ht="15" customHeight="true" x14ac:dyDescent="0.15"/>
    <row r="193" customFormat="true" ht="15" customHeight="true" x14ac:dyDescent="0.15"/>
    <row r="194" customFormat="true" ht="15" customHeight="true" x14ac:dyDescent="0.15"/>
    <row r="195" customFormat="true" ht="15" customHeight="true" x14ac:dyDescent="0.15"/>
    <row r="196" customFormat="true" ht="15" customHeight="true" x14ac:dyDescent="0.15"/>
    <row r="197" customFormat="true" ht="15" customHeight="true" x14ac:dyDescent="0.15"/>
    <row r="198" customFormat="true" ht="15" customHeight="true" x14ac:dyDescent="0.15"/>
    <row r="199" customFormat="true" ht="15" customHeight="true" x14ac:dyDescent="0.15"/>
    <row r="200" customFormat="true" ht="15" customHeight="true" x14ac:dyDescent="0.15"/>
    <row r="201" customFormat="true" ht="15" customHeight="true" x14ac:dyDescent="0.15"/>
    <row r="202" customFormat="true" ht="15" customHeight="true" x14ac:dyDescent="0.15"/>
    <row r="203" customFormat="true" ht="15" customHeight="true" x14ac:dyDescent="0.15"/>
    <row r="204" customFormat="true" ht="15" customHeight="true" x14ac:dyDescent="0.15"/>
    <row r="205" customFormat="true" ht="15" customHeight="true" x14ac:dyDescent="0.15"/>
    <row r="206" customFormat="true" ht="15" customHeight="true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M38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9" sqref="A9"/>
    </sheetView>
  </sheetViews>
  <sheetFormatPr baseColWidth="10" defaultColWidth="8.83203125" defaultRowHeight="13" x14ac:dyDescent="0.15"/>
  <cols>
    <col min="1" max="1" width="27.6640625" bestFit="true" customWidth="true"/>
  </cols>
  <sheetData>
    <row r="1" x14ac:dyDescent="0.15">
      <c r="A1" s="2" t="s">
        <v>20</v>
      </c>
      <c r="B1" t="s">
        <v>178</v>
      </c>
      <c r="C1" t="s">
        <v>179</v>
      </c>
      <c r="D1" t="s">
        <v>180</v>
      </c>
      <c r="E1" t="s">
        <v>181</v>
      </c>
      <c r="F1" t="s">
        <v>182</v>
      </c>
      <c r="G1" t="s">
        <v>183</v>
      </c>
      <c r="H1" t="s">
        <v>184</v>
      </c>
      <c r="I1" t="s">
        <v>185</v>
      </c>
      <c r="J1" t="s">
        <v>186</v>
      </c>
      <c r="K1" t="s">
        <v>187</v>
      </c>
      <c r="L1" t="s">
        <v>188</v>
      </c>
      <c r="M1" t="s">
        <v>189</v>
      </c>
      <c r="N1" t="s">
        <v>190</v>
      </c>
      <c r="O1" t="s">
        <v>191</v>
      </c>
      <c r="P1" t="s">
        <v>192</v>
      </c>
      <c r="Q1" t="s">
        <v>193</v>
      </c>
      <c r="R1" t="s">
        <v>194</v>
      </c>
      <c r="S1" t="s">
        <v>195</v>
      </c>
      <c r="T1" t="s">
        <v>196</v>
      </c>
      <c r="U1" t="s">
        <v>197</v>
      </c>
      <c r="V1" t="s">
        <v>198</v>
      </c>
      <c r="W1" t="s">
        <v>199</v>
      </c>
      <c r="X1" t="s">
        <v>200</v>
      </c>
      <c r="Y1" t="s">
        <v>201</v>
      </c>
      <c r="Z1" t="s">
        <v>202</v>
      </c>
      <c r="AA1" t="s">
        <v>203</v>
      </c>
      <c r="AB1" t="s">
        <v>204</v>
      </c>
      <c r="AC1" t="s">
        <v>205</v>
      </c>
      <c r="AD1" t="s">
        <v>206</v>
      </c>
      <c r="AE1" t="s">
        <v>207</v>
      </c>
      <c r="AF1" t="s">
        <v>208</v>
      </c>
      <c r="AG1" t="s">
        <v>209</v>
      </c>
      <c r="AH1" t="s">
        <v>210</v>
      </c>
      <c r="AI1" t="s">
        <v>211</v>
      </c>
      <c r="AJ1" t="s">
        <v>212</v>
      </c>
      <c r="AK1" t="s">
        <v>213</v>
      </c>
      <c r="AL1" t="s">
        <v>215</v>
      </c>
      <c r="AM1" t="s">
        <v>216</v>
      </c>
    </row>
    <row r="2" x14ac:dyDescent="0.15">
      <c r="A2" t="s">
        <v>178</v>
      </c>
      <c r="B2" s="146">
        <v>0</v>
      </c>
      <c r="C2">
        <v>0</v>
      </c>
      <c r="D2">
        <v>0</v>
      </c>
      <c r="E2">
        <v>0</v>
      </c>
      <c r="F2">
        <v>0</v>
      </c>
      <c r="G2">
        <v>0.1</v>
      </c>
      <c r="H2">
        <v>0</v>
      </c>
      <c r="I2">
        <v>0.05</v>
      </c>
      <c r="J2">
        <v>0.05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</row>
    <row r="3" x14ac:dyDescent="0.15">
      <c r="A3" t="s">
        <v>179</v>
      </c>
      <c r="B3">
        <v>0</v>
      </c>
      <c r="C3" s="146">
        <v>0</v>
      </c>
      <c r="D3">
        <v>0</v>
      </c>
      <c r="E3">
        <v>0</v>
      </c>
      <c r="F3">
        <v>0.6</v>
      </c>
      <c r="G3">
        <v>0.3</v>
      </c>
      <c r="H3">
        <v>0.7</v>
      </c>
      <c r="I3">
        <v>0.05</v>
      </c>
      <c r="J3">
        <v>0.05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</row>
    <row r="4" x14ac:dyDescent="0.15">
      <c r="A4" t="s">
        <v>180</v>
      </c>
      <c r="B4">
        <v>0</v>
      </c>
      <c r="C4">
        <v>0</v>
      </c>
      <c r="D4" s="146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0.05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</row>
    <row r="5" x14ac:dyDescent="0.15">
      <c r="A5" t="s">
        <v>181</v>
      </c>
      <c r="B5">
        <v>0</v>
      </c>
      <c r="C5">
        <v>0</v>
      </c>
      <c r="D5">
        <v>0</v>
      </c>
      <c r="E5" s="146">
        <v>0</v>
      </c>
      <c r="F5">
        <v>0</v>
      </c>
      <c r="G5">
        <v>0</v>
      </c>
      <c r="H5">
        <v>0</v>
      </c>
      <c r="I5">
        <v>0</v>
      </c>
      <c r="J5">
        <v>0.02</v>
      </c>
      <c r="K5">
        <v>0</v>
      </c>
      <c r="L5">
        <v>0</v>
      </c>
      <c r="M5">
        <v>0</v>
      </c>
      <c r="N5">
        <v>0.05</v>
      </c>
      <c r="O5">
        <v>0</v>
      </c>
      <c r="P5">
        <v>0</v>
      </c>
      <c r="Q5">
        <v>0.03</v>
      </c>
      <c r="R5">
        <v>0.1</v>
      </c>
      <c r="S5">
        <v>0.28000000000000003</v>
      </c>
      <c r="T5">
        <v>0.13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</row>
    <row r="6" x14ac:dyDescent="0.15">
      <c r="A6" t="s">
        <v>182</v>
      </c>
      <c r="B6">
        <v>0</v>
      </c>
      <c r="C6">
        <v>0</v>
      </c>
      <c r="D6">
        <v>0</v>
      </c>
      <c r="E6">
        <v>0</v>
      </c>
      <c r="F6" s="146">
        <v>0.1</v>
      </c>
      <c r="G6">
        <v>0.4</v>
      </c>
      <c r="H6">
        <v>0</v>
      </c>
      <c r="I6">
        <v>0.05</v>
      </c>
      <c r="J6">
        <v>0.08</v>
      </c>
      <c r="K6">
        <v>0.6</v>
      </c>
      <c r="L6">
        <v>0.1</v>
      </c>
      <c r="M6">
        <v>0.35</v>
      </c>
      <c r="N6">
        <v>0.51700000000000002</v>
      </c>
      <c r="O6">
        <v>0</v>
      </c>
      <c r="P6">
        <v>0</v>
      </c>
      <c r="Q6">
        <v>0.35</v>
      </c>
      <c r="R6">
        <v>0.3</v>
      </c>
      <c r="S6">
        <v>5.5E-2</v>
      </c>
      <c r="T6">
        <v>7.0000000000000007E-2</v>
      </c>
      <c r="U6">
        <v>0</v>
      </c>
      <c r="V6">
        <v>0.4</v>
      </c>
      <c r="W6">
        <v>3.8095199999999999E-4</v>
      </c>
      <c r="X6">
        <v>0.01</v>
      </c>
      <c r="Y6">
        <v>0.01</v>
      </c>
      <c r="Z6">
        <v>0.01</v>
      </c>
      <c r="AA6">
        <v>0.01</v>
      </c>
      <c r="AB6">
        <v>3.6999999999999998E-2</v>
      </c>
      <c r="AC6">
        <v>7.0000000000000007E-2</v>
      </c>
      <c r="AD6">
        <v>0.26</v>
      </c>
      <c r="AE6">
        <v>0.3</v>
      </c>
      <c r="AF6">
        <v>5.0000000000000001E-3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</row>
    <row r="7" x14ac:dyDescent="0.15">
      <c r="A7" t="s">
        <v>183</v>
      </c>
      <c r="B7">
        <v>0</v>
      </c>
      <c r="C7">
        <v>0</v>
      </c>
      <c r="D7">
        <v>0</v>
      </c>
      <c r="E7">
        <v>0</v>
      </c>
      <c r="F7">
        <v>0</v>
      </c>
      <c r="G7" s="146">
        <v>0</v>
      </c>
      <c r="H7">
        <v>0</v>
      </c>
      <c r="I7">
        <v>0</v>
      </c>
      <c r="J7">
        <v>0.05</v>
      </c>
      <c r="K7">
        <v>0.1</v>
      </c>
      <c r="L7">
        <v>0.24</v>
      </c>
      <c r="M7">
        <v>0.35</v>
      </c>
      <c r="N7">
        <v>0.24199999999999999</v>
      </c>
      <c r="O7">
        <v>0.05</v>
      </c>
      <c r="P7">
        <v>0.2</v>
      </c>
      <c r="Q7">
        <v>0.1</v>
      </c>
      <c r="R7">
        <v>0.1</v>
      </c>
      <c r="S7">
        <v>7.0000000000000007E-2</v>
      </c>
      <c r="T7">
        <v>0.15</v>
      </c>
      <c r="U7">
        <v>0</v>
      </c>
      <c r="V7">
        <v>0.2</v>
      </c>
      <c r="W7">
        <v>1.19048E-4</v>
      </c>
      <c r="X7">
        <v>0.02</v>
      </c>
      <c r="Y7">
        <v>0.02</v>
      </c>
      <c r="Z7">
        <v>0.02</v>
      </c>
      <c r="AA7">
        <v>0.02</v>
      </c>
      <c r="AB7">
        <v>0.05</v>
      </c>
      <c r="AC7">
        <v>0.15</v>
      </c>
      <c r="AD7">
        <v>0.5</v>
      </c>
      <c r="AE7">
        <v>0.45</v>
      </c>
      <c r="AF7">
        <v>5.0000000000000001E-3</v>
      </c>
      <c r="AG7">
        <v>1E-3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</row>
    <row r="8" x14ac:dyDescent="0.15">
      <c r="A8" t="s">
        <v>184</v>
      </c>
      <c r="B8">
        <v>0</v>
      </c>
      <c r="C8">
        <v>0</v>
      </c>
      <c r="D8">
        <v>0</v>
      </c>
      <c r="E8">
        <v>0</v>
      </c>
      <c r="F8">
        <v>0.2</v>
      </c>
      <c r="G8">
        <v>0.2</v>
      </c>
      <c r="H8" s="146">
        <v>0</v>
      </c>
      <c r="I8">
        <v>0</v>
      </c>
      <c r="J8">
        <v>0.08</v>
      </c>
      <c r="K8">
        <v>0.3</v>
      </c>
      <c r="L8">
        <v>0.04</v>
      </c>
      <c r="M8">
        <v>0.3</v>
      </c>
      <c r="N8">
        <v>7.0000000000000007E-2</v>
      </c>
      <c r="O8">
        <v>0</v>
      </c>
      <c r="P8">
        <v>0</v>
      </c>
      <c r="Q8">
        <v>0</v>
      </c>
      <c r="R8">
        <v>0.25</v>
      </c>
      <c r="S8">
        <v>0.13</v>
      </c>
      <c r="T8">
        <v>0.04</v>
      </c>
      <c r="U8">
        <v>0</v>
      </c>
      <c r="V8">
        <v>0.04</v>
      </c>
      <c r="W8">
        <v>0</v>
      </c>
      <c r="X8">
        <v>0.01</v>
      </c>
      <c r="Y8">
        <v>0.01</v>
      </c>
      <c r="Z8">
        <v>0.01</v>
      </c>
      <c r="AA8">
        <v>0.01</v>
      </c>
      <c r="AB8">
        <v>0.01</v>
      </c>
      <c r="AC8">
        <v>0.03</v>
      </c>
      <c r="AD8">
        <v>0.1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</row>
    <row r="9" x14ac:dyDescent="0.15">
      <c r="A9" t="s">
        <v>185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s="146">
        <v>0.01</v>
      </c>
      <c r="J9">
        <v>1E-3</v>
      </c>
      <c r="K9">
        <v>0</v>
      </c>
      <c r="L9">
        <v>0</v>
      </c>
      <c r="M9">
        <v>0</v>
      </c>
      <c r="N9">
        <v>1E-3</v>
      </c>
      <c r="O9">
        <v>0</v>
      </c>
      <c r="P9">
        <v>0</v>
      </c>
      <c r="Q9">
        <v>0.27</v>
      </c>
      <c r="R9">
        <v>0.05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0.15</v>
      </c>
      <c r="AD9">
        <v>0.05</v>
      </c>
      <c r="AE9">
        <v>0</v>
      </c>
      <c r="AF9">
        <v>0</v>
      </c>
      <c r="AG9">
        <v>1E-3</v>
      </c>
      <c r="AH9">
        <v>1E-3</v>
      </c>
      <c r="AI9">
        <v>0</v>
      </c>
      <c r="AJ9">
        <v>0</v>
      </c>
      <c r="AK9">
        <v>0</v>
      </c>
      <c r="AL9">
        <v>0</v>
      </c>
      <c r="AM9">
        <v>0</v>
      </c>
    </row>
    <row r="10" x14ac:dyDescent="0.15">
      <c r="A10" t="s">
        <v>186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0.1</v>
      </c>
      <c r="J10" s="146">
        <v>0</v>
      </c>
      <c r="K10">
        <v>0</v>
      </c>
      <c r="L10">
        <v>0</v>
      </c>
      <c r="M10">
        <v>0</v>
      </c>
      <c r="N10">
        <v>7.0000000000000007E-2</v>
      </c>
      <c r="O10">
        <v>0</v>
      </c>
      <c r="P10">
        <v>0</v>
      </c>
      <c r="Q10">
        <v>0.25</v>
      </c>
      <c r="R10">
        <v>0.2</v>
      </c>
      <c r="S10">
        <v>0.14000000000000001</v>
      </c>
      <c r="T10">
        <v>0.16</v>
      </c>
      <c r="U10">
        <v>0.2</v>
      </c>
      <c r="V10">
        <v>0</v>
      </c>
      <c r="W10">
        <v>0</v>
      </c>
      <c r="X10">
        <v>0</v>
      </c>
      <c r="Y10">
        <v>0</v>
      </c>
      <c r="Z10">
        <v>0</v>
      </c>
      <c r="AA10">
        <v>0.02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</row>
    <row r="11" x14ac:dyDescent="0.15">
      <c r="A11" t="s">
        <v>187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s="146">
        <v>0</v>
      </c>
      <c r="L11">
        <v>0.1</v>
      </c>
      <c r="M11">
        <v>0</v>
      </c>
      <c r="N11">
        <v>0</v>
      </c>
      <c r="O11">
        <v>0.2</v>
      </c>
      <c r="P11">
        <v>0.05</v>
      </c>
      <c r="Q11">
        <v>0</v>
      </c>
      <c r="R11">
        <v>0</v>
      </c>
      <c r="S11">
        <v>0</v>
      </c>
      <c r="T11">
        <v>0</v>
      </c>
      <c r="U11">
        <v>0.01</v>
      </c>
      <c r="V11">
        <v>0.12</v>
      </c>
      <c r="W11">
        <v>2.1999999999999999E-2</v>
      </c>
      <c r="X11">
        <v>0.45</v>
      </c>
      <c r="Y11">
        <v>0.45</v>
      </c>
      <c r="Z11">
        <v>0.27</v>
      </c>
      <c r="AA11">
        <v>0.25</v>
      </c>
      <c r="AB11">
        <v>0.4</v>
      </c>
      <c r="AC11">
        <v>0.01</v>
      </c>
      <c r="AD11">
        <v>0.02</v>
      </c>
      <c r="AE11">
        <v>0.03</v>
      </c>
      <c r="AF11">
        <v>7.0000000000000007E-2</v>
      </c>
      <c r="AG11">
        <v>5.0000000000000001E-3</v>
      </c>
      <c r="AH11">
        <v>0.01</v>
      </c>
      <c r="AI11">
        <v>0.22500000000000001</v>
      </c>
      <c r="AJ11">
        <v>4.1000000000000002E-2</v>
      </c>
      <c r="AK11">
        <v>0</v>
      </c>
      <c r="AL11">
        <v>0</v>
      </c>
      <c r="AM11">
        <v>0</v>
      </c>
    </row>
    <row r="12" x14ac:dyDescent="0.15">
      <c r="A12" t="s">
        <v>188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146">
        <v>0</v>
      </c>
      <c r="M12">
        <v>0</v>
      </c>
      <c r="N12">
        <v>0</v>
      </c>
      <c r="O12">
        <v>0.41</v>
      </c>
      <c r="P12">
        <v>0.1</v>
      </c>
      <c r="Q12">
        <v>0</v>
      </c>
      <c r="R12">
        <v>0</v>
      </c>
      <c r="S12">
        <v>0.01</v>
      </c>
      <c r="T12">
        <v>0.19</v>
      </c>
      <c r="U12">
        <v>0.44</v>
      </c>
      <c r="V12">
        <v>0.02</v>
      </c>
      <c r="W12">
        <v>3.2000000000000001E-2</v>
      </c>
      <c r="X12">
        <v>0.1</v>
      </c>
      <c r="Y12">
        <v>0.01</v>
      </c>
      <c r="Z12">
        <v>0.11</v>
      </c>
      <c r="AA12">
        <v>0.1</v>
      </c>
      <c r="AB12">
        <v>0.4</v>
      </c>
      <c r="AC12">
        <v>0</v>
      </c>
      <c r="AD12">
        <v>0</v>
      </c>
      <c r="AE12">
        <v>0.04</v>
      </c>
      <c r="AF12">
        <v>7.0000000000000007E-2</v>
      </c>
      <c r="AG12">
        <v>5.0000000000000001E-3</v>
      </c>
      <c r="AH12">
        <v>0.03</v>
      </c>
      <c r="AI12">
        <v>0.32500000000000001</v>
      </c>
      <c r="AJ12">
        <v>5.9089999999999997E-2</v>
      </c>
      <c r="AK12">
        <v>0</v>
      </c>
      <c r="AL12">
        <v>0</v>
      </c>
      <c r="AM12">
        <v>0</v>
      </c>
    </row>
    <row r="13" x14ac:dyDescent="0.15">
      <c r="A13" t="s">
        <v>189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0.4</v>
      </c>
      <c r="M13" s="146">
        <v>0</v>
      </c>
      <c r="N13">
        <v>0.05</v>
      </c>
      <c r="O13">
        <v>0.20100000000000001</v>
      </c>
      <c r="P13">
        <v>0.5</v>
      </c>
      <c r="Q13">
        <v>0</v>
      </c>
      <c r="R13">
        <v>0</v>
      </c>
      <c r="S13">
        <v>0.27</v>
      </c>
      <c r="T13">
        <v>0.22</v>
      </c>
      <c r="U13">
        <v>3.9E-2</v>
      </c>
      <c r="V13">
        <v>0.2</v>
      </c>
      <c r="W13">
        <v>2.5999999999999999E-2</v>
      </c>
      <c r="X13">
        <v>0.33</v>
      </c>
      <c r="Y13">
        <v>0.42</v>
      </c>
      <c r="Z13">
        <v>0.46</v>
      </c>
      <c r="AA13">
        <v>0.39600000000000002</v>
      </c>
      <c r="AB13">
        <v>0.08</v>
      </c>
      <c r="AC13">
        <v>0</v>
      </c>
      <c r="AD13">
        <v>5.5E-2</v>
      </c>
      <c r="AE13">
        <v>0.14000000000000001</v>
      </c>
      <c r="AF13">
        <v>0.79</v>
      </c>
      <c r="AG13">
        <v>0.95</v>
      </c>
      <c r="AH13">
        <v>0.9</v>
      </c>
      <c r="AI13">
        <v>0.1875</v>
      </c>
      <c r="AJ13">
        <v>7.4999999999999997E-2</v>
      </c>
      <c r="AK13">
        <v>0</v>
      </c>
      <c r="AL13">
        <v>0</v>
      </c>
      <c r="AM13">
        <v>0</v>
      </c>
    </row>
    <row r="14" x14ac:dyDescent="0.15">
      <c r="A14" t="s">
        <v>190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3">
        <v>0</v>
      </c>
      <c r="L14" s="3">
        <v>0.12</v>
      </c>
      <c r="M14" s="3">
        <v>0</v>
      </c>
      <c r="N14" s="146">
        <v>0</v>
      </c>
      <c r="O14">
        <v>9.8000000000000004E-2</v>
      </c>
      <c r="P14">
        <v>0.15</v>
      </c>
      <c r="Q14">
        <v>0</v>
      </c>
      <c r="R14">
        <v>0</v>
      </c>
      <c r="S14">
        <v>0.04</v>
      </c>
      <c r="T14">
        <v>0.04</v>
      </c>
      <c r="U14">
        <v>1.0999999999999999E-2</v>
      </c>
      <c r="V14">
        <v>0.02</v>
      </c>
      <c r="W14">
        <v>8.9999999999999993E-3</v>
      </c>
      <c r="X14">
        <v>0.08</v>
      </c>
      <c r="Y14">
        <v>0.08</v>
      </c>
      <c r="Z14">
        <v>0.12</v>
      </c>
      <c r="AA14">
        <v>0.19</v>
      </c>
      <c r="AB14">
        <v>0.02</v>
      </c>
      <c r="AC14">
        <v>0</v>
      </c>
      <c r="AD14">
        <v>1.4E-2</v>
      </c>
      <c r="AE14">
        <v>0.04</v>
      </c>
      <c r="AF14">
        <v>0.06</v>
      </c>
      <c r="AG14">
        <v>3.2000000000000001E-2</v>
      </c>
      <c r="AH14">
        <v>4.8000000000000001E-2</v>
      </c>
      <c r="AI14">
        <v>6.25E-2</v>
      </c>
      <c r="AJ14">
        <v>2.5000000000000001E-2</v>
      </c>
      <c r="AK14">
        <v>0</v>
      </c>
      <c r="AL14">
        <v>0</v>
      </c>
      <c r="AM14">
        <v>0</v>
      </c>
    </row>
    <row r="15" x14ac:dyDescent="0.15">
      <c r="A15" t="s">
        <v>191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s="3">
        <v>0</v>
      </c>
      <c r="L15" s="3">
        <v>0</v>
      </c>
      <c r="M15" s="3">
        <v>0</v>
      </c>
      <c r="N15">
        <v>0</v>
      </c>
      <c r="O15" s="146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0.05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1E-3</v>
      </c>
      <c r="AH15">
        <v>1E-3</v>
      </c>
      <c r="AI15">
        <v>8.2500000000000004E-3</v>
      </c>
      <c r="AJ15">
        <v>1.651E-2</v>
      </c>
      <c r="AK15">
        <v>0</v>
      </c>
      <c r="AL15">
        <v>0</v>
      </c>
      <c r="AM15">
        <v>0</v>
      </c>
    </row>
    <row r="16" x14ac:dyDescent="0.15">
      <c r="A16" t="s">
        <v>192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s="3">
        <v>0</v>
      </c>
      <c r="L16" s="3">
        <v>0</v>
      </c>
      <c r="M16" s="3">
        <v>0</v>
      </c>
      <c r="N16">
        <v>0</v>
      </c>
      <c r="O16">
        <v>3.5000000000000003E-2</v>
      </c>
      <c r="P16" s="146">
        <v>0</v>
      </c>
      <c r="Q16">
        <v>0</v>
      </c>
      <c r="R16">
        <v>0</v>
      </c>
      <c r="S16">
        <v>0</v>
      </c>
      <c r="T16">
        <v>0</v>
      </c>
      <c r="U16">
        <v>0.05</v>
      </c>
      <c r="V16">
        <v>0</v>
      </c>
      <c r="W16">
        <v>0</v>
      </c>
      <c r="X16">
        <v>0</v>
      </c>
      <c r="Y16">
        <v>0</v>
      </c>
      <c r="Z16">
        <v>0</v>
      </c>
      <c r="AA16" s="3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1E-3</v>
      </c>
      <c r="AH16">
        <v>1E-3</v>
      </c>
      <c r="AI16">
        <v>8.1189999999999998E-2</v>
      </c>
      <c r="AJ16">
        <v>0.16238</v>
      </c>
      <c r="AK16">
        <v>0</v>
      </c>
      <c r="AL16">
        <v>0</v>
      </c>
      <c r="AM16">
        <v>0</v>
      </c>
    </row>
    <row r="17" x14ac:dyDescent="0.15">
      <c r="A17" t="s">
        <v>193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s="3">
        <v>0</v>
      </c>
      <c r="L17" s="3">
        <v>0</v>
      </c>
      <c r="M17" s="3">
        <v>0</v>
      </c>
      <c r="N17">
        <v>0</v>
      </c>
      <c r="O17">
        <v>0</v>
      </c>
      <c r="P17">
        <v>0</v>
      </c>
      <c r="Q17" s="146">
        <v>0</v>
      </c>
      <c r="R17">
        <v>0</v>
      </c>
      <c r="S17">
        <v>5.0000000000000001E-3</v>
      </c>
      <c r="T17">
        <v>0</v>
      </c>
      <c r="U17">
        <v>0.05</v>
      </c>
      <c r="V17">
        <v>0</v>
      </c>
      <c r="W17">
        <v>0</v>
      </c>
      <c r="X17">
        <v>0</v>
      </c>
      <c r="Y17">
        <v>0</v>
      </c>
      <c r="Z17">
        <v>0</v>
      </c>
      <c r="AA17" s="3">
        <v>0</v>
      </c>
      <c r="AB17">
        <v>0</v>
      </c>
      <c r="AC17">
        <v>0.2</v>
      </c>
      <c r="AD17">
        <v>1E-3</v>
      </c>
      <c r="AE17">
        <v>0</v>
      </c>
      <c r="AF17">
        <v>0</v>
      </c>
      <c r="AG17">
        <v>1E-3</v>
      </c>
      <c r="AH17">
        <v>1E-3</v>
      </c>
      <c r="AI17">
        <v>1.353E-2</v>
      </c>
      <c r="AJ17">
        <v>2.7060000000000001E-2</v>
      </c>
      <c r="AK17">
        <v>0</v>
      </c>
      <c r="AL17">
        <v>0</v>
      </c>
      <c r="AM17">
        <v>0</v>
      </c>
    </row>
    <row r="18" x14ac:dyDescent="0.15">
      <c r="A18" t="s">
        <v>194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s="3">
        <v>0</v>
      </c>
      <c r="L18" s="3">
        <v>0</v>
      </c>
      <c r="M18" s="3">
        <v>0</v>
      </c>
      <c r="N18">
        <v>0</v>
      </c>
      <c r="O18">
        <v>6.0000000000000001E-3</v>
      </c>
      <c r="P18">
        <v>0</v>
      </c>
      <c r="Q18">
        <v>0</v>
      </c>
      <c r="R18" s="146">
        <v>0</v>
      </c>
      <c r="S18">
        <v>0</v>
      </c>
      <c r="T18">
        <v>0</v>
      </c>
      <c r="U18">
        <v>0.05</v>
      </c>
      <c r="V18">
        <v>0</v>
      </c>
      <c r="W18">
        <v>0</v>
      </c>
      <c r="X18">
        <v>0</v>
      </c>
      <c r="Y18">
        <v>0</v>
      </c>
      <c r="Z18">
        <v>0</v>
      </c>
      <c r="AA18" s="3">
        <v>0</v>
      </c>
      <c r="AB18">
        <v>0</v>
      </c>
      <c r="AC18">
        <v>0.2</v>
      </c>
      <c r="AD18">
        <v>0</v>
      </c>
      <c r="AE18">
        <v>0</v>
      </c>
      <c r="AF18">
        <v>0</v>
      </c>
      <c r="AG18">
        <v>1E-3</v>
      </c>
      <c r="AH18">
        <v>1E-3</v>
      </c>
      <c r="AI18">
        <v>2.2769999999999999E-2</v>
      </c>
      <c r="AJ18">
        <v>4.5539999999999997E-2</v>
      </c>
      <c r="AK18">
        <v>0</v>
      </c>
      <c r="AL18">
        <v>0</v>
      </c>
      <c r="AM18">
        <v>0</v>
      </c>
    </row>
    <row r="19" x14ac:dyDescent="0.15">
      <c r="A19" t="s">
        <v>195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>
        <v>0</v>
      </c>
      <c r="P19">
        <v>0</v>
      </c>
      <c r="Q19">
        <v>0</v>
      </c>
      <c r="R19">
        <v>0</v>
      </c>
      <c r="S19" s="146">
        <v>0</v>
      </c>
      <c r="T19">
        <v>0</v>
      </c>
      <c r="U19">
        <v>0.05</v>
      </c>
      <c r="V19">
        <v>0</v>
      </c>
      <c r="W19">
        <v>0</v>
      </c>
      <c r="X19">
        <v>0</v>
      </c>
      <c r="Y19">
        <v>0</v>
      </c>
      <c r="Z19">
        <v>0</v>
      </c>
      <c r="AA19" s="3">
        <v>0</v>
      </c>
      <c r="AB19">
        <v>0</v>
      </c>
      <c r="AC19">
        <v>0.19</v>
      </c>
      <c r="AD19">
        <v>0</v>
      </c>
      <c r="AE19">
        <v>0</v>
      </c>
      <c r="AF19">
        <v>0</v>
      </c>
      <c r="AG19">
        <v>1E-3</v>
      </c>
      <c r="AH19">
        <v>1E-3</v>
      </c>
      <c r="AI19">
        <v>1.8460000000000001E-2</v>
      </c>
      <c r="AJ19">
        <v>3.6920000000000001E-2</v>
      </c>
      <c r="AK19">
        <v>0</v>
      </c>
      <c r="AL19">
        <v>0</v>
      </c>
      <c r="AM19">
        <v>0</v>
      </c>
    </row>
    <row r="20" x14ac:dyDescent="0.15">
      <c r="A20" t="s">
        <v>196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>
        <v>0</v>
      </c>
      <c r="P20">
        <v>0</v>
      </c>
      <c r="Q20">
        <v>0</v>
      </c>
      <c r="R20">
        <v>0</v>
      </c>
      <c r="S20">
        <v>0</v>
      </c>
      <c r="T20" s="146">
        <v>0</v>
      </c>
      <c r="U20">
        <v>0.05</v>
      </c>
      <c r="V20">
        <v>0</v>
      </c>
      <c r="W20">
        <v>0</v>
      </c>
      <c r="X20">
        <v>0</v>
      </c>
      <c r="Y20">
        <v>0</v>
      </c>
      <c r="Z20">
        <v>0</v>
      </c>
      <c r="AA20" s="3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1E-3</v>
      </c>
      <c r="AH20">
        <v>1E-3</v>
      </c>
      <c r="AI20">
        <v>5.509E-2</v>
      </c>
      <c r="AJ20">
        <v>0.11019</v>
      </c>
      <c r="AK20">
        <v>0</v>
      </c>
      <c r="AL20">
        <v>0</v>
      </c>
      <c r="AM20">
        <v>0</v>
      </c>
    </row>
    <row r="21" x14ac:dyDescent="0.15">
      <c r="A21" t="s">
        <v>197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 s="146">
        <v>0</v>
      </c>
      <c r="V21">
        <v>0</v>
      </c>
      <c r="W21">
        <v>0</v>
      </c>
      <c r="X21">
        <v>0</v>
      </c>
      <c r="Y21">
        <v>0</v>
      </c>
      <c r="Z21">
        <v>0</v>
      </c>
      <c r="AA21" s="3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6.9999999999999999E-4</v>
      </c>
      <c r="AJ21">
        <v>1.39E-3</v>
      </c>
      <c r="AK21">
        <v>0</v>
      </c>
      <c r="AL21">
        <v>0</v>
      </c>
      <c r="AM21">
        <v>0</v>
      </c>
    </row>
    <row r="22" x14ac:dyDescent="0.15">
      <c r="A22" t="s">
        <v>198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s="146">
        <v>0</v>
      </c>
      <c r="W22">
        <v>3.5999999999999997E-2</v>
      </c>
      <c r="X22">
        <v>0</v>
      </c>
      <c r="Y22">
        <v>0</v>
      </c>
      <c r="Z22">
        <v>0</v>
      </c>
      <c r="AA22" s="3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8.4499999999999992E-3</v>
      </c>
      <c r="AK22">
        <v>0</v>
      </c>
      <c r="AL22">
        <v>0</v>
      </c>
      <c r="AM22">
        <v>0</v>
      </c>
    </row>
    <row r="23" x14ac:dyDescent="0.15">
      <c r="A23" t="s">
        <v>199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s="146">
        <v>0</v>
      </c>
      <c r="X23">
        <v>0</v>
      </c>
      <c r="Y23">
        <v>0</v>
      </c>
      <c r="Z23">
        <v>0</v>
      </c>
      <c r="AA23" s="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5.1999999999999995E-4</v>
      </c>
      <c r="AK23">
        <v>0</v>
      </c>
      <c r="AL23">
        <v>0</v>
      </c>
      <c r="AM23">
        <v>0</v>
      </c>
    </row>
    <row r="24" x14ac:dyDescent="0.15">
      <c r="A24" t="s">
        <v>200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 s="146">
        <v>0</v>
      </c>
      <c r="Y24">
        <v>0</v>
      </c>
      <c r="Z24">
        <v>0</v>
      </c>
      <c r="AA24" s="3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3.3E-4</v>
      </c>
      <c r="AK24">
        <v>0</v>
      </c>
      <c r="AL24">
        <v>0</v>
      </c>
      <c r="AM24">
        <v>0</v>
      </c>
    </row>
    <row r="25" x14ac:dyDescent="0.15">
      <c r="A25" t="s">
        <v>201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s="146">
        <v>0</v>
      </c>
      <c r="Z25">
        <v>0</v>
      </c>
      <c r="AA25" s="3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9.0000000000000006E-5</v>
      </c>
      <c r="AK25">
        <v>0</v>
      </c>
      <c r="AL25">
        <v>0</v>
      </c>
      <c r="AM25">
        <v>0</v>
      </c>
    </row>
    <row r="26" x14ac:dyDescent="0.15">
      <c r="A26" t="s">
        <v>202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 s="14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1.07E-3</v>
      </c>
      <c r="AK26">
        <v>0</v>
      </c>
      <c r="AL26">
        <v>0</v>
      </c>
      <c r="AM26">
        <v>0</v>
      </c>
    </row>
    <row r="27" x14ac:dyDescent="0.15">
      <c r="A27" t="s">
        <v>203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s="146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1.09E-3</v>
      </c>
      <c r="AK27">
        <v>0</v>
      </c>
      <c r="AL27">
        <v>0</v>
      </c>
      <c r="AM27">
        <v>0</v>
      </c>
    </row>
    <row r="28" x14ac:dyDescent="0.15">
      <c r="A28" t="s">
        <v>204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s="146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1.8400000000000001E-3</v>
      </c>
      <c r="AK28">
        <v>0</v>
      </c>
      <c r="AL28">
        <v>0</v>
      </c>
      <c r="AM28">
        <v>0</v>
      </c>
    </row>
    <row r="29" x14ac:dyDescent="0.15">
      <c r="A29" t="s">
        <v>205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2E-3</v>
      </c>
      <c r="X29">
        <v>0</v>
      </c>
      <c r="Y29">
        <v>0</v>
      </c>
      <c r="Z29">
        <v>0</v>
      </c>
      <c r="AA29">
        <v>0</v>
      </c>
      <c r="AB29">
        <v>0</v>
      </c>
      <c r="AC29" s="146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5.4000000000000001E-4</v>
      </c>
      <c r="AK29">
        <v>0</v>
      </c>
      <c r="AL29">
        <v>0</v>
      </c>
      <c r="AM29">
        <v>0</v>
      </c>
    </row>
    <row r="30" x14ac:dyDescent="0.15">
      <c r="A30" t="s">
        <v>206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0.03</v>
      </c>
      <c r="X30">
        <v>0</v>
      </c>
      <c r="Y30">
        <v>0</v>
      </c>
      <c r="Z30">
        <v>0</v>
      </c>
      <c r="AA30">
        <v>1E-3</v>
      </c>
      <c r="AB30">
        <v>1E-3</v>
      </c>
      <c r="AC30">
        <v>0</v>
      </c>
      <c r="AD30" s="146">
        <v>0</v>
      </c>
      <c r="AE30">
        <v>0</v>
      </c>
      <c r="AF30">
        <v>0</v>
      </c>
      <c r="AG30">
        <v>0</v>
      </c>
      <c r="AH30">
        <v>1E-3</v>
      </c>
      <c r="AI30">
        <v>0</v>
      </c>
      <c r="AJ30">
        <v>9.1299999999999992E-3</v>
      </c>
      <c r="AK30">
        <v>0</v>
      </c>
      <c r="AL30">
        <v>0</v>
      </c>
      <c r="AM30">
        <v>0</v>
      </c>
    </row>
    <row r="31" x14ac:dyDescent="0.15">
      <c r="A31" t="s">
        <v>207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0.17599999999999999</v>
      </c>
      <c r="X31">
        <v>0</v>
      </c>
      <c r="Y31">
        <v>0</v>
      </c>
      <c r="Z31">
        <v>0</v>
      </c>
      <c r="AA31">
        <v>1E-3</v>
      </c>
      <c r="AB31">
        <v>1E-3</v>
      </c>
      <c r="AC31">
        <v>0</v>
      </c>
      <c r="AD31">
        <v>0</v>
      </c>
      <c r="AE31" s="146">
        <v>0</v>
      </c>
      <c r="AF31">
        <v>0</v>
      </c>
      <c r="AG31">
        <v>0</v>
      </c>
      <c r="AH31">
        <v>2E-3</v>
      </c>
      <c r="AI31">
        <v>0</v>
      </c>
      <c r="AJ31">
        <v>5.2769999999999997E-2</v>
      </c>
      <c r="AK31">
        <v>0</v>
      </c>
      <c r="AL31">
        <v>0</v>
      </c>
      <c r="AM31">
        <v>0</v>
      </c>
    </row>
    <row r="32" x14ac:dyDescent="0.15">
      <c r="A32" t="s">
        <v>208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0.63200000000000001</v>
      </c>
      <c r="X32">
        <v>0</v>
      </c>
      <c r="Y32">
        <v>0</v>
      </c>
      <c r="Z32">
        <v>0</v>
      </c>
      <c r="AA32">
        <v>2E-3</v>
      </c>
      <c r="AB32">
        <v>1E-3</v>
      </c>
      <c r="AC32">
        <v>0</v>
      </c>
      <c r="AD32">
        <v>0</v>
      </c>
      <c r="AE32">
        <v>0</v>
      </c>
      <c r="AF32" s="146">
        <v>0</v>
      </c>
      <c r="AG32">
        <v>0</v>
      </c>
      <c r="AH32">
        <v>2E-3</v>
      </c>
      <c r="AI32">
        <v>0</v>
      </c>
      <c r="AJ32">
        <v>0.18931999999999999</v>
      </c>
      <c r="AK32">
        <v>0</v>
      </c>
      <c r="AL32">
        <v>0</v>
      </c>
      <c r="AM32">
        <v>0</v>
      </c>
    </row>
    <row r="33" x14ac:dyDescent="0.15">
      <c r="A33" t="s">
        <v>209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3.1E-2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 s="146">
        <v>0</v>
      </c>
      <c r="AH33">
        <v>0</v>
      </c>
      <c r="AI33">
        <v>0</v>
      </c>
      <c r="AJ33">
        <v>0.11873</v>
      </c>
      <c r="AK33">
        <v>0</v>
      </c>
      <c r="AL33">
        <v>0</v>
      </c>
      <c r="AM33">
        <v>0</v>
      </c>
    </row>
    <row r="34" x14ac:dyDescent="0.15">
      <c r="A34" t="s">
        <v>210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1E-3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 s="146">
        <v>0</v>
      </c>
      <c r="AI34">
        <v>0</v>
      </c>
      <c r="AJ34">
        <v>3.3700000000000002E-3</v>
      </c>
      <c r="AK34">
        <v>0</v>
      </c>
      <c r="AL34">
        <v>0</v>
      </c>
      <c r="AM34">
        <v>0</v>
      </c>
    </row>
    <row r="35" x14ac:dyDescent="0.15">
      <c r="A35" t="s">
        <v>211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3.0000000000000001E-3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 s="146">
        <v>0</v>
      </c>
      <c r="AJ35">
        <v>1.2749999999999999E-2</v>
      </c>
      <c r="AK35">
        <v>0</v>
      </c>
      <c r="AL35">
        <v>0</v>
      </c>
      <c r="AM35">
        <v>0</v>
      </c>
    </row>
    <row r="36" x14ac:dyDescent="0.15">
      <c r="A36" t="s">
        <v>212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 s="146">
        <v>0</v>
      </c>
      <c r="AK36">
        <v>0</v>
      </c>
      <c r="AL36">
        <v>0</v>
      </c>
      <c r="AM36">
        <v>0</v>
      </c>
    </row>
    <row r="37" x14ac:dyDescent="0.15">
      <c r="A37" t="s">
        <v>213</v>
      </c>
      <c r="B37">
        <v>0</v>
      </c>
      <c r="C37">
        <v>0</v>
      </c>
      <c r="D37">
        <v>0</v>
      </c>
      <c r="E37">
        <v>0</v>
      </c>
      <c r="F37" s="147">
        <v>0.1</v>
      </c>
      <c r="G37">
        <v>0</v>
      </c>
      <c r="H37" s="147">
        <v>0.05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148">
        <v>0</v>
      </c>
      <c r="AL37" s="3">
        <v>0</v>
      </c>
      <c r="AM37" s="3">
        <v>0</v>
      </c>
    </row>
    <row r="38" x14ac:dyDescent="0.15">
      <c r="A38" t="s">
        <v>215</v>
      </c>
      <c r="B38">
        <v>0</v>
      </c>
      <c r="C38">
        <v>0</v>
      </c>
      <c r="D38">
        <v>0</v>
      </c>
      <c r="E38">
        <v>0</v>
      </c>
      <c r="F38" s="147">
        <v>0</v>
      </c>
      <c r="G38">
        <v>0</v>
      </c>
      <c r="H38" s="147">
        <v>0.25</v>
      </c>
      <c r="I38">
        <v>0.37</v>
      </c>
      <c r="J38">
        <v>0.6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 s="146">
        <v>0</v>
      </c>
      <c r="AM38">
        <v>0</v>
      </c>
    </row>
    <row r="39" x14ac:dyDescent="0.15">
      <c r="A39" t="s">
        <v>216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0.37</v>
      </c>
      <c r="J39">
        <v>1.9E-2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 s="146">
        <v>0</v>
      </c>
    </row>
    <row r="40" x14ac:dyDescent="0.15">
      <c r="A40" t="s">
        <v>218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</row>
    <row r="44" x14ac:dyDescent="0.15">
      <c r="A44" t="s">
        <v>62</v>
      </c>
      <c r="B44">
        <f>SUM(B2:B40)</f>
        <v>0</v>
      </c>
      <c r="C44">
        <f t="shared" ref="C44:AM44" si="0">SUM(C2:C40)</f>
        <v>0</v>
      </c>
      <c r="D44">
        <f t="shared" si="0"/>
        <v>0</v>
      </c>
      <c r="E44">
        <f t="shared" si="0"/>
        <v>0</v>
      </c>
      <c r="F44">
        <f t="shared" si="0"/>
        <v>0.99999999999999989</v>
      </c>
      <c r="G44">
        <f t="shared" si="0"/>
        <v>1</v>
      </c>
      <c r="H44">
        <f t="shared" si="0"/>
        <v>1</v>
      </c>
      <c r="I44">
        <f t="shared" si="0"/>
        <v>1</v>
      </c>
      <c r="J44">
        <f t="shared" si="0"/>
        <v>1</v>
      </c>
      <c r="K44">
        <f t="shared" si="0"/>
        <v>1</v>
      </c>
      <c r="L44">
        <f t="shared" si="0"/>
        <v>1</v>
      </c>
      <c r="M44">
        <f t="shared" si="0"/>
        <v>1</v>
      </c>
      <c r="N44">
        <f t="shared" si="0"/>
        <v>1</v>
      </c>
      <c r="O44">
        <f t="shared" si="0"/>
        <v>1</v>
      </c>
      <c r="P44">
        <f t="shared" si="0"/>
        <v>1</v>
      </c>
      <c r="Q44">
        <f t="shared" si="0"/>
        <v>1</v>
      </c>
      <c r="R44">
        <f t="shared" si="0"/>
        <v>1</v>
      </c>
      <c r="S44">
        <f t="shared" si="0"/>
        <v>1</v>
      </c>
      <c r="T44">
        <f t="shared" si="0"/>
        <v>1</v>
      </c>
      <c r="U44">
        <f t="shared" si="0"/>
        <v>1.0000000000000002</v>
      </c>
      <c r="V44">
        <f t="shared" si="0"/>
        <v>1.0000000000000002</v>
      </c>
      <c r="W44">
        <f t="shared" si="0"/>
        <v>1.0004999999999999</v>
      </c>
      <c r="X44">
        <f t="shared" si="0"/>
        <v>0.99999999999999989</v>
      </c>
      <c r="Y44">
        <f t="shared" si="0"/>
        <v>0.99999999999999989</v>
      </c>
      <c r="Z44">
        <f t="shared" si="0"/>
        <v>1</v>
      </c>
      <c r="AA44">
        <f t="shared" si="0"/>
        <v>1</v>
      </c>
      <c r="AB44">
        <f t="shared" si="0"/>
        <v>1</v>
      </c>
      <c r="AC44">
        <f t="shared" si="0"/>
        <v>1</v>
      </c>
      <c r="AD44">
        <f t="shared" si="0"/>
        <v>1</v>
      </c>
      <c r="AE44">
        <f t="shared" si="0"/>
        <v>1</v>
      </c>
      <c r="AF44">
        <f t="shared" si="0"/>
        <v>1</v>
      </c>
      <c r="AG44">
        <f t="shared" si="0"/>
        <v>1</v>
      </c>
      <c r="AH44">
        <f t="shared" si="0"/>
        <v>1</v>
      </c>
      <c r="AI44">
        <f t="shared" si="0"/>
        <v>0.99999000000000005</v>
      </c>
      <c r="AJ44">
        <f t="shared" si="0"/>
        <v>1.0000799999999999</v>
      </c>
      <c r="AL44">
        <f t="shared" si="0"/>
        <v>0</v>
      </c>
      <c r="AM44">
        <f t="shared" si="0"/>
        <v>0</v>
      </c>
    </row>
    <row r="45" x14ac:dyDescent="0.15">
      <c r="A45" t="s">
        <v>219</v>
      </c>
      <c r="B45">
        <f>1-B44</f>
        <v>1</v>
      </c>
      <c r="C45">
        <f t="shared" ref="C45:AM45" si="1">1-C44</f>
        <v>1</v>
      </c>
      <c r="D45">
        <f t="shared" si="1"/>
        <v>1</v>
      </c>
      <c r="E45">
        <f t="shared" si="1"/>
        <v>1</v>
      </c>
      <c r="F45">
        <f t="shared" si="1"/>
        <v>0</v>
      </c>
      <c r="G45">
        <f t="shared" si="1"/>
        <v>0</v>
      </c>
      <c r="H45">
        <f t="shared" si="1"/>
        <v>0</v>
      </c>
      <c r="I45">
        <f t="shared" si="1"/>
        <v>0</v>
      </c>
      <c r="J45">
        <f t="shared" si="1"/>
        <v>0</v>
      </c>
      <c r="K45">
        <f t="shared" si="1"/>
        <v>0</v>
      </c>
      <c r="L45">
        <f t="shared" si="1"/>
        <v>0</v>
      </c>
      <c r="M45">
        <f t="shared" si="1"/>
        <v>0</v>
      </c>
      <c r="N45">
        <f t="shared" si="1"/>
        <v>0</v>
      </c>
      <c r="O45">
        <f t="shared" si="1"/>
        <v>0</v>
      </c>
      <c r="P45">
        <f t="shared" si="1"/>
        <v>0</v>
      </c>
      <c r="Q45">
        <f t="shared" si="1"/>
        <v>0</v>
      </c>
      <c r="R45">
        <f t="shared" si="1"/>
        <v>0</v>
      </c>
      <c r="S45">
        <f t="shared" si="1"/>
        <v>0</v>
      </c>
      <c r="T45">
        <f t="shared" si="1"/>
        <v>0</v>
      </c>
      <c r="U45">
        <f t="shared" si="1"/>
        <v>0</v>
      </c>
      <c r="V45">
        <f t="shared" si="1"/>
        <v>0</v>
      </c>
      <c r="W45">
        <f t="shared" si="1"/>
        <v>-4.9999999999994493E-4</v>
      </c>
      <c r="X45">
        <f t="shared" si="1"/>
        <v>0</v>
      </c>
      <c r="Y45">
        <f t="shared" si="1"/>
        <v>0</v>
      </c>
      <c r="Z45">
        <f t="shared" si="1"/>
        <v>0</v>
      </c>
      <c r="AA45">
        <f t="shared" si="1"/>
        <v>0</v>
      </c>
      <c r="AB45">
        <f t="shared" si="1"/>
        <v>0</v>
      </c>
      <c r="AC45">
        <f t="shared" si="1"/>
        <v>0</v>
      </c>
      <c r="AD45">
        <f t="shared" si="1"/>
        <v>0</v>
      </c>
      <c r="AE45">
        <f t="shared" si="1"/>
        <v>0</v>
      </c>
      <c r="AF45">
        <f t="shared" si="1"/>
        <v>0</v>
      </c>
      <c r="AG45">
        <f t="shared" si="1"/>
        <v>0</v>
      </c>
      <c r="AH45">
        <f t="shared" si="1"/>
        <v>0</v>
      </c>
      <c r="AI45">
        <f t="shared" si="1"/>
        <v>9.9999999999544897E-6</v>
      </c>
      <c r="AJ45">
        <f t="shared" si="1"/>
        <v>-7.9999999999857963E-5</v>
      </c>
      <c r="AL45">
        <f t="shared" si="1"/>
        <v>1</v>
      </c>
      <c r="AM45">
        <f t="shared" si="1"/>
        <v>1</v>
      </c>
    </row>
    <row r="47" x14ac:dyDescent="0.15">
      <c r="A47" s="56" t="s">
        <v>220</v>
      </c>
    </row>
    <row r="193" ht="15" customHeight="true" x14ac:dyDescent="0.15"/>
    <row r="194" ht="15" customHeight="true" x14ac:dyDescent="0.15"/>
    <row r="195" ht="15" customHeight="true" x14ac:dyDescent="0.15"/>
    <row r="196" ht="15" customHeight="true" x14ac:dyDescent="0.15"/>
    <row r="197" ht="15" customHeight="true" x14ac:dyDescent="0.15"/>
    <row r="198" ht="15" customHeight="true" x14ac:dyDescent="0.15"/>
    <row r="199" ht="15" customHeight="true" x14ac:dyDescent="0.15"/>
    <row r="200" ht="15" customHeight="true" x14ac:dyDescent="0.15"/>
    <row r="201" ht="15" customHeight="true" x14ac:dyDescent="0.15"/>
    <row r="202" ht="15" customHeight="true" x14ac:dyDescent="0.15"/>
    <row r="203" ht="15" customHeight="true" x14ac:dyDescent="0.15"/>
    <row r="204" ht="15" customHeight="true" x14ac:dyDescent="0.15"/>
    <row r="205" ht="15" customHeight="true" x14ac:dyDescent="0.15"/>
    <row r="206" ht="15" customHeight="true" x14ac:dyDescent="0.15"/>
    <row r="207" ht="15" customHeight="true" x14ac:dyDescent="0.15"/>
    <row r="208" ht="15" customHeight="true" x14ac:dyDescent="0.15"/>
    <row r="209" ht="15" customHeight="true" x14ac:dyDescent="0.15"/>
    <row r="210" ht="15" customHeight="true" x14ac:dyDescent="0.15"/>
    <row r="211" ht="15" customHeight="true" x14ac:dyDescent="0.15"/>
    <row r="212" ht="15" customHeight="true" x14ac:dyDescent="0.15"/>
    <row r="213" ht="15" customHeight="true" x14ac:dyDescent="0.15"/>
    <row r="214" ht="15" customHeight="true" x14ac:dyDescent="0.15"/>
    <row r="215" ht="15" customHeight="true" x14ac:dyDescent="0.15"/>
    <row r="216" ht="15" customHeight="true" x14ac:dyDescent="0.15"/>
    <row r="217" ht="15" customHeight="true" x14ac:dyDescent="0.15"/>
    <row r="218" ht="15" customHeight="true" x14ac:dyDescent="0.15"/>
    <row r="219" ht="15" customHeight="true" x14ac:dyDescent="0.15"/>
    <row r="220" ht="15" customHeight="true" x14ac:dyDescent="0.15"/>
    <row r="221" ht="15" customHeight="true" x14ac:dyDescent="0.15"/>
    <row r="222" ht="15" customHeight="true" x14ac:dyDescent="0.15"/>
    <row r="223" ht="15" customHeight="true" x14ac:dyDescent="0.15"/>
    <row r="224" ht="15" customHeight="true" x14ac:dyDescent="0.15"/>
    <row r="225" ht="15" customHeight="true" x14ac:dyDescent="0.15"/>
    <row r="226" ht="15" customHeight="true" x14ac:dyDescent="0.15"/>
    <row r="227" ht="15" customHeight="true" x14ac:dyDescent="0.15"/>
    <row r="228" ht="15" customHeight="true" x14ac:dyDescent="0.15"/>
    <row r="229" ht="15" customHeight="true" x14ac:dyDescent="0.15"/>
    <row r="230" ht="15" customHeight="true" x14ac:dyDescent="0.15"/>
    <row r="231" ht="15" customHeight="true" x14ac:dyDescent="0.15"/>
    <row r="232" ht="15" customHeight="true" x14ac:dyDescent="0.15"/>
    <row r="233" ht="15" customHeight="true" x14ac:dyDescent="0.15"/>
    <row r="234" ht="15" customHeight="true" x14ac:dyDescent="0.15"/>
    <row r="235" ht="15" customHeight="true" x14ac:dyDescent="0.15"/>
    <row r="236" ht="15" customHeight="true" x14ac:dyDescent="0.15"/>
    <row r="237" ht="15" customHeight="true" x14ac:dyDescent="0.15"/>
    <row r="238" ht="15" customHeight="true" x14ac:dyDescent="0.15"/>
    <row r="239" ht="15" customHeight="true" x14ac:dyDescent="0.15"/>
    <row r="240" ht="15" customHeight="true" x14ac:dyDescent="0.15"/>
    <row r="241" ht="15" customHeight="true" x14ac:dyDescent="0.15"/>
    <row r="242" ht="15" customHeight="true" x14ac:dyDescent="0.15"/>
    <row r="243" ht="15" customHeight="true" x14ac:dyDescent="0.15"/>
    <row r="244" ht="15" customHeight="true" x14ac:dyDescent="0.15"/>
    <row r="245" ht="15" customHeight="true" x14ac:dyDescent="0.15"/>
    <row r="246" ht="15" customHeight="true" x14ac:dyDescent="0.15"/>
    <row r="247" ht="15" customHeight="true" x14ac:dyDescent="0.15"/>
    <row r="248" ht="15" customHeight="true" x14ac:dyDescent="0.15"/>
    <row r="249" ht="15" customHeight="true" x14ac:dyDescent="0.15"/>
    <row r="250" ht="15" customHeight="true" x14ac:dyDescent="0.15"/>
    <row r="251" ht="15" customHeight="true" x14ac:dyDescent="0.15"/>
    <row r="252" ht="15" customHeight="true" x14ac:dyDescent="0.15"/>
    <row r="253" ht="15" customHeight="true" x14ac:dyDescent="0.15"/>
    <row r="254" ht="15" customHeight="true" x14ac:dyDescent="0.15"/>
    <row r="255" ht="15" customHeight="true" x14ac:dyDescent="0.15"/>
    <row r="256" ht="15" customHeight="true" x14ac:dyDescent="0.15"/>
    <row r="257" ht="15" customHeight="true" x14ac:dyDescent="0.15"/>
    <row r="258" ht="15" customHeight="true" x14ac:dyDescent="0.15"/>
    <row r="259" ht="15" customHeight="true" x14ac:dyDescent="0.15"/>
    <row r="260" ht="15" customHeight="true" x14ac:dyDescent="0.15"/>
    <row r="261" ht="15" customHeight="true" x14ac:dyDescent="0.15"/>
    <row r="262" ht="15" customHeight="true" x14ac:dyDescent="0.15"/>
    <row r="263" ht="15" customHeight="true" x14ac:dyDescent="0.15"/>
    <row r="264" ht="15" customHeight="true" x14ac:dyDescent="0.15"/>
    <row r="265" ht="15" customHeight="true" x14ac:dyDescent="0.15"/>
    <row r="266" ht="15" customHeight="true" x14ac:dyDescent="0.15"/>
    <row r="267" ht="15" customHeight="true" x14ac:dyDescent="0.15"/>
    <row r="268" ht="15" customHeight="true" x14ac:dyDescent="0.15"/>
    <row r="269" ht="15" customHeight="true" x14ac:dyDescent="0.15"/>
    <row r="270" ht="15" customHeight="true" x14ac:dyDescent="0.15"/>
    <row r="271" ht="15" customHeight="true" x14ac:dyDescent="0.15"/>
    <row r="272" ht="15" customHeight="true" x14ac:dyDescent="0.15"/>
    <row r="273" ht="15" customHeight="true" x14ac:dyDescent="0.15"/>
    <row r="274" ht="15" customHeight="true" x14ac:dyDescent="0.15"/>
    <row r="275" ht="15" customHeight="true" x14ac:dyDescent="0.15"/>
    <row r="276" ht="15" customHeight="true" x14ac:dyDescent="0.15"/>
    <row r="277" ht="15" customHeight="true" x14ac:dyDescent="0.15"/>
    <row r="278" ht="15" customHeight="true" x14ac:dyDescent="0.15"/>
    <row r="279" ht="15" customHeight="true" x14ac:dyDescent="0.15"/>
    <row r="280" ht="15" customHeight="true" x14ac:dyDescent="0.15"/>
    <row r="281" ht="15" customHeight="true" x14ac:dyDescent="0.15"/>
    <row r="282" ht="15" customHeight="true" x14ac:dyDescent="0.15"/>
    <row r="283" ht="15" customHeight="true" x14ac:dyDescent="0.15"/>
    <row r="284" ht="15" customHeight="true" x14ac:dyDescent="0.15"/>
    <row r="285" ht="15" customHeight="true" x14ac:dyDescent="0.15"/>
    <row r="286" ht="15" customHeight="true" x14ac:dyDescent="0.15"/>
    <row r="287" ht="15" customHeight="true" x14ac:dyDescent="0.15"/>
    <row r="288" ht="15" customHeight="true" x14ac:dyDescent="0.15"/>
    <row r="289" ht="15" customHeight="true" x14ac:dyDescent="0.15"/>
    <row r="290" ht="15" customHeight="true" x14ac:dyDescent="0.15"/>
    <row r="291" ht="15" customHeight="true" x14ac:dyDescent="0.15"/>
    <row r="292" ht="15" customHeight="true" x14ac:dyDescent="0.15"/>
    <row r="293" ht="15" customHeight="true" x14ac:dyDescent="0.15"/>
    <row r="294" ht="15" customHeight="true" x14ac:dyDescent="0.15"/>
    <row r="295" ht="15" customHeight="true" x14ac:dyDescent="0.15"/>
    <row r="296" ht="15" customHeight="true" x14ac:dyDescent="0.15"/>
    <row r="297" ht="15" customHeight="true" x14ac:dyDescent="0.15"/>
    <row r="298" ht="15" customHeight="true" x14ac:dyDescent="0.15"/>
    <row r="299" ht="15" customHeight="true" x14ac:dyDescent="0.15"/>
    <row r="300" ht="15" customHeight="true" x14ac:dyDescent="0.15"/>
    <row r="301" ht="15" customHeight="true" x14ac:dyDescent="0.15"/>
    <row r="302" ht="15" customHeight="true" x14ac:dyDescent="0.15"/>
    <row r="303" ht="15" customHeight="true" x14ac:dyDescent="0.15"/>
    <row r="304" ht="15" customHeight="true" x14ac:dyDescent="0.15"/>
    <row r="305" ht="15" customHeight="true" x14ac:dyDescent="0.15"/>
    <row r="306" ht="15" customHeight="true" x14ac:dyDescent="0.15"/>
    <row r="307" ht="15" customHeight="true" x14ac:dyDescent="0.15"/>
    <row r="308" ht="15" customHeight="true" x14ac:dyDescent="0.15"/>
    <row r="309" ht="15" customHeight="true" x14ac:dyDescent="0.15"/>
    <row r="310" ht="15" customHeight="true" x14ac:dyDescent="0.15"/>
    <row r="311" ht="15" customHeight="true" x14ac:dyDescent="0.15"/>
    <row r="312" ht="15" customHeight="true" x14ac:dyDescent="0.15"/>
    <row r="313" ht="15" customHeight="true" x14ac:dyDescent="0.15"/>
    <row r="314" ht="15" customHeight="true" x14ac:dyDescent="0.15"/>
    <row r="315" ht="15" customHeight="true" x14ac:dyDescent="0.15"/>
    <row r="316" ht="15" customHeight="true" x14ac:dyDescent="0.15"/>
    <row r="317" ht="15" customHeight="true" x14ac:dyDescent="0.15"/>
    <row r="318" ht="15" customHeight="true" x14ac:dyDescent="0.15"/>
    <row r="319" ht="15" customHeight="true" x14ac:dyDescent="0.15"/>
    <row r="320" ht="15" customHeight="true" x14ac:dyDescent="0.15"/>
    <row r="321" ht="15" customHeight="true" x14ac:dyDescent="0.15"/>
    <row r="322" ht="15" customHeight="true" x14ac:dyDescent="0.15"/>
    <row r="323" ht="15" customHeight="true" x14ac:dyDescent="0.15"/>
    <row r="324" ht="15" customHeight="true" x14ac:dyDescent="0.15"/>
    <row r="325" ht="15" customHeight="true" x14ac:dyDescent="0.15"/>
    <row r="326" ht="15" customHeight="true" x14ac:dyDescent="0.15"/>
    <row r="327" ht="15" customHeight="true" x14ac:dyDescent="0.15"/>
    <row r="328" ht="15" customHeight="true" x14ac:dyDescent="0.15"/>
    <row r="329" ht="15" customHeight="true" x14ac:dyDescent="0.15"/>
    <row r="330" ht="15" customHeight="true" x14ac:dyDescent="0.15"/>
    <row r="331" ht="15" customHeight="true" x14ac:dyDescent="0.15"/>
    <row r="332" ht="15" customHeight="true" x14ac:dyDescent="0.15"/>
    <row r="333" ht="15" customHeight="true" x14ac:dyDescent="0.15"/>
    <row r="334" ht="15" customHeight="true" x14ac:dyDescent="0.15"/>
    <row r="335" ht="15" customHeight="true" x14ac:dyDescent="0.15"/>
    <row r="336" ht="15" customHeight="true" x14ac:dyDescent="0.15"/>
    <row r="337" ht="15" customHeight="true" x14ac:dyDescent="0.15"/>
    <row r="338" ht="15" customHeight="true" x14ac:dyDescent="0.15"/>
    <row r="339" ht="15" customHeight="true" x14ac:dyDescent="0.15"/>
    <row r="340" ht="15" customHeight="true" x14ac:dyDescent="0.15"/>
    <row r="341" ht="15" customHeight="true" x14ac:dyDescent="0.15"/>
    <row r="342" ht="15" customHeight="true" x14ac:dyDescent="0.15"/>
    <row r="343" ht="15" customHeight="true" x14ac:dyDescent="0.15"/>
    <row r="344" ht="15" customHeight="true" x14ac:dyDescent="0.15"/>
    <row r="345" ht="15" customHeight="true" x14ac:dyDescent="0.15"/>
    <row r="346" ht="15" customHeight="true" x14ac:dyDescent="0.15"/>
    <row r="347" ht="15" customHeight="true" x14ac:dyDescent="0.15"/>
    <row r="348" ht="15" customHeight="true" x14ac:dyDescent="0.15"/>
    <row r="349" ht="15" customHeight="true" x14ac:dyDescent="0.15"/>
    <row r="350" ht="15" customHeight="true" x14ac:dyDescent="0.15"/>
    <row r="351" ht="15" customHeight="true" x14ac:dyDescent="0.15"/>
    <row r="352" ht="15" customHeight="true" x14ac:dyDescent="0.15"/>
    <row r="353" ht="15" customHeight="true" x14ac:dyDescent="0.15"/>
    <row r="354" ht="15" customHeight="true" x14ac:dyDescent="0.15"/>
    <row r="355" ht="15" customHeight="true" x14ac:dyDescent="0.15"/>
    <row r="356" ht="15" customHeight="true" x14ac:dyDescent="0.15"/>
    <row r="357" ht="15" customHeight="true" x14ac:dyDescent="0.15"/>
    <row r="358" ht="15" customHeight="true" x14ac:dyDescent="0.15"/>
    <row r="359" ht="15" customHeight="true" x14ac:dyDescent="0.15"/>
    <row r="360" ht="15" customHeight="true" x14ac:dyDescent="0.15"/>
    <row r="361" ht="15" customHeight="true" x14ac:dyDescent="0.15"/>
    <row r="362" ht="15" customHeight="true" x14ac:dyDescent="0.15"/>
    <row r="363" ht="15" customHeight="true" x14ac:dyDescent="0.15"/>
    <row r="364" ht="15" customHeight="true" x14ac:dyDescent="0.15"/>
    <row r="365" ht="15" customHeight="true" x14ac:dyDescent="0.15"/>
    <row r="366" ht="15" customHeight="true" x14ac:dyDescent="0.15"/>
    <row r="367" ht="15" customHeight="true" x14ac:dyDescent="0.15"/>
    <row r="368" ht="15" customHeight="true" x14ac:dyDescent="0.15"/>
    <row r="369" ht="15" customHeight="true" x14ac:dyDescent="0.15"/>
    <row r="370" ht="15" customHeight="true" x14ac:dyDescent="0.15"/>
    <row r="371" ht="15" customHeight="true" x14ac:dyDescent="0.15"/>
    <row r="372" ht="15" customHeight="true" x14ac:dyDescent="0.15"/>
    <row r="373" ht="15" customHeight="true" x14ac:dyDescent="0.15"/>
    <row r="374" ht="15" customHeight="true" x14ac:dyDescent="0.15"/>
    <row r="375" ht="15" customHeight="true" x14ac:dyDescent="0.15"/>
    <row r="376" ht="15" customHeight="true" x14ac:dyDescent="0.15"/>
    <row r="377" ht="15" customHeight="true" x14ac:dyDescent="0.15"/>
    <row r="378" ht="15" customHeight="true" x14ac:dyDescent="0.15"/>
    <row r="379" ht="15" customHeight="true" x14ac:dyDescent="0.15"/>
    <row r="380" ht="15" customHeight="true" x14ac:dyDescent="0.15"/>
    <row r="381" ht="15" customHeight="true" x14ac:dyDescent="0.15"/>
    <row r="382" ht="15" customHeight="true" x14ac:dyDescent="0.15"/>
    <row r="383" ht="15" customHeight="true" x14ac:dyDescent="0.15"/>
    <row r="384" ht="15" customHeight="true" x14ac:dyDescent="0.15"/>
    <row r="385" ht="15" customHeight="true" x14ac:dyDescent="0.15"/>
    <row r="386" ht="15" customHeight="true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G18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3" sqref="I3"/>
    </sheetView>
  </sheetViews>
  <sheetFormatPr baseColWidth="10" defaultColWidth="8.83203125" defaultRowHeight="13" x14ac:dyDescent="0.15"/>
  <cols>
    <col min="1" max="1" width="12.83203125" customWidth="true"/>
    <col min="2" max="2" width="27.6640625" bestFit="true" customWidth="true"/>
    <col min="3" max="3" width="13" bestFit="true" customWidth="true"/>
    <col min="4" max="4" width="7" bestFit="true" customWidth="true"/>
    <col min="5" max="5" width="16.1640625" bestFit="true" customWidth="true"/>
    <col min="6" max="6" width="6.1640625" bestFit="true" customWidth="true"/>
  </cols>
  <sheetData>
    <row r="1" ht="14" x14ac:dyDescent="0.15">
      <c r="A1" s="149" t="s">
        <v>21</v>
      </c>
      <c r="B1" s="1" t="s">
        <v>0</v>
      </c>
      <c r="C1" t="s">
        <v>213</v>
      </c>
      <c r="D1" t="s">
        <v>215</v>
      </c>
      <c r="E1" t="s">
        <v>216</v>
      </c>
      <c r="F1" t="s">
        <v>221</v>
      </c>
      <c r="G1" s="150" t="s">
        <v>62</v>
      </c>
    </row>
    <row r="2" x14ac:dyDescent="0.15">
      <c r="A2">
        <v>1</v>
      </c>
      <c r="B2" t="s">
        <v>178</v>
      </c>
      <c r="C2" s="147">
        <v>0.1</v>
      </c>
      <c r="D2" s="147">
        <v>0.9</v>
      </c>
      <c r="E2">
        <v>0</v>
      </c>
      <c r="F2">
        <v>0</v>
      </c>
      <c r="G2" s="151">
        <f>SUM(C2:F2)</f>
        <v>1</v>
      </c>
    </row>
    <row r="3" x14ac:dyDescent="0.15">
      <c r="A3">
        <v>2</v>
      </c>
      <c r="B3" t="s">
        <v>179</v>
      </c>
      <c r="C3" s="147">
        <v>0.75</v>
      </c>
      <c r="D3" s="147">
        <v>0.25</v>
      </c>
      <c r="E3">
        <v>0</v>
      </c>
      <c r="F3">
        <v>0</v>
      </c>
      <c r="G3" s="151">
        <f t="shared" ref="G3:G40" si="0">SUM(C3:F3)</f>
        <v>1</v>
      </c>
    </row>
    <row r="4" x14ac:dyDescent="0.15">
      <c r="A4">
        <v>3</v>
      </c>
      <c r="B4" t="s">
        <v>180</v>
      </c>
      <c r="C4" s="147">
        <v>0.1</v>
      </c>
      <c r="D4" s="147">
        <v>0.9</v>
      </c>
      <c r="E4">
        <v>0</v>
      </c>
      <c r="F4">
        <v>0</v>
      </c>
      <c r="G4" s="151">
        <f t="shared" si="0"/>
        <v>1</v>
      </c>
    </row>
    <row r="5" x14ac:dyDescent="0.15">
      <c r="A5">
        <v>4</v>
      </c>
      <c r="B5" t="s">
        <v>181</v>
      </c>
      <c r="C5">
        <v>0</v>
      </c>
      <c r="D5">
        <v>0</v>
      </c>
      <c r="E5">
        <v>1</v>
      </c>
      <c r="F5">
        <v>0</v>
      </c>
      <c r="G5" s="151">
        <f t="shared" si="0"/>
        <v>1</v>
      </c>
    </row>
    <row r="6" x14ac:dyDescent="0.15">
      <c r="A6">
        <v>5</v>
      </c>
      <c r="B6" t="s">
        <v>182</v>
      </c>
      <c r="C6">
        <v>0</v>
      </c>
      <c r="D6">
        <v>1</v>
      </c>
      <c r="E6">
        <v>0</v>
      </c>
      <c r="F6">
        <v>0</v>
      </c>
      <c r="G6" s="151">
        <f t="shared" si="0"/>
        <v>1</v>
      </c>
    </row>
    <row r="7" x14ac:dyDescent="0.15">
      <c r="A7">
        <v>6</v>
      </c>
      <c r="B7" t="s">
        <v>183</v>
      </c>
      <c r="C7">
        <v>0</v>
      </c>
      <c r="D7">
        <v>1</v>
      </c>
      <c r="E7">
        <v>0</v>
      </c>
      <c r="F7">
        <v>0</v>
      </c>
      <c r="G7" s="151">
        <f t="shared" si="0"/>
        <v>1</v>
      </c>
    </row>
    <row r="8" x14ac:dyDescent="0.15">
      <c r="A8">
        <v>7</v>
      </c>
      <c r="B8" t="s">
        <v>184</v>
      </c>
      <c r="C8">
        <v>0</v>
      </c>
      <c r="D8">
        <v>1</v>
      </c>
      <c r="E8">
        <v>0</v>
      </c>
      <c r="F8">
        <v>0</v>
      </c>
      <c r="G8" s="151">
        <f t="shared" si="0"/>
        <v>1</v>
      </c>
    </row>
    <row r="9" x14ac:dyDescent="0.15">
      <c r="A9">
        <v>8</v>
      </c>
      <c r="B9" t="s">
        <v>185</v>
      </c>
      <c r="C9">
        <v>0</v>
      </c>
      <c r="D9">
        <v>1</v>
      </c>
      <c r="E9">
        <v>0</v>
      </c>
      <c r="F9">
        <v>0</v>
      </c>
      <c r="G9" s="151">
        <f t="shared" si="0"/>
        <v>1</v>
      </c>
    </row>
    <row r="10" x14ac:dyDescent="0.15">
      <c r="A10">
        <v>9</v>
      </c>
      <c r="B10" t="s">
        <v>186</v>
      </c>
      <c r="C10">
        <v>0</v>
      </c>
      <c r="D10">
        <v>1</v>
      </c>
      <c r="E10">
        <v>0</v>
      </c>
      <c r="F10">
        <v>0</v>
      </c>
      <c r="G10" s="151">
        <f t="shared" si="0"/>
        <v>1</v>
      </c>
    </row>
    <row r="11" x14ac:dyDescent="0.15">
      <c r="A11">
        <v>10</v>
      </c>
      <c r="B11" t="s">
        <v>187</v>
      </c>
      <c r="C11">
        <v>0</v>
      </c>
      <c r="D11">
        <v>1</v>
      </c>
      <c r="E11">
        <v>0</v>
      </c>
      <c r="F11">
        <v>0</v>
      </c>
      <c r="G11" s="151">
        <f t="shared" si="0"/>
        <v>1</v>
      </c>
    </row>
    <row r="12" x14ac:dyDescent="0.15">
      <c r="A12">
        <v>11</v>
      </c>
      <c r="B12" t="s">
        <v>188</v>
      </c>
      <c r="C12">
        <v>0</v>
      </c>
      <c r="D12">
        <v>1</v>
      </c>
      <c r="E12">
        <v>0</v>
      </c>
      <c r="F12">
        <v>0</v>
      </c>
      <c r="G12" s="151">
        <f t="shared" si="0"/>
        <v>1</v>
      </c>
    </row>
    <row r="13" x14ac:dyDescent="0.15">
      <c r="A13">
        <v>12</v>
      </c>
      <c r="B13" t="s">
        <v>189</v>
      </c>
      <c r="C13">
        <v>0</v>
      </c>
      <c r="D13">
        <v>1</v>
      </c>
      <c r="E13">
        <v>0</v>
      </c>
      <c r="F13">
        <v>0</v>
      </c>
      <c r="G13" s="151">
        <f t="shared" si="0"/>
        <v>1</v>
      </c>
    </row>
    <row r="14" x14ac:dyDescent="0.15">
      <c r="A14">
        <v>13</v>
      </c>
      <c r="B14" t="s">
        <v>190</v>
      </c>
      <c r="C14">
        <v>0</v>
      </c>
      <c r="D14">
        <v>1</v>
      </c>
      <c r="E14">
        <v>0</v>
      </c>
      <c r="F14">
        <v>0</v>
      </c>
      <c r="G14" s="151">
        <f t="shared" si="0"/>
        <v>1</v>
      </c>
    </row>
    <row r="15" x14ac:dyDescent="0.15">
      <c r="A15">
        <v>14</v>
      </c>
      <c r="B15" t="s">
        <v>191</v>
      </c>
      <c r="C15">
        <v>0</v>
      </c>
      <c r="D15">
        <v>1</v>
      </c>
      <c r="E15">
        <v>0</v>
      </c>
      <c r="F15">
        <v>0</v>
      </c>
      <c r="G15" s="151">
        <f t="shared" si="0"/>
        <v>1</v>
      </c>
    </row>
    <row r="16" x14ac:dyDescent="0.15">
      <c r="A16">
        <v>15</v>
      </c>
      <c r="B16" t="s">
        <v>192</v>
      </c>
      <c r="C16">
        <v>0</v>
      </c>
      <c r="D16">
        <v>1</v>
      </c>
      <c r="E16">
        <v>0</v>
      </c>
      <c r="F16">
        <v>0</v>
      </c>
      <c r="G16" s="151">
        <f t="shared" si="0"/>
        <v>1</v>
      </c>
    </row>
    <row r="17" x14ac:dyDescent="0.15">
      <c r="A17">
        <v>16</v>
      </c>
      <c r="B17" t="s">
        <v>193</v>
      </c>
      <c r="C17">
        <v>0</v>
      </c>
      <c r="D17">
        <v>1</v>
      </c>
      <c r="E17">
        <v>0</v>
      </c>
      <c r="F17">
        <v>0</v>
      </c>
      <c r="G17" s="151">
        <f t="shared" si="0"/>
        <v>1</v>
      </c>
    </row>
    <row r="18" x14ac:dyDescent="0.15">
      <c r="A18">
        <v>17</v>
      </c>
      <c r="B18" t="s">
        <v>194</v>
      </c>
      <c r="C18">
        <v>0</v>
      </c>
      <c r="D18">
        <v>1</v>
      </c>
      <c r="E18">
        <v>0</v>
      </c>
      <c r="F18">
        <v>0</v>
      </c>
      <c r="G18" s="151">
        <f t="shared" si="0"/>
        <v>1</v>
      </c>
    </row>
    <row r="19" x14ac:dyDescent="0.15">
      <c r="A19">
        <v>18</v>
      </c>
      <c r="B19" t="s">
        <v>195</v>
      </c>
      <c r="C19">
        <v>0</v>
      </c>
      <c r="D19">
        <v>1</v>
      </c>
      <c r="E19">
        <v>0</v>
      </c>
      <c r="F19">
        <v>0</v>
      </c>
      <c r="G19" s="151">
        <f t="shared" si="0"/>
        <v>1</v>
      </c>
    </row>
    <row r="20" x14ac:dyDescent="0.15">
      <c r="A20">
        <v>19</v>
      </c>
      <c r="B20" t="s">
        <v>196</v>
      </c>
      <c r="C20">
        <v>0</v>
      </c>
      <c r="D20">
        <v>1</v>
      </c>
      <c r="E20">
        <v>0</v>
      </c>
      <c r="F20">
        <v>0</v>
      </c>
      <c r="G20" s="151">
        <f t="shared" si="0"/>
        <v>1</v>
      </c>
    </row>
    <row r="21" x14ac:dyDescent="0.15">
      <c r="A21">
        <v>20</v>
      </c>
      <c r="B21" t="s">
        <v>197</v>
      </c>
      <c r="C21">
        <v>0</v>
      </c>
      <c r="D21">
        <v>1</v>
      </c>
      <c r="E21">
        <v>0</v>
      </c>
      <c r="F21">
        <v>0</v>
      </c>
      <c r="G21" s="151">
        <f t="shared" si="0"/>
        <v>1</v>
      </c>
    </row>
    <row r="22" x14ac:dyDescent="0.15">
      <c r="A22">
        <v>21</v>
      </c>
      <c r="B22" t="s">
        <v>198</v>
      </c>
      <c r="C22">
        <v>0</v>
      </c>
      <c r="D22">
        <v>1</v>
      </c>
      <c r="E22">
        <v>0</v>
      </c>
      <c r="F22">
        <v>0</v>
      </c>
      <c r="G22" s="151">
        <f t="shared" si="0"/>
        <v>1</v>
      </c>
    </row>
    <row r="23" x14ac:dyDescent="0.15">
      <c r="A23">
        <v>22</v>
      </c>
      <c r="B23" t="s">
        <v>199</v>
      </c>
      <c r="C23">
        <v>0</v>
      </c>
      <c r="D23">
        <v>1</v>
      </c>
      <c r="E23">
        <v>0</v>
      </c>
      <c r="F23">
        <v>0</v>
      </c>
      <c r="G23" s="151">
        <f t="shared" si="0"/>
        <v>1</v>
      </c>
    </row>
    <row r="24" x14ac:dyDescent="0.15">
      <c r="A24">
        <v>23</v>
      </c>
      <c r="B24" t="s">
        <v>200</v>
      </c>
      <c r="C24">
        <v>0</v>
      </c>
      <c r="D24">
        <v>1</v>
      </c>
      <c r="E24">
        <v>0</v>
      </c>
      <c r="F24">
        <v>0</v>
      </c>
      <c r="G24" s="151">
        <f t="shared" si="0"/>
        <v>1</v>
      </c>
    </row>
    <row r="25" x14ac:dyDescent="0.15">
      <c r="A25">
        <v>24</v>
      </c>
      <c r="B25" t="s">
        <v>201</v>
      </c>
      <c r="C25">
        <v>0</v>
      </c>
      <c r="D25">
        <v>1</v>
      </c>
      <c r="E25">
        <v>0</v>
      </c>
      <c r="F25">
        <v>0</v>
      </c>
      <c r="G25" s="151">
        <f t="shared" si="0"/>
        <v>1</v>
      </c>
    </row>
    <row r="26" x14ac:dyDescent="0.15">
      <c r="A26">
        <v>25</v>
      </c>
      <c r="B26" t="s">
        <v>202</v>
      </c>
      <c r="C26">
        <v>0</v>
      </c>
      <c r="D26">
        <v>1</v>
      </c>
      <c r="E26">
        <v>0</v>
      </c>
      <c r="F26">
        <v>0</v>
      </c>
      <c r="G26" s="151">
        <f t="shared" si="0"/>
        <v>1</v>
      </c>
    </row>
    <row r="27" x14ac:dyDescent="0.15">
      <c r="A27">
        <v>26</v>
      </c>
      <c r="B27" t="s">
        <v>203</v>
      </c>
      <c r="C27">
        <v>0</v>
      </c>
      <c r="D27">
        <v>1</v>
      </c>
      <c r="E27">
        <v>0</v>
      </c>
      <c r="F27">
        <v>0</v>
      </c>
      <c r="G27" s="151">
        <f t="shared" si="0"/>
        <v>1</v>
      </c>
    </row>
    <row r="28" x14ac:dyDescent="0.15">
      <c r="A28">
        <v>27</v>
      </c>
      <c r="B28" t="s">
        <v>204</v>
      </c>
      <c r="C28">
        <v>0</v>
      </c>
      <c r="D28">
        <v>1</v>
      </c>
      <c r="E28">
        <v>0</v>
      </c>
      <c r="F28">
        <v>0</v>
      </c>
      <c r="G28" s="151">
        <f t="shared" si="0"/>
        <v>1</v>
      </c>
    </row>
    <row r="29" x14ac:dyDescent="0.15">
      <c r="A29">
        <v>28</v>
      </c>
      <c r="B29" t="s">
        <v>205</v>
      </c>
      <c r="C29">
        <v>0</v>
      </c>
      <c r="D29">
        <v>1</v>
      </c>
      <c r="E29">
        <v>0</v>
      </c>
      <c r="F29">
        <v>0</v>
      </c>
      <c r="G29" s="151">
        <f t="shared" si="0"/>
        <v>1</v>
      </c>
    </row>
    <row r="30" x14ac:dyDescent="0.15">
      <c r="A30">
        <v>29</v>
      </c>
      <c r="B30" t="s">
        <v>206</v>
      </c>
      <c r="C30">
        <v>0</v>
      </c>
      <c r="D30">
        <v>1</v>
      </c>
      <c r="E30">
        <v>0</v>
      </c>
      <c r="F30">
        <v>0</v>
      </c>
      <c r="G30" s="151">
        <f t="shared" si="0"/>
        <v>1</v>
      </c>
    </row>
    <row r="31" x14ac:dyDescent="0.15">
      <c r="A31">
        <v>30</v>
      </c>
      <c r="B31" t="s">
        <v>207</v>
      </c>
      <c r="C31">
        <v>0</v>
      </c>
      <c r="D31">
        <v>1</v>
      </c>
      <c r="E31">
        <v>0</v>
      </c>
      <c r="F31">
        <v>0</v>
      </c>
      <c r="G31" s="151">
        <f t="shared" si="0"/>
        <v>1</v>
      </c>
    </row>
    <row r="32" x14ac:dyDescent="0.15">
      <c r="A32">
        <v>31</v>
      </c>
      <c r="B32" t="s">
        <v>208</v>
      </c>
      <c r="C32">
        <v>0</v>
      </c>
      <c r="D32">
        <v>1</v>
      </c>
      <c r="E32">
        <v>0</v>
      </c>
      <c r="F32">
        <v>0</v>
      </c>
      <c r="G32" s="151">
        <f t="shared" si="0"/>
        <v>1</v>
      </c>
    </row>
    <row r="33" x14ac:dyDescent="0.15">
      <c r="A33">
        <v>32</v>
      </c>
      <c r="B33" t="s">
        <v>209</v>
      </c>
      <c r="C33">
        <v>0</v>
      </c>
      <c r="D33">
        <v>1</v>
      </c>
      <c r="E33">
        <v>0</v>
      </c>
      <c r="F33">
        <v>0</v>
      </c>
      <c r="G33" s="151">
        <f t="shared" si="0"/>
        <v>1</v>
      </c>
    </row>
    <row r="34" x14ac:dyDescent="0.15">
      <c r="A34">
        <v>33</v>
      </c>
      <c r="B34" t="s">
        <v>210</v>
      </c>
      <c r="C34">
        <v>0</v>
      </c>
      <c r="D34">
        <v>1</v>
      </c>
      <c r="E34">
        <v>0</v>
      </c>
      <c r="F34">
        <v>0</v>
      </c>
      <c r="G34" s="151">
        <f t="shared" si="0"/>
        <v>1</v>
      </c>
    </row>
    <row r="35" x14ac:dyDescent="0.15">
      <c r="A35">
        <v>34</v>
      </c>
      <c r="B35" t="s">
        <v>211</v>
      </c>
      <c r="C35">
        <v>0</v>
      </c>
      <c r="D35">
        <v>1</v>
      </c>
      <c r="E35">
        <v>0</v>
      </c>
      <c r="F35">
        <v>0</v>
      </c>
      <c r="G35" s="151">
        <f t="shared" si="0"/>
        <v>1</v>
      </c>
    </row>
    <row r="36" x14ac:dyDescent="0.15">
      <c r="A36">
        <v>35</v>
      </c>
      <c r="B36" t="s">
        <v>212</v>
      </c>
      <c r="C36">
        <v>0</v>
      </c>
      <c r="D36">
        <v>1</v>
      </c>
      <c r="E36">
        <v>0</v>
      </c>
      <c r="F36">
        <v>0</v>
      </c>
      <c r="G36" s="151">
        <f t="shared" si="0"/>
        <v>1</v>
      </c>
    </row>
    <row r="37" x14ac:dyDescent="0.15">
      <c r="A37">
        <v>36</v>
      </c>
      <c r="B37" t="s">
        <v>213</v>
      </c>
      <c r="C37">
        <v>0</v>
      </c>
      <c r="D37">
        <v>1</v>
      </c>
      <c r="E37">
        <v>0</v>
      </c>
      <c r="F37">
        <v>0</v>
      </c>
      <c r="G37" s="151">
        <f t="shared" si="0"/>
        <v>1</v>
      </c>
    </row>
    <row r="38" x14ac:dyDescent="0.15">
      <c r="A38">
        <v>37</v>
      </c>
      <c r="B38" t="s">
        <v>215</v>
      </c>
      <c r="C38">
        <v>0</v>
      </c>
      <c r="D38">
        <v>0</v>
      </c>
      <c r="E38">
        <v>0</v>
      </c>
      <c r="F38">
        <v>1</v>
      </c>
      <c r="G38" s="151">
        <f t="shared" si="0"/>
        <v>1</v>
      </c>
    </row>
    <row r="39" x14ac:dyDescent="0.15">
      <c r="A39">
        <v>38</v>
      </c>
      <c r="B39" t="s">
        <v>216</v>
      </c>
      <c r="C39">
        <v>0</v>
      </c>
      <c r="D39" s="147">
        <v>1</v>
      </c>
      <c r="E39">
        <v>0</v>
      </c>
      <c r="F39">
        <v>0</v>
      </c>
      <c r="G39" s="151">
        <f t="shared" si="0"/>
        <v>1</v>
      </c>
    </row>
    <row r="40" x14ac:dyDescent="0.15">
      <c r="A40">
        <v>39</v>
      </c>
      <c r="B40" s="145" t="s">
        <v>217</v>
      </c>
      <c r="C40">
        <v>0</v>
      </c>
      <c r="D40">
        <v>1</v>
      </c>
      <c r="E40">
        <v>0</v>
      </c>
      <c r="F40">
        <v>0</v>
      </c>
      <c r="G40" s="151">
        <f t="shared" si="0"/>
        <v>1</v>
      </c>
    </row>
    <row r="41" ht="15" customHeight="true" x14ac:dyDescent="0.15"/>
    <row r="42" ht="15" customHeight="true" x14ac:dyDescent="0.15"/>
    <row r="43" x14ac:dyDescent="0.15">
      <c r="B43" s="152" t="s">
        <v>222</v>
      </c>
    </row>
    <row r="44" ht="15" customHeight="true" x14ac:dyDescent="0.15"/>
    <row r="45" ht="15" customHeight="true" x14ac:dyDescent="0.15"/>
    <row r="46" ht="15" customHeight="true" x14ac:dyDescent="0.15"/>
    <row r="47" ht="15" customHeight="true" x14ac:dyDescent="0.15"/>
    <row r="48" ht="15" customHeight="true" x14ac:dyDescent="0.15"/>
    <row r="49" ht="15" customHeight="true" x14ac:dyDescent="0.15"/>
    <row r="50" ht="15" customHeight="true" x14ac:dyDescent="0.15"/>
    <row r="51" ht="15" customHeight="true" x14ac:dyDescent="0.15"/>
    <row r="52" ht="15" customHeight="true" x14ac:dyDescent="0.15"/>
    <row r="53" ht="15" customHeight="true" x14ac:dyDescent="0.15"/>
    <row r="54" ht="15" customHeight="true" x14ac:dyDescent="0.15"/>
    <row r="55" ht="15" customHeight="true" x14ac:dyDescent="0.15"/>
    <row r="56" ht="15" customHeight="true" x14ac:dyDescent="0.15"/>
    <row r="57" ht="15" customHeight="true" x14ac:dyDescent="0.15"/>
    <row r="58" ht="15" customHeight="true" x14ac:dyDescent="0.15"/>
    <row r="59" ht="15" customHeight="true" x14ac:dyDescent="0.15"/>
    <row r="60" ht="15" customHeight="true" x14ac:dyDescent="0.15"/>
    <row r="61" ht="15" customHeight="true" x14ac:dyDescent="0.15"/>
    <row r="62" ht="15" customHeight="true" x14ac:dyDescent="0.15"/>
    <row r="63" ht="15" customHeight="true" x14ac:dyDescent="0.15"/>
    <row r="64" ht="15" customHeight="true" x14ac:dyDescent="0.15"/>
    <row r="65" ht="15" customHeight="true" x14ac:dyDescent="0.15"/>
    <row r="66" ht="15" customHeight="true" x14ac:dyDescent="0.15"/>
    <row r="67" ht="15" customHeight="true" x14ac:dyDescent="0.15"/>
    <row r="68" ht="15" customHeight="true" x14ac:dyDescent="0.15"/>
    <row r="69" ht="15" customHeight="true" x14ac:dyDescent="0.15"/>
    <row r="70" ht="15" customHeight="true" x14ac:dyDescent="0.15"/>
    <row r="71" ht="15" customHeight="true" x14ac:dyDescent="0.15"/>
    <row r="72" ht="15" customHeight="true" x14ac:dyDescent="0.15"/>
    <row r="73" ht="15" customHeight="true" x14ac:dyDescent="0.15"/>
    <row r="74" ht="15" customHeight="true" x14ac:dyDescent="0.15"/>
    <row r="75" ht="15" customHeight="true" x14ac:dyDescent="0.15"/>
    <row r="76" ht="15" customHeight="true" x14ac:dyDescent="0.15"/>
    <row r="77" ht="15" customHeight="true" x14ac:dyDescent="0.15"/>
    <row r="78" ht="15" customHeight="true" x14ac:dyDescent="0.15"/>
    <row r="79" ht="15" customHeight="true" x14ac:dyDescent="0.15"/>
    <row r="80" ht="15" customHeight="true" x14ac:dyDescent="0.15"/>
    <row r="81" ht="15" customHeight="true" x14ac:dyDescent="0.15"/>
    <row r="82" ht="15" customHeight="true" x14ac:dyDescent="0.15"/>
    <row r="83" ht="15" customHeight="true" x14ac:dyDescent="0.15"/>
    <row r="84" ht="15" customHeight="true" x14ac:dyDescent="0.15"/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  <row r="138" ht="15" customHeight="true" x14ac:dyDescent="0.15"/>
    <row r="139" ht="15" customHeight="true" x14ac:dyDescent="0.15"/>
    <row r="140" ht="15" customHeight="true" x14ac:dyDescent="0.15"/>
    <row r="141" ht="15" customHeight="true" x14ac:dyDescent="0.15"/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D17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4" sqref="A4"/>
    </sheetView>
  </sheetViews>
  <sheetFormatPr baseColWidth="10" defaultColWidth="8.83203125" defaultRowHeight="13" x14ac:dyDescent="0.15"/>
  <cols>
    <col min="1" max="1" width="8.6640625" bestFit="true" customWidth="true"/>
    <col min="2" max="2" width="34.33203125" bestFit="true" customWidth="true"/>
    <col min="3" max="3" width="19" bestFit="true" customWidth="true"/>
    <col min="4" max="4" width="9.1640625" bestFit="true" customWidth="true"/>
  </cols>
  <sheetData>
    <row r="1" s="150" customFormat="true" ht="42" x14ac:dyDescent="0.15">
      <c r="A1" s="149" t="s">
        <v>22</v>
      </c>
      <c r="B1" s="153" t="s">
        <v>0</v>
      </c>
      <c r="C1" t="s">
        <v>223</v>
      </c>
      <c r="D1" s="150" t="s">
        <v>12</v>
      </c>
    </row>
    <row r="2" x14ac:dyDescent="0.15">
      <c r="A2">
        <v>1</v>
      </c>
      <c r="B2" t="s">
        <v>178</v>
      </c>
      <c r="C2">
        <v>0</v>
      </c>
      <c r="D2" s="151">
        <f t="shared" ref="D2:D39" si="0">SUM(C2:C2)</f>
        <v>0</v>
      </c>
    </row>
    <row r="3" x14ac:dyDescent="0.15">
      <c r="A3">
        <v>2</v>
      </c>
      <c r="B3" t="s">
        <v>179</v>
      </c>
      <c r="C3">
        <v>0</v>
      </c>
      <c r="D3" s="151">
        <f t="shared" si="0"/>
        <v>0</v>
      </c>
    </row>
    <row r="4" x14ac:dyDescent="0.15">
      <c r="A4">
        <v>3</v>
      </c>
      <c r="B4" t="s">
        <v>180</v>
      </c>
      <c r="C4">
        <v>0</v>
      </c>
      <c r="D4" s="151">
        <f t="shared" si="0"/>
        <v>0</v>
      </c>
    </row>
    <row r="5" x14ac:dyDescent="0.15">
      <c r="A5">
        <v>4</v>
      </c>
      <c r="B5" t="s">
        <v>181</v>
      </c>
      <c r="C5">
        <v>0</v>
      </c>
      <c r="D5" s="151">
        <f t="shared" si="0"/>
        <v>0</v>
      </c>
    </row>
    <row r="6" x14ac:dyDescent="0.15">
      <c r="A6">
        <v>5</v>
      </c>
      <c r="B6" t="s">
        <v>182</v>
      </c>
      <c r="C6">
        <v>0</v>
      </c>
      <c r="D6" s="151">
        <f t="shared" si="0"/>
        <v>0</v>
      </c>
    </row>
    <row r="7" x14ac:dyDescent="0.15">
      <c r="A7">
        <v>6</v>
      </c>
      <c r="B7" t="s">
        <v>183</v>
      </c>
      <c r="C7">
        <v>0</v>
      </c>
      <c r="D7" s="151">
        <f t="shared" si="0"/>
        <v>0</v>
      </c>
    </row>
    <row r="8" x14ac:dyDescent="0.15">
      <c r="A8">
        <v>7</v>
      </c>
      <c r="B8" t="s">
        <v>184</v>
      </c>
      <c r="C8">
        <v>0</v>
      </c>
      <c r="D8" s="151">
        <f t="shared" si="0"/>
        <v>0</v>
      </c>
    </row>
    <row r="9" x14ac:dyDescent="0.15">
      <c r="A9">
        <v>8</v>
      </c>
      <c r="B9" t="s">
        <v>185</v>
      </c>
      <c r="C9">
        <v>0</v>
      </c>
      <c r="D9" s="151">
        <f t="shared" si="0"/>
        <v>0</v>
      </c>
    </row>
    <row r="10" x14ac:dyDescent="0.15">
      <c r="A10">
        <v>9</v>
      </c>
      <c r="B10" t="s">
        <v>186</v>
      </c>
      <c r="C10">
        <v>0</v>
      </c>
      <c r="D10" s="151">
        <f t="shared" si="0"/>
        <v>0</v>
      </c>
    </row>
    <row r="11" x14ac:dyDescent="0.15">
      <c r="A11">
        <v>10</v>
      </c>
      <c r="B11" t="s">
        <v>187</v>
      </c>
      <c r="C11">
        <v>0</v>
      </c>
      <c r="D11" s="151">
        <f t="shared" si="0"/>
        <v>0</v>
      </c>
    </row>
    <row r="12" x14ac:dyDescent="0.15">
      <c r="A12">
        <v>11</v>
      </c>
      <c r="B12" t="s">
        <v>188</v>
      </c>
      <c r="C12">
        <v>0</v>
      </c>
      <c r="D12" s="151">
        <f t="shared" si="0"/>
        <v>0</v>
      </c>
    </row>
    <row r="13" x14ac:dyDescent="0.15">
      <c r="A13">
        <v>12</v>
      </c>
      <c r="B13" t="s">
        <v>189</v>
      </c>
      <c r="C13">
        <v>0</v>
      </c>
      <c r="D13" s="151">
        <f t="shared" si="0"/>
        <v>0</v>
      </c>
    </row>
    <row r="14" x14ac:dyDescent="0.15">
      <c r="A14">
        <v>13</v>
      </c>
      <c r="B14" t="s">
        <v>190</v>
      </c>
      <c r="C14">
        <v>0</v>
      </c>
      <c r="D14" s="151">
        <f t="shared" si="0"/>
        <v>0</v>
      </c>
    </row>
    <row r="15" x14ac:dyDescent="0.15">
      <c r="A15">
        <v>14</v>
      </c>
      <c r="B15" t="s">
        <v>191</v>
      </c>
      <c r="C15">
        <v>2.32E-4</v>
      </c>
      <c r="D15" s="151">
        <f t="shared" si="0"/>
        <v>2.32E-4</v>
      </c>
    </row>
    <row r="16" x14ac:dyDescent="0.15">
      <c r="A16">
        <v>15</v>
      </c>
      <c r="B16" t="s">
        <v>192</v>
      </c>
      <c r="C16">
        <v>0</v>
      </c>
      <c r="D16" s="151">
        <f t="shared" si="0"/>
        <v>0</v>
      </c>
    </row>
    <row r="17" x14ac:dyDescent="0.15">
      <c r="A17">
        <v>16</v>
      </c>
      <c r="B17" t="s">
        <v>193</v>
      </c>
      <c r="C17">
        <v>0</v>
      </c>
      <c r="D17" s="151">
        <f t="shared" si="0"/>
        <v>0</v>
      </c>
    </row>
    <row r="18" x14ac:dyDescent="0.15">
      <c r="A18">
        <v>17</v>
      </c>
      <c r="B18" t="s">
        <v>194</v>
      </c>
      <c r="C18">
        <v>0</v>
      </c>
      <c r="D18" s="151">
        <f t="shared" si="0"/>
        <v>0</v>
      </c>
    </row>
    <row r="19" x14ac:dyDescent="0.15">
      <c r="A19">
        <v>18</v>
      </c>
      <c r="B19" t="s">
        <v>195</v>
      </c>
      <c r="C19">
        <v>0</v>
      </c>
      <c r="D19" s="151">
        <f t="shared" si="0"/>
        <v>0</v>
      </c>
    </row>
    <row r="20" x14ac:dyDescent="0.15">
      <c r="A20">
        <v>19</v>
      </c>
      <c r="B20" t="s">
        <v>196</v>
      </c>
      <c r="C20">
        <v>0</v>
      </c>
      <c r="D20" s="151">
        <f t="shared" si="0"/>
        <v>0</v>
      </c>
    </row>
    <row r="21" x14ac:dyDescent="0.15">
      <c r="A21">
        <v>20</v>
      </c>
      <c r="B21" t="s">
        <v>197</v>
      </c>
      <c r="C21">
        <v>0</v>
      </c>
      <c r="D21" s="151">
        <f t="shared" si="0"/>
        <v>0</v>
      </c>
    </row>
    <row r="22" x14ac:dyDescent="0.15">
      <c r="A22">
        <v>21</v>
      </c>
      <c r="B22" t="s">
        <v>198</v>
      </c>
      <c r="C22">
        <v>0</v>
      </c>
      <c r="D22" s="151">
        <f t="shared" si="0"/>
        <v>0</v>
      </c>
    </row>
    <row r="23" x14ac:dyDescent="0.15">
      <c r="A23">
        <v>22</v>
      </c>
      <c r="B23" t="s">
        <v>199</v>
      </c>
      <c r="C23">
        <v>0</v>
      </c>
      <c r="D23" s="151">
        <f t="shared" si="0"/>
        <v>0</v>
      </c>
    </row>
    <row r="24" x14ac:dyDescent="0.15">
      <c r="A24">
        <v>23</v>
      </c>
      <c r="B24" t="s">
        <v>200</v>
      </c>
      <c r="C24">
        <v>0</v>
      </c>
      <c r="D24" s="151">
        <f t="shared" si="0"/>
        <v>0</v>
      </c>
    </row>
    <row r="25" x14ac:dyDescent="0.15">
      <c r="A25">
        <v>24</v>
      </c>
      <c r="B25" t="s">
        <v>201</v>
      </c>
      <c r="C25">
        <v>0</v>
      </c>
      <c r="D25" s="151">
        <f t="shared" si="0"/>
        <v>0</v>
      </c>
    </row>
    <row r="26" x14ac:dyDescent="0.15">
      <c r="A26">
        <v>25</v>
      </c>
      <c r="B26" t="s">
        <v>202</v>
      </c>
      <c r="C26">
        <v>0</v>
      </c>
      <c r="D26" s="151">
        <f t="shared" si="0"/>
        <v>0</v>
      </c>
    </row>
    <row r="27" x14ac:dyDescent="0.15">
      <c r="A27">
        <v>26</v>
      </c>
      <c r="B27" t="s">
        <v>203</v>
      </c>
      <c r="C27">
        <v>0</v>
      </c>
      <c r="D27" s="151">
        <f t="shared" si="0"/>
        <v>0</v>
      </c>
    </row>
    <row r="28" x14ac:dyDescent="0.15">
      <c r="A28">
        <v>27</v>
      </c>
      <c r="B28" t="s">
        <v>204</v>
      </c>
      <c r="C28">
        <v>0</v>
      </c>
      <c r="D28" s="151">
        <f t="shared" si="0"/>
        <v>0</v>
      </c>
    </row>
    <row r="29" x14ac:dyDescent="0.15">
      <c r="A29">
        <v>28</v>
      </c>
      <c r="B29" t="s">
        <v>205</v>
      </c>
      <c r="C29">
        <v>0</v>
      </c>
      <c r="D29" s="151">
        <f t="shared" si="0"/>
        <v>0</v>
      </c>
    </row>
    <row r="30" x14ac:dyDescent="0.15">
      <c r="A30">
        <v>29</v>
      </c>
      <c r="B30" t="s">
        <v>206</v>
      </c>
      <c r="C30">
        <v>0</v>
      </c>
      <c r="D30" s="151">
        <f t="shared" si="0"/>
        <v>0</v>
      </c>
    </row>
    <row r="31" x14ac:dyDescent="0.15">
      <c r="A31">
        <v>30</v>
      </c>
      <c r="B31" t="s">
        <v>207</v>
      </c>
      <c r="C31">
        <v>0</v>
      </c>
      <c r="D31" s="151">
        <f t="shared" si="0"/>
        <v>0</v>
      </c>
    </row>
    <row r="32" x14ac:dyDescent="0.15">
      <c r="A32">
        <v>31</v>
      </c>
      <c r="B32" t="s">
        <v>208</v>
      </c>
      <c r="C32">
        <v>0</v>
      </c>
      <c r="D32" s="151">
        <f t="shared" si="0"/>
        <v>0</v>
      </c>
    </row>
    <row r="33" x14ac:dyDescent="0.15">
      <c r="A33">
        <v>32</v>
      </c>
      <c r="B33" t="s">
        <v>209</v>
      </c>
      <c r="C33">
        <v>0</v>
      </c>
      <c r="D33" s="151">
        <f t="shared" si="0"/>
        <v>0</v>
      </c>
    </row>
    <row r="34" x14ac:dyDescent="0.15">
      <c r="A34">
        <v>33</v>
      </c>
      <c r="B34" t="s">
        <v>210</v>
      </c>
      <c r="C34">
        <v>0</v>
      </c>
      <c r="D34" s="151">
        <f t="shared" si="0"/>
        <v>0</v>
      </c>
    </row>
    <row r="35" x14ac:dyDescent="0.15">
      <c r="A35">
        <v>34</v>
      </c>
      <c r="B35" t="s">
        <v>211</v>
      </c>
      <c r="C35">
        <v>0</v>
      </c>
      <c r="D35" s="151">
        <f t="shared" si="0"/>
        <v>0</v>
      </c>
    </row>
    <row r="36" x14ac:dyDescent="0.15">
      <c r="A36">
        <v>35</v>
      </c>
      <c r="B36" t="s">
        <v>212</v>
      </c>
      <c r="C36">
        <v>0</v>
      </c>
      <c r="D36" s="151">
        <f t="shared" si="0"/>
        <v>0</v>
      </c>
    </row>
    <row r="37" x14ac:dyDescent="0.15">
      <c r="A37">
        <v>36</v>
      </c>
      <c r="B37" t="s">
        <v>213</v>
      </c>
      <c r="C37">
        <v>0</v>
      </c>
      <c r="D37" s="151">
        <f t="shared" si="0"/>
        <v>0</v>
      </c>
    </row>
    <row r="38" x14ac:dyDescent="0.15">
      <c r="A38">
        <v>37</v>
      </c>
      <c r="B38" t="s">
        <v>215</v>
      </c>
      <c r="C38">
        <v>0</v>
      </c>
      <c r="D38" s="151">
        <f t="shared" si="0"/>
        <v>0</v>
      </c>
    </row>
    <row r="39" x14ac:dyDescent="0.15">
      <c r="A39">
        <v>38</v>
      </c>
      <c r="B39" t="s">
        <v>216</v>
      </c>
      <c r="C39">
        <v>0</v>
      </c>
      <c r="D39" s="151">
        <f t="shared" si="0"/>
        <v>0</v>
      </c>
    </row>
    <row r="49" ht="15" customHeight="true" x14ac:dyDescent="0.15"/>
    <row r="50" ht="15" customHeight="true" x14ac:dyDescent="0.15"/>
    <row r="51" ht="15" customHeight="true" x14ac:dyDescent="0.15"/>
    <row r="84" ht="15" customHeight="true" x14ac:dyDescent="0.15"/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  <row r="138" ht="15" customHeight="true" x14ac:dyDescent="0.15"/>
    <row r="139" ht="15" customHeight="true" x14ac:dyDescent="0.15"/>
    <row r="140" ht="15" customHeight="true" x14ac:dyDescent="0.15"/>
    <row r="141" ht="15" customHeight="true" x14ac:dyDescent="0.15"/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5" ht="15" customHeight="true" x14ac:dyDescent="0.15"/>
    <row r="176" ht="15" customHeight="true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1" sqref="F11"/>
    </sheetView>
  </sheetViews>
  <sheetFormatPr baseColWidth="10" defaultColWidth="8.83203125" defaultRowHeight="13" x14ac:dyDescent="0.15"/>
  <cols>
    <col min="1" max="1" width="8.6640625" bestFit="true" customWidth="true"/>
    <col min="2" max="2" width="34.33203125" bestFit="true" customWidth="true"/>
    <col min="3" max="3" width="18.1640625" bestFit="true" customWidth="true"/>
    <col min="4" max="4" width="6.5" bestFit="true" customWidth="true"/>
  </cols>
  <sheetData>
    <row r="1" s="150" customFormat="true" ht="42" x14ac:dyDescent="0.15">
      <c r="A1" s="149" t="s">
        <v>23</v>
      </c>
      <c r="B1" s="153" t="s">
        <v>0</v>
      </c>
      <c r="C1" t="s">
        <v>223</v>
      </c>
      <c r="D1" s="150" t="s">
        <v>12</v>
      </c>
    </row>
    <row r="2" x14ac:dyDescent="0.15">
      <c r="A2">
        <v>1</v>
      </c>
      <c r="B2" t="s">
        <v>178</v>
      </c>
      <c r="C2">
        <v>0</v>
      </c>
      <c r="D2" s="151">
        <f t="shared" ref="D2:D39" si="0">SUM(C2:C2)</f>
        <v>0</v>
      </c>
    </row>
    <row r="3" x14ac:dyDescent="0.15">
      <c r="A3">
        <v>2</v>
      </c>
      <c r="B3" t="s">
        <v>179</v>
      </c>
      <c r="C3">
        <v>0</v>
      </c>
      <c r="D3" s="151">
        <f t="shared" si="0"/>
        <v>0</v>
      </c>
    </row>
    <row r="4" x14ac:dyDescent="0.15">
      <c r="A4">
        <v>3</v>
      </c>
      <c r="B4" t="s">
        <v>180</v>
      </c>
      <c r="C4">
        <v>0</v>
      </c>
      <c r="D4" s="151">
        <f t="shared" si="0"/>
        <v>0</v>
      </c>
    </row>
    <row r="5" x14ac:dyDescent="0.15">
      <c r="A5">
        <v>4</v>
      </c>
      <c r="B5" t="s">
        <v>181</v>
      </c>
      <c r="C5">
        <v>0</v>
      </c>
      <c r="D5" s="151">
        <f t="shared" si="0"/>
        <v>0</v>
      </c>
    </row>
    <row r="6" x14ac:dyDescent="0.15">
      <c r="A6">
        <v>5</v>
      </c>
      <c r="B6" t="s">
        <v>182</v>
      </c>
      <c r="C6">
        <v>0</v>
      </c>
      <c r="D6" s="151">
        <f t="shared" si="0"/>
        <v>0</v>
      </c>
    </row>
    <row r="7" x14ac:dyDescent="0.15">
      <c r="A7">
        <v>6</v>
      </c>
      <c r="B7" t="s">
        <v>183</v>
      </c>
      <c r="C7">
        <v>0</v>
      </c>
      <c r="D7" s="151">
        <f t="shared" si="0"/>
        <v>0</v>
      </c>
    </row>
    <row r="8" x14ac:dyDescent="0.15">
      <c r="A8">
        <v>7</v>
      </c>
      <c r="B8" t="s">
        <v>184</v>
      </c>
      <c r="C8">
        <v>0</v>
      </c>
      <c r="D8" s="151">
        <f t="shared" si="0"/>
        <v>0</v>
      </c>
    </row>
    <row r="9" x14ac:dyDescent="0.15">
      <c r="A9">
        <v>8</v>
      </c>
      <c r="B9" t="s">
        <v>185</v>
      </c>
      <c r="C9">
        <v>0</v>
      </c>
      <c r="D9" s="151">
        <f t="shared" si="0"/>
        <v>0</v>
      </c>
    </row>
    <row r="10" x14ac:dyDescent="0.15">
      <c r="A10">
        <v>9</v>
      </c>
      <c r="B10" t="s">
        <v>186</v>
      </c>
      <c r="C10">
        <v>0</v>
      </c>
      <c r="D10" s="151">
        <f t="shared" si="0"/>
        <v>0</v>
      </c>
    </row>
    <row r="11" x14ac:dyDescent="0.15">
      <c r="A11">
        <v>10</v>
      </c>
      <c r="B11" t="s">
        <v>187</v>
      </c>
      <c r="C11">
        <v>0</v>
      </c>
      <c r="D11" s="151">
        <f t="shared" si="0"/>
        <v>0</v>
      </c>
    </row>
    <row r="12" x14ac:dyDescent="0.15">
      <c r="A12">
        <v>11</v>
      </c>
      <c r="B12" t="s">
        <v>188</v>
      </c>
      <c r="C12">
        <v>0</v>
      </c>
      <c r="D12" s="151">
        <f t="shared" si="0"/>
        <v>0</v>
      </c>
    </row>
    <row r="13" x14ac:dyDescent="0.15">
      <c r="A13">
        <v>12</v>
      </c>
      <c r="B13" t="s">
        <v>189</v>
      </c>
      <c r="C13">
        <v>0</v>
      </c>
      <c r="D13" s="151">
        <f t="shared" si="0"/>
        <v>0</v>
      </c>
    </row>
    <row r="14" x14ac:dyDescent="0.15">
      <c r="A14">
        <v>13</v>
      </c>
      <c r="B14" t="s">
        <v>190</v>
      </c>
      <c r="C14">
        <v>0</v>
      </c>
      <c r="D14" s="151">
        <f t="shared" si="0"/>
        <v>0</v>
      </c>
    </row>
    <row r="15" x14ac:dyDescent="0.15">
      <c r="A15">
        <v>14</v>
      </c>
      <c r="B15" t="s">
        <v>191</v>
      </c>
      <c r="C15">
        <v>0</v>
      </c>
      <c r="D15" s="151">
        <f t="shared" si="0"/>
        <v>0</v>
      </c>
    </row>
    <row r="16" x14ac:dyDescent="0.15">
      <c r="A16">
        <v>15</v>
      </c>
      <c r="B16" t="s">
        <v>192</v>
      </c>
      <c r="C16">
        <v>0</v>
      </c>
      <c r="D16" s="151">
        <f t="shared" si="0"/>
        <v>0</v>
      </c>
    </row>
    <row r="17" x14ac:dyDescent="0.15">
      <c r="A17">
        <v>16</v>
      </c>
      <c r="B17" t="s">
        <v>193</v>
      </c>
      <c r="C17">
        <v>0</v>
      </c>
      <c r="D17" s="151">
        <f t="shared" si="0"/>
        <v>0</v>
      </c>
    </row>
    <row r="18" x14ac:dyDescent="0.15">
      <c r="A18">
        <v>17</v>
      </c>
      <c r="B18" t="s">
        <v>194</v>
      </c>
      <c r="C18">
        <v>0</v>
      </c>
      <c r="D18" s="151">
        <f t="shared" si="0"/>
        <v>0</v>
      </c>
    </row>
    <row r="19" x14ac:dyDescent="0.15">
      <c r="A19">
        <v>18</v>
      </c>
      <c r="B19" t="s">
        <v>195</v>
      </c>
      <c r="C19">
        <v>0</v>
      </c>
      <c r="D19" s="151">
        <f t="shared" si="0"/>
        <v>0</v>
      </c>
    </row>
    <row r="20" x14ac:dyDescent="0.15">
      <c r="A20">
        <v>19</v>
      </c>
      <c r="B20" t="s">
        <v>196</v>
      </c>
      <c r="C20">
        <v>0</v>
      </c>
      <c r="D20" s="151">
        <f t="shared" si="0"/>
        <v>0</v>
      </c>
    </row>
    <row r="21" x14ac:dyDescent="0.15">
      <c r="A21">
        <v>20</v>
      </c>
      <c r="B21" t="s">
        <v>197</v>
      </c>
      <c r="C21">
        <v>0</v>
      </c>
      <c r="D21" s="151">
        <f t="shared" si="0"/>
        <v>0</v>
      </c>
    </row>
    <row r="22" x14ac:dyDescent="0.15">
      <c r="A22">
        <v>21</v>
      </c>
      <c r="B22" t="s">
        <v>198</v>
      </c>
      <c r="C22">
        <v>0</v>
      </c>
      <c r="D22" s="151">
        <f t="shared" si="0"/>
        <v>0</v>
      </c>
    </row>
    <row r="23" x14ac:dyDescent="0.15">
      <c r="A23">
        <v>22</v>
      </c>
      <c r="B23" t="s">
        <v>199</v>
      </c>
      <c r="C23">
        <v>0</v>
      </c>
      <c r="D23" s="151">
        <f t="shared" si="0"/>
        <v>0</v>
      </c>
    </row>
    <row r="24" x14ac:dyDescent="0.15">
      <c r="A24">
        <v>23</v>
      </c>
      <c r="B24" t="s">
        <v>200</v>
      </c>
      <c r="C24">
        <v>0</v>
      </c>
      <c r="D24" s="151">
        <f t="shared" si="0"/>
        <v>0</v>
      </c>
    </row>
    <row r="25" x14ac:dyDescent="0.15">
      <c r="A25">
        <v>24</v>
      </c>
      <c r="B25" t="s">
        <v>201</v>
      </c>
      <c r="C25">
        <v>0</v>
      </c>
      <c r="D25" s="151">
        <f t="shared" si="0"/>
        <v>0</v>
      </c>
    </row>
    <row r="26" x14ac:dyDescent="0.15">
      <c r="A26">
        <v>25</v>
      </c>
      <c r="B26" t="s">
        <v>202</v>
      </c>
      <c r="C26">
        <v>0</v>
      </c>
      <c r="D26" s="151">
        <f t="shared" si="0"/>
        <v>0</v>
      </c>
    </row>
    <row r="27" x14ac:dyDescent="0.15">
      <c r="A27">
        <v>26</v>
      </c>
      <c r="B27" t="s">
        <v>203</v>
      </c>
      <c r="C27">
        <v>0</v>
      </c>
      <c r="D27" s="151">
        <f t="shared" si="0"/>
        <v>0</v>
      </c>
    </row>
    <row r="28" x14ac:dyDescent="0.15">
      <c r="A28">
        <v>27</v>
      </c>
      <c r="B28" t="s">
        <v>204</v>
      </c>
      <c r="C28">
        <v>0</v>
      </c>
      <c r="D28" s="151">
        <f t="shared" si="0"/>
        <v>0</v>
      </c>
    </row>
    <row r="29" x14ac:dyDescent="0.15">
      <c r="A29">
        <v>28</v>
      </c>
      <c r="B29" t="s">
        <v>205</v>
      </c>
      <c r="C29">
        <v>0</v>
      </c>
      <c r="D29" s="151">
        <f t="shared" si="0"/>
        <v>0</v>
      </c>
    </row>
    <row r="30" x14ac:dyDescent="0.15">
      <c r="A30">
        <v>29</v>
      </c>
      <c r="B30" t="s">
        <v>206</v>
      </c>
      <c r="C30">
        <v>0</v>
      </c>
      <c r="D30" s="151">
        <f t="shared" si="0"/>
        <v>0</v>
      </c>
    </row>
    <row r="31" x14ac:dyDescent="0.15">
      <c r="A31">
        <v>30</v>
      </c>
      <c r="B31" t="s">
        <v>207</v>
      </c>
      <c r="C31">
        <v>0</v>
      </c>
      <c r="D31" s="151">
        <f t="shared" si="0"/>
        <v>0</v>
      </c>
    </row>
    <row r="32" x14ac:dyDescent="0.15">
      <c r="A32">
        <v>31</v>
      </c>
      <c r="B32" t="s">
        <v>208</v>
      </c>
      <c r="C32">
        <v>0</v>
      </c>
      <c r="D32" s="151">
        <f t="shared" si="0"/>
        <v>0</v>
      </c>
    </row>
    <row r="33" x14ac:dyDescent="0.15">
      <c r="A33">
        <v>32</v>
      </c>
      <c r="B33" t="s">
        <v>209</v>
      </c>
      <c r="C33">
        <v>0</v>
      </c>
      <c r="D33" s="151">
        <f t="shared" si="0"/>
        <v>0</v>
      </c>
    </row>
    <row r="34" x14ac:dyDescent="0.15">
      <c r="A34">
        <v>33</v>
      </c>
      <c r="B34" t="s">
        <v>210</v>
      </c>
      <c r="C34">
        <v>0</v>
      </c>
      <c r="D34" s="151">
        <f t="shared" si="0"/>
        <v>0</v>
      </c>
    </row>
    <row r="35" x14ac:dyDescent="0.15">
      <c r="A35">
        <v>34</v>
      </c>
      <c r="B35" t="s">
        <v>211</v>
      </c>
      <c r="C35">
        <v>0</v>
      </c>
      <c r="D35" s="151">
        <f t="shared" si="0"/>
        <v>0</v>
      </c>
    </row>
    <row r="36" x14ac:dyDescent="0.15">
      <c r="A36">
        <v>35</v>
      </c>
      <c r="B36" t="s">
        <v>212</v>
      </c>
      <c r="C36">
        <v>0</v>
      </c>
      <c r="D36" s="151">
        <f t="shared" si="0"/>
        <v>0</v>
      </c>
    </row>
    <row r="37" x14ac:dyDescent="0.15">
      <c r="A37">
        <v>36</v>
      </c>
      <c r="B37" t="s">
        <v>213</v>
      </c>
      <c r="C37">
        <v>0</v>
      </c>
      <c r="D37" s="151">
        <f t="shared" si="0"/>
        <v>0</v>
      </c>
    </row>
    <row r="38" x14ac:dyDescent="0.15">
      <c r="A38">
        <v>37</v>
      </c>
      <c r="B38" t="s">
        <v>215</v>
      </c>
      <c r="C38">
        <v>0</v>
      </c>
      <c r="D38" s="151">
        <f t="shared" si="0"/>
        <v>0</v>
      </c>
    </row>
    <row r="39" x14ac:dyDescent="0.15">
      <c r="A39">
        <v>38</v>
      </c>
      <c r="B39" t="s">
        <v>216</v>
      </c>
      <c r="C39">
        <v>0</v>
      </c>
      <c r="D39" s="151">
        <f t="shared" si="0"/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7"/>
  <sheetViews>
    <sheetView workbookViewId="0">
      <selection activeCell="E9" sqref="E9"/>
    </sheetView>
  </sheetViews>
  <sheetFormatPr baseColWidth="10" defaultRowHeight="13" x14ac:dyDescent="0.15"/>
  <cols>
    <col min="1" max="1" width="17.33203125" bestFit="true" customWidth="true"/>
    <col min="5" max="5" width="39.83203125" bestFit="true" customWidth="true"/>
    <col min="6" max="6" width="8.1640625" bestFit="true" customWidth="true"/>
    <col min="7" max="7" width="7.5" bestFit="true" customWidth="true"/>
    <col min="8" max="8" width="8.6640625" bestFit="true" customWidth="true"/>
    <col min="9" max="9" width="8.83203125" bestFit="true" customWidth="true"/>
    <col min="10" max="10" width="8.83203125" style="170" bestFit="true" customWidth="true"/>
    <col min="11" max="11" width="8.6640625" style="170" bestFit="true" customWidth="true"/>
    <col min="12" max="12" width="12.33203125" bestFit="true" customWidth="true"/>
    <col min="13" max="13" width="13.5" bestFit="true" customWidth="true"/>
    <col min="14" max="14" width="13.83203125" bestFit="true" customWidth="true"/>
    <col min="15" max="15" width="13.6640625" bestFit="true" customWidth="true"/>
    <col min="16" max="16" width="13.5" bestFit="true" customWidth="true"/>
    <col min="17" max="17" width="12.83203125" bestFit="true" customWidth="true"/>
    <col min="18" max="18" width="14" bestFit="true" customWidth="true"/>
    <col min="19" max="20" width="14.1640625" bestFit="true" customWidth="true"/>
    <col min="21" max="21" width="14" bestFit="true" customWidth="true"/>
    <col min="22" max="22" width="8.6640625" bestFit="true" customWidth="true"/>
    <col min="23" max="23" width="8.83203125" bestFit="true" customWidth="true"/>
    <col min="24" max="24" width="14" bestFit="true" customWidth="true"/>
    <col min="25" max="25" width="21.33203125" style="3" bestFit="true" customWidth="true"/>
    <col min="26" max="26" width="13.6640625" bestFit="true" customWidth="true"/>
    <col min="27" max="27" width="13.83203125" bestFit="true" customWidth="true"/>
    <col min="28" max="28" width="19" bestFit="true" customWidth="true"/>
    <col min="29" max="29" width="26.33203125" style="3" bestFit="true" customWidth="true"/>
    <col min="30" max="30" width="14.1640625" bestFit="true" customWidth="true"/>
    <col min="31" max="31" width="14.33203125" bestFit="true" customWidth="true"/>
    <col min="32" max="32" width="19.5" bestFit="true" customWidth="true"/>
    <col min="33" max="33" width="26.83203125" style="3" bestFit="true" customWidth="true"/>
    <col min="34" max="34" width="24" bestFit="true" customWidth="true"/>
    <col min="35" max="35" width="30" bestFit="true" customWidth="true"/>
    <col min="36" max="36" width="19.1640625" bestFit="true" customWidth="true"/>
    <col min="37" max="37" width="25.5" bestFit="true" customWidth="true"/>
    <col min="38" max="38" width="31.5" bestFit="true" customWidth="true"/>
    <col min="39" max="39" width="20.6640625" bestFit="true" customWidth="true"/>
    <col min="40" max="40" width="25" bestFit="true" customWidth="true"/>
    <col min="41" max="41" width="31" bestFit="true" customWidth="true"/>
    <col min="42" max="42" width="20.1640625" bestFit="true" customWidth="true"/>
  </cols>
  <sheetData>
    <row r="1" s="154" customFormat="true" ht="14" thickBot="true" x14ac:dyDescent="0.2">
      <c r="D1" s="155" t="s">
        <v>8</v>
      </c>
      <c r="E1" s="155" t="s">
        <v>0</v>
      </c>
      <c r="F1" s="156" t="s">
        <v>101</v>
      </c>
      <c r="G1" s="157" t="s">
        <v>86</v>
      </c>
      <c r="H1" s="157" t="s">
        <v>87</v>
      </c>
      <c r="I1" s="157" t="s">
        <v>88</v>
      </c>
      <c r="J1" s="157" t="s">
        <v>89</v>
      </c>
      <c r="K1" s="157" t="s">
        <v>90</v>
      </c>
      <c r="L1" s="158" t="s">
        <v>91</v>
      </c>
      <c r="M1" s="158" t="s">
        <v>95</v>
      </c>
      <c r="N1" s="158" t="s">
        <v>94</v>
      </c>
      <c r="O1" s="158" t="s">
        <v>92</v>
      </c>
      <c r="P1" s="158" t="s">
        <v>93</v>
      </c>
      <c r="Q1" s="159" t="s">
        <v>96</v>
      </c>
      <c r="R1" s="159" t="s">
        <v>97</v>
      </c>
      <c r="S1" s="159" t="s">
        <v>98</v>
      </c>
      <c r="T1" s="159" t="s">
        <v>99</v>
      </c>
      <c r="U1" s="159" t="s">
        <v>100</v>
      </c>
      <c r="V1" s="157" t="s">
        <v>102</v>
      </c>
      <c r="W1" s="157" t="s">
        <v>103</v>
      </c>
      <c r="X1" s="157" t="s">
        <v>104</v>
      </c>
      <c r="Y1" s="157" t="s">
        <v>136</v>
      </c>
      <c r="Z1" s="158" t="s">
        <v>105</v>
      </c>
      <c r="AA1" s="158" t="s">
        <v>106</v>
      </c>
      <c r="AB1" s="158" t="s">
        <v>107</v>
      </c>
      <c r="AC1" s="160" t="s">
        <v>137</v>
      </c>
      <c r="AD1" s="159" t="s">
        <v>108</v>
      </c>
      <c r="AE1" s="159" t="s">
        <v>109</v>
      </c>
      <c r="AF1" s="159" t="s">
        <v>110</v>
      </c>
      <c r="AG1" s="159" t="s">
        <v>138</v>
      </c>
      <c r="AH1" s="157" t="s">
        <v>111</v>
      </c>
      <c r="AI1" s="157" t="s">
        <v>113</v>
      </c>
      <c r="AJ1" s="157" t="s">
        <v>112</v>
      </c>
      <c r="AK1" s="158" t="s">
        <v>117</v>
      </c>
      <c r="AL1" s="158" t="s">
        <v>118</v>
      </c>
      <c r="AM1" s="158" t="s">
        <v>119</v>
      </c>
      <c r="AN1" s="159" t="s">
        <v>114</v>
      </c>
      <c r="AO1" s="159" t="s">
        <v>115</v>
      </c>
      <c r="AP1" s="159" t="s">
        <v>116</v>
      </c>
    </row>
    <row r="2" ht="15" x14ac:dyDescent="0.15">
      <c r="A2" s="161" t="s">
        <v>76</v>
      </c>
      <c r="B2" s="162">
        <v>1</v>
      </c>
      <c r="D2">
        <v>1</v>
      </c>
      <c r="E2" s="142" t="s">
        <v>178</v>
      </c>
      <c r="F2" s="163">
        <v>0.995</v>
      </c>
      <c r="G2" s="164">
        <v>0.3</v>
      </c>
      <c r="H2" s="165">
        <v>0.6</v>
      </c>
      <c r="I2" s="164">
        <v>0</v>
      </c>
      <c r="J2" s="164">
        <v>0</v>
      </c>
      <c r="K2" s="164">
        <v>0</v>
      </c>
    </row>
    <row r="3" ht="15" x14ac:dyDescent="0.15">
      <c r="A3" s="161" t="s">
        <v>77</v>
      </c>
      <c r="B3" s="166">
        <v>1</v>
      </c>
      <c r="D3">
        <v>2</v>
      </c>
      <c r="E3" s="142" t="s">
        <v>179</v>
      </c>
      <c r="F3" s="163">
        <v>0.995</v>
      </c>
      <c r="G3" s="164">
        <v>0.3</v>
      </c>
      <c r="H3" s="165">
        <v>0.6</v>
      </c>
      <c r="I3" s="164">
        <v>0</v>
      </c>
      <c r="J3" s="164">
        <v>0</v>
      </c>
      <c r="K3" s="164">
        <v>0</v>
      </c>
    </row>
    <row r="4" ht="15" x14ac:dyDescent="0.15">
      <c r="A4" s="161" t="s">
        <v>78</v>
      </c>
      <c r="B4" s="166">
        <v>1</v>
      </c>
      <c r="D4">
        <v>3</v>
      </c>
      <c r="E4" s="142" t="s">
        <v>180</v>
      </c>
      <c r="F4" s="163">
        <v>0.995</v>
      </c>
      <c r="G4" s="164">
        <v>0.3</v>
      </c>
      <c r="H4" s="165">
        <v>0.6</v>
      </c>
      <c r="I4" s="164">
        <v>0</v>
      </c>
      <c r="J4" s="164">
        <v>0</v>
      </c>
      <c r="K4" s="164">
        <v>0</v>
      </c>
    </row>
    <row r="5" ht="15" x14ac:dyDescent="0.15">
      <c r="A5" s="161" t="s">
        <v>79</v>
      </c>
      <c r="B5" s="166">
        <v>1</v>
      </c>
      <c r="D5">
        <v>4</v>
      </c>
      <c r="E5" s="142" t="s">
        <v>181</v>
      </c>
      <c r="F5" s="163">
        <v>0.995</v>
      </c>
      <c r="G5" s="164">
        <v>0.3</v>
      </c>
      <c r="H5" s="165">
        <v>0.6</v>
      </c>
      <c r="I5" s="164">
        <v>0</v>
      </c>
      <c r="J5" s="164">
        <v>0</v>
      </c>
      <c r="K5" s="164">
        <v>0</v>
      </c>
    </row>
    <row r="6" ht="15" x14ac:dyDescent="0.15">
      <c r="A6" s="161" t="s">
        <v>80</v>
      </c>
      <c r="B6" s="166">
        <v>0</v>
      </c>
      <c r="D6">
        <v>5</v>
      </c>
      <c r="E6" s="142" t="s">
        <v>182</v>
      </c>
      <c r="F6" s="163">
        <v>0.995</v>
      </c>
      <c r="G6" s="164">
        <v>0.3</v>
      </c>
      <c r="H6" s="164">
        <v>0.6</v>
      </c>
      <c r="I6" s="164">
        <v>0.6</v>
      </c>
      <c r="J6" s="165">
        <v>0.6</v>
      </c>
      <c r="K6" s="167">
        <v>0.2</v>
      </c>
    </row>
    <row r="7" ht="15" x14ac:dyDescent="0.15">
      <c r="A7" s="161" t="s">
        <v>81</v>
      </c>
      <c r="B7" s="166">
        <v>0</v>
      </c>
      <c r="D7">
        <v>6</v>
      </c>
      <c r="E7" s="142" t="s">
        <v>183</v>
      </c>
      <c r="F7" s="163">
        <v>0.995</v>
      </c>
      <c r="G7" s="164">
        <v>0.3</v>
      </c>
      <c r="H7" s="164">
        <v>0.6</v>
      </c>
      <c r="I7" s="164">
        <v>0.6</v>
      </c>
      <c r="J7" s="165">
        <v>0.6</v>
      </c>
      <c r="K7" s="167">
        <v>0.2</v>
      </c>
    </row>
    <row r="8" ht="15" x14ac:dyDescent="0.15">
      <c r="A8" s="161" t="s">
        <v>82</v>
      </c>
      <c r="B8" s="166">
        <v>1</v>
      </c>
      <c r="D8">
        <v>7</v>
      </c>
      <c r="E8" s="142" t="s">
        <v>184</v>
      </c>
      <c r="F8" s="163">
        <v>0.995</v>
      </c>
      <c r="G8" s="164">
        <v>0.3</v>
      </c>
      <c r="H8" s="164">
        <v>0.6</v>
      </c>
      <c r="I8" s="164">
        <v>0.6</v>
      </c>
      <c r="J8" s="165">
        <v>0.6</v>
      </c>
      <c r="K8" s="167">
        <v>0.2</v>
      </c>
    </row>
    <row r="9" ht="15" x14ac:dyDescent="0.15">
      <c r="A9" s="161" t="s">
        <v>83</v>
      </c>
      <c r="B9" s="166">
        <v>0.1</v>
      </c>
      <c r="C9" s="152" t="s">
        <v>152</v>
      </c>
      <c r="D9">
        <v>8</v>
      </c>
      <c r="E9" s="142" t="s">
        <v>185</v>
      </c>
      <c r="F9" s="163">
        <v>0.995</v>
      </c>
      <c r="G9" s="164">
        <v>0.3</v>
      </c>
      <c r="H9" s="164">
        <v>0.6</v>
      </c>
      <c r="I9" s="164">
        <v>0.6</v>
      </c>
      <c r="J9" s="165">
        <v>0.6</v>
      </c>
      <c r="K9" s="167">
        <v>0.2</v>
      </c>
    </row>
    <row r="10" ht="16" thickBot="true" x14ac:dyDescent="0.2">
      <c r="A10" s="161" t="s">
        <v>151</v>
      </c>
      <c r="B10" s="168">
        <f>1/3</f>
        <v>0.33333333333333331</v>
      </c>
      <c r="C10" s="152" t="s">
        <v>152</v>
      </c>
      <c r="D10">
        <v>9</v>
      </c>
      <c r="E10" s="142" t="s">
        <v>186</v>
      </c>
      <c r="F10" s="163">
        <v>0.995</v>
      </c>
      <c r="G10" s="164">
        <v>0.3</v>
      </c>
      <c r="H10" s="164">
        <v>0.6</v>
      </c>
      <c r="I10" s="164">
        <v>0.6</v>
      </c>
      <c r="J10" s="165">
        <v>0.6</v>
      </c>
      <c r="K10" s="167">
        <v>0.2</v>
      </c>
    </row>
    <row r="11" ht="15" x14ac:dyDescent="0.15">
      <c r="D11">
        <v>10</v>
      </c>
      <c r="E11" s="142" t="s">
        <v>187</v>
      </c>
      <c r="F11" s="163">
        <v>0.995</v>
      </c>
      <c r="G11" s="164">
        <v>0.8</v>
      </c>
      <c r="H11" s="164">
        <v>0.6</v>
      </c>
      <c r="I11" s="164">
        <v>0.6</v>
      </c>
      <c r="J11" s="165">
        <v>0.6</v>
      </c>
      <c r="K11" s="167">
        <v>0.2</v>
      </c>
    </row>
    <row r="12" ht="15" x14ac:dyDescent="0.15">
      <c r="D12">
        <v>11</v>
      </c>
      <c r="E12" s="142" t="s">
        <v>188</v>
      </c>
      <c r="F12" s="163">
        <v>0.995</v>
      </c>
      <c r="G12" s="164">
        <v>0.8</v>
      </c>
      <c r="H12" s="164">
        <v>0.6</v>
      </c>
      <c r="I12" s="164">
        <v>0.6</v>
      </c>
      <c r="J12" s="165">
        <v>0.6</v>
      </c>
      <c r="K12" s="167">
        <v>0.2</v>
      </c>
    </row>
    <row r="13" ht="15" x14ac:dyDescent="0.15">
      <c r="D13">
        <v>12</v>
      </c>
      <c r="E13" s="142" t="s">
        <v>189</v>
      </c>
      <c r="F13" s="163">
        <v>0.995</v>
      </c>
      <c r="G13" s="164">
        <v>0.5</v>
      </c>
      <c r="H13" s="164">
        <v>0.6</v>
      </c>
      <c r="I13" s="164">
        <v>0.6</v>
      </c>
      <c r="J13" s="165">
        <v>0.6</v>
      </c>
      <c r="K13" s="167">
        <v>0.2</v>
      </c>
    </row>
    <row r="14" ht="15" x14ac:dyDescent="0.15">
      <c r="D14">
        <v>13</v>
      </c>
      <c r="E14" s="142" t="s">
        <v>190</v>
      </c>
      <c r="F14" s="163">
        <v>0.995</v>
      </c>
      <c r="G14" s="164">
        <v>0.5</v>
      </c>
      <c r="H14" s="164">
        <v>0.6</v>
      </c>
      <c r="I14" s="164">
        <v>0.6</v>
      </c>
      <c r="J14" s="165">
        <v>0.6</v>
      </c>
      <c r="K14" s="167">
        <v>0.2</v>
      </c>
    </row>
    <row r="15" ht="15" x14ac:dyDescent="0.15">
      <c r="D15">
        <v>14</v>
      </c>
      <c r="E15" s="142" t="s">
        <v>191</v>
      </c>
      <c r="F15" s="163">
        <v>0.995</v>
      </c>
      <c r="G15" s="164">
        <v>0.3</v>
      </c>
      <c r="H15" s="164">
        <v>0.6</v>
      </c>
      <c r="I15" s="164">
        <v>0.6</v>
      </c>
      <c r="J15" s="165">
        <v>0.6</v>
      </c>
      <c r="K15" s="167">
        <v>0.2</v>
      </c>
    </row>
    <row r="16" ht="15" x14ac:dyDescent="0.15">
      <c r="D16">
        <v>15</v>
      </c>
      <c r="E16" s="142" t="s">
        <v>192</v>
      </c>
      <c r="F16" s="163">
        <v>0.995</v>
      </c>
      <c r="G16" s="164">
        <v>0.5</v>
      </c>
      <c r="H16" s="164">
        <v>0.6</v>
      </c>
      <c r="I16" s="164">
        <v>0.6</v>
      </c>
      <c r="J16" s="165">
        <v>0.6</v>
      </c>
      <c r="K16" s="167">
        <v>0.2</v>
      </c>
    </row>
    <row r="17" ht="15" x14ac:dyDescent="0.15">
      <c r="D17">
        <v>16</v>
      </c>
      <c r="E17" s="142" t="s">
        <v>193</v>
      </c>
      <c r="F17" s="163">
        <v>0.995</v>
      </c>
      <c r="G17" s="164">
        <v>0.3</v>
      </c>
      <c r="H17" s="164">
        <v>0.6</v>
      </c>
      <c r="I17" s="164">
        <v>0.6</v>
      </c>
      <c r="J17" s="165">
        <v>0.6</v>
      </c>
      <c r="K17" s="167">
        <v>0.2</v>
      </c>
    </row>
    <row r="18" ht="15" x14ac:dyDescent="0.15">
      <c r="D18">
        <v>17</v>
      </c>
      <c r="E18" s="142" t="s">
        <v>194</v>
      </c>
      <c r="F18" s="163">
        <v>0.995</v>
      </c>
      <c r="G18" s="164">
        <v>0.3</v>
      </c>
      <c r="H18" s="164">
        <v>0.6</v>
      </c>
      <c r="I18" s="164">
        <v>0.6</v>
      </c>
      <c r="J18" s="165">
        <v>0.6</v>
      </c>
      <c r="K18" s="167">
        <v>0.2</v>
      </c>
    </row>
    <row r="19" ht="15" x14ac:dyDescent="0.15">
      <c r="D19">
        <v>18</v>
      </c>
      <c r="E19" s="142" t="s">
        <v>195</v>
      </c>
      <c r="F19" s="163">
        <v>0.995</v>
      </c>
      <c r="G19" s="164">
        <v>0.5</v>
      </c>
      <c r="H19" s="164">
        <v>0.6</v>
      </c>
      <c r="I19" s="164">
        <v>0.6</v>
      </c>
      <c r="J19" s="165">
        <v>0.6</v>
      </c>
      <c r="K19" s="167">
        <v>0.2</v>
      </c>
    </row>
    <row r="20" ht="15" x14ac:dyDescent="0.15">
      <c r="D20">
        <v>19</v>
      </c>
      <c r="E20" s="142" t="s">
        <v>196</v>
      </c>
      <c r="F20" s="163">
        <v>0.995</v>
      </c>
      <c r="G20" s="164">
        <v>0.5</v>
      </c>
      <c r="H20" s="164">
        <v>0.6</v>
      </c>
      <c r="I20" s="164">
        <v>0.6</v>
      </c>
      <c r="J20" s="165">
        <v>0.6</v>
      </c>
      <c r="K20" s="167">
        <v>0.2</v>
      </c>
    </row>
    <row r="21" ht="15" x14ac:dyDescent="0.15">
      <c r="D21">
        <v>20</v>
      </c>
      <c r="E21" s="142" t="s">
        <v>197</v>
      </c>
      <c r="F21" s="163">
        <v>0.995</v>
      </c>
      <c r="G21" s="164">
        <v>0.5</v>
      </c>
      <c r="H21" s="164">
        <v>0.6</v>
      </c>
      <c r="I21" s="164">
        <v>0.6</v>
      </c>
      <c r="J21" s="165">
        <v>0.6</v>
      </c>
      <c r="K21" s="167">
        <v>0.2</v>
      </c>
    </row>
    <row r="22" ht="15" x14ac:dyDescent="0.15">
      <c r="D22">
        <v>21</v>
      </c>
      <c r="E22" s="142" t="s">
        <v>198</v>
      </c>
      <c r="F22" s="163">
        <v>0.995</v>
      </c>
      <c r="G22" s="164">
        <v>0.3</v>
      </c>
      <c r="H22" s="164">
        <v>0.3</v>
      </c>
      <c r="I22" s="164">
        <v>0.5</v>
      </c>
      <c r="J22" s="165">
        <v>0.5</v>
      </c>
      <c r="K22" s="167">
        <v>0.2</v>
      </c>
    </row>
    <row r="23" ht="15" x14ac:dyDescent="0.15">
      <c r="D23">
        <v>22</v>
      </c>
      <c r="E23" s="142" t="s">
        <v>199</v>
      </c>
      <c r="F23" s="163">
        <v>0.995</v>
      </c>
      <c r="G23" s="164">
        <v>0.1</v>
      </c>
      <c r="H23" s="164">
        <v>0.4</v>
      </c>
      <c r="I23" s="164">
        <v>0.5</v>
      </c>
      <c r="J23" s="165">
        <v>0.5</v>
      </c>
      <c r="K23" s="167">
        <v>0.2</v>
      </c>
    </row>
    <row r="24" ht="15" x14ac:dyDescent="0.15">
      <c r="D24">
        <v>23</v>
      </c>
      <c r="E24" s="142" t="s">
        <v>200</v>
      </c>
      <c r="F24" s="163">
        <v>0.995</v>
      </c>
      <c r="G24" s="164">
        <v>0.1</v>
      </c>
      <c r="H24" s="164">
        <v>0.4</v>
      </c>
      <c r="I24" s="164">
        <v>0.5</v>
      </c>
      <c r="J24" s="165">
        <v>0.5</v>
      </c>
      <c r="K24" s="167">
        <v>0.2</v>
      </c>
    </row>
    <row r="25" ht="15" x14ac:dyDescent="0.15">
      <c r="D25">
        <f>D24+1</f>
        <v>24</v>
      </c>
      <c r="E25" s="142" t="s">
        <v>201</v>
      </c>
      <c r="F25" s="163">
        <v>0.995</v>
      </c>
      <c r="G25" s="164">
        <v>0.1</v>
      </c>
      <c r="H25" s="164">
        <v>0.2</v>
      </c>
      <c r="I25" s="164">
        <v>0.5</v>
      </c>
      <c r="J25" s="165">
        <v>0.5</v>
      </c>
      <c r="K25" s="167">
        <v>0.2</v>
      </c>
      <c r="V25" s="163"/>
      <c r="W25" s="163"/>
      <c r="Y25"/>
      <c r="AC25"/>
      <c r="AG25"/>
    </row>
    <row r="26" ht="15" x14ac:dyDescent="0.15">
      <c r="D26">
        <f t="shared" ref="D26:D36" si="0">D25+1</f>
        <v>25</v>
      </c>
      <c r="E26" s="142" t="s">
        <v>202</v>
      </c>
      <c r="F26" s="163">
        <v>0.995</v>
      </c>
      <c r="G26" s="164">
        <v>0.1</v>
      </c>
      <c r="H26" s="164">
        <v>0.4</v>
      </c>
      <c r="I26" s="164">
        <v>0.5</v>
      </c>
      <c r="J26" s="165">
        <v>0.5</v>
      </c>
      <c r="K26" s="167">
        <v>0.2</v>
      </c>
      <c r="V26" s="163"/>
      <c r="W26" s="163"/>
      <c r="Y26"/>
      <c r="AC26"/>
      <c r="AG26"/>
    </row>
    <row r="27" ht="15" x14ac:dyDescent="0.15">
      <c r="D27">
        <f t="shared" si="0"/>
        <v>26</v>
      </c>
      <c r="E27" s="142" t="s">
        <v>203</v>
      </c>
      <c r="F27" s="163">
        <v>0.995</v>
      </c>
      <c r="G27" s="164">
        <v>0.1</v>
      </c>
      <c r="H27" s="164">
        <v>0.2</v>
      </c>
      <c r="I27" s="164">
        <v>0.5</v>
      </c>
      <c r="J27" s="165">
        <v>0.5</v>
      </c>
      <c r="K27" s="167">
        <v>0.2</v>
      </c>
      <c r="Y27"/>
      <c r="AC27"/>
      <c r="AG27"/>
    </row>
    <row r="28" ht="15" x14ac:dyDescent="0.15">
      <c r="D28">
        <f t="shared" si="0"/>
        <v>27</v>
      </c>
      <c r="E28" s="142" t="s">
        <v>204</v>
      </c>
      <c r="F28" s="163">
        <v>0.995</v>
      </c>
      <c r="G28" s="164">
        <v>0.1</v>
      </c>
      <c r="H28" s="164">
        <v>0.2</v>
      </c>
      <c r="I28" s="164">
        <v>0.5</v>
      </c>
      <c r="J28" s="165">
        <v>0.5</v>
      </c>
      <c r="K28" s="167">
        <v>0.2</v>
      </c>
      <c r="Y28"/>
      <c r="AC28"/>
      <c r="AG28"/>
    </row>
    <row r="29" ht="15" x14ac:dyDescent="0.15">
      <c r="D29">
        <f t="shared" si="0"/>
        <v>28</v>
      </c>
      <c r="E29" s="142" t="s">
        <v>205</v>
      </c>
      <c r="F29" s="163">
        <v>0.995</v>
      </c>
      <c r="G29" s="164">
        <v>0.1</v>
      </c>
      <c r="H29" s="164">
        <v>0.2</v>
      </c>
      <c r="I29" s="164">
        <v>0.5</v>
      </c>
      <c r="J29" s="165">
        <v>0.5</v>
      </c>
      <c r="K29" s="167">
        <v>0.2</v>
      </c>
      <c r="Y29"/>
      <c r="AC29"/>
      <c r="AG29"/>
    </row>
    <row r="30" ht="15" x14ac:dyDescent="0.15">
      <c r="D30">
        <f t="shared" si="0"/>
        <v>29</v>
      </c>
      <c r="E30" s="142" t="s">
        <v>206</v>
      </c>
      <c r="F30" s="163">
        <v>0.995</v>
      </c>
      <c r="G30" s="164">
        <v>0.1</v>
      </c>
      <c r="H30" s="164">
        <v>0.4</v>
      </c>
      <c r="I30" s="164">
        <v>0.5</v>
      </c>
      <c r="J30" s="165">
        <v>0.5</v>
      </c>
      <c r="K30" s="167">
        <v>0.2</v>
      </c>
      <c r="Y30"/>
      <c r="AC30"/>
      <c r="AG30"/>
    </row>
    <row r="31" ht="15" x14ac:dyDescent="0.15">
      <c r="D31">
        <f t="shared" si="0"/>
        <v>30</v>
      </c>
      <c r="E31" s="142" t="s">
        <v>207</v>
      </c>
      <c r="F31" s="163">
        <v>0.995</v>
      </c>
      <c r="G31" s="164">
        <v>0.1</v>
      </c>
      <c r="H31" s="164">
        <v>0.2</v>
      </c>
      <c r="I31" s="164">
        <v>0.5</v>
      </c>
      <c r="J31" s="165">
        <v>0.5</v>
      </c>
      <c r="K31" s="167">
        <v>0.2</v>
      </c>
      <c r="Y31"/>
      <c r="AC31"/>
      <c r="AG31"/>
    </row>
    <row r="32" ht="15" x14ac:dyDescent="0.15">
      <c r="D32">
        <f t="shared" si="0"/>
        <v>31</v>
      </c>
      <c r="E32" s="142" t="s">
        <v>208</v>
      </c>
      <c r="F32" s="163">
        <v>0.995</v>
      </c>
      <c r="G32" s="164">
        <v>0.3</v>
      </c>
      <c r="H32" s="164">
        <v>0.2</v>
      </c>
      <c r="I32" s="164">
        <v>0.5</v>
      </c>
      <c r="J32" s="165">
        <v>0.5</v>
      </c>
      <c r="K32" s="167">
        <v>0.2</v>
      </c>
      <c r="Y32"/>
      <c r="AC32"/>
      <c r="AG32"/>
    </row>
    <row r="33" ht="15" x14ac:dyDescent="0.15">
      <c r="D33">
        <f t="shared" si="0"/>
        <v>32</v>
      </c>
      <c r="E33" s="142" t="s">
        <v>209</v>
      </c>
      <c r="F33" s="163">
        <v>0.995</v>
      </c>
      <c r="G33" s="164">
        <v>0.1</v>
      </c>
      <c r="H33" s="164">
        <v>0.6</v>
      </c>
      <c r="I33" s="164">
        <v>0.5</v>
      </c>
      <c r="J33" s="165">
        <v>0.5</v>
      </c>
      <c r="K33" s="167">
        <v>0.2</v>
      </c>
      <c r="Y33"/>
      <c r="AC33"/>
      <c r="AG33"/>
    </row>
    <row r="34" ht="15" x14ac:dyDescent="0.15">
      <c r="D34">
        <f t="shared" si="0"/>
        <v>33</v>
      </c>
      <c r="E34" s="142" t="s">
        <v>210</v>
      </c>
      <c r="F34" s="163">
        <v>0.995</v>
      </c>
      <c r="G34" s="164">
        <v>0.1</v>
      </c>
      <c r="H34" s="164">
        <v>0.6</v>
      </c>
      <c r="I34" s="164">
        <v>0.5</v>
      </c>
      <c r="J34" s="165">
        <v>0.5</v>
      </c>
      <c r="K34" s="167">
        <v>0.2</v>
      </c>
      <c r="Y34"/>
      <c r="AC34"/>
      <c r="AG34"/>
    </row>
    <row r="35" ht="15" x14ac:dyDescent="0.15">
      <c r="D35">
        <f t="shared" si="0"/>
        <v>34</v>
      </c>
      <c r="E35" s="142" t="s">
        <v>211</v>
      </c>
      <c r="F35" s="163">
        <v>0.995</v>
      </c>
      <c r="G35" s="164">
        <v>0.1</v>
      </c>
      <c r="H35" s="164">
        <v>0.1</v>
      </c>
      <c r="I35" s="164">
        <v>0.5</v>
      </c>
      <c r="J35" s="165">
        <v>0.5</v>
      </c>
      <c r="K35" s="167">
        <v>0.2</v>
      </c>
      <c r="Y35"/>
      <c r="AC35"/>
      <c r="AG35"/>
    </row>
    <row r="36" ht="15" x14ac:dyDescent="0.15">
      <c r="D36">
        <f t="shared" si="0"/>
        <v>35</v>
      </c>
      <c r="E36" s="142" t="s">
        <v>212</v>
      </c>
      <c r="F36" s="163">
        <v>0.995</v>
      </c>
      <c r="G36" s="164">
        <v>0.5</v>
      </c>
      <c r="H36" s="164">
        <v>0.5</v>
      </c>
      <c r="I36" s="164">
        <v>0.5</v>
      </c>
      <c r="J36" s="165">
        <v>0.5</v>
      </c>
      <c r="K36" s="167">
        <v>0.2</v>
      </c>
      <c r="Y36"/>
      <c r="AC36"/>
      <c r="AG36"/>
    </row>
    <row r="37" ht="15" x14ac:dyDescent="0.15">
      <c r="D37">
        <f>D36+1</f>
        <v>36</v>
      </c>
      <c r="E37" t="s">
        <v>213</v>
      </c>
      <c r="F37" s="163">
        <v>0.995</v>
      </c>
      <c r="G37" s="165">
        <v>0.6</v>
      </c>
      <c r="H37" s="169">
        <v>0</v>
      </c>
      <c r="I37" s="169">
        <v>0</v>
      </c>
      <c r="J37" s="170">
        <v>0</v>
      </c>
      <c r="K37" s="170">
        <v>0</v>
      </c>
    </row>
    <row r="38" ht="15" x14ac:dyDescent="0.15">
      <c r="D38">
        <f>D37+1</f>
        <v>37</v>
      </c>
      <c r="E38" s="142" t="s">
        <v>215</v>
      </c>
      <c r="F38" s="163">
        <v>0.995</v>
      </c>
      <c r="G38" s="165">
        <v>0.6</v>
      </c>
      <c r="H38" s="164">
        <v>0</v>
      </c>
      <c r="I38" s="164">
        <v>0</v>
      </c>
      <c r="J38" s="164">
        <v>0</v>
      </c>
      <c r="K38" s="164">
        <v>0</v>
      </c>
      <c r="Y38"/>
      <c r="AC38"/>
      <c r="AG38"/>
    </row>
    <row r="39" ht="15" x14ac:dyDescent="0.15">
      <c r="D39">
        <v>38</v>
      </c>
      <c r="E39" s="142" t="s">
        <v>216</v>
      </c>
      <c r="F39" s="163">
        <v>0.995</v>
      </c>
      <c r="G39" s="165">
        <v>0.6</v>
      </c>
      <c r="H39" s="164">
        <v>0</v>
      </c>
      <c r="I39" s="164">
        <v>0</v>
      </c>
      <c r="J39" s="164">
        <v>0</v>
      </c>
      <c r="K39" s="164">
        <v>0</v>
      </c>
      <c r="Y39"/>
      <c r="AC39"/>
      <c r="AG39"/>
    </row>
    <row r="40" x14ac:dyDescent="0.15">
      <c r="Y40"/>
      <c r="AC40"/>
      <c r="AG40"/>
    </row>
    <row r="41" x14ac:dyDescent="0.15">
      <c r="Y41"/>
      <c r="AC41"/>
      <c r="AG41"/>
    </row>
    <row r="42" x14ac:dyDescent="0.15">
      <c r="Y42"/>
      <c r="AC42"/>
      <c r="AG42"/>
    </row>
    <row r="43" x14ac:dyDescent="0.15">
      <c r="E43" s="56" t="s">
        <v>224</v>
      </c>
      <c r="Y43"/>
      <c r="AC43"/>
      <c r="AG43"/>
    </row>
    <row r="44" x14ac:dyDescent="0.15">
      <c r="Y44"/>
      <c r="AC44"/>
      <c r="AG44"/>
    </row>
    <row r="45" x14ac:dyDescent="0.15">
      <c r="Y45"/>
      <c r="AC45"/>
      <c r="AG45"/>
    </row>
    <row r="46" x14ac:dyDescent="0.15">
      <c r="Y46"/>
      <c r="AC46"/>
      <c r="AG46"/>
    </row>
    <row r="47" x14ac:dyDescent="0.15">
      <c r="Y47"/>
      <c r="AC47"/>
      <c r="AG47"/>
    </row>
    <row r="48" x14ac:dyDescent="0.15">
      <c r="Y48"/>
      <c r="AC48"/>
      <c r="AG48"/>
    </row>
    <row r="49" x14ac:dyDescent="0.15">
      <c r="J49"/>
      <c r="K49"/>
      <c r="Y49"/>
      <c r="AC49"/>
      <c r="AG49"/>
    </row>
    <row r="50" x14ac:dyDescent="0.15">
      <c r="J50"/>
      <c r="K50"/>
      <c r="Y50"/>
      <c r="AC50"/>
      <c r="AG50"/>
    </row>
    <row r="51" x14ac:dyDescent="0.15">
      <c r="J51"/>
      <c r="K51"/>
      <c r="Y51"/>
      <c r="AC51"/>
      <c r="AG51"/>
    </row>
    <row r="52" x14ac:dyDescent="0.15">
      <c r="J52"/>
      <c r="K52"/>
      <c r="Y52"/>
      <c r="AC52"/>
      <c r="AG52"/>
    </row>
    <row r="53" x14ac:dyDescent="0.15">
      <c r="J53"/>
      <c r="K53"/>
      <c r="Y53"/>
      <c r="AC53"/>
      <c r="AG53"/>
    </row>
    <row r="54" x14ac:dyDescent="0.15">
      <c r="J54"/>
      <c r="K54"/>
      <c r="Y54"/>
      <c r="AC54"/>
      <c r="AG54"/>
    </row>
    <row r="55" x14ac:dyDescent="0.15">
      <c r="J55"/>
      <c r="K55"/>
      <c r="Y55"/>
      <c r="AC55"/>
      <c r="AG55"/>
    </row>
    <row r="56" x14ac:dyDescent="0.15">
      <c r="J56"/>
      <c r="K56"/>
      <c r="Y56"/>
      <c r="AC56"/>
      <c r="AG56"/>
    </row>
    <row r="57" x14ac:dyDescent="0.15">
      <c r="J57"/>
      <c r="K57"/>
      <c r="Y57"/>
      <c r="AC57"/>
      <c r="AG57"/>
    </row>
    <row r="58" x14ac:dyDescent="0.15">
      <c r="J58"/>
      <c r="K58"/>
      <c r="Y58"/>
      <c r="AC58"/>
      <c r="AG58"/>
    </row>
    <row r="59" x14ac:dyDescent="0.15">
      <c r="J59"/>
      <c r="K59"/>
      <c r="Y59"/>
      <c r="AC59"/>
      <c r="AG59"/>
    </row>
    <row r="60" x14ac:dyDescent="0.15">
      <c r="J60"/>
      <c r="K60"/>
      <c r="Y60"/>
      <c r="AC60"/>
      <c r="AG60"/>
    </row>
    <row r="61" x14ac:dyDescent="0.15">
      <c r="J61"/>
      <c r="K61"/>
      <c r="Y61"/>
      <c r="AC61"/>
      <c r="AG61"/>
    </row>
    <row r="62" x14ac:dyDescent="0.15">
      <c r="J62"/>
      <c r="K62"/>
      <c r="Y62"/>
      <c r="AC62"/>
      <c r="AG62"/>
    </row>
    <row r="63" x14ac:dyDescent="0.15">
      <c r="J63"/>
      <c r="K63"/>
      <c r="Y63"/>
      <c r="AC63"/>
      <c r="AG63"/>
    </row>
    <row r="64" x14ac:dyDescent="0.15">
      <c r="J64"/>
      <c r="K64"/>
      <c r="Y64"/>
      <c r="AC64"/>
      <c r="AG64"/>
    </row>
    <row r="65" x14ac:dyDescent="0.15">
      <c r="J65"/>
      <c r="K65"/>
      <c r="Y65"/>
      <c r="AC65"/>
      <c r="AG65"/>
    </row>
    <row r="66" x14ac:dyDescent="0.15">
      <c r="J66"/>
      <c r="K66"/>
      <c r="Y66"/>
      <c r="AC66"/>
      <c r="AG66"/>
    </row>
    <row r="67" x14ac:dyDescent="0.15">
      <c r="J67"/>
      <c r="K67"/>
      <c r="Y67"/>
      <c r="AC67"/>
      <c r="AG67"/>
    </row>
    <row r="68" x14ac:dyDescent="0.15">
      <c r="J68"/>
      <c r="K68"/>
      <c r="Y68"/>
      <c r="AC68"/>
      <c r="AG68"/>
    </row>
    <row r="69" x14ac:dyDescent="0.15">
      <c r="J69"/>
      <c r="K69"/>
      <c r="Y69"/>
      <c r="AC69"/>
      <c r="AG69"/>
    </row>
    <row r="70" x14ac:dyDescent="0.15">
      <c r="J70"/>
      <c r="K70"/>
      <c r="Y70"/>
      <c r="AC70"/>
      <c r="AG70"/>
    </row>
    <row r="71" x14ac:dyDescent="0.15">
      <c r="J71"/>
      <c r="K71"/>
      <c r="Y71"/>
      <c r="AC71"/>
      <c r="AG71"/>
    </row>
    <row r="72" x14ac:dyDescent="0.15">
      <c r="J72"/>
      <c r="K72"/>
      <c r="Y72"/>
      <c r="AC72"/>
      <c r="AG72"/>
    </row>
    <row r="73" x14ac:dyDescent="0.15">
      <c r="J73"/>
      <c r="K73"/>
      <c r="Y73"/>
      <c r="AC73"/>
      <c r="AG73"/>
    </row>
    <row r="74" x14ac:dyDescent="0.15">
      <c r="J74"/>
      <c r="K74"/>
    </row>
    <row r="75" x14ac:dyDescent="0.15">
      <c r="J75"/>
      <c r="K75"/>
    </row>
    <row r="76" x14ac:dyDescent="0.15">
      <c r="J76"/>
      <c r="K76"/>
    </row>
    <row r="77" x14ac:dyDescent="0.15">
      <c r="J77"/>
      <c r="K77"/>
    </row>
    <row r="78" x14ac:dyDescent="0.15">
      <c r="J78"/>
      <c r="K78"/>
    </row>
    <row r="79" x14ac:dyDescent="0.15">
      <c r="J79"/>
      <c r="K79"/>
    </row>
    <row r="80" x14ac:dyDescent="0.15">
      <c r="J80"/>
      <c r="K80"/>
    </row>
    <row r="81" x14ac:dyDescent="0.15">
      <c r="J81"/>
      <c r="K81"/>
    </row>
    <row r="82" x14ac:dyDescent="0.15">
      <c r="J82"/>
      <c r="K82"/>
    </row>
    <row r="83" x14ac:dyDescent="0.15">
      <c r="J83"/>
      <c r="K83"/>
    </row>
    <row r="84" x14ac:dyDescent="0.15">
      <c r="J84"/>
      <c r="K84"/>
    </row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  <row r="138" ht="15" customHeight="true" x14ac:dyDescent="0.15"/>
    <row r="139" ht="15" customHeight="true" x14ac:dyDescent="0.15"/>
    <row r="140" ht="15" customHeight="true" x14ac:dyDescent="0.15"/>
    <row r="141" ht="15" customHeight="true" x14ac:dyDescent="0.15"/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M52"/>
  <sheetViews>
    <sheetView workbookViewId="0">
      <selection activeCell="A47" sqref="A47"/>
    </sheetView>
  </sheetViews>
  <sheetFormatPr baseColWidth="10" defaultColWidth="8.83203125" defaultRowHeight="13" x14ac:dyDescent="0.15"/>
  <cols>
    <col min="1" max="1" width="23" bestFit="true" customWidth="true"/>
  </cols>
  <sheetData>
    <row r="1" x14ac:dyDescent="0.15">
      <c r="A1" s="2" t="s">
        <v>120</v>
      </c>
      <c r="B1" t="s">
        <v>178</v>
      </c>
      <c r="C1" t="s">
        <v>179</v>
      </c>
      <c r="D1" t="s">
        <v>180</v>
      </c>
      <c r="E1" t="s">
        <v>181</v>
      </c>
      <c r="F1" t="s">
        <v>182</v>
      </c>
      <c r="G1" t="s">
        <v>183</v>
      </c>
      <c r="H1" t="s">
        <v>184</v>
      </c>
      <c r="I1" t="s">
        <v>185</v>
      </c>
      <c r="J1" t="s">
        <v>186</v>
      </c>
      <c r="K1" t="s">
        <v>187</v>
      </c>
      <c r="L1" t="s">
        <v>188</v>
      </c>
      <c r="M1" t="s">
        <v>189</v>
      </c>
      <c r="N1" t="s">
        <v>190</v>
      </c>
      <c r="O1" t="s">
        <v>191</v>
      </c>
      <c r="P1" t="s">
        <v>192</v>
      </c>
      <c r="Q1" t="s">
        <v>193</v>
      </c>
      <c r="R1" t="s">
        <v>194</v>
      </c>
      <c r="S1" t="s">
        <v>195</v>
      </c>
      <c r="T1" t="s">
        <v>196</v>
      </c>
      <c r="U1" t="s">
        <v>197</v>
      </c>
      <c r="V1" t="s">
        <v>198</v>
      </c>
      <c r="W1" t="s">
        <v>199</v>
      </c>
      <c r="X1" t="s">
        <v>200</v>
      </c>
      <c r="Y1" t="s">
        <v>201</v>
      </c>
      <c r="Z1" t="s">
        <v>202</v>
      </c>
      <c r="AA1" t="s">
        <v>203</v>
      </c>
      <c r="AB1" t="s">
        <v>204</v>
      </c>
      <c r="AC1" t="s">
        <v>205</v>
      </c>
      <c r="AD1" t="s">
        <v>206</v>
      </c>
      <c r="AE1" t="s">
        <v>207</v>
      </c>
      <c r="AF1" t="s">
        <v>208</v>
      </c>
      <c r="AG1" t="s">
        <v>209</v>
      </c>
      <c r="AH1" t="s">
        <v>210</v>
      </c>
      <c r="AI1" t="s">
        <v>211</v>
      </c>
      <c r="AJ1" t="s">
        <v>212</v>
      </c>
      <c r="AK1" t="s">
        <v>213</v>
      </c>
      <c r="AL1" t="s">
        <v>215</v>
      </c>
      <c r="AM1" t="s">
        <v>216</v>
      </c>
    </row>
    <row r="2" ht="14" customHeight="true" x14ac:dyDescent="0.15">
      <c r="A2" t="s">
        <v>178</v>
      </c>
      <c r="B2" s="3">
        <v>0.7</v>
      </c>
      <c r="C2" s="3">
        <v>0.7</v>
      </c>
      <c r="D2" s="3">
        <v>0.7</v>
      </c>
      <c r="E2" s="3">
        <v>0.7</v>
      </c>
      <c r="F2" s="3">
        <v>0.7</v>
      </c>
      <c r="G2" s="3">
        <v>0.7</v>
      </c>
      <c r="H2" s="3">
        <v>0.7</v>
      </c>
      <c r="I2" s="3">
        <v>0.7</v>
      </c>
      <c r="J2" s="3">
        <v>0.7</v>
      </c>
      <c r="K2" s="3">
        <v>0.7</v>
      </c>
      <c r="L2" s="3">
        <v>0.7</v>
      </c>
      <c r="M2" s="3">
        <v>0.7</v>
      </c>
      <c r="N2" s="3">
        <v>0.7</v>
      </c>
      <c r="O2" s="3">
        <v>0.7</v>
      </c>
      <c r="P2" s="3">
        <v>0.7</v>
      </c>
      <c r="Q2" s="3">
        <v>0.7</v>
      </c>
      <c r="R2" s="3">
        <v>0.7</v>
      </c>
      <c r="S2" s="3">
        <v>0.7</v>
      </c>
      <c r="T2" s="3">
        <v>0.7</v>
      </c>
      <c r="U2" s="3">
        <v>0.7</v>
      </c>
      <c r="V2" s="3">
        <v>0.7</v>
      </c>
      <c r="W2" s="3">
        <v>0.7</v>
      </c>
      <c r="X2" s="3">
        <v>0.7</v>
      </c>
      <c r="Y2" s="3">
        <v>0.7</v>
      </c>
      <c r="Z2" s="3">
        <v>0.7</v>
      </c>
      <c r="AA2" s="3">
        <v>0.7</v>
      </c>
      <c r="AB2" s="3">
        <v>0.7</v>
      </c>
      <c r="AC2" s="3">
        <v>0.7</v>
      </c>
      <c r="AD2" s="3">
        <v>0.7</v>
      </c>
      <c r="AE2" s="3">
        <v>0.7</v>
      </c>
      <c r="AF2" s="3">
        <v>0.7</v>
      </c>
      <c r="AG2" s="3">
        <v>0.7</v>
      </c>
      <c r="AH2" s="3">
        <v>0.7</v>
      </c>
      <c r="AI2" s="3">
        <v>0.7</v>
      </c>
      <c r="AJ2" s="3">
        <v>0.7</v>
      </c>
      <c r="AK2" s="3">
        <v>0.7</v>
      </c>
      <c r="AL2" s="3">
        <v>0.7</v>
      </c>
      <c r="AM2" s="3">
        <v>0.7</v>
      </c>
    </row>
    <row r="3" ht="14" customHeight="true" x14ac:dyDescent="0.15">
      <c r="A3" t="s">
        <v>179</v>
      </c>
      <c r="B3" s="3">
        <v>0.7</v>
      </c>
      <c r="C3" s="3">
        <v>0.7</v>
      </c>
      <c r="D3" s="3">
        <v>0.7</v>
      </c>
      <c r="E3" s="3">
        <v>0.7</v>
      </c>
      <c r="F3" s="3">
        <v>0.7</v>
      </c>
      <c r="G3" s="3">
        <v>0.7</v>
      </c>
      <c r="H3" s="3">
        <v>0.7</v>
      </c>
      <c r="I3" s="3">
        <v>0.7</v>
      </c>
      <c r="J3" s="3">
        <v>0.7</v>
      </c>
      <c r="K3" s="3">
        <v>0.7</v>
      </c>
      <c r="L3" s="3">
        <v>0.7</v>
      </c>
      <c r="M3" s="3">
        <v>0.7</v>
      </c>
      <c r="N3" s="3">
        <v>0.7</v>
      </c>
      <c r="O3" s="3">
        <v>0.7</v>
      </c>
      <c r="P3" s="3">
        <v>0.7</v>
      </c>
      <c r="Q3" s="3">
        <v>0.7</v>
      </c>
      <c r="R3" s="3">
        <v>0.7</v>
      </c>
      <c r="S3" s="3">
        <v>0.7</v>
      </c>
      <c r="T3" s="3">
        <v>0.7</v>
      </c>
      <c r="U3" s="3">
        <v>0.7</v>
      </c>
      <c r="V3" s="3">
        <v>0.7</v>
      </c>
      <c r="W3" s="3">
        <v>0.7</v>
      </c>
      <c r="X3" s="3">
        <v>0.7</v>
      </c>
      <c r="Y3" s="3">
        <v>0.7</v>
      </c>
      <c r="Z3" s="3">
        <v>0.7</v>
      </c>
      <c r="AA3" s="3">
        <v>0.7</v>
      </c>
      <c r="AB3" s="3">
        <v>0.7</v>
      </c>
      <c r="AC3" s="3">
        <v>0.7</v>
      </c>
      <c r="AD3" s="3">
        <v>0.7</v>
      </c>
      <c r="AE3" s="3">
        <v>0.7</v>
      </c>
      <c r="AF3" s="3">
        <v>0.7</v>
      </c>
      <c r="AG3" s="3">
        <v>0.7</v>
      </c>
      <c r="AH3" s="3">
        <v>0.7</v>
      </c>
      <c r="AI3" s="3">
        <v>0.7</v>
      </c>
      <c r="AJ3" s="3">
        <v>0.7</v>
      </c>
      <c r="AK3" s="3">
        <v>0.7</v>
      </c>
      <c r="AL3" s="3">
        <v>0.7</v>
      </c>
      <c r="AM3" s="3">
        <v>0.7</v>
      </c>
    </row>
    <row r="4" ht="14" customHeight="true" x14ac:dyDescent="0.15">
      <c r="A4" t="s">
        <v>180</v>
      </c>
      <c r="B4" s="3">
        <v>0.7</v>
      </c>
      <c r="C4" s="3">
        <v>0.7</v>
      </c>
      <c r="D4" s="3">
        <v>0.7</v>
      </c>
      <c r="E4" s="3">
        <v>0.7</v>
      </c>
      <c r="F4" s="3">
        <v>0.7</v>
      </c>
      <c r="G4" s="3">
        <v>0.7</v>
      </c>
      <c r="H4" s="3">
        <v>0.7</v>
      </c>
      <c r="I4" s="3">
        <v>0.7</v>
      </c>
      <c r="J4" s="3">
        <v>0.7</v>
      </c>
      <c r="K4" s="3">
        <v>0.7</v>
      </c>
      <c r="L4" s="3">
        <v>0.7</v>
      </c>
      <c r="M4" s="3">
        <v>0.7</v>
      </c>
      <c r="N4" s="3">
        <v>0.7</v>
      </c>
      <c r="O4" s="3">
        <v>0.7</v>
      </c>
      <c r="P4" s="3">
        <v>0.7</v>
      </c>
      <c r="Q4" s="3">
        <v>0.7</v>
      </c>
      <c r="R4" s="3">
        <v>0.7</v>
      </c>
      <c r="S4" s="3">
        <v>0.7</v>
      </c>
      <c r="T4" s="3">
        <v>0.7</v>
      </c>
      <c r="U4" s="3">
        <v>0.7</v>
      </c>
      <c r="V4" s="3">
        <v>0.7</v>
      </c>
      <c r="W4" s="3">
        <v>0.7</v>
      </c>
      <c r="X4" s="3">
        <v>0.7</v>
      </c>
      <c r="Y4" s="3">
        <v>0.7</v>
      </c>
      <c r="Z4" s="3">
        <v>0.7</v>
      </c>
      <c r="AA4" s="3">
        <v>0.7</v>
      </c>
      <c r="AB4" s="3">
        <v>0.7</v>
      </c>
      <c r="AC4" s="3">
        <v>0.7</v>
      </c>
      <c r="AD4" s="3">
        <v>0.7</v>
      </c>
      <c r="AE4" s="3">
        <v>0.7</v>
      </c>
      <c r="AF4" s="3">
        <v>0.7</v>
      </c>
      <c r="AG4" s="3">
        <v>0.7</v>
      </c>
      <c r="AH4" s="3">
        <v>0.7</v>
      </c>
      <c r="AI4" s="3">
        <v>0.7</v>
      </c>
      <c r="AJ4" s="3">
        <v>0.7</v>
      </c>
      <c r="AK4" s="3">
        <v>0.7</v>
      </c>
      <c r="AL4" s="3">
        <v>0.7</v>
      </c>
      <c r="AM4" s="3">
        <v>0.7</v>
      </c>
    </row>
    <row r="5" ht="14" customHeight="true" x14ac:dyDescent="0.15">
      <c r="A5" t="s">
        <v>181</v>
      </c>
      <c r="B5" s="3">
        <v>0.7</v>
      </c>
      <c r="C5" s="3">
        <v>0.7</v>
      </c>
      <c r="D5" s="3">
        <v>0.7</v>
      </c>
      <c r="E5" s="3">
        <v>0.7</v>
      </c>
      <c r="F5" s="3">
        <v>0.7</v>
      </c>
      <c r="G5" s="3">
        <v>0.7</v>
      </c>
      <c r="H5" s="3">
        <v>0.7</v>
      </c>
      <c r="I5" s="3">
        <v>0.7</v>
      </c>
      <c r="J5" s="3">
        <v>0.7</v>
      </c>
      <c r="K5" s="3">
        <v>0.7</v>
      </c>
      <c r="L5" s="3">
        <v>0.7</v>
      </c>
      <c r="M5" s="3">
        <v>0.7</v>
      </c>
      <c r="N5" s="3">
        <v>0.7</v>
      </c>
      <c r="O5" s="3">
        <v>0.7</v>
      </c>
      <c r="P5" s="3">
        <v>0.7</v>
      </c>
      <c r="Q5" s="3">
        <v>0.7</v>
      </c>
      <c r="R5" s="3">
        <v>0.7</v>
      </c>
      <c r="S5" s="3">
        <v>0.7</v>
      </c>
      <c r="T5" s="3">
        <v>0.7</v>
      </c>
      <c r="U5" s="3">
        <v>0.7</v>
      </c>
      <c r="V5" s="3">
        <v>0.7</v>
      </c>
      <c r="W5" s="3">
        <v>0.7</v>
      </c>
      <c r="X5" s="3">
        <v>0.7</v>
      </c>
      <c r="Y5" s="3">
        <v>0.7</v>
      </c>
      <c r="Z5" s="3">
        <v>0.7</v>
      </c>
      <c r="AA5" s="3">
        <v>0.7</v>
      </c>
      <c r="AB5" s="3">
        <v>0.7</v>
      </c>
      <c r="AC5" s="3">
        <v>0.7</v>
      </c>
      <c r="AD5" s="3">
        <v>0.7</v>
      </c>
      <c r="AE5" s="3">
        <v>0.7</v>
      </c>
      <c r="AF5" s="3">
        <v>0.7</v>
      </c>
      <c r="AG5" s="3">
        <v>0.7</v>
      </c>
      <c r="AH5" s="3">
        <v>0.7</v>
      </c>
      <c r="AI5" s="3">
        <v>0.7</v>
      </c>
      <c r="AJ5" s="3">
        <v>0.7</v>
      </c>
      <c r="AK5" s="3">
        <v>0.7</v>
      </c>
      <c r="AL5" s="3">
        <v>0.7</v>
      </c>
      <c r="AM5" s="3">
        <v>0.7</v>
      </c>
    </row>
    <row r="6" ht="14" customHeight="true" x14ac:dyDescent="0.15">
      <c r="A6" t="s">
        <v>182</v>
      </c>
      <c r="B6" s="3">
        <v>0.7</v>
      </c>
      <c r="C6" s="3">
        <v>0.7</v>
      </c>
      <c r="D6" s="3">
        <v>0.7</v>
      </c>
      <c r="E6" s="3">
        <v>0.7</v>
      </c>
      <c r="F6" s="3">
        <v>0.7</v>
      </c>
      <c r="G6" s="3">
        <v>0.7</v>
      </c>
      <c r="H6" s="3">
        <v>0.7</v>
      </c>
      <c r="I6" s="3">
        <v>0.7</v>
      </c>
      <c r="J6" s="3">
        <v>0.7</v>
      </c>
      <c r="K6" s="3">
        <v>0.7</v>
      </c>
      <c r="L6" s="3">
        <v>0.7</v>
      </c>
      <c r="M6" s="3">
        <v>0.7</v>
      </c>
      <c r="N6" s="3">
        <v>0.7</v>
      </c>
      <c r="O6" s="3">
        <v>0.7</v>
      </c>
      <c r="P6" s="3">
        <v>0.7</v>
      </c>
      <c r="Q6" s="3">
        <v>0.7</v>
      </c>
      <c r="R6" s="3">
        <v>0.7</v>
      </c>
      <c r="S6" s="3">
        <v>0.7</v>
      </c>
      <c r="T6" s="3">
        <v>0.7</v>
      </c>
      <c r="U6" s="3">
        <v>0.7</v>
      </c>
      <c r="V6" s="3">
        <v>0.7</v>
      </c>
      <c r="W6" s="3">
        <v>0.7</v>
      </c>
      <c r="X6" s="3">
        <v>0.7</v>
      </c>
      <c r="Y6" s="3">
        <v>0.7</v>
      </c>
      <c r="Z6" s="3">
        <v>0.7</v>
      </c>
      <c r="AA6" s="3">
        <v>0.7</v>
      </c>
      <c r="AB6" s="3">
        <v>0.7</v>
      </c>
      <c r="AC6" s="3">
        <v>0.7</v>
      </c>
      <c r="AD6" s="3">
        <v>0.7</v>
      </c>
      <c r="AE6" s="3">
        <v>0.7</v>
      </c>
      <c r="AF6" s="3">
        <v>0.7</v>
      </c>
      <c r="AG6" s="3">
        <v>0.7</v>
      </c>
      <c r="AH6" s="3">
        <v>0.7</v>
      </c>
      <c r="AI6" s="3">
        <v>0.7</v>
      </c>
      <c r="AJ6" s="3">
        <v>0.7</v>
      </c>
      <c r="AK6" s="3">
        <v>0.7</v>
      </c>
      <c r="AL6" s="3">
        <v>0.7</v>
      </c>
      <c r="AM6" s="3">
        <v>0.7</v>
      </c>
    </row>
    <row r="7" ht="14" customHeight="true" x14ac:dyDescent="0.15">
      <c r="A7" t="s">
        <v>183</v>
      </c>
      <c r="B7" s="3">
        <v>0.7</v>
      </c>
      <c r="C7" s="3">
        <v>0.7</v>
      </c>
      <c r="D7" s="3">
        <v>0.7</v>
      </c>
      <c r="E7" s="3">
        <v>0.7</v>
      </c>
      <c r="F7" s="3">
        <v>0.7</v>
      </c>
      <c r="G7" s="3">
        <v>0.7</v>
      </c>
      <c r="H7" s="3">
        <v>0.7</v>
      </c>
      <c r="I7" s="3">
        <v>0.7</v>
      </c>
      <c r="J7" s="3">
        <v>0.7</v>
      </c>
      <c r="K7" s="3">
        <v>0.7</v>
      </c>
      <c r="L7" s="3">
        <v>0.7</v>
      </c>
      <c r="M7" s="3">
        <v>0.7</v>
      </c>
      <c r="N7" s="3">
        <v>0.7</v>
      </c>
      <c r="O7" s="3">
        <v>0.7</v>
      </c>
      <c r="P7" s="3">
        <v>0.7</v>
      </c>
      <c r="Q7" s="3">
        <v>0.7</v>
      </c>
      <c r="R7" s="3">
        <v>0.7</v>
      </c>
      <c r="S7" s="3">
        <v>0.7</v>
      </c>
      <c r="T7" s="3">
        <v>0.7</v>
      </c>
      <c r="U7" s="3">
        <v>0.7</v>
      </c>
      <c r="V7" s="3">
        <v>0.7</v>
      </c>
      <c r="W7" s="3">
        <v>0.7</v>
      </c>
      <c r="X7" s="3">
        <v>0.7</v>
      </c>
      <c r="Y7" s="3">
        <v>0.7</v>
      </c>
      <c r="Z7" s="3">
        <v>0.7</v>
      </c>
      <c r="AA7" s="3">
        <v>0.7</v>
      </c>
      <c r="AB7" s="3">
        <v>0.7</v>
      </c>
      <c r="AC7" s="3">
        <v>0.7</v>
      </c>
      <c r="AD7" s="3">
        <v>0.7</v>
      </c>
      <c r="AE7" s="3">
        <v>0.7</v>
      </c>
      <c r="AF7" s="3">
        <v>0.7</v>
      </c>
      <c r="AG7" s="3">
        <v>0.7</v>
      </c>
      <c r="AH7" s="3">
        <v>0.7</v>
      </c>
      <c r="AI7" s="3">
        <v>0.7</v>
      </c>
      <c r="AJ7" s="3">
        <v>0.7</v>
      </c>
      <c r="AK7" s="3">
        <v>0.7</v>
      </c>
      <c r="AL7" s="3">
        <v>0.7</v>
      </c>
      <c r="AM7" s="3">
        <v>0.7</v>
      </c>
    </row>
    <row r="8" ht="14" customHeight="true" x14ac:dyDescent="0.15">
      <c r="A8" t="s">
        <v>184</v>
      </c>
      <c r="B8" s="3">
        <v>0.7</v>
      </c>
      <c r="C8" s="3">
        <v>0.7</v>
      </c>
      <c r="D8" s="3">
        <v>0.7</v>
      </c>
      <c r="E8" s="3">
        <v>0.7</v>
      </c>
      <c r="F8" s="3">
        <v>0.7</v>
      </c>
      <c r="G8" s="3">
        <v>0.7</v>
      </c>
      <c r="H8" s="3">
        <v>0.7</v>
      </c>
      <c r="I8" s="3">
        <v>0.7</v>
      </c>
      <c r="J8" s="3">
        <v>0.7</v>
      </c>
      <c r="K8" s="3">
        <v>0.7</v>
      </c>
      <c r="L8" s="3">
        <v>0.7</v>
      </c>
      <c r="M8" s="3">
        <v>0.7</v>
      </c>
      <c r="N8" s="3">
        <v>0.7</v>
      </c>
      <c r="O8" s="3">
        <v>0.7</v>
      </c>
      <c r="P8" s="3">
        <v>0.7</v>
      </c>
      <c r="Q8" s="3">
        <v>0.7</v>
      </c>
      <c r="R8" s="3">
        <v>0.7</v>
      </c>
      <c r="S8" s="3">
        <v>0.7</v>
      </c>
      <c r="T8" s="3">
        <v>0.7</v>
      </c>
      <c r="U8" s="3">
        <v>0.7</v>
      </c>
      <c r="V8" s="3">
        <v>0.7</v>
      </c>
      <c r="W8" s="3">
        <v>0.7</v>
      </c>
      <c r="X8" s="3">
        <v>0.7</v>
      </c>
      <c r="Y8" s="3">
        <v>0.7</v>
      </c>
      <c r="Z8" s="3">
        <v>0.7</v>
      </c>
      <c r="AA8" s="3">
        <v>0.7</v>
      </c>
      <c r="AB8" s="3">
        <v>0.7</v>
      </c>
      <c r="AC8" s="3">
        <v>0.7</v>
      </c>
      <c r="AD8" s="3">
        <v>0.7</v>
      </c>
      <c r="AE8" s="3">
        <v>0.7</v>
      </c>
      <c r="AF8" s="3">
        <v>0.7</v>
      </c>
      <c r="AG8" s="3">
        <v>0.7</v>
      </c>
      <c r="AH8" s="3">
        <v>0.7</v>
      </c>
      <c r="AI8" s="3">
        <v>0.7</v>
      </c>
      <c r="AJ8" s="3">
        <v>0.7</v>
      </c>
      <c r="AK8" s="3">
        <v>0.7</v>
      </c>
      <c r="AL8" s="3">
        <v>0.7</v>
      </c>
      <c r="AM8" s="3">
        <v>0.7</v>
      </c>
    </row>
    <row r="9" ht="14" customHeight="true" x14ac:dyDescent="0.15">
      <c r="A9" t="s">
        <v>185</v>
      </c>
      <c r="B9" s="3">
        <v>0.7</v>
      </c>
      <c r="C9" s="3">
        <v>0.7</v>
      </c>
      <c r="D9" s="3">
        <v>0.7</v>
      </c>
      <c r="E9" s="3">
        <v>0.7</v>
      </c>
      <c r="F9" s="3">
        <v>0.7</v>
      </c>
      <c r="G9" s="3">
        <v>0.7</v>
      </c>
      <c r="H9" s="3">
        <v>0.7</v>
      </c>
      <c r="I9" s="3">
        <v>0.7</v>
      </c>
      <c r="J9" s="3">
        <v>0.7</v>
      </c>
      <c r="K9" s="3">
        <v>0.7</v>
      </c>
      <c r="L9" s="3">
        <v>0.7</v>
      </c>
      <c r="M9" s="3">
        <v>0.7</v>
      </c>
      <c r="N9" s="3">
        <v>0.7</v>
      </c>
      <c r="O9" s="3">
        <v>0.7</v>
      </c>
      <c r="P9" s="3">
        <v>0.7</v>
      </c>
      <c r="Q9" s="3">
        <v>0.7</v>
      </c>
      <c r="R9" s="3">
        <v>0.7</v>
      </c>
      <c r="S9" s="3">
        <v>0.7</v>
      </c>
      <c r="T9" s="3">
        <v>0.7</v>
      </c>
      <c r="U9" s="3">
        <v>0.7</v>
      </c>
      <c r="V9" s="3">
        <v>0.7</v>
      </c>
      <c r="W9" s="3">
        <v>0.7</v>
      </c>
      <c r="X9" s="3">
        <v>0.7</v>
      </c>
      <c r="Y9" s="3">
        <v>0.7</v>
      </c>
      <c r="Z9" s="3">
        <v>0.7</v>
      </c>
      <c r="AA9" s="3">
        <v>0.7</v>
      </c>
      <c r="AB9" s="3">
        <v>0.7</v>
      </c>
      <c r="AC9" s="3">
        <v>0.7</v>
      </c>
      <c r="AD9" s="3">
        <v>0.7</v>
      </c>
      <c r="AE9" s="3">
        <v>0.7</v>
      </c>
      <c r="AF9" s="3">
        <v>0.7</v>
      </c>
      <c r="AG9" s="3">
        <v>0.7</v>
      </c>
      <c r="AH9" s="3">
        <v>0.7</v>
      </c>
      <c r="AI9" s="3">
        <v>0.7</v>
      </c>
      <c r="AJ9" s="3">
        <v>0.7</v>
      </c>
      <c r="AK9" s="3">
        <v>0.7</v>
      </c>
      <c r="AL9" s="3">
        <v>0.7</v>
      </c>
      <c r="AM9" s="3">
        <v>0.7</v>
      </c>
    </row>
    <row r="10" ht="14" customHeight="true" x14ac:dyDescent="0.15">
      <c r="A10" t="s">
        <v>186</v>
      </c>
      <c r="B10" s="3">
        <v>0.7</v>
      </c>
      <c r="C10" s="3">
        <v>0.7</v>
      </c>
      <c r="D10" s="3">
        <v>0.7</v>
      </c>
      <c r="E10" s="3">
        <v>0.7</v>
      </c>
      <c r="F10" s="3">
        <v>0.7</v>
      </c>
      <c r="G10" s="3">
        <v>0.7</v>
      </c>
      <c r="H10" s="3">
        <v>0.7</v>
      </c>
      <c r="I10" s="3">
        <v>0.7</v>
      </c>
      <c r="J10" s="3">
        <v>0.7</v>
      </c>
      <c r="K10" s="3">
        <v>0.7</v>
      </c>
      <c r="L10" s="3">
        <v>0.7</v>
      </c>
      <c r="M10" s="3">
        <v>0.7</v>
      </c>
      <c r="N10" s="3">
        <v>0.7</v>
      </c>
      <c r="O10" s="3">
        <v>0.7</v>
      </c>
      <c r="P10" s="3">
        <v>0.7</v>
      </c>
      <c r="Q10" s="3">
        <v>0.7</v>
      </c>
      <c r="R10" s="3">
        <v>0.7</v>
      </c>
      <c r="S10" s="3">
        <v>0.7</v>
      </c>
      <c r="T10" s="3">
        <v>0.7</v>
      </c>
      <c r="U10" s="3">
        <v>0.7</v>
      </c>
      <c r="V10" s="3">
        <v>0.7</v>
      </c>
      <c r="W10" s="3">
        <v>0.7</v>
      </c>
      <c r="X10" s="3">
        <v>0.7</v>
      </c>
      <c r="Y10" s="3">
        <v>0.7</v>
      </c>
      <c r="Z10" s="3">
        <v>0.7</v>
      </c>
      <c r="AA10" s="3">
        <v>0.7</v>
      </c>
      <c r="AB10" s="3">
        <v>0.7</v>
      </c>
      <c r="AC10" s="3">
        <v>0.7</v>
      </c>
      <c r="AD10" s="3">
        <v>0.7</v>
      </c>
      <c r="AE10" s="3">
        <v>0.7</v>
      </c>
      <c r="AF10" s="3">
        <v>0.7</v>
      </c>
      <c r="AG10" s="3">
        <v>0.7</v>
      </c>
      <c r="AH10" s="3">
        <v>0.7</v>
      </c>
      <c r="AI10" s="3">
        <v>0.7</v>
      </c>
      <c r="AJ10" s="3">
        <v>0.7</v>
      </c>
      <c r="AK10" s="3">
        <v>0.7</v>
      </c>
      <c r="AL10" s="3">
        <v>0.7</v>
      </c>
      <c r="AM10" s="3">
        <v>0.7</v>
      </c>
    </row>
    <row r="11" ht="14" customHeight="true" x14ac:dyDescent="0.15">
      <c r="A11" t="s">
        <v>187</v>
      </c>
      <c r="B11" s="3">
        <v>0.7</v>
      </c>
      <c r="C11" s="3">
        <v>0.7</v>
      </c>
      <c r="D11" s="3">
        <v>0.7</v>
      </c>
      <c r="E11" s="3">
        <v>0.7</v>
      </c>
      <c r="F11" s="3">
        <v>0.7</v>
      </c>
      <c r="G11" s="3">
        <v>0.7</v>
      </c>
      <c r="H11" s="3">
        <v>0.7</v>
      </c>
      <c r="I11" s="3">
        <v>0.7</v>
      </c>
      <c r="J11" s="3">
        <v>0.7</v>
      </c>
      <c r="K11" s="3">
        <v>0.7</v>
      </c>
      <c r="L11" s="3">
        <v>0.7</v>
      </c>
      <c r="M11" s="3">
        <v>0.7</v>
      </c>
      <c r="N11" s="3">
        <v>0.7</v>
      </c>
      <c r="O11" s="3">
        <v>0.7</v>
      </c>
      <c r="P11" s="3">
        <v>0.7</v>
      </c>
      <c r="Q11" s="3">
        <v>0.7</v>
      </c>
      <c r="R11" s="3">
        <v>0.7</v>
      </c>
      <c r="S11" s="3">
        <v>0.7</v>
      </c>
      <c r="T11" s="3">
        <v>0.7</v>
      </c>
      <c r="U11" s="3">
        <v>0.7</v>
      </c>
      <c r="V11" s="3">
        <v>0.7</v>
      </c>
      <c r="W11" s="3">
        <v>0.7</v>
      </c>
      <c r="X11" s="3">
        <v>0.7</v>
      </c>
      <c r="Y11" s="3">
        <v>0.7</v>
      </c>
      <c r="Z11" s="3">
        <v>0.7</v>
      </c>
      <c r="AA11" s="3">
        <v>0.7</v>
      </c>
      <c r="AB11" s="3">
        <v>0.7</v>
      </c>
      <c r="AC11" s="3">
        <v>0.7</v>
      </c>
      <c r="AD11" s="3">
        <v>0.7</v>
      </c>
      <c r="AE11" s="3">
        <v>0.7</v>
      </c>
      <c r="AF11" s="3">
        <v>0.7</v>
      </c>
      <c r="AG11" s="3">
        <v>0.7</v>
      </c>
      <c r="AH11" s="3">
        <v>0.7</v>
      </c>
      <c r="AI11" s="3">
        <v>0.7</v>
      </c>
      <c r="AJ11" s="3">
        <v>0.7</v>
      </c>
      <c r="AK11" s="3">
        <v>0.7</v>
      </c>
      <c r="AL11" s="3">
        <v>0.7</v>
      </c>
      <c r="AM11" s="3">
        <v>0.7</v>
      </c>
    </row>
    <row r="12" ht="14" customHeight="true" x14ac:dyDescent="0.15">
      <c r="A12" t="s">
        <v>188</v>
      </c>
      <c r="B12" s="3">
        <v>0.7</v>
      </c>
      <c r="C12" s="3">
        <v>0.7</v>
      </c>
      <c r="D12" s="3">
        <v>0.7</v>
      </c>
      <c r="E12" s="3">
        <v>0.7</v>
      </c>
      <c r="F12" s="3">
        <v>0.7</v>
      </c>
      <c r="G12" s="3">
        <v>0.7</v>
      </c>
      <c r="H12" s="3">
        <v>0.7</v>
      </c>
      <c r="I12" s="3">
        <v>0.7</v>
      </c>
      <c r="J12" s="3">
        <v>0.7</v>
      </c>
      <c r="K12" s="3">
        <v>0.7</v>
      </c>
      <c r="L12" s="3">
        <v>0.7</v>
      </c>
      <c r="M12" s="3">
        <v>0.7</v>
      </c>
      <c r="N12" s="3">
        <v>0.7</v>
      </c>
      <c r="O12" s="3">
        <v>0.7</v>
      </c>
      <c r="P12" s="3">
        <v>0.7</v>
      </c>
      <c r="Q12" s="3">
        <v>0.7</v>
      </c>
      <c r="R12" s="3">
        <v>0.7</v>
      </c>
      <c r="S12" s="3">
        <v>0.7</v>
      </c>
      <c r="T12" s="3">
        <v>0.7</v>
      </c>
      <c r="U12" s="3">
        <v>0.7</v>
      </c>
      <c r="V12" s="3">
        <v>0.7</v>
      </c>
      <c r="W12" s="3">
        <v>0.7</v>
      </c>
      <c r="X12" s="3">
        <v>0.7</v>
      </c>
      <c r="Y12" s="3">
        <v>0.7</v>
      </c>
      <c r="Z12" s="3">
        <v>0.7</v>
      </c>
      <c r="AA12" s="3">
        <v>0.7</v>
      </c>
      <c r="AB12" s="3">
        <v>0.7</v>
      </c>
      <c r="AC12" s="3">
        <v>0.7</v>
      </c>
      <c r="AD12" s="3">
        <v>0.7</v>
      </c>
      <c r="AE12" s="3">
        <v>0.7</v>
      </c>
      <c r="AF12" s="3">
        <v>0.7</v>
      </c>
      <c r="AG12" s="3">
        <v>0.7</v>
      </c>
      <c r="AH12" s="3">
        <v>0.7</v>
      </c>
      <c r="AI12" s="3">
        <v>0.7</v>
      </c>
      <c r="AJ12" s="3">
        <v>0.7</v>
      </c>
      <c r="AK12" s="3">
        <v>0.7</v>
      </c>
      <c r="AL12" s="3">
        <v>0.7</v>
      </c>
      <c r="AM12" s="3">
        <v>0.7</v>
      </c>
    </row>
    <row r="13" ht="14" customHeight="true" x14ac:dyDescent="0.15">
      <c r="A13" t="s">
        <v>189</v>
      </c>
      <c r="B13" s="3">
        <v>0.7</v>
      </c>
      <c r="C13" s="3">
        <v>0.7</v>
      </c>
      <c r="D13" s="3">
        <v>0.7</v>
      </c>
      <c r="E13" s="3">
        <v>0.7</v>
      </c>
      <c r="F13" s="3">
        <v>0.7</v>
      </c>
      <c r="G13" s="3">
        <v>0.7</v>
      </c>
      <c r="H13" s="3">
        <v>0.7</v>
      </c>
      <c r="I13" s="3">
        <v>0.7</v>
      </c>
      <c r="J13" s="3">
        <v>0.7</v>
      </c>
      <c r="K13" s="3">
        <v>0.7</v>
      </c>
      <c r="L13" s="3">
        <v>0.7</v>
      </c>
      <c r="M13" s="3">
        <v>0.7</v>
      </c>
      <c r="N13" s="3">
        <v>0.7</v>
      </c>
      <c r="O13" s="3">
        <v>0.7</v>
      </c>
      <c r="P13" s="3">
        <v>0.7</v>
      </c>
      <c r="Q13" s="3">
        <v>0.7</v>
      </c>
      <c r="R13" s="3">
        <v>0.7</v>
      </c>
      <c r="S13" s="3">
        <v>0.7</v>
      </c>
      <c r="T13" s="3">
        <v>0.7</v>
      </c>
      <c r="U13" s="3">
        <v>0.7</v>
      </c>
      <c r="V13" s="3">
        <v>0.7</v>
      </c>
      <c r="W13" s="3">
        <v>0.7</v>
      </c>
      <c r="X13" s="3">
        <v>0.7</v>
      </c>
      <c r="Y13" s="3">
        <v>0.7</v>
      </c>
      <c r="Z13" s="3">
        <v>0.7</v>
      </c>
      <c r="AA13" s="3">
        <v>0.7</v>
      </c>
      <c r="AB13" s="3">
        <v>0.7</v>
      </c>
      <c r="AC13" s="3">
        <v>0.7</v>
      </c>
      <c r="AD13" s="3">
        <v>0.7</v>
      </c>
      <c r="AE13" s="3">
        <v>0.7</v>
      </c>
      <c r="AF13" s="3">
        <v>0.7</v>
      </c>
      <c r="AG13" s="3">
        <v>0.7</v>
      </c>
      <c r="AH13" s="3">
        <v>0.7</v>
      </c>
      <c r="AI13" s="3">
        <v>0.7</v>
      </c>
      <c r="AJ13" s="3">
        <v>0.7</v>
      </c>
      <c r="AK13" s="3">
        <v>0.7</v>
      </c>
      <c r="AL13" s="3">
        <v>0.7</v>
      </c>
      <c r="AM13" s="3">
        <v>0.7</v>
      </c>
    </row>
    <row r="14" ht="14" customHeight="true" x14ac:dyDescent="0.15">
      <c r="A14" t="s">
        <v>190</v>
      </c>
      <c r="B14" s="3">
        <v>0.7</v>
      </c>
      <c r="C14" s="3">
        <v>0.7</v>
      </c>
      <c r="D14" s="3">
        <v>0.7</v>
      </c>
      <c r="E14" s="3">
        <v>0.7</v>
      </c>
      <c r="F14" s="3">
        <v>0.7</v>
      </c>
      <c r="G14" s="3">
        <v>0.7</v>
      </c>
      <c r="H14" s="3">
        <v>0.7</v>
      </c>
      <c r="I14" s="3">
        <v>0.7</v>
      </c>
      <c r="J14" s="3">
        <v>0.7</v>
      </c>
      <c r="K14" s="3">
        <v>0.7</v>
      </c>
      <c r="L14" s="3">
        <v>0.7</v>
      </c>
      <c r="M14" s="3">
        <v>0.7</v>
      </c>
      <c r="N14" s="3">
        <v>0.7</v>
      </c>
      <c r="O14" s="3">
        <v>0.7</v>
      </c>
      <c r="P14" s="3">
        <v>0.7</v>
      </c>
      <c r="Q14" s="3">
        <v>0.7</v>
      </c>
      <c r="R14" s="3">
        <v>0.7</v>
      </c>
      <c r="S14" s="3">
        <v>0.7</v>
      </c>
      <c r="T14" s="3">
        <v>0.7</v>
      </c>
      <c r="U14" s="3">
        <v>0.7</v>
      </c>
      <c r="V14" s="3">
        <v>0.7</v>
      </c>
      <c r="W14" s="3">
        <v>0.7</v>
      </c>
      <c r="X14" s="3">
        <v>0.7</v>
      </c>
      <c r="Y14" s="3">
        <v>0.7</v>
      </c>
      <c r="Z14" s="3">
        <v>0.7</v>
      </c>
      <c r="AA14" s="3">
        <v>0.7</v>
      </c>
      <c r="AB14" s="3">
        <v>0.7</v>
      </c>
      <c r="AC14" s="3">
        <v>0.7</v>
      </c>
      <c r="AD14" s="3">
        <v>0.7</v>
      </c>
      <c r="AE14" s="3">
        <v>0.7</v>
      </c>
      <c r="AF14" s="3">
        <v>0.7</v>
      </c>
      <c r="AG14" s="3">
        <v>0.7</v>
      </c>
      <c r="AH14" s="3">
        <v>0.7</v>
      </c>
      <c r="AI14" s="3">
        <v>0.7</v>
      </c>
      <c r="AJ14" s="3">
        <v>0.7</v>
      </c>
      <c r="AK14" s="3">
        <v>0.7</v>
      </c>
      <c r="AL14" s="3">
        <v>0.7</v>
      </c>
      <c r="AM14" s="3">
        <v>0.7</v>
      </c>
    </row>
    <row r="15" ht="14" customHeight="true" x14ac:dyDescent="0.15">
      <c r="A15" t="s">
        <v>191</v>
      </c>
      <c r="B15" s="3">
        <v>0.7</v>
      </c>
      <c r="C15" s="3">
        <v>0.7</v>
      </c>
      <c r="D15" s="3">
        <v>0.7</v>
      </c>
      <c r="E15" s="3">
        <v>0.7</v>
      </c>
      <c r="F15" s="3">
        <v>0.7</v>
      </c>
      <c r="G15" s="3">
        <v>0.7</v>
      </c>
      <c r="H15" s="3">
        <v>0.7</v>
      </c>
      <c r="I15" s="3">
        <v>0.7</v>
      </c>
      <c r="J15" s="3">
        <v>0.7</v>
      </c>
      <c r="K15" s="3">
        <v>0.7</v>
      </c>
      <c r="L15" s="3">
        <v>0.7</v>
      </c>
      <c r="M15" s="3">
        <v>0.7</v>
      </c>
      <c r="N15" s="3">
        <v>0.7</v>
      </c>
      <c r="O15" s="3">
        <v>0.7</v>
      </c>
      <c r="P15" s="3">
        <v>0.7</v>
      </c>
      <c r="Q15" s="3">
        <v>0.7</v>
      </c>
      <c r="R15" s="3">
        <v>0.7</v>
      </c>
      <c r="S15" s="3">
        <v>0.7</v>
      </c>
      <c r="T15" s="3">
        <v>0.7</v>
      </c>
      <c r="U15" s="3">
        <v>0.7</v>
      </c>
      <c r="V15" s="3">
        <v>0.7</v>
      </c>
      <c r="W15" s="3">
        <v>0.7</v>
      </c>
      <c r="X15" s="3">
        <v>0.7</v>
      </c>
      <c r="Y15" s="3">
        <v>0.7</v>
      </c>
      <c r="Z15" s="3">
        <v>0.7</v>
      </c>
      <c r="AA15" s="3">
        <v>0.7</v>
      </c>
      <c r="AB15" s="3">
        <v>0.7</v>
      </c>
      <c r="AC15" s="3">
        <v>0.7</v>
      </c>
      <c r="AD15" s="3">
        <v>0.7</v>
      </c>
      <c r="AE15" s="3">
        <v>0.7</v>
      </c>
      <c r="AF15" s="3">
        <v>0.7</v>
      </c>
      <c r="AG15" s="3">
        <v>0.7</v>
      </c>
      <c r="AH15" s="3">
        <v>0.7</v>
      </c>
      <c r="AI15" s="3">
        <v>0.7</v>
      </c>
      <c r="AJ15" s="3">
        <v>0.7</v>
      </c>
      <c r="AK15" s="3">
        <v>0.7</v>
      </c>
      <c r="AL15" s="3">
        <v>0.7</v>
      </c>
      <c r="AM15" s="3">
        <v>0.7</v>
      </c>
    </row>
    <row r="16" ht="14" customHeight="true" x14ac:dyDescent="0.15">
      <c r="A16" t="s">
        <v>192</v>
      </c>
      <c r="B16" s="3">
        <v>0.7</v>
      </c>
      <c r="C16" s="3">
        <v>0.7</v>
      </c>
      <c r="D16" s="3">
        <v>0.7</v>
      </c>
      <c r="E16" s="3">
        <v>0.7</v>
      </c>
      <c r="F16" s="3">
        <v>0.7</v>
      </c>
      <c r="G16" s="3">
        <v>0.7</v>
      </c>
      <c r="H16" s="3">
        <v>0.7</v>
      </c>
      <c r="I16" s="3">
        <v>0.7</v>
      </c>
      <c r="J16" s="3">
        <v>0.7</v>
      </c>
      <c r="K16" s="3">
        <v>0.7</v>
      </c>
      <c r="L16" s="3">
        <v>0.7</v>
      </c>
      <c r="M16" s="3">
        <v>0.7</v>
      </c>
      <c r="N16" s="3">
        <v>0.7</v>
      </c>
      <c r="O16" s="3">
        <v>0.7</v>
      </c>
      <c r="P16" s="3">
        <v>0.7</v>
      </c>
      <c r="Q16" s="3">
        <v>0.7</v>
      </c>
      <c r="R16" s="3">
        <v>0.7</v>
      </c>
      <c r="S16" s="3">
        <v>0.7</v>
      </c>
      <c r="T16" s="3">
        <v>0.7</v>
      </c>
      <c r="U16" s="3">
        <v>0.7</v>
      </c>
      <c r="V16" s="3">
        <v>0.7</v>
      </c>
      <c r="W16" s="3">
        <v>0.7</v>
      </c>
      <c r="X16" s="3">
        <v>0.7</v>
      </c>
      <c r="Y16" s="3">
        <v>0.7</v>
      </c>
      <c r="Z16" s="3">
        <v>0.7</v>
      </c>
      <c r="AA16" s="3">
        <v>0.7</v>
      </c>
      <c r="AB16" s="3">
        <v>0.7</v>
      </c>
      <c r="AC16" s="3">
        <v>0.7</v>
      </c>
      <c r="AD16" s="3">
        <v>0.7</v>
      </c>
      <c r="AE16" s="3">
        <v>0.7</v>
      </c>
      <c r="AF16" s="3">
        <v>0.7</v>
      </c>
      <c r="AG16" s="3">
        <v>0.7</v>
      </c>
      <c r="AH16" s="3">
        <v>0.7</v>
      </c>
      <c r="AI16" s="3">
        <v>0.7</v>
      </c>
      <c r="AJ16" s="3">
        <v>0.7</v>
      </c>
      <c r="AK16" s="3">
        <v>0.7</v>
      </c>
      <c r="AL16" s="3">
        <v>0.7</v>
      </c>
      <c r="AM16" s="3">
        <v>0.7</v>
      </c>
    </row>
    <row r="17" ht="14" customHeight="true" x14ac:dyDescent="0.15">
      <c r="A17" t="s">
        <v>193</v>
      </c>
      <c r="B17" s="3">
        <v>0.7</v>
      </c>
      <c r="C17" s="3">
        <v>0.7</v>
      </c>
      <c r="D17" s="3">
        <v>0.7</v>
      </c>
      <c r="E17" s="3">
        <v>0.7</v>
      </c>
      <c r="F17" s="3">
        <v>0.7</v>
      </c>
      <c r="G17" s="3">
        <v>0.7</v>
      </c>
      <c r="H17" s="3">
        <v>0.7</v>
      </c>
      <c r="I17" s="3">
        <v>0.7</v>
      </c>
      <c r="J17" s="3">
        <v>0.7</v>
      </c>
      <c r="K17" s="3">
        <v>0.7</v>
      </c>
      <c r="L17" s="3">
        <v>0.7</v>
      </c>
      <c r="M17" s="3">
        <v>0.7</v>
      </c>
      <c r="N17" s="3">
        <v>0.7</v>
      </c>
      <c r="O17" s="3">
        <v>0.7</v>
      </c>
      <c r="P17" s="3">
        <v>0.7</v>
      </c>
      <c r="Q17" s="3">
        <v>0.7</v>
      </c>
      <c r="R17" s="3">
        <v>0.7</v>
      </c>
      <c r="S17" s="3">
        <v>0.7</v>
      </c>
      <c r="T17" s="3">
        <v>0.7</v>
      </c>
      <c r="U17" s="3">
        <v>0.7</v>
      </c>
      <c r="V17" s="3">
        <v>0.7</v>
      </c>
      <c r="W17" s="3">
        <v>0.7</v>
      </c>
      <c r="X17" s="3">
        <v>0.7</v>
      </c>
      <c r="Y17" s="3">
        <v>0.7</v>
      </c>
      <c r="Z17" s="3">
        <v>0.7</v>
      </c>
      <c r="AA17" s="3">
        <v>0.7</v>
      </c>
      <c r="AB17" s="3">
        <v>0.7</v>
      </c>
      <c r="AC17" s="3">
        <v>0.7</v>
      </c>
      <c r="AD17" s="3">
        <v>0.7</v>
      </c>
      <c r="AE17" s="3">
        <v>0.7</v>
      </c>
      <c r="AF17" s="3">
        <v>0.7</v>
      </c>
      <c r="AG17" s="3">
        <v>0.7</v>
      </c>
      <c r="AH17" s="3">
        <v>0.7</v>
      </c>
      <c r="AI17" s="3">
        <v>0.7</v>
      </c>
      <c r="AJ17" s="3">
        <v>0.7</v>
      </c>
      <c r="AK17" s="3">
        <v>0.7</v>
      </c>
      <c r="AL17" s="3">
        <v>0.7</v>
      </c>
      <c r="AM17" s="3">
        <v>0.7</v>
      </c>
    </row>
    <row r="18" ht="14" customHeight="true" x14ac:dyDescent="0.15">
      <c r="A18" t="s">
        <v>194</v>
      </c>
      <c r="B18" s="3">
        <v>0.7</v>
      </c>
      <c r="C18" s="3">
        <v>0.7</v>
      </c>
      <c r="D18" s="3">
        <v>0.7</v>
      </c>
      <c r="E18" s="3">
        <v>0.7</v>
      </c>
      <c r="F18" s="3">
        <v>0.7</v>
      </c>
      <c r="G18" s="3">
        <v>0.7</v>
      </c>
      <c r="H18" s="3">
        <v>0.7</v>
      </c>
      <c r="I18" s="3">
        <v>0.7</v>
      </c>
      <c r="J18" s="3">
        <v>0.7</v>
      </c>
      <c r="K18" s="3">
        <v>0.7</v>
      </c>
      <c r="L18" s="3">
        <v>0.7</v>
      </c>
      <c r="M18" s="3">
        <v>0.7</v>
      </c>
      <c r="N18" s="3">
        <v>0.7</v>
      </c>
      <c r="O18" s="3">
        <v>0.7</v>
      </c>
      <c r="P18" s="3">
        <v>0.7</v>
      </c>
      <c r="Q18" s="3">
        <v>0.7</v>
      </c>
      <c r="R18" s="3">
        <v>0.7</v>
      </c>
      <c r="S18" s="3">
        <v>0.7</v>
      </c>
      <c r="T18" s="3">
        <v>0.7</v>
      </c>
      <c r="U18" s="3">
        <v>0.7</v>
      </c>
      <c r="V18" s="3">
        <v>0.7</v>
      </c>
      <c r="W18" s="3">
        <v>0.7</v>
      </c>
      <c r="X18" s="3">
        <v>0.7</v>
      </c>
      <c r="Y18" s="3">
        <v>0.7</v>
      </c>
      <c r="Z18" s="3">
        <v>0.7</v>
      </c>
      <c r="AA18" s="3">
        <v>0.7</v>
      </c>
      <c r="AB18" s="3">
        <v>0.7</v>
      </c>
      <c r="AC18" s="3">
        <v>0.7</v>
      </c>
      <c r="AD18" s="3">
        <v>0.7</v>
      </c>
      <c r="AE18" s="3">
        <v>0.7</v>
      </c>
      <c r="AF18" s="3">
        <v>0.7</v>
      </c>
      <c r="AG18" s="3">
        <v>0.7</v>
      </c>
      <c r="AH18" s="3">
        <v>0.7</v>
      </c>
      <c r="AI18" s="3">
        <v>0.7</v>
      </c>
      <c r="AJ18" s="3">
        <v>0.7</v>
      </c>
      <c r="AK18" s="3">
        <v>0.7</v>
      </c>
      <c r="AL18" s="3">
        <v>0.7</v>
      </c>
      <c r="AM18" s="3">
        <v>0.7</v>
      </c>
    </row>
    <row r="19" ht="14" customHeight="true" x14ac:dyDescent="0.15">
      <c r="A19" t="s">
        <v>195</v>
      </c>
      <c r="B19" s="3">
        <v>0.7</v>
      </c>
      <c r="C19" s="3">
        <v>0.7</v>
      </c>
      <c r="D19" s="3">
        <v>0.7</v>
      </c>
      <c r="E19" s="3">
        <v>0.7</v>
      </c>
      <c r="F19" s="3">
        <v>0.7</v>
      </c>
      <c r="G19" s="3">
        <v>0.7</v>
      </c>
      <c r="H19" s="3">
        <v>0.7</v>
      </c>
      <c r="I19" s="3">
        <v>0.7</v>
      </c>
      <c r="J19" s="3">
        <v>0.7</v>
      </c>
      <c r="K19" s="3">
        <v>0.7</v>
      </c>
      <c r="L19" s="3">
        <v>0.7</v>
      </c>
      <c r="M19" s="3">
        <v>0.7</v>
      </c>
      <c r="N19" s="3">
        <v>0.7</v>
      </c>
      <c r="O19" s="3">
        <v>0.7</v>
      </c>
      <c r="P19" s="3">
        <v>0.7</v>
      </c>
      <c r="Q19" s="3">
        <v>0.7</v>
      </c>
      <c r="R19" s="3">
        <v>0.7</v>
      </c>
      <c r="S19" s="3">
        <v>0.7</v>
      </c>
      <c r="T19" s="3">
        <v>0.7</v>
      </c>
      <c r="U19" s="3">
        <v>0.7</v>
      </c>
      <c r="V19" s="3">
        <v>0.7</v>
      </c>
      <c r="W19" s="3">
        <v>0.7</v>
      </c>
      <c r="X19" s="3">
        <v>0.7</v>
      </c>
      <c r="Y19" s="3">
        <v>0.7</v>
      </c>
      <c r="Z19" s="3">
        <v>0.7</v>
      </c>
      <c r="AA19" s="3">
        <v>0.7</v>
      </c>
      <c r="AB19" s="3">
        <v>0.7</v>
      </c>
      <c r="AC19" s="3">
        <v>0.7</v>
      </c>
      <c r="AD19" s="3">
        <v>0.7</v>
      </c>
      <c r="AE19" s="3">
        <v>0.7</v>
      </c>
      <c r="AF19" s="3">
        <v>0.7</v>
      </c>
      <c r="AG19" s="3">
        <v>0.7</v>
      </c>
      <c r="AH19" s="3">
        <v>0.7</v>
      </c>
      <c r="AI19" s="3">
        <v>0.7</v>
      </c>
      <c r="AJ19" s="3">
        <v>0.7</v>
      </c>
      <c r="AK19" s="3">
        <v>0.7</v>
      </c>
      <c r="AL19" s="3">
        <v>0.7</v>
      </c>
      <c r="AM19" s="3">
        <v>0.7</v>
      </c>
    </row>
    <row r="20" ht="14" customHeight="true" x14ac:dyDescent="0.15">
      <c r="A20" t="s">
        <v>196</v>
      </c>
      <c r="B20" s="3">
        <v>0.7</v>
      </c>
      <c r="C20" s="3">
        <v>0.7</v>
      </c>
      <c r="D20" s="3">
        <v>0.7</v>
      </c>
      <c r="E20" s="3">
        <v>0.7</v>
      </c>
      <c r="F20" s="3">
        <v>0.7</v>
      </c>
      <c r="G20" s="3">
        <v>0.7</v>
      </c>
      <c r="H20" s="3">
        <v>0.7</v>
      </c>
      <c r="I20" s="3">
        <v>0.7</v>
      </c>
      <c r="J20" s="3">
        <v>0.7</v>
      </c>
      <c r="K20" s="3">
        <v>0.7</v>
      </c>
      <c r="L20" s="3">
        <v>0.7</v>
      </c>
      <c r="M20" s="3">
        <v>0.7</v>
      </c>
      <c r="N20" s="3">
        <v>0.7</v>
      </c>
      <c r="O20" s="3">
        <v>0.7</v>
      </c>
      <c r="P20" s="3">
        <v>0.7</v>
      </c>
      <c r="Q20" s="3">
        <v>0.7</v>
      </c>
      <c r="R20" s="3">
        <v>0.7</v>
      </c>
      <c r="S20" s="3">
        <v>0.7</v>
      </c>
      <c r="T20" s="3">
        <v>0.7</v>
      </c>
      <c r="U20" s="3">
        <v>0.7</v>
      </c>
      <c r="V20" s="3">
        <v>0.7</v>
      </c>
      <c r="W20" s="3">
        <v>0.7</v>
      </c>
      <c r="X20" s="3">
        <v>0.7</v>
      </c>
      <c r="Y20" s="3">
        <v>0.7</v>
      </c>
      <c r="Z20" s="3">
        <v>0.7</v>
      </c>
      <c r="AA20" s="3">
        <v>0.7</v>
      </c>
      <c r="AB20" s="3">
        <v>0.7</v>
      </c>
      <c r="AC20" s="3">
        <v>0.7</v>
      </c>
      <c r="AD20" s="3">
        <v>0.7</v>
      </c>
      <c r="AE20" s="3">
        <v>0.7</v>
      </c>
      <c r="AF20" s="3">
        <v>0.7</v>
      </c>
      <c r="AG20" s="3">
        <v>0.7</v>
      </c>
      <c r="AH20" s="3">
        <v>0.7</v>
      </c>
      <c r="AI20" s="3">
        <v>0.7</v>
      </c>
      <c r="AJ20" s="3">
        <v>0.7</v>
      </c>
      <c r="AK20" s="3">
        <v>0.7</v>
      </c>
      <c r="AL20" s="3">
        <v>0.7</v>
      </c>
      <c r="AM20" s="3">
        <v>0.7</v>
      </c>
    </row>
    <row r="21" ht="14" customHeight="true" x14ac:dyDescent="0.15">
      <c r="A21" t="s">
        <v>197</v>
      </c>
      <c r="B21" s="3">
        <v>0.7</v>
      </c>
      <c r="C21" s="3">
        <v>0.7</v>
      </c>
      <c r="D21" s="3">
        <v>0.7</v>
      </c>
      <c r="E21" s="3">
        <v>0.7</v>
      </c>
      <c r="F21" s="3">
        <v>0.7</v>
      </c>
      <c r="G21" s="3">
        <v>0.7</v>
      </c>
      <c r="H21" s="3">
        <v>0.7</v>
      </c>
      <c r="I21" s="3">
        <v>0.7</v>
      </c>
      <c r="J21" s="3">
        <v>0.7</v>
      </c>
      <c r="K21" s="3">
        <v>0.7</v>
      </c>
      <c r="L21" s="3">
        <v>0.7</v>
      </c>
      <c r="M21" s="3">
        <v>0.7</v>
      </c>
      <c r="N21" s="3">
        <v>0.7</v>
      </c>
      <c r="O21" s="3">
        <v>0.7</v>
      </c>
      <c r="P21" s="3">
        <v>0.7</v>
      </c>
      <c r="Q21" s="3">
        <v>0.7</v>
      </c>
      <c r="R21" s="3">
        <v>0.7</v>
      </c>
      <c r="S21" s="3">
        <v>0.7</v>
      </c>
      <c r="T21" s="3">
        <v>0.7</v>
      </c>
      <c r="U21" s="3">
        <v>0.7</v>
      </c>
      <c r="V21" s="3">
        <v>0.7</v>
      </c>
      <c r="W21" s="3">
        <v>0.7</v>
      </c>
      <c r="X21" s="3">
        <v>0.7</v>
      </c>
      <c r="Y21" s="3">
        <v>0.7</v>
      </c>
      <c r="Z21" s="3">
        <v>0.7</v>
      </c>
      <c r="AA21" s="3">
        <v>0.7</v>
      </c>
      <c r="AB21" s="3">
        <v>0.7</v>
      </c>
      <c r="AC21" s="3">
        <v>0.7</v>
      </c>
      <c r="AD21" s="3">
        <v>0.7</v>
      </c>
      <c r="AE21" s="3">
        <v>0.7</v>
      </c>
      <c r="AF21" s="3">
        <v>0.7</v>
      </c>
      <c r="AG21" s="3">
        <v>0.7</v>
      </c>
      <c r="AH21" s="3">
        <v>0.7</v>
      </c>
      <c r="AI21" s="3">
        <v>0.7</v>
      </c>
      <c r="AJ21" s="3">
        <v>0.7</v>
      </c>
      <c r="AK21" s="3">
        <v>0.7</v>
      </c>
      <c r="AL21" s="3">
        <v>0.7</v>
      </c>
      <c r="AM21" s="3">
        <v>0.7</v>
      </c>
    </row>
    <row r="22" ht="14" customHeight="true" x14ac:dyDescent="0.15">
      <c r="A22" t="s">
        <v>198</v>
      </c>
      <c r="B22" s="3">
        <v>0.7</v>
      </c>
      <c r="C22" s="3">
        <v>0.7</v>
      </c>
      <c r="D22" s="3">
        <v>0.7</v>
      </c>
      <c r="E22" s="3">
        <v>0.7</v>
      </c>
      <c r="F22" s="3">
        <v>0.7</v>
      </c>
      <c r="G22" s="3">
        <v>0.7</v>
      </c>
      <c r="H22" s="3">
        <v>0.7</v>
      </c>
      <c r="I22" s="3">
        <v>0.7</v>
      </c>
      <c r="J22" s="3">
        <v>0.7</v>
      </c>
      <c r="K22" s="3">
        <v>0.7</v>
      </c>
      <c r="L22" s="3">
        <v>0.7</v>
      </c>
      <c r="M22" s="3">
        <v>0.7</v>
      </c>
      <c r="N22" s="3">
        <v>0.7</v>
      </c>
      <c r="O22" s="3">
        <v>0.7</v>
      </c>
      <c r="P22" s="3">
        <v>0.7</v>
      </c>
      <c r="Q22" s="3">
        <v>0.7</v>
      </c>
      <c r="R22" s="3">
        <v>0.7</v>
      </c>
      <c r="S22" s="3">
        <v>0.7</v>
      </c>
      <c r="T22" s="3">
        <v>0.7</v>
      </c>
      <c r="U22" s="3">
        <v>0.7</v>
      </c>
      <c r="V22" s="3">
        <v>0.7</v>
      </c>
      <c r="W22" s="3">
        <v>0.7</v>
      </c>
      <c r="X22" s="3">
        <v>0.7</v>
      </c>
      <c r="Y22" s="3">
        <v>0.7</v>
      </c>
      <c r="Z22" s="3">
        <v>0.7</v>
      </c>
      <c r="AA22" s="3">
        <v>0.7</v>
      </c>
      <c r="AB22" s="3">
        <v>0.7</v>
      </c>
      <c r="AC22" s="3">
        <v>0.7</v>
      </c>
      <c r="AD22" s="3">
        <v>0.7</v>
      </c>
      <c r="AE22" s="3">
        <v>0.7</v>
      </c>
      <c r="AF22" s="3">
        <v>0.7</v>
      </c>
      <c r="AG22" s="3">
        <v>0.7</v>
      </c>
      <c r="AH22" s="3">
        <v>0.7</v>
      </c>
      <c r="AI22" s="3">
        <v>0.7</v>
      </c>
      <c r="AJ22" s="3">
        <v>0.7</v>
      </c>
      <c r="AK22" s="3">
        <v>0.7</v>
      </c>
      <c r="AL22" s="3">
        <v>0.7</v>
      </c>
      <c r="AM22" s="3">
        <v>0.7</v>
      </c>
    </row>
    <row r="23" ht="14" customHeight="true" x14ac:dyDescent="0.15">
      <c r="A23" t="s">
        <v>199</v>
      </c>
      <c r="B23" s="3">
        <v>0.7</v>
      </c>
      <c r="C23" s="3">
        <v>0.7</v>
      </c>
      <c r="D23" s="3">
        <v>0.7</v>
      </c>
      <c r="E23" s="3">
        <v>0.7</v>
      </c>
      <c r="F23" s="3">
        <v>0.7</v>
      </c>
      <c r="G23" s="3">
        <v>0.7</v>
      </c>
      <c r="H23" s="3">
        <v>0.7</v>
      </c>
      <c r="I23" s="3">
        <v>0.7</v>
      </c>
      <c r="J23" s="3">
        <v>0.7</v>
      </c>
      <c r="K23" s="3">
        <v>0.7</v>
      </c>
      <c r="L23" s="3">
        <v>0.7</v>
      </c>
      <c r="M23" s="3">
        <v>0.7</v>
      </c>
      <c r="N23" s="3">
        <v>0.7</v>
      </c>
      <c r="O23" s="3">
        <v>0.7</v>
      </c>
      <c r="P23" s="3">
        <v>0.7</v>
      </c>
      <c r="Q23" s="3">
        <v>0.7</v>
      </c>
      <c r="R23" s="3">
        <v>0.7</v>
      </c>
      <c r="S23" s="3">
        <v>0.7</v>
      </c>
      <c r="T23" s="3">
        <v>0.7</v>
      </c>
      <c r="U23" s="3">
        <v>0.7</v>
      </c>
      <c r="V23" s="3">
        <v>0.7</v>
      </c>
      <c r="W23" s="3">
        <v>0.7</v>
      </c>
      <c r="X23" s="3">
        <v>0.7</v>
      </c>
      <c r="Y23" s="3">
        <v>0.7</v>
      </c>
      <c r="Z23" s="3">
        <v>0.7</v>
      </c>
      <c r="AA23" s="3">
        <v>0.7</v>
      </c>
      <c r="AB23" s="3">
        <v>0.7</v>
      </c>
      <c r="AC23" s="3">
        <v>0.7</v>
      </c>
      <c r="AD23" s="3">
        <v>0.7</v>
      </c>
      <c r="AE23" s="3">
        <v>0.7</v>
      </c>
      <c r="AF23" s="3">
        <v>0.7</v>
      </c>
      <c r="AG23" s="3">
        <v>0.7</v>
      </c>
      <c r="AH23" s="3">
        <v>0.7</v>
      </c>
      <c r="AI23" s="3">
        <v>0.7</v>
      </c>
      <c r="AJ23" s="3">
        <v>0.7</v>
      </c>
      <c r="AK23" s="3">
        <v>0.7</v>
      </c>
      <c r="AL23" s="3">
        <v>0.7</v>
      </c>
      <c r="AM23" s="3">
        <v>0.7</v>
      </c>
    </row>
    <row r="24" ht="14" customHeight="true" x14ac:dyDescent="0.15">
      <c r="A24" t="s">
        <v>200</v>
      </c>
      <c r="B24" s="3">
        <v>0.7</v>
      </c>
      <c r="C24" s="3">
        <v>0.7</v>
      </c>
      <c r="D24" s="3">
        <v>0.7</v>
      </c>
      <c r="E24" s="3">
        <v>0.7</v>
      </c>
      <c r="F24" s="3">
        <v>0.7</v>
      </c>
      <c r="G24" s="3">
        <v>0.7</v>
      </c>
      <c r="H24" s="3">
        <v>0.7</v>
      </c>
      <c r="I24" s="3">
        <v>0.7</v>
      </c>
      <c r="J24" s="3">
        <v>0.7</v>
      </c>
      <c r="K24" s="3">
        <v>0.7</v>
      </c>
      <c r="L24" s="3">
        <v>0.7</v>
      </c>
      <c r="M24" s="3">
        <v>0.7</v>
      </c>
      <c r="N24" s="3">
        <v>0.7</v>
      </c>
      <c r="O24" s="3">
        <v>0.7</v>
      </c>
      <c r="P24" s="3">
        <v>0.7</v>
      </c>
      <c r="Q24" s="3">
        <v>0.7</v>
      </c>
      <c r="R24" s="3">
        <v>0.7</v>
      </c>
      <c r="S24" s="3">
        <v>0.7</v>
      </c>
      <c r="T24" s="3">
        <v>0.7</v>
      </c>
      <c r="U24" s="3">
        <v>0.7</v>
      </c>
      <c r="V24" s="3">
        <v>0.7</v>
      </c>
      <c r="W24" s="3">
        <v>0.7</v>
      </c>
      <c r="X24" s="3">
        <v>0.7</v>
      </c>
      <c r="Y24" s="3">
        <v>0.7</v>
      </c>
      <c r="Z24" s="3">
        <v>0.7</v>
      </c>
      <c r="AA24" s="3">
        <v>0.7</v>
      </c>
      <c r="AB24" s="3">
        <v>0.7</v>
      </c>
      <c r="AC24" s="3">
        <v>0.7</v>
      </c>
      <c r="AD24" s="3">
        <v>0.7</v>
      </c>
      <c r="AE24" s="3">
        <v>0.7</v>
      </c>
      <c r="AF24" s="3">
        <v>0.7</v>
      </c>
      <c r="AG24" s="3">
        <v>0.7</v>
      </c>
      <c r="AH24" s="3">
        <v>0.7</v>
      </c>
      <c r="AI24" s="3">
        <v>0.7</v>
      </c>
      <c r="AJ24" s="3">
        <v>0.7</v>
      </c>
      <c r="AK24" s="3">
        <v>0.7</v>
      </c>
      <c r="AL24" s="3">
        <v>0.7</v>
      </c>
      <c r="AM24" s="3">
        <v>0.7</v>
      </c>
    </row>
    <row r="25" ht="14" customHeight="true" x14ac:dyDescent="0.15">
      <c r="A25" t="s">
        <v>201</v>
      </c>
      <c r="B25" s="3">
        <v>0.7</v>
      </c>
      <c r="C25" s="3">
        <v>0.7</v>
      </c>
      <c r="D25" s="3">
        <v>0.7</v>
      </c>
      <c r="E25" s="3">
        <v>0.7</v>
      </c>
      <c r="F25" s="3">
        <v>0.7</v>
      </c>
      <c r="G25" s="3">
        <v>0.7</v>
      </c>
      <c r="H25" s="3">
        <v>0.7</v>
      </c>
      <c r="I25" s="3">
        <v>0.7</v>
      </c>
      <c r="J25" s="3">
        <v>0.7</v>
      </c>
      <c r="K25" s="3">
        <v>0.7</v>
      </c>
      <c r="L25" s="3">
        <v>0.7</v>
      </c>
      <c r="M25" s="3">
        <v>0.7</v>
      </c>
      <c r="N25" s="3">
        <v>0.7</v>
      </c>
      <c r="O25" s="3">
        <v>0.7</v>
      </c>
      <c r="P25" s="3">
        <v>0.7</v>
      </c>
      <c r="Q25" s="3">
        <v>0.7</v>
      </c>
      <c r="R25" s="3">
        <v>0.7</v>
      </c>
      <c r="S25" s="3">
        <v>0.7</v>
      </c>
      <c r="T25" s="3">
        <v>0.7</v>
      </c>
      <c r="U25" s="3">
        <v>0.7</v>
      </c>
      <c r="V25" s="3">
        <v>0.7</v>
      </c>
      <c r="W25" s="3">
        <v>0.7</v>
      </c>
      <c r="X25" s="3">
        <v>0.7</v>
      </c>
      <c r="Y25" s="3">
        <v>0.7</v>
      </c>
      <c r="Z25" s="3">
        <v>0.7</v>
      </c>
      <c r="AA25" s="3">
        <v>0.7</v>
      </c>
      <c r="AB25" s="3">
        <v>0.7</v>
      </c>
      <c r="AC25" s="3">
        <v>0.7</v>
      </c>
      <c r="AD25" s="3">
        <v>0.7</v>
      </c>
      <c r="AE25" s="3">
        <v>0.7</v>
      </c>
      <c r="AF25" s="3">
        <v>0.7</v>
      </c>
      <c r="AG25" s="3">
        <v>0.7</v>
      </c>
      <c r="AH25" s="3">
        <v>0.7</v>
      </c>
      <c r="AI25" s="3">
        <v>0.7</v>
      </c>
      <c r="AJ25" s="3">
        <v>0.7</v>
      </c>
      <c r="AK25" s="3">
        <v>0.7</v>
      </c>
      <c r="AL25" s="3">
        <v>0.7</v>
      </c>
      <c r="AM25" s="3">
        <v>0.7</v>
      </c>
    </row>
    <row r="26" ht="14" customHeight="true" x14ac:dyDescent="0.15">
      <c r="A26" t="s">
        <v>202</v>
      </c>
      <c r="B26" s="3">
        <v>0.7</v>
      </c>
      <c r="C26" s="3">
        <v>0.7</v>
      </c>
      <c r="D26" s="3">
        <v>0.7</v>
      </c>
      <c r="E26" s="3">
        <v>0.7</v>
      </c>
      <c r="F26" s="3">
        <v>0.7</v>
      </c>
      <c r="G26" s="3">
        <v>0.7</v>
      </c>
      <c r="H26" s="3">
        <v>0.7</v>
      </c>
      <c r="I26" s="3">
        <v>0.7</v>
      </c>
      <c r="J26" s="3">
        <v>0.7</v>
      </c>
      <c r="K26" s="3">
        <v>0.7</v>
      </c>
      <c r="L26" s="3">
        <v>0.7</v>
      </c>
      <c r="M26" s="3">
        <v>0.7</v>
      </c>
      <c r="N26" s="3">
        <v>0.7</v>
      </c>
      <c r="O26" s="3">
        <v>0.7</v>
      </c>
      <c r="P26" s="3">
        <v>0.7</v>
      </c>
      <c r="Q26" s="3">
        <v>0.7</v>
      </c>
      <c r="R26" s="3">
        <v>0.7</v>
      </c>
      <c r="S26" s="3">
        <v>0.7</v>
      </c>
      <c r="T26" s="3">
        <v>0.7</v>
      </c>
      <c r="U26" s="3">
        <v>0.7</v>
      </c>
      <c r="V26" s="3">
        <v>0.7</v>
      </c>
      <c r="W26" s="3">
        <v>0.7</v>
      </c>
      <c r="X26" s="3">
        <v>0.7</v>
      </c>
      <c r="Y26" s="3">
        <v>0.7</v>
      </c>
      <c r="Z26" s="3">
        <v>0.7</v>
      </c>
      <c r="AA26" s="3">
        <v>0.7</v>
      </c>
      <c r="AB26" s="3">
        <v>0.7</v>
      </c>
      <c r="AC26" s="3">
        <v>0.7</v>
      </c>
      <c r="AD26" s="3">
        <v>0.7</v>
      </c>
      <c r="AE26" s="3">
        <v>0.7</v>
      </c>
      <c r="AF26" s="3">
        <v>0.7</v>
      </c>
      <c r="AG26" s="3">
        <v>0.7</v>
      </c>
      <c r="AH26" s="3">
        <v>0.7</v>
      </c>
      <c r="AI26" s="3">
        <v>0.7</v>
      </c>
      <c r="AJ26" s="3">
        <v>0.7</v>
      </c>
      <c r="AK26" s="3">
        <v>0.7</v>
      </c>
      <c r="AL26" s="3">
        <v>0.7</v>
      </c>
      <c r="AM26" s="3">
        <v>0.7</v>
      </c>
    </row>
    <row r="27" ht="14" customHeight="true" x14ac:dyDescent="0.15">
      <c r="A27" t="s">
        <v>203</v>
      </c>
      <c r="B27" s="3">
        <v>0.7</v>
      </c>
      <c r="C27" s="3">
        <v>0.7</v>
      </c>
      <c r="D27" s="3">
        <v>0.7</v>
      </c>
      <c r="E27" s="3">
        <v>0.7</v>
      </c>
      <c r="F27" s="3">
        <v>0.7</v>
      </c>
      <c r="G27" s="3">
        <v>0.7</v>
      </c>
      <c r="H27" s="3">
        <v>0.7</v>
      </c>
      <c r="I27" s="3">
        <v>0.7</v>
      </c>
      <c r="J27" s="3">
        <v>0.7</v>
      </c>
      <c r="K27" s="3">
        <v>0.7</v>
      </c>
      <c r="L27" s="3">
        <v>0.7</v>
      </c>
      <c r="M27" s="3">
        <v>0.7</v>
      </c>
      <c r="N27" s="3">
        <v>0.7</v>
      </c>
      <c r="O27" s="3">
        <v>0.7</v>
      </c>
      <c r="P27" s="3">
        <v>0.7</v>
      </c>
      <c r="Q27" s="3">
        <v>0.7</v>
      </c>
      <c r="R27" s="3">
        <v>0.7</v>
      </c>
      <c r="S27" s="3">
        <v>0.7</v>
      </c>
      <c r="T27" s="3">
        <v>0.7</v>
      </c>
      <c r="U27" s="3">
        <v>0.7</v>
      </c>
      <c r="V27" s="3">
        <v>0.7</v>
      </c>
      <c r="W27" s="3">
        <v>0.7</v>
      </c>
      <c r="X27" s="3">
        <v>0.7</v>
      </c>
      <c r="Y27" s="3">
        <v>0.7</v>
      </c>
      <c r="Z27" s="3">
        <v>0.7</v>
      </c>
      <c r="AA27" s="3">
        <v>0.7</v>
      </c>
      <c r="AB27" s="3">
        <v>0.7</v>
      </c>
      <c r="AC27" s="3">
        <v>0.7</v>
      </c>
      <c r="AD27" s="3">
        <v>0.7</v>
      </c>
      <c r="AE27" s="3">
        <v>0.7</v>
      </c>
      <c r="AF27" s="3">
        <v>0.7</v>
      </c>
      <c r="AG27" s="3">
        <v>0.7</v>
      </c>
      <c r="AH27" s="3">
        <v>0.7</v>
      </c>
      <c r="AI27" s="3">
        <v>0.7</v>
      </c>
      <c r="AJ27" s="3">
        <v>0.7</v>
      </c>
      <c r="AK27" s="3">
        <v>0.7</v>
      </c>
      <c r="AL27" s="3">
        <v>0.7</v>
      </c>
      <c r="AM27" s="3">
        <v>0.7</v>
      </c>
    </row>
    <row r="28" ht="14" customHeight="true" x14ac:dyDescent="0.15">
      <c r="A28" t="s">
        <v>204</v>
      </c>
      <c r="B28" s="3">
        <v>0.7</v>
      </c>
      <c r="C28" s="3">
        <v>0.7</v>
      </c>
      <c r="D28" s="3">
        <v>0.7</v>
      </c>
      <c r="E28" s="3">
        <v>0.7</v>
      </c>
      <c r="F28" s="3">
        <v>0.7</v>
      </c>
      <c r="G28" s="3">
        <v>0.7</v>
      </c>
      <c r="H28" s="3">
        <v>0.7</v>
      </c>
      <c r="I28" s="3">
        <v>0.7</v>
      </c>
      <c r="J28" s="3">
        <v>0.7</v>
      </c>
      <c r="K28" s="3">
        <v>0.7</v>
      </c>
      <c r="L28" s="3">
        <v>0.7</v>
      </c>
      <c r="M28" s="3">
        <v>0.7</v>
      </c>
      <c r="N28" s="3">
        <v>0.7</v>
      </c>
      <c r="O28" s="3">
        <v>0.7</v>
      </c>
      <c r="P28" s="3">
        <v>0.7</v>
      </c>
      <c r="Q28" s="3">
        <v>0.7</v>
      </c>
      <c r="R28" s="3">
        <v>0.7</v>
      </c>
      <c r="S28" s="3">
        <v>0.7</v>
      </c>
      <c r="T28" s="3">
        <v>0.7</v>
      </c>
      <c r="U28" s="3">
        <v>0.7</v>
      </c>
      <c r="V28" s="3">
        <v>0.7</v>
      </c>
      <c r="W28" s="3">
        <v>0.7</v>
      </c>
      <c r="X28" s="3">
        <v>0.7</v>
      </c>
      <c r="Y28" s="3">
        <v>0.7</v>
      </c>
      <c r="Z28" s="3">
        <v>0.7</v>
      </c>
      <c r="AA28" s="3">
        <v>0.7</v>
      </c>
      <c r="AB28" s="3">
        <v>0.7</v>
      </c>
      <c r="AC28" s="3">
        <v>0.7</v>
      </c>
      <c r="AD28" s="3">
        <v>0.7</v>
      </c>
      <c r="AE28" s="3">
        <v>0.7</v>
      </c>
      <c r="AF28" s="3">
        <v>0.7</v>
      </c>
      <c r="AG28" s="3">
        <v>0.7</v>
      </c>
      <c r="AH28" s="3">
        <v>0.7</v>
      </c>
      <c r="AI28" s="3">
        <v>0.7</v>
      </c>
      <c r="AJ28" s="3">
        <v>0.7</v>
      </c>
      <c r="AK28" s="3">
        <v>0.7</v>
      </c>
      <c r="AL28" s="3">
        <v>0.7</v>
      </c>
      <c r="AM28" s="3">
        <v>0.7</v>
      </c>
    </row>
    <row r="29" ht="14" customHeight="true" x14ac:dyDescent="0.15">
      <c r="A29" t="s">
        <v>205</v>
      </c>
      <c r="B29" s="3">
        <v>0.7</v>
      </c>
      <c r="C29" s="3">
        <v>0.7</v>
      </c>
      <c r="D29" s="3">
        <v>0.7</v>
      </c>
      <c r="E29" s="3">
        <v>0.7</v>
      </c>
      <c r="F29" s="3">
        <v>0.7</v>
      </c>
      <c r="G29" s="3">
        <v>0.7</v>
      </c>
      <c r="H29" s="3">
        <v>0.7</v>
      </c>
      <c r="I29" s="3">
        <v>0.7</v>
      </c>
      <c r="J29" s="3">
        <v>0.7</v>
      </c>
      <c r="K29" s="3">
        <v>0.7</v>
      </c>
      <c r="L29" s="3">
        <v>0.7</v>
      </c>
      <c r="M29" s="3">
        <v>0.7</v>
      </c>
      <c r="N29" s="3">
        <v>0.7</v>
      </c>
      <c r="O29" s="3">
        <v>0.7</v>
      </c>
      <c r="P29" s="3">
        <v>0.7</v>
      </c>
      <c r="Q29" s="3">
        <v>0.7</v>
      </c>
      <c r="R29" s="3">
        <v>0.7</v>
      </c>
      <c r="S29" s="3">
        <v>0.7</v>
      </c>
      <c r="T29" s="3">
        <v>0.7</v>
      </c>
      <c r="U29" s="3">
        <v>0.7</v>
      </c>
      <c r="V29" s="3">
        <v>0.7</v>
      </c>
      <c r="W29" s="3">
        <v>0.7</v>
      </c>
      <c r="X29" s="3">
        <v>0.7</v>
      </c>
      <c r="Y29" s="3">
        <v>0.7</v>
      </c>
      <c r="Z29" s="3">
        <v>0.7</v>
      </c>
      <c r="AA29" s="3">
        <v>0.7</v>
      </c>
      <c r="AB29" s="3">
        <v>0.7</v>
      </c>
      <c r="AC29" s="3">
        <v>0.7</v>
      </c>
      <c r="AD29" s="3">
        <v>0.7</v>
      </c>
      <c r="AE29" s="3">
        <v>0.7</v>
      </c>
      <c r="AF29" s="3">
        <v>0.7</v>
      </c>
      <c r="AG29" s="3">
        <v>0.7</v>
      </c>
      <c r="AH29" s="3">
        <v>0.7</v>
      </c>
      <c r="AI29" s="3">
        <v>0.7</v>
      </c>
      <c r="AJ29" s="3">
        <v>0.7</v>
      </c>
      <c r="AK29" s="3">
        <v>0.7</v>
      </c>
      <c r="AL29" s="3">
        <v>0.7</v>
      </c>
      <c r="AM29" s="3">
        <v>0.7</v>
      </c>
    </row>
    <row r="30" ht="14" customHeight="true" x14ac:dyDescent="0.15">
      <c r="A30" t="s">
        <v>206</v>
      </c>
      <c r="B30" s="3">
        <v>0.7</v>
      </c>
      <c r="C30" s="3">
        <v>0.7</v>
      </c>
      <c r="D30" s="3">
        <v>0.7</v>
      </c>
      <c r="E30" s="3">
        <v>0.7</v>
      </c>
      <c r="F30" s="3">
        <v>0.7</v>
      </c>
      <c r="G30" s="3">
        <v>0.7</v>
      </c>
      <c r="H30" s="3">
        <v>0.7</v>
      </c>
      <c r="I30" s="3">
        <v>0.7</v>
      </c>
      <c r="J30" s="3">
        <v>0.7</v>
      </c>
      <c r="K30" s="3">
        <v>0.7</v>
      </c>
      <c r="L30" s="3">
        <v>0.7</v>
      </c>
      <c r="M30" s="3">
        <v>0.7</v>
      </c>
      <c r="N30" s="3">
        <v>0.7</v>
      </c>
      <c r="O30" s="3">
        <v>0.7</v>
      </c>
      <c r="P30" s="3">
        <v>0.7</v>
      </c>
      <c r="Q30" s="3">
        <v>0.7</v>
      </c>
      <c r="R30" s="3">
        <v>0.7</v>
      </c>
      <c r="S30" s="3">
        <v>0.7</v>
      </c>
      <c r="T30" s="3">
        <v>0.7</v>
      </c>
      <c r="U30" s="3">
        <v>0.7</v>
      </c>
      <c r="V30" s="3">
        <v>0.7</v>
      </c>
      <c r="W30" s="3">
        <v>0.7</v>
      </c>
      <c r="X30" s="3">
        <v>0.7</v>
      </c>
      <c r="Y30" s="3">
        <v>0.7</v>
      </c>
      <c r="Z30" s="3">
        <v>0.7</v>
      </c>
      <c r="AA30" s="3">
        <v>0.7</v>
      </c>
      <c r="AB30" s="3">
        <v>0.7</v>
      </c>
      <c r="AC30" s="3">
        <v>0.7</v>
      </c>
      <c r="AD30" s="3">
        <v>0.7</v>
      </c>
      <c r="AE30" s="3">
        <v>0.7</v>
      </c>
      <c r="AF30" s="3">
        <v>0.7</v>
      </c>
      <c r="AG30" s="3">
        <v>0.7</v>
      </c>
      <c r="AH30" s="3">
        <v>0.7</v>
      </c>
      <c r="AI30" s="3">
        <v>0.7</v>
      </c>
      <c r="AJ30" s="3">
        <v>0.7</v>
      </c>
      <c r="AK30" s="3">
        <v>0.7</v>
      </c>
      <c r="AL30" s="3">
        <v>0.7</v>
      </c>
      <c r="AM30" s="3">
        <v>0.7</v>
      </c>
    </row>
    <row r="31" ht="14" customHeight="true" x14ac:dyDescent="0.15">
      <c r="A31" t="s">
        <v>207</v>
      </c>
      <c r="B31" s="3">
        <v>0.7</v>
      </c>
      <c r="C31" s="3">
        <v>0.7</v>
      </c>
      <c r="D31" s="3">
        <v>0.7</v>
      </c>
      <c r="E31" s="3">
        <v>0.7</v>
      </c>
      <c r="F31" s="3">
        <v>0.7</v>
      </c>
      <c r="G31" s="3">
        <v>0.7</v>
      </c>
      <c r="H31" s="3">
        <v>0.7</v>
      </c>
      <c r="I31" s="3">
        <v>0.7</v>
      </c>
      <c r="J31" s="3">
        <v>0.7</v>
      </c>
      <c r="K31" s="3">
        <v>0.7</v>
      </c>
      <c r="L31" s="3">
        <v>0.7</v>
      </c>
      <c r="M31" s="3">
        <v>0.7</v>
      </c>
      <c r="N31" s="3">
        <v>0.7</v>
      </c>
      <c r="O31" s="3">
        <v>0.7</v>
      </c>
      <c r="P31" s="3">
        <v>0.7</v>
      </c>
      <c r="Q31" s="3">
        <v>0.7</v>
      </c>
      <c r="R31" s="3">
        <v>0.7</v>
      </c>
      <c r="S31" s="3">
        <v>0.7</v>
      </c>
      <c r="T31" s="3">
        <v>0.7</v>
      </c>
      <c r="U31" s="3">
        <v>0.7</v>
      </c>
      <c r="V31" s="3">
        <v>0.7</v>
      </c>
      <c r="W31" s="3">
        <v>0.7</v>
      </c>
      <c r="X31" s="3">
        <v>0.7</v>
      </c>
      <c r="Y31" s="3">
        <v>0.7</v>
      </c>
      <c r="Z31" s="3">
        <v>0.7</v>
      </c>
      <c r="AA31" s="3">
        <v>0.7</v>
      </c>
      <c r="AB31" s="3">
        <v>0.7</v>
      </c>
      <c r="AC31" s="3">
        <v>0.7</v>
      </c>
      <c r="AD31" s="3">
        <v>0.7</v>
      </c>
      <c r="AE31" s="3">
        <v>0.7</v>
      </c>
      <c r="AF31" s="3">
        <v>0.7</v>
      </c>
      <c r="AG31" s="3">
        <v>0.7</v>
      </c>
      <c r="AH31" s="3">
        <v>0.7</v>
      </c>
      <c r="AI31" s="3">
        <v>0.7</v>
      </c>
      <c r="AJ31" s="3">
        <v>0.7</v>
      </c>
      <c r="AK31" s="3">
        <v>0.7</v>
      </c>
      <c r="AL31" s="3">
        <v>0.7</v>
      </c>
      <c r="AM31" s="3">
        <v>0.7</v>
      </c>
    </row>
    <row r="32" ht="14" customHeight="true" x14ac:dyDescent="0.15">
      <c r="A32" t="s">
        <v>208</v>
      </c>
      <c r="B32" s="3">
        <v>0.7</v>
      </c>
      <c r="C32" s="3">
        <v>0.7</v>
      </c>
      <c r="D32" s="3">
        <v>0.7</v>
      </c>
      <c r="E32" s="3">
        <v>0.7</v>
      </c>
      <c r="F32" s="3">
        <v>0.7</v>
      </c>
      <c r="G32" s="3">
        <v>0.7</v>
      </c>
      <c r="H32" s="3">
        <v>0.7</v>
      </c>
      <c r="I32" s="3">
        <v>0.7</v>
      </c>
      <c r="J32" s="3">
        <v>0.7</v>
      </c>
      <c r="K32" s="3">
        <v>0.7</v>
      </c>
      <c r="L32" s="3">
        <v>0.7</v>
      </c>
      <c r="M32" s="3">
        <v>0.7</v>
      </c>
      <c r="N32" s="3">
        <v>0.7</v>
      </c>
      <c r="O32" s="3">
        <v>0.7</v>
      </c>
      <c r="P32" s="3">
        <v>0.7</v>
      </c>
      <c r="Q32" s="3">
        <v>0.7</v>
      </c>
      <c r="R32" s="3">
        <v>0.7</v>
      </c>
      <c r="S32" s="3">
        <v>0.7</v>
      </c>
      <c r="T32" s="3">
        <v>0.7</v>
      </c>
      <c r="U32" s="3">
        <v>0.7</v>
      </c>
      <c r="V32" s="3">
        <v>0.7</v>
      </c>
      <c r="W32" s="3">
        <v>0.7</v>
      </c>
      <c r="X32" s="3">
        <v>0.7</v>
      </c>
      <c r="Y32" s="3">
        <v>0.7</v>
      </c>
      <c r="Z32" s="3">
        <v>0.7</v>
      </c>
      <c r="AA32" s="3">
        <v>0.7</v>
      </c>
      <c r="AB32" s="3">
        <v>0.7</v>
      </c>
      <c r="AC32" s="3">
        <v>0.7</v>
      </c>
      <c r="AD32" s="3">
        <v>0.7</v>
      </c>
      <c r="AE32" s="3">
        <v>0.7</v>
      </c>
      <c r="AF32" s="3">
        <v>0.7</v>
      </c>
      <c r="AG32" s="3">
        <v>0.7</v>
      </c>
      <c r="AH32" s="3">
        <v>0.7</v>
      </c>
      <c r="AI32" s="3">
        <v>0.7</v>
      </c>
      <c r="AJ32" s="3">
        <v>0.7</v>
      </c>
      <c r="AK32" s="3">
        <v>0.7</v>
      </c>
      <c r="AL32" s="3">
        <v>0.7</v>
      </c>
      <c r="AM32" s="3">
        <v>0.7</v>
      </c>
    </row>
    <row r="33" ht="14" customHeight="true" x14ac:dyDescent="0.15">
      <c r="A33" t="s">
        <v>209</v>
      </c>
      <c r="B33" s="3">
        <v>0.7</v>
      </c>
      <c r="C33" s="3">
        <v>0.7</v>
      </c>
      <c r="D33" s="3">
        <v>0.7</v>
      </c>
      <c r="E33" s="3">
        <v>0.7</v>
      </c>
      <c r="F33" s="3">
        <v>0.7</v>
      </c>
      <c r="G33" s="3">
        <v>0.7</v>
      </c>
      <c r="H33" s="3">
        <v>0.7</v>
      </c>
      <c r="I33" s="3">
        <v>0.7</v>
      </c>
      <c r="J33" s="3">
        <v>0.7</v>
      </c>
      <c r="K33" s="3">
        <v>0.7</v>
      </c>
      <c r="L33" s="3">
        <v>0.7</v>
      </c>
      <c r="M33" s="3">
        <v>0.7</v>
      </c>
      <c r="N33" s="3">
        <v>0.7</v>
      </c>
      <c r="O33" s="3">
        <v>0.7</v>
      </c>
      <c r="P33" s="3">
        <v>0.7</v>
      </c>
      <c r="Q33" s="3">
        <v>0.7</v>
      </c>
      <c r="R33" s="3">
        <v>0.7</v>
      </c>
      <c r="S33" s="3">
        <v>0.7</v>
      </c>
      <c r="T33" s="3">
        <v>0.7</v>
      </c>
      <c r="U33" s="3">
        <v>0.7</v>
      </c>
      <c r="V33" s="3">
        <v>0.7</v>
      </c>
      <c r="W33" s="3">
        <v>0.7</v>
      </c>
      <c r="X33" s="3">
        <v>0.7</v>
      </c>
      <c r="Y33" s="3">
        <v>0.7</v>
      </c>
      <c r="Z33" s="3">
        <v>0.7</v>
      </c>
      <c r="AA33" s="3">
        <v>0.7</v>
      </c>
      <c r="AB33" s="3">
        <v>0.7</v>
      </c>
      <c r="AC33" s="3">
        <v>0.7</v>
      </c>
      <c r="AD33" s="3">
        <v>0.7</v>
      </c>
      <c r="AE33" s="3">
        <v>0.7</v>
      </c>
      <c r="AF33" s="3">
        <v>0.7</v>
      </c>
      <c r="AG33" s="3">
        <v>0.7</v>
      </c>
      <c r="AH33" s="3">
        <v>0.7</v>
      </c>
      <c r="AI33" s="3">
        <v>0.7</v>
      </c>
      <c r="AJ33" s="3">
        <v>0.7</v>
      </c>
      <c r="AK33" s="3">
        <v>0.7</v>
      </c>
      <c r="AL33" s="3">
        <v>0.7</v>
      </c>
      <c r="AM33" s="3">
        <v>0.7</v>
      </c>
    </row>
    <row r="34" ht="14" customHeight="true" x14ac:dyDescent="0.15">
      <c r="A34" t="s">
        <v>210</v>
      </c>
      <c r="B34" s="3">
        <v>0.7</v>
      </c>
      <c r="C34" s="3">
        <v>0.7</v>
      </c>
      <c r="D34" s="3">
        <v>0.7</v>
      </c>
      <c r="E34" s="3">
        <v>0.7</v>
      </c>
      <c r="F34" s="3">
        <v>0.7</v>
      </c>
      <c r="G34" s="3">
        <v>0.7</v>
      </c>
      <c r="H34" s="3">
        <v>0.7</v>
      </c>
      <c r="I34" s="3">
        <v>0.7</v>
      </c>
      <c r="J34" s="3">
        <v>0.7</v>
      </c>
      <c r="K34" s="3">
        <v>0.7</v>
      </c>
      <c r="L34" s="3">
        <v>0.7</v>
      </c>
      <c r="M34" s="3">
        <v>0.7</v>
      </c>
      <c r="N34" s="3">
        <v>0.7</v>
      </c>
      <c r="O34" s="3">
        <v>0.7</v>
      </c>
      <c r="P34" s="3">
        <v>0.7</v>
      </c>
      <c r="Q34" s="3">
        <v>0.7</v>
      </c>
      <c r="R34" s="3">
        <v>0.7</v>
      </c>
      <c r="S34" s="3">
        <v>0.7</v>
      </c>
      <c r="T34" s="3">
        <v>0.7</v>
      </c>
      <c r="U34" s="3">
        <v>0.7</v>
      </c>
      <c r="V34" s="3">
        <v>0.7</v>
      </c>
      <c r="W34" s="3">
        <v>0.7</v>
      </c>
      <c r="X34" s="3">
        <v>0.7</v>
      </c>
      <c r="Y34" s="3">
        <v>0.7</v>
      </c>
      <c r="Z34" s="3">
        <v>0.7</v>
      </c>
      <c r="AA34" s="3">
        <v>0.7</v>
      </c>
      <c r="AB34" s="3">
        <v>0.7</v>
      </c>
      <c r="AC34" s="3">
        <v>0.7</v>
      </c>
      <c r="AD34" s="3">
        <v>0.7</v>
      </c>
      <c r="AE34" s="3">
        <v>0.7</v>
      </c>
      <c r="AF34" s="3">
        <v>0.7</v>
      </c>
      <c r="AG34" s="3">
        <v>0.7</v>
      </c>
      <c r="AH34" s="3">
        <v>0.7</v>
      </c>
      <c r="AI34" s="3">
        <v>0.7</v>
      </c>
      <c r="AJ34" s="3">
        <v>0.7</v>
      </c>
      <c r="AK34" s="3">
        <v>0.7</v>
      </c>
      <c r="AL34" s="3">
        <v>0.7</v>
      </c>
      <c r="AM34" s="3">
        <v>0.7</v>
      </c>
    </row>
    <row r="35" ht="14" customHeight="true" x14ac:dyDescent="0.15">
      <c r="A35" t="s">
        <v>211</v>
      </c>
      <c r="B35" s="3">
        <v>0.7</v>
      </c>
      <c r="C35" s="3">
        <v>0.7</v>
      </c>
      <c r="D35" s="3">
        <v>0.7</v>
      </c>
      <c r="E35" s="3">
        <v>0.7</v>
      </c>
      <c r="F35" s="3">
        <v>0.7</v>
      </c>
      <c r="G35" s="3">
        <v>0.7</v>
      </c>
      <c r="H35" s="3">
        <v>0.7</v>
      </c>
      <c r="I35" s="3">
        <v>0.7</v>
      </c>
      <c r="J35" s="3">
        <v>0.7</v>
      </c>
      <c r="K35" s="3">
        <v>0.7</v>
      </c>
      <c r="L35" s="3">
        <v>0.7</v>
      </c>
      <c r="M35" s="3">
        <v>0.7</v>
      </c>
      <c r="N35" s="3">
        <v>0.7</v>
      </c>
      <c r="O35" s="3">
        <v>0.7</v>
      </c>
      <c r="P35" s="3">
        <v>0.7</v>
      </c>
      <c r="Q35" s="3">
        <v>0.7</v>
      </c>
      <c r="R35" s="3">
        <v>0.7</v>
      </c>
      <c r="S35" s="3">
        <v>0.7</v>
      </c>
      <c r="T35" s="3">
        <v>0.7</v>
      </c>
      <c r="U35" s="3">
        <v>0.7</v>
      </c>
      <c r="V35" s="3">
        <v>0.7</v>
      </c>
      <c r="W35" s="3">
        <v>0.7</v>
      </c>
      <c r="X35" s="3">
        <v>0.7</v>
      </c>
      <c r="Y35" s="3">
        <v>0.7</v>
      </c>
      <c r="Z35" s="3">
        <v>0.7</v>
      </c>
      <c r="AA35" s="3">
        <v>0.7</v>
      </c>
      <c r="AB35" s="3">
        <v>0.7</v>
      </c>
      <c r="AC35" s="3">
        <v>0.7</v>
      </c>
      <c r="AD35" s="3">
        <v>0.7</v>
      </c>
      <c r="AE35" s="3">
        <v>0.7</v>
      </c>
      <c r="AF35" s="3">
        <v>0.7</v>
      </c>
      <c r="AG35" s="3">
        <v>0.7</v>
      </c>
      <c r="AH35" s="3">
        <v>0.7</v>
      </c>
      <c r="AI35" s="3">
        <v>0.7</v>
      </c>
      <c r="AJ35" s="3">
        <v>0.7</v>
      </c>
      <c r="AK35" s="3">
        <v>0.7</v>
      </c>
      <c r="AL35" s="3">
        <v>0.7</v>
      </c>
      <c r="AM35" s="3">
        <v>0.7</v>
      </c>
    </row>
    <row r="36" ht="14" customHeight="true" x14ac:dyDescent="0.15">
      <c r="A36" t="s">
        <v>212</v>
      </c>
      <c r="B36" s="3">
        <v>0.7</v>
      </c>
      <c r="C36" s="3">
        <v>0.7</v>
      </c>
      <c r="D36" s="3">
        <v>0.7</v>
      </c>
      <c r="E36" s="3">
        <v>0.7</v>
      </c>
      <c r="F36" s="3">
        <v>0.7</v>
      </c>
      <c r="G36" s="3">
        <v>0.7</v>
      </c>
      <c r="H36" s="3">
        <v>0.7</v>
      </c>
      <c r="I36" s="3">
        <v>0.7</v>
      </c>
      <c r="J36" s="3">
        <v>0.7</v>
      </c>
      <c r="K36" s="3">
        <v>0.7</v>
      </c>
      <c r="L36" s="3">
        <v>0.7</v>
      </c>
      <c r="M36" s="3">
        <v>0.7</v>
      </c>
      <c r="N36" s="3">
        <v>0.7</v>
      </c>
      <c r="O36" s="3">
        <v>0.7</v>
      </c>
      <c r="P36" s="3">
        <v>0.7</v>
      </c>
      <c r="Q36" s="3">
        <v>0.7</v>
      </c>
      <c r="R36" s="3">
        <v>0.7</v>
      </c>
      <c r="S36" s="3">
        <v>0.7</v>
      </c>
      <c r="T36" s="3">
        <v>0.7</v>
      </c>
      <c r="U36" s="3">
        <v>0.7</v>
      </c>
      <c r="V36" s="3">
        <v>0.7</v>
      </c>
      <c r="W36" s="3">
        <v>0.7</v>
      </c>
      <c r="X36" s="3">
        <v>0.7</v>
      </c>
      <c r="Y36" s="3">
        <v>0.7</v>
      </c>
      <c r="Z36" s="3">
        <v>0.7</v>
      </c>
      <c r="AA36" s="3">
        <v>0.7</v>
      </c>
      <c r="AB36" s="3">
        <v>0.7</v>
      </c>
      <c r="AC36" s="3">
        <v>0.7</v>
      </c>
      <c r="AD36" s="3">
        <v>0.7</v>
      </c>
      <c r="AE36" s="3">
        <v>0.7</v>
      </c>
      <c r="AF36" s="3">
        <v>0.7</v>
      </c>
      <c r="AG36" s="3">
        <v>0.7</v>
      </c>
      <c r="AH36" s="3">
        <v>0.7</v>
      </c>
      <c r="AI36" s="3">
        <v>0.7</v>
      </c>
      <c r="AJ36" s="3">
        <v>0.7</v>
      </c>
      <c r="AK36" s="3">
        <v>0.7</v>
      </c>
      <c r="AL36" s="3">
        <v>0.7</v>
      </c>
      <c r="AM36" s="3">
        <v>0.7</v>
      </c>
    </row>
    <row r="37" ht="14" customHeight="true" x14ac:dyDescent="0.15">
      <c r="A37" t="s">
        <v>213</v>
      </c>
      <c r="B37" s="3">
        <v>0.7</v>
      </c>
      <c r="C37" s="3">
        <v>0.7</v>
      </c>
      <c r="D37" s="3">
        <v>0.7</v>
      </c>
      <c r="E37" s="3">
        <v>0.7</v>
      </c>
      <c r="F37" s="3">
        <v>0.7</v>
      </c>
      <c r="G37" s="3">
        <v>0.7</v>
      </c>
      <c r="H37" s="3">
        <v>0.7</v>
      </c>
      <c r="I37" s="3">
        <v>0.7</v>
      </c>
      <c r="J37" s="3">
        <v>0.7</v>
      </c>
      <c r="K37" s="3">
        <v>0.7</v>
      </c>
      <c r="L37" s="3">
        <v>0.7</v>
      </c>
      <c r="M37" s="3">
        <v>0.7</v>
      </c>
      <c r="N37" s="3">
        <v>0.7</v>
      </c>
      <c r="O37" s="3">
        <v>0.7</v>
      </c>
      <c r="P37" s="3">
        <v>0.7</v>
      </c>
      <c r="Q37" s="3">
        <v>0.7</v>
      </c>
      <c r="R37" s="3">
        <v>0.7</v>
      </c>
      <c r="S37" s="3">
        <v>0.7</v>
      </c>
      <c r="T37" s="3">
        <v>0.7</v>
      </c>
      <c r="U37" s="3">
        <v>0.7</v>
      </c>
      <c r="V37" s="3">
        <v>0.7</v>
      </c>
      <c r="W37" s="3">
        <v>0.7</v>
      </c>
      <c r="X37" s="3">
        <v>0.7</v>
      </c>
      <c r="Y37" s="3">
        <v>0.7</v>
      </c>
      <c r="Z37" s="3">
        <v>0.7</v>
      </c>
      <c r="AA37" s="3">
        <v>0.7</v>
      </c>
      <c r="AB37" s="3">
        <v>0.7</v>
      </c>
      <c r="AC37" s="3">
        <v>0.7</v>
      </c>
      <c r="AD37" s="3">
        <v>0.7</v>
      </c>
      <c r="AE37" s="3">
        <v>0.7</v>
      </c>
      <c r="AF37" s="3">
        <v>0.7</v>
      </c>
      <c r="AG37" s="3">
        <v>0.7</v>
      </c>
      <c r="AH37" s="3">
        <v>0.7</v>
      </c>
      <c r="AI37" s="3">
        <v>0.7</v>
      </c>
      <c r="AJ37" s="3">
        <v>0.7</v>
      </c>
      <c r="AK37" s="3">
        <v>0.7</v>
      </c>
      <c r="AL37" s="3">
        <v>0.7</v>
      </c>
      <c r="AM37" s="3">
        <v>0.7</v>
      </c>
    </row>
    <row r="38" ht="14" customHeight="true" x14ac:dyDescent="0.15">
      <c r="A38" t="s">
        <v>215</v>
      </c>
      <c r="B38" s="3">
        <v>0.7</v>
      </c>
      <c r="C38" s="3">
        <v>0.7</v>
      </c>
      <c r="D38" s="3">
        <v>0.7</v>
      </c>
      <c r="E38" s="3">
        <v>0.7</v>
      </c>
      <c r="F38" s="3">
        <v>0.7</v>
      </c>
      <c r="G38" s="3">
        <v>0.7</v>
      </c>
      <c r="H38" s="3">
        <v>0.7</v>
      </c>
      <c r="I38" s="3">
        <v>0.7</v>
      </c>
      <c r="J38" s="3">
        <v>0.7</v>
      </c>
      <c r="K38" s="3">
        <v>0.7</v>
      </c>
      <c r="L38" s="3">
        <v>0.7</v>
      </c>
      <c r="M38" s="3">
        <v>0.7</v>
      </c>
      <c r="N38" s="3">
        <v>0.7</v>
      </c>
      <c r="O38" s="3">
        <v>0.7</v>
      </c>
      <c r="P38" s="3">
        <v>0.7</v>
      </c>
      <c r="Q38" s="3">
        <v>0.7</v>
      </c>
      <c r="R38" s="3">
        <v>0.7</v>
      </c>
      <c r="S38" s="3">
        <v>0.7</v>
      </c>
      <c r="T38" s="3">
        <v>0.7</v>
      </c>
      <c r="U38" s="3">
        <v>0.7</v>
      </c>
      <c r="V38" s="3">
        <v>0.7</v>
      </c>
      <c r="W38" s="3">
        <v>0.7</v>
      </c>
      <c r="X38" s="3">
        <v>0.7</v>
      </c>
      <c r="Y38" s="3">
        <v>0.7</v>
      </c>
      <c r="Z38" s="3">
        <v>0.7</v>
      </c>
      <c r="AA38" s="3">
        <v>0.7</v>
      </c>
      <c r="AB38" s="3">
        <v>0.7</v>
      </c>
      <c r="AC38" s="3">
        <v>0.7</v>
      </c>
      <c r="AD38" s="3">
        <v>0.7</v>
      </c>
      <c r="AE38" s="3">
        <v>0.7</v>
      </c>
      <c r="AF38" s="3">
        <v>0.7</v>
      </c>
      <c r="AG38" s="3">
        <v>0.7</v>
      </c>
      <c r="AH38" s="3">
        <v>0.7</v>
      </c>
      <c r="AI38" s="3">
        <v>0.7</v>
      </c>
      <c r="AJ38" s="3">
        <v>0.7</v>
      </c>
      <c r="AK38" s="3">
        <v>0.7</v>
      </c>
      <c r="AL38" s="3">
        <v>0.7</v>
      </c>
      <c r="AM38" s="3">
        <v>0.7</v>
      </c>
    </row>
    <row r="39" ht="14" customHeight="true" x14ac:dyDescent="0.15">
      <c r="A39" t="s">
        <v>216</v>
      </c>
      <c r="B39" s="3">
        <v>0.7</v>
      </c>
      <c r="C39" s="3">
        <v>0.7</v>
      </c>
      <c r="D39" s="3">
        <v>0.7</v>
      </c>
      <c r="E39" s="3">
        <v>0.7</v>
      </c>
      <c r="F39" s="3">
        <v>0.7</v>
      </c>
      <c r="G39" s="3">
        <v>0.7</v>
      </c>
      <c r="H39" s="3">
        <v>0.7</v>
      </c>
      <c r="I39" s="3">
        <v>0.7</v>
      </c>
      <c r="J39" s="3">
        <v>0.7</v>
      </c>
      <c r="K39" s="3">
        <v>0.7</v>
      </c>
      <c r="L39" s="3">
        <v>0.7</v>
      </c>
      <c r="M39" s="3">
        <v>0.7</v>
      </c>
      <c r="N39" s="3">
        <v>0.7</v>
      </c>
      <c r="O39" s="3">
        <v>0.7</v>
      </c>
      <c r="P39" s="3">
        <v>0.7</v>
      </c>
      <c r="Q39" s="3">
        <v>0.7</v>
      </c>
      <c r="R39" s="3">
        <v>0.7</v>
      </c>
      <c r="S39" s="3">
        <v>0.7</v>
      </c>
      <c r="T39" s="3">
        <v>0.7</v>
      </c>
      <c r="U39" s="3">
        <v>0.7</v>
      </c>
      <c r="V39" s="3">
        <v>0.7</v>
      </c>
      <c r="W39" s="3">
        <v>0.7</v>
      </c>
      <c r="X39" s="3">
        <v>0.7</v>
      </c>
      <c r="Y39" s="3">
        <v>0.7</v>
      </c>
      <c r="Z39" s="3">
        <v>0.7</v>
      </c>
      <c r="AA39" s="3">
        <v>0.7</v>
      </c>
      <c r="AB39" s="3">
        <v>0.7</v>
      </c>
      <c r="AC39" s="3">
        <v>0.7</v>
      </c>
      <c r="AD39" s="3">
        <v>0.7</v>
      </c>
      <c r="AE39" s="3">
        <v>0.7</v>
      </c>
      <c r="AF39" s="3">
        <v>0.7</v>
      </c>
      <c r="AG39" s="3">
        <v>0.7</v>
      </c>
      <c r="AH39" s="3">
        <v>0.7</v>
      </c>
      <c r="AI39" s="3">
        <v>0.7</v>
      </c>
      <c r="AJ39" s="3">
        <v>0.7</v>
      </c>
      <c r="AK39" s="3">
        <v>0.7</v>
      </c>
      <c r="AL39" s="3">
        <v>0.7</v>
      </c>
      <c r="AM39" s="3">
        <v>0.7</v>
      </c>
    </row>
    <row r="40" ht="14" customHeight="true" x14ac:dyDescent="0.15">
      <c r="A40" t="s">
        <v>218</v>
      </c>
      <c r="B40" s="3">
        <v>0.7</v>
      </c>
      <c r="C40" s="3">
        <v>0.7</v>
      </c>
      <c r="D40" s="3">
        <v>0.7</v>
      </c>
      <c r="E40" s="3">
        <v>0.7</v>
      </c>
      <c r="F40" s="3">
        <v>0.7</v>
      </c>
      <c r="G40" s="3">
        <v>0.7</v>
      </c>
      <c r="H40" s="3">
        <v>0.7</v>
      </c>
      <c r="I40" s="3">
        <v>0.7</v>
      </c>
      <c r="J40" s="3">
        <v>0.7</v>
      </c>
      <c r="K40" s="3">
        <v>0.7</v>
      </c>
      <c r="L40" s="3">
        <v>0.7</v>
      </c>
      <c r="M40" s="3">
        <v>0.7</v>
      </c>
      <c r="N40" s="3">
        <v>0.7</v>
      </c>
      <c r="O40" s="3">
        <v>0.7</v>
      </c>
      <c r="P40" s="3">
        <v>0.7</v>
      </c>
      <c r="Q40" s="3">
        <v>0.7</v>
      </c>
      <c r="R40" s="3">
        <v>0.7</v>
      </c>
      <c r="S40" s="3">
        <v>0.7</v>
      </c>
      <c r="T40" s="3">
        <v>0.7</v>
      </c>
      <c r="U40" s="3">
        <v>0.7</v>
      </c>
      <c r="V40" s="3">
        <v>0.7</v>
      </c>
      <c r="W40" s="3">
        <v>0.7</v>
      </c>
      <c r="X40" s="3">
        <v>0.7</v>
      </c>
      <c r="Y40" s="3">
        <v>0.7</v>
      </c>
      <c r="Z40" s="3">
        <v>0.7</v>
      </c>
      <c r="AA40" s="3">
        <v>0.7</v>
      </c>
      <c r="AB40" s="3">
        <v>0.7</v>
      </c>
      <c r="AC40" s="3">
        <v>0.7</v>
      </c>
      <c r="AD40" s="3">
        <v>0.7</v>
      </c>
      <c r="AE40" s="3">
        <v>0.7</v>
      </c>
      <c r="AF40" s="3">
        <v>0.7</v>
      </c>
      <c r="AG40" s="3">
        <v>0.7</v>
      </c>
      <c r="AH40" s="3">
        <v>0.7</v>
      </c>
      <c r="AI40" s="3">
        <v>0.7</v>
      </c>
      <c r="AJ40" s="3">
        <v>0.7</v>
      </c>
      <c r="AK40" s="3">
        <v>0.7</v>
      </c>
      <c r="AL40" s="3">
        <v>0.7</v>
      </c>
      <c r="AM40" s="3">
        <v>0.7</v>
      </c>
    </row>
    <row r="41" ht="14" customHeight="true" x14ac:dyDescent="0.15"/>
    <row r="42" ht="14" customHeight="true" x14ac:dyDescent="0.15"/>
    <row r="43" ht="14" customHeight="true" x14ac:dyDescent="0.15"/>
    <row r="44" ht="14" customHeight="true" x14ac:dyDescent="0.15">
      <c r="A44" t="s">
        <v>225</v>
      </c>
    </row>
    <row r="45" ht="14" customHeight="true" x14ac:dyDescent="0.15"/>
    <row r="46" ht="14" customHeight="true" x14ac:dyDescent="0.15"/>
    <row r="47" ht="14" customHeight="true" x14ac:dyDescent="0.15"/>
    <row r="48" ht="14" customHeight="true" x14ac:dyDescent="0.15"/>
    <row r="49" ht="14" customHeight="true" x14ac:dyDescent="0.15"/>
    <row r="50" ht="14" customHeight="true" x14ac:dyDescent="0.15"/>
    <row r="51" ht="14" customHeight="true" x14ac:dyDescent="0.15"/>
    <row r="52" ht="14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M52"/>
  <sheetViews>
    <sheetView workbookViewId="0">
      <selection activeCell="F13" sqref="F13"/>
    </sheetView>
  </sheetViews>
  <sheetFormatPr baseColWidth="10" defaultColWidth="8.83203125" defaultRowHeight="14" customHeight="true" x14ac:dyDescent="0.15"/>
  <cols>
    <col min="1" max="1" width="23" bestFit="true" customWidth="true"/>
  </cols>
  <sheetData>
    <row r="1" ht="13" x14ac:dyDescent="0.15">
      <c r="A1" s="2" t="s">
        <v>141</v>
      </c>
      <c r="B1" t="s">
        <v>178</v>
      </c>
      <c r="C1" t="s">
        <v>179</v>
      </c>
      <c r="D1" t="s">
        <v>180</v>
      </c>
      <c r="E1" t="s">
        <v>181</v>
      </c>
      <c r="F1" t="s">
        <v>182</v>
      </c>
      <c r="G1" t="s">
        <v>183</v>
      </c>
      <c r="H1" t="s">
        <v>184</v>
      </c>
      <c r="I1" t="s">
        <v>185</v>
      </c>
      <c r="J1" t="s">
        <v>186</v>
      </c>
      <c r="K1" t="s">
        <v>187</v>
      </c>
      <c r="L1" t="s">
        <v>188</v>
      </c>
      <c r="M1" t="s">
        <v>189</v>
      </c>
      <c r="N1" t="s">
        <v>190</v>
      </c>
      <c r="O1" t="s">
        <v>191</v>
      </c>
      <c r="P1" t="s">
        <v>192</v>
      </c>
      <c r="Q1" t="s">
        <v>193</v>
      </c>
      <c r="R1" t="s">
        <v>194</v>
      </c>
      <c r="S1" t="s">
        <v>195</v>
      </c>
      <c r="T1" t="s">
        <v>196</v>
      </c>
      <c r="U1" t="s">
        <v>197</v>
      </c>
      <c r="V1" t="s">
        <v>198</v>
      </c>
      <c r="W1" t="s">
        <v>199</v>
      </c>
      <c r="X1" t="s">
        <v>200</v>
      </c>
      <c r="Y1" t="s">
        <v>201</v>
      </c>
      <c r="Z1" t="s">
        <v>202</v>
      </c>
      <c r="AA1" t="s">
        <v>203</v>
      </c>
      <c r="AB1" t="s">
        <v>204</v>
      </c>
      <c r="AC1" t="s">
        <v>205</v>
      </c>
      <c r="AD1" t="s">
        <v>206</v>
      </c>
      <c r="AE1" t="s">
        <v>207</v>
      </c>
      <c r="AF1" t="s">
        <v>208</v>
      </c>
      <c r="AG1" t="s">
        <v>209</v>
      </c>
      <c r="AH1" t="s">
        <v>210</v>
      </c>
      <c r="AI1" t="s">
        <v>211</v>
      </c>
      <c r="AJ1" t="s">
        <v>212</v>
      </c>
      <c r="AK1" t="s">
        <v>213</v>
      </c>
      <c r="AL1" t="s">
        <v>215</v>
      </c>
      <c r="AM1" t="s">
        <v>216</v>
      </c>
    </row>
    <row r="2" ht="13" x14ac:dyDescent="0.15">
      <c r="A2" t="s">
        <v>178</v>
      </c>
      <c r="B2" s="3">
        <v>1</v>
      </c>
      <c r="C2" s="3">
        <v>1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3">
        <v>1</v>
      </c>
      <c r="T2" s="3">
        <v>1</v>
      </c>
      <c r="U2" s="3">
        <v>1</v>
      </c>
      <c r="V2" s="3">
        <v>1</v>
      </c>
      <c r="W2" s="3">
        <v>1</v>
      </c>
      <c r="X2" s="3">
        <v>1</v>
      </c>
      <c r="Y2" s="3">
        <v>1</v>
      </c>
      <c r="Z2" s="3">
        <v>1</v>
      </c>
      <c r="AA2" s="3">
        <v>1</v>
      </c>
      <c r="AB2" s="3">
        <v>1</v>
      </c>
      <c r="AC2" s="3">
        <v>1</v>
      </c>
      <c r="AD2" s="3">
        <v>1</v>
      </c>
      <c r="AE2" s="3">
        <v>1</v>
      </c>
      <c r="AF2" s="3">
        <v>1</v>
      </c>
      <c r="AG2" s="3">
        <v>1</v>
      </c>
      <c r="AH2" s="3">
        <v>1</v>
      </c>
      <c r="AI2" s="3">
        <v>1</v>
      </c>
      <c r="AJ2" s="3">
        <v>1</v>
      </c>
      <c r="AK2" s="3">
        <v>1</v>
      </c>
      <c r="AL2" s="3">
        <v>1</v>
      </c>
      <c r="AM2" s="3">
        <v>1</v>
      </c>
    </row>
    <row r="3" ht="13" x14ac:dyDescent="0.15">
      <c r="A3" t="s">
        <v>179</v>
      </c>
      <c r="B3" s="3">
        <v>1</v>
      </c>
      <c r="C3" s="3">
        <v>1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3">
        <v>1</v>
      </c>
      <c r="S3" s="3">
        <v>1</v>
      </c>
      <c r="T3" s="3">
        <v>1</v>
      </c>
      <c r="U3" s="3">
        <v>1</v>
      </c>
      <c r="V3" s="3">
        <v>1</v>
      </c>
      <c r="W3" s="3">
        <v>1</v>
      </c>
      <c r="X3" s="3">
        <v>1</v>
      </c>
      <c r="Y3" s="3">
        <v>1</v>
      </c>
      <c r="Z3" s="3">
        <v>1</v>
      </c>
      <c r="AA3" s="3">
        <v>1</v>
      </c>
      <c r="AB3" s="3">
        <v>1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3">
        <v>1</v>
      </c>
      <c r="AM3" s="3">
        <v>1</v>
      </c>
    </row>
    <row r="4" ht="13" x14ac:dyDescent="0.15">
      <c r="A4" t="s">
        <v>180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1</v>
      </c>
      <c r="U4" s="3">
        <v>1</v>
      </c>
      <c r="V4" s="3">
        <v>1</v>
      </c>
      <c r="W4" s="3">
        <v>1</v>
      </c>
      <c r="X4" s="3">
        <v>1</v>
      </c>
      <c r="Y4" s="3">
        <v>1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  <c r="AG4" s="3">
        <v>1</v>
      </c>
      <c r="AH4" s="3">
        <v>1</v>
      </c>
      <c r="AI4" s="3">
        <v>1</v>
      </c>
      <c r="AJ4" s="3">
        <v>1</v>
      </c>
      <c r="AK4" s="3">
        <v>1</v>
      </c>
      <c r="AL4" s="3">
        <v>1</v>
      </c>
      <c r="AM4" s="3">
        <v>1</v>
      </c>
    </row>
    <row r="5" ht="13" x14ac:dyDescent="0.15">
      <c r="A5" t="s">
        <v>181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</row>
    <row r="6" ht="13" x14ac:dyDescent="0.15">
      <c r="A6" t="s">
        <v>182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s="3">
        <v>1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1</v>
      </c>
      <c r="U6">
        <v>0</v>
      </c>
      <c r="V6">
        <v>0</v>
      </c>
      <c r="W6">
        <v>0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>
        <v>0</v>
      </c>
      <c r="AD6" s="3">
        <v>1</v>
      </c>
      <c r="AE6">
        <v>0</v>
      </c>
      <c r="AF6" s="3">
        <v>1</v>
      </c>
      <c r="AG6">
        <v>0</v>
      </c>
      <c r="AH6">
        <v>0</v>
      </c>
      <c r="AI6">
        <v>0</v>
      </c>
      <c r="AJ6">
        <v>0</v>
      </c>
      <c r="AK6" s="3">
        <v>1</v>
      </c>
      <c r="AL6">
        <v>0</v>
      </c>
      <c r="AM6">
        <v>0</v>
      </c>
    </row>
    <row r="7" ht="13" x14ac:dyDescent="0.15">
      <c r="A7" t="s">
        <v>183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s="3">
        <v>1</v>
      </c>
      <c r="K7">
        <v>0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1</v>
      </c>
      <c r="U7">
        <v>0</v>
      </c>
      <c r="V7">
        <v>0</v>
      </c>
      <c r="W7">
        <v>0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>
        <v>0</v>
      </c>
      <c r="AD7" s="3">
        <v>1</v>
      </c>
      <c r="AE7">
        <v>0</v>
      </c>
      <c r="AF7" s="3">
        <v>1</v>
      </c>
      <c r="AG7">
        <v>0</v>
      </c>
      <c r="AH7">
        <v>0</v>
      </c>
      <c r="AI7">
        <v>0</v>
      </c>
      <c r="AJ7">
        <v>0</v>
      </c>
      <c r="AK7" s="3">
        <v>1</v>
      </c>
      <c r="AL7">
        <v>0</v>
      </c>
      <c r="AM7">
        <v>0</v>
      </c>
    </row>
    <row r="8" ht="13" x14ac:dyDescent="0.15">
      <c r="A8" t="s">
        <v>184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s="3">
        <v>1</v>
      </c>
      <c r="K8">
        <v>0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1</v>
      </c>
      <c r="U8">
        <v>0</v>
      </c>
      <c r="V8">
        <v>0</v>
      </c>
      <c r="W8">
        <v>0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>
        <v>0</v>
      </c>
      <c r="AD8" s="3">
        <v>1</v>
      </c>
      <c r="AE8">
        <v>0</v>
      </c>
      <c r="AF8" s="3">
        <v>1</v>
      </c>
      <c r="AG8">
        <v>0</v>
      </c>
      <c r="AH8">
        <v>0</v>
      </c>
      <c r="AI8">
        <v>0</v>
      </c>
      <c r="AJ8">
        <v>0</v>
      </c>
      <c r="AK8" s="3">
        <v>1</v>
      </c>
      <c r="AL8">
        <v>0</v>
      </c>
      <c r="AM8">
        <v>0</v>
      </c>
    </row>
    <row r="9" ht="13" x14ac:dyDescent="0.15">
      <c r="A9" t="s">
        <v>185</v>
      </c>
      <c r="B9" s="3">
        <v>1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1</v>
      </c>
      <c r="I9" s="3">
        <v>1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1</v>
      </c>
      <c r="R9" s="3">
        <v>1</v>
      </c>
      <c r="S9" s="3">
        <v>1</v>
      </c>
      <c r="T9" s="3">
        <v>1</v>
      </c>
      <c r="U9" s="3">
        <v>1</v>
      </c>
      <c r="V9" s="3">
        <v>1</v>
      </c>
      <c r="W9" s="3">
        <v>1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 s="3">
        <v>1</v>
      </c>
      <c r="AK9" s="3">
        <v>1</v>
      </c>
      <c r="AL9" s="3">
        <v>1</v>
      </c>
      <c r="AM9" s="3">
        <v>1</v>
      </c>
    </row>
    <row r="10" ht="13" x14ac:dyDescent="0.15">
      <c r="A10" t="s">
        <v>186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1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1</v>
      </c>
      <c r="T10" s="3">
        <v>1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  <c r="Z10" s="3">
        <v>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 s="3">
        <v>1</v>
      </c>
      <c r="AK10" s="3">
        <v>1</v>
      </c>
      <c r="AL10" s="3">
        <v>1</v>
      </c>
      <c r="AM10" s="3">
        <v>1</v>
      </c>
    </row>
    <row r="11" ht="13" x14ac:dyDescent="0.15">
      <c r="A11" t="s">
        <v>187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  <c r="Z11" s="3">
        <v>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 s="3">
        <v>1</v>
      </c>
      <c r="AK11" s="3">
        <v>1</v>
      </c>
      <c r="AL11" s="3">
        <v>1</v>
      </c>
      <c r="AM11" s="3">
        <v>1</v>
      </c>
    </row>
    <row r="12" ht="13" x14ac:dyDescent="0.15">
      <c r="A12" t="s">
        <v>188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  <c r="P12" s="3">
        <v>1</v>
      </c>
      <c r="Q12" s="3">
        <v>1</v>
      </c>
      <c r="R12" s="3">
        <v>1</v>
      </c>
      <c r="S12" s="3">
        <v>1</v>
      </c>
      <c r="T12" s="3">
        <v>1</v>
      </c>
      <c r="U12" s="3">
        <v>1</v>
      </c>
      <c r="V12" s="3">
        <v>1</v>
      </c>
      <c r="W12" s="3">
        <v>1</v>
      </c>
      <c r="X12" s="3">
        <v>1</v>
      </c>
      <c r="Y12" s="3">
        <v>1</v>
      </c>
      <c r="Z12" s="3">
        <v>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 s="3">
        <v>1</v>
      </c>
      <c r="AK12" s="3">
        <v>1</v>
      </c>
      <c r="AL12" s="3">
        <v>1</v>
      </c>
      <c r="AM12" s="3">
        <v>1</v>
      </c>
    </row>
    <row r="13" ht="13" x14ac:dyDescent="0.15">
      <c r="A13" t="s">
        <v>189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>
        <v>1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  <c r="P13" s="3">
        <v>1</v>
      </c>
      <c r="Q13" s="3">
        <v>1</v>
      </c>
      <c r="R13" s="3">
        <v>1</v>
      </c>
      <c r="S13" s="3">
        <v>1</v>
      </c>
      <c r="T13" s="3">
        <v>1</v>
      </c>
      <c r="U13" s="3">
        <v>1</v>
      </c>
      <c r="V13" s="3">
        <v>1</v>
      </c>
      <c r="W13" s="3">
        <v>1</v>
      </c>
      <c r="X13" s="3">
        <v>1</v>
      </c>
      <c r="Y13" s="3">
        <v>1</v>
      </c>
      <c r="Z13" s="3">
        <v>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 s="3">
        <v>1</v>
      </c>
      <c r="AK13" s="3">
        <v>1</v>
      </c>
      <c r="AL13" s="3">
        <v>1</v>
      </c>
      <c r="AM13" s="3">
        <v>1</v>
      </c>
    </row>
    <row r="14" ht="13" x14ac:dyDescent="0.15">
      <c r="A14" t="s">
        <v>190</v>
      </c>
      <c r="B14" s="3">
        <v>1</v>
      </c>
      <c r="C14" s="3">
        <v>1</v>
      </c>
      <c r="D14" s="3">
        <v>1</v>
      </c>
      <c r="E14" s="3">
        <v>1</v>
      </c>
      <c r="F14" s="3">
        <v>1</v>
      </c>
      <c r="G14" s="3">
        <v>1</v>
      </c>
      <c r="H14" s="3">
        <v>1</v>
      </c>
      <c r="I14" s="3">
        <v>1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1</v>
      </c>
      <c r="Q14" s="3">
        <v>1</v>
      </c>
      <c r="R14" s="3">
        <v>1</v>
      </c>
      <c r="S14" s="3">
        <v>1</v>
      </c>
      <c r="T14" s="3">
        <v>1</v>
      </c>
      <c r="U14" s="3">
        <v>1</v>
      </c>
      <c r="V14" s="3">
        <v>1</v>
      </c>
      <c r="W14" s="3">
        <v>1</v>
      </c>
      <c r="X14" s="3">
        <v>1</v>
      </c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</row>
    <row r="15" ht="13" x14ac:dyDescent="0.15">
      <c r="A15" t="s">
        <v>191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 s="3">
        <v>1</v>
      </c>
      <c r="AK15" s="3">
        <v>1</v>
      </c>
      <c r="AL15" s="3">
        <v>1</v>
      </c>
      <c r="AM15" s="3">
        <v>1</v>
      </c>
    </row>
    <row r="16" ht="13" x14ac:dyDescent="0.15">
      <c r="A16" t="s">
        <v>192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1</v>
      </c>
      <c r="T16" s="3">
        <v>1</v>
      </c>
      <c r="U16" s="3">
        <v>1</v>
      </c>
      <c r="V16" s="3">
        <v>1</v>
      </c>
      <c r="W16" s="3">
        <v>1</v>
      </c>
      <c r="X16" s="3">
        <v>1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 s="3">
        <v>1</v>
      </c>
      <c r="AK16" s="3">
        <v>1</v>
      </c>
      <c r="AL16" s="3">
        <v>1</v>
      </c>
      <c r="AM16" s="3">
        <v>1</v>
      </c>
    </row>
    <row r="17" ht="13" x14ac:dyDescent="0.15">
      <c r="A17" t="s">
        <v>193</v>
      </c>
      <c r="B17" s="3">
        <v>1</v>
      </c>
      <c r="C17" s="3">
        <v>1</v>
      </c>
      <c r="D17" s="3">
        <v>1</v>
      </c>
      <c r="E17" s="3">
        <v>1</v>
      </c>
      <c r="F17" s="3">
        <v>1</v>
      </c>
      <c r="G17" s="3">
        <v>1</v>
      </c>
      <c r="H17" s="3">
        <v>1</v>
      </c>
      <c r="I17" s="3">
        <v>1</v>
      </c>
      <c r="J17" s="3">
        <v>1</v>
      </c>
      <c r="K17" s="3">
        <v>1</v>
      </c>
      <c r="L17" s="3">
        <v>1</v>
      </c>
      <c r="M17" s="3">
        <v>1</v>
      </c>
      <c r="N17" s="3">
        <v>1</v>
      </c>
      <c r="O17" s="3">
        <v>1</v>
      </c>
      <c r="P17" s="3">
        <v>1</v>
      </c>
      <c r="Q17" s="3">
        <v>1</v>
      </c>
      <c r="R17" s="3">
        <v>1</v>
      </c>
      <c r="S17" s="3">
        <v>1</v>
      </c>
      <c r="T17" s="3">
        <v>1</v>
      </c>
      <c r="U17" s="3">
        <v>1</v>
      </c>
      <c r="V17" s="3">
        <v>1</v>
      </c>
      <c r="W17" s="3">
        <v>1</v>
      </c>
      <c r="X17" s="3">
        <v>1</v>
      </c>
      <c r="Y17" s="3">
        <v>1</v>
      </c>
      <c r="Z17" s="3">
        <v>1</v>
      </c>
      <c r="AA17" s="3">
        <v>1</v>
      </c>
      <c r="AB17" s="3">
        <v>1</v>
      </c>
      <c r="AC17" s="3">
        <v>1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 s="3">
        <v>1</v>
      </c>
      <c r="AK17" s="3">
        <v>1</v>
      </c>
      <c r="AL17" s="3">
        <v>1</v>
      </c>
      <c r="AM17" s="3">
        <v>1</v>
      </c>
    </row>
    <row r="18" ht="13" x14ac:dyDescent="0.15">
      <c r="A18" t="s">
        <v>194</v>
      </c>
      <c r="B18" s="3">
        <v>1</v>
      </c>
      <c r="C18" s="3">
        <v>1</v>
      </c>
      <c r="D18" s="3">
        <v>1</v>
      </c>
      <c r="E18" s="3">
        <v>1</v>
      </c>
      <c r="F18" s="3">
        <v>1</v>
      </c>
      <c r="G18" s="3">
        <v>1</v>
      </c>
      <c r="H18" s="3">
        <v>1</v>
      </c>
      <c r="I18" s="3">
        <v>1</v>
      </c>
      <c r="J18" s="3">
        <v>1</v>
      </c>
      <c r="K18" s="3">
        <v>1</v>
      </c>
      <c r="L18" s="3">
        <v>1</v>
      </c>
      <c r="M18" s="3">
        <v>1</v>
      </c>
      <c r="N18" s="3">
        <v>1</v>
      </c>
      <c r="O18" s="3">
        <v>1</v>
      </c>
      <c r="P18" s="3">
        <v>1</v>
      </c>
      <c r="Q18" s="3">
        <v>1</v>
      </c>
      <c r="R18" s="3">
        <v>1</v>
      </c>
      <c r="S18" s="3">
        <v>1</v>
      </c>
      <c r="T18" s="3">
        <v>1</v>
      </c>
      <c r="U18" s="3">
        <v>1</v>
      </c>
      <c r="V18" s="3">
        <v>1</v>
      </c>
      <c r="W18" s="3">
        <v>1</v>
      </c>
      <c r="X18" s="3">
        <v>1</v>
      </c>
      <c r="Y18" s="3">
        <v>1</v>
      </c>
      <c r="Z18" s="3">
        <v>1</v>
      </c>
      <c r="AA18" s="3">
        <v>1</v>
      </c>
      <c r="AB18" s="3">
        <v>1</v>
      </c>
      <c r="AC18" s="3">
        <v>1</v>
      </c>
      <c r="AD18" s="3">
        <v>1</v>
      </c>
      <c r="AE18" s="3">
        <v>1</v>
      </c>
      <c r="AF18" s="3">
        <v>1</v>
      </c>
      <c r="AG18" s="3">
        <v>1</v>
      </c>
      <c r="AH18" s="3">
        <v>1</v>
      </c>
      <c r="AI18" s="3">
        <v>1</v>
      </c>
      <c r="AJ18" s="3">
        <v>1</v>
      </c>
      <c r="AK18" s="3">
        <v>1</v>
      </c>
      <c r="AL18" s="3">
        <v>1</v>
      </c>
      <c r="AM18" s="3">
        <v>1</v>
      </c>
    </row>
    <row r="19" ht="13" x14ac:dyDescent="0.15">
      <c r="A19" t="s">
        <v>195</v>
      </c>
      <c r="B19" s="3">
        <v>1</v>
      </c>
      <c r="C19" s="3">
        <v>1</v>
      </c>
      <c r="D19" s="3">
        <v>1</v>
      </c>
      <c r="E19" s="3">
        <v>1</v>
      </c>
      <c r="F19" s="3">
        <v>1</v>
      </c>
      <c r="G19" s="3">
        <v>1</v>
      </c>
      <c r="H19" s="3">
        <v>1</v>
      </c>
      <c r="I19" s="3">
        <v>1</v>
      </c>
      <c r="J19" s="3">
        <v>1</v>
      </c>
      <c r="K19" s="3">
        <v>1</v>
      </c>
      <c r="L19" s="3">
        <v>1</v>
      </c>
      <c r="M19" s="3">
        <v>1</v>
      </c>
      <c r="N19" s="3">
        <v>1</v>
      </c>
      <c r="O19" s="3">
        <v>1</v>
      </c>
      <c r="P19" s="3">
        <v>1</v>
      </c>
      <c r="Q19" s="3">
        <v>1</v>
      </c>
      <c r="R19" s="3">
        <v>1</v>
      </c>
      <c r="S19" s="3">
        <v>1</v>
      </c>
      <c r="T19" s="3">
        <v>1</v>
      </c>
      <c r="U19" s="3">
        <v>1</v>
      </c>
      <c r="V19" s="3">
        <v>1</v>
      </c>
      <c r="W19" s="3">
        <v>1</v>
      </c>
      <c r="X19" s="3">
        <v>1</v>
      </c>
      <c r="Y19" s="3">
        <v>1</v>
      </c>
      <c r="Z19" s="3">
        <v>1</v>
      </c>
      <c r="AA19" s="3">
        <v>1</v>
      </c>
      <c r="AB19" s="3">
        <v>1</v>
      </c>
      <c r="AC19" s="3">
        <v>1</v>
      </c>
      <c r="AD19" s="3">
        <v>1</v>
      </c>
      <c r="AE19" s="3">
        <v>1</v>
      </c>
      <c r="AF19" s="3">
        <v>1</v>
      </c>
      <c r="AG19" s="3">
        <v>1</v>
      </c>
      <c r="AH19" s="3">
        <v>1</v>
      </c>
      <c r="AI19" s="3">
        <v>1</v>
      </c>
      <c r="AJ19" s="3">
        <v>1</v>
      </c>
      <c r="AK19" s="3">
        <v>1</v>
      </c>
      <c r="AL19" s="3">
        <v>1</v>
      </c>
      <c r="AM19" s="3">
        <v>1</v>
      </c>
    </row>
    <row r="20" ht="13" x14ac:dyDescent="0.15">
      <c r="A20" t="s">
        <v>196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</v>
      </c>
      <c r="J20" s="3">
        <v>1</v>
      </c>
      <c r="K20" s="3">
        <v>1</v>
      </c>
      <c r="L20" s="3">
        <v>1</v>
      </c>
      <c r="M20" s="3">
        <v>1</v>
      </c>
      <c r="N20" s="3">
        <v>1</v>
      </c>
      <c r="O20" s="3">
        <v>1</v>
      </c>
      <c r="P20" s="3">
        <v>1</v>
      </c>
      <c r="Q20" s="3">
        <v>1</v>
      </c>
      <c r="R20" s="3">
        <v>1</v>
      </c>
      <c r="S20" s="3">
        <v>1</v>
      </c>
      <c r="T20" s="3">
        <v>1</v>
      </c>
      <c r="U20" s="3">
        <v>1</v>
      </c>
      <c r="V20" s="3">
        <v>1</v>
      </c>
      <c r="W20" s="3">
        <v>1</v>
      </c>
      <c r="X20" s="3">
        <v>1</v>
      </c>
      <c r="Y20" s="3">
        <v>1</v>
      </c>
      <c r="Z20" s="3">
        <v>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 s="3">
        <v>1</v>
      </c>
      <c r="AK20" s="3">
        <v>1</v>
      </c>
      <c r="AL20" s="3">
        <v>1</v>
      </c>
      <c r="AM20" s="3">
        <v>1</v>
      </c>
    </row>
    <row r="21" ht="13" x14ac:dyDescent="0.15">
      <c r="A21" t="s">
        <v>197</v>
      </c>
      <c r="B21" s="3">
        <v>1</v>
      </c>
      <c r="C21" s="3">
        <v>1</v>
      </c>
      <c r="D21" s="3">
        <v>1</v>
      </c>
      <c r="E21" s="3">
        <v>1</v>
      </c>
      <c r="F21" s="3">
        <v>1</v>
      </c>
      <c r="G21" s="3">
        <v>1</v>
      </c>
      <c r="H21" s="3">
        <v>1</v>
      </c>
      <c r="I21" s="3">
        <v>1</v>
      </c>
      <c r="J21" s="3">
        <v>1</v>
      </c>
      <c r="K21" s="3">
        <v>1</v>
      </c>
      <c r="L21" s="3">
        <v>1</v>
      </c>
      <c r="M21" s="3">
        <v>1</v>
      </c>
      <c r="N21" s="3">
        <v>1</v>
      </c>
      <c r="O21" s="3">
        <v>1</v>
      </c>
      <c r="P21" s="3">
        <v>1</v>
      </c>
      <c r="Q21" s="3">
        <v>1</v>
      </c>
      <c r="R21" s="3">
        <v>1</v>
      </c>
      <c r="S21" s="3">
        <v>1</v>
      </c>
      <c r="T21" s="3">
        <v>1</v>
      </c>
      <c r="U21" s="3">
        <v>1</v>
      </c>
      <c r="V21" s="3">
        <v>1</v>
      </c>
      <c r="W21" s="3">
        <v>1</v>
      </c>
      <c r="X21" s="3">
        <v>1</v>
      </c>
      <c r="Y21" s="3">
        <v>1</v>
      </c>
      <c r="Z21" s="3">
        <v>1</v>
      </c>
      <c r="AA21" s="3">
        <v>1</v>
      </c>
      <c r="AB21" s="3">
        <v>1</v>
      </c>
      <c r="AC21" s="3">
        <v>1</v>
      </c>
      <c r="AD21" s="3">
        <v>1</v>
      </c>
      <c r="AE21" s="3">
        <v>1</v>
      </c>
      <c r="AF21" s="3">
        <v>1</v>
      </c>
      <c r="AG21" s="3">
        <v>1</v>
      </c>
      <c r="AH21" s="3">
        <v>1</v>
      </c>
      <c r="AI21" s="3">
        <v>1</v>
      </c>
      <c r="AJ21" s="3">
        <v>1</v>
      </c>
      <c r="AK21" s="3">
        <v>1</v>
      </c>
      <c r="AL21" s="3">
        <v>1</v>
      </c>
      <c r="AM21" s="3">
        <v>1</v>
      </c>
    </row>
    <row r="22" ht="13" x14ac:dyDescent="0.15">
      <c r="A22" t="s">
        <v>198</v>
      </c>
      <c r="B22" s="3">
        <v>1</v>
      </c>
      <c r="C22" s="3">
        <v>1</v>
      </c>
      <c r="D22" s="3">
        <v>1</v>
      </c>
      <c r="E22" s="3">
        <v>1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K22" s="3">
        <v>1</v>
      </c>
      <c r="L22" s="3">
        <v>1</v>
      </c>
      <c r="M22" s="3">
        <v>1</v>
      </c>
      <c r="N22" s="3">
        <v>1</v>
      </c>
      <c r="O22" s="3">
        <v>1</v>
      </c>
      <c r="P22" s="3">
        <v>1</v>
      </c>
      <c r="Q22" s="3">
        <v>1</v>
      </c>
      <c r="R22" s="3">
        <v>1</v>
      </c>
      <c r="S22" s="3">
        <v>1</v>
      </c>
      <c r="T22" s="3">
        <v>1</v>
      </c>
      <c r="U22" s="3">
        <v>1</v>
      </c>
      <c r="V22" s="3">
        <v>1</v>
      </c>
      <c r="W22" s="3">
        <v>1</v>
      </c>
      <c r="X22" s="3">
        <v>1</v>
      </c>
      <c r="Y22" s="3">
        <v>1</v>
      </c>
      <c r="Z22" s="3">
        <v>1</v>
      </c>
      <c r="AA22" s="3">
        <v>1</v>
      </c>
      <c r="AB22" s="3">
        <v>1</v>
      </c>
      <c r="AC22" s="3">
        <v>1</v>
      </c>
      <c r="AD22" s="3">
        <v>1</v>
      </c>
      <c r="AE22" s="3">
        <v>1</v>
      </c>
      <c r="AF22" s="3">
        <v>1</v>
      </c>
      <c r="AG22" s="3">
        <v>1</v>
      </c>
      <c r="AH22" s="3">
        <v>1</v>
      </c>
      <c r="AI22" s="3">
        <v>1</v>
      </c>
      <c r="AJ22" s="3">
        <v>1</v>
      </c>
      <c r="AK22" s="3">
        <v>1</v>
      </c>
      <c r="AL22" s="3">
        <v>1</v>
      </c>
      <c r="AM22" s="3">
        <v>1</v>
      </c>
    </row>
    <row r="23" ht="13" x14ac:dyDescent="0.15">
      <c r="A23" t="s">
        <v>199</v>
      </c>
      <c r="B23" s="3">
        <v>1</v>
      </c>
      <c r="C23" s="3">
        <v>1</v>
      </c>
      <c r="D23" s="3">
        <v>1</v>
      </c>
      <c r="E23" s="3">
        <v>1</v>
      </c>
      <c r="F23" s="3">
        <v>1</v>
      </c>
      <c r="G23" s="3">
        <v>1</v>
      </c>
      <c r="H23" s="3">
        <v>1</v>
      </c>
      <c r="I23" s="3">
        <v>1</v>
      </c>
      <c r="J23" s="3">
        <v>1</v>
      </c>
      <c r="K23" s="3">
        <v>1</v>
      </c>
      <c r="L23" s="3">
        <v>1</v>
      </c>
      <c r="M23" s="3">
        <v>1</v>
      </c>
      <c r="N23" s="3">
        <v>1</v>
      </c>
      <c r="O23" s="3">
        <v>1</v>
      </c>
      <c r="P23" s="3">
        <v>1</v>
      </c>
      <c r="Q23" s="3">
        <v>1</v>
      </c>
      <c r="R23" s="3">
        <v>1</v>
      </c>
      <c r="S23" s="3">
        <v>1</v>
      </c>
      <c r="T23" s="3">
        <v>1</v>
      </c>
      <c r="U23" s="3">
        <v>1</v>
      </c>
      <c r="V23" s="3">
        <v>1</v>
      </c>
      <c r="W23" s="3">
        <v>1</v>
      </c>
      <c r="X23" s="3">
        <v>1</v>
      </c>
      <c r="Y23" s="3">
        <v>1</v>
      </c>
      <c r="Z23" s="3">
        <v>1</v>
      </c>
      <c r="AA23" s="3">
        <v>1</v>
      </c>
      <c r="AB23" s="3">
        <v>1</v>
      </c>
      <c r="AC23" s="3">
        <v>1</v>
      </c>
      <c r="AD23" s="3">
        <v>1</v>
      </c>
      <c r="AE23" s="3">
        <v>1</v>
      </c>
      <c r="AF23" s="3">
        <v>1</v>
      </c>
      <c r="AG23" s="3">
        <v>1</v>
      </c>
      <c r="AH23" s="3">
        <v>1</v>
      </c>
      <c r="AI23" s="3">
        <v>1</v>
      </c>
      <c r="AJ23" s="3">
        <v>1</v>
      </c>
      <c r="AK23" s="3">
        <v>1</v>
      </c>
      <c r="AL23" s="3">
        <v>1</v>
      </c>
      <c r="AM23" s="3">
        <v>1</v>
      </c>
    </row>
    <row r="24" ht="13" x14ac:dyDescent="0.15">
      <c r="A24" t="s">
        <v>200</v>
      </c>
      <c r="B24" s="3">
        <v>1</v>
      </c>
      <c r="C24" s="3">
        <v>1</v>
      </c>
      <c r="D24" s="3">
        <v>1</v>
      </c>
      <c r="E24" s="3">
        <v>1</v>
      </c>
      <c r="F24" s="3">
        <v>1</v>
      </c>
      <c r="G24" s="3">
        <v>1</v>
      </c>
      <c r="H24" s="3">
        <v>1</v>
      </c>
      <c r="I24" s="3">
        <v>1</v>
      </c>
      <c r="J24" s="3">
        <v>1</v>
      </c>
      <c r="K24" s="3">
        <v>1</v>
      </c>
      <c r="L24" s="3">
        <v>1</v>
      </c>
      <c r="M24" s="3">
        <v>1</v>
      </c>
      <c r="N24" s="3">
        <v>1</v>
      </c>
      <c r="O24" s="3">
        <v>1</v>
      </c>
      <c r="P24" s="3">
        <v>1</v>
      </c>
      <c r="Q24" s="3">
        <v>1</v>
      </c>
      <c r="R24" s="3">
        <v>1</v>
      </c>
      <c r="S24" s="3">
        <v>1</v>
      </c>
      <c r="T24" s="3">
        <v>1</v>
      </c>
      <c r="U24" s="3">
        <v>1</v>
      </c>
      <c r="V24" s="3">
        <v>1</v>
      </c>
      <c r="W24" s="3">
        <v>1</v>
      </c>
      <c r="X24" s="3">
        <v>1</v>
      </c>
      <c r="Y24" s="3">
        <v>1</v>
      </c>
      <c r="Z24" s="3">
        <v>1</v>
      </c>
      <c r="AA24" s="3">
        <v>1</v>
      </c>
      <c r="AB24" s="3">
        <v>1</v>
      </c>
      <c r="AC24" s="3">
        <v>1</v>
      </c>
      <c r="AD24" s="3">
        <v>1</v>
      </c>
      <c r="AE24" s="3">
        <v>1</v>
      </c>
      <c r="AF24" s="3">
        <v>1</v>
      </c>
      <c r="AG24" s="3">
        <v>1</v>
      </c>
      <c r="AH24" s="3">
        <v>1</v>
      </c>
      <c r="AI24" s="3">
        <v>1</v>
      </c>
      <c r="AJ24" s="3">
        <v>1</v>
      </c>
      <c r="AK24" s="3">
        <v>1</v>
      </c>
      <c r="AL24" s="3">
        <v>1</v>
      </c>
      <c r="AM24" s="3">
        <v>1</v>
      </c>
    </row>
    <row r="25" ht="13" x14ac:dyDescent="0.15">
      <c r="A25" t="s">
        <v>201</v>
      </c>
      <c r="B25" s="3">
        <v>1</v>
      </c>
      <c r="C25" s="3">
        <v>1</v>
      </c>
      <c r="D25" s="3">
        <v>1</v>
      </c>
      <c r="E25" s="3">
        <v>1</v>
      </c>
      <c r="F25" s="3">
        <v>1</v>
      </c>
      <c r="G25" s="3">
        <v>1</v>
      </c>
      <c r="H25" s="3">
        <v>1</v>
      </c>
      <c r="I25" s="3">
        <v>1</v>
      </c>
      <c r="J25" s="3">
        <v>1</v>
      </c>
      <c r="K25" s="3">
        <v>1</v>
      </c>
      <c r="L25" s="3">
        <v>1</v>
      </c>
      <c r="M25" s="3">
        <v>1</v>
      </c>
      <c r="N25" s="3">
        <v>1</v>
      </c>
      <c r="O25" s="3">
        <v>1</v>
      </c>
      <c r="P25" s="3">
        <v>1</v>
      </c>
      <c r="Q25" s="3">
        <v>1</v>
      </c>
      <c r="R25" s="3">
        <v>1</v>
      </c>
      <c r="S25" s="3">
        <v>1</v>
      </c>
      <c r="T25" s="3">
        <v>1</v>
      </c>
      <c r="U25" s="3">
        <v>1</v>
      </c>
      <c r="V25" s="3">
        <v>1</v>
      </c>
      <c r="W25" s="3">
        <v>1</v>
      </c>
      <c r="X25" s="3">
        <v>1</v>
      </c>
      <c r="Y25" s="3">
        <v>1</v>
      </c>
      <c r="Z25" s="3">
        <v>1</v>
      </c>
      <c r="AA25" s="3">
        <v>1</v>
      </c>
      <c r="AB25" s="3">
        <v>1</v>
      </c>
      <c r="AC25" s="3">
        <v>1</v>
      </c>
      <c r="AD25" s="3">
        <v>1</v>
      </c>
      <c r="AE25" s="3">
        <v>1</v>
      </c>
      <c r="AF25" s="3">
        <v>1</v>
      </c>
      <c r="AG25" s="3">
        <v>1</v>
      </c>
      <c r="AH25" s="3">
        <v>1</v>
      </c>
      <c r="AI25" s="3">
        <v>1</v>
      </c>
      <c r="AJ25" s="3">
        <v>1</v>
      </c>
      <c r="AK25" s="3">
        <v>1</v>
      </c>
      <c r="AL25" s="3">
        <v>1</v>
      </c>
      <c r="AM25" s="3">
        <v>1</v>
      </c>
    </row>
    <row r="26" ht="13" x14ac:dyDescent="0.15">
      <c r="A26" t="s">
        <v>202</v>
      </c>
      <c r="B26" s="3">
        <v>1</v>
      </c>
      <c r="C26" s="3">
        <v>1</v>
      </c>
      <c r="D26" s="3">
        <v>1</v>
      </c>
      <c r="E26" s="3">
        <v>1</v>
      </c>
      <c r="F26" s="3">
        <v>1</v>
      </c>
      <c r="G26" s="3">
        <v>1</v>
      </c>
      <c r="H26" s="3">
        <v>1</v>
      </c>
      <c r="I26" s="3">
        <v>1</v>
      </c>
      <c r="J26" s="3">
        <v>1</v>
      </c>
      <c r="K26" s="3">
        <v>1</v>
      </c>
      <c r="L26" s="3">
        <v>1</v>
      </c>
      <c r="M26" s="3">
        <v>1</v>
      </c>
      <c r="N26" s="3">
        <v>1</v>
      </c>
      <c r="O26" s="3">
        <v>1</v>
      </c>
      <c r="P26" s="3">
        <v>1</v>
      </c>
      <c r="Q26" s="3">
        <v>1</v>
      </c>
      <c r="R26" s="3">
        <v>1</v>
      </c>
      <c r="S26" s="3">
        <v>1</v>
      </c>
      <c r="T26" s="3">
        <v>1</v>
      </c>
      <c r="U26" s="3">
        <v>1</v>
      </c>
      <c r="V26" s="3">
        <v>1</v>
      </c>
      <c r="W26" s="3">
        <v>1</v>
      </c>
      <c r="X26" s="3">
        <v>1</v>
      </c>
      <c r="Y26" s="3">
        <v>1</v>
      </c>
      <c r="Z26" s="3">
        <v>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1</v>
      </c>
      <c r="AI26" s="3">
        <v>1</v>
      </c>
      <c r="AJ26" s="3">
        <v>1</v>
      </c>
      <c r="AK26" s="3">
        <v>1</v>
      </c>
      <c r="AL26" s="3">
        <v>1</v>
      </c>
      <c r="AM26" s="3">
        <v>1</v>
      </c>
    </row>
    <row r="27" ht="13" x14ac:dyDescent="0.15">
      <c r="A27" t="s">
        <v>203</v>
      </c>
      <c r="B27" s="3">
        <v>1</v>
      </c>
      <c r="C27" s="3">
        <v>1</v>
      </c>
      <c r="D27" s="3">
        <v>1</v>
      </c>
      <c r="E27" s="3">
        <v>1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K27" s="3">
        <v>1</v>
      </c>
      <c r="L27" s="3">
        <v>1</v>
      </c>
      <c r="M27" s="3">
        <v>1</v>
      </c>
      <c r="N27" s="3">
        <v>1</v>
      </c>
      <c r="O27" s="3">
        <v>1</v>
      </c>
      <c r="P27" s="3">
        <v>1</v>
      </c>
      <c r="Q27" s="3">
        <v>1</v>
      </c>
      <c r="R27" s="3">
        <v>1</v>
      </c>
      <c r="S27" s="3">
        <v>1</v>
      </c>
      <c r="T27" s="3">
        <v>1</v>
      </c>
      <c r="U27" s="3">
        <v>1</v>
      </c>
      <c r="V27" s="3">
        <v>1</v>
      </c>
      <c r="W27" s="3">
        <v>1</v>
      </c>
      <c r="X27" s="3">
        <v>1</v>
      </c>
      <c r="Y27" s="3">
        <v>1</v>
      </c>
      <c r="Z27" s="3">
        <v>1</v>
      </c>
      <c r="AA27" s="3">
        <v>1</v>
      </c>
      <c r="AB27" s="3">
        <v>1</v>
      </c>
      <c r="AC27" s="3">
        <v>1</v>
      </c>
      <c r="AD27" s="3">
        <v>1</v>
      </c>
      <c r="AE27" s="3">
        <v>1</v>
      </c>
      <c r="AF27" s="3">
        <v>1</v>
      </c>
      <c r="AG27" s="3">
        <v>1</v>
      </c>
      <c r="AH27" s="3">
        <v>1</v>
      </c>
      <c r="AI27" s="3">
        <v>1</v>
      </c>
      <c r="AJ27" s="3">
        <v>1</v>
      </c>
      <c r="AK27" s="3">
        <v>1</v>
      </c>
      <c r="AL27" s="3">
        <v>1</v>
      </c>
      <c r="AM27" s="3">
        <v>1</v>
      </c>
    </row>
    <row r="28" ht="13" x14ac:dyDescent="0.15">
      <c r="A28" t="s">
        <v>204</v>
      </c>
      <c r="B28" s="3">
        <v>1</v>
      </c>
      <c r="C28" s="3">
        <v>1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1</v>
      </c>
      <c r="J28" s="3">
        <v>1</v>
      </c>
      <c r="K28" s="3">
        <v>1</v>
      </c>
      <c r="L28" s="3">
        <v>1</v>
      </c>
      <c r="M28" s="3">
        <v>1</v>
      </c>
      <c r="N28" s="3">
        <v>1</v>
      </c>
      <c r="O28" s="3">
        <v>1</v>
      </c>
      <c r="P28" s="3">
        <v>1</v>
      </c>
      <c r="Q28" s="3">
        <v>1</v>
      </c>
      <c r="R28" s="3">
        <v>1</v>
      </c>
      <c r="S28" s="3">
        <v>1</v>
      </c>
      <c r="T28" s="3">
        <v>1</v>
      </c>
      <c r="U28" s="3">
        <v>1</v>
      </c>
      <c r="V28" s="3">
        <v>1</v>
      </c>
      <c r="W28" s="3">
        <v>1</v>
      </c>
      <c r="X28" s="3">
        <v>1</v>
      </c>
      <c r="Y28" s="3">
        <v>1</v>
      </c>
      <c r="Z28" s="3">
        <v>1</v>
      </c>
      <c r="AA28" s="3">
        <v>1</v>
      </c>
      <c r="AB28" s="3">
        <v>1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  <c r="AH28" s="3">
        <v>1</v>
      </c>
      <c r="AI28" s="3">
        <v>1</v>
      </c>
      <c r="AJ28" s="3">
        <v>1</v>
      </c>
      <c r="AK28" s="3">
        <v>1</v>
      </c>
      <c r="AL28" s="3">
        <v>1</v>
      </c>
      <c r="AM28" s="3">
        <v>1</v>
      </c>
    </row>
    <row r="29" ht="13" x14ac:dyDescent="0.15">
      <c r="A29" t="s">
        <v>205</v>
      </c>
      <c r="B29" s="3">
        <v>1</v>
      </c>
      <c r="C29" s="3">
        <v>1</v>
      </c>
      <c r="D29" s="3">
        <v>1</v>
      </c>
      <c r="E29" s="3">
        <v>1</v>
      </c>
      <c r="F29" s="3">
        <v>1</v>
      </c>
      <c r="G29" s="3">
        <v>1</v>
      </c>
      <c r="H29" s="3">
        <v>1</v>
      </c>
      <c r="I29" s="3">
        <v>1</v>
      </c>
      <c r="J29" s="3">
        <v>1</v>
      </c>
      <c r="K29" s="3">
        <v>1</v>
      </c>
      <c r="L29" s="3">
        <v>1</v>
      </c>
      <c r="M29" s="3">
        <v>1</v>
      </c>
      <c r="N29" s="3">
        <v>1</v>
      </c>
      <c r="O29" s="3">
        <v>1</v>
      </c>
      <c r="P29" s="3">
        <v>1</v>
      </c>
      <c r="Q29" s="3">
        <v>1</v>
      </c>
      <c r="R29" s="3">
        <v>1</v>
      </c>
      <c r="S29" s="3">
        <v>1</v>
      </c>
      <c r="T29" s="3">
        <v>1</v>
      </c>
      <c r="U29" s="3">
        <v>1</v>
      </c>
      <c r="V29" s="3">
        <v>1</v>
      </c>
      <c r="W29" s="3">
        <v>1</v>
      </c>
      <c r="X29" s="3">
        <v>1</v>
      </c>
      <c r="Y29" s="3">
        <v>1</v>
      </c>
      <c r="Z29" s="3">
        <v>1</v>
      </c>
      <c r="AA29" s="3">
        <v>1</v>
      </c>
      <c r="AB29" s="3">
        <v>1</v>
      </c>
      <c r="AC29" s="3">
        <v>1</v>
      </c>
      <c r="AD29" s="3">
        <v>1</v>
      </c>
      <c r="AE29" s="3">
        <v>1</v>
      </c>
      <c r="AF29" s="3">
        <v>1</v>
      </c>
      <c r="AG29" s="3">
        <v>1</v>
      </c>
      <c r="AH29" s="3">
        <v>1</v>
      </c>
      <c r="AI29" s="3">
        <v>1</v>
      </c>
      <c r="AJ29" s="3">
        <v>1</v>
      </c>
      <c r="AK29" s="3">
        <v>1</v>
      </c>
      <c r="AL29" s="3">
        <v>1</v>
      </c>
      <c r="AM29" s="3">
        <v>1</v>
      </c>
    </row>
    <row r="30" ht="13" x14ac:dyDescent="0.15">
      <c r="A30" t="s">
        <v>206</v>
      </c>
      <c r="B30" s="3">
        <v>1</v>
      </c>
      <c r="C30" s="3">
        <v>1</v>
      </c>
      <c r="D30" s="3">
        <v>1</v>
      </c>
      <c r="E30" s="3">
        <v>1</v>
      </c>
      <c r="F30" s="3">
        <v>1</v>
      </c>
      <c r="G30" s="3">
        <v>1</v>
      </c>
      <c r="H30" s="3">
        <v>1</v>
      </c>
      <c r="I30" s="3">
        <v>1</v>
      </c>
      <c r="J30" s="3">
        <v>1</v>
      </c>
      <c r="K30" s="3">
        <v>1</v>
      </c>
      <c r="L30" s="3">
        <v>1</v>
      </c>
      <c r="M30" s="3">
        <v>1</v>
      </c>
      <c r="N30" s="3">
        <v>1</v>
      </c>
      <c r="O30" s="3">
        <v>1</v>
      </c>
      <c r="P30" s="3">
        <v>1</v>
      </c>
      <c r="Q30" s="3">
        <v>1</v>
      </c>
      <c r="R30" s="3">
        <v>1</v>
      </c>
      <c r="S30" s="3">
        <v>1</v>
      </c>
      <c r="T30" s="3">
        <v>1</v>
      </c>
      <c r="U30" s="3">
        <v>1</v>
      </c>
      <c r="V30" s="3">
        <v>1</v>
      </c>
      <c r="W30" s="3">
        <v>1</v>
      </c>
      <c r="X30" s="3">
        <v>1</v>
      </c>
      <c r="Y30" s="3">
        <v>1</v>
      </c>
      <c r="Z30" s="3">
        <v>1</v>
      </c>
      <c r="AA30" s="3">
        <v>1</v>
      </c>
      <c r="AB30" s="3">
        <v>1</v>
      </c>
      <c r="AC30" s="3">
        <v>1</v>
      </c>
      <c r="AD30" s="3">
        <v>1</v>
      </c>
      <c r="AE30" s="3">
        <v>1</v>
      </c>
      <c r="AF30" s="3">
        <v>1</v>
      </c>
      <c r="AG30" s="3">
        <v>1</v>
      </c>
      <c r="AH30" s="3">
        <v>1</v>
      </c>
      <c r="AI30" s="3">
        <v>1</v>
      </c>
      <c r="AJ30" s="3">
        <v>1</v>
      </c>
      <c r="AK30" s="3">
        <v>1</v>
      </c>
      <c r="AL30" s="3">
        <v>1</v>
      </c>
      <c r="AM30" s="3">
        <v>1</v>
      </c>
    </row>
    <row r="31" ht="13" x14ac:dyDescent="0.15">
      <c r="A31" t="s">
        <v>207</v>
      </c>
      <c r="B31" s="3">
        <v>1</v>
      </c>
      <c r="C31" s="3">
        <v>1</v>
      </c>
      <c r="D31" s="3">
        <v>1</v>
      </c>
      <c r="E31" s="3">
        <v>1</v>
      </c>
      <c r="F31" s="3">
        <v>1</v>
      </c>
      <c r="G31" s="3">
        <v>1</v>
      </c>
      <c r="H31" s="3">
        <v>1</v>
      </c>
      <c r="I31" s="3">
        <v>1</v>
      </c>
      <c r="J31" s="3">
        <v>1</v>
      </c>
      <c r="K31" s="3">
        <v>1</v>
      </c>
      <c r="L31" s="3">
        <v>1</v>
      </c>
      <c r="M31" s="3">
        <v>1</v>
      </c>
      <c r="N31" s="3">
        <v>1</v>
      </c>
      <c r="O31" s="3">
        <v>1</v>
      </c>
      <c r="P31" s="3">
        <v>1</v>
      </c>
      <c r="Q31" s="3">
        <v>1</v>
      </c>
      <c r="R31" s="3">
        <v>1</v>
      </c>
      <c r="S31" s="3">
        <v>1</v>
      </c>
      <c r="T31" s="3">
        <v>1</v>
      </c>
      <c r="U31" s="3">
        <v>1</v>
      </c>
      <c r="V31" s="3">
        <v>1</v>
      </c>
      <c r="W31" s="3">
        <v>1</v>
      </c>
      <c r="X31" s="3">
        <v>1</v>
      </c>
      <c r="Y31" s="3">
        <v>1</v>
      </c>
      <c r="Z31" s="3">
        <v>1</v>
      </c>
      <c r="AA31" s="3">
        <v>1</v>
      </c>
      <c r="AB31" s="3">
        <v>1</v>
      </c>
      <c r="AC31" s="3">
        <v>1</v>
      </c>
      <c r="AD31" s="3">
        <v>1</v>
      </c>
      <c r="AE31" s="3">
        <v>1</v>
      </c>
      <c r="AF31" s="3">
        <v>1</v>
      </c>
      <c r="AG31" s="3">
        <v>1</v>
      </c>
      <c r="AH31" s="3">
        <v>1</v>
      </c>
      <c r="AI31" s="3">
        <v>1</v>
      </c>
      <c r="AJ31" s="3">
        <v>1</v>
      </c>
      <c r="AK31" s="3">
        <v>1</v>
      </c>
      <c r="AL31" s="3">
        <v>1</v>
      </c>
      <c r="AM31" s="3">
        <v>1</v>
      </c>
    </row>
    <row r="32" ht="13" x14ac:dyDescent="0.15">
      <c r="A32" t="s">
        <v>208</v>
      </c>
      <c r="B32" s="3">
        <v>1</v>
      </c>
      <c r="C32" s="3">
        <v>1</v>
      </c>
      <c r="D32" s="3">
        <v>1</v>
      </c>
      <c r="E32" s="3">
        <v>1</v>
      </c>
      <c r="F32" s="3">
        <v>1</v>
      </c>
      <c r="G32" s="3">
        <v>1</v>
      </c>
      <c r="H32" s="3">
        <v>1</v>
      </c>
      <c r="I32" s="3">
        <v>1</v>
      </c>
      <c r="J32" s="3">
        <v>1</v>
      </c>
      <c r="K32" s="3">
        <v>1</v>
      </c>
      <c r="L32" s="3">
        <v>1</v>
      </c>
      <c r="M32" s="3">
        <v>1</v>
      </c>
      <c r="N32" s="3">
        <v>1</v>
      </c>
      <c r="O32" s="3">
        <v>1</v>
      </c>
      <c r="P32" s="3">
        <v>1</v>
      </c>
      <c r="Q32" s="3">
        <v>1</v>
      </c>
      <c r="R32" s="3">
        <v>1</v>
      </c>
      <c r="S32" s="3">
        <v>1</v>
      </c>
      <c r="T32" s="3">
        <v>1</v>
      </c>
      <c r="U32" s="3">
        <v>1</v>
      </c>
      <c r="V32" s="3">
        <v>1</v>
      </c>
      <c r="W32" s="3">
        <v>1</v>
      </c>
      <c r="X32" s="3">
        <v>1</v>
      </c>
      <c r="Y32" s="3">
        <v>1</v>
      </c>
      <c r="Z32" s="3">
        <v>1</v>
      </c>
      <c r="AA32" s="3">
        <v>1</v>
      </c>
      <c r="AB32" s="3">
        <v>1</v>
      </c>
      <c r="AC32" s="3">
        <v>1</v>
      </c>
      <c r="AD32" s="3">
        <v>1</v>
      </c>
      <c r="AE32" s="3">
        <v>1</v>
      </c>
      <c r="AF32" s="3">
        <v>1</v>
      </c>
      <c r="AG32" s="3">
        <v>1</v>
      </c>
      <c r="AH32" s="3">
        <v>1</v>
      </c>
      <c r="AI32" s="3">
        <v>1</v>
      </c>
      <c r="AJ32" s="3">
        <v>1</v>
      </c>
      <c r="AK32" s="3">
        <v>1</v>
      </c>
      <c r="AL32" s="3">
        <v>1</v>
      </c>
      <c r="AM32" s="3">
        <v>1</v>
      </c>
    </row>
    <row r="33" ht="13" x14ac:dyDescent="0.15">
      <c r="A33" t="s">
        <v>209</v>
      </c>
      <c r="B33" s="3">
        <v>1</v>
      </c>
      <c r="C33" s="3">
        <v>1</v>
      </c>
      <c r="D33" s="3">
        <v>1</v>
      </c>
      <c r="E33" s="3">
        <v>1</v>
      </c>
      <c r="F33" s="3">
        <v>1</v>
      </c>
      <c r="G33" s="3">
        <v>1</v>
      </c>
      <c r="H33" s="3">
        <v>1</v>
      </c>
      <c r="I33" s="3">
        <v>1</v>
      </c>
      <c r="J33" s="3">
        <v>1</v>
      </c>
      <c r="K33" s="3">
        <v>1</v>
      </c>
      <c r="L33" s="3">
        <v>1</v>
      </c>
      <c r="M33" s="3">
        <v>1</v>
      </c>
      <c r="N33" s="3">
        <v>1</v>
      </c>
      <c r="O33" s="3">
        <v>1</v>
      </c>
      <c r="P33" s="3">
        <v>1</v>
      </c>
      <c r="Q33" s="3">
        <v>1</v>
      </c>
      <c r="R33" s="3">
        <v>1</v>
      </c>
      <c r="S33" s="3">
        <v>1</v>
      </c>
      <c r="T33" s="3">
        <v>1</v>
      </c>
      <c r="U33" s="3">
        <v>1</v>
      </c>
      <c r="V33" s="3">
        <v>1</v>
      </c>
      <c r="W33" s="3">
        <v>1</v>
      </c>
      <c r="X33" s="3">
        <v>1</v>
      </c>
      <c r="Y33" s="3">
        <v>1</v>
      </c>
      <c r="Z33" s="3">
        <v>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  <c r="AH33" s="3">
        <v>1</v>
      </c>
      <c r="AI33" s="3">
        <v>1</v>
      </c>
      <c r="AJ33" s="3">
        <v>1</v>
      </c>
      <c r="AK33" s="3">
        <v>1</v>
      </c>
      <c r="AL33" s="3">
        <v>1</v>
      </c>
      <c r="AM33" s="3">
        <v>1</v>
      </c>
    </row>
    <row r="34" ht="13" x14ac:dyDescent="0.15">
      <c r="A34" t="s">
        <v>210</v>
      </c>
      <c r="B34" s="3">
        <v>1</v>
      </c>
      <c r="C34" s="3">
        <v>1</v>
      </c>
      <c r="D34" s="3">
        <v>1</v>
      </c>
      <c r="E34" s="3">
        <v>1</v>
      </c>
      <c r="F34" s="3">
        <v>1</v>
      </c>
      <c r="G34" s="3">
        <v>1</v>
      </c>
      <c r="H34" s="3">
        <v>1</v>
      </c>
      <c r="I34" s="3">
        <v>1</v>
      </c>
      <c r="J34" s="3">
        <v>1</v>
      </c>
      <c r="K34" s="3">
        <v>1</v>
      </c>
      <c r="L34" s="3">
        <v>1</v>
      </c>
      <c r="M34" s="3">
        <v>1</v>
      </c>
      <c r="N34" s="3">
        <v>1</v>
      </c>
      <c r="O34" s="3">
        <v>1</v>
      </c>
      <c r="P34" s="3">
        <v>1</v>
      </c>
      <c r="Q34" s="3">
        <v>1</v>
      </c>
      <c r="R34" s="3">
        <v>1</v>
      </c>
      <c r="S34" s="3">
        <v>1</v>
      </c>
      <c r="T34" s="3">
        <v>1</v>
      </c>
      <c r="U34" s="3">
        <v>1</v>
      </c>
      <c r="V34" s="3">
        <v>1</v>
      </c>
      <c r="W34" s="3">
        <v>1</v>
      </c>
      <c r="X34" s="3">
        <v>1</v>
      </c>
      <c r="Y34" s="3">
        <v>1</v>
      </c>
      <c r="Z34" s="3">
        <v>1</v>
      </c>
      <c r="AA34" s="3">
        <v>1</v>
      </c>
      <c r="AB34" s="3">
        <v>1</v>
      </c>
      <c r="AC34" s="3">
        <v>1</v>
      </c>
      <c r="AD34" s="3">
        <v>1</v>
      </c>
      <c r="AE34" s="3">
        <v>1</v>
      </c>
      <c r="AF34" s="3">
        <v>1</v>
      </c>
      <c r="AG34" s="3">
        <v>1</v>
      </c>
      <c r="AH34" s="3">
        <v>1</v>
      </c>
      <c r="AI34" s="3">
        <v>1</v>
      </c>
      <c r="AJ34" s="3">
        <v>1</v>
      </c>
      <c r="AK34" s="3">
        <v>1</v>
      </c>
      <c r="AL34" s="3">
        <v>1</v>
      </c>
      <c r="AM34" s="3">
        <v>1</v>
      </c>
    </row>
    <row r="35" ht="13" x14ac:dyDescent="0.15">
      <c r="A35" t="s">
        <v>211</v>
      </c>
      <c r="B35" s="3">
        <v>1</v>
      </c>
      <c r="C35" s="3">
        <v>1</v>
      </c>
      <c r="D35" s="3">
        <v>1</v>
      </c>
      <c r="E35" s="3">
        <v>1</v>
      </c>
      <c r="F35" s="3">
        <v>1</v>
      </c>
      <c r="G35" s="3">
        <v>1</v>
      </c>
      <c r="H35" s="3">
        <v>1</v>
      </c>
      <c r="I35" s="3">
        <v>1</v>
      </c>
      <c r="J35" s="3">
        <v>1</v>
      </c>
      <c r="K35" s="3">
        <v>1</v>
      </c>
      <c r="L35" s="3">
        <v>1</v>
      </c>
      <c r="M35" s="3">
        <v>1</v>
      </c>
      <c r="N35" s="3">
        <v>1</v>
      </c>
      <c r="O35" s="3">
        <v>1</v>
      </c>
      <c r="P35" s="3">
        <v>1</v>
      </c>
      <c r="Q35" s="3">
        <v>1</v>
      </c>
      <c r="R35" s="3">
        <v>1</v>
      </c>
      <c r="S35" s="3">
        <v>1</v>
      </c>
      <c r="T35" s="3">
        <v>1</v>
      </c>
      <c r="U35" s="3">
        <v>1</v>
      </c>
      <c r="V35" s="3">
        <v>1</v>
      </c>
      <c r="W35" s="3">
        <v>1</v>
      </c>
      <c r="X35" s="3">
        <v>1</v>
      </c>
      <c r="Y35" s="3">
        <v>1</v>
      </c>
      <c r="Z35" s="3">
        <v>1</v>
      </c>
      <c r="AA35" s="3">
        <v>1</v>
      </c>
      <c r="AB35" s="3">
        <v>1</v>
      </c>
      <c r="AC35" s="3">
        <v>1</v>
      </c>
      <c r="AD35" s="3">
        <v>1</v>
      </c>
      <c r="AE35" s="3">
        <v>1</v>
      </c>
      <c r="AF35" s="3">
        <v>1</v>
      </c>
      <c r="AG35" s="3">
        <v>1</v>
      </c>
      <c r="AH35" s="3">
        <v>1</v>
      </c>
      <c r="AI35" s="3">
        <v>1</v>
      </c>
      <c r="AJ35" s="3">
        <v>1</v>
      </c>
      <c r="AK35" s="3">
        <v>1</v>
      </c>
      <c r="AL35" s="3">
        <v>1</v>
      </c>
      <c r="AM35" s="3">
        <v>1</v>
      </c>
    </row>
    <row r="36" ht="13" x14ac:dyDescent="0.15">
      <c r="A36" t="s">
        <v>212</v>
      </c>
      <c r="B36" s="3">
        <v>1</v>
      </c>
      <c r="C36" s="3">
        <v>1</v>
      </c>
      <c r="D36" s="3">
        <v>1</v>
      </c>
      <c r="E36" s="3">
        <v>1</v>
      </c>
      <c r="F36" s="3">
        <v>1</v>
      </c>
      <c r="G36" s="3">
        <v>1</v>
      </c>
      <c r="H36" s="3">
        <v>1</v>
      </c>
      <c r="I36" s="3">
        <v>1</v>
      </c>
      <c r="J36" s="3">
        <v>1</v>
      </c>
      <c r="K36" s="3">
        <v>1</v>
      </c>
      <c r="L36" s="3">
        <v>1</v>
      </c>
      <c r="M36" s="3">
        <v>1</v>
      </c>
      <c r="N36" s="3">
        <v>1</v>
      </c>
      <c r="O36" s="3">
        <v>1</v>
      </c>
      <c r="P36" s="3">
        <v>1</v>
      </c>
      <c r="Q36" s="3">
        <v>1</v>
      </c>
      <c r="R36" s="3">
        <v>1</v>
      </c>
      <c r="S36" s="3">
        <v>1</v>
      </c>
      <c r="T36" s="3">
        <v>1</v>
      </c>
      <c r="U36" s="3">
        <v>1</v>
      </c>
      <c r="V36" s="3">
        <v>1</v>
      </c>
      <c r="W36" s="3">
        <v>1</v>
      </c>
      <c r="X36" s="3">
        <v>1</v>
      </c>
      <c r="Y36" s="3">
        <v>1</v>
      </c>
      <c r="Z36" s="3">
        <v>1</v>
      </c>
      <c r="AA36" s="3">
        <v>1</v>
      </c>
      <c r="AB36" s="3">
        <v>1</v>
      </c>
      <c r="AC36" s="3">
        <v>1</v>
      </c>
      <c r="AD36" s="3">
        <v>1</v>
      </c>
      <c r="AE36" s="3">
        <v>1</v>
      </c>
      <c r="AF36" s="3">
        <v>1</v>
      </c>
      <c r="AG36" s="3">
        <v>1</v>
      </c>
      <c r="AH36" s="3">
        <v>1</v>
      </c>
      <c r="AI36" s="3">
        <v>1</v>
      </c>
      <c r="AJ36" s="3">
        <v>1</v>
      </c>
      <c r="AK36" s="3">
        <v>1</v>
      </c>
      <c r="AL36" s="3">
        <v>1</v>
      </c>
      <c r="AM36" s="3">
        <v>1</v>
      </c>
    </row>
    <row r="37" ht="13" x14ac:dyDescent="0.15">
      <c r="A37" t="s">
        <v>213</v>
      </c>
      <c r="B37" s="3">
        <v>1</v>
      </c>
      <c r="C37" s="3">
        <v>1</v>
      </c>
      <c r="D37" s="3">
        <v>1</v>
      </c>
      <c r="E37" s="3">
        <v>1</v>
      </c>
      <c r="F37" s="3">
        <v>1</v>
      </c>
      <c r="G37" s="3">
        <v>1</v>
      </c>
      <c r="H37" s="3">
        <v>1</v>
      </c>
      <c r="I37" s="3">
        <v>1</v>
      </c>
      <c r="J37" s="3">
        <v>1</v>
      </c>
      <c r="K37" s="3">
        <v>1</v>
      </c>
      <c r="L37" s="3">
        <v>1</v>
      </c>
      <c r="M37" s="3">
        <v>1</v>
      </c>
      <c r="N37" s="3">
        <v>1</v>
      </c>
      <c r="O37" s="3">
        <v>1</v>
      </c>
      <c r="P37" s="3">
        <v>1</v>
      </c>
      <c r="Q37" s="3">
        <v>1</v>
      </c>
      <c r="R37" s="3">
        <v>1</v>
      </c>
      <c r="S37" s="3">
        <v>1</v>
      </c>
      <c r="T37" s="3">
        <v>1</v>
      </c>
      <c r="U37" s="3">
        <v>1</v>
      </c>
      <c r="V37" s="3">
        <v>1</v>
      </c>
      <c r="W37" s="3">
        <v>1</v>
      </c>
      <c r="X37" s="3">
        <v>1</v>
      </c>
      <c r="Y37" s="3">
        <v>1</v>
      </c>
      <c r="Z37" s="3">
        <v>1</v>
      </c>
      <c r="AA37" s="3">
        <v>1</v>
      </c>
      <c r="AB37" s="3">
        <v>1</v>
      </c>
      <c r="AC37" s="3">
        <v>1</v>
      </c>
      <c r="AD37" s="3">
        <v>1</v>
      </c>
      <c r="AE37" s="3">
        <v>1</v>
      </c>
      <c r="AF37" s="3">
        <v>1</v>
      </c>
      <c r="AG37" s="3">
        <v>1</v>
      </c>
      <c r="AH37" s="3">
        <v>1</v>
      </c>
      <c r="AI37" s="3">
        <v>1</v>
      </c>
      <c r="AJ37" s="3">
        <v>1</v>
      </c>
      <c r="AK37" s="3">
        <v>1</v>
      </c>
      <c r="AL37" s="3">
        <v>1</v>
      </c>
      <c r="AM37" s="3">
        <v>1</v>
      </c>
    </row>
    <row r="38" ht="13" x14ac:dyDescent="0.15">
      <c r="A38" t="s">
        <v>215</v>
      </c>
      <c r="B38" s="3">
        <v>1</v>
      </c>
      <c r="C38" s="3">
        <v>1</v>
      </c>
      <c r="D38" s="3">
        <v>1</v>
      </c>
      <c r="E38" s="3">
        <v>1</v>
      </c>
      <c r="F38" s="3">
        <v>1</v>
      </c>
      <c r="G38" s="3">
        <v>1</v>
      </c>
      <c r="H38" s="3">
        <v>1</v>
      </c>
      <c r="I38" s="3">
        <v>1</v>
      </c>
      <c r="J38" s="3">
        <v>1</v>
      </c>
      <c r="K38" s="3">
        <v>1</v>
      </c>
      <c r="L38" s="3">
        <v>1</v>
      </c>
      <c r="M38" s="3">
        <v>1</v>
      </c>
      <c r="N38" s="3">
        <v>1</v>
      </c>
      <c r="O38" s="3">
        <v>1</v>
      </c>
      <c r="P38" s="3">
        <v>1</v>
      </c>
      <c r="Q38" s="3">
        <v>1</v>
      </c>
      <c r="R38" s="3">
        <v>1</v>
      </c>
      <c r="S38" s="3">
        <v>1</v>
      </c>
      <c r="T38" s="3">
        <v>1</v>
      </c>
      <c r="U38" s="3">
        <v>1</v>
      </c>
      <c r="V38" s="3">
        <v>1</v>
      </c>
      <c r="W38" s="3">
        <v>1</v>
      </c>
      <c r="X38" s="3">
        <v>1</v>
      </c>
      <c r="Y38" s="3">
        <v>1</v>
      </c>
      <c r="Z38" s="3">
        <v>1</v>
      </c>
      <c r="AA38" s="3">
        <v>1</v>
      </c>
      <c r="AB38" s="3">
        <v>1</v>
      </c>
      <c r="AC38" s="3">
        <v>1</v>
      </c>
      <c r="AD38" s="3">
        <v>1</v>
      </c>
      <c r="AE38" s="3">
        <v>1</v>
      </c>
      <c r="AF38" s="3">
        <v>1</v>
      </c>
      <c r="AG38" s="3">
        <v>1</v>
      </c>
      <c r="AH38" s="3">
        <v>1</v>
      </c>
      <c r="AI38" s="3">
        <v>1</v>
      </c>
      <c r="AJ38" s="3">
        <v>1</v>
      </c>
      <c r="AK38" s="3">
        <v>1</v>
      </c>
      <c r="AL38" s="3">
        <v>1</v>
      </c>
      <c r="AM38" s="3">
        <v>1</v>
      </c>
    </row>
    <row r="39" ht="13" x14ac:dyDescent="0.15">
      <c r="A39" t="s">
        <v>216</v>
      </c>
      <c r="B39" s="3">
        <v>1</v>
      </c>
      <c r="C39" s="3">
        <v>1</v>
      </c>
      <c r="D39" s="3">
        <v>1</v>
      </c>
      <c r="E39" s="3">
        <v>1</v>
      </c>
      <c r="F39" s="3">
        <v>1</v>
      </c>
      <c r="G39" s="3">
        <v>1</v>
      </c>
      <c r="H39" s="3">
        <v>1</v>
      </c>
      <c r="I39" s="3">
        <v>1</v>
      </c>
      <c r="J39" s="3">
        <v>1</v>
      </c>
      <c r="K39" s="3">
        <v>1</v>
      </c>
      <c r="L39" s="3">
        <v>1</v>
      </c>
      <c r="M39" s="3">
        <v>1</v>
      </c>
      <c r="N39" s="3">
        <v>1</v>
      </c>
      <c r="O39" s="3">
        <v>1</v>
      </c>
      <c r="P39" s="3">
        <v>1</v>
      </c>
      <c r="Q39" s="3">
        <v>1</v>
      </c>
      <c r="R39" s="3">
        <v>1</v>
      </c>
      <c r="S39" s="3">
        <v>1</v>
      </c>
      <c r="T39" s="3">
        <v>1</v>
      </c>
      <c r="U39" s="3">
        <v>1</v>
      </c>
      <c r="V39" s="3">
        <v>1</v>
      </c>
      <c r="W39" s="3">
        <v>1</v>
      </c>
      <c r="X39" s="3">
        <v>1</v>
      </c>
      <c r="Y39" s="3">
        <v>1</v>
      </c>
      <c r="Z39" s="3">
        <v>1</v>
      </c>
      <c r="AA39" s="3">
        <v>1</v>
      </c>
      <c r="AB39" s="3">
        <v>1</v>
      </c>
      <c r="AC39" s="3">
        <v>1</v>
      </c>
      <c r="AD39" s="3">
        <v>1</v>
      </c>
      <c r="AE39" s="3">
        <v>1</v>
      </c>
      <c r="AF39" s="3">
        <v>1</v>
      </c>
      <c r="AG39" s="3">
        <v>1</v>
      </c>
      <c r="AH39" s="3">
        <v>1</v>
      </c>
      <c r="AI39" s="3">
        <v>1</v>
      </c>
      <c r="AJ39" s="3">
        <v>1</v>
      </c>
      <c r="AK39" s="3">
        <v>1</v>
      </c>
      <c r="AL39" s="3">
        <v>1</v>
      </c>
      <c r="AM39" s="3">
        <v>1</v>
      </c>
    </row>
    <row r="40" ht="13" x14ac:dyDescent="0.15">
      <c r="A40" t="s">
        <v>218</v>
      </c>
      <c r="B40" s="3">
        <v>1</v>
      </c>
      <c r="C40" s="3">
        <v>1</v>
      </c>
      <c r="D40" s="3">
        <v>1</v>
      </c>
      <c r="E40" s="3">
        <v>1</v>
      </c>
      <c r="F40" s="3">
        <v>1</v>
      </c>
      <c r="G40" s="3">
        <v>1</v>
      </c>
      <c r="H40" s="3">
        <v>1</v>
      </c>
      <c r="I40" s="3">
        <v>1</v>
      </c>
      <c r="J40" s="3">
        <v>1</v>
      </c>
      <c r="K40" s="3">
        <v>1</v>
      </c>
      <c r="L40" s="3">
        <v>1</v>
      </c>
      <c r="M40" s="3">
        <v>1</v>
      </c>
      <c r="N40" s="3">
        <v>1</v>
      </c>
      <c r="O40" s="3">
        <v>1</v>
      </c>
      <c r="P40" s="3">
        <v>1</v>
      </c>
      <c r="Q40" s="3">
        <v>1</v>
      </c>
      <c r="R40" s="3">
        <v>1</v>
      </c>
      <c r="S40" s="3">
        <v>1</v>
      </c>
      <c r="T40" s="3">
        <v>1</v>
      </c>
      <c r="U40" s="3">
        <v>1</v>
      </c>
      <c r="V40" s="3">
        <v>1</v>
      </c>
      <c r="W40" s="3">
        <v>1</v>
      </c>
      <c r="X40" s="3">
        <v>1</v>
      </c>
      <c r="Y40" s="3">
        <v>1</v>
      </c>
      <c r="Z40" s="3">
        <v>1</v>
      </c>
      <c r="AA40" s="3">
        <v>1</v>
      </c>
      <c r="AB40" s="3">
        <v>1</v>
      </c>
      <c r="AC40" s="3">
        <v>1</v>
      </c>
      <c r="AD40" s="3">
        <v>1</v>
      </c>
      <c r="AE40" s="3">
        <v>1</v>
      </c>
      <c r="AF40" s="3">
        <v>1</v>
      </c>
      <c r="AG40" s="3">
        <v>1</v>
      </c>
      <c r="AH40" s="3">
        <v>1</v>
      </c>
      <c r="AI40" s="3">
        <v>1</v>
      </c>
      <c r="AJ40" s="3">
        <v>1</v>
      </c>
      <c r="AK40" s="3">
        <v>1</v>
      </c>
      <c r="AL40" s="3">
        <v>1</v>
      </c>
      <c r="AM40" s="3">
        <v>1</v>
      </c>
    </row>
    <row r="41" ht="13" x14ac:dyDescent="0.15"/>
    <row r="42" ht="13" x14ac:dyDescent="0.15"/>
    <row r="43" ht="13" x14ac:dyDescent="0.15"/>
    <row r="44" ht="13" x14ac:dyDescent="0.15">
      <c r="A44" s="152" t="s">
        <v>225</v>
      </c>
    </row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  <row r="52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51"/>
  <sheetViews>
    <sheetView workbookViewId="0">
      <selection activeCell="H14" sqref="H14"/>
    </sheetView>
  </sheetViews>
  <sheetFormatPr baseColWidth="10" defaultRowHeight="14" customHeight="true" x14ac:dyDescent="0.15"/>
  <cols>
    <col min="1" max="1" width="12.6640625" customWidth="true"/>
    <col min="2" max="2" width="34.33203125" bestFit="true" customWidth="true"/>
    <col min="3" max="3" width="19" bestFit="true" customWidth="true"/>
  </cols>
  <sheetData>
    <row r="1" ht="28" x14ac:dyDescent="0.15">
      <c r="A1" s="149" t="s">
        <v>85</v>
      </c>
      <c r="B1" s="153" t="s">
        <v>0</v>
      </c>
      <c r="C1" t="s">
        <v>223</v>
      </c>
    </row>
    <row r="2" ht="13" x14ac:dyDescent="0.15">
      <c r="A2">
        <v>1</v>
      </c>
      <c r="B2" t="s">
        <v>178</v>
      </c>
      <c r="C2">
        <v>0</v>
      </c>
    </row>
    <row r="3" ht="13" x14ac:dyDescent="0.15">
      <c r="A3">
        <v>2</v>
      </c>
      <c r="B3" t="s">
        <v>179</v>
      </c>
      <c r="C3">
        <v>0</v>
      </c>
    </row>
    <row r="4" ht="13" x14ac:dyDescent="0.15">
      <c r="A4">
        <v>3</v>
      </c>
      <c r="B4" t="s">
        <v>180</v>
      </c>
      <c r="C4">
        <v>0</v>
      </c>
    </row>
    <row r="5" ht="13" x14ac:dyDescent="0.15">
      <c r="A5">
        <v>4</v>
      </c>
      <c r="B5" t="s">
        <v>181</v>
      </c>
      <c r="C5">
        <v>0</v>
      </c>
    </row>
    <row r="6" ht="13" x14ac:dyDescent="0.15">
      <c r="A6">
        <v>5</v>
      </c>
      <c r="B6" t="s">
        <v>182</v>
      </c>
      <c r="C6">
        <v>0</v>
      </c>
    </row>
    <row r="7" ht="13" x14ac:dyDescent="0.15">
      <c r="A7">
        <v>6</v>
      </c>
      <c r="B7" t="s">
        <v>183</v>
      </c>
      <c r="C7">
        <v>0</v>
      </c>
    </row>
    <row r="8" ht="13" x14ac:dyDescent="0.15">
      <c r="A8">
        <v>7</v>
      </c>
      <c r="B8" t="s">
        <v>184</v>
      </c>
      <c r="C8">
        <v>0</v>
      </c>
    </row>
    <row r="9" ht="13" x14ac:dyDescent="0.15">
      <c r="A9">
        <v>8</v>
      </c>
      <c r="B9" t="s">
        <v>185</v>
      </c>
      <c r="C9">
        <v>0</v>
      </c>
    </row>
    <row r="10" ht="13" x14ac:dyDescent="0.15">
      <c r="A10">
        <v>9</v>
      </c>
      <c r="B10" t="s">
        <v>186</v>
      </c>
      <c r="C10">
        <v>0</v>
      </c>
    </row>
    <row r="11" ht="13" x14ac:dyDescent="0.15">
      <c r="A11">
        <v>10</v>
      </c>
      <c r="B11" t="s">
        <v>187</v>
      </c>
      <c r="C11">
        <v>0</v>
      </c>
    </row>
    <row r="12" ht="13" x14ac:dyDescent="0.15">
      <c r="A12">
        <v>11</v>
      </c>
      <c r="B12" t="s">
        <v>188</v>
      </c>
      <c r="C12">
        <v>0</v>
      </c>
    </row>
    <row r="13" ht="13" x14ac:dyDescent="0.15">
      <c r="A13">
        <v>12</v>
      </c>
      <c r="B13" t="s">
        <v>189</v>
      </c>
      <c r="C13">
        <v>0</v>
      </c>
    </row>
    <row r="14" ht="13" x14ac:dyDescent="0.15">
      <c r="A14">
        <v>13</v>
      </c>
      <c r="B14" t="s">
        <v>190</v>
      </c>
      <c r="C14">
        <v>0</v>
      </c>
    </row>
    <row r="15" ht="13" x14ac:dyDescent="0.15">
      <c r="A15">
        <v>14</v>
      </c>
      <c r="B15" t="s">
        <v>191</v>
      </c>
      <c r="C15">
        <v>0.7</v>
      </c>
    </row>
    <row r="16" ht="13" x14ac:dyDescent="0.15">
      <c r="A16">
        <v>15</v>
      </c>
      <c r="B16" t="s">
        <v>192</v>
      </c>
      <c r="C16">
        <v>0</v>
      </c>
    </row>
    <row r="17" ht="13" x14ac:dyDescent="0.15">
      <c r="A17">
        <v>16</v>
      </c>
      <c r="B17" t="s">
        <v>193</v>
      </c>
      <c r="C17">
        <v>0</v>
      </c>
    </row>
    <row r="18" ht="13" x14ac:dyDescent="0.15">
      <c r="A18">
        <v>17</v>
      </c>
      <c r="B18" t="s">
        <v>194</v>
      </c>
      <c r="C18">
        <v>0</v>
      </c>
    </row>
    <row r="19" ht="13" x14ac:dyDescent="0.15">
      <c r="A19">
        <v>18</v>
      </c>
      <c r="B19" t="s">
        <v>195</v>
      </c>
      <c r="C19">
        <v>0</v>
      </c>
    </row>
    <row r="20" ht="13" x14ac:dyDescent="0.15">
      <c r="A20">
        <v>19</v>
      </c>
      <c r="B20" t="s">
        <v>196</v>
      </c>
      <c r="C20">
        <v>0</v>
      </c>
    </row>
    <row r="21" ht="13" x14ac:dyDescent="0.15">
      <c r="A21">
        <v>20</v>
      </c>
      <c r="B21" t="s">
        <v>197</v>
      </c>
      <c r="C21">
        <v>0</v>
      </c>
    </row>
    <row r="22" ht="13" x14ac:dyDescent="0.15">
      <c r="A22">
        <v>21</v>
      </c>
      <c r="B22" t="s">
        <v>198</v>
      </c>
      <c r="C22">
        <v>0</v>
      </c>
    </row>
    <row r="23" ht="13" x14ac:dyDescent="0.15">
      <c r="A23">
        <v>22</v>
      </c>
      <c r="B23" t="s">
        <v>199</v>
      </c>
      <c r="C23">
        <v>0</v>
      </c>
    </row>
    <row r="24" ht="13" x14ac:dyDescent="0.15">
      <c r="A24">
        <v>23</v>
      </c>
      <c r="B24" t="s">
        <v>200</v>
      </c>
      <c r="C24">
        <v>0</v>
      </c>
    </row>
    <row r="25" ht="13" x14ac:dyDescent="0.15">
      <c r="A25">
        <v>24</v>
      </c>
      <c r="B25" t="s">
        <v>201</v>
      </c>
      <c r="C25">
        <v>0</v>
      </c>
    </row>
    <row r="26" ht="13" x14ac:dyDescent="0.15">
      <c r="A26">
        <v>25</v>
      </c>
      <c r="B26" t="s">
        <v>202</v>
      </c>
      <c r="C26">
        <v>0</v>
      </c>
    </row>
    <row r="27" ht="13" x14ac:dyDescent="0.15">
      <c r="A27">
        <v>26</v>
      </c>
      <c r="B27" t="s">
        <v>203</v>
      </c>
      <c r="C27">
        <v>0</v>
      </c>
    </row>
    <row r="28" ht="13" x14ac:dyDescent="0.15">
      <c r="A28">
        <v>27</v>
      </c>
      <c r="B28" t="s">
        <v>204</v>
      </c>
      <c r="C28">
        <v>0</v>
      </c>
    </row>
    <row r="29" ht="13" x14ac:dyDescent="0.15">
      <c r="A29">
        <v>28</v>
      </c>
      <c r="B29" t="s">
        <v>205</v>
      </c>
      <c r="C29">
        <v>0</v>
      </c>
    </row>
    <row r="30" ht="13" x14ac:dyDescent="0.15">
      <c r="A30">
        <v>29</v>
      </c>
      <c r="B30" t="s">
        <v>206</v>
      </c>
      <c r="C30">
        <v>0</v>
      </c>
    </row>
    <row r="31" ht="13" x14ac:dyDescent="0.15">
      <c r="A31">
        <v>30</v>
      </c>
      <c r="B31" t="s">
        <v>207</v>
      </c>
      <c r="C31">
        <v>0</v>
      </c>
    </row>
    <row r="32" ht="13" x14ac:dyDescent="0.15">
      <c r="A32">
        <v>31</v>
      </c>
      <c r="B32" t="s">
        <v>208</v>
      </c>
      <c r="C32">
        <v>0</v>
      </c>
    </row>
    <row r="33" ht="13" x14ac:dyDescent="0.15">
      <c r="A33">
        <v>32</v>
      </c>
      <c r="B33" t="s">
        <v>209</v>
      </c>
      <c r="C33">
        <v>0</v>
      </c>
    </row>
    <row r="34" ht="13" x14ac:dyDescent="0.15">
      <c r="A34">
        <v>33</v>
      </c>
      <c r="B34" t="s">
        <v>210</v>
      </c>
      <c r="C34">
        <v>0</v>
      </c>
    </row>
    <row r="35" ht="13" x14ac:dyDescent="0.15">
      <c r="A35">
        <v>34</v>
      </c>
      <c r="B35" t="s">
        <v>211</v>
      </c>
      <c r="C35">
        <v>0</v>
      </c>
    </row>
    <row r="36" ht="13" x14ac:dyDescent="0.15">
      <c r="A36">
        <v>35</v>
      </c>
      <c r="B36" t="s">
        <v>212</v>
      </c>
      <c r="C36">
        <v>0</v>
      </c>
    </row>
    <row r="37" ht="13" x14ac:dyDescent="0.15">
      <c r="A37">
        <v>36</v>
      </c>
      <c r="B37" t="s">
        <v>213</v>
      </c>
      <c r="C37">
        <v>0</v>
      </c>
    </row>
    <row r="38" ht="13" x14ac:dyDescent="0.15">
      <c r="A38">
        <v>37</v>
      </c>
      <c r="B38" t="s">
        <v>215</v>
      </c>
      <c r="C38">
        <v>0</v>
      </c>
    </row>
    <row r="39" ht="13" x14ac:dyDescent="0.15">
      <c r="A39">
        <v>38</v>
      </c>
      <c r="B39" t="s">
        <v>216</v>
      </c>
      <c r="C39">
        <v>0</v>
      </c>
    </row>
    <row r="40" ht="13" x14ac:dyDescent="0.15"/>
    <row r="41" ht="13" x14ac:dyDescent="0.15"/>
    <row r="42" ht="13" x14ac:dyDescent="0.15"/>
    <row r="43" ht="13" x14ac:dyDescent="0.15"/>
    <row r="44" ht="13" x14ac:dyDescent="0.15">
      <c r="A44" s="152" t="s">
        <v>225</v>
      </c>
    </row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51"/>
  <sheetViews>
    <sheetView workbookViewId="0">
      <selection activeCell="F6" sqref="F6"/>
    </sheetView>
  </sheetViews>
  <sheetFormatPr baseColWidth="10" defaultRowHeight="14" customHeight="true" x14ac:dyDescent="0.15"/>
  <cols>
    <col min="1" max="1" width="12.6640625" customWidth="true"/>
    <col min="2" max="2" width="34.33203125" bestFit="true" customWidth="true"/>
    <col min="3" max="3" width="19" bestFit="true" customWidth="true"/>
  </cols>
  <sheetData>
    <row r="1" ht="28" x14ac:dyDescent="0.15">
      <c r="A1" s="149" t="s">
        <v>84</v>
      </c>
      <c r="B1" s="153" t="s">
        <v>0</v>
      </c>
      <c r="C1" t="s">
        <v>223</v>
      </c>
    </row>
    <row r="2" ht="13" x14ac:dyDescent="0.15">
      <c r="A2">
        <v>1</v>
      </c>
      <c r="B2" t="s">
        <v>178</v>
      </c>
      <c r="C2">
        <v>0</v>
      </c>
    </row>
    <row r="3" ht="13" x14ac:dyDescent="0.15">
      <c r="A3">
        <v>2</v>
      </c>
      <c r="B3" t="s">
        <v>179</v>
      </c>
      <c r="C3">
        <v>0</v>
      </c>
    </row>
    <row r="4" ht="13" x14ac:dyDescent="0.15">
      <c r="A4">
        <v>3</v>
      </c>
      <c r="B4" t="s">
        <v>180</v>
      </c>
      <c r="C4">
        <v>0</v>
      </c>
    </row>
    <row r="5" ht="13" x14ac:dyDescent="0.15">
      <c r="A5">
        <v>4</v>
      </c>
      <c r="B5" t="s">
        <v>181</v>
      </c>
      <c r="C5">
        <v>0</v>
      </c>
    </row>
    <row r="6" ht="13" x14ac:dyDescent="0.15">
      <c r="A6">
        <v>5</v>
      </c>
      <c r="B6" t="s">
        <v>182</v>
      </c>
      <c r="C6">
        <v>0</v>
      </c>
    </row>
    <row r="7" ht="13" x14ac:dyDescent="0.15">
      <c r="A7">
        <v>6</v>
      </c>
      <c r="B7" t="s">
        <v>183</v>
      </c>
      <c r="C7">
        <v>0</v>
      </c>
    </row>
    <row r="8" ht="13" x14ac:dyDescent="0.15">
      <c r="A8">
        <v>7</v>
      </c>
      <c r="B8" t="s">
        <v>184</v>
      </c>
      <c r="C8">
        <v>0</v>
      </c>
    </row>
    <row r="9" ht="13" x14ac:dyDescent="0.15">
      <c r="A9">
        <v>8</v>
      </c>
      <c r="B9" t="s">
        <v>185</v>
      </c>
      <c r="C9">
        <v>0</v>
      </c>
    </row>
    <row r="10" ht="13" x14ac:dyDescent="0.15">
      <c r="A10">
        <v>9</v>
      </c>
      <c r="B10" t="s">
        <v>186</v>
      </c>
      <c r="C10">
        <v>0</v>
      </c>
    </row>
    <row r="11" ht="13" x14ac:dyDescent="0.15">
      <c r="A11">
        <v>10</v>
      </c>
      <c r="B11" t="s">
        <v>187</v>
      </c>
      <c r="C11">
        <v>0</v>
      </c>
    </row>
    <row r="12" ht="13" x14ac:dyDescent="0.15">
      <c r="A12">
        <v>11</v>
      </c>
      <c r="B12" t="s">
        <v>188</v>
      </c>
      <c r="C12">
        <v>0</v>
      </c>
    </row>
    <row r="13" ht="13" x14ac:dyDescent="0.15">
      <c r="A13">
        <v>12</v>
      </c>
      <c r="B13" t="s">
        <v>189</v>
      </c>
      <c r="C13">
        <v>0</v>
      </c>
    </row>
    <row r="14" ht="13" x14ac:dyDescent="0.15">
      <c r="A14">
        <v>13</v>
      </c>
      <c r="B14" t="s">
        <v>190</v>
      </c>
      <c r="C14">
        <v>0</v>
      </c>
    </row>
    <row r="15" ht="13" x14ac:dyDescent="0.15">
      <c r="A15">
        <v>14</v>
      </c>
      <c r="B15" t="s">
        <v>191</v>
      </c>
      <c r="C15">
        <v>0</v>
      </c>
    </row>
    <row r="16" ht="13" x14ac:dyDescent="0.15">
      <c r="A16">
        <v>15</v>
      </c>
      <c r="B16" t="s">
        <v>192</v>
      </c>
      <c r="C16">
        <v>0</v>
      </c>
    </row>
    <row r="17" ht="13" x14ac:dyDescent="0.15">
      <c r="A17">
        <v>16</v>
      </c>
      <c r="B17" t="s">
        <v>193</v>
      </c>
      <c r="C17">
        <v>0</v>
      </c>
    </row>
    <row r="18" ht="13" x14ac:dyDescent="0.15">
      <c r="A18">
        <v>17</v>
      </c>
      <c r="B18" t="s">
        <v>194</v>
      </c>
      <c r="C18">
        <v>0</v>
      </c>
    </row>
    <row r="19" ht="13" x14ac:dyDescent="0.15">
      <c r="A19">
        <v>18</v>
      </c>
      <c r="B19" t="s">
        <v>195</v>
      </c>
      <c r="C19">
        <v>0</v>
      </c>
    </row>
    <row r="20" ht="13" x14ac:dyDescent="0.15">
      <c r="A20">
        <v>19</v>
      </c>
      <c r="B20" t="s">
        <v>196</v>
      </c>
      <c r="C20">
        <v>0</v>
      </c>
    </row>
    <row r="21" ht="13" x14ac:dyDescent="0.15">
      <c r="A21">
        <v>20</v>
      </c>
      <c r="B21" t="s">
        <v>197</v>
      </c>
      <c r="C21">
        <v>0</v>
      </c>
    </row>
    <row r="22" ht="13" x14ac:dyDescent="0.15">
      <c r="A22">
        <v>21</v>
      </c>
      <c r="B22" t="s">
        <v>198</v>
      </c>
      <c r="C22">
        <v>0</v>
      </c>
    </row>
    <row r="23" ht="13" x14ac:dyDescent="0.15">
      <c r="A23">
        <v>22</v>
      </c>
      <c r="B23" t="s">
        <v>199</v>
      </c>
      <c r="C23">
        <v>0</v>
      </c>
    </row>
    <row r="24" ht="13" x14ac:dyDescent="0.15">
      <c r="A24">
        <v>23</v>
      </c>
      <c r="B24" t="s">
        <v>200</v>
      </c>
      <c r="C24">
        <v>0</v>
      </c>
    </row>
    <row r="25" ht="13" x14ac:dyDescent="0.15">
      <c r="A25">
        <v>24</v>
      </c>
      <c r="B25" t="s">
        <v>201</v>
      </c>
      <c r="C25">
        <v>0</v>
      </c>
    </row>
    <row r="26" ht="13" x14ac:dyDescent="0.15">
      <c r="A26">
        <v>25</v>
      </c>
      <c r="B26" t="s">
        <v>202</v>
      </c>
      <c r="C26">
        <v>0</v>
      </c>
    </row>
    <row r="27" ht="13" x14ac:dyDescent="0.15">
      <c r="A27">
        <v>26</v>
      </c>
      <c r="B27" t="s">
        <v>203</v>
      </c>
      <c r="C27">
        <v>0</v>
      </c>
    </row>
    <row r="28" ht="13" x14ac:dyDescent="0.15">
      <c r="A28">
        <v>27</v>
      </c>
      <c r="B28" t="s">
        <v>204</v>
      </c>
      <c r="C28">
        <v>0</v>
      </c>
    </row>
    <row r="29" ht="13" x14ac:dyDescent="0.15">
      <c r="A29">
        <v>28</v>
      </c>
      <c r="B29" t="s">
        <v>205</v>
      </c>
      <c r="C29">
        <v>0</v>
      </c>
    </row>
    <row r="30" ht="13" x14ac:dyDescent="0.15">
      <c r="A30">
        <v>29</v>
      </c>
      <c r="B30" t="s">
        <v>206</v>
      </c>
      <c r="C30">
        <v>0</v>
      </c>
    </row>
    <row r="31" ht="13" x14ac:dyDescent="0.15">
      <c r="A31">
        <v>30</v>
      </c>
      <c r="B31" t="s">
        <v>207</v>
      </c>
      <c r="C31">
        <v>0</v>
      </c>
    </row>
    <row r="32" ht="13" x14ac:dyDescent="0.15">
      <c r="A32">
        <v>31</v>
      </c>
      <c r="B32" t="s">
        <v>208</v>
      </c>
      <c r="C32">
        <v>0</v>
      </c>
    </row>
    <row r="33" ht="13" x14ac:dyDescent="0.15">
      <c r="A33">
        <v>32</v>
      </c>
      <c r="B33" t="s">
        <v>209</v>
      </c>
      <c r="C33">
        <v>0</v>
      </c>
    </row>
    <row r="34" ht="13" x14ac:dyDescent="0.15">
      <c r="A34">
        <v>33</v>
      </c>
      <c r="B34" t="s">
        <v>210</v>
      </c>
      <c r="C34">
        <v>0</v>
      </c>
    </row>
    <row r="35" ht="13" x14ac:dyDescent="0.15">
      <c r="A35">
        <v>34</v>
      </c>
      <c r="B35" t="s">
        <v>211</v>
      </c>
      <c r="C35">
        <v>0</v>
      </c>
    </row>
    <row r="36" ht="13" x14ac:dyDescent="0.15">
      <c r="A36">
        <v>35</v>
      </c>
      <c r="B36" t="s">
        <v>212</v>
      </c>
      <c r="C36">
        <v>0</v>
      </c>
    </row>
    <row r="37" ht="13" x14ac:dyDescent="0.15">
      <c r="A37">
        <v>36</v>
      </c>
      <c r="B37" t="s">
        <v>213</v>
      </c>
      <c r="C37">
        <v>0</v>
      </c>
    </row>
    <row r="38" ht="13" x14ac:dyDescent="0.15">
      <c r="A38">
        <v>37</v>
      </c>
      <c r="B38" t="s">
        <v>215</v>
      </c>
      <c r="C38">
        <v>0</v>
      </c>
    </row>
    <row r="39" ht="13" x14ac:dyDescent="0.15">
      <c r="A39">
        <v>38</v>
      </c>
      <c r="B39" t="s">
        <v>216</v>
      </c>
      <c r="C39">
        <v>0</v>
      </c>
    </row>
    <row r="40" ht="13" x14ac:dyDescent="0.15"/>
    <row r="41" ht="13" x14ac:dyDescent="0.15"/>
    <row r="42" ht="13" x14ac:dyDescent="0.15"/>
    <row r="43" ht="13" x14ac:dyDescent="0.15">
      <c r="A43" s="152" t="s">
        <v>225</v>
      </c>
    </row>
    <row r="44" ht="13" x14ac:dyDescent="0.15"/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J500"/>
  <sheetViews>
    <sheetView workbookViewId="0">
      <pane xSplit="2" ySplit="1" topLeftCell="C18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ColWidth="8.83203125" defaultRowHeight="15" customHeight="true" x14ac:dyDescent="0.15"/>
  <cols>
    <col min="1" max="1" width="8.83203125" style="61"/>
    <col min="2" max="2" width="41.83203125" style="61" bestFit="true" customWidth="true"/>
    <col min="3" max="3" width="9.33203125" style="61" bestFit="true" customWidth="true"/>
    <col min="4" max="4" width="13" style="61" bestFit="true" customWidth="true"/>
    <col min="5" max="6" width="9.33203125" style="61" bestFit="true" customWidth="true"/>
    <col min="7" max="7" width="9.33203125" style="62" bestFit="true" customWidth="true"/>
    <col min="8" max="8" width="9.33203125" style="61" bestFit="true" customWidth="true"/>
    <col min="9" max="9" width="11" style="61" customWidth="true"/>
    <col min="10" max="10" width="8.83203125" style="61"/>
    <col min="15" max="16384" width="8.83203125" style="61"/>
  </cols>
  <sheetData>
    <row r="1" ht="15" customHeight="true" x14ac:dyDescent="0.15">
      <c r="A1" s="2" t="s">
        <v>26</v>
      </c>
      <c r="B1" s="1" t="s">
        <v>0</v>
      </c>
      <c r="C1" s="1" t="s">
        <v>13</v>
      </c>
      <c r="D1" s="1" t="s">
        <v>14</v>
      </c>
      <c r="E1" s="1" t="s">
        <v>1</v>
      </c>
      <c r="F1" s="1" t="s">
        <v>2</v>
      </c>
      <c r="G1" s="32" t="s">
        <v>15</v>
      </c>
      <c r="H1" s="1" t="s">
        <v>27</v>
      </c>
      <c r="I1" s="1" t="s">
        <v>25</v>
      </c>
    </row>
    <row r="2" ht="15" customHeight="true" x14ac:dyDescent="0.15">
      <c r="A2" s="178">
        <v>1</v>
      </c>
      <c r="B2" s="178" t="s">
        <v>178</v>
      </c>
      <c r="C2" s="5">
        <v>1</v>
      </c>
      <c r="D2" s="6">
        <v>1.7000000476837158</v>
      </c>
      <c r="E2" s="6">
        <v>150</v>
      </c>
      <c r="F2" s="7"/>
      <c r="G2" s="4">
        <v>2.846430242061615E-2</v>
      </c>
      <c r="H2" s="7"/>
      <c r="I2">
        <v>0</v>
      </c>
      <c r="J2"/>
    </row>
    <row r="3" ht="15" customHeight="true" x14ac:dyDescent="0.15">
      <c r="A3" s="179">
        <v>2</v>
      </c>
      <c r="B3" s="179" t="s">
        <v>179</v>
      </c>
      <c r="C3" s="5">
        <v>1</v>
      </c>
      <c r="D3" s="6">
        <v>6.809999942779541</v>
      </c>
      <c r="E3" s="6">
        <v>150</v>
      </c>
      <c r="F3" s="7"/>
      <c r="G3" s="4">
        <v>0.88542193174362183</v>
      </c>
      <c r="H3" s="7"/>
      <c r="I3">
        <v>0</v>
      </c>
      <c r="J3"/>
    </row>
    <row r="4" ht="15" customHeight="true" x14ac:dyDescent="0.15">
      <c r="A4" s="180">
        <v>3</v>
      </c>
      <c r="B4" s="180" t="s">
        <v>180</v>
      </c>
      <c r="C4" s="5">
        <v>1</v>
      </c>
      <c r="D4" s="6">
        <v>4.029999952763319E-3</v>
      </c>
      <c r="E4" s="6">
        <v>200</v>
      </c>
      <c r="F4" s="7"/>
      <c r="G4" s="4">
        <v>0.31017369031906128</v>
      </c>
      <c r="H4" s="7"/>
      <c r="I4">
        <v>0</v>
      </c>
      <c r="J4"/>
    </row>
    <row r="5" ht="15" customHeight="true" x14ac:dyDescent="0.15">
      <c r="A5" s="181">
        <v>4</v>
      </c>
      <c r="B5" s="181" t="s">
        <v>181</v>
      </c>
      <c r="C5" s="5">
        <v>1</v>
      </c>
      <c r="D5" s="6">
        <v>0.19499999284744263</v>
      </c>
      <c r="E5" s="6">
        <v>5.2199997901916504</v>
      </c>
      <c r="F5" s="7"/>
      <c r="G5" s="4">
        <v>0.70433962345123291</v>
      </c>
      <c r="H5" s="7"/>
      <c r="I5">
        <v>0</v>
      </c>
      <c r="J5"/>
    </row>
    <row r="6" ht="15" customHeight="true" x14ac:dyDescent="0.15">
      <c r="A6" s="182">
        <v>5</v>
      </c>
      <c r="B6" s="182" t="s">
        <v>182</v>
      </c>
      <c r="C6" s="5">
        <v>2.3333334922790527</v>
      </c>
      <c r="D6" s="6">
        <v>16</v>
      </c>
      <c r="E6" s="6">
        <v>10</v>
      </c>
      <c r="F6" s="4">
        <v>43.000007629394531</v>
      </c>
      <c r="G6" s="4">
        <v>0.69560742378234863</v>
      </c>
      <c r="H6" s="6">
        <v>0.23255810141563416</v>
      </c>
      <c r="I6">
        <v>0</v>
      </c>
      <c r="J6"/>
    </row>
    <row r="7" ht="15" customHeight="true" x14ac:dyDescent="0.15">
      <c r="A7" s="183">
        <v>6</v>
      </c>
      <c r="B7" s="183" t="s">
        <v>183</v>
      </c>
      <c r="C7" s="5">
        <v>2.7333335876464844</v>
      </c>
      <c r="D7" s="6">
        <v>5</v>
      </c>
      <c r="E7" s="6">
        <v>5</v>
      </c>
      <c r="F7" s="4">
        <v>13.999998092651367</v>
      </c>
      <c r="G7" s="4">
        <v>0.43268030881881714</v>
      </c>
      <c r="H7" s="6">
        <v>0.35714289546012878</v>
      </c>
      <c r="I7">
        <v>0</v>
      </c>
      <c r="J7"/>
    </row>
    <row r="8" ht="15" customHeight="true" x14ac:dyDescent="0.15">
      <c r="A8" s="184">
        <v>7</v>
      </c>
      <c r="B8" s="184" t="s">
        <v>184</v>
      </c>
      <c r="C8" s="5">
        <v>2</v>
      </c>
      <c r="D8" s="6">
        <v>7</v>
      </c>
      <c r="E8" s="6">
        <v>24</v>
      </c>
      <c r="F8" s="4">
        <v>96</v>
      </c>
      <c r="G8" s="4">
        <v>0.94832146167755127</v>
      </c>
      <c r="H8" s="6">
        <v>0.25</v>
      </c>
      <c r="I8">
        <v>0</v>
      </c>
      <c r="J8"/>
    </row>
    <row r="9" ht="15" customHeight="true" x14ac:dyDescent="0.15">
      <c r="A9" s="185">
        <v>8</v>
      </c>
      <c r="B9" s="185" t="s">
        <v>185</v>
      </c>
      <c r="C9" s="5">
        <v>2.2061824798583984</v>
      </c>
      <c r="D9" s="6">
        <v>3.7999998778104782E-2</v>
      </c>
      <c r="E9" s="6">
        <v>1.4500000476837158</v>
      </c>
      <c r="F9" s="4">
        <v>4.4200000762939453</v>
      </c>
      <c r="G9" s="4">
        <v>0.68982827663421631</v>
      </c>
      <c r="H9" s="6">
        <v>0.32805430889129639</v>
      </c>
      <c r="I9">
        <v>0</v>
      </c>
      <c r="J9"/>
    </row>
    <row r="10" ht="15" customHeight="true" x14ac:dyDescent="0.15">
      <c r="A10" s="186">
        <v>9</v>
      </c>
      <c r="B10" s="186" t="s">
        <v>186</v>
      </c>
      <c r="C10" s="5">
        <v>2.2745394706726074</v>
      </c>
      <c r="D10" s="6">
        <v>0.5</v>
      </c>
      <c r="E10" s="6">
        <v>2.5</v>
      </c>
      <c r="F10" s="4">
        <v>10</v>
      </c>
      <c r="G10" s="4">
        <v>0.70829212665557861</v>
      </c>
      <c r="H10" s="6">
        <v>0.25</v>
      </c>
      <c r="I10">
        <v>0</v>
      </c>
      <c r="J10"/>
    </row>
    <row r="11" ht="15" customHeight="true" x14ac:dyDescent="0.15">
      <c r="A11" s="187">
        <v>10</v>
      </c>
      <c r="B11" s="187" t="s">
        <v>187</v>
      </c>
      <c r="C11" s="5">
        <v>3.2733335494995117</v>
      </c>
      <c r="D11" s="6">
        <v>4.5000001788139343E-2</v>
      </c>
      <c r="E11" s="6">
        <v>4.5</v>
      </c>
      <c r="F11" s="4">
        <v>18.250003814697266</v>
      </c>
      <c r="G11" s="4">
        <v>0.77905422449111938</v>
      </c>
      <c r="H11" s="6">
        <v>0.24657529592514038</v>
      </c>
      <c r="I11">
        <v>0</v>
      </c>
      <c r="J11"/>
    </row>
    <row r="12" ht="15" customHeight="true" x14ac:dyDescent="0.15">
      <c r="A12" s="188">
        <v>11</v>
      </c>
      <c r="B12" s="188" t="s">
        <v>188</v>
      </c>
      <c r="C12" s="5">
        <v>4.0525469779968262</v>
      </c>
      <c r="D12" s="6">
        <v>6.4999997615814209E-2</v>
      </c>
      <c r="E12" s="6">
        <v>2.7000000476837158</v>
      </c>
      <c r="F12" s="4">
        <v>10.949997901916504</v>
      </c>
      <c r="G12" s="4">
        <v>0.5321122407913208</v>
      </c>
      <c r="H12" s="6">
        <v>0.24657540023326874</v>
      </c>
      <c r="I12">
        <v>0</v>
      </c>
      <c r="J12"/>
    </row>
    <row r="13" ht="15" customHeight="true" x14ac:dyDescent="0.15">
      <c r="A13" s="189">
        <v>12</v>
      </c>
      <c r="B13" s="189" t="s">
        <v>189</v>
      </c>
      <c r="C13" s="5">
        <v>3.3733334541320801</v>
      </c>
      <c r="D13" s="6">
        <v>3.375</v>
      </c>
      <c r="E13" s="6">
        <v>0.5</v>
      </c>
      <c r="F13" s="4">
        <v>6.0999999046325684</v>
      </c>
      <c r="G13" s="4">
        <v>0.98399388790130615</v>
      </c>
      <c r="H13" s="6">
        <v>8.196721225976944E-2</v>
      </c>
      <c r="I13">
        <v>0</v>
      </c>
      <c r="J13"/>
    </row>
    <row r="14" ht="15" customHeight="true" x14ac:dyDescent="0.15">
      <c r="A14" s="190">
        <v>13</v>
      </c>
      <c r="B14" s="190" t="s">
        <v>190</v>
      </c>
      <c r="C14" s="5">
        <v>3.3878908157348633</v>
      </c>
      <c r="D14" s="6">
        <v>1.125</v>
      </c>
      <c r="E14" s="6">
        <v>0.89999997615814209</v>
      </c>
      <c r="F14" s="4">
        <v>10.5</v>
      </c>
      <c r="G14" s="4">
        <v>0.16436758637428284</v>
      </c>
      <c r="H14" s="6">
        <v>8.5714280605316162E-2</v>
      </c>
      <c r="I14">
        <v>0</v>
      </c>
      <c r="J14"/>
    </row>
    <row r="15" ht="15" customHeight="true" x14ac:dyDescent="0.15">
      <c r="A15" s="191">
        <v>14</v>
      </c>
      <c r="B15" s="191" t="s">
        <v>191</v>
      </c>
      <c r="C15" s="5">
        <v>4.6326279640197754</v>
      </c>
      <c r="D15" s="6">
        <v>4.2699999175965786E-3</v>
      </c>
      <c r="E15" s="6">
        <v>0.12999999523162842</v>
      </c>
      <c r="F15" s="4">
        <v>1.6000000238418579</v>
      </c>
      <c r="G15" s="4">
        <v>0.98567897081375122</v>
      </c>
      <c r="H15" s="6">
        <v>8.1249997019767761E-2</v>
      </c>
      <c r="I15">
        <v>2.3200000578071922E-4</v>
      </c>
      <c r="J15"/>
    </row>
    <row r="16" ht="15" customHeight="true" x14ac:dyDescent="0.15">
      <c r="A16" s="192">
        <v>15</v>
      </c>
      <c r="B16" s="192" t="s">
        <v>192</v>
      </c>
      <c r="C16" s="5">
        <v>4.3104381561279297</v>
      </c>
      <c r="D16" s="6">
        <v>4.1999999433755875E-2</v>
      </c>
      <c r="E16" s="6">
        <v>0.2199999988079071</v>
      </c>
      <c r="F16" s="4">
        <v>2.559999942779541</v>
      </c>
      <c r="G16" s="4">
        <v>0.16208592057228088</v>
      </c>
      <c r="H16" s="6">
        <v>8.59375E-2</v>
      </c>
      <c r="I16">
        <v>0</v>
      </c>
      <c r="J16"/>
    </row>
    <row r="17" ht="15" customHeight="true" x14ac:dyDescent="0.15">
      <c r="A17" s="193">
        <v>16</v>
      </c>
      <c r="B17" s="193" t="s">
        <v>193</v>
      </c>
      <c r="C17" s="5">
        <v>3.2843039035797119</v>
      </c>
      <c r="D17" s="6">
        <v>7.0000002160668373E-3</v>
      </c>
      <c r="E17" s="6">
        <v>0.31999999284744263</v>
      </c>
      <c r="F17" s="4">
        <v>6</v>
      </c>
      <c r="G17" s="4">
        <v>0.50661492347717285</v>
      </c>
      <c r="H17" s="6">
        <v>5.3333330899477005E-2</v>
      </c>
      <c r="I17">
        <v>0</v>
      </c>
      <c r="J17"/>
    </row>
    <row r="18" ht="15" customHeight="true" x14ac:dyDescent="0.15">
      <c r="A18" s="194">
        <v>17</v>
      </c>
      <c r="B18" s="194" t="s">
        <v>194</v>
      </c>
      <c r="C18" s="5">
        <v>3.1385502815246582</v>
      </c>
      <c r="D18" s="6">
        <v>1.1780000291764736E-2</v>
      </c>
      <c r="E18" s="6">
        <v>0.50199997425079346</v>
      </c>
      <c r="F18" s="4">
        <v>7.3300004005432129</v>
      </c>
      <c r="G18" s="4">
        <v>0.18033851683139801</v>
      </c>
      <c r="H18" s="6">
        <v>6.8485669791698456E-2</v>
      </c>
      <c r="I18">
        <v>0</v>
      </c>
      <c r="J18"/>
    </row>
    <row r="19" ht="15" customHeight="true" x14ac:dyDescent="0.15">
      <c r="A19" s="195">
        <v>18</v>
      </c>
      <c r="B19" s="195" t="s">
        <v>195</v>
      </c>
      <c r="C19" s="5">
        <v>3.2813651561737061</v>
      </c>
      <c r="D19" s="6">
        <v>9.5499996095895767E-3</v>
      </c>
      <c r="E19" s="6">
        <v>0.20999999344348907</v>
      </c>
      <c r="F19" s="4">
        <v>3.4000003337860107</v>
      </c>
      <c r="G19" s="4">
        <v>0.47049620747566223</v>
      </c>
      <c r="H19" s="6">
        <v>6.1764698475599289E-2</v>
      </c>
      <c r="I19">
        <v>0</v>
      </c>
      <c r="J19"/>
    </row>
    <row r="20" ht="15" customHeight="true" x14ac:dyDescent="0.15">
      <c r="A20" s="196">
        <v>19</v>
      </c>
      <c r="B20" s="196" t="s">
        <v>196</v>
      </c>
      <c r="C20" s="5">
        <v>3.7948930263519287</v>
      </c>
      <c r="D20" s="6">
        <v>2.8500000014901161E-2</v>
      </c>
      <c r="E20" s="6">
        <v>0.18999999761581421</v>
      </c>
      <c r="F20" s="4">
        <v>1.9800000190734863</v>
      </c>
      <c r="G20" s="4">
        <v>0.17007908225059509</v>
      </c>
      <c r="H20" s="6">
        <v>9.5959596335887909E-2</v>
      </c>
      <c r="I20">
        <v>0</v>
      </c>
      <c r="J20"/>
    </row>
    <row r="21" ht="15" customHeight="true" x14ac:dyDescent="0.15">
      <c r="A21" s="197">
        <v>20</v>
      </c>
      <c r="B21" s="197" t="s">
        <v>197</v>
      </c>
      <c r="C21" s="5">
        <v>4.5616970062255859</v>
      </c>
      <c r="D21" s="6">
        <v>3.6000000545755029E-4</v>
      </c>
      <c r="E21" s="6">
        <v>0.14000000059604645</v>
      </c>
      <c r="F21" s="4">
        <v>3.6999998092651367</v>
      </c>
      <c r="G21" s="4">
        <v>0.17961160838603973</v>
      </c>
      <c r="H21" s="6">
        <v>3.7837840616703033E-2</v>
      </c>
      <c r="I21">
        <v>0</v>
      </c>
      <c r="J21"/>
    </row>
    <row r="22" ht="15" customHeight="true" x14ac:dyDescent="0.15">
      <c r="A22" s="198">
        <v>21</v>
      </c>
      <c r="B22" s="198" t="s">
        <v>198</v>
      </c>
      <c r="C22" s="5">
        <v>3.7762751579284668</v>
      </c>
      <c r="D22" s="6">
        <v>6.5659999381750822E-4</v>
      </c>
      <c r="E22" s="6">
        <v>0.15999999642372131</v>
      </c>
      <c r="F22" s="4">
        <v>191.70001220703125</v>
      </c>
      <c r="G22" s="4">
        <v>0.45928493142127991</v>
      </c>
      <c r="H22" s="6">
        <v>8.3463737973943353E-4</v>
      </c>
      <c r="I22">
        <v>0</v>
      </c>
      <c r="J22"/>
    </row>
    <row r="23" ht="15" customHeight="true" x14ac:dyDescent="0.15">
      <c r="A23" s="199">
        <v>22</v>
      </c>
      <c r="B23" s="199" t="s">
        <v>199</v>
      </c>
      <c r="C23" s="5">
        <v>5.1777234077453613</v>
      </c>
      <c r="D23" s="6">
        <v>4.0599999920232221E-5</v>
      </c>
      <c r="E23" s="6">
        <v>7.0000000298023224E-2</v>
      </c>
      <c r="F23" s="4">
        <v>32.239997863769531</v>
      </c>
      <c r="G23" s="4">
        <v>2.4949023500084877E-2</v>
      </c>
      <c r="H23" s="6">
        <v>2.1712160669267178E-3</v>
      </c>
      <c r="I23">
        <v>0</v>
      </c>
      <c r="J23"/>
    </row>
    <row r="24" ht="15" customHeight="true" x14ac:dyDescent="0.15">
      <c r="A24" s="200">
        <v>23</v>
      </c>
      <c r="B24" s="200" t="s">
        <v>200</v>
      </c>
      <c r="C24" s="5">
        <v>4.3604860305786133</v>
      </c>
      <c r="D24" s="6">
        <v>2.5499999537714757E-5</v>
      </c>
      <c r="E24" s="6">
        <v>2.7000000700354576E-2</v>
      </c>
      <c r="F24" s="4">
        <v>68.109992980957031</v>
      </c>
      <c r="G24" s="4">
        <v>6.5355822443962097E-2</v>
      </c>
      <c r="H24" s="6">
        <v>3.9641759940423071E-4</v>
      </c>
      <c r="I24">
        <v>0</v>
      </c>
      <c r="J24"/>
    </row>
    <row r="25" ht="15" customHeight="true" x14ac:dyDescent="0.15">
      <c r="A25" s="201">
        <v>24</v>
      </c>
      <c r="B25" s="201" t="s">
        <v>201</v>
      </c>
      <c r="C25" s="5">
        <v>4.2993569374084473</v>
      </c>
      <c r="D25" s="6">
        <v>7.0000000960135367E-6</v>
      </c>
      <c r="E25" s="6">
        <v>2.7000000700354576E-2</v>
      </c>
      <c r="F25" s="4">
        <v>59.819995880126953</v>
      </c>
      <c r="G25" s="4">
        <v>6.4931437373161316E-2</v>
      </c>
      <c r="H25" s="6">
        <v>4.5135410618968308E-4</v>
      </c>
      <c r="I25">
        <v>0</v>
      </c>
      <c r="J25"/>
    </row>
    <row r="26" ht="15" customHeight="true" x14ac:dyDescent="0.15">
      <c r="A26" s="202">
        <v>25</v>
      </c>
      <c r="B26" s="202" t="s">
        <v>202</v>
      </c>
      <c r="C26" s="5">
        <v>4.3858604431152344</v>
      </c>
      <c r="D26" s="6">
        <v>8.3500002801883966E-5</v>
      </c>
      <c r="E26" s="6">
        <v>2.7000000700354576E-2</v>
      </c>
      <c r="F26" s="4">
        <v>57.479999542236328</v>
      </c>
      <c r="G26" s="4">
        <v>6.47154301404953E-2</v>
      </c>
      <c r="H26" s="6">
        <v>4.6972860582172871E-4</v>
      </c>
      <c r="I26">
        <v>0</v>
      </c>
      <c r="J26"/>
    </row>
    <row r="27" ht="15" customHeight="true" x14ac:dyDescent="0.15">
      <c r="A27" s="203">
        <v>26</v>
      </c>
      <c r="B27" s="203" t="s">
        <v>203</v>
      </c>
      <c r="C27" s="5">
        <v>4.3628149032592773</v>
      </c>
      <c r="D27" s="6">
        <v>8.4699997387360781E-5</v>
      </c>
      <c r="E27" s="6">
        <v>5.000000074505806E-2</v>
      </c>
      <c r="F27" s="4">
        <v>49.389984130859375</v>
      </c>
      <c r="G27" s="4">
        <v>3.5095173865556717E-2</v>
      </c>
      <c r="H27" s="6">
        <v>1.0123510146513581E-3</v>
      </c>
      <c r="I27">
        <v>0</v>
      </c>
      <c r="J27"/>
    </row>
    <row r="28" ht="15" customHeight="true" x14ac:dyDescent="0.15">
      <c r="A28" s="204">
        <v>27</v>
      </c>
      <c r="B28" s="204" t="s">
        <v>204</v>
      </c>
      <c r="C28" s="5">
        <v>4.5227665901184082</v>
      </c>
      <c r="D28" s="6">
        <v>1.4269999519456178E-4</v>
      </c>
      <c r="E28" s="6">
        <v>3.9999999105930328E-2</v>
      </c>
      <c r="F28" s="4">
        <v>57.099998474121094</v>
      </c>
      <c r="G28" s="4">
        <v>4.3954987078905106E-2</v>
      </c>
      <c r="H28" s="6">
        <v>7.0052541559562087E-4</v>
      </c>
      <c r="I28">
        <v>0</v>
      </c>
      <c r="J28"/>
    </row>
    <row r="29" ht="15" customHeight="true" x14ac:dyDescent="0.15">
      <c r="A29" s="205">
        <v>28</v>
      </c>
      <c r="B29" s="205" t="s">
        <v>205</v>
      </c>
      <c r="C29" s="5">
        <v>3.905024528503418</v>
      </c>
      <c r="D29" s="6">
        <v>4.1800001781666651E-5</v>
      </c>
      <c r="E29" s="6">
        <v>0.20000000298023224</v>
      </c>
      <c r="F29" s="4">
        <v>62.500003814697266</v>
      </c>
      <c r="G29" s="4">
        <v>0.32179561257362366</v>
      </c>
      <c r="H29" s="6">
        <v>3.1999999191612005E-3</v>
      </c>
      <c r="I29">
        <v>0</v>
      </c>
      <c r="J29"/>
    </row>
    <row r="30" ht="15" customHeight="true" x14ac:dyDescent="0.15">
      <c r="A30" s="206">
        <v>29</v>
      </c>
      <c r="B30" s="206" t="s">
        <v>206</v>
      </c>
      <c r="C30" s="5">
        <v>3.5853574275970459</v>
      </c>
      <c r="D30" s="6">
        <v>7.0999999297782779E-4</v>
      </c>
      <c r="E30" s="6">
        <v>0.15999999642372131</v>
      </c>
      <c r="F30" s="4">
        <v>93.700019836425781</v>
      </c>
      <c r="G30" s="4">
        <v>0.49739992618560791</v>
      </c>
      <c r="H30" s="6">
        <v>1.7075770301744342E-3</v>
      </c>
      <c r="I30">
        <v>0</v>
      </c>
      <c r="J30"/>
    </row>
    <row r="31" ht="15" customHeight="true" x14ac:dyDescent="0.15">
      <c r="A31" s="207">
        <v>30</v>
      </c>
      <c r="B31" s="207" t="s">
        <v>207</v>
      </c>
      <c r="C31" s="5">
        <v>3.7980842590332031</v>
      </c>
      <c r="D31" s="6">
        <v>4.1020000353455544E-3</v>
      </c>
      <c r="E31" s="6">
        <v>0.18500000238418579</v>
      </c>
      <c r="F31" s="4">
        <v>76.750015258789062</v>
      </c>
      <c r="G31" s="4">
        <v>0.33885249495506287</v>
      </c>
      <c r="H31" s="6">
        <v>2.4104230105876923E-3</v>
      </c>
      <c r="I31">
        <v>0</v>
      </c>
      <c r="J31"/>
    </row>
    <row r="32" ht="15" customHeight="true" x14ac:dyDescent="0.15">
      <c r="A32" s="208">
        <v>31</v>
      </c>
      <c r="B32" s="208" t="s">
        <v>208</v>
      </c>
      <c r="C32" s="5">
        <v>4.4063520431518555</v>
      </c>
      <c r="D32" s="6">
        <v>1.471639983355999E-2</v>
      </c>
      <c r="E32" s="6">
        <v>0.125</v>
      </c>
      <c r="F32" s="4">
        <v>42.460002899169922</v>
      </c>
      <c r="G32" s="4">
        <v>0.47649037837982178</v>
      </c>
      <c r="H32" s="6">
        <v>2.9439469799399376E-3</v>
      </c>
      <c r="I32">
        <v>0</v>
      </c>
      <c r="J32"/>
    </row>
    <row r="33" ht="15" customHeight="true" x14ac:dyDescent="0.15">
      <c r="A33" s="209">
        <v>32</v>
      </c>
      <c r="B33" s="209" t="s">
        <v>209</v>
      </c>
      <c r="C33" s="5">
        <v>4.3770909309387207</v>
      </c>
      <c r="D33" s="6">
        <v>9.2294001951813698E-3</v>
      </c>
      <c r="E33" s="6">
        <v>0.10000000149011612</v>
      </c>
      <c r="F33" s="4">
        <v>14.969999313354492</v>
      </c>
      <c r="G33" s="4">
        <v>6.1484519392251968E-2</v>
      </c>
      <c r="H33" s="6">
        <v>6.6800271160900593E-3</v>
      </c>
      <c r="I33">
        <v>0</v>
      </c>
      <c r="J33"/>
    </row>
    <row r="34" ht="15" customHeight="true" x14ac:dyDescent="0.15">
      <c r="A34" s="210">
        <v>33</v>
      </c>
      <c r="B34" s="210" t="s">
        <v>210</v>
      </c>
      <c r="C34" s="5">
        <v>4.3975720405578613</v>
      </c>
      <c r="D34" s="6">
        <v>2.6170001365244389E-4</v>
      </c>
      <c r="E34" s="6">
        <v>0.10000000149011612</v>
      </c>
      <c r="F34" s="4">
        <v>14.060001373291016</v>
      </c>
      <c r="G34" s="4">
        <v>6.7550979554653168E-2</v>
      </c>
      <c r="H34" s="6">
        <v>7.1123749949038029E-3</v>
      </c>
      <c r="I34">
        <v>0</v>
      </c>
      <c r="J34"/>
    </row>
    <row r="35" ht="15" customHeight="true" x14ac:dyDescent="0.15">
      <c r="A35" s="211">
        <v>34</v>
      </c>
      <c r="B35" s="211" t="s">
        <v>211</v>
      </c>
      <c r="C35" s="5">
        <v>4.6747713088989258</v>
      </c>
      <c r="D35" s="6">
        <v>9.9069997668266296E-4</v>
      </c>
      <c r="E35" s="6">
        <v>7.4000000953674316E-2</v>
      </c>
      <c r="F35" s="4">
        <v>12.780000686645508</v>
      </c>
      <c r="G35" s="4">
        <v>7.7250972390174866E-2</v>
      </c>
      <c r="H35" s="6">
        <v>5.7902969419956207E-3</v>
      </c>
      <c r="I35">
        <v>0</v>
      </c>
      <c r="J35"/>
    </row>
    <row r="36" ht="15" customHeight="true" x14ac:dyDescent="0.15">
      <c r="A36" s="212">
        <v>35</v>
      </c>
      <c r="B36" s="212" t="s">
        <v>212</v>
      </c>
      <c r="C36" s="5">
        <v>4.9827065467834473</v>
      </c>
      <c r="D36" s="6">
        <v>2.5299999833805487E-5</v>
      </c>
      <c r="E36" s="6">
        <v>5.9999998658895493E-2</v>
      </c>
      <c r="F36" s="4">
        <v>5.3899974822998047</v>
      </c>
      <c r="G36" s="4">
        <v>0</v>
      </c>
      <c r="H36" s="6">
        <v>1.1131729930639267E-2</v>
      </c>
      <c r="I36">
        <v>0</v>
      </c>
      <c r="J36"/>
    </row>
    <row r="37" ht="15" customHeight="true" x14ac:dyDescent="0.15">
      <c r="A37" s="213">
        <v>36</v>
      </c>
      <c r="B37" s="213" t="s">
        <v>213</v>
      </c>
      <c r="C37" s="5">
        <v>1</v>
      </c>
      <c r="D37" s="6">
        <v>5</v>
      </c>
      <c r="E37" s="7"/>
      <c r="F37" s="7"/>
      <c r="G37" s="4">
        <v>0.90932601690292358</v>
      </c>
      <c r="H37" s="7"/>
      <c r="I37">
        <v>0</v>
      </c>
      <c r="J37"/>
    </row>
    <row r="38" ht="15" customHeight="true" x14ac:dyDescent="0.15">
      <c r="A38" s="214">
        <v>37</v>
      </c>
      <c r="B38" s="214" t="s">
        <v>215</v>
      </c>
      <c r="C38" s="5">
        <v>1</v>
      </c>
      <c r="D38" s="6">
        <v>24</v>
      </c>
      <c r="E38" s="7"/>
      <c r="F38" s="7"/>
      <c r="G38" s="4">
        <v>0.27142897248268127</v>
      </c>
      <c r="H38" s="7"/>
      <c r="I38">
        <v>0</v>
      </c>
      <c r="J38"/>
    </row>
    <row r="39" ht="15" customHeight="true" x14ac:dyDescent="0.15">
      <c r="A39" s="215">
        <v>38</v>
      </c>
      <c r="B39" s="215" t="s">
        <v>216</v>
      </c>
      <c r="C39" s="5">
        <v>1</v>
      </c>
      <c r="D39" s="6">
        <v>3.7000000476837158E-2</v>
      </c>
      <c r="E39" s="7"/>
      <c r="F39" s="7"/>
      <c r="G39" s="4">
        <v>0.5221591591835022</v>
      </c>
      <c r="H39" s="7"/>
      <c r="I39">
        <v>0</v>
      </c>
      <c r="J39"/>
    </row>
    <row r="40" ht="15" customHeight="true" x14ac:dyDescent="0.15">
      <c r="A40" s="216">
        <v>39</v>
      </c>
      <c r="B40" s="216" t="s">
        <v>217</v>
      </c>
      <c r="C40" s="5">
        <v>5.6326274871826172</v>
      </c>
      <c r="D40" s="7"/>
      <c r="E40" s="7"/>
      <c r="F40" s="7"/>
      <c r="G40" s="7"/>
      <c r="H40" s="7"/>
      <c r="I40">
        <v>2.3200000578071922E-4</v>
      </c>
      <c r="J40"/>
    </row>
    <row r="41" ht="15" customHeight="true" x14ac:dyDescent="0.15">
      <c r="A41"/>
      <c r="B41"/>
      <c r="C41"/>
      <c r="D41"/>
      <c r="E41"/>
      <c r="F41"/>
      <c r="G41"/>
      <c r="H41"/>
      <c r="I41"/>
      <c r="J41"/>
    </row>
    <row r="42" ht="15" customHeight="true" x14ac:dyDescent="0.15">
      <c r="A42"/>
      <c r="B42"/>
      <c r="C42"/>
      <c r="D42"/>
      <c r="E42"/>
      <c r="F42"/>
      <c r="G42"/>
      <c r="H42"/>
      <c r="I42"/>
      <c r="J42"/>
    </row>
    <row r="43" ht="15" customHeight="true" x14ac:dyDescent="0.15">
      <c r="A43"/>
      <c r="B43"/>
      <c r="C43"/>
      <c r="D43"/>
      <c r="E43"/>
      <c r="F43"/>
      <c r="G43"/>
      <c r="H43"/>
      <c r="I43"/>
      <c r="J43"/>
    </row>
    <row r="44" ht="15" customHeight="true" x14ac:dyDescent="0.15">
      <c r="A44"/>
      <c r="B44"/>
      <c r="C44"/>
      <c r="D44"/>
      <c r="E44"/>
      <c r="F44"/>
      <c r="G44"/>
      <c r="H44"/>
      <c r="I44"/>
      <c r="J44"/>
    </row>
    <row r="45" ht="15" customHeight="true" x14ac:dyDescent="0.15">
      <c r="A45"/>
      <c r="B45"/>
      <c r="C45"/>
      <c r="D45"/>
      <c r="E45"/>
      <c r="F45"/>
      <c r="G45"/>
      <c r="H45"/>
      <c r="I45"/>
      <c r="J45"/>
    </row>
    <row r="46" ht="15" customHeight="true" x14ac:dyDescent="0.15">
      <c r="A46"/>
      <c r="B46"/>
      <c r="C46"/>
      <c r="D46"/>
      <c r="E46"/>
      <c r="F46"/>
      <c r="G46"/>
      <c r="H46"/>
      <c r="I46"/>
      <c r="J46"/>
    </row>
    <row r="47" ht="15" customHeight="true" x14ac:dyDescent="0.15">
      <c r="A47"/>
      <c r="B47"/>
      <c r="C47"/>
      <c r="D47"/>
      <c r="E47"/>
      <c r="F47"/>
      <c r="G47"/>
      <c r="H47"/>
      <c r="I47"/>
      <c r="J47"/>
    </row>
    <row r="48" ht="15" customHeight="true" x14ac:dyDescent="0.15">
      <c r="A48"/>
      <c r="B48"/>
      <c r="C48"/>
      <c r="D48"/>
      <c r="E48"/>
      <c r="F48"/>
      <c r="G48"/>
      <c r="H48"/>
      <c r="I48"/>
      <c r="J48"/>
    </row>
    <row r="49" ht="15" customHeight="true" x14ac:dyDescent="0.15">
      <c r="A49"/>
      <c r="B49"/>
      <c r="C49"/>
      <c r="D49"/>
      <c r="E49"/>
      <c r="F49"/>
      <c r="G49"/>
      <c r="H49"/>
      <c r="I49"/>
      <c r="J49"/>
    </row>
    <row r="50" ht="15" customHeight="true" x14ac:dyDescent="0.15">
      <c r="A50"/>
      <c r="B50"/>
      <c r="C50"/>
      <c r="D50"/>
      <c r="E50"/>
      <c r="F50"/>
      <c r="G50"/>
      <c r="H50"/>
      <c r="I50"/>
      <c r="J50"/>
    </row>
    <row r="51" ht="15" customHeight="true" x14ac:dyDescent="0.15">
      <c r="A51"/>
      <c r="B51"/>
      <c r="C51"/>
      <c r="D51"/>
      <c r="E51"/>
      <c r="F51"/>
      <c r="G51"/>
      <c r="H51"/>
      <c r="I51"/>
      <c r="J51"/>
    </row>
    <row r="52" ht="15" customHeight="true" x14ac:dyDescent="0.15">
      <c r="A52"/>
      <c r="B52"/>
      <c r="C52"/>
      <c r="D52"/>
      <c r="E52"/>
      <c r="F52"/>
      <c r="G52"/>
      <c r="H52"/>
      <c r="I52"/>
      <c r="J52"/>
    </row>
    <row r="53" ht="15" customHeight="true" x14ac:dyDescent="0.15">
      <c r="A53"/>
      <c r="B53"/>
      <c r="C53"/>
      <c r="D53"/>
      <c r="E53"/>
      <c r="F53"/>
      <c r="G53"/>
      <c r="H53"/>
      <c r="I53"/>
      <c r="J53"/>
    </row>
    <row r="54" ht="15" customHeight="true" x14ac:dyDescent="0.15">
      <c r="A54"/>
      <c r="B54"/>
      <c r="C54"/>
      <c r="D54"/>
      <c r="E54"/>
      <c r="F54"/>
      <c r="G54"/>
      <c r="H54"/>
      <c r="I54"/>
      <c r="J54"/>
    </row>
    <row r="55" ht="15" customHeight="true" x14ac:dyDescent="0.15">
      <c r="A55"/>
      <c r="B55"/>
      <c r="C55"/>
      <c r="D55"/>
      <c r="E55"/>
      <c r="F55"/>
      <c r="G55"/>
      <c r="H55"/>
      <c r="I55"/>
      <c r="J55"/>
    </row>
    <row r="56" ht="15" customHeight="true" x14ac:dyDescent="0.15">
      <c r="A56"/>
      <c r="B56"/>
      <c r="C56"/>
      <c r="D56"/>
      <c r="E56"/>
      <c r="F56"/>
      <c r="G56"/>
      <c r="H56"/>
      <c r="I56"/>
      <c r="J56"/>
    </row>
    <row r="57" ht="15" customHeight="true" x14ac:dyDescent="0.15">
      <c r="A57"/>
      <c r="B57"/>
      <c r="C57"/>
      <c r="D57"/>
      <c r="E57"/>
      <c r="F57"/>
      <c r="G57"/>
      <c r="H57"/>
      <c r="I57"/>
      <c r="J57"/>
    </row>
    <row r="58" ht="15" customHeight="true" x14ac:dyDescent="0.15">
      <c r="A58"/>
      <c r="B58"/>
      <c r="C58"/>
      <c r="D58"/>
      <c r="E58"/>
      <c r="F58"/>
      <c r="G58"/>
      <c r="H58"/>
      <c r="I58"/>
      <c r="J58"/>
    </row>
    <row r="59" ht="15" customHeight="true" x14ac:dyDescent="0.15">
      <c r="A59"/>
      <c r="B59"/>
      <c r="C59"/>
      <c r="D59"/>
      <c r="E59"/>
      <c r="F59"/>
      <c r="G59"/>
      <c r="H59"/>
      <c r="I59"/>
      <c r="J59"/>
    </row>
    <row r="60" ht="15" customHeight="true" x14ac:dyDescent="0.15">
      <c r="A60"/>
      <c r="B60"/>
      <c r="C60"/>
      <c r="D60"/>
      <c r="E60"/>
      <c r="F60"/>
      <c r="G60"/>
      <c r="H60"/>
      <c r="I60"/>
      <c r="J60"/>
    </row>
    <row r="61" ht="15" customHeight="true" x14ac:dyDescent="0.15">
      <c r="A61"/>
      <c r="B61"/>
      <c r="C61"/>
      <c r="D61"/>
      <c r="E61"/>
      <c r="F61"/>
      <c r="G61"/>
      <c r="H61"/>
      <c r="I61"/>
      <c r="J61"/>
    </row>
    <row r="62" ht="15" customHeight="true" x14ac:dyDescent="0.15">
      <c r="A62"/>
      <c r="B62"/>
      <c r="C62"/>
      <c r="D62"/>
      <c r="E62"/>
      <c r="F62"/>
      <c r="G62"/>
      <c r="H62"/>
      <c r="I62"/>
      <c r="J62"/>
    </row>
    <row r="63" ht="15" customHeight="true" x14ac:dyDescent="0.15">
      <c r="A63"/>
      <c r="B63"/>
      <c r="C63"/>
      <c r="D63"/>
      <c r="E63"/>
      <c r="F63"/>
      <c r="G63"/>
      <c r="H63"/>
      <c r="I63"/>
      <c r="J63"/>
    </row>
    <row r="64" ht="15" customHeight="true" x14ac:dyDescent="0.15">
      <c r="A64"/>
      <c r="B64"/>
      <c r="C64"/>
      <c r="D64"/>
      <c r="E64"/>
      <c r="F64"/>
      <c r="G64"/>
      <c r="H64"/>
      <c r="I64"/>
      <c r="J64"/>
    </row>
    <row r="65" ht="15" customHeight="true" x14ac:dyDescent="0.15">
      <c r="A65"/>
      <c r="B65"/>
      <c r="C65"/>
      <c r="D65"/>
      <c r="E65"/>
      <c r="F65"/>
      <c r="G65"/>
      <c r="H65"/>
      <c r="I65"/>
      <c r="J65"/>
    </row>
    <row r="66" ht="15" customHeight="true" x14ac:dyDescent="0.15">
      <c r="A66"/>
      <c r="B66"/>
      <c r="C66"/>
      <c r="D66"/>
      <c r="E66"/>
      <c r="F66"/>
      <c r="G66"/>
      <c r="H66"/>
      <c r="I66"/>
      <c r="J66"/>
    </row>
    <row r="67" ht="15" customHeight="true" x14ac:dyDescent="0.15">
      <c r="A67"/>
      <c r="B67"/>
      <c r="C67"/>
      <c r="D67"/>
      <c r="E67"/>
      <c r="F67"/>
      <c r="G67"/>
      <c r="H67"/>
      <c r="I67"/>
      <c r="J67"/>
    </row>
    <row r="68" ht="15" customHeight="true" x14ac:dyDescent="0.15">
      <c r="A68"/>
      <c r="B68"/>
      <c r="C68"/>
      <c r="D68"/>
      <c r="E68"/>
      <c r="F68"/>
      <c r="G68"/>
      <c r="H68"/>
      <c r="I68"/>
      <c r="J68"/>
    </row>
    <row r="69" ht="15" customHeight="true" x14ac:dyDescent="0.15">
      <c r="A69"/>
      <c r="B69"/>
      <c r="C69"/>
      <c r="D69"/>
      <c r="E69"/>
      <c r="F69"/>
      <c r="G69"/>
      <c r="H69"/>
      <c r="I69"/>
      <c r="J69"/>
    </row>
    <row r="70" ht="15" customHeight="true" x14ac:dyDescent="0.15">
      <c r="A70"/>
      <c r="B70"/>
      <c r="C70"/>
      <c r="D70"/>
      <c r="E70"/>
      <c r="F70"/>
      <c r="G70"/>
      <c r="H70"/>
      <c r="I70"/>
      <c r="J70"/>
    </row>
    <row r="71" ht="15" customHeight="true" x14ac:dyDescent="0.15">
      <c r="A71"/>
      <c r="B71"/>
      <c r="C71"/>
      <c r="D71"/>
      <c r="E71"/>
      <c r="F71"/>
      <c r="G71"/>
      <c r="H71"/>
      <c r="I71"/>
      <c r="J71"/>
    </row>
    <row r="72" ht="15" customHeight="true" x14ac:dyDescent="0.15">
      <c r="A72"/>
      <c r="B72"/>
      <c r="C72"/>
      <c r="D72"/>
      <c r="E72"/>
      <c r="F72"/>
      <c r="G72"/>
      <c r="H72"/>
      <c r="I72"/>
      <c r="J72"/>
    </row>
    <row r="73" ht="15" customHeight="true" x14ac:dyDescent="0.15">
      <c r="A73"/>
      <c r="B73"/>
      <c r="C73"/>
      <c r="D73"/>
      <c r="E73"/>
      <c r="F73"/>
      <c r="G73"/>
      <c r="H73"/>
      <c r="I73"/>
      <c r="J73"/>
    </row>
    <row r="74" ht="15" customHeight="true" x14ac:dyDescent="0.15">
      <c r="A74"/>
      <c r="B74"/>
      <c r="C74"/>
      <c r="D74"/>
      <c r="E74"/>
      <c r="F74"/>
      <c r="G74"/>
      <c r="H74"/>
      <c r="I74"/>
      <c r="J74"/>
    </row>
    <row r="75" ht="15" customHeight="true" x14ac:dyDescent="0.15">
      <c r="A75"/>
      <c r="B75"/>
      <c r="C75"/>
      <c r="D75"/>
      <c r="E75"/>
      <c r="F75"/>
      <c r="G75"/>
      <c r="H75"/>
      <c r="I75"/>
      <c r="J75"/>
    </row>
    <row r="76" ht="15" customHeight="true" x14ac:dyDescent="0.15">
      <c r="A76"/>
      <c r="B76"/>
      <c r="C76"/>
      <c r="D76"/>
      <c r="E76"/>
      <c r="F76"/>
      <c r="G76"/>
      <c r="H76"/>
      <c r="I76"/>
      <c r="J76"/>
    </row>
    <row r="77" ht="15" customHeight="true" x14ac:dyDescent="0.15">
      <c r="A77"/>
      <c r="B77"/>
      <c r="C77"/>
      <c r="D77"/>
      <c r="E77"/>
      <c r="F77"/>
      <c r="G77"/>
      <c r="H77"/>
      <c r="I77"/>
      <c r="J77"/>
    </row>
    <row r="78" ht="15" customHeight="true" x14ac:dyDescent="0.15">
      <c r="A78"/>
      <c r="B78"/>
      <c r="C78"/>
      <c r="D78"/>
      <c r="E78"/>
      <c r="F78"/>
      <c r="G78"/>
      <c r="H78"/>
      <c r="I78"/>
      <c r="J78"/>
    </row>
    <row r="79" ht="15" customHeight="true" x14ac:dyDescent="0.15">
      <c r="A79"/>
      <c r="B79"/>
      <c r="C79"/>
      <c r="D79"/>
      <c r="E79"/>
      <c r="F79"/>
      <c r="G79"/>
      <c r="H79"/>
      <c r="I79"/>
      <c r="J79"/>
    </row>
    <row r="80" ht="15" customHeight="true" x14ac:dyDescent="0.15">
      <c r="A80"/>
      <c r="B80"/>
      <c r="C80"/>
      <c r="D80"/>
      <c r="E80"/>
      <c r="F80"/>
      <c r="G80"/>
      <c r="H80"/>
      <c r="I80"/>
      <c r="J80"/>
    </row>
    <row r="81" ht="15" customHeight="true" x14ac:dyDescent="0.15">
      <c r="A81"/>
      <c r="B81"/>
      <c r="C81"/>
      <c r="D81"/>
      <c r="E81"/>
      <c r="F81"/>
      <c r="G81"/>
      <c r="H81"/>
      <c r="I81"/>
      <c r="J81"/>
    </row>
    <row r="82" ht="15" customHeight="true" x14ac:dyDescent="0.15">
      <c r="A82"/>
      <c r="B82"/>
      <c r="C82"/>
      <c r="D82"/>
      <c r="E82"/>
      <c r="F82"/>
      <c r="G82"/>
      <c r="H82"/>
      <c r="I82"/>
      <c r="J82"/>
    </row>
    <row r="83" ht="15" customHeight="true" x14ac:dyDescent="0.15">
      <c r="A83"/>
      <c r="B83"/>
      <c r="C83"/>
      <c r="D83"/>
      <c r="E83"/>
      <c r="F83"/>
      <c r="G83"/>
      <c r="H83"/>
      <c r="I83"/>
      <c r="J83"/>
    </row>
    <row r="84" ht="15" customHeight="true" x14ac:dyDescent="0.15">
      <c r="A84"/>
      <c r="B84"/>
      <c r="C84"/>
      <c r="D84"/>
      <c r="E84"/>
      <c r="F84"/>
      <c r="G84"/>
      <c r="H84"/>
      <c r="I84"/>
      <c r="J84"/>
    </row>
    <row r="85" ht="15" customHeight="true" x14ac:dyDescent="0.15">
      <c r="A85"/>
      <c r="B85"/>
      <c r="C85"/>
      <c r="D85"/>
      <c r="E85"/>
      <c r="F85"/>
      <c r="G85"/>
      <c r="H85"/>
      <c r="I85"/>
      <c r="J85"/>
    </row>
    <row r="86" ht="15" customHeight="true" x14ac:dyDescent="0.15">
      <c r="A86"/>
      <c r="B86"/>
      <c r="C86"/>
      <c r="D86"/>
      <c r="E86"/>
      <c r="F86"/>
      <c r="G86"/>
      <c r="H86"/>
      <c r="I86"/>
      <c r="J86"/>
    </row>
    <row r="87" ht="15" customHeight="true" x14ac:dyDescent="0.15">
      <c r="A87"/>
      <c r="B87"/>
      <c r="C87"/>
      <c r="D87"/>
      <c r="E87"/>
      <c r="F87"/>
      <c r="G87"/>
      <c r="H87"/>
      <c r="I87"/>
      <c r="J87"/>
    </row>
    <row r="88" ht="15" customHeight="true" x14ac:dyDescent="0.15">
      <c r="A88"/>
      <c r="B88"/>
      <c r="C88"/>
      <c r="D88"/>
      <c r="E88"/>
      <c r="F88"/>
      <c r="G88"/>
      <c r="H88"/>
      <c r="I88"/>
      <c r="J88"/>
    </row>
    <row r="89" ht="15" customHeight="true" x14ac:dyDescent="0.15">
      <c r="A89"/>
      <c r="B89"/>
      <c r="C89"/>
      <c r="D89"/>
      <c r="E89"/>
      <c r="F89"/>
      <c r="G89"/>
      <c r="H89"/>
      <c r="I89"/>
      <c r="J89"/>
    </row>
    <row r="90" ht="15" customHeight="true" x14ac:dyDescent="0.15">
      <c r="A90"/>
      <c r="B90"/>
      <c r="C90"/>
      <c r="D90"/>
      <c r="E90"/>
      <c r="F90"/>
      <c r="G90"/>
      <c r="H90"/>
      <c r="I90"/>
      <c r="J90"/>
    </row>
    <row r="91" ht="15" customHeight="true" x14ac:dyDescent="0.15">
      <c r="A91"/>
      <c r="B91"/>
      <c r="C91"/>
      <c r="D91"/>
      <c r="E91"/>
      <c r="F91"/>
      <c r="G91"/>
      <c r="H91"/>
      <c r="I91"/>
      <c r="J91"/>
    </row>
    <row r="92" ht="15" customHeight="true" x14ac:dyDescent="0.15">
      <c r="A92"/>
      <c r="B92"/>
      <c r="C92"/>
      <c r="D92"/>
      <c r="E92"/>
      <c r="F92"/>
      <c r="G92"/>
      <c r="H92"/>
      <c r="I92"/>
      <c r="J92"/>
    </row>
    <row r="93" ht="15" customHeight="true" x14ac:dyDescent="0.15">
      <c r="A93"/>
      <c r="B93"/>
      <c r="C93"/>
      <c r="D93"/>
      <c r="E93"/>
      <c r="F93"/>
      <c r="G93"/>
      <c r="H93"/>
      <c r="I93"/>
      <c r="J93"/>
    </row>
    <row r="94" ht="15" customHeight="true" x14ac:dyDescent="0.15">
      <c r="A94"/>
      <c r="B94"/>
      <c r="C94"/>
      <c r="D94"/>
      <c r="E94"/>
      <c r="F94"/>
      <c r="G94"/>
      <c r="H94"/>
      <c r="I94"/>
      <c r="J94"/>
    </row>
    <row r="95" ht="15" customHeight="true" x14ac:dyDescent="0.15">
      <c r="A95"/>
      <c r="B95"/>
      <c r="C95"/>
      <c r="D95"/>
      <c r="E95"/>
      <c r="F95"/>
      <c r="G95"/>
      <c r="H95"/>
      <c r="I95"/>
      <c r="J95"/>
    </row>
    <row r="96" ht="15" customHeight="true" x14ac:dyDescent="0.15">
      <c r="A96"/>
      <c r="B96"/>
      <c r="C96"/>
      <c r="D96"/>
      <c r="E96"/>
      <c r="F96"/>
      <c r="G96"/>
      <c r="H96"/>
      <c r="I96"/>
      <c r="J96"/>
    </row>
    <row r="97" ht="15" customHeight="true" x14ac:dyDescent="0.15">
      <c r="A97"/>
      <c r="B97"/>
      <c r="C97"/>
      <c r="D97"/>
      <c r="E97"/>
      <c r="F97"/>
      <c r="G97"/>
      <c r="H97"/>
      <c r="I97"/>
      <c r="J97"/>
    </row>
    <row r="98" ht="15" customHeight="true" x14ac:dyDescent="0.15">
      <c r="A98"/>
      <c r="B98"/>
      <c r="C98"/>
      <c r="D98"/>
      <c r="E98"/>
      <c r="F98"/>
      <c r="G98"/>
      <c r="H98"/>
      <c r="I98"/>
      <c r="J98"/>
    </row>
    <row r="99" ht="15" customHeight="true" x14ac:dyDescent="0.15">
      <c r="A99"/>
      <c r="B99"/>
      <c r="C99"/>
      <c r="D99"/>
      <c r="E99"/>
      <c r="F99"/>
      <c r="G99"/>
      <c r="H99"/>
      <c r="I99"/>
      <c r="J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AV40" activePane="bottomRight" state="frozen"/>
      <selection pane="topRight" activeCell="D1" sqref="D1"/>
      <selection pane="bottomLeft" activeCell="A2" sqref="A2"/>
      <selection pane="bottomRight" activeCell="A51" sqref="A51:XFD51"/>
    </sheetView>
  </sheetViews>
  <sheetFormatPr baseColWidth="10" defaultColWidth="8.83203125" defaultRowHeight="15" customHeight="true" x14ac:dyDescent="0.15"/>
  <cols>
    <col min="1" max="1" width="40.33203125" style="61" bestFit="true" customWidth="true"/>
    <col min="2" max="4" width="9.5" style="61" bestFit="true" customWidth="true"/>
    <col min="5" max="7" width="9" style="61" bestFit="true" customWidth="true"/>
    <col min="8" max="16" width="12.6640625" style="61" bestFit="true" customWidth="true"/>
    <col min="17" max="17" width="12.33203125" style="61" bestFit="true" customWidth="true"/>
    <col min="18" max="18" width="8.83203125" style="61"/>
    <col min="19" max="21" width="9.33203125" style="61" bestFit="true" customWidth="true"/>
    <col min="22" max="23" width="8.83203125" style="61"/>
    <col min="24" max="24" width="9.33203125" style="61" bestFit="true" customWidth="true"/>
    <col min="25" max="27" width="8.83203125" style="61"/>
    <col min="28" max="58" width="9" style="61" bestFit="true" customWidth="true"/>
    <col min="59" max="59" width="12.33203125" style="61" bestFit="true" customWidth="true"/>
    <col min="60" max="60" width="9" style="61" bestFit="true" customWidth="true"/>
    <col min="61" max="61" width="11.33203125" style="61" bestFit="true" customWidth="true"/>
    <col min="62" max="77" width="9" style="61" bestFit="true" customWidth="true"/>
    <col min="78" max="78" width="12.33203125" style="61" bestFit="true" customWidth="true"/>
    <col min="79" max="79" width="9" style="61" bestFit="true" customWidth="true"/>
    <col min="80" max="80" width="12.33203125" style="61" bestFit="true" customWidth="true"/>
    <col min="81" max="107" width="9" style="61" bestFit="true" customWidth="true"/>
    <col min="108" max="108" width="11.33203125" style="61" bestFit="true" customWidth="true"/>
    <col min="109" max="124" width="9" style="61" bestFit="true" customWidth="true"/>
    <col min="125" max="125" width="10.33203125" style="61" bestFit="true" customWidth="true"/>
    <col min="126" max="129" width="9.33203125" style="61" bestFit="true" customWidth="true"/>
    <col min="130" max="130" width="9" style="61" bestFit="true" customWidth="true"/>
    <col min="131" max="134" width="9.33203125" style="61" bestFit="true" customWidth="true"/>
    <col min="135" max="165" width="9" style="61" bestFit="true" customWidth="true"/>
    <col min="166" max="166" width="12.33203125" style="61" bestFit="true" customWidth="true"/>
    <col min="167" max="170" width="9" style="61" bestFit="true" customWidth="true"/>
    <col min="171" max="176" width="8.83203125" style="61"/>
    <col min="177" max="177" width="13.83203125" style="61" bestFit="true" customWidth="true"/>
    <col min="178" max="16384" width="8.83203125" style="61"/>
  </cols>
  <sheetData>
    <row r="1" ht="15" customHeight="true" x14ac:dyDescent="0.15">
      <c r="A1" t="s">
        <v>16</v>
      </c>
      <c r="B1" t="s">
        <v>1</v>
      </c>
      <c r="C1" t="s">
        <v>17</v>
      </c>
      <c r="D1" t="s">
        <v>260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  <c r="AK1" t="s">
        <v>210</v>
      </c>
      <c r="AL1" t="s">
        <v>211</v>
      </c>
      <c r="AM1" t="s">
        <v>212</v>
      </c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ht="15" customHeight="true" x14ac:dyDescent="0.15">
      <c r="A2" t="s">
        <v>178</v>
      </c>
      <c r="B2">
        <v>150</v>
      </c>
      <c r="C2">
        <v>145.73036193847656</v>
      </c>
      <c r="D2"/>
      <c r="E2"/>
      <c r="F2"/>
      <c r="G2"/>
      <c r="H2"/>
      <c r="I2"/>
      <c r="J2" s="21">
        <v>4.1176462173461914</v>
      </c>
      <c r="K2"/>
      <c r="L2" s="8">
        <v>4.9399998970329762E-3</v>
      </c>
      <c r="M2" s="8">
        <v>0.14705881476402283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ht="15" customHeight="true" x14ac:dyDescent="0.15">
      <c r="A3" t="s">
        <v>179</v>
      </c>
      <c r="B3">
        <v>150</v>
      </c>
      <c r="C3">
        <v>17.186710357666016</v>
      </c>
      <c r="D3"/>
      <c r="E3"/>
      <c r="F3"/>
      <c r="G3"/>
      <c r="H3"/>
      <c r="I3" s="238">
        <v>60.616752624511719</v>
      </c>
      <c r="J3" s="18">
        <v>3.0837001800537109</v>
      </c>
      <c r="K3" s="239">
        <v>69.07489013671875</v>
      </c>
      <c r="L3" s="8">
        <v>1.2331865727901459E-3</v>
      </c>
      <c r="M3" s="8">
        <v>3.6710720509290695E-2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ht="15" customHeight="true" x14ac:dyDescent="0.15">
      <c r="A4" t="s">
        <v>180</v>
      </c>
      <c r="B4">
        <v>200</v>
      </c>
      <c r="C4">
        <v>137.96525573730469</v>
      </c>
      <c r="D4"/>
      <c r="E4"/>
      <c r="F4"/>
      <c r="G4"/>
      <c r="H4"/>
      <c r="I4"/>
      <c r="J4"/>
      <c r="K4"/>
      <c r="L4"/>
      <c r="M4" s="230">
        <v>62.034740447998047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ht="15" customHeight="true" x14ac:dyDescent="0.15">
      <c r="A5" t="s">
        <v>181</v>
      </c>
      <c r="B5">
        <v>5.2199997901916504</v>
      </c>
      <c r="C5">
        <v>1.5433471202850342</v>
      </c>
      <c r="D5"/>
      <c r="E5"/>
      <c r="F5"/>
      <c r="G5"/>
      <c r="H5"/>
      <c r="I5"/>
      <c r="J5"/>
      <c r="K5"/>
      <c r="L5"/>
      <c r="M5" s="83">
        <v>0.51282048225402832</v>
      </c>
      <c r="N5"/>
      <c r="O5"/>
      <c r="P5"/>
      <c r="Q5" s="232">
        <v>3.028846263885498</v>
      </c>
      <c r="R5"/>
      <c r="S5"/>
      <c r="T5" s="11">
        <v>6.461538840085268E-3</v>
      </c>
      <c r="U5" s="19">
        <v>4.4280722737312317E-2</v>
      </c>
      <c r="V5" s="12">
        <v>4.6623595058917999E-2</v>
      </c>
      <c r="W5" s="19">
        <v>3.7620004266500473E-2</v>
      </c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ht="15" customHeight="true" x14ac:dyDescent="0.15">
      <c r="A6" t="s">
        <v>182</v>
      </c>
      <c r="B6">
        <v>10</v>
      </c>
      <c r="C6">
        <v>3.0439257621765137</v>
      </c>
      <c r="D6"/>
      <c r="E6"/>
      <c r="F6"/>
      <c r="G6"/>
      <c r="H6"/>
      <c r="I6" s="236">
        <v>4.3000006675720215</v>
      </c>
      <c r="J6" s="78">
        <v>1.7499997615814209</v>
      </c>
      <c r="K6"/>
      <c r="L6" s="8">
        <v>5.2487500943243504E-4</v>
      </c>
      <c r="M6" s="11">
        <v>2.4999998509883881E-2</v>
      </c>
      <c r="N6" s="9">
        <v>3.0796883627772331E-2</v>
      </c>
      <c r="O6" s="8">
        <v>4.4484366662800312E-3</v>
      </c>
      <c r="P6" s="65">
        <v>0.4503515362739563</v>
      </c>
      <c r="Q6" s="10">
        <v>0.38169142603874207</v>
      </c>
      <c r="R6"/>
      <c r="S6"/>
      <c r="T6" s="8">
        <v>9.1875001089647412E-4</v>
      </c>
      <c r="U6" s="8">
        <v>1.6190139576792717E-3</v>
      </c>
      <c r="V6" s="8">
        <v>1.1161561997141689E-4</v>
      </c>
      <c r="W6" s="8">
        <v>2.468812745064497E-4</v>
      </c>
      <c r="X6"/>
      <c r="Y6" s="8">
        <v>3.1467557419091463E-3</v>
      </c>
      <c r="Z6" s="8">
        <v>3.1149721024803512E-8</v>
      </c>
      <c r="AA6" s="8">
        <v>1.0855029586309684E-6</v>
      </c>
      <c r="AB6" s="8">
        <v>2.6171250055995188E-7</v>
      </c>
      <c r="AC6" s="8">
        <v>2.9997374895174289E-6</v>
      </c>
      <c r="AD6" s="8">
        <v>2.6145823994738748E-6</v>
      </c>
      <c r="AE6" s="8">
        <v>1.8842643839889206E-5</v>
      </c>
      <c r="AF6" s="8">
        <v>1.1429689038777724E-5</v>
      </c>
      <c r="AG6" s="8">
        <v>1.0810638777911663E-3</v>
      </c>
      <c r="AH6" s="8">
        <v>5.9030358679592609E-3</v>
      </c>
      <c r="AI6" s="8">
        <v>1.9526823598425835E-4</v>
      </c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ht="15" customHeight="true" x14ac:dyDescent="0.15">
      <c r="A7" t="s">
        <v>183</v>
      </c>
      <c r="B7">
        <v>5</v>
      </c>
      <c r="C7">
        <v>2.8365983963012695</v>
      </c>
      <c r="D7"/>
      <c r="E7"/>
      <c r="F7"/>
      <c r="G7"/>
      <c r="H7"/>
      <c r="I7"/>
      <c r="J7"/>
      <c r="K7"/>
      <c r="L7"/>
      <c r="M7" s="12">
        <v>5.000000074505806E-2</v>
      </c>
      <c r="N7" s="9">
        <v>1.6425004228949547E-2</v>
      </c>
      <c r="O7" s="20">
        <v>3.4163989126682281E-2</v>
      </c>
      <c r="P7" s="235">
        <v>1.4411249160766602</v>
      </c>
      <c r="Q7" s="84">
        <v>0.57172501087188721</v>
      </c>
      <c r="R7" s="8">
        <v>6.8319997808430344E-5</v>
      </c>
      <c r="S7" s="8">
        <v>4.3008001521229744E-3</v>
      </c>
      <c r="T7" s="8">
        <v>8.4000005153939128E-4</v>
      </c>
      <c r="U7" s="8">
        <v>1.7269480740651488E-3</v>
      </c>
      <c r="V7" s="8">
        <v>4.5458003296516836E-4</v>
      </c>
      <c r="W7" s="8">
        <v>1.692900201305747E-3</v>
      </c>
      <c r="X7"/>
      <c r="Y7" s="11">
        <v>5.0348090007901192E-3</v>
      </c>
      <c r="Z7" s="8">
        <v>3.1149856027923306E-8</v>
      </c>
      <c r="AA7" s="8">
        <v>6.9472189352381974E-6</v>
      </c>
      <c r="AB7" s="8">
        <v>1.674960003583692E-6</v>
      </c>
      <c r="AC7" s="8">
        <v>1.9198319932911545E-5</v>
      </c>
      <c r="AD7" s="8">
        <v>1.6733327356632799E-5</v>
      </c>
      <c r="AE7" s="8">
        <v>8.1481703091412783E-5</v>
      </c>
      <c r="AF7" s="8">
        <v>7.8375007433351129E-5</v>
      </c>
      <c r="AG7" s="11">
        <v>6.6527016460895538E-3</v>
      </c>
      <c r="AH7" s="20">
        <v>2.8334569185972214E-2</v>
      </c>
      <c r="AI7" s="8">
        <v>6.2485836679115891E-4</v>
      </c>
      <c r="AJ7" s="8">
        <v>2.7632826459011994E-5</v>
      </c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ht="15" customHeight="true" x14ac:dyDescent="0.15">
      <c r="A8" t="s">
        <v>184</v>
      </c>
      <c r="B8">
        <v>24</v>
      </c>
      <c r="C8">
        <v>1.2402849197387695</v>
      </c>
      <c r="D8"/>
      <c r="E8"/>
      <c r="F8"/>
      <c r="G8"/>
      <c r="H8"/>
      <c r="I8" s="237">
        <v>19.657146453857422</v>
      </c>
      <c r="J8" s="75">
        <v>1.9999997615814209</v>
      </c>
      <c r="K8"/>
      <c r="L8"/>
      <c r="M8" s="11">
        <v>5.7142853736877441E-2</v>
      </c>
      <c r="N8" s="11">
        <v>3.5196438431739807E-2</v>
      </c>
      <c r="O8" s="8">
        <v>4.0671420283615589E-3</v>
      </c>
      <c r="P8" s="10">
        <v>0.88232141733169556</v>
      </c>
      <c r="Q8" s="20">
        <v>0.11812500655651093</v>
      </c>
      <c r="R8"/>
      <c r="S8"/>
      <c r="T8"/>
      <c r="U8" s="8">
        <v>3.0838360544294119E-3</v>
      </c>
      <c r="V8" s="8">
        <v>6.0301425401121378E-4</v>
      </c>
      <c r="W8" s="8">
        <v>3.2245717011392117E-4</v>
      </c>
      <c r="X8"/>
      <c r="Y8" s="8">
        <v>7.19258445315063E-4</v>
      </c>
      <c r="Z8"/>
      <c r="AA8" s="8">
        <v>2.4811495222820668E-6</v>
      </c>
      <c r="AB8" s="8">
        <v>5.9820001752086682E-7</v>
      </c>
      <c r="AC8" s="8">
        <v>6.8565427682187874E-6</v>
      </c>
      <c r="AD8" s="8">
        <v>5.9761882766906638E-6</v>
      </c>
      <c r="AE8" s="8">
        <v>1.1640243428701069E-5</v>
      </c>
      <c r="AF8" s="8">
        <v>1.1196430023119319E-5</v>
      </c>
      <c r="AG8" s="8">
        <v>9.5038593281060457E-4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ht="15" customHeight="true" x14ac:dyDescent="0.15">
      <c r="A9" t="s">
        <v>185</v>
      </c>
      <c r="B9">
        <v>1.4500000476837158</v>
      </c>
      <c r="C9">
        <v>0.44974902272224426</v>
      </c>
      <c r="D9"/>
      <c r="E9"/>
      <c r="F9"/>
      <c r="G9"/>
      <c r="H9"/>
      <c r="I9"/>
      <c r="J9"/>
      <c r="K9"/>
      <c r="L9" s="22">
        <v>4.4199999421834946E-2</v>
      </c>
      <c r="M9" s="67">
        <v>0.1315789669752121</v>
      </c>
      <c r="N9"/>
      <c r="O9"/>
      <c r="P9"/>
      <c r="Q9" s="79">
        <v>0.31085529923439026</v>
      </c>
      <c r="R9"/>
      <c r="S9"/>
      <c r="T9" s="69">
        <v>0.29842108488082886</v>
      </c>
      <c r="U9" s="58">
        <v>0.1136150136590004</v>
      </c>
      <c r="V9"/>
      <c r="W9"/>
      <c r="X9"/>
      <c r="Y9"/>
      <c r="Z9"/>
      <c r="AA9"/>
      <c r="AB9"/>
      <c r="AC9"/>
      <c r="AD9"/>
      <c r="AE9"/>
      <c r="AF9" s="19">
        <v>1.0312501341104507E-2</v>
      </c>
      <c r="AG9" s="222">
        <v>8.7535552680492401E-2</v>
      </c>
      <c r="AH9"/>
      <c r="AI9"/>
      <c r="AJ9" s="11">
        <v>3.6358984652906656E-3</v>
      </c>
      <c r="AK9" s="8">
        <v>9.6829033282119781E-5</v>
      </c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ht="15" customHeight="true" x14ac:dyDescent="0.15">
      <c r="A10" t="s">
        <v>186</v>
      </c>
      <c r="B10">
        <v>2.5</v>
      </c>
      <c r="C10">
        <v>0.72926968336105347</v>
      </c>
      <c r="D10"/>
      <c r="E10"/>
      <c r="F10"/>
      <c r="G10"/>
      <c r="H10"/>
      <c r="I10"/>
      <c r="J10"/>
      <c r="K10"/>
      <c r="L10" s="14">
        <v>3.3592000603675842E-2</v>
      </c>
      <c r="M10"/>
      <c r="N10"/>
      <c r="O10"/>
      <c r="P10"/>
      <c r="Q10" s="234">
        <v>1.6537500619888306</v>
      </c>
      <c r="R10"/>
      <c r="S10"/>
      <c r="T10" s="19">
        <v>2.1000001579523087E-2</v>
      </c>
      <c r="U10" s="14">
        <v>3.4538961946964264E-2</v>
      </c>
      <c r="V10" s="9">
        <v>9.091600775718689E-3</v>
      </c>
      <c r="W10" s="19">
        <v>1.8057601526379585E-2</v>
      </c>
      <c r="X10" s="8">
        <v>5.3279998246580362E-4</v>
      </c>
      <c r="Y10"/>
      <c r="Z10"/>
      <c r="AA10"/>
      <c r="AB10"/>
      <c r="AC10"/>
      <c r="AD10" s="8">
        <v>1.6733327356632799E-4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ht="15" customHeight="true" x14ac:dyDescent="0.15">
      <c r="A11" t="s">
        <v>187</v>
      </c>
      <c r="B11">
        <v>4.5</v>
      </c>
      <c r="C11">
        <v>0.99425601959228516</v>
      </c>
      <c r="D11"/>
      <c r="E11"/>
      <c r="F11"/>
      <c r="G11"/>
      <c r="H11"/>
      <c r="I11"/>
      <c r="J11"/>
      <c r="K11"/>
      <c r="L11"/>
      <c r="M11"/>
      <c r="N11"/>
      <c r="O11" s="228">
        <v>1.5816663503646851</v>
      </c>
      <c r="P11"/>
      <c r="Q11"/>
      <c r="R11" s="20">
        <v>3.0364440754055977E-2</v>
      </c>
      <c r="S11" s="21">
        <v>0.11946666240692139</v>
      </c>
      <c r="T11"/>
      <c r="U11"/>
      <c r="V11"/>
      <c r="W11"/>
      <c r="X11" s="8">
        <v>2.9599998379126191E-4</v>
      </c>
      <c r="Y11" s="73">
        <v>0.33565393090248108</v>
      </c>
      <c r="Z11" s="8">
        <v>6.3960824627429247E-4</v>
      </c>
      <c r="AA11" s="9">
        <v>1.7368044704198837E-2</v>
      </c>
      <c r="AB11" s="8">
        <v>4.1873999871313572E-3</v>
      </c>
      <c r="AC11" s="20">
        <v>2.8797481209039688E-2</v>
      </c>
      <c r="AD11" s="20">
        <v>2.3240732029080391E-2</v>
      </c>
      <c r="AE11" s="13">
        <v>7.2428174316883087E-2</v>
      </c>
      <c r="AF11" s="8">
        <v>5.8055558474734426E-4</v>
      </c>
      <c r="AG11" s="20">
        <v>2.956756018102169E-2</v>
      </c>
      <c r="AH11" s="26">
        <v>0.20988570153713226</v>
      </c>
      <c r="AI11" s="227">
        <v>0.97200185060501099</v>
      </c>
      <c r="AJ11" s="9">
        <v>1.5351569280028343E-2</v>
      </c>
      <c r="AK11" s="8">
        <v>8.1766722723841667E-4</v>
      </c>
      <c r="AL11" s="14">
        <v>6.3306353986263275E-2</v>
      </c>
      <c r="AM11" s="8">
        <v>1.242354919668287E-4</v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ht="15" customHeight="true" x14ac:dyDescent="0.15">
      <c r="A12" t="s">
        <v>188</v>
      </c>
      <c r="B12">
        <v>2.7000000476837158</v>
      </c>
      <c r="C12">
        <v>1.2632969617843628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 s="13">
        <v>4.3094154447317123E-2</v>
      </c>
      <c r="S12" s="222">
        <v>0.16541539132595062</v>
      </c>
      <c r="T12"/>
      <c r="U12"/>
      <c r="V12" s="11">
        <v>4.995384719222784E-3</v>
      </c>
      <c r="W12" s="222">
        <v>0.16494925320148468</v>
      </c>
      <c r="X12" s="9">
        <v>9.0166153386235237E-3</v>
      </c>
      <c r="Y12" s="14">
        <v>3.8729302585124969E-2</v>
      </c>
      <c r="Z12" s="8">
        <v>6.4408103935420513E-4</v>
      </c>
      <c r="AA12" s="11">
        <v>2.6720073074102402E-3</v>
      </c>
      <c r="AB12" s="8">
        <v>6.4421539718750864E-5</v>
      </c>
      <c r="AC12" s="9">
        <v>8.1223659217357635E-3</v>
      </c>
      <c r="AD12" s="11">
        <v>6.4358953386545181E-3</v>
      </c>
      <c r="AE12" s="16">
        <v>5.0142589956521988E-2</v>
      </c>
      <c r="AF12"/>
      <c r="AG12"/>
      <c r="AH12" s="76">
        <v>0.19374066591262817</v>
      </c>
      <c r="AI12" s="221">
        <v>0.67292439937591553</v>
      </c>
      <c r="AJ12" s="9">
        <v>1.0628010146319866E-2</v>
      </c>
      <c r="AK12" s="8">
        <v>1.6982320230454206E-3</v>
      </c>
      <c r="AL12" s="64">
        <v>6.3306368887424469E-2</v>
      </c>
      <c r="AM12" s="8">
        <v>1.2395810335874557E-4</v>
      </c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ht="15" customHeight="true" x14ac:dyDescent="0.15">
      <c r="A13" t="s">
        <v>189</v>
      </c>
      <c r="B13">
        <v>0.5</v>
      </c>
      <c r="C13">
        <v>8.0030560493469238E-3</v>
      </c>
      <c r="D13"/>
      <c r="E13"/>
      <c r="F13"/>
      <c r="G13"/>
      <c r="H13"/>
      <c r="I13"/>
      <c r="J13"/>
      <c r="K13"/>
      <c r="L13"/>
      <c r="M13"/>
      <c r="N13"/>
      <c r="O13" s="60">
        <v>8.4355540573596954E-2</v>
      </c>
      <c r="P13"/>
      <c r="Q13" s="233">
        <v>0.17499999701976776</v>
      </c>
      <c r="R13" s="8">
        <v>4.0688351145945489E-4</v>
      </c>
      <c r="S13" s="22">
        <v>1.5928888693451881E-2</v>
      </c>
      <c r="T13"/>
      <c r="U13"/>
      <c r="V13" s="20">
        <v>2.5976002216339111E-3</v>
      </c>
      <c r="W13" s="19">
        <v>3.6784003023058176E-3</v>
      </c>
      <c r="X13" s="8">
        <v>1.5391999113489874E-5</v>
      </c>
      <c r="Y13" s="13">
        <v>7.4589764699339867E-3</v>
      </c>
      <c r="Z13" s="8">
        <v>1.0078675586555619E-5</v>
      </c>
      <c r="AA13" s="8">
        <v>1.6982090892270207E-4</v>
      </c>
      <c r="AB13" s="8">
        <v>5.210986637393944E-5</v>
      </c>
      <c r="AC13" s="11">
        <v>6.5416499273851514E-4</v>
      </c>
      <c r="AD13" s="11">
        <v>4.908442497253418E-4</v>
      </c>
      <c r="AE13" s="8">
        <v>1.9314180826768279E-4</v>
      </c>
      <c r="AF13"/>
      <c r="AG13" s="11">
        <v>1.0841438779607415E-3</v>
      </c>
      <c r="AH13" s="23">
        <v>1.3059555552899837E-2</v>
      </c>
      <c r="AI13" s="231">
        <v>0.14626315236091614</v>
      </c>
      <c r="AJ13" s="58">
        <v>3.8890641182661057E-2</v>
      </c>
      <c r="AK13" s="11">
        <v>9.8120071925222874E-4</v>
      </c>
      <c r="AL13" s="11">
        <v>7.0340401725843549E-4</v>
      </c>
      <c r="AM13" s="8">
        <v>3.0301337119453819E-6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ht="15" customHeight="true" x14ac:dyDescent="0.15">
      <c r="A14" t="s">
        <v>190</v>
      </c>
      <c r="B14">
        <v>0.89999997615814209</v>
      </c>
      <c r="C14">
        <v>0.75206917524337769</v>
      </c>
      <c r="D14"/>
      <c r="E14"/>
      <c r="F14"/>
      <c r="G14"/>
      <c r="H14"/>
      <c r="I14"/>
      <c r="J14"/>
      <c r="K14"/>
      <c r="L14"/>
      <c r="M14"/>
      <c r="N14"/>
      <c r="O14" s="229">
        <v>7.5919978320598602E-2</v>
      </c>
      <c r="P14"/>
      <c r="Q14"/>
      <c r="R14" s="8">
        <v>5.9514306485652924E-4</v>
      </c>
      <c r="S14" s="13">
        <v>1.4336000196635723E-2</v>
      </c>
      <c r="T14"/>
      <c r="U14"/>
      <c r="V14" s="11">
        <v>1.1544888839125633E-3</v>
      </c>
      <c r="W14" s="11">
        <v>2.0064001437276602E-3</v>
      </c>
      <c r="X14" s="8">
        <v>1.3023999599681702E-5</v>
      </c>
      <c r="Y14" s="11">
        <v>2.237692940980196E-3</v>
      </c>
      <c r="Z14" s="8">
        <v>1.0466316780366469E-5</v>
      </c>
      <c r="AA14" s="8">
        <v>1.235061208717525E-4</v>
      </c>
      <c r="AB14" s="8">
        <v>2.9777067538816482E-5</v>
      </c>
      <c r="AC14" s="8">
        <v>5.1195523701608181E-4</v>
      </c>
      <c r="AD14" s="8">
        <v>7.0651830174028873E-4</v>
      </c>
      <c r="AE14" s="8">
        <v>1.4485635620076209E-4</v>
      </c>
      <c r="AF14"/>
      <c r="AG14" s="8">
        <v>8.278917521238327E-4</v>
      </c>
      <c r="AH14" s="15">
        <v>1.1193905025720596E-2</v>
      </c>
      <c r="AI14" s="10">
        <v>3.332577645778656E-2</v>
      </c>
      <c r="AJ14" s="9">
        <v>3.9300019852817059E-3</v>
      </c>
      <c r="AK14" s="8">
        <v>1.569921150803566E-4</v>
      </c>
      <c r="AL14" s="8">
        <v>7.034040754660964E-4</v>
      </c>
      <c r="AM14" s="8">
        <v>3.0301334845717065E-6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ht="15" customHeight="true" x14ac:dyDescent="0.15">
      <c r="A15" t="s">
        <v>191</v>
      </c>
      <c r="B15">
        <v>0.12999999523162842</v>
      </c>
      <c r="C15">
        <v>1.861733733676374E-3</v>
      </c>
      <c r="D15" s="217">
        <v>5.4332554340362549E-2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 s="63">
        <v>1.5597189776599407E-2</v>
      </c>
      <c r="Y15"/>
      <c r="Z15"/>
      <c r="AA15"/>
      <c r="AB15"/>
      <c r="AC15"/>
      <c r="AD15"/>
      <c r="AE15"/>
      <c r="AF15"/>
      <c r="AG15"/>
      <c r="AH15"/>
      <c r="AI15"/>
      <c r="AJ15" s="221">
        <v>3.235694020986557E-2</v>
      </c>
      <c r="AK15" s="20">
        <v>8.6171034490689635E-4</v>
      </c>
      <c r="AL15" s="68">
        <v>2.4462645873427391E-2</v>
      </c>
      <c r="AM15" s="9">
        <v>5.2722200052812696E-4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ht="15" customHeight="true" x14ac:dyDescent="0.15">
      <c r="A16" t="s">
        <v>192</v>
      </c>
      <c r="B16">
        <v>0.2199999988079071</v>
      </c>
      <c r="C16">
        <v>0.18434110283851624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 s="23">
        <v>5.6933332234621048E-3</v>
      </c>
      <c r="S16"/>
      <c r="T16"/>
      <c r="U16"/>
      <c r="V16"/>
      <c r="W16"/>
      <c r="X16" s="19">
        <v>1.5857142861932516E-3</v>
      </c>
      <c r="Y16"/>
      <c r="Z16"/>
      <c r="AA16"/>
      <c r="AB16"/>
      <c r="AC16"/>
      <c r="AD16"/>
      <c r="AE16"/>
      <c r="AF16"/>
      <c r="AG16"/>
      <c r="AH16"/>
      <c r="AI16"/>
      <c r="AJ16" s="13">
        <v>3.2896222546696663E-3</v>
      </c>
      <c r="AK16" s="8">
        <v>8.7607222667429596E-5</v>
      </c>
      <c r="AL16" s="82">
        <v>2.4475445970892906E-2</v>
      </c>
      <c r="AM16" s="11">
        <v>5.2717828657478094E-4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ht="15" customHeight="true" x14ac:dyDescent="0.15">
      <c r="A17" t="s">
        <v>193</v>
      </c>
      <c r="B17">
        <v>0.31999999284744263</v>
      </c>
      <c r="C17">
        <v>0.15788322687149048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 s="76">
        <v>2.3192856460809708E-2</v>
      </c>
      <c r="W17"/>
      <c r="X17" s="70">
        <v>9.5142852514982224E-3</v>
      </c>
      <c r="Y17"/>
      <c r="Z17"/>
      <c r="AA17"/>
      <c r="AB17"/>
      <c r="AC17"/>
      <c r="AD17"/>
      <c r="AE17"/>
      <c r="AF17" s="225">
        <v>7.4642866849899292E-2</v>
      </c>
      <c r="AG17" s="70">
        <v>9.5038600265979767E-3</v>
      </c>
      <c r="AH17"/>
      <c r="AI17"/>
      <c r="AJ17" s="222">
        <v>1.9737733528017998E-2</v>
      </c>
      <c r="AK17" s="11">
        <v>5.2564329234883189E-4</v>
      </c>
      <c r="AL17" s="24">
        <v>2.4472428485751152E-2</v>
      </c>
      <c r="AM17" s="11">
        <v>5.2711338503286242E-4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ht="15" customHeight="true" x14ac:dyDescent="0.15">
      <c r="A18" t="s">
        <v>194</v>
      </c>
      <c r="B18">
        <v>0.50199997425079346</v>
      </c>
      <c r="C18">
        <v>0.41147005558013916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 s="19">
        <v>3.4797957632690668E-3</v>
      </c>
      <c r="S18"/>
      <c r="T18"/>
      <c r="U18"/>
      <c r="V18"/>
      <c r="W18"/>
      <c r="X18" s="15">
        <v>5.6536500342190266E-3</v>
      </c>
      <c r="Y18"/>
      <c r="Z18"/>
      <c r="AA18"/>
      <c r="AB18"/>
      <c r="AC18"/>
      <c r="AD18"/>
      <c r="AE18"/>
      <c r="AF18" s="57">
        <v>4.4354844838380814E-2</v>
      </c>
      <c r="AG18"/>
      <c r="AH18"/>
      <c r="AI18"/>
      <c r="AJ18" s="64">
        <v>1.172870397567749E-2</v>
      </c>
      <c r="AK18" s="8">
        <v>3.1235170899890363E-4</v>
      </c>
      <c r="AL18" s="72">
        <v>2.4473445490002632E-2</v>
      </c>
      <c r="AM18" s="11">
        <v>5.2713521290570498E-4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ht="15" customHeight="true" x14ac:dyDescent="0.15">
      <c r="A19" t="s">
        <v>195</v>
      </c>
      <c r="B19">
        <v>0.20999999344348907</v>
      </c>
      <c r="C19">
        <v>0.11119579523801804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 s="71">
        <v>6.9738221354782581E-3</v>
      </c>
      <c r="Y19"/>
      <c r="Z19"/>
      <c r="AA19"/>
      <c r="AB19"/>
      <c r="AC19"/>
      <c r="AD19"/>
      <c r="AE19"/>
      <c r="AF19" s="224">
        <v>5.1976446062326431E-2</v>
      </c>
      <c r="AG19"/>
      <c r="AH19"/>
      <c r="AI19"/>
      <c r="AJ19" s="74">
        <v>1.4467448927462101E-2</v>
      </c>
      <c r="AK19" s="11">
        <v>3.8528829463757575E-4</v>
      </c>
      <c r="AL19" s="77">
        <v>2.4474043399095535E-2</v>
      </c>
      <c r="AM19" s="11">
        <v>5.2714807679876685E-4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ht="15" customHeight="true" x14ac:dyDescent="0.15">
      <c r="A20" t="s">
        <v>196</v>
      </c>
      <c r="B20">
        <v>0.18999999761581421</v>
      </c>
      <c r="C20">
        <v>0.15768496692180634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 s="15">
        <v>2.3368420079350471E-3</v>
      </c>
      <c r="Y20"/>
      <c r="Z20"/>
      <c r="AA20"/>
      <c r="AB20"/>
      <c r="AC20"/>
      <c r="AD20"/>
      <c r="AE20"/>
      <c r="AF20"/>
      <c r="AG20"/>
      <c r="AH20"/>
      <c r="AI20"/>
      <c r="AJ20" s="23">
        <v>4.8478641547262669E-3</v>
      </c>
      <c r="AK20" s="8">
        <v>1.2910537770949304E-4</v>
      </c>
      <c r="AL20" s="226">
        <v>2.4474017322063446E-2</v>
      </c>
      <c r="AM20" s="11">
        <v>5.2719534141942859E-4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ht="15" customHeight="true" x14ac:dyDescent="0.15">
      <c r="A21" t="s">
        <v>197</v>
      </c>
      <c r="B21">
        <v>0.14000000059604645</v>
      </c>
      <c r="C21">
        <v>0.11485437303781509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 s="85">
        <v>2.4619139730930328E-2</v>
      </c>
      <c r="AM21" s="9">
        <v>5.2648573182523251E-4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ht="15" customHeight="true" x14ac:dyDescent="0.15">
      <c r="A22" t="s">
        <v>198</v>
      </c>
      <c r="B22">
        <v>0.15999999642372131</v>
      </c>
      <c r="C22">
        <v>8.6514405906200409E-2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 s="220">
        <v>7.1730777621269226E-2</v>
      </c>
      <c r="AA22"/>
      <c r="AB22"/>
      <c r="AC22"/>
      <c r="AD22"/>
      <c r="AE22"/>
      <c r="AF22"/>
      <c r="AG22"/>
      <c r="AH22"/>
      <c r="AI22"/>
      <c r="AJ22"/>
      <c r="AK22"/>
      <c r="AL22"/>
      <c r="AM22" s="15">
        <v>1.7548099858686328E-3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ht="15" customHeight="true" x14ac:dyDescent="0.15">
      <c r="A23" t="s">
        <v>199</v>
      </c>
      <c r="B23">
        <v>7.0000000298023224E-2</v>
      </c>
      <c r="C23">
        <v>6.8253569304943085E-2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 s="23">
        <v>1.7464315751567483E-3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ht="15" customHeight="true" x14ac:dyDescent="0.15">
      <c r="A24" t="s">
        <v>200</v>
      </c>
      <c r="B24">
        <v>2.7000000700354576E-2</v>
      </c>
      <c r="C24">
        <v>2.5235394015908241E-2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 s="59">
        <v>1.764607266522944E-3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ht="15" customHeight="true" x14ac:dyDescent="0.15">
      <c r="A25" t="s">
        <v>201</v>
      </c>
      <c r="B25">
        <v>2.7000000700354576E-2</v>
      </c>
      <c r="C25">
        <v>2.5246851146221161E-2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 s="59">
        <v>1.7531488556414843E-3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ht="15" customHeight="true" x14ac:dyDescent="0.15">
      <c r="A26" t="s">
        <v>202</v>
      </c>
      <c r="B26">
        <v>2.7000000700354576E-2</v>
      </c>
      <c r="C26">
        <v>2.5252684950828552E-2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 s="59">
        <v>1.7473165644332767E-3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ht="15" customHeight="true" x14ac:dyDescent="0.15">
      <c r="A27" t="s">
        <v>203</v>
      </c>
      <c r="B27">
        <v>5.000000074505806E-2</v>
      </c>
      <c r="C27">
        <v>4.8245243728160858E-2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 s="25">
        <v>1.7547587631270289E-3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ht="15" customHeight="true" x14ac:dyDescent="0.15">
      <c r="A28" t="s">
        <v>204</v>
      </c>
      <c r="B28">
        <v>3.9999999105930328E-2</v>
      </c>
      <c r="C28">
        <v>3.8241799920797348E-2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 s="17">
        <v>1.758199417963624E-3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ht="15" customHeight="true" x14ac:dyDescent="0.15">
      <c r="A29" t="s">
        <v>205</v>
      </c>
      <c r="B29">
        <v>0.20000000298023224</v>
      </c>
      <c r="C29">
        <v>0.13564087450504303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 s="218">
        <v>6.2597587704658508E-2</v>
      </c>
      <c r="AA29"/>
      <c r="AB29"/>
      <c r="AC29"/>
      <c r="AD29"/>
      <c r="AE29"/>
      <c r="AF29"/>
      <c r="AG29"/>
      <c r="AH29"/>
      <c r="AI29"/>
      <c r="AJ29"/>
      <c r="AK29"/>
      <c r="AL29"/>
      <c r="AM29" s="19">
        <v>1.7615368124097586E-3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ht="15" customHeight="true" x14ac:dyDescent="0.15">
      <c r="A30" t="s">
        <v>206</v>
      </c>
      <c r="B30">
        <v>0.15999999642372131</v>
      </c>
      <c r="C30">
        <v>8.0416008830070496E-2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 s="219">
        <v>5.5279847234487534E-2</v>
      </c>
      <c r="AA30"/>
      <c r="AB30"/>
      <c r="AC30"/>
      <c r="AD30" s="10">
        <v>5.8920173905789852E-3</v>
      </c>
      <c r="AE30" s="76">
        <v>1.1476297862827778E-2</v>
      </c>
      <c r="AF30"/>
      <c r="AG30"/>
      <c r="AH30"/>
      <c r="AI30"/>
      <c r="AJ30"/>
      <c r="AK30" s="71">
        <v>5.1823989488184452E-3</v>
      </c>
      <c r="AL30"/>
      <c r="AM30" s="15">
        <v>1.7534231301397085E-3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ht="15" customHeight="true" x14ac:dyDescent="0.15">
      <c r="A31" t="s">
        <v>207</v>
      </c>
      <c r="B31">
        <v>0.18500000238418579</v>
      </c>
      <c r="C31">
        <v>0.12231229245662689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 s="223">
        <v>5.6133344769477844E-2</v>
      </c>
      <c r="AA31"/>
      <c r="AB31"/>
      <c r="AC31"/>
      <c r="AD31" s="20">
        <v>1.0198274394497275E-3</v>
      </c>
      <c r="AE31" s="12">
        <v>1.986389746889472E-3</v>
      </c>
      <c r="AF31"/>
      <c r="AG31"/>
      <c r="AH31"/>
      <c r="AI31"/>
      <c r="AJ31"/>
      <c r="AK31" s="12">
        <v>1.7940044635906816E-3</v>
      </c>
      <c r="AL31"/>
      <c r="AM31" s="12">
        <v>1.7541458364576101E-3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ht="15" customHeight="true" x14ac:dyDescent="0.15">
      <c r="A32" t="s">
        <v>208</v>
      </c>
      <c r="B32">
        <v>0.125</v>
      </c>
      <c r="C32">
        <v>6.5438702702522278E-2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 s="220">
        <v>5.6184872984886169E-2</v>
      </c>
      <c r="AA32"/>
      <c r="AB32"/>
      <c r="AC32"/>
      <c r="AD32" s="9">
        <v>5.6852656416594982E-4</v>
      </c>
      <c r="AE32" s="9">
        <v>5.5367965251207352E-4</v>
      </c>
      <c r="AF32"/>
      <c r="AG32"/>
      <c r="AH32"/>
      <c r="AI32"/>
      <c r="AJ32"/>
      <c r="AK32" s="9">
        <v>5.0005479715764523E-4</v>
      </c>
      <c r="AL32"/>
      <c r="AM32" s="14">
        <v>1.7541599227115512E-3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ht="15" customHeight="true" x14ac:dyDescent="0.15">
      <c r="A33" t="s">
        <v>209</v>
      </c>
      <c r="B33">
        <v>0.10000000149011612</v>
      </c>
      <c r="C33">
        <v>9.3851551413536072E-2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 s="17">
        <v>4.3943240307271481E-3</v>
      </c>
      <c r="AA33"/>
      <c r="AB33"/>
      <c r="AC33"/>
      <c r="AD33"/>
      <c r="AE33"/>
      <c r="AF33"/>
      <c r="AG33"/>
      <c r="AH33"/>
      <c r="AI33"/>
      <c r="AJ33"/>
      <c r="AK33"/>
      <c r="AL33"/>
      <c r="AM33" s="16">
        <v>1.7541280249133706E-3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ht="15" customHeight="true" x14ac:dyDescent="0.15">
      <c r="A34" t="s">
        <v>210</v>
      </c>
      <c r="B34">
        <v>0.10000000149011612</v>
      </c>
      <c r="C34">
        <v>9.3244902789592743E-2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 s="72">
        <v>4.9991956911981106E-3</v>
      </c>
      <c r="AA34"/>
      <c r="AB34"/>
      <c r="AC34"/>
      <c r="AD34"/>
      <c r="AE34"/>
      <c r="AF34"/>
      <c r="AG34"/>
      <c r="AH34"/>
      <c r="AI34"/>
      <c r="AJ34"/>
      <c r="AK34"/>
      <c r="AL34"/>
      <c r="AM34" s="16">
        <v>1.7559026600793004E-3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ht="15" customHeight="true" x14ac:dyDescent="0.15">
      <c r="A35" t="s">
        <v>211</v>
      </c>
      <c r="B35">
        <v>7.4000000953674316E-2</v>
      </c>
      <c r="C35">
        <v>6.8283431231975555E-2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 s="66">
        <v>3.9617130532860756E-3</v>
      </c>
      <c r="AA35"/>
      <c r="AB35"/>
      <c r="AC35"/>
      <c r="AD35"/>
      <c r="AE35"/>
      <c r="AF35"/>
      <c r="AG35"/>
      <c r="AH35"/>
      <c r="AI35"/>
      <c r="AJ35"/>
      <c r="AK35"/>
      <c r="AL35"/>
      <c r="AM35" s="64">
        <v>1.7548592295497656E-3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ht="15" customHeight="true" x14ac:dyDescent="0.15">
      <c r="A36" t="s">
        <v>212</v>
      </c>
      <c r="B36">
        <v>5.9999998658895493E-2</v>
      </c>
      <c r="C36">
        <v>5.9999998658895493E-2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ht="15" customHeight="true" x14ac:dyDescent="0.15">
      <c r="A37" t="s">
        <v>213</v>
      </c>
      <c r="B37"/>
      <c r="C37">
        <v>0.90932601690292358</v>
      </c>
      <c r="D37"/>
      <c r="E37"/>
      <c r="F37"/>
      <c r="G37"/>
      <c r="H37"/>
      <c r="I37" s="6">
        <v>68.800010681152344</v>
      </c>
      <c r="J37"/>
      <c r="K37" s="6">
        <v>33.600002288818359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ht="15" customHeight="true" x14ac:dyDescent="0.15">
      <c r="A38" t="s">
        <v>215</v>
      </c>
      <c r="B38"/>
      <c r="C38">
        <v>0.27142897248268127</v>
      </c>
      <c r="D38"/>
      <c r="E38"/>
      <c r="F38"/>
      <c r="G38"/>
      <c r="H38"/>
      <c r="I38"/>
      <c r="J38"/>
      <c r="K38" s="6">
        <v>168</v>
      </c>
      <c r="L38" s="6">
        <v>6.2145199626684189E-2</v>
      </c>
      <c r="M38" s="6">
        <v>3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ht="15" customHeight="true" x14ac:dyDescent="0.15">
      <c r="A39" t="s">
        <v>216</v>
      </c>
      <c r="B39"/>
      <c r="C39">
        <v>0.5221591591835022</v>
      </c>
      <c r="D39"/>
      <c r="E39"/>
      <c r="F39"/>
      <c r="G39"/>
      <c r="H39"/>
      <c r="I39"/>
      <c r="J39"/>
      <c r="K39"/>
      <c r="L39" s="6">
        <v>6.2145199626684189E-2</v>
      </c>
      <c r="M39" s="6">
        <v>9.4999998807907104E-2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ht="15" customHeight="true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ht="15" customHeight="true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ht="15" customHeight="true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ht="15" customHeight="true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ht="15" customHeight="true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ht="15" customHeight="true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ht="15" customHeight="true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ht="15" customHeight="true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ht="15" customHeight="true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ht="15" customHeight="true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ht="15" customHeight="true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ht="15" customHeight="true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ht="15" customHeight="true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ht="15" customHeight="true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ht="15" customHeight="true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ht="15" customHeight="true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ht="15" customHeight="true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ht="15" customHeight="true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ht="15" customHeight="true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ht="15" customHeight="true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ht="15" customHeight="true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ht="15" customHeight="true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ht="15" customHeight="true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ht="15" customHeight="true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ht="15" customHeight="true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ht="15" customHeight="true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ht="15" customHeight="true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ht="15" customHeight="true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ht="15" customHeight="true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ht="15" customHeight="true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ht="15" customHeight="true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ht="15" customHeight="true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ht="15" customHeight="true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ht="15" customHeight="true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ht="15" customHeight="true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ht="15" customHeight="true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ht="15" customHeight="true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ht="15" customHeight="true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ht="15" customHeight="true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ht="15" customHeight="true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ht="15" customHeight="true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ht="15" customHeight="true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ht="15" customHeight="true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ht="15" customHeight="true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ht="15" customHeight="true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ht="15" customHeight="true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ht="15" customHeight="true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ht="15" customHeight="true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ht="15" customHeight="true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ht="15" customHeight="true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ht="15" customHeight="true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ht="15" customHeight="true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ht="15" customHeight="true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ht="15" customHeight="true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ht="15" customHeight="true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ht="15" customHeight="true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ht="15" customHeight="true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ht="15" customHeight="true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ht="15" customHeight="true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ht="15" customHeight="true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abSelected="true" topLeftCell="A18" workbookViewId="0">
      <selection activeCell="G46" sqref="G46"/>
    </sheetView>
  </sheetViews>
  <sheetFormatPr baseColWidth="10" defaultRowHeight="16" x14ac:dyDescent="0.2"/>
  <cols>
    <col min="1" max="1" width="33.6640625" bestFit="true" customWidth="true"/>
    <col min="2" max="2" width="5.85546875" customWidth="true"/>
    <col min="3" max="3" width="9" style="3" customWidth="true"/>
    <col min="4" max="4" width="31" style="87" bestFit="true" customWidth="true"/>
    <col min="5" max="5" width="13.83203125" style="87" bestFit="true" customWidth="true"/>
    <col min="6" max="6" width="5.28515625" style="87" bestFit="true" customWidth="true"/>
    <col min="7" max="7" width="15.33203125" style="87" bestFit="true" customWidth="true"/>
    <col min="8" max="8" width="31" style="87" bestFit="true" customWidth="true"/>
    <col min="9" max="9" width="10.83203125" style="87"/>
    <col min="10" max="10" width="18" bestFit="true" customWidth="true"/>
    <col min="11" max="11" width="14" bestFit="true" customWidth="true"/>
    <col min="15" max="15" width="14.33203125" bestFit="true" customWidth="true"/>
    <col min="16" max="16" width="39.83203125" bestFit="true" customWidth="true"/>
  </cols>
  <sheetData>
    <row r="1" s="1" customFormat="true" ht="17" thickBot="true" x14ac:dyDescent="0.25">
      <c r="C1" s="50"/>
      <c r="D1" s="86" t="s">
        <v>33</v>
      </c>
      <c r="E1" s="86" t="s">
        <v>34</v>
      </c>
      <c r="F1" s="86" t="s">
        <v>35</v>
      </c>
      <c r="G1" s="86" t="s">
        <v>36</v>
      </c>
      <c r="H1" s="86" t="s">
        <v>37</v>
      </c>
      <c r="I1" s="86"/>
      <c r="J1" s="1" t="s">
        <v>132</v>
      </c>
      <c r="K1" s="1" t="s">
        <v>133</v>
      </c>
      <c r="L1" s="56" t="s">
        <v>172</v>
      </c>
    </row>
    <row r="2" x14ac:dyDescent="0.2">
      <c r="A2" s="1" t="s">
        <v>38</v>
      </c>
      <c r="B2" s="36">
        <v>3</v>
      </c>
      <c r="C2" s="34"/>
      <c r="D2" t="s">
        <v>39</v>
      </c>
      <c r="E2">
        <v>1</v>
      </c>
      <c r="F2">
        <v>1</v>
      </c>
      <c r="G2">
        <v>1</v>
      </c>
      <c r="H2" t="s">
        <v>39</v>
      </c>
      <c r="J2" s="51"/>
      <c r="K2" s="88"/>
      <c r="L2" s="56" t="s">
        <v>173</v>
      </c>
    </row>
    <row r="3" ht="17" thickBot="true" x14ac:dyDescent="0.25">
      <c r="A3" s="1" t="s">
        <v>40</v>
      </c>
      <c r="B3" s="37">
        <v>0</v>
      </c>
      <c r="C3" s="34"/>
      <c r="D3" t="s">
        <v>41</v>
      </c>
      <c r="E3">
        <f>E2+1</f>
        <v>2</v>
      </c>
      <c r="F3">
        <v>1.1000000000000001</v>
      </c>
      <c r="G3">
        <f>G2+1</f>
        <v>2</v>
      </c>
      <c r="H3" t="s">
        <v>41</v>
      </c>
      <c r="J3" s="52"/>
      <c r="K3" s="53"/>
    </row>
    <row r="4" x14ac:dyDescent="0.2">
      <c r="D4" t="s">
        <v>42</v>
      </c>
      <c r="E4">
        <f t="shared" ref="E4:G19" si="0">E3+1</f>
        <v>3</v>
      </c>
      <c r="F4">
        <v>1.2</v>
      </c>
      <c r="G4">
        <f t="shared" si="0"/>
        <v>3</v>
      </c>
      <c r="H4" t="s">
        <v>42</v>
      </c>
      <c r="J4" s="52"/>
      <c r="K4" s="53"/>
    </row>
    <row r="5" x14ac:dyDescent="0.2">
      <c r="D5" s="142" t="s">
        <v>178</v>
      </c>
      <c r="E5">
        <f t="shared" si="0"/>
        <v>4</v>
      </c>
      <c r="F5" s="87">
        <v>2.1200000000000001</v>
      </c>
      <c r="G5">
        <f t="shared" si="0"/>
        <v>4</v>
      </c>
      <c r="H5" s="142" t="s">
        <v>43</v>
      </c>
      <c r="J5" s="52"/>
      <c r="K5" s="53"/>
    </row>
    <row r="6" ht="17" thickBot="true" x14ac:dyDescent="0.25">
      <c r="A6" s="38" t="s">
        <v>123</v>
      </c>
      <c r="D6" s="142" t="s">
        <v>179</v>
      </c>
      <c r="E6">
        <f t="shared" si="0"/>
        <v>5</v>
      </c>
      <c r="F6" s="87">
        <v>2.1099999999999999</v>
      </c>
      <c r="G6">
        <f t="shared" si="0"/>
        <v>5</v>
      </c>
      <c r="H6" s="142" t="s">
        <v>44</v>
      </c>
      <c r="J6" s="52"/>
      <c r="K6" s="53"/>
    </row>
    <row r="7" x14ac:dyDescent="0.2">
      <c r="A7" s="33" t="s">
        <v>128</v>
      </c>
      <c r="B7" s="40">
        <v>1</v>
      </c>
      <c r="C7" s="35"/>
      <c r="D7" s="142" t="s">
        <v>180</v>
      </c>
      <c r="E7">
        <f t="shared" si="0"/>
        <v>6</v>
      </c>
      <c r="F7" s="87">
        <v>2.1200000000000001</v>
      </c>
      <c r="G7">
        <f t="shared" si="0"/>
        <v>6</v>
      </c>
      <c r="H7" s="142" t="s">
        <v>226</v>
      </c>
      <c r="J7" s="52"/>
      <c r="K7" s="53"/>
    </row>
    <row r="8" x14ac:dyDescent="0.2">
      <c r="A8" s="33" t="s">
        <v>39</v>
      </c>
      <c r="B8" s="41">
        <v>1</v>
      </c>
      <c r="C8" s="35"/>
      <c r="D8" s="142" t="s">
        <v>181</v>
      </c>
      <c r="E8">
        <f t="shared" si="0"/>
        <v>7</v>
      </c>
      <c r="F8" s="87">
        <v>2.2200000000000002</v>
      </c>
      <c r="G8">
        <f t="shared" si="0"/>
        <v>7</v>
      </c>
      <c r="H8" s="142" t="s">
        <v>69</v>
      </c>
      <c r="J8" s="52"/>
      <c r="K8" s="53"/>
    </row>
    <row r="9" x14ac:dyDescent="0.2">
      <c r="A9" s="33" t="s">
        <v>41</v>
      </c>
      <c r="B9" s="41">
        <v>1.1000000000000001</v>
      </c>
      <c r="C9" s="35"/>
      <c r="D9" s="142" t="s">
        <v>182</v>
      </c>
      <c r="E9">
        <f t="shared" si="0"/>
        <v>8</v>
      </c>
      <c r="F9" s="87">
        <v>3.1099999999999999</v>
      </c>
      <c r="G9">
        <f t="shared" si="0"/>
        <v>8</v>
      </c>
      <c r="H9" s="142" t="s">
        <v>227</v>
      </c>
      <c r="J9" s="52"/>
      <c r="K9" s="53"/>
    </row>
    <row r="10" x14ac:dyDescent="0.2">
      <c r="A10" s="33" t="s">
        <v>42</v>
      </c>
      <c r="B10" s="41">
        <v>1.2</v>
      </c>
      <c r="C10" s="35"/>
      <c r="D10" s="142" t="s">
        <v>183</v>
      </c>
      <c r="E10">
        <f t="shared" si="0"/>
        <v>9</v>
      </c>
      <c r="F10" s="87">
        <v>3.1099999999999999</v>
      </c>
      <c r="G10">
        <f t="shared" si="0"/>
        <v>9</v>
      </c>
      <c r="H10" s="142" t="s">
        <v>228</v>
      </c>
      <c r="J10" s="52"/>
      <c r="K10" s="53"/>
    </row>
    <row r="11" ht="12" customHeight="true" x14ac:dyDescent="0.2">
      <c r="A11" s="39" t="s">
        <v>129</v>
      </c>
      <c r="B11" s="41">
        <v>2</v>
      </c>
      <c r="C11" s="35"/>
      <c r="D11" s="142" t="s">
        <v>184</v>
      </c>
      <c r="E11">
        <f t="shared" si="0"/>
        <v>10</v>
      </c>
      <c r="F11" s="87">
        <v>3.1099999999999999</v>
      </c>
      <c r="G11">
        <f t="shared" si="0"/>
        <v>10</v>
      </c>
      <c r="H11" s="142" t="s">
        <v>229</v>
      </c>
      <c r="J11" s="52"/>
      <c r="K11" s="53"/>
    </row>
    <row r="12" x14ac:dyDescent="0.2">
      <c r="A12" s="33" t="s">
        <v>43</v>
      </c>
      <c r="B12" s="41">
        <v>2.1200000000000001</v>
      </c>
      <c r="C12" s="35"/>
      <c r="D12" s="142" t="s">
        <v>185</v>
      </c>
      <c r="E12">
        <f t="shared" si="0"/>
        <v>11</v>
      </c>
      <c r="F12" s="87">
        <v>3.21</v>
      </c>
      <c r="G12">
        <f t="shared" si="0"/>
        <v>11</v>
      </c>
      <c r="H12" s="142" t="s">
        <v>230</v>
      </c>
      <c r="J12" s="52"/>
      <c r="K12" s="53"/>
    </row>
    <row r="13" x14ac:dyDescent="0.2">
      <c r="A13" s="33" t="s">
        <v>44</v>
      </c>
      <c r="B13" s="41">
        <v>2.1099999999999999</v>
      </c>
      <c r="C13" s="35"/>
      <c r="D13" s="142" t="s">
        <v>186</v>
      </c>
      <c r="E13">
        <f t="shared" si="0"/>
        <v>12</v>
      </c>
      <c r="F13" s="87">
        <v>3.21</v>
      </c>
      <c r="G13">
        <f t="shared" si="0"/>
        <v>12</v>
      </c>
      <c r="H13" s="142" t="s">
        <v>231</v>
      </c>
      <c r="J13" s="52"/>
      <c r="K13" s="53"/>
    </row>
    <row r="14" x14ac:dyDescent="0.2">
      <c r="A14" s="33" t="s">
        <v>69</v>
      </c>
      <c r="B14" s="41">
        <v>2.2200000000000002</v>
      </c>
      <c r="C14" s="35"/>
      <c r="D14" s="142" t="s">
        <v>187</v>
      </c>
      <c r="E14">
        <f t="shared" si="0"/>
        <v>13</v>
      </c>
      <c r="F14" s="87">
        <v>3.1299999999999999</v>
      </c>
      <c r="G14">
        <f t="shared" si="0"/>
        <v>13</v>
      </c>
      <c r="H14" s="142" t="s">
        <v>232</v>
      </c>
      <c r="J14" s="52"/>
      <c r="K14" s="53"/>
    </row>
    <row r="15" x14ac:dyDescent="0.2">
      <c r="A15" s="39" t="s">
        <v>130</v>
      </c>
      <c r="B15" s="41">
        <v>3</v>
      </c>
      <c r="C15" s="35"/>
      <c r="D15" s="142" t="s">
        <v>188</v>
      </c>
      <c r="E15">
        <f t="shared" si="0"/>
        <v>14</v>
      </c>
      <c r="F15" s="87">
        <v>3.1299999999999999</v>
      </c>
      <c r="G15">
        <f t="shared" si="0"/>
        <v>14</v>
      </c>
      <c r="H15" s="142" t="s">
        <v>233</v>
      </c>
      <c r="J15" s="52"/>
      <c r="K15" s="53"/>
    </row>
    <row r="16" x14ac:dyDescent="0.2">
      <c r="A16" s="33" t="s">
        <v>64</v>
      </c>
      <c r="B16" s="41">
        <v>3.1099999999999999</v>
      </c>
      <c r="C16" s="35"/>
      <c r="D16" s="142" t="s">
        <v>189</v>
      </c>
      <c r="E16">
        <f t="shared" si="0"/>
        <v>15</v>
      </c>
      <c r="F16" s="87">
        <v>3.1400000000000001</v>
      </c>
      <c r="G16">
        <f t="shared" si="0"/>
        <v>15</v>
      </c>
      <c r="H16" s="142" t="s">
        <v>234</v>
      </c>
      <c r="J16" s="52"/>
      <c r="K16" s="53"/>
    </row>
    <row r="17" x14ac:dyDescent="0.2">
      <c r="A17" s="33" t="s">
        <v>63</v>
      </c>
      <c r="B17" s="41">
        <v>3.1400000000000001</v>
      </c>
      <c r="C17" s="35"/>
      <c r="D17" s="142" t="s">
        <v>190</v>
      </c>
      <c r="E17">
        <f t="shared" si="0"/>
        <v>16</v>
      </c>
      <c r="F17" s="87">
        <v>3.1400000000000001</v>
      </c>
      <c r="G17">
        <f t="shared" si="0"/>
        <v>16</v>
      </c>
      <c r="H17" s="142" t="s">
        <v>235</v>
      </c>
      <c r="J17" s="52"/>
      <c r="K17" s="53"/>
    </row>
    <row r="18" x14ac:dyDescent="0.2">
      <c r="A18" s="33" t="s">
        <v>70</v>
      </c>
      <c r="B18" s="41">
        <v>3.1600000000000001</v>
      </c>
      <c r="C18" s="35"/>
      <c r="D18" s="142" t="s">
        <v>191</v>
      </c>
      <c r="E18">
        <f t="shared" si="0"/>
        <v>17</v>
      </c>
      <c r="F18" s="87">
        <v>3.2400000000000002</v>
      </c>
      <c r="G18">
        <f t="shared" si="0"/>
        <v>17</v>
      </c>
      <c r="H18" s="142" t="s">
        <v>191</v>
      </c>
      <c r="J18" s="52"/>
      <c r="K18" s="53"/>
    </row>
    <row r="19" x14ac:dyDescent="0.2">
      <c r="A19" s="33" t="s">
        <v>68</v>
      </c>
      <c r="B19" s="41">
        <v>3.21</v>
      </c>
      <c r="C19" s="35"/>
      <c r="D19" s="142" t="s">
        <v>192</v>
      </c>
      <c r="E19">
        <f t="shared" si="0"/>
        <v>18</v>
      </c>
      <c r="F19" s="87">
        <v>3.1400000000000001</v>
      </c>
      <c r="G19">
        <f t="shared" si="0"/>
        <v>18</v>
      </c>
      <c r="H19" s="142" t="s">
        <v>236</v>
      </c>
      <c r="J19" s="52"/>
      <c r="K19" s="53"/>
    </row>
    <row r="20" x14ac:dyDescent="0.2">
      <c r="A20" s="33" t="s">
        <v>65</v>
      </c>
      <c r="B20" s="41">
        <v>3.2400000000000002</v>
      </c>
      <c r="C20" s="35"/>
      <c r="D20" s="142" t="s">
        <v>193</v>
      </c>
      <c r="E20">
        <f t="shared" ref="E20:G35" si="1">E19+1</f>
        <v>19</v>
      </c>
      <c r="F20" s="87">
        <v>3.2400000000000002</v>
      </c>
      <c r="G20">
        <f t="shared" si="1"/>
        <v>19</v>
      </c>
      <c r="H20" s="142" t="s">
        <v>237</v>
      </c>
      <c r="J20" s="52"/>
      <c r="K20" s="53"/>
    </row>
    <row r="21" ht="17" thickBot="true" x14ac:dyDescent="0.25">
      <c r="A21" s="33" t="s">
        <v>71</v>
      </c>
      <c r="B21" s="41">
        <v>3.2599999999999998</v>
      </c>
      <c r="C21" s="35"/>
      <c r="D21" s="142" t="s">
        <v>194</v>
      </c>
      <c r="E21">
        <f t="shared" si="1"/>
        <v>20</v>
      </c>
      <c r="F21" s="87">
        <v>3.2400000000000002</v>
      </c>
      <c r="G21">
        <f t="shared" si="1"/>
        <v>20</v>
      </c>
      <c r="H21" s="142" t="s">
        <v>238</v>
      </c>
      <c r="J21" s="54"/>
      <c r="K21" s="55"/>
      <c r="L21" s="56" t="s">
        <v>154</v>
      </c>
    </row>
    <row r="22" x14ac:dyDescent="0.2">
      <c r="A22" s="33" t="s">
        <v>66</v>
      </c>
      <c r="B22" s="41">
        <v>8</v>
      </c>
      <c r="C22" s="35"/>
      <c r="D22" s="142" t="s">
        <v>195</v>
      </c>
      <c r="E22">
        <f t="shared" si="1"/>
        <v>21</v>
      </c>
      <c r="F22" s="87">
        <v>3.2400000000000002</v>
      </c>
      <c r="G22">
        <f t="shared" si="1"/>
        <v>21</v>
      </c>
      <c r="H22" s="142" t="s">
        <v>239</v>
      </c>
    </row>
    <row r="23" x14ac:dyDescent="0.2">
      <c r="A23" s="33" t="s">
        <v>131</v>
      </c>
      <c r="B23" s="41">
        <v>4</v>
      </c>
      <c r="C23" s="35"/>
      <c r="D23" s="142" t="s">
        <v>196</v>
      </c>
      <c r="E23">
        <f t="shared" si="1"/>
        <v>22</v>
      </c>
      <c r="F23" s="87">
        <v>3.2400000000000002</v>
      </c>
      <c r="G23">
        <f t="shared" si="1"/>
        <v>22</v>
      </c>
      <c r="H23" s="142" t="s">
        <v>240</v>
      </c>
    </row>
    <row r="24" x14ac:dyDescent="0.2">
      <c r="A24" s="33" t="s">
        <v>124</v>
      </c>
      <c r="B24" s="41">
        <v>4.0999999999999996</v>
      </c>
      <c r="C24" s="35"/>
      <c r="D24" s="142" t="s">
        <v>197</v>
      </c>
      <c r="E24">
        <f t="shared" si="1"/>
        <v>23</v>
      </c>
      <c r="F24" s="87">
        <v>3.2400000000000002</v>
      </c>
      <c r="G24">
        <f t="shared" si="1"/>
        <v>23</v>
      </c>
      <c r="H24" s="142" t="s">
        <v>241</v>
      </c>
    </row>
    <row r="25" x14ac:dyDescent="0.2">
      <c r="A25" s="33" t="s">
        <v>72</v>
      </c>
      <c r="B25" s="41">
        <v>4.2000000000000002</v>
      </c>
      <c r="C25" s="35"/>
      <c r="D25" s="142" t="s">
        <v>198</v>
      </c>
      <c r="E25">
        <f t="shared" si="1"/>
        <v>24</v>
      </c>
      <c r="F25" s="87">
        <v>3.1600000000000001</v>
      </c>
      <c r="G25">
        <f t="shared" si="1"/>
        <v>24</v>
      </c>
      <c r="H25" s="142" t="s">
        <v>242</v>
      </c>
    </row>
    <row r="26" x14ac:dyDescent="0.2">
      <c r="A26" s="33" t="s">
        <v>125</v>
      </c>
      <c r="B26" s="41">
        <v>4.2999999999999998</v>
      </c>
      <c r="C26" s="35"/>
      <c r="D26" s="142" t="s">
        <v>199</v>
      </c>
      <c r="E26">
        <f t="shared" si="1"/>
        <v>25</v>
      </c>
      <c r="F26" s="87">
        <v>3.1600000000000001</v>
      </c>
      <c r="G26">
        <f t="shared" si="1"/>
        <v>25</v>
      </c>
      <c r="H26" s="142" t="s">
        <v>243</v>
      </c>
    </row>
    <row r="27" x14ac:dyDescent="0.2">
      <c r="A27" s="33" t="s">
        <v>127</v>
      </c>
      <c r="B27" s="41">
        <v>6.0999999999999996</v>
      </c>
      <c r="D27" s="142" t="s">
        <v>200</v>
      </c>
      <c r="E27">
        <f t="shared" si="1"/>
        <v>26</v>
      </c>
      <c r="F27" s="87">
        <v>3.1600000000000001</v>
      </c>
      <c r="G27">
        <f t="shared" si="1"/>
        <v>26</v>
      </c>
      <c r="H27" s="142" t="s">
        <v>244</v>
      </c>
    </row>
    <row r="28" x14ac:dyDescent="0.2">
      <c r="A28" s="33" t="s">
        <v>126</v>
      </c>
      <c r="B28" s="41">
        <v>6.2000000000000002</v>
      </c>
      <c r="D28" s="142" t="s">
        <v>201</v>
      </c>
      <c r="E28">
        <f t="shared" si="1"/>
        <v>27</v>
      </c>
      <c r="F28" s="87">
        <v>3.1600000000000001</v>
      </c>
      <c r="G28">
        <f t="shared" si="1"/>
        <v>27</v>
      </c>
      <c r="H28" s="142" t="s">
        <v>245</v>
      </c>
    </row>
    <row r="29" x14ac:dyDescent="0.2">
      <c r="A29" s="33" t="s">
        <v>45</v>
      </c>
      <c r="B29" s="41">
        <v>5</v>
      </c>
      <c r="D29" s="142" t="s">
        <v>202</v>
      </c>
      <c r="E29">
        <f t="shared" si="1"/>
        <v>28</v>
      </c>
      <c r="F29" s="87">
        <v>3.1600000000000001</v>
      </c>
      <c r="G29">
        <f t="shared" si="1"/>
        <v>28</v>
      </c>
      <c r="H29" s="142" t="s">
        <v>246</v>
      </c>
    </row>
    <row r="30" x14ac:dyDescent="0.2">
      <c r="A30" s="33" t="s">
        <v>75</v>
      </c>
      <c r="B30" s="41">
        <v>7</v>
      </c>
      <c r="D30" s="142" t="s">
        <v>203</v>
      </c>
      <c r="E30">
        <f t="shared" si="1"/>
        <v>29</v>
      </c>
      <c r="F30" s="87">
        <v>3.1600000000000001</v>
      </c>
      <c r="G30">
        <f t="shared" si="1"/>
        <v>29</v>
      </c>
      <c r="H30" s="142" t="s">
        <v>247</v>
      </c>
    </row>
    <row r="31" ht="16" customHeight="true" x14ac:dyDescent="0.2">
      <c r="A31" s="33" t="s">
        <v>175</v>
      </c>
      <c r="B31" s="41">
        <v>3.1110000000000002</v>
      </c>
      <c r="D31" s="142" t="s">
        <v>204</v>
      </c>
      <c r="E31">
        <f t="shared" si="1"/>
        <v>30</v>
      </c>
      <c r="F31" s="87">
        <v>3.1600000000000001</v>
      </c>
      <c r="G31">
        <f t="shared" si="1"/>
        <v>30</v>
      </c>
      <c r="H31" s="142" t="s">
        <v>248</v>
      </c>
    </row>
    <row r="32" ht="12" customHeight="true" thickBot="true" x14ac:dyDescent="0.25">
      <c r="A32" s="39" t="s">
        <v>176</v>
      </c>
      <c r="B32" s="42">
        <v>9</v>
      </c>
      <c r="D32" s="142" t="s">
        <v>205</v>
      </c>
      <c r="E32">
        <f t="shared" si="1"/>
        <v>31</v>
      </c>
      <c r="F32" s="87">
        <v>3.1600000000000001</v>
      </c>
      <c r="G32">
        <f t="shared" si="1"/>
        <v>31</v>
      </c>
      <c r="H32" s="142" t="s">
        <v>249</v>
      </c>
    </row>
    <row r="33" customFormat="true" ht="12" customHeight="true" x14ac:dyDescent="0.2">
      <c r="D33" s="142" t="s">
        <v>206</v>
      </c>
      <c r="E33">
        <f t="shared" si="1"/>
        <v>32</v>
      </c>
      <c r="F33" s="87">
        <v>3.1600000000000001</v>
      </c>
      <c r="G33">
        <f t="shared" si="1"/>
        <v>32</v>
      </c>
      <c r="H33" s="142" t="s">
        <v>250</v>
      </c>
      <c r="I33" s="87"/>
    </row>
    <row r="34" customFormat="true" ht="12" customHeight="true" x14ac:dyDescent="0.2">
      <c r="D34" s="142" t="s">
        <v>207</v>
      </c>
      <c r="E34">
        <f t="shared" si="1"/>
        <v>33</v>
      </c>
      <c r="F34" s="87">
        <v>3.1600000000000001</v>
      </c>
      <c r="G34">
        <f t="shared" si="1"/>
        <v>33</v>
      </c>
      <c r="H34" s="142" t="s">
        <v>251</v>
      </c>
      <c r="I34" s="87"/>
    </row>
    <row r="35" customFormat="true" ht="16" customHeight="true" x14ac:dyDescent="0.2">
      <c r="D35" s="142" t="s">
        <v>208</v>
      </c>
      <c r="E35">
        <f t="shared" si="1"/>
        <v>34</v>
      </c>
      <c r="F35" s="87">
        <v>3.1600000000000001</v>
      </c>
      <c r="G35">
        <f t="shared" si="1"/>
        <v>34</v>
      </c>
      <c r="H35" s="142" t="s">
        <v>252</v>
      </c>
      <c r="I35" s="87"/>
    </row>
    <row r="36" customFormat="true" ht="16" customHeight="true" x14ac:dyDescent="0.2">
      <c r="D36" s="142" t="s">
        <v>209</v>
      </c>
      <c r="E36">
        <f t="shared" ref="E36:G45" si="2">E35+1</f>
        <v>35</v>
      </c>
      <c r="F36" s="87">
        <v>3.1600000000000001</v>
      </c>
      <c r="G36">
        <f t="shared" si="2"/>
        <v>35</v>
      </c>
      <c r="H36" s="142" t="s">
        <v>253</v>
      </c>
      <c r="I36" s="87"/>
    </row>
    <row r="37" customFormat="true" ht="12" customHeight="true" x14ac:dyDescent="0.2">
      <c r="D37" s="142" t="s">
        <v>210</v>
      </c>
      <c r="E37">
        <f t="shared" si="2"/>
        <v>36</v>
      </c>
      <c r="F37" s="87">
        <v>3.1600000000000001</v>
      </c>
      <c r="G37">
        <f t="shared" si="2"/>
        <v>36</v>
      </c>
      <c r="H37" s="142" t="s">
        <v>254</v>
      </c>
      <c r="I37" s="87"/>
    </row>
    <row r="38" customFormat="true" x14ac:dyDescent="0.2">
      <c r="D38" s="142" t="s">
        <v>211</v>
      </c>
      <c r="E38">
        <f t="shared" si="2"/>
        <v>37</v>
      </c>
      <c r="F38" s="87">
        <v>3.1600000000000001</v>
      </c>
      <c r="G38">
        <f t="shared" si="2"/>
        <v>37</v>
      </c>
      <c r="H38" s="142" t="s">
        <v>255</v>
      </c>
      <c r="I38" s="87"/>
    </row>
    <row r="39" customFormat="true" x14ac:dyDescent="0.2">
      <c r="D39" s="142" t="s">
        <v>212</v>
      </c>
      <c r="E39">
        <f t="shared" si="2"/>
        <v>38</v>
      </c>
      <c r="F39" s="87">
        <v>3.1600000000000001</v>
      </c>
      <c r="G39">
        <f t="shared" si="2"/>
        <v>38</v>
      </c>
      <c r="H39" s="142" t="s">
        <v>256</v>
      </c>
      <c r="I39" s="87"/>
    </row>
    <row r="40" customFormat="true" x14ac:dyDescent="0.2">
      <c r="D40" t="s">
        <v>213</v>
      </c>
      <c r="E40">
        <f t="shared" si="2"/>
        <v>39</v>
      </c>
      <c r="F40" s="87">
        <v>4.0999999999999996</v>
      </c>
      <c r="G40">
        <f t="shared" si="2"/>
        <v>39</v>
      </c>
      <c r="H40" t="s">
        <v>73</v>
      </c>
      <c r="I40" s="87"/>
    </row>
    <row r="41" customFormat="true" x14ac:dyDescent="0.2">
      <c r="D41" s="142" t="s">
        <v>215</v>
      </c>
      <c r="E41">
        <f t="shared" si="2"/>
        <v>40</v>
      </c>
      <c r="F41" s="87">
        <v>4.2999999999999998</v>
      </c>
      <c r="G41">
        <f t="shared" si="2"/>
        <v>40</v>
      </c>
      <c r="H41" s="142" t="s">
        <v>74</v>
      </c>
      <c r="I41" s="87"/>
    </row>
    <row r="42" customFormat="true" x14ac:dyDescent="0.2">
      <c r="D42" s="142" t="s">
        <v>216</v>
      </c>
      <c r="E42">
        <f t="shared" si="2"/>
        <v>41</v>
      </c>
      <c r="F42" s="87">
        <v>4</v>
      </c>
      <c r="G42">
        <f t="shared" si="2"/>
        <v>41</v>
      </c>
      <c r="H42" s="142" t="s">
        <v>257</v>
      </c>
      <c r="I42" s="87"/>
    </row>
    <row r="43" customFormat="true" x14ac:dyDescent="0.2">
      <c r="D43" s="145" t="s">
        <v>217</v>
      </c>
      <c r="E43">
        <f t="shared" si="2"/>
        <v>42</v>
      </c>
      <c r="F43" s="87">
        <v>5</v>
      </c>
      <c r="G43">
        <f t="shared" si="2"/>
        <v>42</v>
      </c>
      <c r="H43" s="145" t="s">
        <v>217</v>
      </c>
      <c r="I43" s="87"/>
    </row>
    <row r="44" customFormat="true" x14ac:dyDescent="0.2">
      <c r="D44" t="s">
        <v>140</v>
      </c>
      <c r="E44">
        <f t="shared" si="2"/>
        <v>43</v>
      </c>
      <c r="F44">
        <v>6.1</v>
      </c>
      <c r="G44">
        <f t="shared" si="2"/>
        <v>43</v>
      </c>
      <c r="H44" t="s">
        <v>140</v>
      </c>
      <c r="I44" s="87"/>
    </row>
    <row r="45" customFormat="true" x14ac:dyDescent="0.2">
      <c r="D45" t="s">
        <v>46</v>
      </c>
      <c r="E45">
        <f t="shared" si="2"/>
        <v>44</v>
      </c>
      <c r="F45">
        <v>6.2</v>
      </c>
      <c r="G45">
        <f t="shared" si="2"/>
        <v>44</v>
      </c>
      <c r="H45" t="s">
        <v>46</v>
      </c>
      <c r="I45" s="87"/>
    </row>
    <row r="46" customFormat="true" x14ac:dyDescent="0.2">
      <c r="I46" s="87"/>
    </row>
    <row r="47" customFormat="true" ht="16" customHeight="true" x14ac:dyDescent="0.2">
      <c r="I47" s="87"/>
    </row>
    <row r="48" customFormat="true" ht="16" customHeight="true" x14ac:dyDescent="0.2">
      <c r="I48" s="87"/>
    </row>
    <row r="49" ht="16" customHeight="true" x14ac:dyDescent="0.2">
      <c r="C49"/>
      <c r="D49"/>
      <c r="E49"/>
      <c r="F49"/>
      <c r="G49"/>
      <c r="H49"/>
    </row>
    <row r="50" ht="12" customHeight="true" x14ac:dyDescent="0.2">
      <c r="C50"/>
      <c r="D50"/>
      <c r="E50"/>
      <c r="F50"/>
      <c r="G50"/>
      <c r="H50"/>
    </row>
    <row r="51" ht="16" customHeight="true" x14ac:dyDescent="0.2">
      <c r="C51"/>
      <c r="D51"/>
      <c r="E51"/>
      <c r="F51"/>
      <c r="G51"/>
      <c r="H51"/>
    </row>
    <row r="52" ht="12" customHeight="true" x14ac:dyDescent="0.2">
      <c r="C52"/>
      <c r="D52"/>
      <c r="E52"/>
      <c r="F52"/>
      <c r="G52"/>
      <c r="H52"/>
    </row>
    <row r="53" ht="16" customHeight="true" x14ac:dyDescent="0.2">
      <c r="C53"/>
      <c r="D53"/>
      <c r="E53"/>
      <c r="F53"/>
      <c r="G53"/>
      <c r="H53"/>
    </row>
    <row r="54" ht="12" customHeight="true" x14ac:dyDescent="0.2">
      <c r="C54"/>
      <c r="D54"/>
      <c r="E54"/>
      <c r="F54"/>
      <c r="G54"/>
      <c r="H54"/>
    </row>
    <row r="55" ht="12" customHeight="true" x14ac:dyDescent="0.2">
      <c r="C55"/>
      <c r="D55"/>
      <c r="E55"/>
      <c r="F55"/>
      <c r="G55"/>
      <c r="H55"/>
    </row>
    <row r="56" ht="16" customHeight="true" x14ac:dyDescent="0.2">
      <c r="C56"/>
      <c r="D56"/>
      <c r="E56"/>
      <c r="F56"/>
      <c r="G56"/>
      <c r="H56"/>
    </row>
    <row r="57" ht="16" customHeight="true" x14ac:dyDescent="0.2">
      <c r="C57"/>
      <c r="D57"/>
      <c r="E57"/>
      <c r="F57"/>
      <c r="G57"/>
      <c r="H57"/>
    </row>
    <row r="58" x14ac:dyDescent="0.2">
      <c r="C58"/>
      <c r="D58"/>
      <c r="E58"/>
      <c r="F58"/>
      <c r="G58"/>
      <c r="H58"/>
    </row>
    <row r="59" x14ac:dyDescent="0.2">
      <c r="C59"/>
      <c r="D59"/>
      <c r="E59"/>
      <c r="F59"/>
      <c r="G59"/>
      <c r="H59"/>
    </row>
    <row r="60" x14ac:dyDescent="0.2">
      <c r="C60"/>
      <c r="D60"/>
      <c r="E60"/>
      <c r="F60"/>
      <c r="G60"/>
      <c r="H60"/>
    </row>
    <row r="61" x14ac:dyDescent="0.2">
      <c r="C61"/>
      <c r="D61"/>
      <c r="E61"/>
      <c r="F61"/>
      <c r="G61"/>
      <c r="H61"/>
    </row>
    <row r="62" x14ac:dyDescent="0.2">
      <c r="C62"/>
      <c r="D62"/>
      <c r="E62"/>
      <c r="F62"/>
      <c r="G62"/>
      <c r="H62"/>
    </row>
    <row r="63" x14ac:dyDescent="0.2">
      <c r="C63"/>
      <c r="D63"/>
      <c r="E63"/>
      <c r="F63"/>
      <c r="G63"/>
      <c r="H63"/>
    </row>
    <row r="64" x14ac:dyDescent="0.2">
      <c r="C64"/>
      <c r="D64"/>
      <c r="E64"/>
      <c r="F64"/>
      <c r="G64"/>
      <c r="H64"/>
    </row>
    <row r="65" x14ac:dyDescent="0.2">
      <c r="C65"/>
      <c r="D65"/>
      <c r="E65"/>
      <c r="F65"/>
      <c r="G65"/>
      <c r="H65"/>
    </row>
    <row r="66" x14ac:dyDescent="0.2">
      <c r="C66"/>
      <c r="D66"/>
      <c r="E66"/>
      <c r="F66"/>
      <c r="G66"/>
      <c r="H66"/>
    </row>
    <row r="67" x14ac:dyDescent="0.2">
      <c r="C67"/>
      <c r="D67"/>
      <c r="E67"/>
      <c r="F67"/>
      <c r="G67"/>
      <c r="H67"/>
    </row>
    <row r="68" x14ac:dyDescent="0.2">
      <c r="C68"/>
      <c r="D68"/>
      <c r="E68"/>
      <c r="F68"/>
      <c r="G68"/>
      <c r="H68"/>
    </row>
    <row r="69" x14ac:dyDescent="0.2">
      <c r="C69"/>
      <c r="D69"/>
      <c r="E69"/>
      <c r="F69"/>
      <c r="G69"/>
      <c r="H69"/>
    </row>
    <row r="70" x14ac:dyDescent="0.2">
      <c r="C70"/>
    </row>
    <row r="71" x14ac:dyDescent="0.2">
      <c r="C71"/>
    </row>
    <row r="72" x14ac:dyDescent="0.2">
      <c r="C72"/>
    </row>
    <row r="73" x14ac:dyDescent="0.2">
      <c r="C73"/>
    </row>
    <row r="74" x14ac:dyDescent="0.2">
      <c r="C74"/>
    </row>
    <row r="75" x14ac:dyDescent="0.2">
      <c r="C75"/>
    </row>
    <row r="76" x14ac:dyDescent="0.2">
      <c r="C76"/>
    </row>
    <row r="77" x14ac:dyDescent="0.2">
      <c r="C77"/>
    </row>
    <row r="78" x14ac:dyDescent="0.2">
      <c r="C78"/>
    </row>
    <row r="79" x14ac:dyDescent="0.2">
      <c r="C79"/>
    </row>
    <row r="80" x14ac:dyDescent="0.2">
      <c r="C80"/>
    </row>
    <row r="81" customFormat="true" x14ac:dyDescent="0.2">
      <c r="D81" s="87"/>
      <c r="E81" s="87"/>
      <c r="F81" s="87"/>
      <c r="G81" s="87"/>
      <c r="H81" s="87"/>
      <c r="I81" s="87"/>
    </row>
    <row r="82" customFormat="true" x14ac:dyDescent="0.2">
      <c r="D82" s="87"/>
      <c r="E82" s="87"/>
      <c r="F82" s="87"/>
      <c r="G82" s="87"/>
      <c r="H82" s="87"/>
      <c r="I82" s="87"/>
    </row>
    <row r="83" customFormat="true" x14ac:dyDescent="0.2">
      <c r="D83" s="87"/>
      <c r="E83" s="87"/>
      <c r="F83" s="87"/>
      <c r="G83" s="87"/>
      <c r="H83" s="87"/>
      <c r="I83" s="87"/>
    </row>
    <row r="84" customFormat="true" x14ac:dyDescent="0.2">
      <c r="D84" s="87"/>
      <c r="E84" s="87"/>
      <c r="F84" s="87"/>
      <c r="G84" s="87"/>
      <c r="H84" s="87"/>
      <c r="I84" s="87"/>
    </row>
    <row r="85" customFormat="true" x14ac:dyDescent="0.2">
      <c r="D85" s="87"/>
      <c r="E85" s="87"/>
      <c r="F85" s="87"/>
      <c r="G85" s="87"/>
      <c r="H85" s="87"/>
      <c r="I85" s="87"/>
    </row>
    <row r="86" customFormat="true" x14ac:dyDescent="0.2">
      <c r="D86" s="87"/>
      <c r="E86" s="87"/>
      <c r="F86" s="87"/>
      <c r="G86" s="87"/>
      <c r="H86" s="87"/>
      <c r="I86" s="87"/>
    </row>
    <row r="87" customFormat="true" x14ac:dyDescent="0.2">
      <c r="D87" s="87"/>
      <c r="E87" s="87"/>
      <c r="F87" s="87"/>
      <c r="G87" s="87"/>
      <c r="H87" s="87"/>
      <c r="I87" s="87"/>
    </row>
    <row r="88" customFormat="true" x14ac:dyDescent="0.2">
      <c r="D88" s="87"/>
      <c r="E88" s="87"/>
      <c r="F88" s="87"/>
      <c r="G88" s="87"/>
      <c r="H88" s="87"/>
      <c r="I88" s="87"/>
    </row>
    <row r="89" customFormat="true" x14ac:dyDescent="0.2">
      <c r="D89" s="87"/>
      <c r="E89" s="87"/>
      <c r="F89" s="87"/>
      <c r="G89" s="87"/>
      <c r="H89" s="87"/>
      <c r="I89" s="87"/>
    </row>
    <row r="90" customFormat="true" x14ac:dyDescent="0.2">
      <c r="D90" s="87"/>
      <c r="E90" s="87"/>
      <c r="F90" s="87"/>
      <c r="G90" s="87"/>
      <c r="H90" s="87"/>
      <c r="I90" s="87"/>
    </row>
    <row r="91" customFormat="true" x14ac:dyDescent="0.2">
      <c r="D91" s="87"/>
      <c r="E91" s="87"/>
      <c r="F91" s="87"/>
      <c r="G91" s="87"/>
      <c r="H91" s="87"/>
      <c r="I91" s="87"/>
    </row>
    <row r="92" customFormat="true" x14ac:dyDescent="0.2">
      <c r="D92" s="87"/>
      <c r="E92" s="87"/>
      <c r="F92" s="87"/>
      <c r="G92" s="87"/>
      <c r="H92" s="87"/>
      <c r="I92" s="87"/>
    </row>
    <row r="93" customFormat="true" x14ac:dyDescent="0.2">
      <c r="D93" s="87"/>
      <c r="E93" s="87"/>
      <c r="F93" s="87"/>
      <c r="G93" s="87"/>
      <c r="H93" s="87"/>
      <c r="I93" s="87"/>
    </row>
    <row r="94" customFormat="true" x14ac:dyDescent="0.2">
      <c r="D94" s="87"/>
      <c r="E94" s="87"/>
      <c r="F94" s="87"/>
      <c r="G94" s="87"/>
      <c r="H94" s="87"/>
      <c r="I94" s="87"/>
    </row>
    <row r="95" customFormat="true" x14ac:dyDescent="0.2">
      <c r="D95" s="87"/>
      <c r="E95" s="87"/>
      <c r="F95" s="87"/>
      <c r="G95" s="87"/>
      <c r="H95" s="87"/>
      <c r="I95" s="87"/>
    </row>
    <row r="96" customFormat="true" x14ac:dyDescent="0.2">
      <c r="D96" s="87"/>
      <c r="E96" s="87"/>
      <c r="F96" s="87"/>
      <c r="G96" s="87"/>
      <c r="H96" s="87"/>
      <c r="I96" s="87"/>
    </row>
    <row r="97" customFormat="true" x14ac:dyDescent="0.2">
      <c r="D97" s="87"/>
      <c r="E97" s="87"/>
      <c r="F97" s="87"/>
      <c r="G97" s="87"/>
      <c r="H97" s="87"/>
      <c r="I97" s="87"/>
    </row>
    <row r="98" customFormat="true" x14ac:dyDescent="0.2">
      <c r="D98" s="87"/>
      <c r="E98" s="87"/>
      <c r="F98" s="87"/>
      <c r="G98" s="87"/>
      <c r="H98" s="87"/>
      <c r="I98" s="87"/>
    </row>
    <row r="99" customFormat="true" x14ac:dyDescent="0.2">
      <c r="D99" s="87"/>
      <c r="E99" s="87"/>
      <c r="F99" s="87"/>
      <c r="G99" s="87"/>
      <c r="H99" s="87"/>
      <c r="I99" s="87"/>
    </row>
    <row r="100" customFormat="true" x14ac:dyDescent="0.2">
      <c r="D100" s="87"/>
      <c r="E100" s="87"/>
      <c r="F100" s="87"/>
      <c r="G100" s="87"/>
      <c r="H100" s="87"/>
      <c r="I100" s="87"/>
    </row>
    <row r="101" customFormat="true" x14ac:dyDescent="0.2">
      <c r="D101" s="87"/>
      <c r="E101" s="87"/>
      <c r="F101" s="87"/>
      <c r="G101" s="87"/>
      <c r="H101" s="87"/>
      <c r="I101" s="87"/>
    </row>
    <row r="102" customFormat="true" x14ac:dyDescent="0.2">
      <c r="D102" s="87"/>
      <c r="E102" s="87"/>
      <c r="F102" s="87"/>
      <c r="G102" s="87"/>
      <c r="H102" s="87"/>
      <c r="I102" s="87"/>
    </row>
    <row r="103" customFormat="true" x14ac:dyDescent="0.2">
      <c r="D103" s="87"/>
      <c r="E103" s="87"/>
      <c r="F103" s="87"/>
      <c r="G103" s="87"/>
      <c r="H103" s="87"/>
      <c r="I103" s="87"/>
    </row>
    <row r="104" customFormat="true" x14ac:dyDescent="0.2">
      <c r="D104" s="87"/>
      <c r="E104" s="87"/>
      <c r="F104" s="87"/>
      <c r="G104" s="87"/>
      <c r="H104" s="87"/>
      <c r="I104" s="87"/>
    </row>
    <row r="105" customFormat="true" x14ac:dyDescent="0.2">
      <c r="D105" s="87"/>
      <c r="E105" s="87"/>
      <c r="F105" s="87"/>
      <c r="G105" s="87"/>
      <c r="H105" s="87"/>
      <c r="I105" s="87"/>
    </row>
    <row r="106" customFormat="true" x14ac:dyDescent="0.2">
      <c r="D106" s="87"/>
      <c r="E106" s="87"/>
      <c r="F106" s="87"/>
      <c r="G106" s="87"/>
      <c r="H106" s="87"/>
      <c r="I106" s="87"/>
    </row>
    <row r="107" customFormat="true" x14ac:dyDescent="0.2">
      <c r="D107" s="87"/>
      <c r="E107" s="87"/>
      <c r="F107" s="87"/>
      <c r="G107" s="87"/>
      <c r="H107" s="87"/>
      <c r="I107" s="87"/>
    </row>
    <row r="108" customFormat="true" x14ac:dyDescent="0.2">
      <c r="D108" s="87"/>
      <c r="E108" s="87"/>
      <c r="F108" s="87"/>
      <c r="G108" s="87"/>
      <c r="H108" s="87"/>
      <c r="I108" s="87"/>
    </row>
    <row r="109" customFormat="true" x14ac:dyDescent="0.2">
      <c r="D109" s="87"/>
      <c r="E109" s="87"/>
      <c r="F109" s="87"/>
      <c r="G109" s="87"/>
      <c r="H109" s="87"/>
      <c r="I109" s="87"/>
    </row>
    <row r="110" customFormat="true" x14ac:dyDescent="0.2">
      <c r="D110" s="87"/>
      <c r="E110" s="87"/>
      <c r="F110" s="87"/>
      <c r="G110" s="87"/>
      <c r="H110" s="87"/>
      <c r="I110" s="87"/>
    </row>
    <row r="111" customFormat="true" x14ac:dyDescent="0.2">
      <c r="D111" s="87"/>
      <c r="E111" s="87"/>
      <c r="F111" s="87"/>
      <c r="G111" s="87"/>
      <c r="H111" s="87"/>
      <c r="I111" s="87"/>
    </row>
    <row r="112" customFormat="true" x14ac:dyDescent="0.2">
      <c r="D112" s="87"/>
      <c r="E112" s="87"/>
      <c r="F112" s="87"/>
      <c r="G112" s="87"/>
      <c r="H112" s="87"/>
      <c r="I112" s="87"/>
    </row>
    <row r="113" customFormat="true" x14ac:dyDescent="0.2">
      <c r="D113" s="87"/>
      <c r="E113" s="87"/>
      <c r="F113" s="87"/>
      <c r="G113" s="87"/>
      <c r="H113" s="87"/>
      <c r="I113" s="87"/>
    </row>
    <row r="114" customFormat="true" x14ac:dyDescent="0.2">
      <c r="D114" s="87"/>
      <c r="E114" s="87"/>
      <c r="F114" s="87"/>
      <c r="G114" s="87"/>
      <c r="H114" s="87"/>
      <c r="I114" s="87"/>
    </row>
    <row r="115" customFormat="true" x14ac:dyDescent="0.2">
      <c r="D115" s="87"/>
      <c r="E115" s="87"/>
      <c r="F115" s="87"/>
      <c r="G115" s="87"/>
      <c r="H115" s="87"/>
      <c r="I115" s="87"/>
    </row>
    <row r="116" customFormat="true" x14ac:dyDescent="0.2">
      <c r="D116" s="87"/>
      <c r="E116" s="87"/>
      <c r="F116" s="87"/>
      <c r="G116" s="87"/>
      <c r="H116" s="87"/>
      <c r="I116" s="87"/>
    </row>
    <row r="117" customFormat="true" x14ac:dyDescent="0.2">
      <c r="D117" s="87"/>
      <c r="E117" s="87"/>
      <c r="F117" s="87"/>
      <c r="G117" s="87"/>
      <c r="H117" s="87"/>
      <c r="I117" s="87"/>
    </row>
    <row r="118" customFormat="true" x14ac:dyDescent="0.2">
      <c r="D118" s="87"/>
      <c r="E118" s="87"/>
      <c r="F118" s="87"/>
      <c r="G118" s="87"/>
      <c r="H118" s="87"/>
      <c r="I118" s="87"/>
    </row>
    <row r="119" customFormat="true" x14ac:dyDescent="0.2">
      <c r="D119" s="87"/>
      <c r="E119" s="87"/>
      <c r="F119" s="87"/>
      <c r="G119" s="87"/>
      <c r="H119" s="87"/>
      <c r="I119" s="87"/>
    </row>
    <row r="120" customFormat="true" x14ac:dyDescent="0.2">
      <c r="D120" s="87"/>
      <c r="E120" s="87"/>
      <c r="F120" s="87"/>
      <c r="G120" s="87"/>
      <c r="H120" s="87"/>
      <c r="I120" s="87"/>
    </row>
    <row r="121" customFormat="true" x14ac:dyDescent="0.2">
      <c r="D121" s="87"/>
      <c r="E121" s="87"/>
      <c r="F121" s="87"/>
      <c r="G121" s="87"/>
      <c r="H121" s="87"/>
      <c r="I121" s="87"/>
    </row>
    <row r="122" customFormat="true" x14ac:dyDescent="0.2">
      <c r="D122" s="87"/>
      <c r="E122" s="87"/>
      <c r="F122" s="87"/>
      <c r="G122" s="87"/>
      <c r="H122" s="87"/>
      <c r="I122" s="87"/>
    </row>
    <row r="123" customFormat="true" x14ac:dyDescent="0.2">
      <c r="D123" s="87"/>
      <c r="E123" s="87"/>
      <c r="F123" s="87"/>
      <c r="G123" s="87"/>
      <c r="H123" s="87"/>
      <c r="I123" s="87"/>
    </row>
    <row r="124" customFormat="true" x14ac:dyDescent="0.2">
      <c r="D124" s="87"/>
      <c r="E124" s="87"/>
      <c r="F124" s="87"/>
      <c r="G124" s="87"/>
      <c r="H124" s="87"/>
      <c r="I124" s="87"/>
    </row>
    <row r="125" customFormat="true" x14ac:dyDescent="0.2">
      <c r="D125" s="87"/>
      <c r="E125" s="87"/>
      <c r="F125" s="87"/>
      <c r="G125" s="87"/>
      <c r="H125" s="87"/>
      <c r="I125" s="87"/>
    </row>
    <row r="126" customFormat="true" x14ac:dyDescent="0.2">
      <c r="D126" s="87"/>
      <c r="E126" s="87"/>
      <c r="F126" s="87"/>
      <c r="G126" s="87"/>
      <c r="H126" s="87"/>
      <c r="I126" s="87"/>
    </row>
    <row r="127" customFormat="true" x14ac:dyDescent="0.2">
      <c r="D127" s="87"/>
      <c r="E127" s="87"/>
      <c r="F127" s="87"/>
      <c r="G127" s="87"/>
      <c r="H127" s="87"/>
      <c r="I127" s="87"/>
    </row>
    <row r="128" customFormat="true" x14ac:dyDescent="0.2">
      <c r="D128" s="87"/>
      <c r="E128" s="87"/>
      <c r="F128" s="87"/>
      <c r="G128" s="87"/>
      <c r="H128" s="87"/>
      <c r="I128" s="87"/>
    </row>
    <row r="129" customFormat="true" x14ac:dyDescent="0.2">
      <c r="D129" s="87"/>
      <c r="E129" s="87"/>
      <c r="F129" s="87"/>
      <c r="G129" s="87"/>
      <c r="H129" s="87"/>
      <c r="I129" s="87"/>
    </row>
    <row r="130" customFormat="true" x14ac:dyDescent="0.2">
      <c r="D130" s="87"/>
      <c r="E130" s="87"/>
      <c r="F130" s="87"/>
      <c r="G130" s="87"/>
      <c r="H130" s="87"/>
      <c r="I130" s="87"/>
    </row>
    <row r="131" customFormat="true" x14ac:dyDescent="0.2">
      <c r="D131" s="87"/>
      <c r="E131" s="87"/>
      <c r="F131" s="87"/>
      <c r="G131" s="87"/>
      <c r="H131" s="87"/>
      <c r="I131" s="87"/>
    </row>
    <row r="132" customFormat="true" x14ac:dyDescent="0.2">
      <c r="D132" s="87"/>
      <c r="E132" s="87"/>
      <c r="F132" s="87"/>
      <c r="G132" s="87"/>
      <c r="H132" s="87"/>
      <c r="I132" s="87"/>
    </row>
    <row r="133" customFormat="true" x14ac:dyDescent="0.2">
      <c r="D133" s="87"/>
      <c r="E133" s="87"/>
      <c r="F133" s="87"/>
      <c r="G133" s="87"/>
      <c r="H133" s="87"/>
      <c r="I133" s="87"/>
    </row>
    <row r="134" customFormat="true" x14ac:dyDescent="0.2">
      <c r="D134" s="87"/>
      <c r="E134" s="87"/>
      <c r="F134" s="87"/>
      <c r="G134" s="87"/>
      <c r="H134" s="87"/>
      <c r="I134" s="87"/>
    </row>
    <row r="135" customFormat="true" x14ac:dyDescent="0.2">
      <c r="D135" s="87"/>
      <c r="E135" s="87"/>
      <c r="F135" s="87"/>
      <c r="G135" s="87"/>
      <c r="H135" s="87"/>
      <c r="I135" s="87"/>
    </row>
    <row r="136" customFormat="true" x14ac:dyDescent="0.2">
      <c r="D136" s="87"/>
      <c r="E136" s="87"/>
      <c r="F136" s="87"/>
      <c r="G136" s="87"/>
      <c r="H136" s="87"/>
      <c r="I136" s="87"/>
    </row>
    <row r="137" customFormat="true" x14ac:dyDescent="0.2">
      <c r="D137" s="87"/>
      <c r="E137" s="87"/>
      <c r="F137" s="87"/>
      <c r="G137" s="87"/>
      <c r="H137" s="87"/>
      <c r="I137" s="87"/>
    </row>
    <row r="138" customFormat="true" x14ac:dyDescent="0.2">
      <c r="D138" s="87"/>
      <c r="E138" s="87"/>
      <c r="F138" s="87"/>
      <c r="G138" s="87"/>
      <c r="H138" s="87"/>
      <c r="I138" s="87"/>
    </row>
    <row r="139" customFormat="true" x14ac:dyDescent="0.2">
      <c r="D139" s="87"/>
      <c r="E139" s="87"/>
      <c r="F139" s="87"/>
      <c r="G139" s="87"/>
      <c r="H139" s="87"/>
      <c r="I139" s="87"/>
    </row>
    <row r="140" customFormat="true" x14ac:dyDescent="0.2">
      <c r="D140" s="87"/>
      <c r="E140" s="87"/>
      <c r="F140" s="87"/>
      <c r="G140" s="87"/>
      <c r="H140" s="87"/>
      <c r="I140" s="87"/>
    </row>
    <row r="141" customFormat="true" x14ac:dyDescent="0.2">
      <c r="D141" s="87"/>
      <c r="E141" s="87"/>
      <c r="F141" s="87"/>
      <c r="G141" s="87"/>
      <c r="H141" s="87"/>
      <c r="I141" s="87"/>
    </row>
    <row r="142" customFormat="true" x14ac:dyDescent="0.2">
      <c r="D142" s="87"/>
      <c r="E142" s="87"/>
      <c r="F142" s="87"/>
      <c r="G142" s="87"/>
      <c r="H142" s="87"/>
      <c r="I142" s="87"/>
    </row>
    <row r="143" customFormat="true" x14ac:dyDescent="0.2">
      <c r="D143" s="87"/>
      <c r="E143" s="87"/>
      <c r="F143" s="87"/>
      <c r="G143" s="87"/>
      <c r="H143" s="87"/>
      <c r="I143" s="87"/>
    </row>
    <row r="144" customFormat="true" x14ac:dyDescent="0.2">
      <c r="D144" s="87"/>
      <c r="E144" s="87"/>
      <c r="F144" s="87"/>
      <c r="G144" s="87"/>
      <c r="H144" s="87"/>
      <c r="I144" s="87"/>
    </row>
    <row r="145" customFormat="true" x14ac:dyDescent="0.2">
      <c r="D145" s="87"/>
      <c r="E145" s="87"/>
      <c r="F145" s="87"/>
      <c r="G145" s="87"/>
      <c r="H145" s="87"/>
      <c r="I145" s="87"/>
    </row>
    <row r="146" customFormat="true" x14ac:dyDescent="0.2">
      <c r="D146" s="87"/>
      <c r="E146" s="87"/>
      <c r="F146" s="87"/>
      <c r="G146" s="87"/>
      <c r="H146" s="87"/>
      <c r="I146" s="87"/>
    </row>
    <row r="147" customFormat="true" x14ac:dyDescent="0.2">
      <c r="D147" s="87"/>
      <c r="E147" s="87"/>
      <c r="F147" s="87"/>
      <c r="G147" s="87"/>
      <c r="H147" s="87"/>
      <c r="I147" s="87"/>
    </row>
    <row r="148" customFormat="true" x14ac:dyDescent="0.2">
      <c r="D148" s="87"/>
      <c r="E148" s="87"/>
      <c r="F148" s="87"/>
      <c r="G148" s="87"/>
      <c r="H148" s="87"/>
      <c r="I148" s="87"/>
    </row>
    <row r="149" customFormat="true" x14ac:dyDescent="0.2">
      <c r="D149" s="87"/>
      <c r="E149" s="87"/>
      <c r="F149" s="87"/>
      <c r="G149" s="87"/>
      <c r="H149" s="87"/>
      <c r="I149" s="87"/>
    </row>
    <row r="150" customFormat="true" x14ac:dyDescent="0.2">
      <c r="D150" s="87"/>
      <c r="E150" s="87"/>
      <c r="F150" s="87"/>
      <c r="G150" s="87"/>
      <c r="H150" s="87"/>
      <c r="I150" s="87"/>
    </row>
    <row r="151" customFormat="true" x14ac:dyDescent="0.2">
      <c r="D151" s="87"/>
      <c r="E151" s="87"/>
      <c r="F151" s="87"/>
      <c r="G151" s="87"/>
      <c r="H151" s="87"/>
      <c r="I151" s="87"/>
    </row>
    <row r="152" customFormat="true" x14ac:dyDescent="0.2">
      <c r="D152" s="87"/>
      <c r="E152" s="87"/>
      <c r="F152" s="87"/>
      <c r="G152" s="87"/>
      <c r="H152" s="87"/>
      <c r="I152" s="87"/>
    </row>
    <row r="153" customFormat="true" x14ac:dyDescent="0.2">
      <c r="D153" s="87"/>
      <c r="E153" s="87"/>
      <c r="F153" s="87"/>
      <c r="G153" s="87"/>
      <c r="H153" s="87"/>
      <c r="I153" s="87"/>
    </row>
    <row r="154" customFormat="true" x14ac:dyDescent="0.2">
      <c r="D154" s="87"/>
      <c r="E154" s="87"/>
      <c r="F154" s="87"/>
      <c r="G154" s="87"/>
      <c r="H154" s="87"/>
      <c r="I154" s="87"/>
    </row>
    <row r="155" customFormat="true" x14ac:dyDescent="0.2">
      <c r="D155" s="87"/>
      <c r="E155" s="87"/>
      <c r="F155" s="87"/>
      <c r="G155" s="87"/>
      <c r="H155" s="87"/>
      <c r="I155" s="87"/>
    </row>
    <row r="156" customFormat="true" x14ac:dyDescent="0.2">
      <c r="D156" s="87"/>
      <c r="E156" s="87"/>
      <c r="F156" s="87"/>
      <c r="G156" s="87"/>
      <c r="H156" s="87"/>
      <c r="I156" s="87"/>
    </row>
    <row r="157" customFormat="true" x14ac:dyDescent="0.2">
      <c r="D157" s="87"/>
      <c r="E157" s="87"/>
      <c r="F157" s="87"/>
      <c r="G157" s="87"/>
      <c r="H157" s="87"/>
      <c r="I157" s="87"/>
    </row>
    <row r="158" customFormat="true" x14ac:dyDescent="0.2">
      <c r="D158" s="87"/>
      <c r="E158" s="87"/>
      <c r="F158" s="87"/>
      <c r="G158" s="87"/>
      <c r="H158" s="87"/>
      <c r="I158" s="87"/>
    </row>
    <row r="159" customFormat="true" x14ac:dyDescent="0.2">
      <c r="D159" s="87"/>
      <c r="E159" s="87"/>
      <c r="F159" s="87"/>
      <c r="G159" s="87"/>
      <c r="H159" s="87"/>
      <c r="I159" s="87"/>
    </row>
    <row r="160" customFormat="true" x14ac:dyDescent="0.2">
      <c r="D160" s="87"/>
      <c r="E160" s="87"/>
      <c r="F160" s="87"/>
      <c r="G160" s="87"/>
      <c r="H160" s="87"/>
      <c r="I160" s="87"/>
    </row>
    <row r="161" customFormat="true" x14ac:dyDescent="0.2">
      <c r="D161" s="87"/>
      <c r="E161" s="87"/>
      <c r="F161" s="87"/>
      <c r="G161" s="87"/>
      <c r="H161" s="87"/>
      <c r="I161" s="87"/>
    </row>
    <row r="162" customFormat="true" x14ac:dyDescent="0.2">
      <c r="D162" s="87"/>
      <c r="E162" s="87"/>
      <c r="F162" s="87"/>
      <c r="G162" s="87"/>
      <c r="H162" s="87"/>
      <c r="I162" s="87"/>
    </row>
    <row r="163" customFormat="true" x14ac:dyDescent="0.2">
      <c r="D163" s="87"/>
      <c r="E163" s="87"/>
      <c r="F163" s="87"/>
      <c r="G163" s="87"/>
      <c r="H163" s="87"/>
      <c r="I163" s="87"/>
    </row>
    <row r="164" customFormat="true" x14ac:dyDescent="0.2">
      <c r="D164" s="87"/>
      <c r="E164" s="87"/>
      <c r="F164" s="87"/>
      <c r="G164" s="87"/>
      <c r="H164" s="87"/>
      <c r="I164" s="87"/>
    </row>
    <row r="165" customFormat="true" x14ac:dyDescent="0.2">
      <c r="D165" s="87"/>
      <c r="E165" s="87"/>
      <c r="F165" s="87"/>
      <c r="G165" s="87"/>
      <c r="H165" s="87"/>
      <c r="I165" s="87"/>
    </row>
    <row r="166" customFormat="true" x14ac:dyDescent="0.2">
      <c r="D166" s="87"/>
      <c r="E166" s="87"/>
      <c r="F166" s="87"/>
      <c r="G166" s="87"/>
      <c r="H166" s="87"/>
      <c r="I166" s="87"/>
    </row>
    <row r="167" customFormat="true" x14ac:dyDescent="0.2">
      <c r="D167" s="87"/>
      <c r="E167" s="87"/>
      <c r="F167" s="87"/>
      <c r="G167" s="87"/>
      <c r="H167" s="87"/>
      <c r="I167" s="87"/>
    </row>
    <row r="168" customFormat="true" x14ac:dyDescent="0.2">
      <c r="D168" s="87"/>
      <c r="E168" s="87"/>
      <c r="F168" s="87"/>
      <c r="G168" s="87"/>
      <c r="H168" s="87"/>
      <c r="I168" s="87"/>
    </row>
    <row r="169" customFormat="true" x14ac:dyDescent="0.2">
      <c r="D169" s="87"/>
      <c r="E169" s="87"/>
      <c r="F169" s="87"/>
      <c r="G169" s="87"/>
      <c r="H169" s="87"/>
      <c r="I169" s="87"/>
    </row>
    <row r="170" customFormat="true" x14ac:dyDescent="0.2">
      <c r="D170" s="87"/>
      <c r="E170" s="87"/>
      <c r="F170" s="87"/>
      <c r="G170" s="87"/>
      <c r="H170" s="87"/>
      <c r="I170" s="87"/>
    </row>
    <row r="171" customFormat="true" x14ac:dyDescent="0.2">
      <c r="D171" s="87"/>
      <c r="E171" s="87"/>
      <c r="F171" s="87"/>
      <c r="G171" s="87"/>
      <c r="H171" s="87"/>
      <c r="I171" s="87"/>
    </row>
    <row r="172" customFormat="true" x14ac:dyDescent="0.2">
      <c r="D172" s="87"/>
      <c r="E172" s="87"/>
      <c r="F172" s="87"/>
      <c r="G172" s="87"/>
      <c r="H172" s="87"/>
      <c r="I172" s="87"/>
    </row>
    <row r="173" customFormat="true" x14ac:dyDescent="0.2">
      <c r="D173" s="87"/>
      <c r="E173" s="87"/>
      <c r="F173" s="87"/>
      <c r="G173" s="87"/>
      <c r="H173" s="87"/>
      <c r="I173" s="87"/>
    </row>
    <row r="174" customFormat="true" x14ac:dyDescent="0.2">
      <c r="D174" s="87"/>
      <c r="E174" s="87"/>
      <c r="F174" s="87"/>
      <c r="G174" s="87"/>
      <c r="H174" s="87"/>
      <c r="I174" s="87"/>
    </row>
    <row r="175" customFormat="true" x14ac:dyDescent="0.2">
      <c r="D175" s="87"/>
      <c r="E175" s="87"/>
      <c r="F175" s="87"/>
      <c r="G175" s="87"/>
      <c r="H175" s="87"/>
      <c r="I175" s="87"/>
    </row>
    <row r="176" customFormat="true" x14ac:dyDescent="0.2">
      <c r="D176" s="87"/>
      <c r="E176" s="87"/>
      <c r="F176" s="87"/>
      <c r="G176" s="87"/>
      <c r="H176" s="87"/>
      <c r="I176" s="87"/>
    </row>
    <row r="177" customFormat="true" x14ac:dyDescent="0.2">
      <c r="D177" s="87"/>
      <c r="E177" s="87"/>
      <c r="F177" s="87"/>
      <c r="G177" s="87"/>
      <c r="H177" s="87"/>
      <c r="I177" s="87"/>
    </row>
    <row r="178" customFormat="true" x14ac:dyDescent="0.2">
      <c r="D178" s="87"/>
      <c r="E178" s="87"/>
      <c r="F178" s="87"/>
      <c r="G178" s="87"/>
      <c r="H178" s="87"/>
      <c r="I178" s="87"/>
    </row>
    <row r="179" customFormat="true" x14ac:dyDescent="0.2">
      <c r="D179" s="87"/>
      <c r="E179" s="87"/>
      <c r="F179" s="87"/>
      <c r="G179" s="87"/>
      <c r="H179" s="87"/>
      <c r="I179" s="87"/>
    </row>
    <row r="180" customFormat="true" x14ac:dyDescent="0.2">
      <c r="D180" s="87"/>
      <c r="E180" s="87"/>
      <c r="F180" s="87"/>
      <c r="G180" s="87"/>
      <c r="H180" s="87"/>
      <c r="I180" s="87"/>
    </row>
    <row r="181" customFormat="true" x14ac:dyDescent="0.2">
      <c r="D181" s="87"/>
      <c r="E181" s="87"/>
      <c r="F181" s="87"/>
      <c r="G181" s="87"/>
      <c r="H181" s="87"/>
      <c r="I181" s="87"/>
    </row>
    <row r="182" customFormat="true" x14ac:dyDescent="0.2">
      <c r="D182" s="87"/>
      <c r="E182" s="87"/>
      <c r="F182" s="87"/>
      <c r="G182" s="87"/>
      <c r="H182" s="87"/>
      <c r="I182" s="87"/>
    </row>
    <row r="183" customFormat="true" x14ac:dyDescent="0.2">
      <c r="D183" s="87"/>
      <c r="E183" s="87"/>
      <c r="F183" s="87"/>
      <c r="G183" s="87"/>
      <c r="H183" s="87"/>
      <c r="I183" s="87"/>
    </row>
    <row r="184" customFormat="true" x14ac:dyDescent="0.2">
      <c r="D184" s="87"/>
      <c r="E184" s="87"/>
      <c r="F184" s="87"/>
      <c r="G184" s="87"/>
      <c r="H184" s="87"/>
      <c r="I184" s="87"/>
    </row>
    <row r="185" customFormat="true" x14ac:dyDescent="0.2">
      <c r="D185" s="87"/>
      <c r="E185" s="87"/>
      <c r="F185" s="87"/>
      <c r="G185" s="87"/>
      <c r="H185" s="87"/>
      <c r="I185" s="87"/>
    </row>
    <row r="186" customFormat="true" x14ac:dyDescent="0.2">
      <c r="D186" s="87"/>
      <c r="E186" s="87"/>
      <c r="F186" s="87"/>
      <c r="G186" s="87"/>
      <c r="H186" s="87"/>
      <c r="I186" s="87"/>
    </row>
    <row r="187" customFormat="true" x14ac:dyDescent="0.2">
      <c r="D187" s="87"/>
      <c r="E187" s="87"/>
      <c r="F187" s="87"/>
      <c r="G187" s="87"/>
      <c r="H187" s="87"/>
      <c r="I187" s="87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zoomScale="115" workbookViewId="0">
      <pane ySplit="2" topLeftCell="A3" activePane="bottomLeft" state="frozen"/>
      <selection pane="bottomLeft" activeCell="D2" sqref="D2"/>
    </sheetView>
  </sheetViews>
  <sheetFormatPr baseColWidth="10" defaultColWidth="11.5" defaultRowHeight="15" customHeight="true" x14ac:dyDescent="0.2"/>
  <cols>
    <col min="1" max="1" width="26.1640625" style="111" bestFit="true" customWidth="true"/>
    <col min="2" max="5" width="16.1640625" style="81" customWidth="true"/>
    <col min="6" max="6" width="45.6640625" style="81" bestFit="true" customWidth="true"/>
    <col min="7" max="9" width="11.5" style="81"/>
    <col min="10" max="10" width="12.1640625" style="81" bestFit="true" customWidth="true"/>
    <col min="11" max="11" width="11.5" style="141"/>
    <col min="12" max="12" width="11.5" style="135"/>
    <col min="13" max="13" width="11.5" style="141"/>
    <col min="14" max="14" width="11.5" style="135"/>
    <col min="15" max="15" width="11.5" style="141"/>
    <col min="16" max="16" width="11.5" style="138"/>
    <col min="17" max="17" width="14.83203125" style="81" customWidth="true"/>
    <col min="18" max="18" width="22.1640625" style="107" customWidth="true"/>
    <col min="19" max="16384" width="11.5" style="81"/>
  </cols>
  <sheetData>
    <row r="1" ht="15" customHeight="true" thickBot="true" x14ac:dyDescent="0.25">
      <c r="F1" s="95"/>
      <c r="G1" s="108" t="s">
        <v>47</v>
      </c>
      <c r="H1" s="108" t="s">
        <v>48</v>
      </c>
      <c r="I1" s="108" t="s">
        <v>122</v>
      </c>
      <c r="J1" s="108" t="s">
        <v>134</v>
      </c>
      <c r="K1" s="139" t="s">
        <v>49</v>
      </c>
      <c r="L1" s="133"/>
      <c r="M1" s="139" t="s">
        <v>121</v>
      </c>
      <c r="N1" s="133"/>
      <c r="O1" s="139" t="s">
        <v>50</v>
      </c>
      <c r="P1" s="136"/>
      <c r="Q1" s="112" t="s">
        <v>51</v>
      </c>
      <c r="R1" s="108" t="s">
        <v>158</v>
      </c>
    </row>
    <row r="2" ht="15" customHeight="true" x14ac:dyDescent="0.2">
      <c r="A2" s="112" t="s">
        <v>52</v>
      </c>
      <c r="B2" s="113">
        <v>0.5</v>
      </c>
      <c r="C2" s="111" t="s">
        <v>53</v>
      </c>
      <c r="D2" s="114"/>
      <c r="F2" s="95"/>
      <c r="G2" s="115"/>
      <c r="H2" s="115"/>
      <c r="I2" s="115" t="s">
        <v>135</v>
      </c>
      <c r="J2" s="115" t="s">
        <v>135</v>
      </c>
      <c r="K2" s="140" t="s">
        <v>53</v>
      </c>
      <c r="L2" s="134" t="s">
        <v>54</v>
      </c>
      <c r="M2" s="140" t="s">
        <v>53</v>
      </c>
      <c r="N2" s="134" t="s">
        <v>54</v>
      </c>
      <c r="O2" s="140" t="s">
        <v>53</v>
      </c>
      <c r="P2" s="137" t="s">
        <v>54</v>
      </c>
      <c r="Q2" s="115"/>
      <c r="R2" s="116" t="s">
        <v>159</v>
      </c>
    </row>
    <row r="3" ht="15" customHeight="true" thickBot="true" x14ac:dyDescent="0.25">
      <c r="A3" s="112" t="s">
        <v>55</v>
      </c>
      <c r="B3" s="117">
        <v>0.5</v>
      </c>
      <c r="C3" s="111" t="s">
        <v>54</v>
      </c>
      <c r="D3" s="114"/>
      <c r="F3" s="240" t="s">
        <v>39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71">
        <v>0</v>
      </c>
      <c r="R3" s="35">
        <v>0</v>
      </c>
    </row>
    <row r="4" ht="15" customHeight="true" thickBot="true" x14ac:dyDescent="0.25">
      <c r="F4" s="240" t="s">
        <v>41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71">
        <v>0</v>
      </c>
      <c r="R4" s="172">
        <v>0</v>
      </c>
    </row>
    <row r="5" ht="15" customHeight="true" x14ac:dyDescent="0.2">
      <c r="A5" s="112" t="s">
        <v>56</v>
      </c>
      <c r="B5" s="118">
        <v>0.5</v>
      </c>
      <c r="C5" s="111" t="s">
        <v>53</v>
      </c>
      <c r="D5" s="114"/>
      <c r="F5" s="240" t="s">
        <v>42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71">
        <v>0</v>
      </c>
      <c r="R5" s="172">
        <v>0</v>
      </c>
    </row>
    <row r="6" ht="15" customHeight="true" thickBot="true" x14ac:dyDescent="0.25">
      <c r="A6" s="112"/>
      <c r="B6" s="119">
        <v>0.5</v>
      </c>
      <c r="C6" s="111" t="s">
        <v>54</v>
      </c>
      <c r="D6" s="114"/>
      <c r="F6" s="240" t="s">
        <v>178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0.1</v>
      </c>
      <c r="N6">
        <v>0.9</v>
      </c>
      <c r="O6">
        <v>1</v>
      </c>
      <c r="P6">
        <v>0</v>
      </c>
      <c r="Q6" s="171">
        <v>0</v>
      </c>
      <c r="R6" s="172">
        <v>0</v>
      </c>
      <c r="T6" s="110" t="s">
        <v>166</v>
      </c>
    </row>
    <row r="7" ht="15" customHeight="true" thickBot="true" x14ac:dyDescent="0.25">
      <c r="F7" s="240" t="s">
        <v>179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0.75</v>
      </c>
      <c r="N7">
        <v>0.25</v>
      </c>
      <c r="O7">
        <v>1</v>
      </c>
      <c r="P7">
        <v>0</v>
      </c>
      <c r="Q7" s="171">
        <v>0</v>
      </c>
      <c r="R7" s="172">
        <v>0</v>
      </c>
      <c r="T7" s="110" t="s">
        <v>166</v>
      </c>
    </row>
    <row r="8" ht="15" customHeight="true" x14ac:dyDescent="0.2">
      <c r="A8" s="112" t="s">
        <v>57</v>
      </c>
      <c r="B8" s="118">
        <f>E32</f>
        <v>0.19947996548872271</v>
      </c>
      <c r="C8" s="106" t="str">
        <f>A32</f>
        <v>Open ocean large phytoplankton</v>
      </c>
      <c r="D8" s="114" t="s">
        <v>165</v>
      </c>
      <c r="F8" s="240" t="s">
        <v>180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0.1</v>
      </c>
      <c r="N8">
        <v>0.9</v>
      </c>
      <c r="O8">
        <v>1</v>
      </c>
      <c r="P8">
        <v>0</v>
      </c>
      <c r="Q8" s="171">
        <v>0</v>
      </c>
      <c r="R8" s="172">
        <v>0</v>
      </c>
      <c r="T8" s="110" t="s">
        <v>166</v>
      </c>
    </row>
    <row r="9" ht="15" customHeight="true" x14ac:dyDescent="0.2">
      <c r="A9" s="120" t="s">
        <v>174</v>
      </c>
      <c r="B9" s="121">
        <f>E33</f>
        <v>0.79909324438831253</v>
      </c>
      <c r="C9" s="106" t="str">
        <f t="shared" ref="C9:C17" si="0">A33</f>
        <v>Open ocean small phytoplankton</v>
      </c>
      <c r="D9" s="114" t="s">
        <v>165</v>
      </c>
      <c r="F9" s="240" t="s">
        <v>181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0</v>
      </c>
      <c r="P9">
        <v>1</v>
      </c>
      <c r="Q9" s="171">
        <v>0</v>
      </c>
      <c r="R9" s="172">
        <v>1</v>
      </c>
      <c r="T9" s="110" t="s">
        <v>166</v>
      </c>
    </row>
    <row r="10" ht="15" customHeight="true" x14ac:dyDescent="0.2">
      <c r="B10" s="121">
        <f t="shared" ref="B10:B11" si="1">E34</f>
        <v>6.3051312074343107E-4</v>
      </c>
      <c r="C10" s="106" t="str">
        <f t="shared" si="0"/>
        <v>Island associated blooms</v>
      </c>
      <c r="D10" s="114" t="s">
        <v>165</v>
      </c>
      <c r="F10" s="240" t="s">
        <v>182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1</v>
      </c>
      <c r="O10">
        <v>1</v>
      </c>
      <c r="P10">
        <v>0</v>
      </c>
      <c r="Q10" s="171">
        <v>0</v>
      </c>
      <c r="R10" s="172">
        <v>0</v>
      </c>
    </row>
    <row r="11" ht="15" customHeight="true" x14ac:dyDescent="0.2">
      <c r="A11" s="112"/>
      <c r="B11" s="121">
        <f t="shared" si="1"/>
        <v>7.9627700222137583E-4</v>
      </c>
      <c r="C11" s="106" t="str">
        <f t="shared" si="0"/>
        <v>Macrophytes</v>
      </c>
      <c r="D11" s="114" t="s">
        <v>165</v>
      </c>
      <c r="F11" s="240" t="s">
        <v>183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1</v>
      </c>
      <c r="O11">
        <v>1</v>
      </c>
      <c r="P11">
        <v>0</v>
      </c>
      <c r="Q11" s="171">
        <v>0</v>
      </c>
      <c r="R11" s="172">
        <v>0.25</v>
      </c>
    </row>
    <row r="12" ht="15" customHeight="true" x14ac:dyDescent="0.2">
      <c r="B12" s="121"/>
      <c r="C12" s="106">
        <f t="shared" si="0"/>
        <v>0</v>
      </c>
      <c r="D12" s="114" t="s">
        <v>165</v>
      </c>
      <c r="F12" s="240" t="s">
        <v>184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1</v>
      </c>
      <c r="O12">
        <v>1</v>
      </c>
      <c r="P12">
        <v>0</v>
      </c>
      <c r="Q12" s="171">
        <v>0</v>
      </c>
      <c r="R12" s="172">
        <v>0.25</v>
      </c>
    </row>
    <row r="13" ht="15" customHeight="true" x14ac:dyDescent="0.2">
      <c r="B13" s="121"/>
      <c r="C13" s="106">
        <f t="shared" si="0"/>
        <v>0</v>
      </c>
      <c r="D13" s="114" t="s">
        <v>165</v>
      </c>
      <c r="F13" s="240" t="s">
        <v>185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1</v>
      </c>
      <c r="O13">
        <v>0</v>
      </c>
      <c r="P13">
        <v>1</v>
      </c>
      <c r="Q13" s="171">
        <v>0</v>
      </c>
      <c r="R13" s="172">
        <v>1</v>
      </c>
    </row>
    <row r="14" ht="15" customHeight="true" x14ac:dyDescent="0.2">
      <c r="B14" s="121"/>
      <c r="C14" s="106">
        <f t="shared" si="0"/>
        <v>0</v>
      </c>
      <c r="D14" s="114" t="s">
        <v>165</v>
      </c>
      <c r="F14" s="240" t="s">
        <v>186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1</v>
      </c>
      <c r="O14">
        <v>0</v>
      </c>
      <c r="P14">
        <v>1</v>
      </c>
      <c r="Q14" s="171">
        <v>0</v>
      </c>
      <c r="R14" s="172">
        <v>1</v>
      </c>
    </row>
    <row r="15" ht="15" customHeight="true" x14ac:dyDescent="0.2">
      <c r="B15" s="121"/>
      <c r="C15" s="106">
        <f t="shared" si="0"/>
        <v>0</v>
      </c>
      <c r="D15" s="114" t="s">
        <v>165</v>
      </c>
      <c r="F15" s="240" t="s">
        <v>187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>
        <v>1</v>
      </c>
      <c r="P15">
        <v>0</v>
      </c>
      <c r="Q15" s="171">
        <v>0</v>
      </c>
      <c r="R15" s="172">
        <v>1</v>
      </c>
    </row>
    <row r="16" ht="15" customHeight="true" x14ac:dyDescent="0.2">
      <c r="B16" s="121"/>
      <c r="C16" s="106">
        <f t="shared" si="0"/>
        <v>0</v>
      </c>
      <c r="D16" s="114" t="s">
        <v>165</v>
      </c>
      <c r="F16" s="240" t="s">
        <v>188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1</v>
      </c>
      <c r="O16">
        <v>1</v>
      </c>
      <c r="P16">
        <v>0</v>
      </c>
      <c r="Q16" s="171">
        <v>0</v>
      </c>
      <c r="R16" s="172">
        <v>1</v>
      </c>
    </row>
    <row r="17" ht="15" customHeight="true" thickBot="true" x14ac:dyDescent="0.25">
      <c r="B17" s="119"/>
      <c r="C17" s="106">
        <f t="shared" si="0"/>
        <v>0</v>
      </c>
      <c r="D17" s="114" t="s">
        <v>165</v>
      </c>
      <c r="F17" s="240" t="s">
        <v>258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1</v>
      </c>
      <c r="P17">
        <v>0</v>
      </c>
      <c r="Q17" s="171">
        <v>0</v>
      </c>
      <c r="R17" s="172">
        <v>1</v>
      </c>
    </row>
    <row r="18" ht="15" customHeight="true" thickBot="true" x14ac:dyDescent="0.25">
      <c r="B18" s="109"/>
      <c r="F18" s="240" t="s">
        <v>190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>
        <v>1</v>
      </c>
      <c r="P18">
        <v>0</v>
      </c>
      <c r="Q18" s="171">
        <v>0</v>
      </c>
      <c r="R18" s="172">
        <v>1</v>
      </c>
    </row>
    <row r="19" ht="15" customHeight="true" x14ac:dyDescent="0.2">
      <c r="A19" s="112" t="s">
        <v>58</v>
      </c>
      <c r="B19" s="118">
        <f>E32</f>
        <v>0.19947996548872271</v>
      </c>
      <c r="C19" s="106" t="str">
        <f>A32</f>
        <v>Open ocean large phytoplankton</v>
      </c>
      <c r="D19" s="114" t="s">
        <v>165</v>
      </c>
      <c r="F19" s="240" t="s">
        <v>191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1</v>
      </c>
      <c r="O19">
        <v>0.75</v>
      </c>
      <c r="P19">
        <v>0.25</v>
      </c>
      <c r="Q19" s="171">
        <v>0</v>
      </c>
      <c r="R19" s="172">
        <v>1</v>
      </c>
    </row>
    <row r="20" ht="15" customHeight="true" x14ac:dyDescent="0.2">
      <c r="A20" s="120" t="s">
        <v>174</v>
      </c>
      <c r="B20" s="121">
        <f>E33</f>
        <v>0.79909324438831253</v>
      </c>
      <c r="C20" s="106" t="str">
        <f t="shared" ref="C20:C28" si="2">A33</f>
        <v>Open ocean small phytoplankton</v>
      </c>
      <c r="D20" s="114" t="s">
        <v>165</v>
      </c>
      <c r="F20" s="240" t="s">
        <v>192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1</v>
      </c>
      <c r="O20">
        <v>0.75</v>
      </c>
      <c r="P20">
        <v>0.25</v>
      </c>
      <c r="Q20" s="171">
        <v>0</v>
      </c>
      <c r="R20" s="172">
        <v>1</v>
      </c>
    </row>
    <row r="21" ht="15" customHeight="true" x14ac:dyDescent="0.2">
      <c r="B21" s="121">
        <f t="shared" ref="B21:B22" si="3">E34</f>
        <v>6.3051312074343107E-4</v>
      </c>
      <c r="C21" s="106" t="str">
        <f t="shared" si="2"/>
        <v>Island associated blooms</v>
      </c>
      <c r="D21" s="114" t="s">
        <v>165</v>
      </c>
      <c r="F21" s="240" t="s">
        <v>193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1</v>
      </c>
      <c r="O21">
        <v>0.5</v>
      </c>
      <c r="P21">
        <v>0.5</v>
      </c>
      <c r="Q21" s="171">
        <v>0</v>
      </c>
      <c r="R21" s="172">
        <v>1</v>
      </c>
    </row>
    <row r="22" ht="15" customHeight="true" x14ac:dyDescent="0.2">
      <c r="A22" s="81"/>
      <c r="B22" s="121">
        <f t="shared" si="3"/>
        <v>7.9627700222137583E-4</v>
      </c>
      <c r="C22" s="106" t="str">
        <f t="shared" si="2"/>
        <v>Macrophytes</v>
      </c>
      <c r="D22" s="114" t="s">
        <v>165</v>
      </c>
      <c r="F22" s="240" t="s">
        <v>194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1</v>
      </c>
      <c r="O22">
        <v>0.5</v>
      </c>
      <c r="P22">
        <v>0.5</v>
      </c>
      <c r="Q22" s="171">
        <v>0</v>
      </c>
      <c r="R22" s="172">
        <v>1</v>
      </c>
    </row>
    <row r="23" ht="15" customHeight="true" x14ac:dyDescent="0.2">
      <c r="A23" s="81"/>
      <c r="B23" s="121"/>
      <c r="C23" s="106">
        <f t="shared" si="2"/>
        <v>0</v>
      </c>
      <c r="D23" s="114" t="s">
        <v>165</v>
      </c>
      <c r="F23" s="240" t="s">
        <v>259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1</v>
      </c>
      <c r="O23">
        <v>0.5</v>
      </c>
      <c r="P23">
        <v>0.5</v>
      </c>
      <c r="Q23" s="171">
        <v>0</v>
      </c>
      <c r="R23" s="172">
        <v>1</v>
      </c>
    </row>
    <row r="24" ht="15" customHeight="true" x14ac:dyDescent="0.2">
      <c r="A24" s="81"/>
      <c r="B24" s="121"/>
      <c r="C24" s="106">
        <f t="shared" si="2"/>
        <v>0</v>
      </c>
      <c r="D24" s="114" t="s">
        <v>165</v>
      </c>
      <c r="F24" s="240" t="s">
        <v>196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1</v>
      </c>
      <c r="O24">
        <v>0.5</v>
      </c>
      <c r="P24">
        <v>0.5</v>
      </c>
      <c r="Q24" s="171">
        <v>0</v>
      </c>
      <c r="R24" s="172">
        <v>1</v>
      </c>
    </row>
    <row r="25" ht="15" customHeight="true" x14ac:dyDescent="0.2">
      <c r="A25" s="81"/>
      <c r="B25" s="121"/>
      <c r="C25" s="106">
        <f t="shared" si="2"/>
        <v>0</v>
      </c>
      <c r="D25" s="114" t="s">
        <v>165</v>
      </c>
      <c r="F25" s="240" t="s">
        <v>197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1</v>
      </c>
      <c r="O25">
        <v>0.5</v>
      </c>
      <c r="P25">
        <v>0.5</v>
      </c>
      <c r="Q25" s="171">
        <v>0</v>
      </c>
      <c r="R25" s="172">
        <v>1</v>
      </c>
    </row>
    <row r="26" ht="15" customHeight="true" x14ac:dyDescent="0.2">
      <c r="B26" s="121"/>
      <c r="C26" s="106">
        <f t="shared" si="2"/>
        <v>0</v>
      </c>
      <c r="D26" s="114" t="s">
        <v>165</v>
      </c>
      <c r="F26" s="240" t="s">
        <v>198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1</v>
      </c>
      <c r="O26">
        <v>1</v>
      </c>
      <c r="P26">
        <v>0</v>
      </c>
      <c r="Q26" s="171">
        <v>0</v>
      </c>
      <c r="R26" s="172">
        <v>1</v>
      </c>
    </row>
    <row r="27" ht="15" customHeight="true" x14ac:dyDescent="0.2">
      <c r="B27" s="121"/>
      <c r="C27" s="106">
        <f t="shared" si="2"/>
        <v>0</v>
      </c>
      <c r="D27" s="114" t="s">
        <v>165</v>
      </c>
      <c r="F27" s="240" t="s">
        <v>199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1</v>
      </c>
      <c r="O27">
        <v>1</v>
      </c>
      <c r="P27">
        <v>0</v>
      </c>
      <c r="Q27" s="171">
        <v>0</v>
      </c>
      <c r="R27" s="172">
        <v>1</v>
      </c>
    </row>
    <row r="28" ht="15" customHeight="true" thickBot="true" x14ac:dyDescent="0.25">
      <c r="B28" s="119"/>
      <c r="C28" s="106">
        <f t="shared" si="2"/>
        <v>0</v>
      </c>
      <c r="D28" s="114" t="s">
        <v>165</v>
      </c>
      <c r="F28" s="240" t="s">
        <v>200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1</v>
      </c>
      <c r="O28">
        <v>1</v>
      </c>
      <c r="P28">
        <v>0</v>
      </c>
      <c r="Q28" s="171">
        <v>0</v>
      </c>
      <c r="R28" s="172">
        <v>1</v>
      </c>
    </row>
    <row r="29" ht="15" customHeight="true" x14ac:dyDescent="0.2">
      <c r="F29" s="240" t="s">
        <v>201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1</v>
      </c>
      <c r="O29">
        <v>1</v>
      </c>
      <c r="P29">
        <v>0</v>
      </c>
      <c r="Q29" s="171">
        <v>0</v>
      </c>
      <c r="R29" s="172">
        <v>1</v>
      </c>
    </row>
    <row r="30" ht="15" customHeight="true" x14ac:dyDescent="0.2">
      <c r="F30" s="240" t="s">
        <v>202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1</v>
      </c>
      <c r="O30">
        <v>1</v>
      </c>
      <c r="P30">
        <v>0</v>
      </c>
      <c r="Q30" s="171">
        <v>0</v>
      </c>
      <c r="R30" s="172">
        <v>1</v>
      </c>
    </row>
    <row r="31" ht="15" customHeight="true" x14ac:dyDescent="0.2">
      <c r="A31" s="122"/>
      <c r="B31" s="123" t="s">
        <v>18</v>
      </c>
      <c r="C31" s="123" t="s">
        <v>1</v>
      </c>
      <c r="D31" s="123" t="s">
        <v>167</v>
      </c>
      <c r="E31" s="124" t="s">
        <v>169</v>
      </c>
      <c r="F31" s="240" t="s">
        <v>203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1</v>
      </c>
      <c r="O31">
        <v>1</v>
      </c>
      <c r="P31">
        <v>0</v>
      </c>
      <c r="Q31" s="171">
        <v>0</v>
      </c>
      <c r="R31" s="172">
        <v>1</v>
      </c>
    </row>
    <row r="32" ht="15" customHeight="true" x14ac:dyDescent="0.2">
      <c r="A32" s="109" t="str">
        <f>MainOutputs!B2</f>
        <v>Open ocean large phytoplankton</v>
      </c>
      <c r="B32" s="109">
        <f>MainOutputs!D2</f>
        <v>1.7000000476837158</v>
      </c>
      <c r="C32" s="109">
        <f>MainOutputs!E2</f>
        <v>150</v>
      </c>
      <c r="D32" s="109">
        <f>B32*C32</f>
        <v>255.00000715255737</v>
      </c>
      <c r="E32" s="125">
        <f>D32/D$42</f>
        <v>0.19947996548872271</v>
      </c>
      <c r="F32" s="240" t="s">
        <v>204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1</v>
      </c>
      <c r="O32">
        <v>1</v>
      </c>
      <c r="P32">
        <v>0</v>
      </c>
      <c r="Q32" s="171">
        <v>0</v>
      </c>
      <c r="R32" s="172">
        <v>1</v>
      </c>
    </row>
    <row r="33" ht="15" customHeight="true" x14ac:dyDescent="0.2">
      <c r="A33" s="109" t="str">
        <f>MainOutputs!B3</f>
        <v>Open ocean small phytoplankton</v>
      </c>
      <c r="B33" s="109">
        <f>MainOutputs!D3</f>
        <v>6.809999942779541</v>
      </c>
      <c r="C33" s="109">
        <f>MainOutputs!E3</f>
        <v>150</v>
      </c>
      <c r="D33" s="109">
        <f t="shared" ref="D33" si="4">B33*C33</f>
        <v>1021.4999914169312</v>
      </c>
      <c r="E33" s="125">
        <f t="shared" ref="E33" si="5">D33/D$42</f>
        <v>0.79909324438831253</v>
      </c>
      <c r="F33" s="240" t="s">
        <v>205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1</v>
      </c>
      <c r="O33">
        <v>1</v>
      </c>
      <c r="P33">
        <v>0</v>
      </c>
      <c r="Q33" s="171">
        <v>0</v>
      </c>
      <c r="R33" s="172">
        <v>1</v>
      </c>
    </row>
    <row r="34" ht="15" customHeight="true" x14ac:dyDescent="0.2">
      <c r="A34" s="109" t="str">
        <f>MainOutputs!B4</f>
        <v>Island associated blooms</v>
      </c>
      <c r="B34" s="109">
        <f>MainOutputs!D4</f>
        <v>4.029999952763319E-3</v>
      </c>
      <c r="C34" s="109">
        <f>MainOutputs!E4</f>
        <v>200</v>
      </c>
      <c r="D34" s="109">
        <f t="shared" ref="D34:D35" si="6">B34*C34</f>
        <v>0.8059999905526638</v>
      </c>
      <c r="E34" s="125">
        <f t="shared" ref="E34:E35" si="7">D34/D$42</f>
        <v>6.3051312074343107E-4</v>
      </c>
      <c r="F34" s="240" t="s">
        <v>206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1</v>
      </c>
      <c r="O34">
        <v>1</v>
      </c>
      <c r="P34">
        <v>0</v>
      </c>
      <c r="Q34" s="171">
        <v>0</v>
      </c>
      <c r="R34" s="172">
        <v>1</v>
      </c>
    </row>
    <row r="35" ht="15" customHeight="true" x14ac:dyDescent="0.2">
      <c r="A35" s="109" t="str">
        <f>MainOutputs!B5</f>
        <v>Macrophytes</v>
      </c>
      <c r="B35" s="109">
        <f>MainOutputs!D5</f>
        <v>0.19499999284744263</v>
      </c>
      <c r="C35" s="109">
        <f>MainOutputs!E5</f>
        <v>5.2199997901916504</v>
      </c>
      <c r="D35" s="109">
        <f t="shared" si="6"/>
        <v>1.0178999217510238</v>
      </c>
      <c r="E35" s="125">
        <f t="shared" si="7"/>
        <v>7.9627700222137583E-4</v>
      </c>
      <c r="F35" s="240" t="s">
        <v>207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1</v>
      </c>
      <c r="O35">
        <v>1</v>
      </c>
      <c r="P35">
        <v>0</v>
      </c>
      <c r="Q35" s="171">
        <v>0</v>
      </c>
      <c r="R35" s="172">
        <v>1</v>
      </c>
    </row>
    <row r="36" ht="15" customHeight="true" x14ac:dyDescent="0.2">
      <c r="A36" s="126"/>
      <c r="B36" s="109"/>
      <c r="C36" s="109"/>
      <c r="D36" s="109"/>
      <c r="E36" s="125"/>
      <c r="F36" s="240" t="s">
        <v>208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1</v>
      </c>
      <c r="O36">
        <v>1</v>
      </c>
      <c r="P36">
        <v>0</v>
      </c>
      <c r="Q36" s="171">
        <v>0</v>
      </c>
      <c r="R36" s="172">
        <v>1</v>
      </c>
    </row>
    <row r="37" ht="15" customHeight="true" x14ac:dyDescent="0.2">
      <c r="A37" s="126"/>
      <c r="B37" s="109"/>
      <c r="C37" s="109"/>
      <c r="D37" s="109"/>
      <c r="E37" s="125"/>
      <c r="F37" s="240" t="s">
        <v>209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1</v>
      </c>
      <c r="O37">
        <v>1</v>
      </c>
      <c r="P37">
        <v>0</v>
      </c>
      <c r="Q37" s="171">
        <v>0</v>
      </c>
      <c r="R37" s="172">
        <v>1</v>
      </c>
    </row>
    <row r="38" ht="15" customHeight="true" x14ac:dyDescent="0.2">
      <c r="A38" s="127"/>
      <c r="B38" s="109"/>
      <c r="C38" s="109"/>
      <c r="D38" s="109"/>
      <c r="E38" s="125"/>
      <c r="F38" s="240" t="s">
        <v>210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1</v>
      </c>
      <c r="O38">
        <v>1</v>
      </c>
      <c r="P38">
        <v>0</v>
      </c>
      <c r="Q38" s="171">
        <v>0</v>
      </c>
      <c r="R38" s="172">
        <v>1</v>
      </c>
    </row>
    <row r="39" ht="15" customHeight="true" x14ac:dyDescent="0.2">
      <c r="A39" s="127"/>
      <c r="B39" s="109"/>
      <c r="C39" s="109"/>
      <c r="D39" s="109"/>
      <c r="E39" s="125"/>
      <c r="F39" s="240" t="s">
        <v>211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1</v>
      </c>
      <c r="O39">
        <v>1</v>
      </c>
      <c r="P39">
        <v>0</v>
      </c>
      <c r="Q39" s="171">
        <v>0</v>
      </c>
      <c r="R39" s="172">
        <v>1</v>
      </c>
    </row>
    <row r="40" ht="15" customHeight="true" thickBot="true" x14ac:dyDescent="0.25">
      <c r="A40" s="127"/>
      <c r="B40" s="109"/>
      <c r="C40" s="109"/>
      <c r="D40" s="109"/>
      <c r="E40" s="125"/>
      <c r="F40" s="240" t="s">
        <v>212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1</v>
      </c>
      <c r="O40">
        <v>1</v>
      </c>
      <c r="P40">
        <v>0</v>
      </c>
      <c r="Q40" s="171">
        <v>0</v>
      </c>
      <c r="R40" s="172">
        <v>1</v>
      </c>
    </row>
    <row r="41" ht="15" customHeight="true" thickBot="true" x14ac:dyDescent="0.25">
      <c r="A41" s="127"/>
      <c r="B41" s="109"/>
      <c r="C41" s="109"/>
      <c r="D41" s="128"/>
      <c r="E41" s="129"/>
      <c r="F41" s="177" t="s">
        <v>213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1</v>
      </c>
      <c r="O41" s="173">
        <v>1</v>
      </c>
      <c r="P41" s="174">
        <v>0</v>
      </c>
      <c r="Q41" s="35">
        <v>0</v>
      </c>
      <c r="R41" s="172">
        <v>0</v>
      </c>
    </row>
    <row r="42" ht="15" customHeight="true" thickBot="true" x14ac:dyDescent="0.25">
      <c r="A42" s="130"/>
      <c r="B42" s="131"/>
      <c r="C42" s="131" t="s">
        <v>168</v>
      </c>
      <c r="D42" s="131">
        <f>SUM(D32:D41)</f>
        <v>1278.3238984817922</v>
      </c>
      <c r="E42" s="132">
        <f>SUM(E32:E41)</f>
        <v>1</v>
      </c>
      <c r="F42" s="240" t="s">
        <v>215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1</v>
      </c>
      <c r="O42" s="173">
        <v>0</v>
      </c>
      <c r="P42" s="174">
        <v>1</v>
      </c>
      <c r="Q42" s="171">
        <v>0</v>
      </c>
      <c r="R42" s="172">
        <v>1</v>
      </c>
    </row>
    <row r="43" ht="15" customHeight="true" thickBot="true" x14ac:dyDescent="0.25">
      <c r="A43" s="81"/>
      <c r="F43" s="240" t="s">
        <v>216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1</v>
      </c>
      <c r="O43">
        <v>0</v>
      </c>
      <c r="P43">
        <v>1</v>
      </c>
      <c r="Q43" s="171">
        <v>0</v>
      </c>
      <c r="R43" s="172">
        <v>0.5</v>
      </c>
    </row>
    <row r="44" ht="15" customHeight="true" thickBot="true" x14ac:dyDescent="0.25">
      <c r="A44" s="81"/>
      <c r="F44" s="241" t="s">
        <v>217</v>
      </c>
      <c r="G44">
        <v>0</v>
      </c>
      <c r="H44">
        <v>0</v>
      </c>
      <c r="I44">
        <v>0</v>
      </c>
      <c r="J44">
        <v>0</v>
      </c>
      <c r="K44" s="175">
        <v>0</v>
      </c>
      <c r="L44" s="176">
        <v>1</v>
      </c>
      <c r="M44">
        <v>0</v>
      </c>
      <c r="N44">
        <v>0</v>
      </c>
      <c r="O44">
        <v>0</v>
      </c>
      <c r="P44">
        <v>0</v>
      </c>
      <c r="Q44" s="171">
        <v>0</v>
      </c>
      <c r="R44" s="172">
        <v>1</v>
      </c>
    </row>
    <row r="45" ht="15" customHeight="true" x14ac:dyDescent="0.2">
      <c r="A45" s="81"/>
      <c r="F45" s="177"/>
      <c r="G45"/>
      <c r="H45"/>
      <c r="I45"/>
      <c r="J45"/>
      <c r="K45"/>
      <c r="L45"/>
      <c r="M45"/>
      <c r="N45"/>
      <c r="O45"/>
      <c r="P45"/>
      <c r="Q45"/>
      <c r="R45" s="170"/>
    </row>
    <row r="46" ht="15" customHeight="true" x14ac:dyDescent="0.2">
      <c r="A46" s="81"/>
      <c r="F46" s="177"/>
      <c r="G46"/>
      <c r="H46"/>
      <c r="I46"/>
      <c r="J46"/>
      <c r="K46"/>
      <c r="L46"/>
      <c r="M46"/>
      <c r="N46"/>
      <c r="O46"/>
      <c r="P46"/>
      <c r="Q46"/>
      <c r="R46" s="170"/>
    </row>
    <row r="47" ht="15" customHeight="true" x14ac:dyDescent="0.2">
      <c r="A47" s="81"/>
      <c r="F47" s="177"/>
      <c r="G47"/>
      <c r="H47"/>
      <c r="I47"/>
      <c r="J47"/>
      <c r="K47"/>
      <c r="L47"/>
      <c r="M47"/>
      <c r="N47"/>
      <c r="O47"/>
      <c r="P47"/>
      <c r="Q47"/>
      <c r="R47" s="170"/>
    </row>
    <row r="48" ht="15" customHeight="true" x14ac:dyDescent="0.2">
      <c r="A48" s="81"/>
      <c r="F48" s="177"/>
      <c r="G48"/>
      <c r="H48"/>
      <c r="I48"/>
      <c r="J48"/>
      <c r="K48" s="56" t="s">
        <v>156</v>
      </c>
      <c r="L48"/>
      <c r="M48"/>
      <c r="N48"/>
      <c r="O48" s="56" t="s">
        <v>157</v>
      </c>
      <c r="P48"/>
      <c r="Q48"/>
      <c r="R48" s="170"/>
    </row>
    <row r="49" ht="15" customHeight="true" x14ac:dyDescent="0.2">
      <c r="A49" s="81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ht="15" customHeight="true" x14ac:dyDescent="0.2">
      <c r="A50" s="81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ht="15" customHeight="true" x14ac:dyDescent="0.2"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ht="15" customHeight="true" x14ac:dyDescent="0.2"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ht="15" customHeight="true" x14ac:dyDescent="0.2">
      <c r="A53" s="81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ht="15" customHeight="true" x14ac:dyDescent="0.2">
      <c r="A54" s="81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ht="15" customHeight="true" x14ac:dyDescent="0.2">
      <c r="A55" s="81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ht="15" customHeight="true" x14ac:dyDescent="0.2">
      <c r="A56" s="81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ht="15" customHeight="true" x14ac:dyDescent="0.2">
      <c r="A57" s="81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ht="15" customHeight="true" x14ac:dyDescent="0.2">
      <c r="A58" s="81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ht="15" customHeight="true" x14ac:dyDescent="0.2">
      <c r="A59" s="81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ht="15" customHeight="true" x14ac:dyDescent="0.2">
      <c r="A60" s="81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ht="15" customHeight="true" x14ac:dyDescent="0.2">
      <c r="A61" s="81"/>
      <c r="P61" s="135"/>
      <c r="R61" s="81"/>
    </row>
    <row r="62" ht="15" customHeight="true" x14ac:dyDescent="0.2">
      <c r="A62" s="81"/>
      <c r="P62" s="135"/>
      <c r="R62" s="81"/>
    </row>
    <row r="63" ht="15" customHeight="true" x14ac:dyDescent="0.2">
      <c r="A63" s="81"/>
      <c r="P63" s="135"/>
      <c r="R63" s="81"/>
    </row>
    <row r="64" ht="15" customHeight="true" x14ac:dyDescent="0.2">
      <c r="A64" s="81"/>
      <c r="K64" s="110" t="s">
        <v>156</v>
      </c>
      <c r="P64" s="135"/>
      <c r="R64" s="81"/>
    </row>
    <row r="65" ht="15" customHeight="true" x14ac:dyDescent="0.2">
      <c r="O65" s="110" t="s">
        <v>157</v>
      </c>
      <c r="P65" s="135"/>
      <c r="R65" s="81"/>
    </row>
    <row r="66" ht="15" customHeight="true" x14ac:dyDescent="0.2">
      <c r="P66" s="135"/>
      <c r="R66" s="81"/>
    </row>
    <row r="67" ht="15" customHeight="true" x14ac:dyDescent="0.2">
      <c r="P67" s="135"/>
      <c r="R67" s="81"/>
    </row>
    <row r="68" ht="15" customHeight="true" x14ac:dyDescent="0.2">
      <c r="P68" s="135"/>
      <c r="R68" s="81"/>
    </row>
    <row r="69" ht="15" customHeight="true" x14ac:dyDescent="0.2">
      <c r="P69" s="135"/>
      <c r="R69" s="81"/>
    </row>
    <row r="70" ht="15" customHeight="true" x14ac:dyDescent="0.2">
      <c r="P70" s="135"/>
      <c r="R70" s="81"/>
    </row>
    <row r="71" ht="15" customHeight="true" x14ac:dyDescent="0.2">
      <c r="P71" s="135"/>
      <c r="R71" s="81"/>
    </row>
    <row r="72" ht="15" customHeight="true" x14ac:dyDescent="0.2">
      <c r="P72" s="135"/>
      <c r="R72" s="81"/>
    </row>
    <row r="73" ht="15" customHeight="true" x14ac:dyDescent="0.2">
      <c r="P73" s="135"/>
      <c r="R73" s="81"/>
    </row>
    <row r="74" ht="15" customHeight="true" x14ac:dyDescent="0.2">
      <c r="P74" s="135"/>
      <c r="R74" s="81"/>
    </row>
    <row r="75" ht="15" customHeight="true" x14ac:dyDescent="0.2">
      <c r="P75" s="135"/>
      <c r="R75" s="81"/>
    </row>
    <row r="76" ht="15" customHeight="true" x14ac:dyDescent="0.2">
      <c r="A76" s="81"/>
      <c r="P76" s="135"/>
      <c r="R76" s="81"/>
    </row>
    <row r="77" ht="15" customHeight="true" x14ac:dyDescent="0.2">
      <c r="A77" s="81"/>
      <c r="P77" s="135"/>
      <c r="R77" s="81"/>
    </row>
    <row r="78" ht="15" customHeight="true" x14ac:dyDescent="0.2">
      <c r="A78" s="81"/>
      <c r="P78" s="135"/>
      <c r="R78" s="81"/>
    </row>
    <row r="79" ht="15" customHeight="true" x14ac:dyDescent="0.2">
      <c r="A79" s="81"/>
      <c r="P79" s="135"/>
      <c r="R79" s="81"/>
    </row>
    <row r="80" ht="15" customHeight="true" x14ac:dyDescent="0.2">
      <c r="A80" s="81"/>
      <c r="P80" s="135"/>
      <c r="R80" s="81"/>
    </row>
    <row r="81" ht="15" customHeight="true" x14ac:dyDescent="0.2">
      <c r="A81" s="81"/>
      <c r="P81" s="135"/>
      <c r="R81" s="81"/>
    </row>
    <row r="82" ht="15" customHeight="true" x14ac:dyDescent="0.2">
      <c r="A82" s="81"/>
      <c r="P82" s="135"/>
      <c r="R82" s="81"/>
    </row>
    <row r="83" ht="15" customHeight="true" x14ac:dyDescent="0.2">
      <c r="A83" s="81"/>
      <c r="P83" s="135"/>
      <c r="R83" s="81"/>
    </row>
    <row r="84" ht="15" customHeight="true" x14ac:dyDescent="0.2">
      <c r="A84" s="81"/>
      <c r="P84" s="135"/>
      <c r="R84" s="81"/>
    </row>
    <row r="85" ht="15" customHeight="true" x14ac:dyDescent="0.2">
      <c r="A85" s="81"/>
      <c r="P85" s="135"/>
      <c r="R85" s="81"/>
    </row>
    <row r="86" ht="15" customHeight="true" x14ac:dyDescent="0.2">
      <c r="A86" s="81"/>
      <c r="P86" s="135"/>
      <c r="R86" s="81"/>
    </row>
    <row r="87" ht="15" customHeight="true" x14ac:dyDescent="0.2">
      <c r="A87" s="81"/>
      <c r="P87" s="135"/>
      <c r="R87" s="81"/>
    </row>
    <row r="88" ht="15" customHeight="true" x14ac:dyDescent="0.2">
      <c r="A88" s="81"/>
      <c r="P88" s="135"/>
      <c r="R88" s="81"/>
    </row>
    <row r="89" ht="15" customHeight="true" x14ac:dyDescent="0.2">
      <c r="A89" s="81"/>
      <c r="P89" s="135"/>
      <c r="R89" s="81"/>
    </row>
    <row r="90" ht="15" customHeight="true" x14ac:dyDescent="0.2">
      <c r="A90" s="81"/>
      <c r="P90" s="135"/>
      <c r="R90" s="81"/>
    </row>
    <row r="91" ht="15" customHeight="true" x14ac:dyDescent="0.2">
      <c r="A91" s="81"/>
      <c r="P91" s="135"/>
      <c r="R91" s="81"/>
    </row>
    <row r="92" ht="15" customHeight="true" x14ac:dyDescent="0.2">
      <c r="A92" s="81"/>
      <c r="P92" s="135"/>
      <c r="R92" s="81"/>
    </row>
    <row r="93" ht="15" customHeight="true" x14ac:dyDescent="0.2">
      <c r="A93" s="81"/>
      <c r="P93" s="135"/>
      <c r="R93" s="81"/>
    </row>
    <row r="94" ht="15" customHeight="true" x14ac:dyDescent="0.2">
      <c r="A94" s="81"/>
      <c r="P94" s="135"/>
      <c r="R94" s="81"/>
    </row>
    <row r="95" ht="15" customHeight="true" x14ac:dyDescent="0.2">
      <c r="A95" s="81"/>
      <c r="P95" s="135"/>
      <c r="R95" s="81"/>
    </row>
    <row r="96" ht="15" customHeight="true" x14ac:dyDescent="0.2">
      <c r="A96" s="81"/>
      <c r="P96" s="135"/>
      <c r="R96" s="81"/>
    </row>
    <row r="97" ht="15" customHeight="true" x14ac:dyDescent="0.2">
      <c r="A97" s="81"/>
      <c r="P97" s="135"/>
      <c r="R97" s="81"/>
    </row>
    <row r="98" ht="15" customHeight="true" x14ac:dyDescent="0.2">
      <c r="A98" s="81"/>
      <c r="P98" s="135"/>
      <c r="R98" s="81"/>
    </row>
    <row r="99" ht="15" customHeight="true" x14ac:dyDescent="0.2">
      <c r="A99" s="81"/>
      <c r="P99" s="135"/>
      <c r="R99" s="81"/>
    </row>
    <row r="100" ht="15" customHeight="true" x14ac:dyDescent="0.2">
      <c r="A100" s="81"/>
      <c r="P100" s="135"/>
      <c r="R100" s="81"/>
    </row>
    <row r="101" ht="15" customHeight="true" x14ac:dyDescent="0.2">
      <c r="A101" s="81"/>
      <c r="P101" s="135"/>
      <c r="R101" s="81"/>
    </row>
    <row r="102" ht="15" customHeight="true" x14ac:dyDescent="0.2">
      <c r="A102" s="81"/>
      <c r="P102" s="135"/>
      <c r="R102" s="81"/>
    </row>
    <row r="103" ht="15" customHeight="true" x14ac:dyDescent="0.2">
      <c r="A103" s="81"/>
      <c r="P103" s="135"/>
      <c r="R103" s="81"/>
    </row>
    <row r="104" ht="15" customHeight="true" x14ac:dyDescent="0.2">
      <c r="A104" s="81"/>
      <c r="P104" s="135"/>
      <c r="R104" s="81"/>
    </row>
    <row r="105" ht="15" customHeight="true" x14ac:dyDescent="0.2">
      <c r="A105" s="81"/>
      <c r="P105" s="135"/>
      <c r="R105" s="81"/>
    </row>
    <row r="106" ht="15" customHeight="true" x14ac:dyDescent="0.2">
      <c r="P106" s="135"/>
      <c r="R106" s="81"/>
    </row>
    <row r="107" ht="15" customHeight="true" x14ac:dyDescent="0.2">
      <c r="P107" s="135"/>
      <c r="R107" s="81"/>
    </row>
    <row r="108" ht="15" customHeight="true" x14ac:dyDescent="0.2">
      <c r="P108" s="135"/>
      <c r="R108" s="81"/>
    </row>
    <row r="109" ht="15" customHeight="true" x14ac:dyDescent="0.2">
      <c r="P109" s="135"/>
      <c r="R109" s="81"/>
    </row>
    <row r="110" ht="15" customHeight="true" x14ac:dyDescent="0.2">
      <c r="P110" s="135"/>
      <c r="R110" s="81"/>
    </row>
    <row r="111" ht="15" customHeight="true" x14ac:dyDescent="0.2">
      <c r="P111" s="135"/>
      <c r="R111" s="81"/>
    </row>
    <row r="112" ht="15" customHeight="true" x14ac:dyDescent="0.2">
      <c r="P112" s="135"/>
      <c r="R112" s="81"/>
    </row>
    <row r="113" s="81" customFormat="true" ht="15" customHeight="true" x14ac:dyDescent="0.2">
      <c r="K113" s="141"/>
      <c r="L113" s="135"/>
      <c r="M113" s="141"/>
      <c r="N113" s="135"/>
      <c r="O113" s="141"/>
      <c r="P113" s="135"/>
    </row>
    <row r="114" s="81" customFormat="true" ht="15" customHeight="true" x14ac:dyDescent="0.2">
      <c r="K114" s="141"/>
      <c r="L114" s="135"/>
      <c r="M114" s="141"/>
      <c r="N114" s="135"/>
      <c r="O114" s="141"/>
      <c r="P114" s="135"/>
    </row>
    <row r="115" s="81" customFormat="true" ht="15" customHeight="true" x14ac:dyDescent="0.2">
      <c r="K115" s="141"/>
      <c r="L115" s="135"/>
      <c r="M115" s="141"/>
      <c r="N115" s="135"/>
      <c r="O115" s="141"/>
      <c r="P115" s="135"/>
    </row>
    <row r="116" s="81" customFormat="true" ht="15" customHeight="true" x14ac:dyDescent="0.2">
      <c r="K116" s="141"/>
      <c r="L116" s="135"/>
      <c r="M116" s="141"/>
      <c r="N116" s="135"/>
      <c r="O116" s="141"/>
      <c r="P116" s="135"/>
    </row>
    <row r="117" s="81" customFormat="true" ht="15" customHeight="true" x14ac:dyDescent="0.2">
      <c r="K117" s="141"/>
      <c r="L117" s="135"/>
      <c r="M117" s="141"/>
      <c r="N117" s="135"/>
      <c r="O117" s="141"/>
      <c r="P117" s="135"/>
    </row>
    <row r="118" s="81" customFormat="true" ht="15" customHeight="true" x14ac:dyDescent="0.2">
      <c r="K118" s="141"/>
      <c r="L118" s="135"/>
      <c r="M118" s="141"/>
      <c r="N118" s="135"/>
      <c r="O118" s="141"/>
      <c r="P118" s="135"/>
    </row>
    <row r="119" s="81" customFormat="true" ht="15" customHeight="true" x14ac:dyDescent="0.2">
      <c r="K119" s="141"/>
      <c r="L119" s="135"/>
      <c r="M119" s="141"/>
      <c r="N119" s="135"/>
      <c r="O119" s="141"/>
      <c r="P119" s="135"/>
    </row>
    <row r="120" s="81" customFormat="true" ht="15" customHeight="true" x14ac:dyDescent="0.2">
      <c r="K120" s="141"/>
      <c r="L120" s="135"/>
      <c r="M120" s="141"/>
      <c r="N120" s="135"/>
      <c r="O120" s="141"/>
      <c r="P120" s="135"/>
    </row>
    <row r="121" s="81" customFormat="true" ht="15" customHeight="true" x14ac:dyDescent="0.2">
      <c r="K121" s="141"/>
      <c r="L121" s="135"/>
      <c r="M121" s="141"/>
      <c r="N121" s="135"/>
      <c r="O121" s="141"/>
      <c r="P121" s="135"/>
    </row>
    <row r="122" s="81" customFormat="true" ht="15" customHeight="true" x14ac:dyDescent="0.2">
      <c r="K122" s="141"/>
      <c r="L122" s="135"/>
      <c r="M122" s="141"/>
      <c r="N122" s="135"/>
      <c r="O122" s="141"/>
      <c r="P122" s="135"/>
    </row>
    <row r="123" s="81" customFormat="true" ht="15" customHeight="true" x14ac:dyDescent="0.2">
      <c r="K123" s="141"/>
      <c r="L123" s="135"/>
      <c r="M123" s="141"/>
      <c r="N123" s="135"/>
      <c r="O123" s="141"/>
      <c r="P123" s="135"/>
    </row>
    <row r="124" s="81" customFormat="true" ht="15" customHeight="true" x14ac:dyDescent="0.2">
      <c r="K124" s="141"/>
      <c r="L124" s="135"/>
      <c r="M124" s="141"/>
      <c r="N124" s="135"/>
      <c r="O124" s="141"/>
      <c r="P124" s="135"/>
    </row>
    <row r="125" s="81" customFormat="true" ht="15" customHeight="true" x14ac:dyDescent="0.2">
      <c r="K125" s="141"/>
      <c r="L125" s="135"/>
      <c r="M125" s="141"/>
      <c r="N125" s="135"/>
      <c r="O125" s="141"/>
      <c r="P125" s="135"/>
    </row>
    <row r="126" s="81" customFormat="true" ht="15" customHeight="true" x14ac:dyDescent="0.2">
      <c r="K126" s="141"/>
      <c r="L126" s="135"/>
      <c r="M126" s="141"/>
      <c r="N126" s="135"/>
      <c r="O126" s="141"/>
      <c r="P126" s="135"/>
    </row>
    <row r="127" s="81" customFormat="true" ht="15" customHeight="true" x14ac:dyDescent="0.2">
      <c r="K127" s="141"/>
      <c r="L127" s="135"/>
      <c r="M127" s="141"/>
      <c r="N127" s="135"/>
      <c r="O127" s="141"/>
      <c r="P127" s="135"/>
    </row>
    <row r="128" s="81" customFormat="true" ht="15" customHeight="true" x14ac:dyDescent="0.2">
      <c r="K128" s="141"/>
      <c r="L128" s="135"/>
      <c r="M128" s="141"/>
      <c r="N128" s="135"/>
      <c r="O128" s="141"/>
      <c r="P128" s="135"/>
    </row>
    <row r="129" s="81" customFormat="true" ht="15" customHeight="true" x14ac:dyDescent="0.2">
      <c r="K129" s="141"/>
      <c r="L129" s="135"/>
      <c r="M129" s="141"/>
      <c r="N129" s="135"/>
      <c r="O129" s="141"/>
      <c r="P129" s="135"/>
    </row>
    <row r="130" s="81" customFormat="true" ht="15" customHeight="true" x14ac:dyDescent="0.2">
      <c r="K130" s="141"/>
      <c r="L130" s="135"/>
      <c r="M130" s="141"/>
      <c r="N130" s="135"/>
      <c r="O130" s="141"/>
      <c r="P130" s="135"/>
    </row>
    <row r="131" s="81" customFormat="true" ht="15" customHeight="true" x14ac:dyDescent="0.2">
      <c r="K131" s="141"/>
      <c r="L131" s="135"/>
      <c r="M131" s="141"/>
      <c r="N131" s="135"/>
      <c r="O131" s="141"/>
      <c r="P131" s="135"/>
    </row>
    <row r="132" s="81" customFormat="true" ht="15" customHeight="true" x14ac:dyDescent="0.2">
      <c r="K132" s="141"/>
      <c r="L132" s="135"/>
      <c r="M132" s="141"/>
      <c r="N132" s="135"/>
      <c r="O132" s="141"/>
      <c r="P132" s="135"/>
    </row>
    <row r="133" s="81" customFormat="true" ht="15" customHeight="true" x14ac:dyDescent="0.2">
      <c r="K133" s="141"/>
      <c r="L133" s="135"/>
      <c r="M133" s="141"/>
      <c r="N133" s="135"/>
      <c r="O133" s="141"/>
      <c r="P133" s="135"/>
    </row>
    <row r="134" s="81" customFormat="true" ht="15" customHeight="true" x14ac:dyDescent="0.2">
      <c r="K134" s="141"/>
      <c r="L134" s="135"/>
      <c r="M134" s="141"/>
      <c r="N134" s="135"/>
      <c r="O134" s="141"/>
      <c r="P134" s="135"/>
    </row>
    <row r="135" s="81" customFormat="true" ht="15" customHeight="true" x14ac:dyDescent="0.2">
      <c r="K135" s="141"/>
      <c r="L135" s="135"/>
      <c r="M135" s="141"/>
      <c r="N135" s="135"/>
      <c r="O135" s="141"/>
      <c r="P135" s="135"/>
    </row>
    <row r="136" s="81" customFormat="true" ht="15" customHeight="true" x14ac:dyDescent="0.2">
      <c r="K136" s="141"/>
      <c r="L136" s="135"/>
      <c r="M136" s="141"/>
      <c r="N136" s="135"/>
      <c r="O136" s="141"/>
      <c r="P136" s="135"/>
    </row>
    <row r="137" s="81" customFormat="true" ht="15" customHeight="true" x14ac:dyDescent="0.2">
      <c r="K137" s="141"/>
      <c r="L137" s="135"/>
      <c r="M137" s="141"/>
      <c r="N137" s="135"/>
      <c r="O137" s="141"/>
      <c r="P137" s="135"/>
    </row>
    <row r="138" s="81" customFormat="true" ht="15" customHeight="true" x14ac:dyDescent="0.2">
      <c r="K138" s="141"/>
      <c r="L138" s="135"/>
      <c r="M138" s="141"/>
      <c r="N138" s="135"/>
      <c r="O138" s="141"/>
      <c r="P138" s="135"/>
    </row>
    <row r="139" s="81" customFormat="true" ht="15" customHeight="true" x14ac:dyDescent="0.2">
      <c r="K139" s="141"/>
      <c r="L139" s="135"/>
      <c r="M139" s="141"/>
      <c r="N139" s="135"/>
      <c r="O139" s="141"/>
      <c r="P139" s="135"/>
    </row>
    <row r="140" s="81" customFormat="true" ht="15" customHeight="true" x14ac:dyDescent="0.2">
      <c r="K140" s="141"/>
      <c r="L140" s="135"/>
      <c r="M140" s="141"/>
      <c r="N140" s="135"/>
      <c r="O140" s="141"/>
      <c r="P140" s="135"/>
    </row>
    <row r="141" s="81" customFormat="true" ht="15" customHeight="true" x14ac:dyDescent="0.2">
      <c r="K141" s="141"/>
      <c r="L141" s="135"/>
      <c r="M141" s="141"/>
      <c r="N141" s="135"/>
      <c r="O141" s="141"/>
      <c r="P141" s="135"/>
    </row>
    <row r="142" s="81" customFormat="true" ht="15" customHeight="true" x14ac:dyDescent="0.2">
      <c r="K142" s="141"/>
      <c r="L142" s="135"/>
      <c r="M142" s="141"/>
      <c r="N142" s="135"/>
      <c r="O142" s="141"/>
      <c r="P142" s="135"/>
    </row>
    <row r="143" s="81" customFormat="true" ht="15" customHeight="true" x14ac:dyDescent="0.2">
      <c r="K143" s="141"/>
      <c r="L143" s="135"/>
      <c r="M143" s="141"/>
      <c r="N143" s="135"/>
      <c r="O143" s="141"/>
      <c r="P143" s="135"/>
    </row>
    <row r="144" s="81" customFormat="true" ht="15" customHeight="true" x14ac:dyDescent="0.2">
      <c r="K144" s="141"/>
      <c r="L144" s="135"/>
      <c r="M144" s="141"/>
      <c r="N144" s="135"/>
      <c r="O144" s="141"/>
      <c r="P144" s="135"/>
    </row>
    <row r="145" s="81" customFormat="true" ht="15" customHeight="true" x14ac:dyDescent="0.2">
      <c r="K145" s="141"/>
      <c r="L145" s="135"/>
      <c r="M145" s="141"/>
      <c r="N145" s="135"/>
      <c r="O145" s="141"/>
      <c r="P145" s="135"/>
    </row>
    <row r="146" s="81" customFormat="true" ht="15" customHeight="true" x14ac:dyDescent="0.2">
      <c r="K146" s="141"/>
      <c r="L146" s="135"/>
      <c r="M146" s="141"/>
      <c r="N146" s="135"/>
      <c r="O146" s="141"/>
      <c r="P146" s="135"/>
    </row>
    <row r="147" s="81" customFormat="true" ht="15" customHeight="true" x14ac:dyDescent="0.2">
      <c r="K147" s="141"/>
      <c r="L147" s="135"/>
      <c r="M147" s="141"/>
      <c r="N147" s="135"/>
      <c r="O147" s="141"/>
      <c r="P147" s="135"/>
    </row>
    <row r="148" s="81" customFormat="true" ht="15" customHeight="true" x14ac:dyDescent="0.2">
      <c r="K148" s="141"/>
      <c r="L148" s="135"/>
      <c r="M148" s="141"/>
      <c r="N148" s="135"/>
      <c r="O148" s="141"/>
      <c r="P148" s="135"/>
    </row>
    <row r="149" s="81" customFormat="true" ht="15" customHeight="true" x14ac:dyDescent="0.2">
      <c r="K149" s="141"/>
      <c r="L149" s="135"/>
      <c r="M149" s="141"/>
      <c r="N149" s="135"/>
      <c r="O149" s="141"/>
      <c r="P149" s="135"/>
    </row>
    <row r="150" s="81" customFormat="true" ht="15" customHeight="true" x14ac:dyDescent="0.2">
      <c r="K150" s="141"/>
      <c r="L150" s="135"/>
      <c r="M150" s="141"/>
      <c r="N150" s="135"/>
      <c r="O150" s="141"/>
      <c r="P150" s="135"/>
    </row>
    <row r="151" s="81" customFormat="true" ht="15" customHeight="true" x14ac:dyDescent="0.2">
      <c r="K151" s="141"/>
      <c r="L151" s="135"/>
      <c r="M151" s="141"/>
      <c r="N151" s="135"/>
      <c r="O151" s="141"/>
      <c r="P151" s="135"/>
    </row>
    <row r="152" s="81" customFormat="true" ht="15" customHeight="true" x14ac:dyDescent="0.2">
      <c r="K152" s="141"/>
      <c r="L152" s="135"/>
      <c r="M152" s="141"/>
      <c r="N152" s="135"/>
      <c r="O152" s="141"/>
      <c r="P152" s="135"/>
    </row>
    <row r="153" s="81" customFormat="true" ht="15" customHeight="true" x14ac:dyDescent="0.2">
      <c r="K153" s="141"/>
      <c r="L153" s="135"/>
      <c r="M153" s="141"/>
      <c r="N153" s="135"/>
      <c r="O153" s="141"/>
      <c r="P153" s="135"/>
    </row>
    <row r="154" s="81" customFormat="true" ht="15" customHeight="true" x14ac:dyDescent="0.2">
      <c r="K154" s="141"/>
      <c r="L154" s="135"/>
      <c r="M154" s="141"/>
      <c r="N154" s="135"/>
      <c r="O154" s="141"/>
      <c r="P154" s="135"/>
    </row>
    <row r="155" s="81" customFormat="true" ht="15" customHeight="true" x14ac:dyDescent="0.2">
      <c r="K155" s="141"/>
      <c r="L155" s="135"/>
      <c r="M155" s="141"/>
      <c r="N155" s="135"/>
      <c r="O155" s="141"/>
      <c r="P155" s="135"/>
    </row>
    <row r="156" s="81" customFormat="true" ht="15" customHeight="true" x14ac:dyDescent="0.2">
      <c r="K156" s="141"/>
      <c r="L156" s="135"/>
      <c r="M156" s="141"/>
      <c r="N156" s="135"/>
      <c r="O156" s="141"/>
      <c r="P156" s="135"/>
    </row>
    <row r="157" s="81" customFormat="true" ht="15" customHeight="true" x14ac:dyDescent="0.2">
      <c r="K157" s="141"/>
      <c r="L157" s="135"/>
      <c r="M157" s="141"/>
      <c r="N157" s="135"/>
      <c r="O157" s="141"/>
      <c r="P157" s="135"/>
    </row>
    <row r="158" s="81" customFormat="true" ht="15" customHeight="true" x14ac:dyDescent="0.2">
      <c r="K158" s="141"/>
      <c r="L158" s="135"/>
      <c r="M158" s="141"/>
      <c r="N158" s="135"/>
      <c r="O158" s="141"/>
      <c r="P158" s="135"/>
    </row>
    <row r="159" s="81" customFormat="true" ht="15" customHeight="true" x14ac:dyDescent="0.2">
      <c r="K159" s="141"/>
      <c r="L159" s="135"/>
      <c r="M159" s="141"/>
      <c r="N159" s="135"/>
      <c r="O159" s="141"/>
      <c r="P159" s="135"/>
    </row>
    <row r="160" s="81" customFormat="true" ht="15" customHeight="true" x14ac:dyDescent="0.2">
      <c r="K160" s="141"/>
      <c r="L160" s="135"/>
      <c r="M160" s="141"/>
      <c r="N160" s="135"/>
      <c r="O160" s="141"/>
      <c r="P160" s="135"/>
    </row>
    <row r="161" s="81" customFormat="true" ht="15" customHeight="true" x14ac:dyDescent="0.2">
      <c r="K161" s="141"/>
      <c r="L161" s="135"/>
      <c r="M161" s="141"/>
      <c r="N161" s="135"/>
      <c r="O161" s="141"/>
      <c r="P161" s="135"/>
    </row>
    <row r="162" s="81" customFormat="true" ht="15" customHeight="true" x14ac:dyDescent="0.2">
      <c r="K162" s="141"/>
      <c r="L162" s="135"/>
      <c r="M162" s="141"/>
      <c r="N162" s="135"/>
      <c r="O162" s="141"/>
      <c r="P162" s="135"/>
    </row>
    <row r="163" s="81" customFormat="true" ht="15" customHeight="true" x14ac:dyDescent="0.2">
      <c r="K163" s="141"/>
      <c r="L163" s="135"/>
      <c r="M163" s="141"/>
      <c r="N163" s="135"/>
      <c r="O163" s="141"/>
      <c r="P163" s="135"/>
    </row>
    <row r="164" s="81" customFormat="true" ht="15" customHeight="true" x14ac:dyDescent="0.2">
      <c r="K164" s="141"/>
      <c r="L164" s="135"/>
      <c r="M164" s="141"/>
      <c r="N164" s="135"/>
      <c r="O164" s="141"/>
      <c r="P164" s="135"/>
    </row>
    <row r="165" s="81" customFormat="true" ht="15" customHeight="true" x14ac:dyDescent="0.2">
      <c r="K165" s="141"/>
      <c r="L165" s="135"/>
      <c r="M165" s="141"/>
      <c r="N165" s="135"/>
      <c r="O165" s="141"/>
      <c r="P165" s="135"/>
    </row>
    <row r="166" s="81" customFormat="true" ht="15" customHeight="true" x14ac:dyDescent="0.2">
      <c r="K166" s="141"/>
      <c r="L166" s="135"/>
      <c r="M166" s="141"/>
      <c r="N166" s="135"/>
      <c r="O166" s="141"/>
      <c r="P166" s="135"/>
    </row>
    <row r="167" s="81" customFormat="true" ht="15" customHeight="true" x14ac:dyDescent="0.2">
      <c r="K167" s="141"/>
      <c r="L167" s="135"/>
      <c r="M167" s="141"/>
      <c r="N167" s="135"/>
      <c r="O167" s="141"/>
      <c r="P167" s="135"/>
    </row>
    <row r="168" s="81" customFormat="true" ht="15" customHeight="true" x14ac:dyDescent="0.2">
      <c r="K168" s="141"/>
      <c r="L168" s="135"/>
      <c r="M168" s="141"/>
      <c r="N168" s="135"/>
      <c r="O168" s="141"/>
      <c r="P168" s="135"/>
    </row>
    <row r="169" s="81" customFormat="true" ht="15" customHeight="true" x14ac:dyDescent="0.2">
      <c r="K169" s="141"/>
      <c r="L169" s="135"/>
      <c r="M169" s="141"/>
      <c r="N169" s="135"/>
      <c r="O169" s="141"/>
      <c r="P169" s="135"/>
    </row>
    <row r="170" s="81" customFormat="true" ht="15" customHeight="true" x14ac:dyDescent="0.2">
      <c r="K170" s="141"/>
      <c r="L170" s="135"/>
      <c r="M170" s="141"/>
      <c r="N170" s="135"/>
      <c r="O170" s="141"/>
      <c r="P170" s="135"/>
    </row>
    <row r="171" s="81" customFormat="true" ht="15" customHeight="true" x14ac:dyDescent="0.2">
      <c r="K171" s="141"/>
      <c r="L171" s="135"/>
      <c r="M171" s="141"/>
      <c r="N171" s="135"/>
      <c r="O171" s="141"/>
      <c r="P171" s="135"/>
    </row>
    <row r="172" s="81" customFormat="true" ht="15" customHeight="true" x14ac:dyDescent="0.2">
      <c r="K172" s="141"/>
      <c r="L172" s="135"/>
      <c r="M172" s="141"/>
      <c r="N172" s="135"/>
      <c r="O172" s="141"/>
      <c r="P172" s="135"/>
    </row>
    <row r="173" s="81" customFormat="true" ht="15" customHeight="true" x14ac:dyDescent="0.2">
      <c r="K173" s="141"/>
      <c r="L173" s="135"/>
      <c r="M173" s="141"/>
      <c r="N173" s="135"/>
      <c r="O173" s="141"/>
      <c r="P173" s="135"/>
    </row>
    <row r="174" s="81" customFormat="true" ht="15" customHeight="true" x14ac:dyDescent="0.2">
      <c r="K174" s="141"/>
      <c r="L174" s="135"/>
      <c r="M174" s="141"/>
      <c r="N174" s="135"/>
      <c r="O174" s="141"/>
      <c r="P174" s="135"/>
    </row>
    <row r="175" s="81" customFormat="true" ht="15" customHeight="true" x14ac:dyDescent="0.2">
      <c r="K175" s="141"/>
      <c r="L175" s="135"/>
      <c r="M175" s="141"/>
      <c r="N175" s="135"/>
      <c r="O175" s="141"/>
      <c r="P175" s="135"/>
    </row>
    <row r="176" s="81" customFormat="true" ht="15" customHeight="true" x14ac:dyDescent="0.2">
      <c r="K176" s="141"/>
      <c r="L176" s="135"/>
      <c r="M176" s="141"/>
      <c r="N176" s="135"/>
      <c r="O176" s="141"/>
      <c r="P176" s="135"/>
    </row>
    <row r="177" s="81" customFormat="true" ht="15" customHeight="true" x14ac:dyDescent="0.2">
      <c r="K177" s="141"/>
      <c r="L177" s="135"/>
      <c r="M177" s="141"/>
      <c r="N177" s="135"/>
      <c r="O177" s="141"/>
      <c r="P177" s="135"/>
    </row>
    <row r="178" s="81" customFormat="true" ht="15" customHeight="true" x14ac:dyDescent="0.2">
      <c r="K178" s="141"/>
      <c r="L178" s="135"/>
      <c r="M178" s="141"/>
      <c r="N178" s="135"/>
      <c r="O178" s="141"/>
      <c r="P178" s="135"/>
    </row>
    <row r="179" s="81" customFormat="true" ht="15" customHeight="true" x14ac:dyDescent="0.2">
      <c r="K179" s="141"/>
      <c r="L179" s="135"/>
      <c r="M179" s="141"/>
      <c r="N179" s="135"/>
      <c r="O179" s="141"/>
      <c r="P179" s="135"/>
    </row>
    <row r="180" s="81" customFormat="true" ht="15" customHeight="true" x14ac:dyDescent="0.2">
      <c r="K180" s="141"/>
      <c r="L180" s="135"/>
      <c r="M180" s="141"/>
      <c r="N180" s="135"/>
      <c r="O180" s="141"/>
      <c r="P180" s="135"/>
    </row>
    <row r="181" s="81" customFormat="true" ht="15" customHeight="true" x14ac:dyDescent="0.2">
      <c r="K181" s="141"/>
      <c r="L181" s="135"/>
      <c r="M181" s="141"/>
      <c r="N181" s="135"/>
      <c r="O181" s="141"/>
      <c r="P181" s="135"/>
    </row>
    <row r="182" s="81" customFormat="true" ht="15" customHeight="true" x14ac:dyDescent="0.2">
      <c r="K182" s="141"/>
      <c r="L182" s="135"/>
      <c r="M182" s="141"/>
      <c r="N182" s="135"/>
      <c r="O182" s="141"/>
      <c r="P182" s="135"/>
    </row>
    <row r="183" s="81" customFormat="true" ht="15" customHeight="true" x14ac:dyDescent="0.2">
      <c r="K183" s="141"/>
      <c r="L183" s="135"/>
      <c r="M183" s="141"/>
      <c r="N183" s="135"/>
      <c r="O183" s="141"/>
      <c r="P183" s="135"/>
    </row>
    <row r="184" s="81" customFormat="true" ht="15" customHeight="true" x14ac:dyDescent="0.2">
      <c r="K184" s="141"/>
      <c r="L184" s="135"/>
      <c r="M184" s="141"/>
      <c r="N184" s="135"/>
      <c r="O184" s="141"/>
      <c r="P184" s="135"/>
    </row>
    <row r="185" s="81" customFormat="true" ht="15" customHeight="true" x14ac:dyDescent="0.2">
      <c r="K185" s="141"/>
      <c r="L185" s="135"/>
      <c r="M185" s="141"/>
      <c r="N185" s="135"/>
      <c r="O185" s="141"/>
      <c r="P185" s="135"/>
    </row>
    <row r="186" s="81" customFormat="true" ht="15" customHeight="true" x14ac:dyDescent="0.2">
      <c r="K186" s="141"/>
      <c r="L186" s="135"/>
      <c r="M186" s="141"/>
      <c r="N186" s="135"/>
      <c r="O186" s="141"/>
      <c r="P186" s="135"/>
    </row>
    <row r="187" s="81" customFormat="true" ht="15" customHeight="true" x14ac:dyDescent="0.2">
      <c r="K187" s="141"/>
      <c r="L187" s="135"/>
      <c r="M187" s="141"/>
      <c r="N187" s="135"/>
      <c r="O187" s="141"/>
      <c r="P187" s="135"/>
    </row>
    <row r="188" s="81" customFormat="true" ht="15" customHeight="true" x14ac:dyDescent="0.2">
      <c r="K188" s="141"/>
      <c r="L188" s="135"/>
      <c r="M188" s="141"/>
      <c r="N188" s="135"/>
      <c r="O188" s="141"/>
      <c r="P188" s="13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J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6" sqref="E16"/>
    </sheetView>
  </sheetViews>
  <sheetFormatPr baseColWidth="10" defaultColWidth="8.83203125" defaultRowHeight="13" x14ac:dyDescent="0.15"/>
  <cols>
    <col min="1" max="1" width="40" bestFit="true" customWidth="true"/>
    <col min="2" max="5" width="7.83203125" style="172" customWidth="true"/>
    <col min="6" max="77" width="8.83203125" style="3"/>
    <col min="78" max="78" width="22.1640625" style="3" bestFit="true" customWidth="true"/>
    <col min="79" max="88" width="8.83203125" style="3"/>
  </cols>
  <sheetData>
    <row r="1" x14ac:dyDescent="0.15">
      <c r="A1" s="2" t="s">
        <v>160</v>
      </c>
      <c r="B1" s="34" t="s">
        <v>161</v>
      </c>
      <c r="C1" s="34" t="s">
        <v>18</v>
      </c>
      <c r="D1" s="34" t="s">
        <v>162</v>
      </c>
      <c r="E1" s="34" t="s">
        <v>163</v>
      </c>
      <c r="F1" s="240" t="s">
        <v>39</v>
      </c>
      <c r="G1" s="240" t="s">
        <v>41</v>
      </c>
      <c r="H1" s="240" t="s">
        <v>42</v>
      </c>
      <c r="I1" s="240" t="s">
        <v>178</v>
      </c>
      <c r="J1" s="240" t="s">
        <v>179</v>
      </c>
      <c r="K1" s="240" t="s">
        <v>180</v>
      </c>
      <c r="L1" s="240" t="s">
        <v>181</v>
      </c>
      <c r="M1" s="240" t="s">
        <v>182</v>
      </c>
      <c r="N1" s="240" t="s">
        <v>183</v>
      </c>
      <c r="O1" s="240" t="s">
        <v>184</v>
      </c>
      <c r="P1" s="240" t="s">
        <v>185</v>
      </c>
      <c r="Q1" s="240" t="s">
        <v>186</v>
      </c>
      <c r="R1" s="240" t="s">
        <v>187</v>
      </c>
      <c r="S1" s="240" t="s">
        <v>188</v>
      </c>
      <c r="T1" s="240" t="s">
        <v>258</v>
      </c>
      <c r="U1" s="240" t="s">
        <v>190</v>
      </c>
      <c r="V1" s="240" t="s">
        <v>191</v>
      </c>
      <c r="W1" s="240" t="s">
        <v>192</v>
      </c>
      <c r="X1" s="240" t="s">
        <v>193</v>
      </c>
      <c r="Y1" s="240" t="s">
        <v>194</v>
      </c>
      <c r="Z1" s="240" t="s">
        <v>259</v>
      </c>
      <c r="AA1" s="240" t="s">
        <v>196</v>
      </c>
      <c r="AB1" s="240" t="s">
        <v>197</v>
      </c>
      <c r="AC1" s="240" t="s">
        <v>198</v>
      </c>
      <c r="AD1" s="240" t="s">
        <v>199</v>
      </c>
      <c r="AE1" s="240" t="s">
        <v>200</v>
      </c>
      <c r="AF1" s="240" t="s">
        <v>201</v>
      </c>
      <c r="AG1" s="240" t="s">
        <v>202</v>
      </c>
      <c r="AH1" s="240" t="s">
        <v>203</v>
      </c>
      <c r="AI1" s="240" t="s">
        <v>204</v>
      </c>
      <c r="AJ1" s="240" t="s">
        <v>205</v>
      </c>
      <c r="AK1" s="240" t="s">
        <v>206</v>
      </c>
      <c r="AL1" s="240" t="s">
        <v>207</v>
      </c>
      <c r="AM1" s="240" t="s">
        <v>208</v>
      </c>
      <c r="AN1" s="240" t="s">
        <v>209</v>
      </c>
      <c r="AO1" s="240" t="s">
        <v>210</v>
      </c>
      <c r="AP1" s="240" t="s">
        <v>211</v>
      </c>
      <c r="AQ1" s="240" t="s">
        <v>212</v>
      </c>
      <c r="AR1" s="177" t="s">
        <v>213</v>
      </c>
      <c r="AS1" s="240" t="s">
        <v>215</v>
      </c>
      <c r="AT1" s="240" t="s">
        <v>216</v>
      </c>
      <c r="AU1" s="241" t="s">
        <v>217</v>
      </c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</row>
    <row r="2" x14ac:dyDescent="0.15">
      <c r="A2" s="240" t="s">
        <v>39</v>
      </c>
      <c r="B2" s="17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</row>
    <row r="3" x14ac:dyDescent="0.15">
      <c r="A3" s="240" t="s">
        <v>41</v>
      </c>
      <c r="B3" s="17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</row>
    <row r="4" x14ac:dyDescent="0.15">
      <c r="A4" s="240" t="s">
        <v>42</v>
      </c>
      <c r="B4" s="17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</row>
    <row r="5" x14ac:dyDescent="0.15">
      <c r="A5" s="240" t="s">
        <v>178</v>
      </c>
      <c r="B5" s="17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 x14ac:dyDescent="0.15">
      <c r="A6" s="240" t="s">
        <v>179</v>
      </c>
      <c r="B6" s="17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</row>
    <row r="7" x14ac:dyDescent="0.15">
      <c r="A7" s="240" t="s">
        <v>180</v>
      </c>
      <c r="B7" s="17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 x14ac:dyDescent="0.15">
      <c r="A8" s="240" t="s">
        <v>181</v>
      </c>
      <c r="B8" s="17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</row>
    <row r="9" x14ac:dyDescent="0.15">
      <c r="A9" s="240" t="s">
        <v>182</v>
      </c>
      <c r="B9" s="17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</row>
    <row r="10" x14ac:dyDescent="0.15">
      <c r="A10" s="240" t="s">
        <v>183</v>
      </c>
      <c r="B10" s="17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</row>
    <row r="11" x14ac:dyDescent="0.15">
      <c r="A11" s="240" t="s">
        <v>184</v>
      </c>
      <c r="B11" s="17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</row>
    <row r="12" x14ac:dyDescent="0.15">
      <c r="A12" s="240" t="s">
        <v>185</v>
      </c>
      <c r="B12" s="17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</row>
    <row r="13" x14ac:dyDescent="0.15">
      <c r="A13" s="240" t="s">
        <v>186</v>
      </c>
      <c r="B13" s="17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</row>
    <row r="14" x14ac:dyDescent="0.15">
      <c r="A14" s="240" t="s">
        <v>187</v>
      </c>
      <c r="B14" s="17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</row>
    <row r="15" x14ac:dyDescent="0.15">
      <c r="A15" s="240" t="s">
        <v>188</v>
      </c>
      <c r="B15" s="17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</row>
    <row r="16" x14ac:dyDescent="0.15">
      <c r="A16" s="240" t="s">
        <v>258</v>
      </c>
      <c r="B16" s="17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</row>
    <row r="17" x14ac:dyDescent="0.15">
      <c r="A17" s="240" t="s">
        <v>190</v>
      </c>
      <c r="B17" s="17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</row>
    <row r="18" x14ac:dyDescent="0.15">
      <c r="A18" s="240" t="s">
        <v>191</v>
      </c>
      <c r="B18" s="17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</row>
    <row r="19" x14ac:dyDescent="0.15">
      <c r="A19" s="240" t="s">
        <v>192</v>
      </c>
      <c r="B19" s="17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</row>
    <row r="20" x14ac:dyDescent="0.15">
      <c r="A20" s="240" t="s">
        <v>193</v>
      </c>
      <c r="B20" s="17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</row>
    <row r="21" x14ac:dyDescent="0.15">
      <c r="A21" s="240" t="s">
        <v>194</v>
      </c>
      <c r="B21" s="17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</row>
    <row r="22" x14ac:dyDescent="0.15">
      <c r="A22" s="240" t="s">
        <v>259</v>
      </c>
      <c r="B22" s="17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</row>
    <row r="23" x14ac:dyDescent="0.15">
      <c r="A23" s="240" t="s">
        <v>196</v>
      </c>
      <c r="B23" s="17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</row>
    <row r="24" x14ac:dyDescent="0.15">
      <c r="A24" s="240" t="s">
        <v>197</v>
      </c>
      <c r="B24" s="17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</row>
    <row r="25" x14ac:dyDescent="0.15">
      <c r="A25" s="240" t="s">
        <v>198</v>
      </c>
      <c r="B25" s="17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</row>
    <row r="26" x14ac:dyDescent="0.15">
      <c r="A26" s="240" t="s">
        <v>199</v>
      </c>
      <c r="B26" s="17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</row>
    <row r="27" x14ac:dyDescent="0.15">
      <c r="A27" s="240" t="s">
        <v>200</v>
      </c>
      <c r="B27" s="172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</row>
    <row r="28" x14ac:dyDescent="0.15">
      <c r="A28" s="240" t="s">
        <v>201</v>
      </c>
      <c r="B28" s="172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</row>
    <row r="29" x14ac:dyDescent="0.15">
      <c r="A29" s="240" t="s">
        <v>202</v>
      </c>
      <c r="B29" s="172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</row>
    <row r="30" x14ac:dyDescent="0.15">
      <c r="A30" s="240" t="s">
        <v>203</v>
      </c>
      <c r="B30" s="172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</row>
    <row r="31" x14ac:dyDescent="0.15">
      <c r="A31" s="240" t="s">
        <v>204</v>
      </c>
      <c r="B31" s="172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</row>
    <row r="32" x14ac:dyDescent="0.15">
      <c r="A32" s="240" t="s">
        <v>205</v>
      </c>
      <c r="B32" s="172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</row>
    <row r="33" x14ac:dyDescent="0.15">
      <c r="A33" s="240" t="s">
        <v>206</v>
      </c>
      <c r="B33" s="172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</row>
    <row r="34" x14ac:dyDescent="0.15">
      <c r="A34" s="240" t="s">
        <v>207</v>
      </c>
      <c r="B34" s="172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</row>
    <row r="35" x14ac:dyDescent="0.15">
      <c r="A35" s="240" t="s">
        <v>208</v>
      </c>
      <c r="B35" s="172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</row>
    <row r="36" x14ac:dyDescent="0.15">
      <c r="A36" s="240" t="s">
        <v>209</v>
      </c>
      <c r="B36" s="172">
        <v>0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</row>
    <row r="37" x14ac:dyDescent="0.15">
      <c r="A37" s="240" t="s">
        <v>210</v>
      </c>
      <c r="B37" s="172"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</row>
    <row r="38" x14ac:dyDescent="0.15">
      <c r="A38" s="240" t="s">
        <v>211</v>
      </c>
      <c r="B38" s="172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</row>
    <row r="39" x14ac:dyDescent="0.15">
      <c r="A39" s="240" t="s">
        <v>212</v>
      </c>
      <c r="B39" s="172">
        <v>0</v>
      </c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</row>
    <row r="40" x14ac:dyDescent="0.15">
      <c r="A40" s="177" t="s">
        <v>213</v>
      </c>
      <c r="B40" s="172">
        <v>0</v>
      </c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</row>
    <row r="41" x14ac:dyDescent="0.15">
      <c r="A41" s="240" t="s">
        <v>215</v>
      </c>
      <c r="B41" s="172"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</row>
    <row r="42" x14ac:dyDescent="0.15">
      <c r="A42" s="240" t="s">
        <v>216</v>
      </c>
      <c r="B42" s="172"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</row>
    <row r="43" x14ac:dyDescent="0.15">
      <c r="A43" s="241" t="s">
        <v>217</v>
      </c>
      <c r="B43" s="172"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</row>
    <row r="44" x14ac:dyDescent="0.1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</row>
    <row r="45" ht="15" customHeight="true" x14ac:dyDescent="0.15"/>
    <row r="46" ht="15" customHeight="true" x14ac:dyDescent="0.15"/>
    <row r="47" x14ac:dyDescent="0.15">
      <c r="B47" s="56" t="s">
        <v>164</v>
      </c>
    </row>
    <row r="48" ht="15" customHeight="true" x14ac:dyDescent="0.15"/>
    <row r="49" ht="15" customHeight="true" x14ac:dyDescent="0.15"/>
    <row r="50" ht="15" customHeight="true" x14ac:dyDescent="0.15"/>
    <row r="51" ht="15" customHeight="true" x14ac:dyDescent="0.15"/>
    <row r="52" ht="15" customHeight="true" x14ac:dyDescent="0.15"/>
    <row r="53" ht="15" customHeight="true" x14ac:dyDescent="0.15"/>
    <row r="54" ht="15" customHeight="true" x14ac:dyDescent="0.15"/>
    <row r="55" ht="15" customHeight="true" x14ac:dyDescent="0.15"/>
    <row r="56" ht="15" customHeight="true" x14ac:dyDescent="0.15"/>
    <row r="57" ht="15" customHeight="true" x14ac:dyDescent="0.15"/>
    <row r="58" ht="15" customHeight="true" x14ac:dyDescent="0.15"/>
    <row r="59" ht="15" customHeight="true" x14ac:dyDescent="0.15"/>
    <row r="60" ht="15" customHeight="true" x14ac:dyDescent="0.15"/>
    <row r="61" ht="15" customHeight="true" x14ac:dyDescent="0.15"/>
    <row r="62" ht="15" customHeight="true" x14ac:dyDescent="0.15"/>
    <row r="63" ht="15" customHeight="true" x14ac:dyDescent="0.15"/>
    <row r="64" ht="15" customHeight="true" x14ac:dyDescent="0.15"/>
    <row r="65" ht="15" customHeight="true" x14ac:dyDescent="0.15"/>
    <row r="66" ht="15" customHeight="true" x14ac:dyDescent="0.15"/>
    <row r="67" ht="15" customHeight="true" x14ac:dyDescent="0.15"/>
    <row r="68" ht="15" customHeight="true" x14ac:dyDescent="0.15"/>
    <row r="69" ht="15" customHeight="true" x14ac:dyDescent="0.15"/>
    <row r="70" ht="15" customHeight="true" x14ac:dyDescent="0.15"/>
    <row r="71" ht="15" customHeight="true" x14ac:dyDescent="0.15"/>
    <row r="72" ht="15" customHeight="true" x14ac:dyDescent="0.15"/>
    <row r="73" ht="15" customHeight="true" x14ac:dyDescent="0.15"/>
    <row r="74" ht="15" customHeight="true" x14ac:dyDescent="0.15"/>
    <row r="75" ht="15" customHeight="true" x14ac:dyDescent="0.15"/>
    <row r="76" ht="15" customHeight="true" x14ac:dyDescent="0.15"/>
    <row r="77" ht="15" customHeight="true" x14ac:dyDescent="0.15"/>
    <row r="78" ht="15" customHeight="true" x14ac:dyDescent="0.15"/>
    <row r="79" ht="15" customHeight="true" x14ac:dyDescent="0.15"/>
    <row r="80" ht="15" customHeight="true" x14ac:dyDescent="0.15"/>
    <row r="81" ht="15" customHeight="true" x14ac:dyDescent="0.15"/>
    <row r="82" ht="15" customHeight="true" x14ac:dyDescent="0.15"/>
    <row r="83" ht="15" customHeight="true" x14ac:dyDescent="0.15"/>
    <row r="84" ht="15" customHeight="true" x14ac:dyDescent="0.15"/>
    <row r="85" ht="15" customHeight="true" x14ac:dyDescent="0.15"/>
    <row r="86" ht="15" customHeight="true" x14ac:dyDescent="0.15"/>
    <row r="87" ht="15" customHeight="true" x14ac:dyDescent="0.15"/>
    <row r="88" ht="15" customHeight="true" x14ac:dyDescent="0.15"/>
    <row r="89" ht="15" customHeight="true" x14ac:dyDescent="0.15"/>
    <row r="90" ht="15" customHeight="true" x14ac:dyDescent="0.15"/>
    <row r="91" ht="15" customHeight="true" x14ac:dyDescent="0.15"/>
    <row r="92" ht="15" customHeight="true" x14ac:dyDescent="0.15"/>
    <row r="93" ht="15" customHeight="true" x14ac:dyDescent="0.15"/>
    <row r="94" ht="15" customHeight="true" x14ac:dyDescent="0.15"/>
    <row r="95" ht="15" customHeight="true" x14ac:dyDescent="0.15"/>
    <row r="96" ht="15" customHeight="true" x14ac:dyDescent="0.15"/>
    <row r="97" ht="15" customHeight="true" x14ac:dyDescent="0.15"/>
    <row r="98" ht="15" customHeight="true" x14ac:dyDescent="0.15"/>
    <row r="99" ht="15" customHeight="true" x14ac:dyDescent="0.15"/>
    <row r="100" ht="15" customHeight="true" x14ac:dyDescent="0.15"/>
    <row r="101" ht="15" customHeight="true" x14ac:dyDescent="0.15"/>
    <row r="102" ht="15" customHeight="true" x14ac:dyDescent="0.15"/>
    <row r="103" ht="15" customHeight="true" x14ac:dyDescent="0.15"/>
    <row r="104" ht="15" customHeight="true" x14ac:dyDescent="0.15"/>
    <row r="105" ht="15" customHeight="true" x14ac:dyDescent="0.15"/>
    <row r="106" ht="15" customHeight="true" x14ac:dyDescent="0.15"/>
    <row r="107" ht="15" customHeight="true" x14ac:dyDescent="0.15"/>
    <row r="108" ht="15" customHeight="true" x14ac:dyDescent="0.15"/>
    <row r="109" ht="15" customHeight="true" x14ac:dyDescent="0.15"/>
    <row r="110" ht="15" customHeight="true" x14ac:dyDescent="0.15"/>
    <row r="111" ht="15" customHeight="true" x14ac:dyDescent="0.15"/>
    <row r="112" ht="15" customHeight="true" x14ac:dyDescent="0.15"/>
    <row r="113" ht="15" customHeight="true" x14ac:dyDescent="0.15"/>
    <row r="114" ht="15" customHeight="true" x14ac:dyDescent="0.15"/>
    <row r="115" ht="15" customHeight="true" x14ac:dyDescent="0.15"/>
    <row r="116" ht="15" customHeight="true" x14ac:dyDescent="0.15"/>
    <row r="117" ht="15" customHeight="true" x14ac:dyDescent="0.15"/>
    <row r="118" ht="15" customHeight="true" x14ac:dyDescent="0.15"/>
    <row r="119" ht="15" customHeight="true" x14ac:dyDescent="0.15"/>
    <row r="120" ht="15" customHeight="true" x14ac:dyDescent="0.15"/>
    <row r="121" ht="15" customHeight="true" x14ac:dyDescent="0.15"/>
    <row r="122" ht="15" customHeight="true" x14ac:dyDescent="0.15"/>
    <row r="123" ht="15" customHeight="true" x14ac:dyDescent="0.15"/>
    <row r="124" ht="15" customHeight="true" x14ac:dyDescent="0.15"/>
    <row r="125" ht="15" customHeight="true" x14ac:dyDescent="0.15"/>
    <row r="126" ht="15" customHeight="true" x14ac:dyDescent="0.15"/>
    <row r="127" ht="15" customHeight="true" x14ac:dyDescent="0.15"/>
    <row r="128" ht="15" customHeight="true" x14ac:dyDescent="0.15"/>
    <row r="129" ht="15" customHeight="true" x14ac:dyDescent="0.15"/>
    <row r="130" ht="15" customHeight="true" x14ac:dyDescent="0.15"/>
    <row r="131" ht="15" customHeight="true" x14ac:dyDescent="0.15"/>
    <row r="132" ht="15" customHeight="true" x14ac:dyDescent="0.15"/>
    <row r="133" ht="15" customHeight="true" x14ac:dyDescent="0.15"/>
    <row r="134" ht="15" customHeight="true" x14ac:dyDescent="0.15"/>
    <row r="135" ht="15" customHeight="true" x14ac:dyDescent="0.15"/>
    <row r="136" ht="15" customHeight="true" x14ac:dyDescent="0.15"/>
    <row r="137" ht="15" customHeight="true" x14ac:dyDescent="0.15"/>
    <row r="138" ht="15" customHeight="true" x14ac:dyDescent="0.15"/>
    <row r="139" ht="15" customHeight="true" x14ac:dyDescent="0.15"/>
    <row r="140" ht="15" customHeight="true" x14ac:dyDescent="0.15"/>
    <row r="141" ht="15" customHeight="true" x14ac:dyDescent="0.15"/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  <row r="188" ht="15" customHeight="true" x14ac:dyDescent="0.15"/>
    <row r="192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2022-10-23T00:26:12Z</dcterms:modified>
</cp:coreProperties>
</file>